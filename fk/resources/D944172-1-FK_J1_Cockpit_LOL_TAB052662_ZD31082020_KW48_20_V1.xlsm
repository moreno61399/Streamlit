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to_zošit" defaultThemeVersion="124226"/>
  <mc:AlternateContent xmlns:mc="http://schemas.openxmlformats.org/markup-compatibility/2006">
    <mc:Choice Requires="x15">
      <x15ac:absPath xmlns:x15ac="http://schemas.microsoft.com/office/spreadsheetml/2010/11/ac" url="C:\Users\jesus.roldan\Desktop\J1_FK\"/>
    </mc:Choice>
  </mc:AlternateContent>
  <bookViews>
    <workbookView xWindow="-15" yWindow="165" windowWidth="19215" windowHeight="6225" tabRatio="794"/>
  </bookViews>
  <sheets>
    <sheet name="Legende" sheetId="40" r:id="rId1"/>
    <sheet name="Wirelist" sheetId="47" r:id="rId2"/>
    <sheet name="BOM" sheetId="48" r:id="rId3"/>
    <sheet name="KM_liste" sheetId="49" r:id="rId4"/>
    <sheet name="Spliceliste statisch" sheetId="50" r:id="rId5"/>
    <sheet name="VT01" sheetId="32" r:id="rId6"/>
    <sheet name="VT03" sheetId="37" r:id="rId7"/>
    <sheet name="VT04" sheetId="44" r:id="rId8"/>
    <sheet name="Steuerungsvorgabe" sheetId="42" r:id="rId9"/>
    <sheet name="splice ubersicht" sheetId="22" r:id="rId10"/>
    <sheet name="Verfolgungsliste" sheetId="43" r:id="rId11"/>
  </sheets>
  <definedNames>
    <definedName name="_xlnm._FilterDatabase" localSheetId="2" hidden="1">BOM!$A$1:$BP$353</definedName>
    <definedName name="_xlnm._FilterDatabase" localSheetId="3" hidden="1">KM_liste!$A$3:$IN$112</definedName>
    <definedName name="_xlnm._FilterDatabase" localSheetId="0" hidden="1">Legende!$B$14:$Z$16</definedName>
    <definedName name="_xlnm._FilterDatabase" localSheetId="4" hidden="1">'Spliceliste statisch'!$B$1:$BZ$154</definedName>
    <definedName name="_xlnm._FilterDatabase" localSheetId="1" hidden="1">Wirelist!$A$1:$EE$447</definedName>
  </definedNames>
  <calcPr calcId="162913"/>
</workbook>
</file>

<file path=xl/calcChain.xml><?xml version="1.0" encoding="utf-8"?>
<calcChain xmlns="http://schemas.openxmlformats.org/spreadsheetml/2006/main">
  <c r="A66" i="50" l="1"/>
  <c r="A71" i="50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67" i="50"/>
  <c r="A68" i="50"/>
  <c r="A69" i="50"/>
  <c r="A7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2" i="50"/>
  <c r="R11" i="49" l="1"/>
  <c r="S11" i="49"/>
  <c r="I11" i="49"/>
  <c r="H11" i="49"/>
  <c r="F11" i="49"/>
  <c r="E11" i="49"/>
  <c r="R6" i="49"/>
  <c r="S7" i="49"/>
  <c r="I7" i="49"/>
  <c r="F7" i="49"/>
  <c r="H7" i="49" s="1"/>
  <c r="R7" i="49" s="1"/>
  <c r="E7" i="49"/>
  <c r="S104" i="49" l="1"/>
  <c r="I104" i="49"/>
  <c r="F104" i="49"/>
  <c r="H104" i="49" s="1"/>
  <c r="R104" i="49" s="1"/>
  <c r="E104" i="49"/>
  <c r="A411" i="47"/>
  <c r="A409" i="47"/>
  <c r="A407" i="47"/>
  <c r="S87" i="49" l="1"/>
  <c r="H87" i="49"/>
  <c r="R87" i="49" s="1"/>
  <c r="S84" i="49"/>
  <c r="R84" i="49"/>
  <c r="H84" i="49"/>
  <c r="S81" i="49"/>
  <c r="H81" i="49"/>
  <c r="R81" i="49" s="1"/>
  <c r="S77" i="49"/>
  <c r="I77" i="49"/>
  <c r="H77" i="49"/>
  <c r="R77" i="49" s="1"/>
  <c r="S72" i="49" l="1"/>
  <c r="I72" i="49"/>
  <c r="H72" i="49"/>
  <c r="R72" i="49" s="1"/>
  <c r="F72" i="49"/>
  <c r="E72" i="49"/>
  <c r="S70" i="49"/>
  <c r="I70" i="49"/>
  <c r="H70" i="49"/>
  <c r="R70" i="49" s="1"/>
  <c r="F70" i="49"/>
  <c r="E70" i="49"/>
  <c r="S68" i="49"/>
  <c r="I68" i="49"/>
  <c r="H68" i="49"/>
  <c r="R68" i="49" s="1"/>
  <c r="G68" i="49"/>
  <c r="F68" i="49"/>
  <c r="E68" i="49"/>
  <c r="S66" i="49"/>
  <c r="I66" i="49"/>
  <c r="H66" i="49"/>
  <c r="R66" i="49" s="1"/>
  <c r="G66" i="49"/>
  <c r="F66" i="49"/>
  <c r="E66" i="49"/>
  <c r="S63" i="49"/>
  <c r="G63" i="49"/>
  <c r="I63" i="49" s="1"/>
  <c r="F63" i="49"/>
  <c r="H63" i="49" s="1"/>
  <c r="R63" i="49" s="1"/>
  <c r="E63" i="49"/>
  <c r="S52" i="49" l="1"/>
  <c r="H52" i="49"/>
  <c r="R52" i="49" s="1"/>
  <c r="G52" i="49"/>
  <c r="I52" i="49" s="1"/>
  <c r="F52" i="49"/>
  <c r="E52" i="49"/>
  <c r="S86" i="49" l="1"/>
  <c r="H86" i="49"/>
  <c r="R86" i="49" s="1"/>
  <c r="S83" i="49"/>
  <c r="H83" i="49"/>
  <c r="R83" i="49" s="1"/>
  <c r="S80" i="49"/>
  <c r="R80" i="49"/>
  <c r="H80" i="49"/>
  <c r="S76" i="49"/>
  <c r="I76" i="49"/>
  <c r="H76" i="49"/>
  <c r="R76" i="49" s="1"/>
  <c r="S6" i="49" l="1"/>
  <c r="I6" i="49"/>
  <c r="F6" i="49"/>
  <c r="H6" i="49" s="1"/>
  <c r="E6" i="49"/>
  <c r="S10" i="49" l="1"/>
  <c r="I10" i="49"/>
  <c r="F10" i="49"/>
  <c r="H10" i="49" s="1"/>
  <c r="E10" i="49"/>
  <c r="R10" i="49" l="1"/>
  <c r="S100" i="49"/>
  <c r="G100" i="49"/>
  <c r="I100" i="49" s="1"/>
  <c r="F100" i="49"/>
  <c r="H100" i="49" s="1"/>
  <c r="E100" i="49"/>
  <c r="E101" i="49"/>
  <c r="F101" i="49"/>
  <c r="H101" i="49" s="1"/>
  <c r="G101" i="49"/>
  <c r="I101" i="49" s="1"/>
  <c r="S101" i="49"/>
  <c r="R101" i="49" l="1"/>
  <c r="R100" i="49"/>
  <c r="A396" i="47"/>
  <c r="A237" i="47"/>
  <c r="A231" i="47"/>
  <c r="A95" i="47"/>
  <c r="A93" i="47"/>
  <c r="S18" i="49" l="1"/>
  <c r="G18" i="49"/>
  <c r="I18" i="49" s="1"/>
  <c r="F18" i="49"/>
  <c r="H18" i="49" s="1"/>
  <c r="R18" i="49" s="1"/>
  <c r="E18" i="49"/>
  <c r="S14" i="49"/>
  <c r="G14" i="49"/>
  <c r="I14" i="49" s="1"/>
  <c r="F14" i="49"/>
  <c r="H14" i="49" s="1"/>
  <c r="R14" i="49" s="1"/>
  <c r="E14" i="49"/>
  <c r="S108" i="49"/>
  <c r="G108" i="49"/>
  <c r="I108" i="49" s="1"/>
  <c r="F108" i="49"/>
  <c r="H108" i="49" s="1"/>
  <c r="E108" i="49"/>
  <c r="S75" i="49"/>
  <c r="I75" i="49"/>
  <c r="H75" i="49"/>
  <c r="S9" i="49"/>
  <c r="I9" i="49"/>
  <c r="F9" i="49"/>
  <c r="H9" i="49" s="1"/>
  <c r="E9" i="49"/>
  <c r="S38" i="49"/>
  <c r="G38" i="49"/>
  <c r="I38" i="49" s="1"/>
  <c r="F38" i="49"/>
  <c r="H38" i="49" s="1"/>
  <c r="R38" i="49" s="1"/>
  <c r="E38" i="49"/>
  <c r="S32" i="49"/>
  <c r="G32" i="49"/>
  <c r="I32" i="49" s="1"/>
  <c r="F32" i="49"/>
  <c r="H32" i="49" s="1"/>
  <c r="E32" i="49"/>
  <c r="S28" i="49"/>
  <c r="G28" i="49"/>
  <c r="I28" i="49" s="1"/>
  <c r="F28" i="49"/>
  <c r="H28" i="49" s="1"/>
  <c r="R28" i="49" s="1"/>
  <c r="E28" i="49"/>
  <c r="S23" i="49"/>
  <c r="G23" i="49"/>
  <c r="I23" i="49" s="1"/>
  <c r="F23" i="49"/>
  <c r="H23" i="49" s="1"/>
  <c r="R23" i="49" s="1"/>
  <c r="E23" i="49"/>
  <c r="S48" i="49"/>
  <c r="G48" i="49"/>
  <c r="I48" i="49" s="1"/>
  <c r="F48" i="49"/>
  <c r="H48" i="49" s="1"/>
  <c r="R48" i="49" s="1"/>
  <c r="E48" i="49"/>
  <c r="S71" i="49"/>
  <c r="I71" i="49"/>
  <c r="F71" i="49"/>
  <c r="H71" i="49" s="1"/>
  <c r="E71" i="49"/>
  <c r="S8" i="49"/>
  <c r="I8" i="49"/>
  <c r="F8" i="49"/>
  <c r="H8" i="49" s="1"/>
  <c r="E8" i="49"/>
  <c r="S37" i="49"/>
  <c r="G37" i="49"/>
  <c r="I37" i="49" s="1"/>
  <c r="F37" i="49"/>
  <c r="H37" i="49" s="1"/>
  <c r="E37" i="49"/>
  <c r="S33" i="49"/>
  <c r="G33" i="49"/>
  <c r="I33" i="49" s="1"/>
  <c r="F33" i="49"/>
  <c r="H33" i="49" s="1"/>
  <c r="R33" i="49" s="1"/>
  <c r="E33" i="49"/>
  <c r="S27" i="49"/>
  <c r="G27" i="49"/>
  <c r="I27" i="49" s="1"/>
  <c r="F27" i="49"/>
  <c r="H27" i="49" s="1"/>
  <c r="E27" i="49"/>
  <c r="S22" i="49"/>
  <c r="G22" i="49"/>
  <c r="I22" i="49" s="1"/>
  <c r="F22" i="49"/>
  <c r="H22" i="49" s="1"/>
  <c r="E22" i="49"/>
  <c r="G49" i="49"/>
  <c r="I49" i="49" s="1"/>
  <c r="S49" i="49"/>
  <c r="F49" i="49"/>
  <c r="H49" i="49" s="1"/>
  <c r="A238" i="47"/>
  <c r="S85" i="49"/>
  <c r="H85" i="49"/>
  <c r="R85" i="49" s="1"/>
  <c r="S79" i="49"/>
  <c r="H79" i="49"/>
  <c r="R79" i="49" s="1"/>
  <c r="S74" i="49"/>
  <c r="I74" i="49"/>
  <c r="H74" i="49"/>
  <c r="S69" i="49"/>
  <c r="I69" i="49"/>
  <c r="F69" i="49"/>
  <c r="H69" i="49" s="1"/>
  <c r="E69" i="49"/>
  <c r="S65" i="49"/>
  <c r="G65" i="49"/>
  <c r="I65" i="49" s="1"/>
  <c r="F65" i="49"/>
  <c r="H65" i="49" s="1"/>
  <c r="E65" i="49"/>
  <c r="S62" i="49"/>
  <c r="G62" i="49"/>
  <c r="I62" i="49" s="1"/>
  <c r="F62" i="49"/>
  <c r="H62" i="49" s="1"/>
  <c r="E62" i="49"/>
  <c r="S110" i="49"/>
  <c r="G110" i="49"/>
  <c r="I110" i="49" s="1"/>
  <c r="F110" i="49"/>
  <c r="H110" i="49" s="1"/>
  <c r="E110" i="49"/>
  <c r="A360" i="47"/>
  <c r="A359" i="47"/>
  <c r="S107" i="49"/>
  <c r="F107" i="49"/>
  <c r="H107" i="49" s="1"/>
  <c r="R107" i="49" s="1"/>
  <c r="S103" i="49"/>
  <c r="I103" i="49"/>
  <c r="F103" i="49"/>
  <c r="H103" i="49" s="1"/>
  <c r="E103" i="49"/>
  <c r="F105" i="49"/>
  <c r="H105" i="49" s="1"/>
  <c r="R105" i="49" s="1"/>
  <c r="S105" i="49"/>
  <c r="S90" i="49"/>
  <c r="G90" i="49"/>
  <c r="I90" i="49" s="1"/>
  <c r="F90" i="49"/>
  <c r="H90" i="49" s="1"/>
  <c r="E90" i="49"/>
  <c r="A326" i="47"/>
  <c r="A325" i="47"/>
  <c r="A291" i="47"/>
  <c r="A290" i="47"/>
  <c r="S45" i="49"/>
  <c r="G45" i="49"/>
  <c r="I45" i="49" s="1"/>
  <c r="F45" i="49"/>
  <c r="H45" i="49" s="1"/>
  <c r="E45" i="49"/>
  <c r="S43" i="49"/>
  <c r="G43" i="49"/>
  <c r="I43" i="49" s="1"/>
  <c r="F43" i="49"/>
  <c r="H43" i="49" s="1"/>
  <c r="E43" i="49"/>
  <c r="S41" i="49"/>
  <c r="G41" i="49"/>
  <c r="I41" i="49" s="1"/>
  <c r="F41" i="49"/>
  <c r="H41" i="49" s="1"/>
  <c r="E41" i="49"/>
  <c r="S36" i="49"/>
  <c r="G36" i="49"/>
  <c r="I36" i="49" s="1"/>
  <c r="F36" i="49"/>
  <c r="H36" i="49" s="1"/>
  <c r="E36" i="49"/>
  <c r="S31" i="49"/>
  <c r="G31" i="49"/>
  <c r="I31" i="49" s="1"/>
  <c r="F31" i="49"/>
  <c r="H31" i="49" s="1"/>
  <c r="E31" i="49"/>
  <c r="S26" i="49"/>
  <c r="G26" i="49"/>
  <c r="I26" i="49" s="1"/>
  <c r="F26" i="49"/>
  <c r="H26" i="49" s="1"/>
  <c r="E26" i="49"/>
  <c r="S21" i="49"/>
  <c r="G21" i="49"/>
  <c r="I21" i="49" s="1"/>
  <c r="F21" i="49"/>
  <c r="H21" i="49" s="1"/>
  <c r="E21" i="49"/>
  <c r="S17" i="49"/>
  <c r="G17" i="49"/>
  <c r="I17" i="49" s="1"/>
  <c r="F17" i="49"/>
  <c r="H17" i="49" s="1"/>
  <c r="E17" i="49"/>
  <c r="E19" i="49"/>
  <c r="F19" i="49"/>
  <c r="H19" i="49" s="1"/>
  <c r="G19" i="49"/>
  <c r="I19" i="49" s="1"/>
  <c r="S19" i="49"/>
  <c r="S13" i="49"/>
  <c r="G13" i="49"/>
  <c r="I13" i="49" s="1"/>
  <c r="F13" i="49"/>
  <c r="H13" i="49" s="1"/>
  <c r="E13" i="49"/>
  <c r="S106" i="49"/>
  <c r="F106" i="49"/>
  <c r="H106" i="49" s="1"/>
  <c r="R106" i="49" s="1"/>
  <c r="S102" i="49"/>
  <c r="I102" i="49"/>
  <c r="F102" i="49"/>
  <c r="H102" i="49" s="1"/>
  <c r="E102" i="49"/>
  <c r="S95" i="49"/>
  <c r="I95" i="49"/>
  <c r="F95" i="49"/>
  <c r="H95" i="49" s="1"/>
  <c r="E95" i="49"/>
  <c r="S60" i="49"/>
  <c r="G60" i="49"/>
  <c r="I60" i="49" s="1"/>
  <c r="F60" i="49"/>
  <c r="H60" i="49" s="1"/>
  <c r="E60" i="49"/>
  <c r="S58" i="49"/>
  <c r="G58" i="49"/>
  <c r="I58" i="49" s="1"/>
  <c r="F58" i="49"/>
  <c r="H58" i="49" s="1"/>
  <c r="E58" i="49"/>
  <c r="S56" i="49"/>
  <c r="G56" i="49"/>
  <c r="I56" i="49" s="1"/>
  <c r="F56" i="49"/>
  <c r="H56" i="49" s="1"/>
  <c r="E56" i="49"/>
  <c r="S47" i="49"/>
  <c r="G47" i="49"/>
  <c r="I47" i="49" s="1"/>
  <c r="F47" i="49"/>
  <c r="H47" i="49" s="1"/>
  <c r="E47" i="49"/>
  <c r="S35" i="49"/>
  <c r="G35" i="49"/>
  <c r="I35" i="49" s="1"/>
  <c r="F35" i="49"/>
  <c r="H35" i="49" s="1"/>
  <c r="E35" i="49"/>
  <c r="S30" i="49"/>
  <c r="G30" i="49"/>
  <c r="I30" i="49" s="1"/>
  <c r="F30" i="49"/>
  <c r="H30" i="49" s="1"/>
  <c r="E30" i="49"/>
  <c r="S25" i="49"/>
  <c r="G25" i="49"/>
  <c r="I25" i="49" s="1"/>
  <c r="F25" i="49"/>
  <c r="H25" i="49" s="1"/>
  <c r="E25" i="49"/>
  <c r="S20" i="49"/>
  <c r="G20" i="49"/>
  <c r="I20" i="49" s="1"/>
  <c r="F20" i="49"/>
  <c r="H20" i="49" s="1"/>
  <c r="E20" i="49"/>
  <c r="S12" i="49"/>
  <c r="G12" i="49"/>
  <c r="I12" i="49" s="1"/>
  <c r="F12" i="49"/>
  <c r="H12" i="49" s="1"/>
  <c r="E12" i="49"/>
  <c r="S16" i="49"/>
  <c r="G16" i="49"/>
  <c r="I16" i="49" s="1"/>
  <c r="F16" i="49"/>
  <c r="H16" i="49" s="1"/>
  <c r="E16" i="49"/>
  <c r="S5" i="49"/>
  <c r="I5" i="49"/>
  <c r="F5" i="49"/>
  <c r="H5" i="49" s="1"/>
  <c r="E5" i="49"/>
  <c r="S51" i="49"/>
  <c r="G51" i="49"/>
  <c r="I51" i="49" s="1"/>
  <c r="F51" i="49"/>
  <c r="H51" i="49" s="1"/>
  <c r="E51" i="49"/>
  <c r="A2" i="47"/>
  <c r="S4" i="49"/>
  <c r="I4" i="49"/>
  <c r="F4" i="49"/>
  <c r="H4" i="49" s="1"/>
  <c r="E4" i="49"/>
  <c r="S59" i="49"/>
  <c r="G59" i="49"/>
  <c r="I59" i="49" s="1"/>
  <c r="F59" i="49"/>
  <c r="H59" i="49" s="1"/>
  <c r="E59" i="49"/>
  <c r="S50" i="49"/>
  <c r="G50" i="49"/>
  <c r="I50" i="49" s="1"/>
  <c r="F50" i="49"/>
  <c r="H50" i="49" s="1"/>
  <c r="E50" i="49"/>
  <c r="S39" i="49"/>
  <c r="G39" i="49"/>
  <c r="I39" i="49" s="1"/>
  <c r="F39" i="49"/>
  <c r="H39" i="49" s="1"/>
  <c r="E39" i="49"/>
  <c r="S111" i="49"/>
  <c r="G111" i="49"/>
  <c r="I111" i="49" s="1"/>
  <c r="F111" i="49"/>
  <c r="H111" i="49" s="1"/>
  <c r="E111" i="49"/>
  <c r="S109" i="49"/>
  <c r="G109" i="49"/>
  <c r="I109" i="49" s="1"/>
  <c r="F109" i="49"/>
  <c r="H109" i="49" s="1"/>
  <c r="E109" i="49"/>
  <c r="A81" i="47"/>
  <c r="A3" i="47"/>
  <c r="S46" i="49"/>
  <c r="G46" i="49"/>
  <c r="I46" i="49" s="1"/>
  <c r="F46" i="49"/>
  <c r="H46" i="49" s="1"/>
  <c r="E46" i="49"/>
  <c r="S34" i="49"/>
  <c r="G34" i="49"/>
  <c r="I34" i="49" s="1"/>
  <c r="F34" i="49"/>
  <c r="H34" i="49" s="1"/>
  <c r="E34" i="49"/>
  <c r="S29" i="49"/>
  <c r="G29" i="49"/>
  <c r="I29" i="49" s="1"/>
  <c r="F29" i="49"/>
  <c r="H29" i="49" s="1"/>
  <c r="E29" i="49"/>
  <c r="A278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2" i="47"/>
  <c r="A83" i="47"/>
  <c r="A84" i="47"/>
  <c r="A85" i="47"/>
  <c r="A86" i="47"/>
  <c r="A87" i="47"/>
  <c r="A88" i="47"/>
  <c r="A89" i="47"/>
  <c r="A90" i="47"/>
  <c r="A91" i="47"/>
  <c r="A92" i="47"/>
  <c r="A94" i="47"/>
  <c r="A96" i="47"/>
  <c r="A97" i="47"/>
  <c r="A98" i="47"/>
  <c r="A99" i="47"/>
  <c r="A100" i="47"/>
  <c r="A101" i="47"/>
  <c r="A102" i="47"/>
  <c r="A103" i="47"/>
  <c r="A104" i="47"/>
  <c r="A105" i="47"/>
  <c r="A106" i="47"/>
  <c r="A107" i="47"/>
  <c r="A108" i="47"/>
  <c r="A109" i="47"/>
  <c r="A110" i="47"/>
  <c r="A111" i="47"/>
  <c r="A112" i="47"/>
  <c r="A113" i="47"/>
  <c r="A114" i="47"/>
  <c r="A115" i="47"/>
  <c r="A118" i="47"/>
  <c r="A119" i="47"/>
  <c r="A120" i="47"/>
  <c r="A121" i="47"/>
  <c r="A122" i="47"/>
  <c r="A123" i="47"/>
  <c r="A124" i="47"/>
  <c r="A125" i="47"/>
  <c r="A126" i="47"/>
  <c r="A127" i="47"/>
  <c r="A128" i="47"/>
  <c r="A129" i="47"/>
  <c r="A130" i="47"/>
  <c r="A131" i="47"/>
  <c r="A132" i="47"/>
  <c r="A133" i="47"/>
  <c r="A134" i="47"/>
  <c r="A135" i="47"/>
  <c r="A136" i="47"/>
  <c r="A137" i="47"/>
  <c r="A138" i="47"/>
  <c r="A139" i="47"/>
  <c r="A140" i="47"/>
  <c r="A141" i="47"/>
  <c r="A142" i="47"/>
  <c r="A143" i="47"/>
  <c r="A144" i="47"/>
  <c r="A145" i="47"/>
  <c r="A146" i="47"/>
  <c r="A147" i="47"/>
  <c r="A148" i="47"/>
  <c r="A149" i="47"/>
  <c r="A150" i="47"/>
  <c r="A151" i="47"/>
  <c r="A152" i="47"/>
  <c r="A153" i="47"/>
  <c r="A154" i="47"/>
  <c r="A155" i="47"/>
  <c r="A156" i="47"/>
  <c r="A157" i="47"/>
  <c r="A158" i="47"/>
  <c r="A159" i="47"/>
  <c r="A160" i="47"/>
  <c r="A161" i="47"/>
  <c r="A162" i="47"/>
  <c r="A163" i="47"/>
  <c r="A164" i="47"/>
  <c r="A165" i="47"/>
  <c r="A166" i="47"/>
  <c r="A167" i="47"/>
  <c r="A168" i="47"/>
  <c r="A169" i="47"/>
  <c r="A170" i="47"/>
  <c r="A171" i="47"/>
  <c r="A172" i="47"/>
  <c r="A173" i="47"/>
  <c r="A174" i="47"/>
  <c r="A175" i="47"/>
  <c r="A176" i="47"/>
  <c r="A177" i="47"/>
  <c r="A178" i="47"/>
  <c r="A179" i="47"/>
  <c r="A180" i="47"/>
  <c r="A181" i="47"/>
  <c r="A182" i="47"/>
  <c r="A183" i="47"/>
  <c r="A184" i="47"/>
  <c r="A185" i="47"/>
  <c r="A186" i="47"/>
  <c r="A187" i="47"/>
  <c r="A188" i="47"/>
  <c r="A189" i="47"/>
  <c r="A190" i="47"/>
  <c r="A191" i="47"/>
  <c r="A192" i="47"/>
  <c r="A193" i="47"/>
  <c r="A194" i="47"/>
  <c r="A195" i="47"/>
  <c r="A196" i="47"/>
  <c r="A197" i="47"/>
  <c r="A198" i="47"/>
  <c r="A199" i="47"/>
  <c r="A200" i="47"/>
  <c r="A201" i="47"/>
  <c r="A202" i="47"/>
  <c r="A203" i="47"/>
  <c r="A204" i="47"/>
  <c r="A205" i="47"/>
  <c r="A206" i="47"/>
  <c r="A207" i="47"/>
  <c r="A208" i="47"/>
  <c r="A209" i="47"/>
  <c r="A210" i="47"/>
  <c r="A211" i="47"/>
  <c r="A212" i="47"/>
  <c r="A213" i="47"/>
  <c r="A214" i="47"/>
  <c r="A215" i="47"/>
  <c r="A216" i="47"/>
  <c r="A217" i="47"/>
  <c r="A218" i="47"/>
  <c r="A219" i="47"/>
  <c r="A220" i="47"/>
  <c r="A221" i="47"/>
  <c r="A222" i="47"/>
  <c r="A223" i="47"/>
  <c r="A224" i="47"/>
  <c r="A225" i="47"/>
  <c r="A226" i="47"/>
  <c r="A228" i="47"/>
  <c r="A229" i="47"/>
  <c r="A230" i="47"/>
  <c r="A232" i="47"/>
  <c r="A233" i="47"/>
  <c r="A234" i="47"/>
  <c r="A235" i="47"/>
  <c r="A236" i="47"/>
  <c r="A239" i="47"/>
  <c r="A240" i="47"/>
  <c r="A241" i="47"/>
  <c r="A242" i="47"/>
  <c r="A243" i="47"/>
  <c r="A244" i="47"/>
  <c r="A245" i="47"/>
  <c r="A246" i="47"/>
  <c r="A247" i="47"/>
  <c r="A248" i="47"/>
  <c r="A249" i="47"/>
  <c r="A250" i="47"/>
  <c r="A251" i="47"/>
  <c r="A252" i="47"/>
  <c r="A253" i="47"/>
  <c r="A254" i="47"/>
  <c r="A255" i="47"/>
  <c r="A256" i="47"/>
  <c r="A257" i="47"/>
  <c r="A258" i="47"/>
  <c r="A259" i="47"/>
  <c r="A260" i="47"/>
  <c r="A261" i="47"/>
  <c r="A262" i="47"/>
  <c r="A263" i="47"/>
  <c r="A264" i="47"/>
  <c r="A265" i="47"/>
  <c r="A266" i="47"/>
  <c r="A267" i="47"/>
  <c r="A268" i="47"/>
  <c r="A269" i="47"/>
  <c r="A270" i="47"/>
  <c r="A271" i="47"/>
  <c r="A272" i="47"/>
  <c r="A273" i="47"/>
  <c r="A274" i="47"/>
  <c r="A275" i="47"/>
  <c r="A276" i="47"/>
  <c r="A277" i="47"/>
  <c r="A279" i="47"/>
  <c r="A280" i="47"/>
  <c r="A281" i="47"/>
  <c r="A282" i="47"/>
  <c r="A283" i="47"/>
  <c r="A284" i="47"/>
  <c r="A285" i="47"/>
  <c r="A286" i="47"/>
  <c r="A287" i="47"/>
  <c r="A288" i="47"/>
  <c r="A289" i="47"/>
  <c r="A292" i="47"/>
  <c r="A295" i="47"/>
  <c r="A296" i="47"/>
  <c r="A297" i="47"/>
  <c r="A298" i="47"/>
  <c r="A299" i="47"/>
  <c r="A300" i="47"/>
  <c r="A301" i="47"/>
  <c r="A302" i="47"/>
  <c r="A303" i="47"/>
  <c r="A304" i="47"/>
  <c r="A305" i="47"/>
  <c r="A306" i="47"/>
  <c r="A307" i="47"/>
  <c r="A308" i="47"/>
  <c r="A309" i="47"/>
  <c r="A310" i="47"/>
  <c r="A311" i="47"/>
  <c r="A312" i="47"/>
  <c r="A313" i="47"/>
  <c r="A314" i="47"/>
  <c r="A315" i="47"/>
  <c r="A324" i="47"/>
  <c r="A327" i="47"/>
  <c r="A329" i="47"/>
  <c r="A330" i="47"/>
  <c r="A331" i="47"/>
  <c r="A332" i="47"/>
  <c r="A333" i="47"/>
  <c r="A334" i="47"/>
  <c r="A335" i="47"/>
  <c r="A336" i="47"/>
  <c r="A337" i="47"/>
  <c r="A338" i="47"/>
  <c r="A339" i="47"/>
  <c r="A340" i="47"/>
  <c r="A341" i="47"/>
  <c r="A342" i="47"/>
  <c r="A343" i="47"/>
  <c r="A344" i="47"/>
  <c r="A345" i="47"/>
  <c r="A346" i="47"/>
  <c r="A347" i="47"/>
  <c r="A348" i="47"/>
  <c r="A349" i="47"/>
  <c r="A350" i="47"/>
  <c r="A351" i="47"/>
  <c r="A352" i="47"/>
  <c r="A353" i="47"/>
  <c r="A354" i="47"/>
  <c r="A355" i="47"/>
  <c r="A356" i="47"/>
  <c r="A357" i="47"/>
  <c r="A358" i="47"/>
  <c r="A361" i="47"/>
  <c r="A366" i="47"/>
  <c r="A367" i="47"/>
  <c r="A368" i="47"/>
  <c r="A369" i="47"/>
  <c r="A370" i="47"/>
  <c r="A371" i="47"/>
  <c r="A372" i="47"/>
  <c r="A373" i="47"/>
  <c r="A374" i="47"/>
  <c r="A375" i="47"/>
  <c r="A376" i="47"/>
  <c r="A377" i="47"/>
  <c r="A378" i="47"/>
  <c r="A379" i="47"/>
  <c r="A380" i="47"/>
  <c r="A381" i="47"/>
  <c r="A382" i="47"/>
  <c r="A383" i="47"/>
  <c r="A384" i="47"/>
  <c r="A385" i="47"/>
  <c r="A386" i="47"/>
  <c r="A387" i="47"/>
  <c r="A388" i="47"/>
  <c r="A389" i="47"/>
  <c r="A390" i="47"/>
  <c r="A391" i="47"/>
  <c r="A392" i="47"/>
  <c r="A393" i="47"/>
  <c r="A394" i="47"/>
  <c r="A395" i="47"/>
  <c r="A397" i="47"/>
  <c r="A398" i="47"/>
  <c r="A400" i="47"/>
  <c r="A399" i="47"/>
  <c r="A401" i="47"/>
  <c r="A402" i="47"/>
  <c r="A403" i="47"/>
  <c r="A404" i="47"/>
  <c r="A405" i="47"/>
  <c r="A406" i="47"/>
  <c r="A408" i="47"/>
  <c r="A410" i="47"/>
  <c r="A412" i="47"/>
  <c r="A413" i="47"/>
  <c r="A414" i="47"/>
  <c r="A415" i="47"/>
  <c r="A416" i="47"/>
  <c r="A417" i="47"/>
  <c r="A418" i="47"/>
  <c r="A419" i="47"/>
  <c r="A420" i="47"/>
  <c r="A421" i="47"/>
  <c r="A422" i="47"/>
  <c r="A423" i="47"/>
  <c r="A424" i="47"/>
  <c r="A430" i="47"/>
  <c r="A431" i="47"/>
  <c r="A432" i="47"/>
  <c r="A433" i="47"/>
  <c r="A434" i="47"/>
  <c r="A435" i="47"/>
  <c r="A436" i="47"/>
  <c r="A437" i="47"/>
  <c r="A438" i="47"/>
  <c r="A439" i="47"/>
  <c r="A440" i="47"/>
  <c r="A441" i="47"/>
  <c r="A442" i="47"/>
  <c r="A443" i="47"/>
  <c r="A444" i="47"/>
  <c r="A445" i="47"/>
  <c r="A446" i="47"/>
  <c r="A447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S112" i="49"/>
  <c r="G112" i="49"/>
  <c r="I112" i="49" s="1"/>
  <c r="F112" i="49"/>
  <c r="H112" i="49" s="1"/>
  <c r="E112" i="49"/>
  <c r="S99" i="49"/>
  <c r="G99" i="49"/>
  <c r="I99" i="49" s="1"/>
  <c r="F99" i="49"/>
  <c r="H99" i="49" s="1"/>
  <c r="E99" i="49"/>
  <c r="S98" i="49"/>
  <c r="G98" i="49"/>
  <c r="I98" i="49" s="1"/>
  <c r="F98" i="49"/>
  <c r="H98" i="49" s="1"/>
  <c r="E98" i="49"/>
  <c r="S97" i="49"/>
  <c r="G97" i="49"/>
  <c r="I97" i="49" s="1"/>
  <c r="F97" i="49"/>
  <c r="H97" i="49" s="1"/>
  <c r="E97" i="49"/>
  <c r="S96" i="49"/>
  <c r="G96" i="49"/>
  <c r="I96" i="49" s="1"/>
  <c r="F96" i="49"/>
  <c r="H96" i="49" s="1"/>
  <c r="E96" i="49"/>
  <c r="S94" i="49"/>
  <c r="I94" i="49"/>
  <c r="F94" i="49"/>
  <c r="H94" i="49" s="1"/>
  <c r="E94" i="49"/>
  <c r="S91" i="49"/>
  <c r="G91" i="49"/>
  <c r="I91" i="49" s="1"/>
  <c r="F91" i="49"/>
  <c r="H91" i="49" s="1"/>
  <c r="E91" i="49"/>
  <c r="S89" i="49"/>
  <c r="G89" i="49"/>
  <c r="I89" i="49" s="1"/>
  <c r="F89" i="49"/>
  <c r="H89" i="49" s="1"/>
  <c r="E89" i="49"/>
  <c r="S88" i="49"/>
  <c r="G88" i="49"/>
  <c r="I88" i="49" s="1"/>
  <c r="F88" i="49"/>
  <c r="H88" i="49" s="1"/>
  <c r="E88" i="49"/>
  <c r="S82" i="49"/>
  <c r="H82" i="49"/>
  <c r="R82" i="49" s="1"/>
  <c r="S78" i="49"/>
  <c r="H78" i="49"/>
  <c r="R78" i="49" s="1"/>
  <c r="S73" i="49"/>
  <c r="I73" i="49"/>
  <c r="H73" i="49"/>
  <c r="S67" i="49"/>
  <c r="G67" i="49"/>
  <c r="I67" i="49" s="1"/>
  <c r="F67" i="49"/>
  <c r="H67" i="49" s="1"/>
  <c r="E67" i="49"/>
  <c r="S64" i="49"/>
  <c r="G64" i="49"/>
  <c r="I64" i="49" s="1"/>
  <c r="F64" i="49"/>
  <c r="H64" i="49"/>
  <c r="E64" i="49"/>
  <c r="S61" i="49"/>
  <c r="G61" i="49"/>
  <c r="I61" i="49"/>
  <c r="F61" i="49"/>
  <c r="H61" i="49" s="1"/>
  <c r="E61" i="49"/>
  <c r="S57" i="49"/>
  <c r="G57" i="49"/>
  <c r="I57" i="49" s="1"/>
  <c r="F57" i="49"/>
  <c r="H57" i="49" s="1"/>
  <c r="E57" i="49"/>
  <c r="S55" i="49"/>
  <c r="G55" i="49"/>
  <c r="I55" i="49" s="1"/>
  <c r="F55" i="49"/>
  <c r="H55" i="49" s="1"/>
  <c r="E55" i="49"/>
  <c r="S54" i="49"/>
  <c r="G54" i="49"/>
  <c r="I54" i="49" s="1"/>
  <c r="F54" i="49"/>
  <c r="H54" i="49" s="1"/>
  <c r="E54" i="49"/>
  <c r="S53" i="49"/>
  <c r="G53" i="49"/>
  <c r="I53" i="49" s="1"/>
  <c r="F53" i="49"/>
  <c r="H53" i="49" s="1"/>
  <c r="E53" i="49"/>
  <c r="S44" i="49"/>
  <c r="G44" i="49"/>
  <c r="I44" i="49" s="1"/>
  <c r="F44" i="49"/>
  <c r="H44" i="49" s="1"/>
  <c r="E44" i="49"/>
  <c r="S42" i="49"/>
  <c r="G42" i="49"/>
  <c r="I42" i="49" s="1"/>
  <c r="F42" i="49"/>
  <c r="H42" i="49" s="1"/>
  <c r="E42" i="49"/>
  <c r="S40" i="49"/>
  <c r="G40" i="49"/>
  <c r="I40" i="49" s="1"/>
  <c r="F40" i="49"/>
  <c r="H40" i="49" s="1"/>
  <c r="E40" i="49"/>
  <c r="S24" i="49"/>
  <c r="G24" i="49"/>
  <c r="I24" i="49" s="1"/>
  <c r="F24" i="49"/>
  <c r="H24" i="49" s="1"/>
  <c r="E24" i="49"/>
  <c r="S15" i="49"/>
  <c r="G15" i="49"/>
  <c r="I15" i="49" s="1"/>
  <c r="F15" i="49"/>
  <c r="H15" i="49" s="1"/>
  <c r="E15" i="49"/>
  <c r="R49" i="49" l="1"/>
  <c r="R47" i="49"/>
  <c r="R56" i="49"/>
  <c r="R58" i="49"/>
  <c r="R60" i="49"/>
  <c r="R95" i="49"/>
  <c r="R9" i="49"/>
  <c r="R4" i="49"/>
  <c r="R12" i="49"/>
  <c r="R19" i="49"/>
  <c r="R69" i="49"/>
  <c r="R22" i="49"/>
  <c r="R71" i="49"/>
  <c r="R15" i="49"/>
  <c r="R73" i="49"/>
  <c r="R94" i="49"/>
  <c r="R103" i="49"/>
  <c r="R89" i="49"/>
  <c r="R13" i="49"/>
  <c r="R26" i="49"/>
  <c r="R54" i="49"/>
  <c r="R91" i="49"/>
  <c r="R59" i="49"/>
  <c r="R16" i="49"/>
  <c r="R45" i="49"/>
  <c r="R62" i="49"/>
  <c r="R74" i="49"/>
  <c r="R75" i="49"/>
  <c r="R88" i="49"/>
  <c r="R17" i="49"/>
  <c r="R110" i="49"/>
  <c r="R53" i="49"/>
  <c r="R109" i="49"/>
  <c r="R50" i="49"/>
  <c r="R55" i="49"/>
  <c r="R90" i="49"/>
  <c r="R65" i="49"/>
  <c r="R96" i="49"/>
  <c r="R67" i="49"/>
  <c r="R24" i="49"/>
  <c r="R44" i="49"/>
  <c r="R64" i="49"/>
  <c r="R99" i="49"/>
  <c r="R46" i="49"/>
  <c r="R39" i="49"/>
  <c r="R51" i="49"/>
  <c r="R20" i="49"/>
  <c r="R35" i="49"/>
  <c r="R31" i="49"/>
  <c r="R43" i="49"/>
  <c r="R8" i="49"/>
  <c r="R32" i="49"/>
  <c r="R61" i="49"/>
  <c r="R40" i="49"/>
  <c r="R57" i="49"/>
  <c r="R97" i="49"/>
  <c r="R42" i="49"/>
  <c r="R98" i="49"/>
  <c r="R34" i="49"/>
  <c r="R111" i="49"/>
  <c r="R30" i="49"/>
  <c r="R102" i="49"/>
  <c r="R41" i="49"/>
  <c r="R37" i="49"/>
  <c r="R108" i="49"/>
  <c r="R112" i="49"/>
  <c r="R29" i="49"/>
  <c r="R25" i="49"/>
  <c r="R36" i="49"/>
  <c r="R27" i="49"/>
  <c r="R21" i="49"/>
  <c r="R5" i="49"/>
</calcChain>
</file>

<file path=xl/comments1.xml><?xml version="1.0" encoding="utf-8"?>
<comments xmlns="http://schemas.openxmlformats.org/spreadsheetml/2006/main">
  <authors>
    <author>Autor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Folgende Eingabemöglichkeiten stehen zur Verfügung:
"-"     -  keine Schweißung
"s"     - statisch
"d"    - dynamisch
</t>
        </r>
      </text>
    </comment>
    <comment ref="N1" authorId="0" shapeId="0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Folgende Auswahlmöglichkeiten stehen zur Verfügung:
</t>
        </r>
        <r>
          <rPr>
            <b/>
            <sz val="10"/>
            <color indexed="81"/>
            <rFont val="Tahoma"/>
            <family val="2"/>
          </rPr>
          <t xml:space="preserve">"-"  - </t>
        </r>
        <r>
          <rPr>
            <sz val="10"/>
            <color indexed="81"/>
            <rFont val="Tahoma"/>
            <family val="2"/>
          </rPr>
          <t xml:space="preserve">keine Isolierung
</t>
        </r>
        <r>
          <rPr>
            <b/>
            <sz val="10"/>
            <color indexed="81"/>
            <rFont val="Tahoma"/>
            <family val="2"/>
          </rPr>
          <t>"Band"</t>
        </r>
        <r>
          <rPr>
            <sz val="10"/>
            <color indexed="81"/>
            <rFont val="Tahoma"/>
            <family val="2"/>
          </rPr>
          <t xml:space="preserve">  - Isolierung mit Band
</t>
        </r>
        <r>
          <rPr>
            <b/>
            <sz val="10"/>
            <color indexed="81"/>
            <rFont val="Tahoma"/>
            <family val="2"/>
          </rPr>
          <t xml:space="preserve">"Schrumpfen" - </t>
        </r>
        <r>
          <rPr>
            <sz val="10"/>
            <color indexed="81"/>
            <rFont val="Tahoma"/>
            <family val="2"/>
          </rPr>
          <t xml:space="preserve">Isolierung mit Schrumpfschlauch
</t>
        </r>
        <r>
          <rPr>
            <b/>
            <sz val="10"/>
            <color indexed="81"/>
            <rFont val="Tahoma"/>
            <family val="2"/>
          </rPr>
          <t xml:space="preserve">"Kappe" </t>
        </r>
        <r>
          <rPr>
            <sz val="10"/>
            <color indexed="81"/>
            <rFont val="Tahoma"/>
            <family val="2"/>
          </rPr>
          <t>- Isolierung mit Kappe</t>
        </r>
      </text>
    </comment>
    <comment ref="Q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 xml:space="preserve">"    -    Prüftisch  </t>
        </r>
      </text>
    </comment>
    <comment ref="R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"</t>
        </r>
        <r>
          <rPr>
            <b/>
            <sz val="12"/>
            <color indexed="81"/>
            <rFont val="Tahoma"/>
            <family val="2"/>
          </rPr>
          <t>bl</t>
        </r>
        <r>
          <rPr>
            <sz val="12"/>
            <color indexed="81"/>
            <rFont val="Tahoma"/>
            <family val="2"/>
          </rPr>
          <t>"  -  blau
"</t>
        </r>
        <r>
          <rPr>
            <b/>
            <sz val="12"/>
            <color indexed="81"/>
            <rFont val="Tahoma"/>
            <family val="2"/>
          </rPr>
          <t>br</t>
        </r>
        <r>
          <rPr>
            <sz val="12"/>
            <color indexed="81"/>
            <rFont val="Tahoma"/>
            <family val="2"/>
          </rPr>
          <t>" -  braun
"</t>
        </r>
        <r>
          <rPr>
            <b/>
            <sz val="12"/>
            <color indexed="81"/>
            <rFont val="Tahoma"/>
            <family val="2"/>
          </rPr>
          <t>ge</t>
        </r>
        <r>
          <rPr>
            <sz val="12"/>
            <color indexed="81"/>
            <rFont val="Tahoma"/>
            <family val="2"/>
          </rPr>
          <t>" -  gelb
"</t>
        </r>
        <r>
          <rPr>
            <b/>
            <sz val="12"/>
            <color indexed="81"/>
            <rFont val="Tahoma"/>
            <family val="2"/>
          </rPr>
          <t>gn</t>
        </r>
        <r>
          <rPr>
            <sz val="12"/>
            <color indexed="81"/>
            <rFont val="Tahoma"/>
            <family val="2"/>
          </rPr>
          <t>" -  grün
"</t>
        </r>
        <r>
          <rPr>
            <b/>
            <sz val="12"/>
            <color indexed="81"/>
            <rFont val="Tahoma"/>
            <family val="2"/>
          </rPr>
          <t>gr</t>
        </r>
        <r>
          <rPr>
            <sz val="12"/>
            <color indexed="81"/>
            <rFont val="Tahoma"/>
            <family val="2"/>
          </rPr>
          <t>" -  grau
"</t>
        </r>
        <r>
          <rPr>
            <b/>
            <sz val="12"/>
            <color indexed="81"/>
            <rFont val="Tahoma"/>
            <family val="2"/>
          </rPr>
          <t>rt</t>
        </r>
        <r>
          <rPr>
            <sz val="12"/>
            <color indexed="81"/>
            <rFont val="Tahoma"/>
            <family val="2"/>
          </rPr>
          <t>"  -  rot
"</t>
        </r>
        <r>
          <rPr>
            <b/>
            <sz val="12"/>
            <color indexed="81"/>
            <rFont val="Tahoma"/>
            <family val="2"/>
          </rPr>
          <t>sw</t>
        </r>
        <r>
          <rPr>
            <sz val="12"/>
            <color indexed="81"/>
            <rFont val="Tahoma"/>
            <family val="2"/>
          </rPr>
          <t>" - schwarz
"</t>
        </r>
        <r>
          <rPr>
            <b/>
            <sz val="12"/>
            <color indexed="81"/>
            <rFont val="Tahoma"/>
            <family val="2"/>
          </rPr>
          <t>vi</t>
        </r>
        <r>
          <rPr>
            <sz val="12"/>
            <color indexed="81"/>
            <rFont val="Tahoma"/>
            <family val="2"/>
          </rPr>
          <t>"  -  violett
"</t>
        </r>
        <r>
          <rPr>
            <b/>
            <sz val="12"/>
            <color indexed="81"/>
            <rFont val="Tahoma"/>
            <family val="2"/>
          </rPr>
          <t>ws</t>
        </r>
        <r>
          <rPr>
            <sz val="12"/>
            <color indexed="81"/>
            <rFont val="Tahoma"/>
            <family val="2"/>
          </rPr>
          <t xml:space="preserve">" - weiss
</t>
        </r>
      </text>
    </comment>
    <comment ref="U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relevant
</t>
        </r>
      </text>
    </comment>
  </commentList>
</comments>
</file>

<file path=xl/comments2.xml><?xml version="1.0" encoding="utf-8"?>
<comments xmlns="http://schemas.openxmlformats.org/spreadsheetml/2006/main">
  <authors>
    <author>Autor</author>
    <author>Miroslav Kostal</author>
  </authors>
  <commentList>
    <comment ref="E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- nicht relevant
"</t>
        </r>
        <r>
          <rPr>
            <b/>
            <sz val="12"/>
            <color indexed="81"/>
            <rFont val="Tahoma"/>
            <family val="2"/>
          </rPr>
          <t>o</t>
        </r>
        <r>
          <rPr>
            <sz val="12"/>
            <color indexed="81"/>
            <rFont val="Tahoma"/>
            <family val="2"/>
          </rPr>
          <t>" - offen
"</t>
        </r>
        <r>
          <rPr>
            <b/>
            <sz val="12"/>
            <color indexed="81"/>
            <rFont val="Tahoma"/>
            <family val="2"/>
          </rPr>
          <t>z</t>
        </r>
        <r>
          <rPr>
            <sz val="12"/>
            <color indexed="81"/>
            <rFont val="Tahoma"/>
            <family val="2"/>
          </rPr>
          <t>" - geschlossen</t>
        </r>
      </text>
    </comment>
    <comment ref="F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G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opt.</t>
        </r>
        <r>
          <rPr>
            <sz val="12"/>
            <color indexed="81"/>
            <rFont val="Tahoma"/>
            <family val="2"/>
          </rPr>
          <t>"  -   optional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  
"</t>
        </r>
        <r>
          <rPr>
            <b/>
            <sz val="12"/>
            <color indexed="81"/>
            <rFont val="Tahoma"/>
            <family val="2"/>
          </rPr>
          <t>PT+L</t>
        </r>
        <r>
          <rPr>
            <sz val="12"/>
            <color indexed="81"/>
            <rFont val="Tahoma"/>
            <family val="2"/>
          </rPr>
          <t>"   - Prüftisch + Lecktest</t>
        </r>
      </text>
    </comment>
    <comment ref="I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b/>
            <sz val="12"/>
            <color indexed="81"/>
            <rFont val="Tahoma"/>
            <family val="2"/>
          </rPr>
          <t xml:space="preserve">
"-"       -  </t>
        </r>
        <r>
          <rPr>
            <sz val="12"/>
            <color indexed="81"/>
            <rFont val="Tahoma"/>
            <family val="2"/>
          </rPr>
          <t>nicht relevant</t>
        </r>
        <r>
          <rPr>
            <b/>
            <sz val="12"/>
            <color indexed="81"/>
            <rFont val="Tahoma"/>
            <family val="2"/>
          </rPr>
          <t xml:space="preserve">
"x"      -  </t>
        </r>
        <r>
          <rPr>
            <sz val="12"/>
            <color indexed="81"/>
            <rFont val="Tahoma"/>
            <family val="2"/>
          </rPr>
          <t>relevant
nach dem Prüftisch (z.B. RACK)</t>
        </r>
      </text>
    </comment>
    <comment ref="O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erforderlich
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A-Baugruppe
B-Baugruppe
M-Baugruppe
</t>
        </r>
      </text>
    </comment>
    <comment ref="A45" authorId="1" shapeId="0">
      <text>
        <r>
          <rPr>
            <b/>
            <sz val="9"/>
            <color indexed="81"/>
            <rFont val="Segoe UI"/>
            <family val="2"/>
            <charset val="238"/>
          </rPr>
          <t>Miroslav Kostal:</t>
        </r>
        <r>
          <rPr>
            <sz val="9"/>
            <color indexed="81"/>
            <rFont val="Segoe UI"/>
            <family val="2"/>
            <charset val="238"/>
          </rPr>
          <t xml:space="preserve">
Requirement from Nazariy Semchyshyn 17. 06. 2020 09:56</t>
        </r>
      </text>
    </comment>
    <comment ref="A167" authorId="1" shapeId="0">
      <text>
        <r>
          <rPr>
            <b/>
            <sz val="9"/>
            <color indexed="81"/>
            <rFont val="Segoe UI"/>
            <family val="2"/>
            <charset val="238"/>
          </rPr>
          <t>Miroslav Kostal:</t>
        </r>
        <r>
          <rPr>
            <sz val="9"/>
            <color indexed="81"/>
            <rFont val="Segoe UI"/>
            <family val="2"/>
            <charset val="238"/>
          </rPr>
          <t xml:space="preserve">
Requirement from Nazariy Semchyshyn 17. 06. 2020 09:56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Folgende Eingabemöglichkeiten stehen zur Verfügung:
"-"     -  keine Schweißung
"s"     - statisch
"d"    - dynamisch
</t>
        </r>
      </text>
    </comment>
    <comment ref="N1" authorId="0" shapeId="0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Folgende Auswahlmöglichkeiten stehen zur Verfügung:
</t>
        </r>
        <r>
          <rPr>
            <b/>
            <sz val="10"/>
            <color indexed="81"/>
            <rFont val="Tahoma"/>
            <family val="2"/>
          </rPr>
          <t xml:space="preserve">"-"  - </t>
        </r>
        <r>
          <rPr>
            <sz val="10"/>
            <color indexed="81"/>
            <rFont val="Tahoma"/>
            <family val="2"/>
          </rPr>
          <t xml:space="preserve">keine Isolierung
</t>
        </r>
        <r>
          <rPr>
            <b/>
            <sz val="10"/>
            <color indexed="81"/>
            <rFont val="Tahoma"/>
            <family val="2"/>
          </rPr>
          <t>"Band"</t>
        </r>
        <r>
          <rPr>
            <sz val="10"/>
            <color indexed="81"/>
            <rFont val="Tahoma"/>
            <family val="2"/>
          </rPr>
          <t xml:space="preserve">  - Isolierung mit Band
</t>
        </r>
        <r>
          <rPr>
            <b/>
            <sz val="10"/>
            <color indexed="81"/>
            <rFont val="Tahoma"/>
            <family val="2"/>
          </rPr>
          <t xml:space="preserve">"Schrumpfen" - </t>
        </r>
        <r>
          <rPr>
            <sz val="10"/>
            <color indexed="81"/>
            <rFont val="Tahoma"/>
            <family val="2"/>
          </rPr>
          <t xml:space="preserve">Isolierung mit Schrumpfschlauch
</t>
        </r>
        <r>
          <rPr>
            <b/>
            <sz val="10"/>
            <color indexed="81"/>
            <rFont val="Tahoma"/>
            <family val="2"/>
          </rPr>
          <t xml:space="preserve">"Kappe" </t>
        </r>
        <r>
          <rPr>
            <sz val="10"/>
            <color indexed="81"/>
            <rFont val="Tahoma"/>
            <family val="2"/>
          </rPr>
          <t>- Isolierung mit Kappe</t>
        </r>
      </text>
    </comment>
    <comment ref="Q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 xml:space="preserve">"    -    Prüftisch  </t>
        </r>
      </text>
    </comment>
    <comment ref="R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"</t>
        </r>
        <r>
          <rPr>
            <b/>
            <sz val="12"/>
            <color indexed="81"/>
            <rFont val="Tahoma"/>
            <family val="2"/>
          </rPr>
          <t>bl</t>
        </r>
        <r>
          <rPr>
            <sz val="12"/>
            <color indexed="81"/>
            <rFont val="Tahoma"/>
            <family val="2"/>
          </rPr>
          <t>"  -  blau
"</t>
        </r>
        <r>
          <rPr>
            <b/>
            <sz val="12"/>
            <color indexed="81"/>
            <rFont val="Tahoma"/>
            <family val="2"/>
          </rPr>
          <t>br</t>
        </r>
        <r>
          <rPr>
            <sz val="12"/>
            <color indexed="81"/>
            <rFont val="Tahoma"/>
            <family val="2"/>
          </rPr>
          <t>" -  braun
"</t>
        </r>
        <r>
          <rPr>
            <b/>
            <sz val="12"/>
            <color indexed="81"/>
            <rFont val="Tahoma"/>
            <family val="2"/>
          </rPr>
          <t>ge</t>
        </r>
        <r>
          <rPr>
            <sz val="12"/>
            <color indexed="81"/>
            <rFont val="Tahoma"/>
            <family val="2"/>
          </rPr>
          <t>" -  gelb
"</t>
        </r>
        <r>
          <rPr>
            <b/>
            <sz val="12"/>
            <color indexed="81"/>
            <rFont val="Tahoma"/>
            <family val="2"/>
          </rPr>
          <t>gn</t>
        </r>
        <r>
          <rPr>
            <sz val="12"/>
            <color indexed="81"/>
            <rFont val="Tahoma"/>
            <family val="2"/>
          </rPr>
          <t>" -  grün
"</t>
        </r>
        <r>
          <rPr>
            <b/>
            <sz val="12"/>
            <color indexed="81"/>
            <rFont val="Tahoma"/>
            <family val="2"/>
          </rPr>
          <t>gr</t>
        </r>
        <r>
          <rPr>
            <sz val="12"/>
            <color indexed="81"/>
            <rFont val="Tahoma"/>
            <family val="2"/>
          </rPr>
          <t>" -  grau
"</t>
        </r>
        <r>
          <rPr>
            <b/>
            <sz val="12"/>
            <color indexed="81"/>
            <rFont val="Tahoma"/>
            <family val="2"/>
          </rPr>
          <t>rt</t>
        </r>
        <r>
          <rPr>
            <sz val="12"/>
            <color indexed="81"/>
            <rFont val="Tahoma"/>
            <family val="2"/>
          </rPr>
          <t>"  -  rot
"</t>
        </r>
        <r>
          <rPr>
            <b/>
            <sz val="12"/>
            <color indexed="81"/>
            <rFont val="Tahoma"/>
            <family val="2"/>
          </rPr>
          <t>sw</t>
        </r>
        <r>
          <rPr>
            <sz val="12"/>
            <color indexed="81"/>
            <rFont val="Tahoma"/>
            <family val="2"/>
          </rPr>
          <t>" - schwarz
"</t>
        </r>
        <r>
          <rPr>
            <b/>
            <sz val="12"/>
            <color indexed="81"/>
            <rFont val="Tahoma"/>
            <family val="2"/>
          </rPr>
          <t>vi</t>
        </r>
        <r>
          <rPr>
            <sz val="12"/>
            <color indexed="81"/>
            <rFont val="Tahoma"/>
            <family val="2"/>
          </rPr>
          <t>"  -  violett
"</t>
        </r>
        <r>
          <rPr>
            <b/>
            <sz val="12"/>
            <color indexed="81"/>
            <rFont val="Tahoma"/>
            <family val="2"/>
          </rPr>
          <t>ws</t>
        </r>
        <r>
          <rPr>
            <sz val="12"/>
            <color indexed="81"/>
            <rFont val="Tahoma"/>
            <family val="2"/>
          </rPr>
          <t xml:space="preserve">" - weiss
</t>
        </r>
      </text>
    </comment>
    <comment ref="U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relevant
</t>
        </r>
      </text>
    </comment>
  </commentList>
</comments>
</file>

<file path=xl/sharedStrings.xml><?xml version="1.0" encoding="utf-8"?>
<sst xmlns="http://schemas.openxmlformats.org/spreadsheetml/2006/main" count="22394" uniqueCount="2680">
  <si>
    <t>V1</t>
  </si>
  <si>
    <t>~</t>
  </si>
  <si>
    <t>V2</t>
  </si>
  <si>
    <t>V3</t>
  </si>
  <si>
    <t>V4</t>
  </si>
  <si>
    <t>V5</t>
  </si>
  <si>
    <t>V6</t>
  </si>
  <si>
    <t>Kurzname</t>
  </si>
  <si>
    <t>xy</t>
  </si>
  <si>
    <t>Farbe</t>
  </si>
  <si>
    <t>-</t>
  </si>
  <si>
    <t>Al: 0 (g)</t>
  </si>
  <si>
    <t>Ltg-Nr.</t>
  </si>
  <si>
    <t>Verbindung</t>
  </si>
  <si>
    <t>von</t>
  </si>
  <si>
    <t>Pin</t>
  </si>
  <si>
    <t>Kontakt</t>
  </si>
  <si>
    <t>Dichtung</t>
  </si>
  <si>
    <t>nach</t>
  </si>
  <si>
    <t>Leitung</t>
  </si>
  <si>
    <t>Sonderltg.</t>
  </si>
  <si>
    <t>Innenleiter</t>
  </si>
  <si>
    <t>LĂ¤nge</t>
  </si>
  <si>
    <t>Quer.</t>
  </si>
  <si>
    <t>Pot.</t>
  </si>
  <si>
    <t>BR</t>
  </si>
  <si>
    <t>N_037_008_8</t>
  </si>
  <si>
    <t>AEM</t>
  </si>
  <si>
    <t>Modulfamilie Zeichnung</t>
  </si>
  <si>
    <t>statisch / dynamisch</t>
  </si>
  <si>
    <t>Bemerkung IV</t>
  </si>
  <si>
    <t>Bemerkung I</t>
  </si>
  <si>
    <t>Bemerkung II</t>
  </si>
  <si>
    <t>Bemerkung III</t>
  </si>
  <si>
    <t>Splice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</si>
  <si>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</si>
  <si>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</si>
  <si>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</si>
  <si>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</si>
  <si>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</si>
  <si>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</si>
  <si>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</si>
  <si>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</si>
  <si>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</si>
  <si>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</si>
  <si>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</si>
  <si>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</si>
  <si>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</si>
  <si>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</si>
  <si>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</si>
  <si>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</si>
  <si>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</si>
  <si>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</si>
  <si>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</si>
  <si>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</si>
  <si>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</si>
  <si>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</si>
  <si>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</si>
  <si>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</si>
  <si>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</si>
  <si>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</si>
  <si>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BR/BL</t>
  </si>
  <si>
    <t>N_037_003_5</t>
  </si>
  <si>
    <t>RT/BL</t>
  </si>
  <si>
    <t>RT/VI</t>
  </si>
  <si>
    <t>BR/GE</t>
  </si>
  <si>
    <t>GN</t>
  </si>
  <si>
    <t>2-ws/bl</t>
  </si>
  <si>
    <t>WS/BL</t>
  </si>
  <si>
    <t>LTGS.INNENLEUCHTE</t>
  </si>
  <si>
    <t>LTGS.LAUTSPRECHER</t>
  </si>
  <si>
    <t>N_037_098_8</t>
  </si>
  <si>
    <t>N_105_974_01</t>
  </si>
  <si>
    <t>N_037_093_6</t>
  </si>
  <si>
    <t>RT/GN</t>
  </si>
  <si>
    <t>N_105_115_01</t>
  </si>
  <si>
    <t>RT/GR</t>
  </si>
  <si>
    <t>N_907_649_01</t>
  </si>
  <si>
    <t>BR/WS</t>
  </si>
  <si>
    <t>VI</t>
  </si>
  <si>
    <t>VI/GE</t>
  </si>
  <si>
    <t>N_105_975_01</t>
  </si>
  <si>
    <t>N_037_005_6</t>
  </si>
  <si>
    <t>BL/GN</t>
  </si>
  <si>
    <t>GE</t>
  </si>
  <si>
    <t>2-br</t>
  </si>
  <si>
    <t>VI/SW</t>
  </si>
  <si>
    <t>N_907_647_01</t>
  </si>
  <si>
    <t>2-or/br</t>
  </si>
  <si>
    <t>OR/BR</t>
  </si>
  <si>
    <t>1-gn</t>
  </si>
  <si>
    <t>RT</t>
  </si>
  <si>
    <t>N_037_048_8</t>
  </si>
  <si>
    <t>RT/GE</t>
  </si>
  <si>
    <t>N_105_113_01</t>
  </si>
  <si>
    <t>1-or</t>
  </si>
  <si>
    <t>OR</t>
  </si>
  <si>
    <t>N_037_003_4</t>
  </si>
  <si>
    <t>N_907_327_01</t>
  </si>
  <si>
    <t>1-rt/bl</t>
  </si>
  <si>
    <t>S.TTVL+.9Y0_076.</t>
  </si>
  <si>
    <t>S.TTVL-.9Y0_076.</t>
  </si>
  <si>
    <t>N_018_889_78</t>
  </si>
  <si>
    <t>2-rt/gn</t>
  </si>
  <si>
    <t>1-ws/gn</t>
  </si>
  <si>
    <t>WS/GN</t>
  </si>
  <si>
    <t>S.MTVL+.9Y0_076.</t>
  </si>
  <si>
    <t>S.MTVL-.9Y0_076.</t>
  </si>
  <si>
    <t>VI/WS</t>
  </si>
  <si>
    <t>1-bl</t>
  </si>
  <si>
    <t>BL</t>
  </si>
  <si>
    <t>N_037_013_0</t>
  </si>
  <si>
    <t>RT/WS</t>
  </si>
  <si>
    <t>N_037_004_4</t>
  </si>
  <si>
    <t>1-rt/gn</t>
  </si>
  <si>
    <t>S.MTVR+.9Y0_076.</t>
  </si>
  <si>
    <t>2-br/gn</t>
  </si>
  <si>
    <t>BR/GN</t>
  </si>
  <si>
    <t>S.MTVR-.9Y0_076.</t>
  </si>
  <si>
    <t>S.TTVR+.9Y0_076.</t>
  </si>
  <si>
    <t>S.TTVR-.9Y0_076.</t>
  </si>
  <si>
    <t>Y0005</t>
  </si>
  <si>
    <t>VI/BL</t>
  </si>
  <si>
    <t>BL/GE</t>
  </si>
  <si>
    <t>N_037_005_3</t>
  </si>
  <si>
    <t>BL/RT</t>
  </si>
  <si>
    <t>N_037_000_1</t>
  </si>
  <si>
    <t>WS/GE</t>
  </si>
  <si>
    <t>N_037_009_3</t>
  </si>
  <si>
    <t>SW/RT</t>
  </si>
  <si>
    <t>GE/GR</t>
  </si>
  <si>
    <t>N_037_003_0</t>
  </si>
  <si>
    <t>WS/RT</t>
  </si>
  <si>
    <t>GN/GE</t>
  </si>
  <si>
    <t>GE/BL</t>
  </si>
  <si>
    <t>N_037_008_5</t>
  </si>
  <si>
    <t>GR</t>
  </si>
  <si>
    <t>GR/RT</t>
  </si>
  <si>
    <t>N_037_094_5</t>
  </si>
  <si>
    <t>SW</t>
  </si>
  <si>
    <t>N_037_009_0</t>
  </si>
  <si>
    <t>SW/WS</t>
  </si>
  <si>
    <t>N_909_934_01</t>
  </si>
  <si>
    <t>1-Signal</t>
  </si>
  <si>
    <t>BLK</t>
  </si>
  <si>
    <t>2-Schirm</t>
  </si>
  <si>
    <t>SL39</t>
  </si>
  <si>
    <t>N_911_629_01</t>
  </si>
  <si>
    <t>SL45</t>
  </si>
  <si>
    <t>2-gn</t>
  </si>
  <si>
    <t>1-rs</t>
  </si>
  <si>
    <t>RS</t>
  </si>
  <si>
    <t>1-br</t>
  </si>
  <si>
    <t>2-ws/rt</t>
  </si>
  <si>
    <t>N_037_094_0</t>
  </si>
  <si>
    <t>N_105_784_01</t>
  </si>
  <si>
    <t>A.ANTENNE.064D.</t>
  </si>
  <si>
    <t>SCHIRM</t>
  </si>
  <si>
    <t>S.SCHIRM.064D.</t>
  </si>
  <si>
    <t>1-gr</t>
  </si>
  <si>
    <t>N_037_028_8</t>
  </si>
  <si>
    <t>N_037_007_9</t>
  </si>
  <si>
    <t>GR/SW</t>
  </si>
  <si>
    <t>N_037_038_8</t>
  </si>
  <si>
    <t>N_037_003_8</t>
  </si>
  <si>
    <t>RT/BR</t>
  </si>
  <si>
    <t>RT/SW</t>
  </si>
  <si>
    <t>SW/BL</t>
  </si>
  <si>
    <t>SW/GN</t>
  </si>
  <si>
    <t>2-rt/ws</t>
  </si>
  <si>
    <t>N_037_096_0</t>
  </si>
  <si>
    <t>GN/WS</t>
  </si>
  <si>
    <t>GN/SW</t>
  </si>
  <si>
    <t>1-ws</t>
  </si>
  <si>
    <t>WS</t>
  </si>
  <si>
    <t>N_037_006_9</t>
  </si>
  <si>
    <t>SW/GE</t>
  </si>
  <si>
    <t>BL/WS</t>
  </si>
  <si>
    <t>N_037_009_1</t>
  </si>
  <si>
    <t>N_037_094_9</t>
  </si>
  <si>
    <t>VI/GR</t>
  </si>
  <si>
    <t>1-vi</t>
  </si>
  <si>
    <t>2-gr</t>
  </si>
  <si>
    <t>1-sw</t>
  </si>
  <si>
    <t>GE/RT</t>
  </si>
  <si>
    <t>BL/SW</t>
  </si>
  <si>
    <t>N_037_097_3</t>
  </si>
  <si>
    <t>N_037_093_1</t>
  </si>
  <si>
    <t>N_037_058_8</t>
  </si>
  <si>
    <t>VI/GN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</si>
  <si>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</si>
  <si>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</si>
  <si>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</si>
  <si>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</si>
  <si>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</si>
  <si>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</si>
  <si>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</si>
  <si>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</si>
  <si>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</si>
  <si>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</si>
  <si>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</si>
  <si>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</si>
  <si>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</si>
  <si>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</si>
  <si>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</si>
  <si>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</si>
  <si>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</si>
  <si>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</si>
  <si>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</si>
  <si>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</si>
  <si>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</si>
  <si>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</si>
  <si>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</si>
  <si>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</si>
  <si>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</si>
  <si>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</si>
  <si>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</si>
  <si>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</si>
  <si>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N_107_834_01</t>
  </si>
  <si>
    <t>N_039_034_0</t>
  </si>
  <si>
    <t>N_037_093_0</t>
  </si>
  <si>
    <t>BL/GR</t>
  </si>
  <si>
    <t>N_037_033_3</t>
  </si>
  <si>
    <t>N_037_093_7</t>
  </si>
  <si>
    <t>N_037_018_8</t>
  </si>
  <si>
    <t>N_912_051_01</t>
  </si>
  <si>
    <t>SL93</t>
  </si>
  <si>
    <t>3-or</t>
  </si>
  <si>
    <t>4-bl</t>
  </si>
  <si>
    <t>5S</t>
  </si>
  <si>
    <t>N_107_277_01</t>
  </si>
  <si>
    <t>5-sw</t>
  </si>
  <si>
    <t>2-ge</t>
  </si>
  <si>
    <t>N_018_888_64</t>
  </si>
  <si>
    <t>1-sw/bl</t>
  </si>
  <si>
    <t>S.MTHL+.9Y0_076.</t>
  </si>
  <si>
    <t>S.MTHL-.9Y0_076.</t>
  </si>
  <si>
    <t>N_105_114_01</t>
  </si>
  <si>
    <t>N_907_650_01</t>
  </si>
  <si>
    <t xml:space="preserve">L0L </t>
  </si>
  <si>
    <t>1A</t>
  </si>
  <si>
    <t>N_105_982_01</t>
  </si>
  <si>
    <t>N_907_326_01</t>
  </si>
  <si>
    <t>5A</t>
  </si>
  <si>
    <t>N_907_325_01</t>
  </si>
  <si>
    <t>N_105_981_01</t>
  </si>
  <si>
    <t>4A</t>
  </si>
  <si>
    <t>N_105_118_01</t>
  </si>
  <si>
    <t>2-br/bl</t>
  </si>
  <si>
    <t>Y0049</t>
  </si>
  <si>
    <t>Y0050</t>
  </si>
  <si>
    <t>N_037_003_7</t>
  </si>
  <si>
    <t>Y0018</t>
  </si>
  <si>
    <t>2A</t>
  </si>
  <si>
    <t>N_103_190_01</t>
  </si>
  <si>
    <t>N_107_824_01</t>
  </si>
  <si>
    <t>2-ws</t>
  </si>
  <si>
    <t>N_037_005_9</t>
  </si>
  <si>
    <t>6A</t>
  </si>
  <si>
    <t>N_037_023_7</t>
  </si>
  <si>
    <t>3A</t>
  </si>
  <si>
    <t>D.LIN_GW2..</t>
  </si>
  <si>
    <t>S.GRA..</t>
  </si>
  <si>
    <t>SL115</t>
  </si>
  <si>
    <t>1-rt</t>
  </si>
  <si>
    <t>10A</t>
  </si>
  <si>
    <t>7A</t>
  </si>
  <si>
    <t>N_108_293_01</t>
  </si>
  <si>
    <t>N_108_156_03</t>
  </si>
  <si>
    <t>BLOC_SEAL_050_NANO</t>
  </si>
  <si>
    <t>8A</t>
  </si>
  <si>
    <t>9A</t>
  </si>
  <si>
    <t>Y0025</t>
  </si>
  <si>
    <t>N_037_043_9</t>
  </si>
  <si>
    <t>D.LIN1_BCM1.9Y0_055..2</t>
  </si>
  <si>
    <t>6R0_937_524</t>
  </si>
  <si>
    <t>N_105_119_01</t>
  </si>
  <si>
    <t>N_105_120_01</t>
  </si>
  <si>
    <t>N_018_463_3</t>
  </si>
  <si>
    <t>12A</t>
  </si>
  <si>
    <t>LTGS.AIRBAG</t>
  </si>
  <si>
    <t>N_901_916_94</t>
  </si>
  <si>
    <t>LTGS.KLIMAANLAGE</t>
  </si>
  <si>
    <t>SL29001</t>
  </si>
  <si>
    <t>LTGS.SITZHEIZUNG</t>
  </si>
  <si>
    <t>LTGS.LENKSAULENV.</t>
  </si>
  <si>
    <t>X.LIN_BCM13.055B.</t>
  </si>
  <si>
    <t>SL76001</t>
  </si>
  <si>
    <t>SL76003</t>
  </si>
  <si>
    <t>SL76005</t>
  </si>
  <si>
    <t>N_018_889_81</t>
  </si>
  <si>
    <t>SL76007</t>
  </si>
  <si>
    <t>2-rt</t>
  </si>
  <si>
    <t>S.HTVL+.9Y0_076A.</t>
  </si>
  <si>
    <t>1-ws/rt</t>
  </si>
  <si>
    <t>S.HTVL-.9Y0_076A.</t>
  </si>
  <si>
    <t>SL76009</t>
  </si>
  <si>
    <t>SL76013</t>
  </si>
  <si>
    <t>S.HTVR+.9Y0_076A.</t>
  </si>
  <si>
    <t>S.HTVR-.9Y0_076A.</t>
  </si>
  <si>
    <t>N_018_888_65</t>
  </si>
  <si>
    <t>SL76017</t>
  </si>
  <si>
    <t>S.MTHR+.9Y0_076.</t>
  </si>
  <si>
    <t>S.MTHR-.9Y0_076.</t>
  </si>
  <si>
    <t>N_018_889_37</t>
  </si>
  <si>
    <t>SL76019</t>
  </si>
  <si>
    <t>2-bl/sw</t>
  </si>
  <si>
    <t>SL76021</t>
  </si>
  <si>
    <t>1-bl/rt</t>
  </si>
  <si>
    <t>S.CHT+.9Y0_076B.</t>
  </si>
  <si>
    <t>S.CHT-.9Y0_076B.</t>
  </si>
  <si>
    <t>N_018_890_20</t>
  </si>
  <si>
    <t>SL76027</t>
  </si>
  <si>
    <t>S.BBVR+.9Y0_076B.</t>
  </si>
  <si>
    <t>1-br/ws</t>
  </si>
  <si>
    <t>S.BBVR-.9Y0_076B.</t>
  </si>
  <si>
    <t>SL76035</t>
  </si>
  <si>
    <t>SL76039</t>
  </si>
  <si>
    <t>SL76041</t>
  </si>
  <si>
    <t>1-br/gn</t>
  </si>
  <si>
    <t>N_105_896_02</t>
  </si>
  <si>
    <t>N_901_916_82</t>
  </si>
  <si>
    <t>S.PDC_LSH+..9Y0</t>
  </si>
  <si>
    <t>N_037_096_1</t>
  </si>
  <si>
    <t>S.PDC_LSH-..9Y0</t>
  </si>
  <si>
    <t>Y0020</t>
  </si>
  <si>
    <t>LTGS.ANTENNE</t>
  </si>
  <si>
    <t>X.ANT-ZV_S.056.</t>
  </si>
  <si>
    <t>LTGS.NOTRUF</t>
  </si>
  <si>
    <t>N_039_034_6</t>
  </si>
  <si>
    <t>LTGS.DIAGNOSE</t>
  </si>
  <si>
    <t>SL230001</t>
  </si>
  <si>
    <t>LTGS.LWL</t>
  </si>
  <si>
    <t>N_105_401_02</t>
  </si>
  <si>
    <t>N_105_400_01</t>
  </si>
  <si>
    <t>D.DATA.077.RBD</t>
  </si>
  <si>
    <t>LTGS.KAMERA</t>
  </si>
  <si>
    <t>X.INF_LVH1-..</t>
  </si>
  <si>
    <t>X.INF_LVH1+..</t>
  </si>
  <si>
    <t>LTGS.ASSISTENT</t>
  </si>
  <si>
    <t>M.USB_D-.077.ZFAS1</t>
  </si>
  <si>
    <t>M.USB_D-.077.ZFAS2</t>
  </si>
  <si>
    <t>V.USB_D+.077.ZFAS1</t>
  </si>
  <si>
    <t>V.USB_D+.077.ZFAS2</t>
  </si>
  <si>
    <t>S.USB_Shield.077.ZFAS</t>
  </si>
  <si>
    <t>1-43G</t>
  </si>
  <si>
    <t>1-32G</t>
  </si>
  <si>
    <t xml:space="preserve">L0L+9VK </t>
  </si>
  <si>
    <t xml:space="preserve">L0L+9VL </t>
  </si>
  <si>
    <t xml:space="preserve">L0L+9VJ </t>
  </si>
  <si>
    <t>1-26D</t>
  </si>
  <si>
    <t xml:space="preserve">L0L+9R1 </t>
  </si>
  <si>
    <t xml:space="preserve">L0L+QQ0 </t>
  </si>
  <si>
    <t xml:space="preserve">L0L+QQ1 </t>
  </si>
  <si>
    <t>Bezeichnung</t>
  </si>
  <si>
    <t>VOBES-ID</t>
  </si>
  <si>
    <t>Verwendung</t>
  </si>
  <si>
    <t>Teilenummer</t>
  </si>
  <si>
    <t>TAB-Nummer</t>
  </si>
  <si>
    <t>Referenzteil</t>
  </si>
  <si>
    <t>Einh.</t>
  </si>
  <si>
    <t>schwarz</t>
  </si>
  <si>
    <t>Stk.</t>
  </si>
  <si>
    <t>Blindstopfen</t>
  </si>
  <si>
    <t>gelb_sw</t>
  </si>
  <si>
    <t>blau</t>
  </si>
  <si>
    <t>weiss</t>
  </si>
  <si>
    <t>SOCKEL_KABELBINDER</t>
  </si>
  <si>
    <t>KABELBINDER</t>
  </si>
  <si>
    <t>3D0_971_838_K</t>
  </si>
  <si>
    <t>FLACHKONTAKTGEH_POL_2_KOD_II_BRAUN</t>
  </si>
  <si>
    <t>971_971_942</t>
  </si>
  <si>
    <t>braun</t>
  </si>
  <si>
    <t>NotDefined</t>
  </si>
  <si>
    <t>BUCHSENGEH_SCHWARZ_2_POL_KOD_A</t>
  </si>
  <si>
    <t>8W0_971_832</t>
  </si>
  <si>
    <t>TAB_010_046_DP</t>
  </si>
  <si>
    <t>TAB_010_046_AN</t>
  </si>
  <si>
    <t>bordeauxviolett</t>
  </si>
  <si>
    <t>cremeweiss</t>
  </si>
  <si>
    <t>signalblau</t>
  </si>
  <si>
    <t>laubgruen</t>
  </si>
  <si>
    <t>beige</t>
  </si>
  <si>
    <t>TAB_016_396_A</t>
  </si>
  <si>
    <t>BUCHSENGEHAEUSE_17POL_BR_KOD2</t>
  </si>
  <si>
    <t>TAB_010_046_CH</t>
  </si>
  <si>
    <t>Steckerhalter</t>
  </si>
  <si>
    <t>BUCHSENGEHAEUSE_17POL_KOD1</t>
  </si>
  <si>
    <t>HF_KONTAKTGEHAEUSE_BORDEAUXVIOLETT_2-POL_KOD_D</t>
  </si>
  <si>
    <t>6Q0_035_576_C</t>
  </si>
  <si>
    <t>grau</t>
  </si>
  <si>
    <t>TAB_016_396_F</t>
  </si>
  <si>
    <t>gruen</t>
  </si>
  <si>
    <t>nd</t>
  </si>
  <si>
    <t>FLACHKONTAKTGEHAEUSE_2POL</t>
  </si>
  <si>
    <t>TAB_026_004_AE</t>
  </si>
  <si>
    <t>BUCHSENGEHAEUSE_17POL_RT_KOD3</t>
  </si>
  <si>
    <t>rot</t>
  </si>
  <si>
    <t>BUCHSENKONTAKTGEHAEUSE_3-POL</t>
  </si>
  <si>
    <t>1C0_973_119_B</t>
  </si>
  <si>
    <t>HF_STECKER_5POL_KOD_C_BLAU</t>
  </si>
  <si>
    <t>4E0_035_750_B</t>
  </si>
  <si>
    <t>nussbraun</t>
  </si>
  <si>
    <t>HF_STECKER_5POL_KOD_A_SCHWARZ</t>
  </si>
  <si>
    <t>BUCHSENGEHAEUSE_2POL_KKMQS_BLAU_TYCO_3-1718333-1</t>
  </si>
  <si>
    <t>971_973_115</t>
  </si>
  <si>
    <t>TAB_052_482</t>
  </si>
  <si>
    <t>LEITUNGSSTRANG</t>
  </si>
  <si>
    <t>1-42F</t>
  </si>
  <si>
    <t>1-19F</t>
  </si>
  <si>
    <t>1-39F</t>
  </si>
  <si>
    <t>1-29F</t>
  </si>
  <si>
    <t>1-26E</t>
  </si>
  <si>
    <t>1-43H</t>
  </si>
  <si>
    <t>1-20D</t>
  </si>
  <si>
    <t>KABELCLIP</t>
  </si>
  <si>
    <t>Koppelstelle an der Schalttafel links</t>
  </si>
  <si>
    <t>STIFTGEHAEUSE_17POL_BR_KOD2</t>
  </si>
  <si>
    <t>4F0_972_575_A</t>
  </si>
  <si>
    <t>TAB_010_046_CE</t>
  </si>
  <si>
    <t>STIFTGEHAEUSE_17POL_RT_KOD3</t>
  </si>
  <si>
    <t>4F0_972_575_B</t>
  </si>
  <si>
    <t>STIFTGEHAEUSE_17POL_KOD1</t>
  </si>
  <si>
    <t>4F0_972_575</t>
  </si>
  <si>
    <t>Koppelstelle an der Schalttafel rechts</t>
  </si>
  <si>
    <t>gelb</t>
  </si>
  <si>
    <t>BU_GEH_32POL_MQS_GRAU_KOD_A_C_E_ABGANG_AXIAL</t>
  </si>
  <si>
    <t>1J0_972_977_J</t>
  </si>
  <si>
    <t>SICHERUNGSTRAEGER_12POL_SCHWARZ</t>
  </si>
  <si>
    <t>8K0_941_824</t>
  </si>
  <si>
    <t>8K0_971_981_A</t>
  </si>
  <si>
    <t>Sicherung Type_C 5A</t>
  </si>
  <si>
    <t>N_017_131_16</t>
  </si>
  <si>
    <t>hellbraun</t>
  </si>
  <si>
    <t>Sicherung Type_C 15A</t>
  </si>
  <si>
    <t>N_017_131_12</t>
  </si>
  <si>
    <t>hellblau</t>
  </si>
  <si>
    <t>Sicherung Type_C 20A</t>
  </si>
  <si>
    <t>N_017_131_13</t>
  </si>
  <si>
    <t>Sicherung Type_C 7.5A</t>
  </si>
  <si>
    <t>N_017_131_18</t>
  </si>
  <si>
    <t>Sicherung Type_C 25A</t>
  </si>
  <si>
    <t>N_017_131_14</t>
  </si>
  <si>
    <t>N_911_443_01</t>
  </si>
  <si>
    <t>CL_051</t>
  </si>
  <si>
    <t>CL_053</t>
  </si>
  <si>
    <t>CL_054</t>
  </si>
  <si>
    <t>Kastenkontaktgehaeuse</t>
  </si>
  <si>
    <t>Sicherung Type_C 10A</t>
  </si>
  <si>
    <t>N_017_131_11</t>
  </si>
  <si>
    <t>4E0_035_750</t>
  </si>
  <si>
    <t>TAB_016_396_B</t>
  </si>
  <si>
    <t>erikaviolett</t>
  </si>
  <si>
    <t>4E0_973_702</t>
  </si>
  <si>
    <t>UNI_BLIND_SEAL_050_NANO</t>
  </si>
  <si>
    <t>TAB_010_329_EE</t>
  </si>
  <si>
    <t>gelb_br</t>
  </si>
  <si>
    <t>gelb_gn</t>
  </si>
  <si>
    <t>TAB_010_329_DC</t>
  </si>
  <si>
    <t>hellgruen</t>
  </si>
  <si>
    <t>Sicherung Type_C 30A</t>
  </si>
  <si>
    <t>N_017_131_15</t>
  </si>
  <si>
    <t>SICHERUNGSTRAEGER_12POL_BRAUN</t>
  </si>
  <si>
    <t>8K0_941_824_A</t>
  </si>
  <si>
    <t>1-26H</t>
  </si>
  <si>
    <t>WINKELKONTAKTGEHAEUSE Cod D</t>
  </si>
  <si>
    <t>6Q0_035_674_C</t>
  </si>
  <si>
    <t>HALTER</t>
  </si>
  <si>
    <t>FLACHKONTAKTGEH_4POL_KOD_A_SCHWARZ</t>
  </si>
  <si>
    <t>8K0_973_754</t>
  </si>
  <si>
    <t>TAB_010_046_CQ</t>
  </si>
  <si>
    <t>ZSB</t>
  </si>
  <si>
    <t>4M1_972_562</t>
  </si>
  <si>
    <t>BUCHSENGEH_POL_2_KOD_I_GELB_SCHWARZ</t>
  </si>
  <si>
    <t>BUCHSENGEH_POL_2_KOD_II_GELB_LICHTGRUEN</t>
  </si>
  <si>
    <t>4M1_972_562_A</t>
  </si>
  <si>
    <t>X.BAG_AEZ..</t>
  </si>
  <si>
    <t>1-46D</t>
  </si>
  <si>
    <t>1-22H</t>
  </si>
  <si>
    <t>N_039_034_7</t>
  </si>
  <si>
    <t>N_039_033_9</t>
  </si>
  <si>
    <t>N_039_037_3</t>
  </si>
  <si>
    <t>1-18D</t>
  </si>
  <si>
    <t>N_039_033_4</t>
  </si>
  <si>
    <t>N_039_034_1</t>
  </si>
  <si>
    <t>1-27D</t>
  </si>
  <si>
    <t>N_039_034_4</t>
  </si>
  <si>
    <t>N_039_033_0</t>
  </si>
  <si>
    <t>1-21B</t>
  </si>
  <si>
    <t>1-48D</t>
  </si>
  <si>
    <t>N_108_409_01</t>
  </si>
  <si>
    <t>4S</t>
  </si>
  <si>
    <t>N_107_823_01</t>
  </si>
  <si>
    <t>1S</t>
  </si>
  <si>
    <t>3S</t>
  </si>
  <si>
    <t>N_108_151_01</t>
  </si>
  <si>
    <t>N_039_033_6</t>
  </si>
  <si>
    <t>1-30E</t>
  </si>
  <si>
    <t>N_039_035_7</t>
  </si>
  <si>
    <t>1-52B</t>
  </si>
  <si>
    <t>N_107_851_01</t>
  </si>
  <si>
    <t>N_039_038_0</t>
  </si>
  <si>
    <t>Koppelstelle an der Schalttafel Mitte</t>
  </si>
  <si>
    <t>currygelb</t>
  </si>
  <si>
    <t>KH_004</t>
  </si>
  <si>
    <t>FLACHKONTAKTGEHAEUSE_10POL</t>
  </si>
  <si>
    <t>6R0_972_930</t>
  </si>
  <si>
    <t>TAB_026_004_BQ</t>
  </si>
  <si>
    <t>AK_001</t>
  </si>
  <si>
    <t>KABELBINDERSOCKEL_4.6X200</t>
  </si>
  <si>
    <t>N_909_266_01</t>
  </si>
  <si>
    <t>1-48E</t>
  </si>
  <si>
    <t>KH_003</t>
  </si>
  <si>
    <t>CL_015</t>
  </si>
  <si>
    <t>1-52E</t>
  </si>
  <si>
    <t>1-36F</t>
  </si>
  <si>
    <t>1-26J</t>
  </si>
  <si>
    <t>1-50D</t>
  </si>
  <si>
    <t>1-40D</t>
  </si>
  <si>
    <t>1-36D</t>
  </si>
  <si>
    <t>1-39C</t>
  </si>
  <si>
    <t>1-41D</t>
  </si>
  <si>
    <t>CU: 8 (g)</t>
  </si>
  <si>
    <t xml:space="preserve"> </t>
  </si>
  <si>
    <t>N_907_647_03</t>
  </si>
  <si>
    <t>N_037_095_3</t>
  </si>
  <si>
    <t>BUCHSENGEHAEUSE_8-POL</t>
  </si>
  <si>
    <t>N_037_093_8</t>
  </si>
  <si>
    <t>3D0_971_838_L</t>
  </si>
  <si>
    <t>Y0006</t>
  </si>
  <si>
    <t>Y0013</t>
  </si>
  <si>
    <t>Y0022</t>
  </si>
  <si>
    <t>Y0023</t>
  </si>
  <si>
    <t>Y0021</t>
  </si>
  <si>
    <t>Y0031</t>
  </si>
  <si>
    <t>Y0032</t>
  </si>
  <si>
    <t>1-52C</t>
  </si>
  <si>
    <t>band</t>
  </si>
  <si>
    <t>P</t>
  </si>
  <si>
    <t>L</t>
  </si>
  <si>
    <t>1-22F</t>
  </si>
  <si>
    <t>Sockelkabelbinder</t>
  </si>
  <si>
    <t>Y0007</t>
  </si>
  <si>
    <t>1-24F</t>
  </si>
  <si>
    <t>CU: 25 (g)</t>
  </si>
  <si>
    <t>Steuergerät für Telefon, Telematik</t>
  </si>
  <si>
    <t>Steuergerät für Airbag</t>
  </si>
  <si>
    <t>Koppelstelle an der C-Säule rechts</t>
  </si>
  <si>
    <t>Anschluss für Diagnose</t>
  </si>
  <si>
    <t>1-38D</t>
  </si>
  <si>
    <t>x</t>
  </si>
  <si>
    <t>Teile verschoben nach</t>
  </si>
  <si>
    <t>Verbauort</t>
  </si>
  <si>
    <t>Gehäuse o/z (offen / zu)</t>
  </si>
  <si>
    <t>E-Prüfung KM/VT/PiM</t>
  </si>
  <si>
    <t>Test KSK</t>
  </si>
  <si>
    <t>Clip-Abfrage</t>
  </si>
  <si>
    <t>Endmontage</t>
  </si>
  <si>
    <t>Verbauposition Relaisträger</t>
  </si>
  <si>
    <t>Anzugskraft Kabelbinderpistole</t>
  </si>
  <si>
    <t>Interne Kaufteil-Nr.</t>
  </si>
  <si>
    <t>Hilsfwerkzeuge (z.B. Auswerfer usw)</t>
  </si>
  <si>
    <t xml:space="preserve">Nullschnitt </t>
  </si>
  <si>
    <t>Bemerkung V</t>
  </si>
  <si>
    <t>Bemerkung VI</t>
  </si>
  <si>
    <t>Bemerkung VII</t>
  </si>
  <si>
    <t>Bemerkung VIII</t>
  </si>
  <si>
    <t>Bemerkung IX</t>
  </si>
  <si>
    <t>Baugruppen Stückliste</t>
  </si>
  <si>
    <t>Leitungsnummer</t>
  </si>
  <si>
    <t>Ltg.verschoben nach</t>
  </si>
  <si>
    <t>Schweissort TFS</t>
  </si>
  <si>
    <t>Schweissreihenfolge TFS</t>
  </si>
  <si>
    <t>Isolieren - Schweissknoten</t>
  </si>
  <si>
    <t>Steckort I</t>
  </si>
  <si>
    <t>Steckort II</t>
  </si>
  <si>
    <t>Ringsignierung</t>
  </si>
  <si>
    <t>Nullschnitt</t>
  </si>
  <si>
    <t>interne Kaufteilzeichnung</t>
  </si>
  <si>
    <t>Isoschlauch Kabelschuh</t>
  </si>
  <si>
    <t>Kontaktoberfläche I</t>
  </si>
  <si>
    <t>Kontaktoberfläche II</t>
  </si>
  <si>
    <t>VT-Nr.(XPPS)</t>
  </si>
  <si>
    <t>ÄM-Nr.</t>
  </si>
  <si>
    <t>VT</t>
  </si>
  <si>
    <t>MV intern</t>
  </si>
  <si>
    <t>MV extern</t>
  </si>
  <si>
    <t>frei verfügbar</t>
  </si>
  <si>
    <t>Infobaugruppe NEU / aktuell</t>
  </si>
  <si>
    <t>Infobaugruppe ALT</t>
  </si>
  <si>
    <t>Inhalt (Ltg. Nummer)</t>
  </si>
  <si>
    <t>Inhalt (BOM)</t>
  </si>
  <si>
    <t>Inhalt (Splice)</t>
  </si>
  <si>
    <t>Teilegültigkeit</t>
  </si>
  <si>
    <t>max</t>
  </si>
  <si>
    <t>trocken</t>
  </si>
  <si>
    <t>nass</t>
  </si>
  <si>
    <t>N_037_093_3</t>
  </si>
  <si>
    <t>N_906_844_01</t>
  </si>
  <si>
    <t>L0L+2C7</t>
  </si>
  <si>
    <t>N_018_889_57</t>
  </si>
  <si>
    <t>N_018_889_30</t>
  </si>
  <si>
    <t>Y0202</t>
  </si>
  <si>
    <t>1-19C</t>
  </si>
  <si>
    <t>N_037_013_1</t>
  </si>
  <si>
    <t>000</t>
  </si>
  <si>
    <t>029</t>
  </si>
  <si>
    <t>072</t>
  </si>
  <si>
    <t>076</t>
  </si>
  <si>
    <t>dyn</t>
  </si>
  <si>
    <t>stat</t>
  </si>
  <si>
    <t>dyn/dyn</t>
  </si>
  <si>
    <t>stat/dyn</t>
  </si>
  <si>
    <t>WHT_005_317</t>
  </si>
  <si>
    <t>FLACHKONTAKTGEH_2POL_SCHWARZ</t>
  </si>
  <si>
    <t>CL_055</t>
  </si>
  <si>
    <t>CL_057</t>
  </si>
  <si>
    <t>z</t>
  </si>
  <si>
    <t>Orientácia vodiču vo zvare/ocko/owe</t>
  </si>
  <si>
    <t>schrumf</t>
  </si>
  <si>
    <t>X</t>
  </si>
  <si>
    <t>XB.K.1</t>
  </si>
  <si>
    <t>SL1</t>
  </si>
  <si>
    <t>TCPL.2B1</t>
  </si>
  <si>
    <t>XA.K.1</t>
  </si>
  <si>
    <t>Y0001</t>
  </si>
  <si>
    <t>XA.SO.1</t>
  </si>
  <si>
    <t>N_037_033_8</t>
  </si>
  <si>
    <t>1-20F</t>
  </si>
  <si>
    <t>SL15</t>
  </si>
  <si>
    <t>XA.W6.1</t>
  </si>
  <si>
    <t>XA.E26.1</t>
  </si>
  <si>
    <t>TCPL.2C1</t>
  </si>
  <si>
    <t>XA.SP.1</t>
  </si>
  <si>
    <t>XD.RX7.5</t>
  </si>
  <si>
    <t>XA.D9.2</t>
  </si>
  <si>
    <t>1-22G</t>
  </si>
  <si>
    <t>TCPR.2A1</t>
  </si>
  <si>
    <t>1-46A</t>
  </si>
  <si>
    <t>TCPL.2A1</t>
  </si>
  <si>
    <t>XB.RX7.5</t>
  </si>
  <si>
    <t>TCPM.1D1</t>
  </si>
  <si>
    <t>1-30J</t>
  </si>
  <si>
    <t>XA.J527.1</t>
  </si>
  <si>
    <t>N_107_766_01</t>
  </si>
  <si>
    <t>N_037_023_0</t>
  </si>
  <si>
    <t>TCPL.2D1</t>
  </si>
  <si>
    <t>TCPM.1E1</t>
  </si>
  <si>
    <t>TCPR.2C1</t>
  </si>
  <si>
    <t>1-43B</t>
  </si>
  <si>
    <t>SL62</t>
  </si>
  <si>
    <t>TCPR.2B1</t>
  </si>
  <si>
    <t>N_018_463_0</t>
  </si>
  <si>
    <t>SL85</t>
  </si>
  <si>
    <t>XA.J587.1</t>
  </si>
  <si>
    <t>SL87</t>
  </si>
  <si>
    <t>XB.J301.1</t>
  </si>
  <si>
    <t>XA.E380.2</t>
  </si>
  <si>
    <t>XA.U31.2</t>
  </si>
  <si>
    <t>N_907_479_01</t>
  </si>
  <si>
    <t>SL102</t>
  </si>
  <si>
    <t>Y0003</t>
  </si>
  <si>
    <t>Y0030</t>
  </si>
  <si>
    <t>N_912_250_01</t>
  </si>
  <si>
    <t>XE.RX7.5</t>
  </si>
  <si>
    <t>SL121</t>
  </si>
  <si>
    <t>XA.R330.1</t>
  </si>
  <si>
    <t>AN137</t>
  </si>
  <si>
    <t>XA.R266.2</t>
  </si>
  <si>
    <t>AN143</t>
  </si>
  <si>
    <t>XB.J587.1</t>
  </si>
  <si>
    <t>Y0048</t>
  </si>
  <si>
    <t>XC.RX7.5</t>
  </si>
  <si>
    <t>SL170</t>
  </si>
  <si>
    <t>SL172</t>
  </si>
  <si>
    <t>N_039_035_0</t>
  </si>
  <si>
    <t>N_039_038_1</t>
  </si>
  <si>
    <t>N_039_035_6</t>
  </si>
  <si>
    <t>9J1_974_029</t>
  </si>
  <si>
    <t xml:space="preserve">L0L+2V1+9AD </t>
  </si>
  <si>
    <t>9J1_974_029_A</t>
  </si>
  <si>
    <t>9J1_974_029_B</t>
  </si>
  <si>
    <t>9J1_974_029_C</t>
  </si>
  <si>
    <t>TCP.1C1</t>
  </si>
  <si>
    <t>Y0037</t>
  </si>
  <si>
    <t>TCPM.1A1</t>
  </si>
  <si>
    <t>1-28H</t>
  </si>
  <si>
    <t>N_039_031_6</t>
  </si>
  <si>
    <t>GE/GN</t>
  </si>
  <si>
    <t>N_039_031_5</t>
  </si>
  <si>
    <t>N_039_031_3</t>
  </si>
  <si>
    <t>N_039_038_5</t>
  </si>
  <si>
    <t>N_907_648_01</t>
  </si>
  <si>
    <t>XA.J1072.2</t>
  </si>
  <si>
    <t>1-20H</t>
  </si>
  <si>
    <t>N_107_834_02</t>
  </si>
  <si>
    <t>XA.V2.1</t>
  </si>
  <si>
    <t>N_039_035_5</t>
  </si>
  <si>
    <t>N_039_035_1</t>
  </si>
  <si>
    <t>N_039_035_9</t>
  </si>
  <si>
    <t>XC.J301.1</t>
  </si>
  <si>
    <t>Y0051</t>
  </si>
  <si>
    <t>XA.VX46.2</t>
  </si>
  <si>
    <t>D.AC_LIN.9Y0_051.J1.3</t>
  </si>
  <si>
    <t>D.AC_LIN.9Y0_051.J1.4_XB.VX46.2_2_1</t>
  </si>
  <si>
    <t>XB.VX46.2</t>
  </si>
  <si>
    <t>D.AC_LIN.9Y0_051.J1.4</t>
  </si>
  <si>
    <t>SL29053</t>
  </si>
  <si>
    <t>XB.J1072.2</t>
  </si>
  <si>
    <t>XA.J1151.1</t>
  </si>
  <si>
    <t>XC.J1072.2</t>
  </si>
  <si>
    <t>XB.J1151.1</t>
  </si>
  <si>
    <t>XD.VX46.2</t>
  </si>
  <si>
    <t>XC.VX46.2</t>
  </si>
  <si>
    <t>1-31J</t>
  </si>
  <si>
    <t>D.AC_LIN.9Y0_051.J1.5_XC.VX46.2_2_1</t>
  </si>
  <si>
    <t>D.AC_LIN.9Y0_051.J1.5</t>
  </si>
  <si>
    <t>D.AC_LIN.9Y0_051.J1.6_XD.VX46.2_2_1</t>
  </si>
  <si>
    <t>D.AC_LIN.9Y0_051.J1.6</t>
  </si>
  <si>
    <t>Sensor für Feinstaubgehalt der Klimaanlage</t>
  </si>
  <si>
    <t>XA.G930.1</t>
  </si>
  <si>
    <t>XM.RX7.5</t>
  </si>
  <si>
    <t>9J1_974_072</t>
  </si>
  <si>
    <t>XA.J866.1</t>
  </si>
  <si>
    <t>XA.E167.2</t>
  </si>
  <si>
    <t>M.31-SM..LSV_XA.J866.1_1_1</t>
  </si>
  <si>
    <t>M.31-SM..LSV</t>
  </si>
  <si>
    <t>9J1_974_076</t>
  </si>
  <si>
    <t>9J1_974_076_A</t>
  </si>
  <si>
    <t>9J1_974_076_B</t>
  </si>
  <si>
    <t>S.MTVL+.9Y0_076._Y0006_1_1</t>
  </si>
  <si>
    <t>S.MTVL-.9Y0_076._Y0007_1_1</t>
  </si>
  <si>
    <t>Y0004</t>
  </si>
  <si>
    <t>S.MTVR+.9Y0_076._Y0004_1_1</t>
  </si>
  <si>
    <t>S.MTVR-.9Y0_076._Y0005_1_1</t>
  </si>
  <si>
    <t>XA.RX7.5</t>
  </si>
  <si>
    <t>N_906_845_01</t>
  </si>
  <si>
    <t>N_018_888_59</t>
  </si>
  <si>
    <t>SL76010</t>
  </si>
  <si>
    <t>2-ws/gn</t>
  </si>
  <si>
    <t>N_107_767_01</t>
  </si>
  <si>
    <t>SL76014</t>
  </si>
  <si>
    <t>S.HTVL+.9Y0_076A._TCP.1C1_1_1</t>
  </si>
  <si>
    <t>S.HTVL-.9Y0_076A._TCP.1C1_2_1</t>
  </si>
  <si>
    <t>S.HTVR+.9Y0_076A._TCP.1C1_3_1</t>
  </si>
  <si>
    <t>S.HTVR-.9Y0_076A._TCP.1C1_4_1</t>
  </si>
  <si>
    <t>S.BBVR+.9Y0_076B._XA.R29.3_1_1</t>
  </si>
  <si>
    <t>XA.R29.3</t>
  </si>
  <si>
    <t>S.BBVR-.9Y0_076B._XA.R29.3_2_1</t>
  </si>
  <si>
    <t>077</t>
  </si>
  <si>
    <t>LTGS.VORBEREI.TEL.</t>
  </si>
  <si>
    <t>TCPM.1C1</t>
  </si>
  <si>
    <t>TCPR.2H1</t>
  </si>
  <si>
    <t>AN77005</t>
  </si>
  <si>
    <t>089</t>
  </si>
  <si>
    <t>LTGS.LENKRAD</t>
  </si>
  <si>
    <t>9J1_974_089</t>
  </si>
  <si>
    <t>CU: 10 (g)</t>
  </si>
  <si>
    <t>128</t>
  </si>
  <si>
    <t>9J1_974_128</t>
  </si>
  <si>
    <t>SL128001</t>
  </si>
  <si>
    <t>9J1_974_136</t>
  </si>
  <si>
    <t>L0L+4A4+9AD</t>
  </si>
  <si>
    <t>CU: 5 (g)</t>
  </si>
  <si>
    <t>1-39D</t>
  </si>
  <si>
    <t>LTGS.MULTIMEDIA</t>
  </si>
  <si>
    <t>L0L+JH1</t>
  </si>
  <si>
    <t>XA.J145.1</t>
  </si>
  <si>
    <t>XC.E380.2</t>
  </si>
  <si>
    <t>XB.J145.1</t>
  </si>
  <si>
    <t>N_107_997_01</t>
  </si>
  <si>
    <t>5-blk</t>
  </si>
  <si>
    <t>X.INF_LVVG.9Y0_077..1</t>
  </si>
  <si>
    <t>LTGS.RADIO</t>
  </si>
  <si>
    <t>9J1_974_216</t>
  </si>
  <si>
    <t>XA.R238.1</t>
  </si>
  <si>
    <t>SL216003</t>
  </si>
  <si>
    <t>SL216005</t>
  </si>
  <si>
    <t>SL216007</t>
  </si>
  <si>
    <t>XG.RX7.5</t>
  </si>
  <si>
    <t>XB.R238.1</t>
  </si>
  <si>
    <t>SL216013</t>
  </si>
  <si>
    <t>SL216018</t>
  </si>
  <si>
    <t>XB.E380.2</t>
  </si>
  <si>
    <t>SL216024</t>
  </si>
  <si>
    <t>X.INF_LVVG.9Y0_077.</t>
  </si>
  <si>
    <t>9J1_974_219</t>
  </si>
  <si>
    <t>9J1_974_219_B</t>
  </si>
  <si>
    <t>9J1_974_219_D</t>
  </si>
  <si>
    <t>XF.RX7.5</t>
  </si>
  <si>
    <t>XA.R183.2</t>
  </si>
  <si>
    <t>AN219001</t>
  </si>
  <si>
    <t>A.ANTENNE.077.DAB</t>
  </si>
  <si>
    <t>TCPR.2I1</t>
  </si>
  <si>
    <t>AN219003</t>
  </si>
  <si>
    <t>XA.R130.4</t>
  </si>
  <si>
    <t>AN219005</t>
  </si>
  <si>
    <t>XA.R131.3</t>
  </si>
  <si>
    <t>AN219009</t>
  </si>
  <si>
    <t>A.ANTENNE.077.FM2</t>
  </si>
  <si>
    <t>TCR.2A1</t>
  </si>
  <si>
    <t>AN219013</t>
  </si>
  <si>
    <t>AN219021</t>
  </si>
  <si>
    <t>XA.R130.3</t>
  </si>
  <si>
    <t>AN219023</t>
  </si>
  <si>
    <t>AN219025</t>
  </si>
  <si>
    <t>9J1_974_230</t>
  </si>
  <si>
    <t>N_909_531_01</t>
  </si>
  <si>
    <t>XA.U41.1</t>
  </si>
  <si>
    <t>LTGS.FUNKUHR</t>
  </si>
  <si>
    <t>9J1_974_261</t>
  </si>
  <si>
    <t>D.LIN_BUS.9Y0_090.</t>
  </si>
  <si>
    <t>9J1_974_267</t>
  </si>
  <si>
    <t>TCPR.2F1</t>
  </si>
  <si>
    <t>1-17C</t>
  </si>
  <si>
    <t>TCPM.1B1</t>
  </si>
  <si>
    <t>XH.RX7.5</t>
  </si>
  <si>
    <t>N_107_276_01</t>
  </si>
  <si>
    <t>9J1_974_325</t>
  </si>
  <si>
    <t>TCPR.2D1</t>
  </si>
  <si>
    <t>SL325001</t>
  </si>
  <si>
    <t>9J1_974_327</t>
  </si>
  <si>
    <t>1-44A</t>
  </si>
  <si>
    <t>SL327001</t>
  </si>
  <si>
    <t>9J1_974_328</t>
  </si>
  <si>
    <t>L0L+KA2</t>
  </si>
  <si>
    <t>TCPL.2H1</t>
  </si>
  <si>
    <t>XQ.RX7.5</t>
  </si>
  <si>
    <t>AN328003</t>
  </si>
  <si>
    <t>LTGS.NAVIGAT.SYST.</t>
  </si>
  <si>
    <t>9J1_974_329</t>
  </si>
  <si>
    <t xml:space="preserve">L0L+7UG </t>
  </si>
  <si>
    <t>XE.J526.1</t>
  </si>
  <si>
    <t>1-37G</t>
  </si>
  <si>
    <t>XA.R50.2</t>
  </si>
  <si>
    <t>AN329005</t>
  </si>
  <si>
    <t>9J1_974_412</t>
  </si>
  <si>
    <t>XA.NX3.9</t>
  </si>
  <si>
    <t>XA.J234.5</t>
  </si>
  <si>
    <t>N_901_916_81</t>
  </si>
  <si>
    <t>SL412001</t>
  </si>
  <si>
    <t>XB.NX3.9</t>
  </si>
  <si>
    <t>N_901_916_87</t>
  </si>
  <si>
    <t>SL412004</t>
  </si>
  <si>
    <t>XA.E224.1</t>
  </si>
  <si>
    <t>N_105_111_02</t>
  </si>
  <si>
    <t>N_037_091_7</t>
  </si>
  <si>
    <t>XA.N295.7</t>
  </si>
  <si>
    <t>SL412009</t>
  </si>
  <si>
    <t>XA.N296.7</t>
  </si>
  <si>
    <t>N_901_916_80</t>
  </si>
  <si>
    <t>SL412012</t>
  </si>
  <si>
    <t>N_105_974_03</t>
  </si>
  <si>
    <t>N_901_916_27</t>
  </si>
  <si>
    <t>SL412015</t>
  </si>
  <si>
    <t>S.BAGFS1+..</t>
  </si>
  <si>
    <t>S.BAGFS1-..</t>
  </si>
  <si>
    <t>SL412017</t>
  </si>
  <si>
    <t>S.BAG_FS2-..</t>
  </si>
  <si>
    <t>S.BAG_FS2+..</t>
  </si>
  <si>
    <t>XC.NX3.9</t>
  </si>
  <si>
    <t>SL412020</t>
  </si>
  <si>
    <t>S.BAG_BFS3+.9Y0_085.</t>
  </si>
  <si>
    <t>S.BAG_BFS3-.9Y0_085.</t>
  </si>
  <si>
    <t>L0L+GJ2</t>
  </si>
  <si>
    <t>9J1_974_901</t>
  </si>
  <si>
    <t>65 (g)</t>
  </si>
  <si>
    <t>9J1_974_901_A</t>
  </si>
  <si>
    <t>CU: 14 (g)</t>
  </si>
  <si>
    <t>XA.K268.1</t>
  </si>
  <si>
    <t>XA.K269.1</t>
  </si>
  <si>
    <t>N_039_038_8</t>
  </si>
  <si>
    <t>Y0002</t>
  </si>
  <si>
    <t>XA.K268.2</t>
  </si>
  <si>
    <t>1-24E</t>
  </si>
  <si>
    <t>XA.K269.2</t>
  </si>
  <si>
    <t>1-16H</t>
  </si>
  <si>
    <t>BUCHSENGEHAEUSE_17POL_BL_KOD4</t>
  </si>
  <si>
    <t>TAB_026_004_AD</t>
  </si>
  <si>
    <t>1-30A</t>
  </si>
  <si>
    <t>BUCHSENGEHAEUSE_6POL_KOD_A_CPA</t>
  </si>
  <si>
    <t>Elektronisches Zündschloss</t>
  </si>
  <si>
    <t>8K0_972_706</t>
  </si>
  <si>
    <t>TAB_010_046_DK</t>
  </si>
  <si>
    <t>Schalter für Handschuhfachleuchte</t>
  </si>
  <si>
    <t>893_971_632</t>
  </si>
  <si>
    <t>TAB_010_329</t>
  </si>
  <si>
    <t>FLACHKONTAKTGEHAEUSE_5POL</t>
  </si>
  <si>
    <t>Bedienungseinheit 3 für Multimediasystem</t>
  </si>
  <si>
    <t>5N0_972_705</t>
  </si>
  <si>
    <t>FLACHKONTAKTGEH_17POL_KOD_V_GELB</t>
  </si>
  <si>
    <t>Steuergerät für Lenksäulenelektronik</t>
  </si>
  <si>
    <t>8K0_972_483_C</t>
  </si>
  <si>
    <t>ZSB Gehaeuse</t>
  </si>
  <si>
    <t>Steuergerät für Wählhebelsensorik</t>
  </si>
  <si>
    <t>5C0_971_974</t>
  </si>
  <si>
    <t>Schalttafeleinsatz</t>
  </si>
  <si>
    <t>Sicherungshalter O</t>
  </si>
  <si>
    <t>AK_002</t>
  </si>
  <si>
    <t>SI_XA.SO.1_F5</t>
  </si>
  <si>
    <t>SI_XA.SO.1_F8</t>
  </si>
  <si>
    <t>Sicherungshalter P</t>
  </si>
  <si>
    <t>SI_XA.SP.1_F2</t>
  </si>
  <si>
    <t>Multimediasystem (RDW) / (NAR)</t>
  </si>
  <si>
    <t>SI_XA.SP.1_F7</t>
  </si>
  <si>
    <t>SI_XA.SP.1_F8</t>
  </si>
  <si>
    <t>Wählhebel</t>
  </si>
  <si>
    <t>SI_XA.SP.1_F9</t>
  </si>
  <si>
    <t>SI_XA.SP.1_F12</t>
  </si>
  <si>
    <t>Anschluß für Diagnose</t>
  </si>
  <si>
    <t>FLACHKONTAKTGEHAEUSE_16POL</t>
  </si>
  <si>
    <t>3A0_972_695_A</t>
  </si>
  <si>
    <t>Handschuhfachleuchte</t>
  </si>
  <si>
    <t>FLACHKONTAKTGEH_40POL_SCHWARZ</t>
  </si>
  <si>
    <t>Steuergerät für Klimaanlage</t>
  </si>
  <si>
    <t>1-28J</t>
  </si>
  <si>
    <t>4H0_906_231</t>
  </si>
  <si>
    <t>BUCHSENGEHAEUSE_8POL</t>
  </si>
  <si>
    <t>3D0_972_724</t>
  </si>
  <si>
    <t>FLACHKONTAKTGEHAEUSE_12POL</t>
  </si>
  <si>
    <t>Multimediasystem</t>
  </si>
  <si>
    <t>8X0_035_447</t>
  </si>
  <si>
    <t>8X0_035_447_A</t>
  </si>
  <si>
    <t>BUCHSENGEHAEUSE_8_UND_44-POL</t>
  </si>
  <si>
    <t>8X0_035_444</t>
  </si>
  <si>
    <t>8X0_035_447_B</t>
  </si>
  <si>
    <t>HF_STECKER_5POL_KOD_B_WEISS</t>
  </si>
  <si>
    <t>4E0_035_750_A</t>
  </si>
  <si>
    <t>LEITUNGSCLIP LOCHBEFESTIGUNG 6,5</t>
  </si>
  <si>
    <t>KB_007</t>
  </si>
  <si>
    <t>KB_009</t>
  </si>
  <si>
    <t>KB_013</t>
  </si>
  <si>
    <t>KB_012</t>
  </si>
  <si>
    <t>KB_014</t>
  </si>
  <si>
    <t>1-26F</t>
  </si>
  <si>
    <t>KB_017</t>
  </si>
  <si>
    <t>KB_019</t>
  </si>
  <si>
    <t>KB_029</t>
  </si>
  <si>
    <t>1-44C</t>
  </si>
  <si>
    <t>KB_039</t>
  </si>
  <si>
    <t>SOCKEL_KABELBINDER_AUSSENVERZAHNT</t>
  </si>
  <si>
    <t>KB_070</t>
  </si>
  <si>
    <t>KB_072</t>
  </si>
  <si>
    <t>KH_005</t>
  </si>
  <si>
    <t>9J1_971_806</t>
  </si>
  <si>
    <t>HF_KONTAKTGEHAEUSE_BEIGE_2-POL_KOD_J</t>
  </si>
  <si>
    <t>6Q0_035_576_H</t>
  </si>
  <si>
    <t>Antenne für Internetzugang [WLAN Spiegelfuss]</t>
  </si>
  <si>
    <t>LTE-Antenne 3</t>
  </si>
  <si>
    <t>CL_031</t>
  </si>
  <si>
    <t>CL_032</t>
  </si>
  <si>
    <t>CL_033</t>
  </si>
  <si>
    <t>CL_038</t>
  </si>
  <si>
    <t>KB_034</t>
  </si>
  <si>
    <t>KB_080</t>
  </si>
  <si>
    <t>1-25A</t>
  </si>
  <si>
    <t>KB_091</t>
  </si>
  <si>
    <t>N_106_231_01</t>
  </si>
  <si>
    <t>FLACHSTECKERGEHAEUSE_21-POLIG</t>
  </si>
  <si>
    <t>Koppelstelle an der Schalttafel</t>
  </si>
  <si>
    <t>6Q0_972_737</t>
  </si>
  <si>
    <t>Ionisator 1</t>
  </si>
  <si>
    <t>XA.N28.1</t>
  </si>
  <si>
    <t>Innenfühler für automatische Heizungsregelung</t>
  </si>
  <si>
    <t>7P0_972_754_A</t>
  </si>
  <si>
    <t>SI_XA.SO.1_F2</t>
  </si>
  <si>
    <t>Bedienungs- u. Anzeigeeinheit für Klimaanlage hinten/ Bedienteil Miko hinten</t>
  </si>
  <si>
    <t>SI_XA.SO.1_F3</t>
  </si>
  <si>
    <t>SG für Klimaanlage</t>
  </si>
  <si>
    <t>SI_XA.SP.1_F6</t>
  </si>
  <si>
    <t>Frischluftgebläse</t>
  </si>
  <si>
    <t>BUCHSENGEHAEUSE_4POL</t>
  </si>
  <si>
    <t>4H0_972_704</t>
  </si>
  <si>
    <t>Mittenausströmer</t>
  </si>
  <si>
    <t>BUCHSENGEHAEUSE_6POL_KODIERUNG_1</t>
  </si>
  <si>
    <t>1K0_972_923</t>
  </si>
  <si>
    <t>EMITTER</t>
  </si>
  <si>
    <t>ZSB_EMITTER</t>
  </si>
  <si>
    <t>KH_006</t>
  </si>
  <si>
    <t>1C0_973_119_C</t>
  </si>
  <si>
    <t>KB_011</t>
  </si>
  <si>
    <t>HF_STECKER_5POL_KOD_F_BRAUN</t>
  </si>
  <si>
    <t>4E0_035_750_E</t>
  </si>
  <si>
    <t>Schalter für Lenksäulenverstellung</t>
  </si>
  <si>
    <t>1-26G</t>
  </si>
  <si>
    <t>BUCHSENGEHAEUSE_6POL_KODIERUNG_2</t>
  </si>
  <si>
    <t>Steuergerät für elektrisch verstellbare Lenksäule</t>
  </si>
  <si>
    <t>1K0_972_923_A</t>
  </si>
  <si>
    <t>SI_XA.SO.1_F6</t>
  </si>
  <si>
    <t>Aktivlautsprecher für Breitband vorn rechts [A-Saule Re.]</t>
  </si>
  <si>
    <t>3B7_035_447</t>
  </si>
  <si>
    <t>HF_KONTAKTGEHAEUSE_CREMEWEISS_2POL_KOD_B</t>
  </si>
  <si>
    <t>6Q0_035_576_A</t>
  </si>
  <si>
    <t>HF_KONTAKTGEHAEUSE_LAUBGRUEN_2POL_KOD_E</t>
  </si>
  <si>
    <t>Koppelstelle an der Schalttafel rechts [Koppelbox]</t>
  </si>
  <si>
    <t>6Q0_035_576_D</t>
  </si>
  <si>
    <t>SI_XA.SP.1_F1</t>
  </si>
  <si>
    <t>Koppelbox</t>
  </si>
  <si>
    <t>SI_XA.SO.1_F12</t>
  </si>
  <si>
    <t>Steuergerät für Lenksäulenelektronik LRH</t>
  </si>
  <si>
    <t>136</t>
  </si>
  <si>
    <t>HF KONTAKTGEHAEUSE_SIGNALBLAU_2-POL_KOD_C</t>
  </si>
  <si>
    <t>6Q0_035_576_B</t>
  </si>
  <si>
    <t>Anzeigeeinheit [2. Centerdisplay]</t>
  </si>
  <si>
    <t>1K0_972_924</t>
  </si>
  <si>
    <t>Bedienungseinheit 3 fĂĽr Multimediasystem</t>
  </si>
  <si>
    <t>216</t>
  </si>
  <si>
    <t>Bedienungs- und Anzeigeeinheit für Multimediasystem [Centerdisplay]</t>
  </si>
  <si>
    <t>SI_XA.SP.1_F3</t>
  </si>
  <si>
    <t>Display Center</t>
  </si>
  <si>
    <t>SI_XA.SP.1_F4</t>
  </si>
  <si>
    <t>2. Display Center</t>
  </si>
  <si>
    <t>HF_STECKER_5POL_KOD_D_BORDEAUXVIOLETT</t>
  </si>
  <si>
    <t>4E0_035_750_C</t>
  </si>
  <si>
    <t>219</t>
  </si>
  <si>
    <t>HF_KONTAKTGEHAEUSE_CURRYGELB_4POL_COD_K</t>
  </si>
  <si>
    <t>Heckscheibenantenne 1 [Rechts - RDW]</t>
  </si>
  <si>
    <t>6Q0_035_608_J</t>
  </si>
  <si>
    <t>Heckscheibenantenne 2 [Links - RDW]</t>
  </si>
  <si>
    <t>4N0_035_576_B</t>
  </si>
  <si>
    <t>CL_040</t>
  </si>
  <si>
    <t>CL_041</t>
  </si>
  <si>
    <t>CL_042</t>
  </si>
  <si>
    <t>CL_045</t>
  </si>
  <si>
    <t>CL_046</t>
  </si>
  <si>
    <t>KB_043</t>
  </si>
  <si>
    <t>KB_049</t>
  </si>
  <si>
    <t>HF_KONTAKTGEHAEUSE_SCHWARZ_4POL_COD_A</t>
  </si>
  <si>
    <t>Digitalradio-Antenne</t>
  </si>
  <si>
    <t>6Q0_035_608</t>
  </si>
  <si>
    <t>HF_KONTAKTGEHAEUSE_NUSSBRAUN_4POL_COD_F</t>
  </si>
  <si>
    <t>6Q0_035_608_E</t>
  </si>
  <si>
    <t>Heckscheibenantenne 1 [Rechts - DAB]</t>
  </si>
  <si>
    <t>USB-Anschluss 1 [9J1 = Setzteil Nr. 971_094_920_01E]</t>
  </si>
  <si>
    <t>UNI_FCP_05</t>
  </si>
  <si>
    <t>SI_XA.SO.1_F10</t>
  </si>
  <si>
    <t>DIGITALUHR / STOPPUHR</t>
  </si>
  <si>
    <t>L0L+9VL/9VJ</t>
  </si>
  <si>
    <t>HE_STECKER_5POL_KOD_B_WEISS</t>
  </si>
  <si>
    <t>4E0_035_749_A</t>
  </si>
  <si>
    <t>SI_XA.SP.1_F5</t>
  </si>
  <si>
    <t>Schnittstelle für externe Audioquellen</t>
  </si>
  <si>
    <t>HF_STECKER_5POL_KOD_E_GRUEN</t>
  </si>
  <si>
    <t>4E0_035_750_D</t>
  </si>
  <si>
    <t>HF_KONTAKTGEHAEUSE_ERIKAVIOLETT_2POL_KOD_H</t>
  </si>
  <si>
    <t>Koppelstelle an der Schalttafel links [Rückfahrkamera]</t>
  </si>
  <si>
    <t>6Q0_035_576_G</t>
  </si>
  <si>
    <t>Laubgruen</t>
  </si>
  <si>
    <t>329</t>
  </si>
  <si>
    <t>WINKELKONTAKTGEHAEUSE Cod C</t>
  </si>
  <si>
    <t>GPS-Antenne</t>
  </si>
  <si>
    <t>6Q0_035_674_B</t>
  </si>
  <si>
    <t>412</t>
  </si>
  <si>
    <t>Schlüsselschalter für Abschaltung des Airbags Beifahrerseite</t>
  </si>
  <si>
    <t>7L0_972_776_A</t>
  </si>
  <si>
    <t>BUCHSENGEH_POL_20_KOD_I_GELB</t>
  </si>
  <si>
    <t>4N0_973_050_A</t>
  </si>
  <si>
    <t>BUCHSENGEH_POL_3_KOD_V_BRAUN</t>
  </si>
  <si>
    <t>Zünder für Knieairbag Fahrerseite</t>
  </si>
  <si>
    <t>8W1_972_563_A</t>
  </si>
  <si>
    <t>Zünder für Knieairbag Beifahrerseite</t>
  </si>
  <si>
    <t>1-48C</t>
  </si>
  <si>
    <t>Beifahrerairbag-Einheit</t>
  </si>
  <si>
    <t>KB_092</t>
  </si>
  <si>
    <t>901</t>
  </si>
  <si>
    <t>Fussraumleuchte vorn links</t>
  </si>
  <si>
    <t>Fussraumleuchte vorn rechts</t>
  </si>
  <si>
    <t>FLACHKONTAKTGEH_4POL_KOD_B_BRAUN</t>
  </si>
  <si>
    <t>8K0_973_754_A</t>
  </si>
  <si>
    <t>1-35F</t>
  </si>
  <si>
    <t>8K0_972_483_A</t>
  </si>
  <si>
    <t>8K0_972_483_B</t>
  </si>
  <si>
    <t>8K0_972_483_D</t>
  </si>
  <si>
    <t>8K0_972_483</t>
  </si>
  <si>
    <t>N_106_471_02</t>
  </si>
  <si>
    <t>001</t>
  </si>
  <si>
    <t>002</t>
  </si>
  <si>
    <t>1J23</t>
  </si>
  <si>
    <t>45/46,121/122</t>
  </si>
  <si>
    <t>29053/29054</t>
  </si>
  <si>
    <t>AK_TCPR.2F1</t>
  </si>
  <si>
    <t>4E0_972_401</t>
  </si>
  <si>
    <t>SCHUTZKAPPE_2POL_LWL-ADAPTER</t>
  </si>
  <si>
    <t>EM1</t>
  </si>
  <si>
    <t>EM2</t>
  </si>
  <si>
    <t>PT</t>
  </si>
  <si>
    <t>KSK</t>
  </si>
  <si>
    <t>PP-Wellschlauch Gr=3.0 D(i)=2.8 D(a)=5.1</t>
  </si>
  <si>
    <t>1-45C</t>
  </si>
  <si>
    <t>CA</t>
  </si>
  <si>
    <t>216003/4,216005/6,216007/8, 2160018/19</t>
  </si>
  <si>
    <t>KM</t>
  </si>
  <si>
    <t>KM_219</t>
  </si>
  <si>
    <t>VT01</t>
  </si>
  <si>
    <t>VT03</t>
  </si>
  <si>
    <t>LC01</t>
  </si>
  <si>
    <t>LC03</t>
  </si>
  <si>
    <t>splice</t>
  </si>
  <si>
    <t>DECKEL FUER SICHERUNGSTR.</t>
  </si>
  <si>
    <t>KAPPE ZU BU-GEHAEUSE</t>
  </si>
  <si>
    <t>VERSCHLUSSPLATTE+4E0972977</t>
  </si>
  <si>
    <t xml:space="preserve">KAPPE ZU </t>
  </si>
  <si>
    <t>GEHÄUSE 20 POL.     COD. B</t>
  </si>
  <si>
    <t xml:space="preserve">KAPPE 40-pol. </t>
  </si>
  <si>
    <t>RETAINER (8-POL.GEH) fuer</t>
  </si>
  <si>
    <t>Nummerierung</t>
  </si>
  <si>
    <t>01</t>
  </si>
  <si>
    <t>VERRIEGELUNG ZU GEHÄUSE</t>
  </si>
  <si>
    <t>UMGEHAEUSE FUER</t>
  </si>
  <si>
    <t>SEKUNDAERVERRIEGELUNG</t>
  </si>
  <si>
    <t xml:space="preserve">KAPPE </t>
  </si>
  <si>
    <t>DICHTUNGSHALTER</t>
  </si>
  <si>
    <t>Aufdruck Seite I</t>
  </si>
  <si>
    <t>Aufdruck Seite II</t>
  </si>
  <si>
    <t>Antenne</t>
  </si>
  <si>
    <t>Airbag</t>
  </si>
  <si>
    <t>A</t>
  </si>
  <si>
    <t>B</t>
  </si>
  <si>
    <t>KM219</t>
  </si>
  <si>
    <t>M</t>
  </si>
  <si>
    <t>125N</t>
  </si>
  <si>
    <t>ja</t>
  </si>
  <si>
    <t>nein</t>
  </si>
  <si>
    <t>verteilt mit Revisionsstand</t>
  </si>
  <si>
    <t>Tabelle</t>
  </si>
  <si>
    <t xml:space="preserve">AEM-Nr. </t>
  </si>
  <si>
    <t>AEM auf Vorgänger-Zeichnung</t>
  </si>
  <si>
    <t>Umsetzungstermin</t>
  </si>
  <si>
    <t>Begehren</t>
  </si>
  <si>
    <t>ÄKO</t>
  </si>
  <si>
    <t>Genehmigt 
ja / Datum
oder Status</t>
  </si>
  <si>
    <t>Beschreibung lt. AEM</t>
  </si>
  <si>
    <t>Angebotsstatus / Info BML</t>
  </si>
  <si>
    <t>Einsatz-termin IST</t>
  </si>
  <si>
    <t>Einsatz mit Kenn-Nr.</t>
  </si>
  <si>
    <r>
      <rPr>
        <b/>
        <sz val="10"/>
        <rFont val="Arial"/>
        <family val="2"/>
        <charset val="238"/>
      </rPr>
      <t>NICHT</t>
    </r>
    <r>
      <rPr>
        <sz val="10"/>
        <rFont val="Arial"/>
        <family val="2"/>
      </rPr>
      <t xml:space="preserve"> abwärstkompatibel (ET)</t>
    </r>
  </si>
  <si>
    <t>F-Konzept</t>
  </si>
  <si>
    <t>Bemerkung</t>
  </si>
  <si>
    <t>Wirelist</t>
  </si>
  <si>
    <t>BOM</t>
  </si>
  <si>
    <t>Spliceliste statisch</t>
  </si>
  <si>
    <t>VT_01</t>
  </si>
  <si>
    <t>Grafik</t>
  </si>
  <si>
    <t>PP</t>
  </si>
  <si>
    <t>KW</t>
  </si>
  <si>
    <t>Einsatz-schlüssel</t>
  </si>
  <si>
    <t>Porsche J1</t>
  </si>
  <si>
    <t>TAB 052 662</t>
  </si>
  <si>
    <t>VT_03</t>
  </si>
  <si>
    <t xml:space="preserve">KM - Liste </t>
  </si>
  <si>
    <t xml:space="preserve">AEM-Nr. Porsche </t>
  </si>
  <si>
    <t>Einsatzt zusammen mit</t>
  </si>
  <si>
    <t>KB_004</t>
  </si>
  <si>
    <t>6Y0_972_596</t>
  </si>
  <si>
    <t>CLIP</t>
  </si>
  <si>
    <t>1C0_971_848</t>
  </si>
  <si>
    <t>1-27F</t>
  </si>
  <si>
    <t>1-18F</t>
  </si>
  <si>
    <t>1-17D</t>
  </si>
  <si>
    <t>CL_081</t>
  </si>
  <si>
    <t>3B0_971_848_F</t>
  </si>
  <si>
    <t>KABELHALTER</t>
  </si>
  <si>
    <t>CL_060</t>
  </si>
  <si>
    <t>CL_021</t>
  </si>
  <si>
    <t>CL_095</t>
  </si>
  <si>
    <t>CL_096</t>
  </si>
  <si>
    <t>CL_097</t>
  </si>
  <si>
    <t>CL_098</t>
  </si>
  <si>
    <t>1-44E</t>
  </si>
  <si>
    <t>KB_102</t>
  </si>
  <si>
    <t>1-41F</t>
  </si>
  <si>
    <t>KB_105</t>
  </si>
  <si>
    <t>9J1_937_551_A</t>
  </si>
  <si>
    <t>3D0_971_838_H</t>
  </si>
  <si>
    <t>1-31H</t>
  </si>
  <si>
    <t>3D0_971_838_N</t>
  </si>
  <si>
    <t>4F0_035_750_A</t>
  </si>
  <si>
    <t>HF_STECKER_4POL_KOD_B_WEISS</t>
  </si>
  <si>
    <t>TAB_026_004_AF</t>
  </si>
  <si>
    <t>4F0_035_750</t>
  </si>
  <si>
    <t>HF_STECKER_4POL_KOD_A_SCHWARZ</t>
  </si>
  <si>
    <t>CL_099</t>
  </si>
  <si>
    <t>KB_018</t>
  </si>
  <si>
    <t>CL_010</t>
  </si>
  <si>
    <t>CL_106</t>
  </si>
  <si>
    <t>N_106_461_01</t>
  </si>
  <si>
    <t>KABELBINDERSOCKEL</t>
  </si>
  <si>
    <t>YW0034</t>
  </si>
  <si>
    <t>YW0033</t>
  </si>
  <si>
    <t>YW0008</t>
  </si>
  <si>
    <t>YW0009</t>
  </si>
  <si>
    <t>YW0010</t>
  </si>
  <si>
    <t>YW0011</t>
  </si>
  <si>
    <t>CL_020</t>
  </si>
  <si>
    <t>CL_101</t>
  </si>
  <si>
    <t>WHT_006_403</t>
  </si>
  <si>
    <t>CL_103</t>
  </si>
  <si>
    <t>Sockel_Kabelbinder_6. 2x12,2x164</t>
  </si>
  <si>
    <t xml:space="preserve">L0L+2V3+9AD </t>
  </si>
  <si>
    <t>1-64E</t>
  </si>
  <si>
    <t>CL_058</t>
  </si>
  <si>
    <t>CL_035</t>
  </si>
  <si>
    <t>CL_036</t>
  </si>
  <si>
    <t>CL_037</t>
  </si>
  <si>
    <t>L0L+KA6</t>
  </si>
  <si>
    <t>CL_005</t>
  </si>
  <si>
    <t>CL_006</t>
  </si>
  <si>
    <t>5P0_971_848</t>
  </si>
  <si>
    <t>Kabelhalter</t>
  </si>
  <si>
    <t>CL_016</t>
  </si>
  <si>
    <t>CL_071</t>
  </si>
  <si>
    <t>KM/KSK</t>
  </si>
  <si>
    <t>1T0_971_930_C</t>
  </si>
  <si>
    <t>5M0_971_838</t>
  </si>
  <si>
    <t>CL_008</t>
  </si>
  <si>
    <t>CL_104</t>
  </si>
  <si>
    <t>CL_107</t>
  </si>
  <si>
    <t>3D0_971_739_D</t>
  </si>
  <si>
    <t>4B0_971_848_K</t>
  </si>
  <si>
    <t>CL_044</t>
  </si>
  <si>
    <t>CL_047</t>
  </si>
  <si>
    <t>Steuerungsvorgabe</t>
  </si>
  <si>
    <t>int. Index</t>
  </si>
  <si>
    <t>Verbauraten</t>
  </si>
  <si>
    <t>2J15</t>
  </si>
  <si>
    <t>J1</t>
  </si>
  <si>
    <t>LL</t>
  </si>
  <si>
    <t>Infobaugru ALT</t>
  </si>
  <si>
    <t>03</t>
  </si>
  <si>
    <t>Verantwortung -&gt; 
Responsibility</t>
  </si>
  <si>
    <t>CPE</t>
  </si>
  <si>
    <t>PPE</t>
  </si>
  <si>
    <t>CPE (MV)</t>
  </si>
  <si>
    <t>Bearbeiter</t>
  </si>
  <si>
    <t>KM-Liste</t>
  </si>
  <si>
    <t>Dokumenten-Link</t>
  </si>
  <si>
    <t>neue Teilestämme</t>
  </si>
  <si>
    <t>Verteildatum</t>
  </si>
  <si>
    <t>Kommentar</t>
  </si>
  <si>
    <t>Anlagedatum
Teilestämme</t>
  </si>
  <si>
    <t>Fertigstellungsdatum
MV-Regeln</t>
  </si>
  <si>
    <t>Editor</t>
  </si>
  <si>
    <t>KM list</t>
  </si>
  <si>
    <t>M-concept</t>
  </si>
  <si>
    <t>Harness</t>
  </si>
  <si>
    <t>Link to document</t>
  </si>
  <si>
    <t>New part master data</t>
  </si>
  <si>
    <t>Distribution date</t>
  </si>
  <si>
    <t>Comment</t>
  </si>
  <si>
    <t>Finishing date of new part master data</t>
  </si>
  <si>
    <t>Finishing date of new calculation rules</t>
  </si>
  <si>
    <t>218001/218002</t>
  </si>
  <si>
    <t>SL218001</t>
  </si>
  <si>
    <t>SL218005</t>
  </si>
  <si>
    <t>1-25F</t>
  </si>
  <si>
    <t>L0L+2V1+KH5</t>
  </si>
  <si>
    <t>L0L+2V3+KH5</t>
  </si>
  <si>
    <t>1-30C</t>
  </si>
  <si>
    <t>S.ZR_Reset.9Y0_077.</t>
  </si>
  <si>
    <t>XI.RX7.5</t>
  </si>
  <si>
    <t>XF.RX7.6</t>
  </si>
  <si>
    <t>AN219027</t>
  </si>
  <si>
    <t>UNI_CONT_SN_SCHIRM</t>
  </si>
  <si>
    <t>AN219029</t>
  </si>
  <si>
    <t>XP.RX7.5</t>
  </si>
  <si>
    <t>XO.RX7.5</t>
  </si>
  <si>
    <t>AK_XP.RX7.5</t>
  </si>
  <si>
    <t>Multimediasystem [RDW]</t>
  </si>
  <si>
    <t>4N0_035_576</t>
  </si>
  <si>
    <t>HF-STECKERGAHAEUSE 4POL SCHWARZ  CODE A</t>
  </si>
  <si>
    <t>M/B</t>
  </si>
  <si>
    <t>565_971_006</t>
  </si>
  <si>
    <t>Kabelhalter mit Tannenbaumfuss</t>
  </si>
  <si>
    <t>CL_061</t>
  </si>
  <si>
    <t>LTGS.PROJEKTOR</t>
  </si>
  <si>
    <t>9J1_974_321</t>
  </si>
  <si>
    <t>L0L+KS1</t>
  </si>
  <si>
    <t>SteuergerĂ¤t fĂĽr Frontscheibenprojektion (Head-up-Display)</t>
  </si>
  <si>
    <t>XA.J898.2</t>
  </si>
  <si>
    <t>1-23C</t>
  </si>
  <si>
    <t>SL321001</t>
  </si>
  <si>
    <t>V.30A.9J1_034.SO_F4</t>
  </si>
  <si>
    <t>SL321004</t>
  </si>
  <si>
    <t>D.ETH6+.9Y0_064G.</t>
  </si>
  <si>
    <t>D.ETH6-.9Y0_064G.</t>
  </si>
  <si>
    <t>M.31.9J1_033.MB31_B1</t>
  </si>
  <si>
    <t>SI_XA.SO.1_F4</t>
  </si>
  <si>
    <t>SteuergerĂ¤t fĂĽr Frontscheibenprojektion</t>
  </si>
  <si>
    <t>CL_059</t>
  </si>
  <si>
    <t>04</t>
  </si>
  <si>
    <t>15/16, 85/86, 87/88</t>
  </si>
  <si>
    <t>321001/ 321002</t>
  </si>
  <si>
    <t>LC04</t>
  </si>
  <si>
    <t>VT04</t>
  </si>
  <si>
    <t>VT_04</t>
  </si>
  <si>
    <t>PIM</t>
  </si>
  <si>
    <t>M.31.9J1_033.MB32_B1</t>
  </si>
  <si>
    <t>V.30A.9J1_034.SP_F9</t>
  </si>
  <si>
    <t>Taster Ladeklappe li./re.</t>
  </si>
  <si>
    <t>CL_003</t>
  </si>
  <si>
    <t>ZSB-Emitter</t>
  </si>
  <si>
    <t>Part of airbag</t>
  </si>
  <si>
    <t>Part of antenna</t>
  </si>
  <si>
    <t>sid</t>
  </si>
  <si>
    <t>6R0_971_848_B</t>
  </si>
  <si>
    <t>5E0_971_847</t>
  </si>
  <si>
    <t>L0L+2ZC/2ZX/2PJ/2ZW/2PF/2FM</t>
  </si>
  <si>
    <t>1-22A</t>
  </si>
  <si>
    <t>1-18H</t>
  </si>
  <si>
    <t>1-28F</t>
  </si>
  <si>
    <t>1-38E</t>
  </si>
  <si>
    <t>1-43E</t>
  </si>
  <si>
    <t>1-33G</t>
  </si>
  <si>
    <t>1-47E</t>
  </si>
  <si>
    <t>1-25D</t>
  </si>
  <si>
    <t>1-41G</t>
  </si>
  <si>
    <t>1-19G</t>
  </si>
  <si>
    <t>L0L+IW1/IW3</t>
  </si>
  <si>
    <t>TCPR.2E1</t>
  </si>
  <si>
    <t>TCPR.2J1</t>
  </si>
  <si>
    <t>N_037_090_0</t>
  </si>
  <si>
    <t>LWL</t>
  </si>
  <si>
    <t>N_105_113_02</t>
  </si>
  <si>
    <t>9J1_963_281_A</t>
  </si>
  <si>
    <t>2J1FXAS105150</t>
  </si>
  <si>
    <t>2J1FXAS108200</t>
  </si>
  <si>
    <t>2J1FXAS102075</t>
  </si>
  <si>
    <t>2J1FXAS103250</t>
  </si>
  <si>
    <t>2J1FXAS106150</t>
  </si>
  <si>
    <t>2J1FXAS112100</t>
  </si>
  <si>
    <t>2J1FXAS110075</t>
  </si>
  <si>
    <t>2J1FXAS104050</t>
  </si>
  <si>
    <t>2J1FXASP02250</t>
  </si>
  <si>
    <t>2J1FXASP07075</t>
  </si>
  <si>
    <t>2J1FXASP08050</t>
  </si>
  <si>
    <t>2J1FXASP09050</t>
  </si>
  <si>
    <t>2J1FXASP12100</t>
  </si>
  <si>
    <t>2J1FXASP06300</t>
  </si>
  <si>
    <t>2J1FXASP01050</t>
  </si>
  <si>
    <t>2J1FXASP03075</t>
  </si>
  <si>
    <t>2J1FXASP04075</t>
  </si>
  <si>
    <t>2J1FXASP05050</t>
  </si>
  <si>
    <t>2J1RXASPA1BRW</t>
  </si>
  <si>
    <t>2J1RXAS1A1BLK</t>
  </si>
  <si>
    <t>2J1RXAS1A2VIO</t>
  </si>
  <si>
    <t>2J1RXASPA2VIO</t>
  </si>
  <si>
    <t>N_106_232_01</t>
  </si>
  <si>
    <t>KABELBINDER_2.5X95</t>
  </si>
  <si>
    <t>"X"</t>
  </si>
  <si>
    <t>N_037_043_3</t>
  </si>
  <si>
    <t>N_901_916_55</t>
  </si>
  <si>
    <t>N_037_093_5</t>
  </si>
  <si>
    <t>CU: 22 (g)</t>
  </si>
  <si>
    <t>Y0053</t>
  </si>
  <si>
    <t>M.31.9J1_033.MB34_B1_Y0031_1_1</t>
  </si>
  <si>
    <t>M.31.9J1_033.MB34_B1</t>
  </si>
  <si>
    <t>L0L</t>
  </si>
  <si>
    <t>X.INF_LVH2+.9Y0_077._XI.RX7.5_4_1</t>
  </si>
  <si>
    <t>UNI_CONT_AU_FLK</t>
  </si>
  <si>
    <t>X.INF_LVH2+.9Y0_077.</t>
  </si>
  <si>
    <t>X.INF_LVH1+.9Y0_077._XI.RX7.5_3_1</t>
  </si>
  <si>
    <t>X.INF_LVH1+.9Y0_077.</t>
  </si>
  <si>
    <t>X.INF_LVH2-.9Y0_077._XI.RX7.5_2_1</t>
  </si>
  <si>
    <t>X.INF_LVH2-.9Y0_077.</t>
  </si>
  <si>
    <t>X.INF_LVH1-.9Y0_077._XI.RX7.5_1_1</t>
  </si>
  <si>
    <t>X.INF_LVH1-.9Y0_077.</t>
  </si>
  <si>
    <t>X.INF_LVH1G.9Y0_077._XI.RX7.5_5S_1</t>
  </si>
  <si>
    <t>X.INF_LVH1G.9Y0_077.</t>
  </si>
  <si>
    <t>V.30A.9J1_034.SO_F8_XA.K.1_27_1</t>
  </si>
  <si>
    <t>V.30A.9J1_034.SO_F8</t>
  </si>
  <si>
    <t>V.30A.9J1_034.SO_F8_XA.K.1_31_1</t>
  </si>
  <si>
    <t>V.30A.9J1_034.SO_F8_XA.K.1_32_1</t>
  </si>
  <si>
    <t>1-16D</t>
  </si>
  <si>
    <t>M.31.9J1_033.MB31_B1_Y0023_1_3</t>
  </si>
  <si>
    <t>1-22E</t>
  </si>
  <si>
    <t>M.31.9J1_033.MB31_B1_Y0023_1_2</t>
  </si>
  <si>
    <t>M.31.9J1_033.MB31_B1_Y0023_1_1</t>
  </si>
  <si>
    <t>S.SIGNAL.9Y0_055._XA.W6.1_1_1</t>
  </si>
  <si>
    <t>1-40A</t>
  </si>
  <si>
    <t>S.SIGNAL.9Y0_055.</t>
  </si>
  <si>
    <t>V.30G.9Y0_055.HSF</t>
  </si>
  <si>
    <t>1-19D</t>
  </si>
  <si>
    <t>V.58xt.9Y0_055.</t>
  </si>
  <si>
    <t>V.30A.9J1_034.SP_F2</t>
  </si>
  <si>
    <t>V.58xt.9Y0_055._XA.D9.2_2_1</t>
  </si>
  <si>
    <t>S.S-Kontakt.9Y0_056.SW2</t>
  </si>
  <si>
    <t>S.S-Kontakt.9Y0_056.SW3</t>
  </si>
  <si>
    <t>S.S-Kontakt.9Y0_056.SW1</t>
  </si>
  <si>
    <t>M.31.9J1_033.MB31_B1_Y0032_1_3</t>
  </si>
  <si>
    <t>1-29G</t>
  </si>
  <si>
    <t>V.30A.9J1_034.SO_F5</t>
  </si>
  <si>
    <t>V.58xs.9Y0_055.V_TCPL.2D1_9_1</t>
  </si>
  <si>
    <t>1-32H</t>
  </si>
  <si>
    <t>V.58xs.9Y0_055.V</t>
  </si>
  <si>
    <t>1-36E</t>
  </si>
  <si>
    <t>X.ILM_STECK.9Y0_055._TCPL.2D1_15_1</t>
  </si>
  <si>
    <t>X.ILM_STECK.9Y0_055.</t>
  </si>
  <si>
    <t>M.31.9J1_033.MB31_B1_Y0032_1_1</t>
  </si>
  <si>
    <t>1-15H</t>
  </si>
  <si>
    <t>X.9.9Y0_056.ANT1_TCPR.2A1_11_1</t>
  </si>
  <si>
    <t>X.9.9Y0_056.ANT1</t>
  </si>
  <si>
    <t>M.31-SM.9Y0_055._TCPL.2D1_10_1</t>
  </si>
  <si>
    <t>M.31-SM.9Y0_055.</t>
  </si>
  <si>
    <t>S.49w_Sig.9Y0_055._TCPL.2D1_11_1</t>
  </si>
  <si>
    <t>S.49w_Sig.9Y0_055.</t>
  </si>
  <si>
    <t>X.MOT_MMBK1.9Y0_055._TCPL.2D1_12_1</t>
  </si>
  <si>
    <t>X.MOT_MMBK1.9Y0_055.</t>
  </si>
  <si>
    <t>M.31.9J1_033.MB31_B1_Y0032_1_2</t>
  </si>
  <si>
    <t>V.30A.9J1_034.SP_F8</t>
  </si>
  <si>
    <t>V.30A.9J1_034.SP_F7</t>
  </si>
  <si>
    <t>S.ZR_Reset.9Y0_077._XA.E380.2_3_1</t>
  </si>
  <si>
    <t>M.31.9J1_033.MB33_C1</t>
  </si>
  <si>
    <t>V.30A.9J1_034.SP_F12</t>
  </si>
  <si>
    <t>A.INF_LTEI.9J1_035A.Ant3_XA.R330.1_1_1</t>
  </si>
  <si>
    <t>1-50C</t>
  </si>
  <si>
    <t>ND</t>
  </si>
  <si>
    <t>A.INF_LTEI.9J1_035A.Ant3</t>
  </si>
  <si>
    <t>A.INF_LTES.9J1_035A.Ant3_XA.R330.1_2_1</t>
  </si>
  <si>
    <t>A.INF_LTES.9J1_035A.Ant3</t>
  </si>
  <si>
    <t>A.ANTENNE.9J1_035A.WLAN_XA.R266.2_1_1</t>
  </si>
  <si>
    <t>A.ANTENNE.9J1_035A.WLAN</t>
  </si>
  <si>
    <t>S.SCHIRM.9J1_035A.WLAN_XA.R266.2_2_1</t>
  </si>
  <si>
    <t>S.SCHIRM.9J1_035A.WLAN</t>
  </si>
  <si>
    <t>D.ETH3+.9Y0_077._XC.RX7.5_6_1</t>
  </si>
  <si>
    <t>D.ETH3+.9Y0_077.</t>
  </si>
  <si>
    <t>D.ETH3-.9Y0_077._XC.RX7.5_12_1</t>
  </si>
  <si>
    <t>D.ETH3-.9Y0_077.</t>
  </si>
  <si>
    <t>M.31.9J1_033.MB32_B1_Y0018_1_1</t>
  </si>
  <si>
    <t>S.INF_Power_On.9Y0_047.EPB_A1_TCPL.2D1_5_1</t>
  </si>
  <si>
    <t>S.INF_Power_On.9Y0_047.EPB_A1</t>
  </si>
  <si>
    <t>S.INF_Power_On.9Y0_047.EPB_A2_TCPL.2D1_4_1</t>
  </si>
  <si>
    <t>S.INF_Power_On.9Y0_047.EPB_A2</t>
  </si>
  <si>
    <t>S.INF_Power_On.9Y0_047.EPB_A3_TCPL.2D1_3_1</t>
  </si>
  <si>
    <t>S.INF_Power_On.9Y0_047.EPB_A3</t>
  </si>
  <si>
    <t>S.INF_Power_On.9Y0_047.EPB_A4_TCPL.2D1_2_1</t>
  </si>
  <si>
    <t>S.INF_Power_On.9Y0_047.EPB_A4</t>
  </si>
  <si>
    <t>S.Mute.9J1_035A._XB.RX7.5_5_1</t>
  </si>
  <si>
    <t>S.Mute.9J1_035A.</t>
  </si>
  <si>
    <t>L0L+2V1+9AD</t>
  </si>
  <si>
    <t>449 (g)</t>
  </si>
  <si>
    <t>L0L+2V3+9AD</t>
  </si>
  <si>
    <t>D.AC_LIN2.9Y0_051..1_XB.J301.1_8_1</t>
  </si>
  <si>
    <t>1-41E</t>
  </si>
  <si>
    <t>D.AC_LIN2.9Y0_051..1</t>
  </si>
  <si>
    <t>D.AC_LIN4.9Y0_051.</t>
  </si>
  <si>
    <t>X.AC_31.9Y0_051.B20</t>
  </si>
  <si>
    <t>S.SIGNAL.9Y0_051.B28_XB.J301.1_28_1</t>
  </si>
  <si>
    <t>S.SIGNAL.9Y0_051.B28</t>
  </si>
  <si>
    <t>S.SIGNAL.9Y0_051.B29_XB.J301.1_29_1</t>
  </si>
  <si>
    <t>S.SIGNAL.9Y0_051.B29</t>
  </si>
  <si>
    <t>S.SIGNAL.9Y0_051.B30_XB.J301.1_30_1</t>
  </si>
  <si>
    <t>S.SIGNAL.9Y0_051.B30</t>
  </si>
  <si>
    <t>M.31-SM.9Y0_051.B38_XB.J301.1_38_1</t>
  </si>
  <si>
    <t>M.31-SM.9Y0_051.B38</t>
  </si>
  <si>
    <t>X.AC_30.9Y0_051.B40</t>
  </si>
  <si>
    <t>X.AC_30.9Y0_051.B40_XB.J301.1_40_1</t>
  </si>
  <si>
    <t>D.AC_LIN2.9Y0_051..1_XA.J1072.2_2_1</t>
  </si>
  <si>
    <t>D.AC_LIN2.9Y0_051..1_XA.V2.1_4_1</t>
  </si>
  <si>
    <t>M.31-SM.9Y0_051.B38_Y0021_1_1</t>
  </si>
  <si>
    <t>S.SIGNAL.9Y0_051.B11</t>
  </si>
  <si>
    <t>S.SIGNAL.9Y0_051.B12</t>
  </si>
  <si>
    <t>M.31.9J1_033.MB32_B1_Y0050_1_2</t>
  </si>
  <si>
    <t>M.31.9J1_033.MB32_B1_Y0018_1_2</t>
  </si>
  <si>
    <t>S.SIGNAL.9Y0_051.B9</t>
  </si>
  <si>
    <t>S.SIGNAL.9Y0_051.B5</t>
  </si>
  <si>
    <t>V.30A.9J1_034.SP_F6</t>
  </si>
  <si>
    <t>V.30A.9J1_034.SO_F3</t>
  </si>
  <si>
    <t>M.31.9J1_033.MB32_B1_Y0018_1_3</t>
  </si>
  <si>
    <t>V.HV+.9Y0_051A.L_XA.J1151.1_1_1</t>
  </si>
  <si>
    <t>V.HV+.9Y0_051A.L</t>
  </si>
  <si>
    <t>M.HV-.9Y0_051A.R_XB.J1151.1_2_1</t>
  </si>
  <si>
    <t>M.HV-.9Y0_051A.R</t>
  </si>
  <si>
    <t>V.HV+.9Y0_051A.R_XB.J1151.1_1_1</t>
  </si>
  <si>
    <t>V.HV+.9Y0_051A.R</t>
  </si>
  <si>
    <t>M.HV-.9Y0_051A.L_XA.J1151.1_2_1</t>
  </si>
  <si>
    <t>M.HV-.9Y0_051A.L</t>
  </si>
  <si>
    <t>X.AC_31.9Y0_051.B20_Y0037_1_1</t>
  </si>
  <si>
    <t>X.AC_31.9Y0_051.B20_XD.VX46.2_1_1</t>
  </si>
  <si>
    <t>X.AC_31.9Y0_051.B20_XC.VX46.2_1_1</t>
  </si>
  <si>
    <t>X.AC_31.9Y0_051.B20_XB.VX46.2_1_1</t>
  </si>
  <si>
    <t>X.AC_31.9Y0_051.B20_XA.VX46.2_1_1</t>
  </si>
  <si>
    <t>X.AC_30.9Y0_051.B40_XD.VX46.2_4_1</t>
  </si>
  <si>
    <t>X.AC_30.9Y0_051.B40_XC.VX46.2_4_1</t>
  </si>
  <si>
    <t>X.AC_30.9Y0_051.B40_XB.VX46.2_4_1</t>
  </si>
  <si>
    <t>X.AC_30.9Y0_051.B40_XA.VX46.2_4_1</t>
  </si>
  <si>
    <t>D.AC_LIN.9Y0_051.J1.7</t>
  </si>
  <si>
    <t>V.58xs.9Y0_055._Y0202_1_2</t>
  </si>
  <si>
    <t>V.58xs.9Y0_055.</t>
  </si>
  <si>
    <t>V.58xs.9Y0_055._Y0202_1_1</t>
  </si>
  <si>
    <t>D.AC_LIN2.9Y0_051..1_XA.G930.1_2_1</t>
  </si>
  <si>
    <t>M.31.9J1_033.MB32_B1_Y0050_1_1</t>
  </si>
  <si>
    <t>M.31.9J1_033.MB31_B1_Y0023_1_4</t>
  </si>
  <si>
    <t>V.30A.9J1_034.SO_F6</t>
  </si>
  <si>
    <t>L0L+9VK</t>
  </si>
  <si>
    <t>L0L+9VL</t>
  </si>
  <si>
    <t>CU: 17 (g)</t>
  </si>
  <si>
    <t>L0L+9VJ</t>
  </si>
  <si>
    <t>CU: 31 (g)</t>
  </si>
  <si>
    <t>S.MTVR+.9Y0_076._Y0004_1_2</t>
  </si>
  <si>
    <t>1-49E</t>
  </si>
  <si>
    <t>S.MTVR-.9Y0_076._Y0005_1_2</t>
  </si>
  <si>
    <t>S.MTVL+.9Y0_076._Y0006_1_2</t>
  </si>
  <si>
    <t>S.MTVL-.9Y0_076._Y0007_1_2</t>
  </si>
  <si>
    <t>S.MTVR+.9Y0_076._XA.RX7.5_2_1</t>
  </si>
  <si>
    <t>S.MTVL+.9Y0_076._XA.RX7.5_3_1</t>
  </si>
  <si>
    <t>S.MTVR-.9Y0_076._XA.RX7.5_6_1</t>
  </si>
  <si>
    <t>S.MTVL-.9Y0_076._XA.RX7.5_7_1</t>
  </si>
  <si>
    <t>S.MTHR+.9Y0_076._XA.RX7.5_1_1</t>
  </si>
  <si>
    <t>S.MTHL+.9Y0_076._XA.RX7.5_4_1</t>
  </si>
  <si>
    <t>S.MTHR-.9Y0_076._XA.RX7.5_5_1</t>
  </si>
  <si>
    <t>S.MTHL-.9Y0_076._XA.RX7.5_8_1</t>
  </si>
  <si>
    <t>S.CMT+.9Y0_076B._TCP.1C1_5_1</t>
  </si>
  <si>
    <t>S.CMT+.9Y0_076B.</t>
  </si>
  <si>
    <t>S.CMT-.9Y0_076B._TCP.1C1_6_1</t>
  </si>
  <si>
    <t>S.CMT-.9Y0_076B.</t>
  </si>
  <si>
    <t>S.CHT+.9Y0_076B._TCPR.2B1_7_1</t>
  </si>
  <si>
    <t>S.CHT-.9Y0_076B._TCPR.2B1_8_1</t>
  </si>
  <si>
    <t>S.TTVR+.9Y0_076._XD.RX7.5_11_1</t>
  </si>
  <si>
    <t>S.TTVR-.9Y0_076._XD.RX7.5_12_1</t>
  </si>
  <si>
    <t>S.TTVL+.9Y0_076._XD.RX7.5_9_1</t>
  </si>
  <si>
    <t>S.TTVL-.9Y0_076._XD.RX7.5_13_1</t>
  </si>
  <si>
    <t>SL77001</t>
  </si>
  <si>
    <t>S.INF_Power_On.9Y0_077.</t>
  </si>
  <si>
    <t>X.INF_GSMI.9Y0_077._TCPM.1C1_1_1</t>
  </si>
  <si>
    <t>X.INF_GSMI.9Y0_077.</t>
  </si>
  <si>
    <t>X.INF_GSMS.9Y0_077._TCPM.1C1_2_1</t>
  </si>
  <si>
    <t>X.INF_GSMS.9Y0_077.</t>
  </si>
  <si>
    <t>V.30A.9J1_034.SP_F1</t>
  </si>
  <si>
    <t>V.30A.9J1_034.SP_F1_XA.SP.1_1A_1</t>
  </si>
  <si>
    <t>CU: 7 (g)</t>
  </si>
  <si>
    <t>V.30A.9J1_034.SO_F12</t>
  </si>
  <si>
    <t>CU: 4 (g)</t>
  </si>
  <si>
    <t>S.LSP+.9J1_035A.E-Call_XA.R91.1_1_1</t>
  </si>
  <si>
    <t>S.LSP-.9J1_035A.E-Call_XA.R91.1_2_1</t>
  </si>
  <si>
    <t>V.30A.9J1_034.SP_F3</t>
  </si>
  <si>
    <t>X.INF_LVV+.9Y0_077.D2</t>
  </si>
  <si>
    <t>X.INF_LVV+.9Y0_077.D1</t>
  </si>
  <si>
    <t>X.INF_LVV-.9Y0_077.D2</t>
  </si>
  <si>
    <t>X.INF_LVV-.9Y0_077.D1</t>
  </si>
  <si>
    <t>UNI_CONT_SN_FLK</t>
  </si>
  <si>
    <t>1-20B</t>
  </si>
  <si>
    <t>X.INF_LVV+.9Y0_077.3D2</t>
  </si>
  <si>
    <t>X.INF_LVV+.9Y0_077.3D1</t>
  </si>
  <si>
    <t>X.INF_LVV-.9Y0_077.3D2</t>
  </si>
  <si>
    <t>X.INF_LVV-.9Y0_077.3D1</t>
  </si>
  <si>
    <t>N_107_594_01</t>
  </si>
  <si>
    <t>V.30A.9J1_034.SP_F4</t>
  </si>
  <si>
    <t>X.INF_LVV+.9Y0_077.O2_XB.J145.1_1_1</t>
  </si>
  <si>
    <t>X.INF_LVV+.9Y0_077.O2</t>
  </si>
  <si>
    <t>X.INF_LVV+.9Y0_077.O1_XB.J145.1_2_1</t>
  </si>
  <si>
    <t>X.INF_LVV+.9Y0_077.O1</t>
  </si>
  <si>
    <t>X.INF_LVV-.9Y0_077.O2_XB.J145.1_3_1</t>
  </si>
  <si>
    <t>X.INF_LVV-.9Y0_077.O2</t>
  </si>
  <si>
    <t>X.INF_LVV-.9Y0_077.O1_XB.J145.1_4_1</t>
  </si>
  <si>
    <t>X.INF_LVV-.9Y0_077.O1</t>
  </si>
  <si>
    <t>X.INF_LVVG.9Y0_077..2_XB.J145.1_5S_1</t>
  </si>
  <si>
    <t>X.INF_LVVG.9Y0_077..2</t>
  </si>
  <si>
    <t>CU: 109 (g)</t>
  </si>
  <si>
    <t>CU: 71 (g)</t>
  </si>
  <si>
    <t>CU: 85 (g)</t>
  </si>
  <si>
    <t>S.SCHIRM.9Y0_077.DAB</t>
  </si>
  <si>
    <t>A.ANTENNE.9Y0_077.SDARS_XF.RX7.6_3_1</t>
  </si>
  <si>
    <t>1-48B</t>
  </si>
  <si>
    <t>A.ANTENNE.9Y0_077.SDARS</t>
  </si>
  <si>
    <t>S.SCHIRM.9Y0_077.SDARS_XF.RX7.6_3S_1</t>
  </si>
  <si>
    <t>S.SCHIRM.9Y0_077.SDARS</t>
  </si>
  <si>
    <t>A.ANTENNE.9Y0_077.AM_XF.RX7.5_1_2</t>
  </si>
  <si>
    <t>A.ANTENNE.9Y0_077.AM</t>
  </si>
  <si>
    <t>S.SCHIRM.9Y0_077.AM</t>
  </si>
  <si>
    <t>A.ANTENNE.077.FM2_XF.RX7.5_4_2</t>
  </si>
  <si>
    <t>S.BT_Reset.9Y0_077.FM2_XF.RX7.5_4S_2</t>
  </si>
  <si>
    <t>S.BT_Reset.9Y0_077.FM2</t>
  </si>
  <si>
    <t>X.ANT-ZV_I.9Y0_056._XA.R130.4_1_1</t>
  </si>
  <si>
    <t>X.ANT-ZV_I.9Y0_056.</t>
  </si>
  <si>
    <t>X.ANT-ZV_S.056._XA.R130.4_2_1</t>
  </si>
  <si>
    <t>A.ANTENNE.077.FM2_XF.RX7.5_4_1</t>
  </si>
  <si>
    <t>S.BT_Reset.9Y0_077.FM2_XF.RX7.5_4S_1</t>
  </si>
  <si>
    <t>X.ANT-ZV_I.9Y0_056._XA.R130.3_1_1</t>
  </si>
  <si>
    <t>X.ANT-ZV_S.056._XA.R130.3_2_1</t>
  </si>
  <si>
    <t>A.ANTENNE.9Y0_077.AM_XF.RX7.5_1_1</t>
  </si>
  <si>
    <t>S.SCHIRM.9Y0_077.AM_XF.RX7.5_1S_1</t>
  </si>
  <si>
    <t>A.ANTENNE.9Y0_077.AM_XA.R130.4_3_1</t>
  </si>
  <si>
    <t>S.SCHIRM.9Y0_077.AM_XA.R130.4_4_1</t>
  </si>
  <si>
    <t>A.ANTENNE.077.FM2_XA.R131.3_1_1</t>
  </si>
  <si>
    <t>S.BT_Reset.9Y0_077.FM2_XA.R131.3_2_1</t>
  </si>
  <si>
    <t>V.USB_5V.9Y0_090._XA.K.1_8_1</t>
  </si>
  <si>
    <t>V.USB_5V.9Y0_090.</t>
  </si>
  <si>
    <t>M.USB_D-.9Y0_090._XA.K.1_7_1</t>
  </si>
  <si>
    <t>M.USB_D-.9Y0_090.</t>
  </si>
  <si>
    <t>V.USB_D+.9Y0_090._XA.K.1_6_1</t>
  </si>
  <si>
    <t>V.USB_D+.9Y0_090.</t>
  </si>
  <si>
    <t>M.USB_GND.9Y0_090._XA.K.1_9_1</t>
  </si>
  <si>
    <t>M.USB_GND.9Y0_090.</t>
  </si>
  <si>
    <t>S.USB_Shield.9Y0_090._XA.K.1_10_1</t>
  </si>
  <si>
    <t>S.USB_Shield.9Y0_090.</t>
  </si>
  <si>
    <t>V.30A.9J1_034.SO_F10</t>
  </si>
  <si>
    <t>CU: 2 (g)</t>
  </si>
  <si>
    <t>D.DATA.077.RBD_XE.RX7.5_3_1</t>
  </si>
  <si>
    <t>V.USB_5V.9Y0_077._XC.RX7.5_10_1</t>
  </si>
  <si>
    <t>V.USB_5V.9Y0_077.</t>
  </si>
  <si>
    <t>V.USB_D+.9Y0_077.Data1_XH.RX7.5_1_1</t>
  </si>
  <si>
    <t>V.USB_D+.9Y0_077.Data1</t>
  </si>
  <si>
    <t>M.USB_D-.9Y0_077.Data2_XH.RX7.5_2_1</t>
  </si>
  <si>
    <t>M.USB_D-.9Y0_077.Data2</t>
  </si>
  <si>
    <t>M.USB_D-.9Y0_077.Data1_XH.RX7.5_3_1</t>
  </si>
  <si>
    <t>M.USB_D-.9Y0_077.Data1</t>
  </si>
  <si>
    <t>V.USB_D+.9Y0_077.Data2_XH.RX7.5_4_1</t>
  </si>
  <si>
    <t>V.USB_D+.9Y0_077.Data2</t>
  </si>
  <si>
    <t>S.USB_Shield.9Y0_077._XH.RX7.5_5S_1</t>
  </si>
  <si>
    <t>S.USB_Shield.9Y0_077.</t>
  </si>
  <si>
    <t>V.30A.9J1_034.SP_F5</t>
  </si>
  <si>
    <t>M.31.9J1_033.MB31_B1_Y0032_1_5</t>
  </si>
  <si>
    <t>V.USB_D+.077.ZFAS2_XM.RX7.5_1_1</t>
  </si>
  <si>
    <t>1-50B</t>
  </si>
  <si>
    <t>V.USB_D+.077.ZFAS1_XM.RX7.5_2_1</t>
  </si>
  <si>
    <t>M.USB_D-.077.ZFAS2_XM.RX7.5_3_1</t>
  </si>
  <si>
    <t>M.USB_D-.077.ZFAS1_XM.RX7.5_4_1</t>
  </si>
  <si>
    <t>S.USB_Shield.077.ZFAS_XM.RX7.5_5S_1</t>
  </si>
  <si>
    <t>L0L+9R1</t>
  </si>
  <si>
    <t>27 (g)</t>
  </si>
  <si>
    <t>A.ANTENNE.064D._XO.RX7.5_1_1</t>
  </si>
  <si>
    <t>S.SCHIRM.064D._XO.RX7.5_2_1</t>
  </si>
  <si>
    <t>L0L+7UG</t>
  </si>
  <si>
    <t>X.INF_GPS_I.9J1_035A.</t>
  </si>
  <si>
    <t>X.INF_GPS_S.9J1_035A.</t>
  </si>
  <si>
    <t>S.SIGNAL.9Y0_085.PA1+_XA.J234.5_11_1</t>
  </si>
  <si>
    <t>UNI_CONT_AU_FLR</t>
  </si>
  <si>
    <t>S.SIGNAL.9Y0_085.PA1+</t>
  </si>
  <si>
    <t>S.SIGNAL.9Y0_085.PA1-_XA.J234.5_15_1</t>
  </si>
  <si>
    <t>S.SIGNAL.9Y0_085.PA1-</t>
  </si>
  <si>
    <t>M.31.9J1_033.MB32_B1_XA.NX3.9_3_1</t>
  </si>
  <si>
    <t>S.ABBF2+.9Y0_085._XA.J234.5_10_1</t>
  </si>
  <si>
    <t>S.ABBF2+.9Y0_085.</t>
  </si>
  <si>
    <t>S.ABBF2-.9Y0_085._XA.J234.5_14_1</t>
  </si>
  <si>
    <t>S.ABBF2-.9Y0_085.</t>
  </si>
  <si>
    <t>S.SIGNAL.9Y0_085.L1_XA.J234.5_18_1</t>
  </si>
  <si>
    <t>S.SIGNAL.9Y0_085.L1</t>
  </si>
  <si>
    <t>S.SIGNAL.9Y0_085.L2_XA.J234.5_19_1</t>
  </si>
  <si>
    <t>S.SIGNAL.9Y0_085.L2</t>
  </si>
  <si>
    <t>M.BAG_31a.9Y0_085._XA.J234.5_20_1</t>
  </si>
  <si>
    <t>M.BAG_31a.9Y0_085.</t>
  </si>
  <si>
    <t>S.SIGNAL.9Y0_085.KAD+_XA.J234.5_6_1</t>
  </si>
  <si>
    <t>S.SIGNAL.9Y0_085.KAD+</t>
  </si>
  <si>
    <t>S.SIGNAL.9Y0_085.KAD-_XA.J234.5_2_1</t>
  </si>
  <si>
    <t>S.SIGNAL.9Y0_085.KAD-</t>
  </si>
  <si>
    <t>S.SIGNAL.9Y0_085.KAP+_XA.J234.5_5_1</t>
  </si>
  <si>
    <t>S.SIGNAL.9Y0_085.KAP+</t>
  </si>
  <si>
    <t>S.SIGNAL.9Y0_085.KAP-_XA.J234.5_1_1</t>
  </si>
  <si>
    <t>S.SIGNAL.9Y0_085.KAP-</t>
  </si>
  <si>
    <t>M.31.9J1_033.MB32_B1_XA.N296.7_3_1</t>
  </si>
  <si>
    <t>S.BAGFS1+.._XA.J234.5_12_1</t>
  </si>
  <si>
    <t>S.BAGFS1-.._XA.J234.5_16_1</t>
  </si>
  <si>
    <t>S.BAG_FS2-.._XA.J234.5_13_1</t>
  </si>
  <si>
    <t>S.BAG_FS2+.._XA.J234.5_9_1</t>
  </si>
  <si>
    <t>S.BAG_BFS3+.9Y0_085._XA.J234.5_7_1</t>
  </si>
  <si>
    <t>S.BAG_BFS3-.9Y0_085._XA.J234.5_3_1</t>
  </si>
  <si>
    <t>M.31.9J1_033.MB31_B1_Y0032_1_4</t>
  </si>
  <si>
    <t>L0L+QQ0</t>
  </si>
  <si>
    <t>36 (g)</t>
  </si>
  <si>
    <t>L0L+QQ1</t>
  </si>
  <si>
    <t>M.31.9J1_033.MB33_C1_Y0030_1_1</t>
  </si>
  <si>
    <t>X.ILM_FUSS.9Y0_055.VL</t>
  </si>
  <si>
    <t>M.31.9J1_033.MB32_D1_XA.K269.1_1_1</t>
  </si>
  <si>
    <t>M.31.9J1_033.MB32_D1</t>
  </si>
  <si>
    <t>X.ILM_FUSS.9Y0_055.VR</t>
  </si>
  <si>
    <t>V.ILM_ALM30.9Y0_055._XA.K268.2_1_1</t>
  </si>
  <si>
    <t>V.ILM_ALM30.9Y0_055.</t>
  </si>
  <si>
    <t>V.ILM_ALM30.9Y0_055._XA.K269.2_1_1</t>
  </si>
  <si>
    <t>M.31.9J1_033.MB33_C1_Y0030_1_2</t>
  </si>
  <si>
    <t>M.31.9J1_033.MB32_D1_XA.K269.2_4_1</t>
  </si>
  <si>
    <t>D.LIN6_BCM1.9Y0_055E._XA.K269.2_2_1</t>
  </si>
  <si>
    <t>D.LIN6_BCM1.9Y0_055E.</t>
  </si>
  <si>
    <t>D.LIN6_BCM1.9Y0_055._TCPL.2D1_8_1</t>
  </si>
  <si>
    <t>D.LIN6_BCM1.9Y0_055.</t>
  </si>
  <si>
    <t>77001/77004</t>
  </si>
  <si>
    <t>003</t>
  </si>
  <si>
    <t>004</t>
  </si>
  <si>
    <t>KB_026</t>
  </si>
  <si>
    <t>6Q0_971_848_P</t>
  </si>
  <si>
    <t>L0L+4UF</t>
  </si>
  <si>
    <t>9J1_974_412_A</t>
  </si>
  <si>
    <t>9J1_974_077_A</t>
  </si>
  <si>
    <t>CLIP_LEITUNGSSTRANG_162.6X4.6</t>
  </si>
  <si>
    <t>CL_108</t>
  </si>
  <si>
    <t>3D0_971_739_B</t>
  </si>
  <si>
    <t>L0L+8LH//L0L+8LC/8LE+K8X</t>
  </si>
  <si>
    <t>KB_020</t>
  </si>
  <si>
    <t>1-39E</t>
  </si>
  <si>
    <t>SP_KL30_KOMBI</t>
  </si>
  <si>
    <t>SP_CANL_KOMBI</t>
  </si>
  <si>
    <t>SP_CANH_KOMBI</t>
  </si>
  <si>
    <t>Schalter fĂĽr Handschuhfachleuchte</t>
  </si>
  <si>
    <t>SP_KL58</t>
  </si>
  <si>
    <t>Elektronisches ZĂĽndschloss</t>
  </si>
  <si>
    <t>SteuergerĂ¤t fĂĽr LenksĂ¤ulenelektronik</t>
  </si>
  <si>
    <t>SP_CANH_INFOTAINMENT</t>
  </si>
  <si>
    <t>SP_CANL_INFOTAINMENT</t>
  </si>
  <si>
    <t>SteuergerĂ¤t fĂĽr WĂ¤hlhebelsensorik</t>
  </si>
  <si>
    <t>Bedienungseinheit fĂĽr Multimediasystem</t>
  </si>
  <si>
    <t>AnschluĂź fĂĽr Diagnose</t>
  </si>
  <si>
    <t>Antenne fĂĽr Internetzugang [WLAN Spiegelfuss]</t>
  </si>
  <si>
    <t>SteuergerĂ¤t fĂĽr Klimaanlage</t>
  </si>
  <si>
    <t>FrischluftgeblĂ¤se</t>
  </si>
  <si>
    <t>SP_SENSORMASSE_KLIMA</t>
  </si>
  <si>
    <t>MittenausstrĂ¶mer</t>
  </si>
  <si>
    <t>Elektronadel fĂĽr Ionisator</t>
  </si>
  <si>
    <t>SP_SENSORMASSE</t>
  </si>
  <si>
    <t>SP_KL58XS</t>
  </si>
  <si>
    <t>Sensor fĂĽr Feinstaubgehalt der Klimaanlage</t>
  </si>
  <si>
    <t>SteuergerĂ¤t fĂĽr elektrisch verstellbare LenksĂ¤ule</t>
  </si>
  <si>
    <t>SP_LSP_VL_PLUS</t>
  </si>
  <si>
    <t>SP_LSP_VL_MINUS</t>
  </si>
  <si>
    <t>SP_LSP_VR_PLUS</t>
  </si>
  <si>
    <t>SP_LSP_VR_MINUS</t>
  </si>
  <si>
    <t>Aktivlautsprecher fĂĽr Breitband vorn rechts [A-Saule Re.]</t>
  </si>
  <si>
    <t>SP_CANL_MIB_PRIVATE</t>
  </si>
  <si>
    <t>Bedienungs- und Anzeigeeinheit fĂĽr Multimediasystem [Centerdisplay]</t>
  </si>
  <si>
    <t>SP_CANH_MIB_PRIVATE</t>
  </si>
  <si>
    <t>Multimediasystem [NAR]</t>
  </si>
  <si>
    <t>Heckscheibenantenne 1 [Rechts - RDW mit DAB]</t>
  </si>
  <si>
    <t>SteuergerĂ¤t fĂĽr Telefon, Telematik</t>
  </si>
  <si>
    <t>SteuergerĂ¤t fĂĽr Airbag</t>
  </si>
  <si>
    <t>ZĂĽnder fĂĽr Knieairbag Fahrerseite</t>
  </si>
  <si>
    <t>ZĂĽnder fĂĽr Knieairbag Beifahrerseite</t>
  </si>
  <si>
    <t>FuĂźraumleuchte vorn links</t>
  </si>
  <si>
    <t>FuĂźraumleuchte vorn rechts</t>
  </si>
  <si>
    <t>SP_KL30_AMBIENTE</t>
  </si>
  <si>
    <t>SP_LIN5_AC</t>
  </si>
  <si>
    <t>SP_KLIMA_LIN2</t>
  </si>
  <si>
    <t>InnenfĂĽhler fĂĽr automatische Heizungsregelung</t>
  </si>
  <si>
    <t>SP_STELLANTRIEBE_KL30</t>
  </si>
  <si>
    <t>SP_KL15_SH</t>
  </si>
  <si>
    <t>Schalter fĂĽr LenksĂ¤ulenverstellung</t>
  </si>
  <si>
    <t>SP_KL30_KOPPELBOX</t>
  </si>
  <si>
    <t>Koppelstelle an der C-SĂ¤ule rechts</t>
  </si>
  <si>
    <t>Koppelstelle an der Schalttafel links [RĂĽckfahrkamera]</t>
  </si>
  <si>
    <t>SchlĂĽsselschalter fĂĽr Abschaltung des Airbags Beifahrerseite</t>
  </si>
  <si>
    <t>Typ</t>
  </si>
  <si>
    <t>1-24A</t>
  </si>
  <si>
    <t>FLK</t>
  </si>
  <si>
    <t>S.PDC_LSH+..9Y0_TCPL.2B1_3_1</t>
  </si>
  <si>
    <t>KS_CPL_B</t>
  </si>
  <si>
    <t>FLR</t>
  </si>
  <si>
    <t>S.PDC_LSH-..9Y0_TCPL.2B1_4_1</t>
  </si>
  <si>
    <t>SP_0001</t>
  </si>
  <si>
    <t>1-25E</t>
  </si>
  <si>
    <t>V.30A.9J1_034.SO_F8_XA.SO.1_8A_1</t>
  </si>
  <si>
    <t>SP_0023</t>
  </si>
  <si>
    <t>1-21F</t>
  </si>
  <si>
    <t>M.31.9J1_033.MB31_B1_Y0023_1_5</t>
  </si>
  <si>
    <t>D.CAN_KOMBI_L.9J1_035._TCPL.2B1_1_1</t>
  </si>
  <si>
    <t>SP_0033</t>
  </si>
  <si>
    <t>D.CAN_KOMBI_L.9J1_035.</t>
  </si>
  <si>
    <t>D.CAN_KOMBI_H.9J1_035._TCPL.2B1_2_1</t>
  </si>
  <si>
    <t>SP_0034</t>
  </si>
  <si>
    <t>D.CAN_KOMBI_H.9J1_035.</t>
  </si>
  <si>
    <t>SP_0050</t>
  </si>
  <si>
    <t>V.30G.9Y0_055.HSF_TCPL.2C1_9_1</t>
  </si>
  <si>
    <t>KS_CPL_C</t>
  </si>
  <si>
    <t>1-15F</t>
  </si>
  <si>
    <t>SP_0031</t>
  </si>
  <si>
    <t>SP_0053</t>
  </si>
  <si>
    <t>D.LIN4_BCM1.9Y0_055._TCPL.2C1_11_1</t>
  </si>
  <si>
    <t>D.LIN4_BCM1.9Y0_055.</t>
  </si>
  <si>
    <t>D.LIN1_BCM1.9Y0_055..2_TCPL.2C1_10_1</t>
  </si>
  <si>
    <t>V.58xt.9Y0_055._TCPL.2C1_4_1</t>
  </si>
  <si>
    <t>SP_0025</t>
  </si>
  <si>
    <t>V.30A.9J1_034.SP_F2_XA.SP.1_2A_1</t>
  </si>
  <si>
    <t>1-31B</t>
  </si>
  <si>
    <t>S.S-Kontakt.9Y0_056.SW2_TCPR.2A1_1_1</t>
  </si>
  <si>
    <t>KS_CPR_A</t>
  </si>
  <si>
    <t>1-48A</t>
  </si>
  <si>
    <t>S.S-Kontakt.9Y0_056.SW3_TCPR.2A1_2_1</t>
  </si>
  <si>
    <t>M.31.9J1_033.MB34_B1_Y0053_1_2</t>
  </si>
  <si>
    <t>S.S-Kontakt.9Y0_056.SW1_TCPR.2A1_4_1</t>
  </si>
  <si>
    <t>SP_0032</t>
  </si>
  <si>
    <t>KS_CPM_D</t>
  </si>
  <si>
    <t>D.FR_BP..3_ZFAS_SMLS_TCPL.2B1_6_1</t>
  </si>
  <si>
    <t>D.FR_BP..3_ZFAS_SMLS</t>
  </si>
  <si>
    <t>D.FR_BM..3_ZFAS_SMLS_TCPL.2B1_7_1</t>
  </si>
  <si>
    <t>D.FR_BM..3_ZFAS_SMLS</t>
  </si>
  <si>
    <t>D.LIN_GW2.._TCPL.2B1_5_1</t>
  </si>
  <si>
    <t>V.30A.9J1_034.SO_F5_XA.SO.1_5A_1</t>
  </si>
  <si>
    <t>_TCPL.2D1_17_1</t>
  </si>
  <si>
    <t>KS_CPL_D</t>
  </si>
  <si>
    <t>1-15G</t>
  </si>
  <si>
    <t>KS_CPM_E</t>
  </si>
  <si>
    <t>D.CAN_I_H.9Y0_077._YW0008_1_1</t>
  </si>
  <si>
    <t>SP_0008</t>
  </si>
  <si>
    <t>D.CAN_I_H.9Y0_077.</t>
  </si>
  <si>
    <t>D.CAN_I_L.9J1_035._YW0009_1_1</t>
  </si>
  <si>
    <t>SP_0009</t>
  </si>
  <si>
    <t>D.CAN_I_L.9J1_035.</t>
  </si>
  <si>
    <t>S.GRA.._TCPL.2B1_8_1</t>
  </si>
  <si>
    <t>KS_CPL_A</t>
  </si>
  <si>
    <t>SP_0018</t>
  </si>
  <si>
    <t>KS_CPR_C</t>
  </si>
  <si>
    <t>_TCPR.2A1_10_1</t>
  </si>
  <si>
    <t>V.58xt.9Y0_055._TCPM.1E1_6_1</t>
  </si>
  <si>
    <t>1-21C</t>
  </si>
  <si>
    <t>KS_CPM_B</t>
  </si>
  <si>
    <t>SL72</t>
  </si>
  <si>
    <t>M.31.9J1_033.MB34_B1_Y0031_1_5</t>
  </si>
  <si>
    <t>V.30A.9J1_034.SP_F5_XA.SP.1_5A_1</t>
  </si>
  <si>
    <t>V.30A.9J1_034.SR2_F1_TCPR.2A1_16_1</t>
  </si>
  <si>
    <t>V.30A.9J1_034.SR2_F1</t>
  </si>
  <si>
    <t>V.30A.9J1_034.SR2_F2_TCPR.2B1_16_1</t>
  </si>
  <si>
    <t>KS_CPR_B</t>
  </si>
  <si>
    <t>1-49B</t>
  </si>
  <si>
    <t>V.30A.9J1_034.SR2_F2</t>
  </si>
  <si>
    <t>D.CAN_KOMBI_H.9J1_035._XA.K.1_4_1</t>
  </si>
  <si>
    <t>D.CAN_KOMBI_L.9J1_035._XA.K.1_3_1</t>
  </si>
  <si>
    <t>D.CAN_KOMBI_H.9J1_035._XA.J587.1_4_1</t>
  </si>
  <si>
    <t>1-28E</t>
  </si>
  <si>
    <t>D.CAN_KOMBI_L.9J1_035._XA.J587.1_3_1</t>
  </si>
  <si>
    <t>V.30A.9J1_034.SP_F8_XA.SP.1_8A_1</t>
  </si>
  <si>
    <t>D.ETH5-.9J1_035._TCPL.2A1_13_1</t>
  </si>
  <si>
    <t>D.ETH5-.9J1_035.</t>
  </si>
  <si>
    <t>D.ETH5+.9J1_035._TCPL.2A1_14_1</t>
  </si>
  <si>
    <t>D.ETH5+.9J1_035.</t>
  </si>
  <si>
    <t>V.30A.9J1_034.SP_F7_XA.SP.1_7A_1</t>
  </si>
  <si>
    <t>D.ETH1-.9J1_035.RX_TCPL.2G1_2_1</t>
  </si>
  <si>
    <t>D.ETH1-.9J1_035.RX</t>
  </si>
  <si>
    <t>D.ETH1-.9J1_035.TX_TCPL.2G1_3_1</t>
  </si>
  <si>
    <t>D.ETH1-.9J1_035.TX</t>
  </si>
  <si>
    <t>D.ETH1+.9J1_035.RX_TCPL.2G1_4_1</t>
  </si>
  <si>
    <t>D.ETH1+.9J1_035.RX</t>
  </si>
  <si>
    <t>D.ETH1+.9J1_035.TX_TCPL.2G1_1_1</t>
  </si>
  <si>
    <t>D.ETH1+.9J1_035.TX</t>
  </si>
  <si>
    <t>V.15AS.9J1_034.SD_F4_TCPR.2B1_11_1</t>
  </si>
  <si>
    <t>V.15AS.9J1_034.SD_F4</t>
  </si>
  <si>
    <t>SP_0030</t>
  </si>
  <si>
    <t>M.31.9J1_033.MB34_B1_Y0053_1_1</t>
  </si>
  <si>
    <t>M.31.9J1_033.MB33_C1_Y0030_1_3</t>
  </si>
  <si>
    <t>D.CAN_DIAG_H.9J1_035..1_TCPL.2B1_11_1</t>
  </si>
  <si>
    <t>D.CAN_DIAG_H.9J1_035..1</t>
  </si>
  <si>
    <t>D.CAN_DIAG_L.9J1_035..1_TCPL.2B1_12_1</t>
  </si>
  <si>
    <t>D.CAN_DIAG_L.9J1_035..1</t>
  </si>
  <si>
    <t>D.WUC.9J1_035._TCPL.2D1_14_1</t>
  </si>
  <si>
    <t>D.WUC.9J1_035.</t>
  </si>
  <si>
    <t>V.30A.9J1_034.SP_F12_XA.SP.1_12A_1</t>
  </si>
  <si>
    <t>D.CAN_I_H.9Y0_077._XE.RX7.5_6_1</t>
  </si>
  <si>
    <t>D.CAN_I_L.9J1_035._XE.RX7.5_12_1</t>
  </si>
  <si>
    <t>X.BAG_AEZ.._TCPL.2D1_13_1</t>
  </si>
  <si>
    <t>1-54B</t>
  </si>
  <si>
    <t>KS_CPR_E</t>
  </si>
  <si>
    <t>RTK031</t>
  </si>
  <si>
    <t>KS_CPR_J</t>
  </si>
  <si>
    <t>V.30A.9J1_034.SP_F9_XA.SP.1_9A_1</t>
  </si>
  <si>
    <t>D.AC_LIN5.9J1_035._XB.J301.1_17_1</t>
  </si>
  <si>
    <t>SP_0048</t>
  </si>
  <si>
    <t>D.AC_LIN5.9J1_035.</t>
  </si>
  <si>
    <t>D.AC_LIN5.9J1_035._Y0048_1_1</t>
  </si>
  <si>
    <t>X.10.9J1_035A.A2B+_XC.RX7.5_2_1</t>
  </si>
  <si>
    <t>X.10.9J1_035A.A2B+</t>
  </si>
  <si>
    <t>X.10.9J1_035A.A2B-_XC.RX7.5_8_1</t>
  </si>
  <si>
    <t>X.10.9J1_035A.A2B-</t>
  </si>
  <si>
    <t>1-31A</t>
  </si>
  <si>
    <t>356 (g)</t>
  </si>
  <si>
    <t>393 (g)</t>
  </si>
  <si>
    <t>D.CAN_K_H.9J1_035.2_XB.J301.1_1_1</t>
  </si>
  <si>
    <t>D.CAN_K_H.9J1_035.2</t>
  </si>
  <si>
    <t>D.CAN_K_L.9J1_035.2_XB.J301.1_2_1</t>
  </si>
  <si>
    <t>D.CAN_K_L.9J1_035.2</t>
  </si>
  <si>
    <t>SP_0020</t>
  </si>
  <si>
    <t>1-40F</t>
  </si>
  <si>
    <t>D.AC_LIN4.9Y0_051._XB.J301.1_16_1</t>
  </si>
  <si>
    <t>KS_CP_C</t>
  </si>
  <si>
    <t>X.AC_31.9Y0_051.B20_Y0037_1_3</t>
  </si>
  <si>
    <t>SP_0037</t>
  </si>
  <si>
    <t>KS_CPM_A</t>
  </si>
  <si>
    <t>SP_0021</t>
  </si>
  <si>
    <t>X.AC_30.9Y0_051.B40_Y0022_1_3</t>
  </si>
  <si>
    <t>SP_0022</t>
  </si>
  <si>
    <t>X.AC_30.9Y0_051.B40_Y0022_1_2</t>
  </si>
  <si>
    <t>X.AC_30.9Y0_051.B40_Y0022_1_1</t>
  </si>
  <si>
    <t>D.AC_LIN2.9Y0_051..1_Y0020_1_2</t>
  </si>
  <si>
    <t>M.31-SM.9Y0_051.B38_Y0021_1_4</t>
  </si>
  <si>
    <t>X.AC_31.9Y0_051.B20_Y0037_1_2</t>
  </si>
  <si>
    <t>M.31-SM.9Y0_051.B38_Y0021_1_3</t>
  </si>
  <si>
    <t>M.31-SM.9Y0_051.B38_Y0021_1_2</t>
  </si>
  <si>
    <t>D.AC_LIN2.9Y0_051..1_Y0020_1_1</t>
  </si>
  <si>
    <t>S.SIGNAL.9Y0_051.B11_XB.J301.1_11_1</t>
  </si>
  <si>
    <t>S.SIGNAL.9Y0_051.B12_XB.J301.1_12_1</t>
  </si>
  <si>
    <t>M.31.9J1_033.MB32_B1_Y0050_1_3</t>
  </si>
  <si>
    <t>M.31.9J1_033.MB32_B1_Y0018_1_4</t>
  </si>
  <si>
    <t>S.SIGNAL.9Y0_051.B9_XB.J301.1_9_1</t>
  </si>
  <si>
    <t>S.SIGNAL.9Y0_051.B5_XB.J301.1_5_1</t>
  </si>
  <si>
    <t>V.30A.9J1_034.SP_F6_XA.SP.1_6A_1</t>
  </si>
  <si>
    <t>V.30A.9J1_034.SO_F2_XA.SO.1_2A_1</t>
  </si>
  <si>
    <t>V.30A.9J1_034.SO_F2</t>
  </si>
  <si>
    <t>V.30A.9J1_034.SO_F3_XA.SO.1_3A_1</t>
  </si>
  <si>
    <t>V.15AS.9J1_034.SH_F6_XA.J1072.2_1_1</t>
  </si>
  <si>
    <t>SP_0051</t>
  </si>
  <si>
    <t>V.15AS.9J1_034.SH_F6</t>
  </si>
  <si>
    <t>M.31.9J1_033.MB33_A1_TCPL.2B1_9_1</t>
  </si>
  <si>
    <t>M.31.9J1_033.MB33_A1</t>
  </si>
  <si>
    <t>D.AC_LIN.9Y0_051.J1.3_XA.VX46.2_2_1</t>
  </si>
  <si>
    <t>1-36G</t>
  </si>
  <si>
    <t>D.CAN_I_H.9Y0_077._YW0008_1_2</t>
  </si>
  <si>
    <t>D.CAN_I_L.9J1_035._YW0009_1_2</t>
  </si>
  <si>
    <t>1-32D</t>
  </si>
  <si>
    <t>1-41H</t>
  </si>
  <si>
    <t>1-40J</t>
  </si>
  <si>
    <t>D.AC_LIN.9Y0_051.J1.7_XD.VX46.2_3_1</t>
  </si>
  <si>
    <t>M.31-SM.9Y0_051.B38_Y0021_1_5</t>
  </si>
  <si>
    <t>V.58xs.9Y0_055._Y0202_1_3</t>
  </si>
  <si>
    <t>SP_0202</t>
  </si>
  <si>
    <t>V.58xs.9Y0_055._TCPL.2C1_8_1</t>
  </si>
  <si>
    <t>V.15AS.9J1_034.SH_F6_XA.G930.1_1_1</t>
  </si>
  <si>
    <t>1-45G</t>
  </si>
  <si>
    <t>V.15AS.9J1_034.SH_F6_Y0051_1_1</t>
  </si>
  <si>
    <t>39 (g)</t>
  </si>
  <si>
    <t>CU: 20 (g)</t>
  </si>
  <si>
    <t>X.10..LSV_T_XA.J866.1_4_1</t>
  </si>
  <si>
    <t>X.10..LSV_T</t>
  </si>
  <si>
    <t>M.31.9J1_033.MB31_B1_Y0023_1_6</t>
  </si>
  <si>
    <t>X.LIN_BCM13.055B._TCPL.2C1_7_1</t>
  </si>
  <si>
    <t>V.30A.9J1_034.SO_F6_XA.SO.1_6A_1</t>
  </si>
  <si>
    <t>297 (g)</t>
  </si>
  <si>
    <t>CU: 231 (g)</t>
  </si>
  <si>
    <t>35 (g)</t>
  </si>
  <si>
    <t>61 (g)</t>
  </si>
  <si>
    <t>SP_0006</t>
  </si>
  <si>
    <t>SP_0007</t>
  </si>
  <si>
    <t>1-30D</t>
  </si>
  <si>
    <t>SP_0004</t>
  </si>
  <si>
    <t>SP_0005</t>
  </si>
  <si>
    <t>D.CAN_MIB_L.9J1_035._TCPM.1E1_2_1</t>
  </si>
  <si>
    <t>SP_0011</t>
  </si>
  <si>
    <t>1-31F</t>
  </si>
  <si>
    <t>D.CAN_MIB_L.9J1_035.</t>
  </si>
  <si>
    <t>D.CAN_MIB_H.9J1_035._TCPM.1E1_1_1</t>
  </si>
  <si>
    <t>SP_0010</t>
  </si>
  <si>
    <t>D.CAN_MIB_H.9J1_035.</t>
  </si>
  <si>
    <t>KS_CPM_C</t>
  </si>
  <si>
    <t>1-28G</t>
  </si>
  <si>
    <t>KS_CPR_H</t>
  </si>
  <si>
    <t>1-44B</t>
  </si>
  <si>
    <t>V.30A.9J1_034.SP_F1_Y0049_1_1</t>
  </si>
  <si>
    <t>SP_0049</t>
  </si>
  <si>
    <t>V.30A.9J1_034.SP_F1_Y0049_1_2</t>
  </si>
  <si>
    <t>12 (g)</t>
  </si>
  <si>
    <t>V.30A.9J1_034.SO_F12_XA.SO.1_12A_1</t>
  </si>
  <si>
    <t>11 (g)</t>
  </si>
  <si>
    <t>D.AC_LIN5.9J1_035._Y0048_1_2</t>
  </si>
  <si>
    <t>V.30A.9J1_034.SO_F2.1_XA.SO.1_2A_2</t>
  </si>
  <si>
    <t>V.30A.9J1_034.SO_F2.1</t>
  </si>
  <si>
    <t>150 (g)</t>
  </si>
  <si>
    <t>D.CAN_MIB_H.9J1_035._XA.R238.1_1_1</t>
  </si>
  <si>
    <t>D.CAN_MIB_L.9J1_035._XA.R238.1_5_1</t>
  </si>
  <si>
    <t>D.CAN_MIB_H.9J1_035._XE.RX7.5_1_1</t>
  </si>
  <si>
    <t>D.CAN_MIB_L.9J1_035._XE.RX7.5_7_1</t>
  </si>
  <si>
    <t>D.CAN_MIB_H.9J1_035._YW0010_1_1</t>
  </si>
  <si>
    <t>D.CAN_MIB_L.9J1_035._YW0011_1_1</t>
  </si>
  <si>
    <t>M.31.9J1_033.MB34_B1_Y0031_1_3</t>
  </si>
  <si>
    <t>V.30A.9J1_034.SP_F3_XA.SP.1_3A_1</t>
  </si>
  <si>
    <t>X.INF_LVV+.9Y0_077.D2_XQ.RX7.5_4_1</t>
  </si>
  <si>
    <t>1-33F</t>
  </si>
  <si>
    <t>X.INF_LVV+.9Y0_077.D1_XQ.RX7.5_3_1</t>
  </si>
  <si>
    <t>X.INF_LVV-.9Y0_077.D2_XQ.RX7.5_2_1</t>
  </si>
  <si>
    <t>X.INF_LVV-.9Y0_077.D1_XQ.RX7.5_1_1</t>
  </si>
  <si>
    <t>X.INF_LVVG.9Y0_077._XQ.RX7.5_5S_1</t>
  </si>
  <si>
    <t>D.CAN_MIB_H.9J1_035._XA.E380.2_2_1</t>
  </si>
  <si>
    <t>D.CAN_MIB_L.9J1_035._XA.E380.2_4_1</t>
  </si>
  <si>
    <t>X.INF_LVV+.9Y0_077.3D2_XG.RX7.5_4_1</t>
  </si>
  <si>
    <t>X.INF_LVV+.9Y0_077.3D1_XG.RX7.5_3_1</t>
  </si>
  <si>
    <t>X.INF_LVV-.9Y0_077.3D2_XG.RX7.5_2_1</t>
  </si>
  <si>
    <t>X.INF_LVV-.9Y0_077.3D1_XG.RX7.5_1_1</t>
  </si>
  <si>
    <t>X.INF_LVVG.9Y0_077..1_XG.RX7.5_5S_1</t>
  </si>
  <si>
    <t>95 (g)</t>
  </si>
  <si>
    <t>D.CAN_MIB_H.9J1_035._XA.J145.1_1_1</t>
  </si>
  <si>
    <t>D.CAN_MIB_L.9J1_035._XA.J145.1_5_1</t>
  </si>
  <si>
    <t>V.30A.9J1_034.SP_F4_XA.SP.1_4A_1</t>
  </si>
  <si>
    <t>M.31.9J1_033.MB34_B1_Y0031_1_4</t>
  </si>
  <si>
    <t>LTGS.ANTENNE.LIM</t>
  </si>
  <si>
    <t>K8S+L0L+QV3+ER1/ER2/ER4/ER6/ER7/ER8</t>
  </si>
  <si>
    <t>310 (g)</t>
  </si>
  <si>
    <t>K8S+L0L+QV0+ER1/ER2/ER4/ER6/ER7/ER8</t>
  </si>
  <si>
    <t>212 (g)</t>
  </si>
  <si>
    <t>K8S+L0L+QU8+ER3</t>
  </si>
  <si>
    <t>250 (g)</t>
  </si>
  <si>
    <t>A.ANTENNE.077.DAB_XA.R183.2_1_1</t>
  </si>
  <si>
    <t>1-73E</t>
  </si>
  <si>
    <t>S.SCHIRM.9Y0_077.DAB_XA.R183.2_2_1</t>
  </si>
  <si>
    <t>A.ANTENNE.9Y0_077.SDARS_TCPR.2I1_1_1</t>
  </si>
  <si>
    <t>KS_CPR_I</t>
  </si>
  <si>
    <t>S.SCHIRM.9Y0_077.SDARS_TCPR.2I1_2_1</t>
  </si>
  <si>
    <t>1-61C</t>
  </si>
  <si>
    <t>1-71D</t>
  </si>
  <si>
    <t>KS_CR_A</t>
  </si>
  <si>
    <t>1-66B</t>
  </si>
  <si>
    <t>1-61B</t>
  </si>
  <si>
    <t>S.SCHIRM.9Y0_077.AM_XA.R130.3_4_1</t>
  </si>
  <si>
    <t>A.ANTENNE.9Y0_077.AM_XA.R130.4_3_2</t>
  </si>
  <si>
    <t>S.SCHIRM.9Y0_077.AM_XA.R130.4_4_2</t>
  </si>
  <si>
    <t>A.ANTENNE.077.FM2_XA.R131.3_1_2</t>
  </si>
  <si>
    <t>LTGS.ANTENNE.CUV</t>
  </si>
  <si>
    <t>9J0_974_222</t>
  </si>
  <si>
    <t>K8X+L0L+QV3+ER1/ER2/ER4/ER6/ER7/ER8</t>
  </si>
  <si>
    <t>261 (g)</t>
  </si>
  <si>
    <t>9J0_974_222_A</t>
  </si>
  <si>
    <t>K8X+L0L+QV0+ER1/ER2/ER4/ER6/ER7/ER8</t>
  </si>
  <si>
    <t>179 (g)</t>
  </si>
  <si>
    <t>9J0_974_222_B</t>
  </si>
  <si>
    <t>K8X+L0L+QU8+ER3</t>
  </si>
  <si>
    <t>216 (g)</t>
  </si>
  <si>
    <t>A.ANTENNE.077.DAB_THR.1C1_1_1</t>
  </si>
  <si>
    <t>THR.1C1</t>
  </si>
  <si>
    <t>1-69H</t>
  </si>
  <si>
    <t>AN222001</t>
  </si>
  <si>
    <t>S.SCHIRM.9Y0_077.DAB_THR.1C1_2_1</t>
  </si>
  <si>
    <t>THR.1A1</t>
  </si>
  <si>
    <t>KS_HR_A</t>
  </si>
  <si>
    <t>1-69G</t>
  </si>
  <si>
    <t>AN222003</t>
  </si>
  <si>
    <t>THR.1B1</t>
  </si>
  <si>
    <t>KS_HR_B</t>
  </si>
  <si>
    <t>AN222005</t>
  </si>
  <si>
    <t>S.BT_Reset.9Y0_077.FM2_XF.RX7.5_4S_3</t>
  </si>
  <si>
    <t>A.ANTENNE.9Y0_077.AM_XF.RX7.6_1_1</t>
  </si>
  <si>
    <t>AN222007</t>
  </si>
  <si>
    <t>S.SCHIRM.9Y0_077.AM_XF.RX7.6_1S_1</t>
  </si>
  <si>
    <t>A.ANTENNE.077.FM2_XF.RX7.6_4_1</t>
  </si>
  <si>
    <t>AN222009</t>
  </si>
  <si>
    <t>S.BT_Reset.9Y0_077.FM2_XF.RX7.6_4S_1</t>
  </si>
  <si>
    <t>AN222011</t>
  </si>
  <si>
    <t>23 (g)</t>
  </si>
  <si>
    <t>24 (g)</t>
  </si>
  <si>
    <t>M.31.9J1_033.MB31_B1_Y0032_1_6</t>
  </si>
  <si>
    <t>V.30A.9J1_034.SO_F10_XA.SO.1_10A_1</t>
  </si>
  <si>
    <t>D.LIN_BUS.9Y0_090._TCP.1C1_10_1</t>
  </si>
  <si>
    <t>38 (g)</t>
  </si>
  <si>
    <t>X.INF_LWL1.9Y0_077.BOSE-ZR_TCPR.2F1_2_1</t>
  </si>
  <si>
    <t>KS_CPR_F</t>
  </si>
  <si>
    <t>1-27A</t>
  </si>
  <si>
    <t>X.INF_LWL1.9Y0_077.BOSE-ZR</t>
  </si>
  <si>
    <t>X.INF_LWL1.9Y0_077.ZR-BOSE_TCPR.2F1_1_1</t>
  </si>
  <si>
    <t>X.INF_LWL1.9Y0_077.ZR-BOSE</t>
  </si>
  <si>
    <t>33 (g)</t>
  </si>
  <si>
    <t>D.CAN_KOMBI_H.9J1_035._XA.J898.2_1_1</t>
  </si>
  <si>
    <t>D.CAN_KOMBI_L.9J1_035._XA.J898.2_2_1</t>
  </si>
  <si>
    <t>V.30A.9J1_034.SO_F4_XA.J898.2_5_1</t>
  </si>
  <si>
    <t>D.ETH6+.9Y0_064G._XA.J898.2_6_1</t>
  </si>
  <si>
    <t>D.ETH6-.9Y0_064G._XA.J898.2_7_1</t>
  </si>
  <si>
    <t>M.31.9J1_033.MB31_B1_Y0032_1_8</t>
  </si>
  <si>
    <t>67 (g)</t>
  </si>
  <si>
    <t>KS_CPR_D</t>
  </si>
  <si>
    <t>37 (g)</t>
  </si>
  <si>
    <t>X.INF_LVH1-.._TCPR.2C1_1_1</t>
  </si>
  <si>
    <t>X.INF_LVH1+.._TCPR.2C1_2_1</t>
  </si>
  <si>
    <t>26 (g)</t>
  </si>
  <si>
    <t>KS_CPL_H</t>
  </si>
  <si>
    <t>RG174</t>
  </si>
  <si>
    <t>X.INF_GPS_I.9J1_035A._XA.R50.2_1_1</t>
  </si>
  <si>
    <t>1-55A</t>
  </si>
  <si>
    <t>1-36B</t>
  </si>
  <si>
    <t>X.INF_GPS_S.9J1_035A._XA.R50.2_2_1</t>
  </si>
  <si>
    <t>209 (g)</t>
  </si>
  <si>
    <t>175 (g)</t>
  </si>
  <si>
    <t>1-33C</t>
  </si>
  <si>
    <t>Y0016</t>
  </si>
  <si>
    <t>1-25G</t>
  </si>
  <si>
    <t>M.31.9J1_033.MB32_B1_Y0052_1_1</t>
  </si>
  <si>
    <t>Y0052</t>
  </si>
  <si>
    <t>1-38C</t>
  </si>
  <si>
    <t>19 (g)</t>
  </si>
  <si>
    <t>CU: 12 (g)</t>
  </si>
  <si>
    <t>M.31.9J1_033.MB33_C1_Y0030_1_4</t>
  </si>
  <si>
    <t>X.ILM_FUSS.9Y0_055.VL_TCPL.2C1_5_1</t>
  </si>
  <si>
    <t>X.ILM_FUSS.9Y0_055.VR_TCPL.2C1_6_1</t>
  </si>
  <si>
    <t>1-19H</t>
  </si>
  <si>
    <t>SP_0002</t>
  </si>
  <si>
    <t>V.ILM_ALM30.9Y0_055._TCPM.1D1_10_1</t>
  </si>
  <si>
    <t>M.31.9J1_033.MB33_C1_Y0030_1_5</t>
  </si>
  <si>
    <t>D.LIN6_BCM1.9Y0_055..1_TCPL.2C1_12_1</t>
  </si>
  <si>
    <t>V.ILM_ALM30.9Y0_055._TCPL.2C1_1_1</t>
  </si>
  <si>
    <t>C</t>
  </si>
  <si>
    <t>Y0015</t>
  </si>
  <si>
    <t>E-Komponente</t>
  </si>
  <si>
    <t>E-Komponente Part-Nr.</t>
  </si>
  <si>
    <t>THR</t>
  </si>
  <si>
    <t>BUCHSENGEH_LICHTBLAU_POL_8_KOD_C</t>
  </si>
  <si>
    <t>lichtblau</t>
  </si>
  <si>
    <t>RX7.5</t>
  </si>
  <si>
    <t>9J1_035_070</t>
  </si>
  <si>
    <t>BUCHSENGEH_TIEFSCHWARZ_POL_8_KOD_A</t>
  </si>
  <si>
    <t>tiefschwarz</t>
  </si>
  <si>
    <t>RX7.6</t>
  </si>
  <si>
    <t>9J1_035_092</t>
  </si>
  <si>
    <t>1-53E</t>
  </si>
  <si>
    <t>1-54E</t>
  </si>
  <si>
    <t>CL_301</t>
  </si>
  <si>
    <t>1-58G</t>
  </si>
  <si>
    <t>CL_302</t>
  </si>
  <si>
    <t>1-59G</t>
  </si>
  <si>
    <t>CL_303</t>
  </si>
  <si>
    <t>1-60G</t>
  </si>
  <si>
    <t>CL_304</t>
  </si>
  <si>
    <t>1-62G</t>
  </si>
  <si>
    <t>CL_305</t>
  </si>
  <si>
    <t>1-63G</t>
  </si>
  <si>
    <t>CL_306</t>
  </si>
  <si>
    <t>1-64G</t>
  </si>
  <si>
    <t>CL_307</t>
  </si>
  <si>
    <t>1-66G</t>
  </si>
  <si>
    <t>1-55E</t>
  </si>
  <si>
    <t>1-23F</t>
  </si>
  <si>
    <t>1-42E</t>
  </si>
  <si>
    <t>1-45E</t>
  </si>
  <si>
    <t>1-46B</t>
  </si>
  <si>
    <t>1-17F</t>
  </si>
  <si>
    <t>1-17E</t>
  </si>
  <si>
    <t>1-51E</t>
  </si>
  <si>
    <t>1-50E</t>
  </si>
  <si>
    <t>1-40B</t>
  </si>
  <si>
    <t>1-41B</t>
  </si>
  <si>
    <t>1-42B</t>
  </si>
  <si>
    <t>1-46E</t>
  </si>
  <si>
    <t>1-40G</t>
  </si>
  <si>
    <t>1-44G</t>
  </si>
  <si>
    <t>1-20G</t>
  </si>
  <si>
    <t>1-58E</t>
  </si>
  <si>
    <t>1-59E</t>
  </si>
  <si>
    <t>1-63E</t>
  </si>
  <si>
    <t>1-66E</t>
  </si>
  <si>
    <t>1-67E</t>
  </si>
  <si>
    <t>1-70E</t>
  </si>
  <si>
    <t>1-56E</t>
  </si>
  <si>
    <t>1-60E</t>
  </si>
  <si>
    <t>1-64B</t>
  </si>
  <si>
    <t>1-71E</t>
  </si>
  <si>
    <t>1-62E</t>
  </si>
  <si>
    <t>N___910_577_01.1</t>
  </si>
  <si>
    <t>N___910_577_01.2</t>
  </si>
  <si>
    <t>1-26B</t>
  </si>
  <si>
    <t>1-47C</t>
  </si>
  <si>
    <t>N___910_577_01</t>
  </si>
  <si>
    <t>mm100</t>
  </si>
  <si>
    <t>1-54A</t>
  </si>
  <si>
    <t>1-36C</t>
  </si>
  <si>
    <t>1-35C</t>
  </si>
  <si>
    <t>1-18G</t>
  </si>
  <si>
    <t>KM222</t>
  </si>
  <si>
    <t>KM_222</t>
  </si>
  <si>
    <t>SP_KL31_MB31B_1</t>
  </si>
  <si>
    <t>SP_KL31_MB32B_2</t>
  </si>
  <si>
    <t>SP_KL31_MB34B_2</t>
  </si>
  <si>
    <t>SP_KL31_MB31B_2</t>
  </si>
  <si>
    <t>SP_KL31_MB32B_1</t>
  </si>
  <si>
    <t>SP_KL31_MB33C_1</t>
  </si>
  <si>
    <t>1-67J</t>
  </si>
  <si>
    <t>1-67H</t>
  </si>
  <si>
    <t>1-67G</t>
  </si>
  <si>
    <t>CL_308</t>
  </si>
  <si>
    <t>1-65H</t>
  </si>
  <si>
    <t>CL_309</t>
  </si>
  <si>
    <t>1-53F</t>
  </si>
  <si>
    <t>CL_310</t>
  </si>
  <si>
    <t>1-54G</t>
  </si>
  <si>
    <t>CL_312</t>
  </si>
  <si>
    <t>1-55H</t>
  </si>
  <si>
    <t>TAB_052_662</t>
  </si>
  <si>
    <t>SL103</t>
  </si>
  <si>
    <t>9J1_974_728_A</t>
  </si>
  <si>
    <t>L0L+I8L+F0Q/F0Y</t>
  </si>
  <si>
    <t>9J1_974_216_A</t>
  </si>
  <si>
    <t>L0L+I8L+F0A/F0C</t>
  </si>
  <si>
    <t>L0L+F0Q/F0Y</t>
  </si>
  <si>
    <t>2J2LC0321601A</t>
  </si>
  <si>
    <t>216003/4,216005/6, 2160018/19</t>
  </si>
  <si>
    <t>005</t>
  </si>
  <si>
    <t>006</t>
  </si>
  <si>
    <t>007</t>
  </si>
  <si>
    <t>008</t>
  </si>
  <si>
    <t>2J2LC0321600B</t>
  </si>
  <si>
    <t>2J2LC0321800B</t>
  </si>
  <si>
    <t>2J2LC0307700B</t>
  </si>
  <si>
    <t>1-39B</t>
  </si>
  <si>
    <t>1-38B</t>
  </si>
  <si>
    <t>PPT</t>
  </si>
  <si>
    <t>D</t>
  </si>
  <si>
    <t>2J2LC0100000C</t>
  </si>
  <si>
    <t>2J2LC0102900C</t>
  </si>
  <si>
    <t>2J2LC0400000C</t>
  </si>
  <si>
    <t>2J2LC0432100C</t>
  </si>
  <si>
    <t>SP_LIN6_BCM1C53</t>
  </si>
  <si>
    <t>Y0203</t>
  </si>
  <si>
    <t>SP_LIN6</t>
  </si>
  <si>
    <t>D.LIN6_BCM1.9Y0_055</t>
  </si>
  <si>
    <t>N_105_114_02</t>
  </si>
  <si>
    <t>CU: 98 (g)</t>
  </si>
  <si>
    <t>7P0_971_848</t>
  </si>
  <si>
    <t>SI_SIDO_O_F2.1</t>
  </si>
  <si>
    <t>SI_SIDO_O_F2.2</t>
  </si>
  <si>
    <t xml:space="preserve">TAB             </t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</si>
  <si>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</si>
  <si>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</si>
  <si>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</si>
  <si>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</si>
  <si>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</si>
  <si>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</si>
  <si>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</si>
  <si>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 xml:space="preserve">interner Index </t>
  </si>
  <si>
    <t>interner Index neu</t>
  </si>
  <si>
    <t>Teilgültigkeit (Pr.-Nummer)</t>
  </si>
  <si>
    <t>Einsatz
(JJKW)</t>
  </si>
  <si>
    <t>Entfall
(JJKW)</t>
  </si>
  <si>
    <t>Geändert mit Revisions-
stand           (KM-Liste)</t>
  </si>
  <si>
    <t>Kunden-teilenummer</t>
  </si>
  <si>
    <t>interne 
Teilenummer</t>
  </si>
  <si>
    <r>
      <t>Aktuelle Varianten für SONATA:
(</t>
    </r>
    <r>
      <rPr>
        <b/>
        <sz val="10"/>
        <rFont val="Calibri"/>
        <family val="2"/>
        <charset val="238"/>
      </rPr>
      <t>Jahr - KW)</t>
    </r>
  </si>
  <si>
    <t>Zusatz formula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</si>
  <si>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</si>
  <si>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</si>
  <si>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</si>
  <si>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</si>
  <si>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</si>
  <si>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</si>
  <si>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</si>
  <si>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vor dem Filtern richtiges Jahr / KW eintragen // before set the filter write in right Year / CW</t>
  </si>
  <si>
    <t>2J15J1LL02</t>
  </si>
  <si>
    <t>A0</t>
  </si>
  <si>
    <t>B0</t>
  </si>
  <si>
    <t>SP_30A_KOMBI</t>
  </si>
  <si>
    <t>SP_MB31_B1</t>
  </si>
  <si>
    <t>SP_CANLK</t>
  </si>
  <si>
    <t>SP_CANHK</t>
  </si>
  <si>
    <t>SP_MB32_B2</t>
  </si>
  <si>
    <t>SP_58XT</t>
  </si>
  <si>
    <t>SP_MB34_B2</t>
  </si>
  <si>
    <t>SP_MB34_B1</t>
  </si>
  <si>
    <t>SP_MB31_B2</t>
  </si>
  <si>
    <t>SP_CANHI</t>
  </si>
  <si>
    <t>SP_CANLI</t>
  </si>
  <si>
    <t>SP_MB32_B1</t>
  </si>
  <si>
    <t>SP_MB33_C</t>
  </si>
  <si>
    <t>SP_ACLIN5</t>
  </si>
  <si>
    <t>SP_ACLIN2</t>
  </si>
  <si>
    <t>SP_AC31</t>
  </si>
  <si>
    <t>SP_31SM</t>
  </si>
  <si>
    <t>SP_AC30</t>
  </si>
  <si>
    <t>SP_15AS</t>
  </si>
  <si>
    <t>SP_58XS</t>
  </si>
  <si>
    <t>SP_MTVLP</t>
  </si>
  <si>
    <t>SP_MTVLM</t>
  </si>
  <si>
    <t>SP_MTVRP</t>
  </si>
  <si>
    <t>SP_MTVRM</t>
  </si>
  <si>
    <t>SP_CANL_MIB</t>
  </si>
  <si>
    <t>SP_CANH_MIB</t>
  </si>
  <si>
    <t>SP_30A</t>
  </si>
  <si>
    <t>SP_ILM</t>
  </si>
  <si>
    <t>SP_MB31_B2/SP_MB31_B1</t>
  </si>
  <si>
    <t>MIB_I</t>
  </si>
  <si>
    <t>KI_A</t>
  </si>
  <si>
    <t>SIDO_O</t>
  </si>
  <si>
    <t>HSKL</t>
  </si>
  <si>
    <t>SIDO_P</t>
  </si>
  <si>
    <t>EZS</t>
  </si>
  <si>
    <t>MIB_C</t>
  </si>
  <si>
    <t>MIB_H</t>
  </si>
  <si>
    <t>SBT_A</t>
  </si>
  <si>
    <t>SGKG_B</t>
  </si>
  <si>
    <t>BTMK_A</t>
  </si>
  <si>
    <t>MIB_E</t>
  </si>
  <si>
    <t>LTE_CPT</t>
  </si>
  <si>
    <t>ANT_WLAN</t>
  </si>
  <si>
    <t>MIB_B</t>
  </si>
  <si>
    <t>SGION_A</t>
  </si>
  <si>
    <t>GBR</t>
  </si>
  <si>
    <t>ASOM_A</t>
  </si>
  <si>
    <t>ASOM_B</t>
  </si>
  <si>
    <t>ION_A</t>
  </si>
  <si>
    <t>ION_B</t>
  </si>
  <si>
    <t>ASOM_D</t>
  </si>
  <si>
    <t>ASOM_C</t>
  </si>
  <si>
    <t>FSS</t>
  </si>
  <si>
    <t>SG_EVLS</t>
  </si>
  <si>
    <t>MIB_A</t>
  </si>
  <si>
    <t>LSB_VR</t>
  </si>
  <si>
    <t>MIB_D</t>
  </si>
  <si>
    <t>LSNOT</t>
  </si>
  <si>
    <t>DISM_A</t>
  </si>
  <si>
    <t>MIB_Q</t>
  </si>
  <si>
    <t>MIB_G</t>
  </si>
  <si>
    <t>DISA_A</t>
  </si>
  <si>
    <t>DISA_B</t>
  </si>
  <si>
    <t>ANT_DAB</t>
  </si>
  <si>
    <t>ANT_HSR_RDW</t>
  </si>
  <si>
    <t>ANT_HSL_RDW</t>
  </si>
  <si>
    <t>MIB_F</t>
  </si>
  <si>
    <t>ANT_HSR_DAB</t>
  </si>
  <si>
    <t>MIB_F_NAR</t>
  </si>
  <si>
    <t>HUD</t>
  </si>
  <si>
    <t>MIB_M</t>
  </si>
  <si>
    <t>MIB_O</t>
  </si>
  <si>
    <t>ANT_GPS</t>
  </si>
  <si>
    <t>AIR_A</t>
  </si>
  <si>
    <t>ABB_A</t>
  </si>
  <si>
    <t>KNABFS</t>
  </si>
  <si>
    <t>FRL_VR</t>
  </si>
  <si>
    <t>FRL2_VL</t>
  </si>
  <si>
    <t>FRL2_VR</t>
  </si>
  <si>
    <t>KI_B</t>
  </si>
  <si>
    <t>SHKS</t>
  </si>
  <si>
    <t>SGMLS</t>
  </si>
  <si>
    <t>DIAG</t>
  </si>
  <si>
    <t>SBT_B</t>
  </si>
  <si>
    <t>TGHR</t>
  </si>
  <si>
    <t>SGKG_C</t>
  </si>
  <si>
    <t>SGION_B</t>
  </si>
  <si>
    <t>SGION_C</t>
  </si>
  <si>
    <t>SLSV</t>
  </si>
  <si>
    <t>DISM_B</t>
  </si>
  <si>
    <t>BTMK_B</t>
  </si>
  <si>
    <t>BTMK_C</t>
  </si>
  <si>
    <t>USB</t>
  </si>
  <si>
    <t>MIB_P</t>
  </si>
  <si>
    <t>SGTT_E</t>
  </si>
  <si>
    <t>ABB_B</t>
  </si>
  <si>
    <t>AOS</t>
  </si>
  <si>
    <t>KNAFS</t>
  </si>
  <si>
    <t>ABB_C</t>
  </si>
  <si>
    <t>FRL_VL</t>
  </si>
  <si>
    <t>SP_MB32_B1/SP_MB32_B2</t>
  </si>
  <si>
    <t>SI_SIDO_O_F5</t>
  </si>
  <si>
    <t>SI_SIDO_O_F8</t>
  </si>
  <si>
    <t>SI_SIDO_P_F2</t>
  </si>
  <si>
    <t>SI_SIDO_P_F7</t>
  </si>
  <si>
    <t>SI_SIDO_P_F8</t>
  </si>
  <si>
    <t>SI_SIDO_P_F9</t>
  </si>
  <si>
    <t>SI_SIDO_P_F12</t>
  </si>
  <si>
    <t>SI_SIDO_O_F3</t>
  </si>
  <si>
    <t>SI_SIDO_P_F6</t>
  </si>
  <si>
    <t>SI_SIDO_O_F6</t>
  </si>
  <si>
    <t>SI_SIDO_P_F1</t>
  </si>
  <si>
    <t>SI_SIDO_O_F12</t>
  </si>
  <si>
    <t>SI_SIDO_P_F3</t>
  </si>
  <si>
    <t>SI_SIDO_P_F4</t>
  </si>
  <si>
    <t>SI_SIDO_O_F10</t>
  </si>
  <si>
    <t>SI_SIDO_O_F4</t>
  </si>
  <si>
    <t>SPLICE</t>
  </si>
  <si>
    <t>s</t>
  </si>
  <si>
    <t>d</t>
  </si>
  <si>
    <t>SP_0015</t>
  </si>
  <si>
    <t>SP_INF</t>
  </si>
  <si>
    <t>Splice - neu</t>
  </si>
  <si>
    <t>Splice - alt</t>
  </si>
  <si>
    <t>L0L+4UB</t>
  </si>
  <si>
    <t>SI_SIDO_P_F5</t>
  </si>
  <si>
    <t>Koppelstelle am Dach rechts [CUV: DAB]</t>
  </si>
  <si>
    <t>KS_HR_C_DAB</t>
  </si>
  <si>
    <t>Koppelstelle am Dach rechts [CUV: AM/FM1/DAB2]</t>
  </si>
  <si>
    <t>Koppelstelle am Dach rechts [CUV: FM2]</t>
  </si>
  <si>
    <t>Koppelstelle am Dach rechts [CUV: SDARS]</t>
  </si>
  <si>
    <t>THR.1C2</t>
  </si>
  <si>
    <t>KS_HR_C_SDARS</t>
  </si>
  <si>
    <t>gleitender Einsatz
einfließend</t>
  </si>
  <si>
    <t>9J1_974_029_D</t>
  </si>
  <si>
    <t>9J1_974_029_E</t>
  </si>
  <si>
    <t>L0L+2V4+9AD</t>
  </si>
  <si>
    <t>L0L+2V4+KH5</t>
  </si>
  <si>
    <t>PUR-Schaumstoffrohr Gr=0 D(i)=15.0 D(a)=30.0</t>
  </si>
  <si>
    <t>811_971_790.1</t>
  </si>
  <si>
    <t>811_971_790</t>
  </si>
  <si>
    <t>N_037_043_1</t>
  </si>
  <si>
    <t xml:space="preserve">L0L+9ZE </t>
  </si>
  <si>
    <t>980017568
980017569</t>
  </si>
  <si>
    <t>02</t>
  </si>
  <si>
    <t>KABELFUEHRUNG</t>
  </si>
  <si>
    <t>ID_FIX6</t>
  </si>
  <si>
    <t>KF_001</t>
  </si>
  <si>
    <t>9J1_971_047</t>
  </si>
  <si>
    <t>9J1_974_218_A</t>
  </si>
  <si>
    <t>9J1_974_000_B</t>
  </si>
  <si>
    <t>BL26</t>
  </si>
  <si>
    <t>425 (g)</t>
  </si>
  <si>
    <t>370 (g)</t>
  </si>
  <si>
    <t>1584 (g)</t>
  </si>
  <si>
    <t>309 (g)</t>
  </si>
  <si>
    <t>211 (g)</t>
  </si>
  <si>
    <t>249 (g)</t>
  </si>
  <si>
    <t>273 (g)</t>
  </si>
  <si>
    <t>188 (g)</t>
  </si>
  <si>
    <t>N_108_151_09</t>
  </si>
  <si>
    <t>N_108_151_08</t>
  </si>
  <si>
    <t>N_901_916_30</t>
  </si>
  <si>
    <t>N_108_151_05</t>
  </si>
  <si>
    <t>CU: 178 (g)</t>
  </si>
  <si>
    <t>CU: 192 (g)</t>
  </si>
  <si>
    <t>N_108_151_07</t>
  </si>
  <si>
    <t>CU: 28 (g)</t>
  </si>
  <si>
    <t>N_901_916_50</t>
  </si>
  <si>
    <t>CU: 157 (g)</t>
  </si>
  <si>
    <t>CU: 149 (g)</t>
  </si>
  <si>
    <t>CU: 100 (g)</t>
  </si>
  <si>
    <t>CU: 11 (g)</t>
  </si>
  <si>
    <t>L0L+2ZC/2ZX/2PJ/2ZW/2PF/2FM/1XF/2PS</t>
  </si>
  <si>
    <t>E</t>
  </si>
  <si>
    <t>2J2LC0100000D</t>
  </si>
  <si>
    <t>2J2LC0400000D</t>
  </si>
  <si>
    <t>2J2LC0102900D</t>
  </si>
  <si>
    <t>2J2LC0307700C</t>
  </si>
  <si>
    <t>2J2LC0321600C</t>
  </si>
  <si>
    <t>2J2LC0321601B</t>
  </si>
  <si>
    <t>2J2LC0321800C</t>
  </si>
  <si>
    <t>2J2LC0432100D</t>
  </si>
  <si>
    <t>1J219J121600E</t>
  </si>
  <si>
    <t>1J219J1216A0C</t>
  </si>
  <si>
    <t>1J219J1218A0B</t>
  </si>
  <si>
    <t>1J219J1077A0E</t>
  </si>
  <si>
    <t>1J219J132100D</t>
  </si>
  <si>
    <t>SP_CANHI/SP_CANLI</t>
  </si>
  <si>
    <t>SP_CANH_MIB/SP_CANL_MIB</t>
  </si>
  <si>
    <t>SP_CANLK/SP_CANHK</t>
  </si>
  <si>
    <t>9J1_974_412_B</t>
  </si>
  <si>
    <t>HALTER, ZE COCKPIT</t>
  </si>
  <si>
    <t>HALTER, TE COCKPIT</t>
  </si>
  <si>
    <t>BL27</t>
  </si>
  <si>
    <t>N_037_008_9</t>
  </si>
  <si>
    <t>BR/SW</t>
  </si>
  <si>
    <t>N_037_098_9</t>
  </si>
  <si>
    <t>N_018_889_67</t>
  </si>
  <si>
    <t>2-sw/gn</t>
  </si>
  <si>
    <t>N_018_888_73</t>
  </si>
  <si>
    <t>N_018_889_29</t>
  </si>
  <si>
    <t>1-rt/ge</t>
  </si>
  <si>
    <t>2-br/ge</t>
  </si>
  <si>
    <t>F</t>
  </si>
  <si>
    <t>KB_071</t>
  </si>
  <si>
    <t>1-16G</t>
  </si>
  <si>
    <t>L0L+8LH/8LU//L0L+8LC/8LE+K8X</t>
  </si>
  <si>
    <t>L0L+8LH/8LU//L0L+8LC/8LE+K8X 24</t>
  </si>
  <si>
    <t>Serie</t>
  </si>
  <si>
    <t>N_018_889_61</t>
  </si>
  <si>
    <t>6012,AWE_6533</t>
  </si>
  <si>
    <t>6023,AWE_6533</t>
  </si>
  <si>
    <t>HF_KONTAKTGEHAEUSE_LAUBGRUEN_4POL_COD_E</t>
  </si>
  <si>
    <t>6Q0_035_608_D</t>
  </si>
  <si>
    <t>980017224→980017842</t>
  </si>
  <si>
    <t>K8S+L0L+QV3+ER1/ER2/ER6/ER7/ER8</t>
  </si>
  <si>
    <t>K8S+L0L+QV0+ER1/ER2/ER6/ER7/ER8</t>
  </si>
  <si>
    <t>9J1_974_219_G</t>
  </si>
  <si>
    <t>K8S+L0L+QV0+ER4</t>
  </si>
  <si>
    <t>0 (g)</t>
  </si>
  <si>
    <t>K8X+L0L+QV3+ER1/ER2/ER6/ER7/ER8</t>
  </si>
  <si>
    <t>K8X+L0L+QV0+ER1/ER2/ER6/ER7/ER8</t>
  </si>
  <si>
    <t>9J0_974_222_C</t>
  </si>
  <si>
    <t>K8X+L0L+QV0+ER4</t>
  </si>
  <si>
    <t>G</t>
  </si>
  <si>
    <t>C0</t>
  </si>
  <si>
    <t>980017590
980017591
980017969</t>
  </si>
  <si>
    <t>980017591
980017969</t>
  </si>
  <si>
    <t>980017570
980017970</t>
  </si>
  <si>
    <t>980015154→980018079</t>
  </si>
  <si>
    <t>CU: 104 (g)</t>
  </si>
  <si>
    <t>CU: 86 (g)</t>
  </si>
  <si>
    <t>BL28</t>
  </si>
  <si>
    <t>BL27,BL28</t>
  </si>
  <si>
    <t>9J1_974_077_B</t>
  </si>
  <si>
    <t>L0L+9ZE+GB0</t>
  </si>
  <si>
    <t>A.ANTENNE.9Y0_077.GSM_TCPM.1C1_1_1</t>
  </si>
  <si>
    <t>S.SCHIRM.9Y0_077.GSM_TCPM.1C1_2_1</t>
  </si>
  <si>
    <t>Koppelstelle an der Schalttafel rechts [Koppelbox ohne Compensor]</t>
  </si>
  <si>
    <t>TCPR.2H2</t>
  </si>
  <si>
    <t>KS_CPR_H_GB0</t>
  </si>
  <si>
    <t>AN77011</t>
  </si>
  <si>
    <t>A.ANTENNE.9Y0_077.GSM</t>
  </si>
  <si>
    <t>S.SCHIRM.9Y0_077.GSM</t>
  </si>
  <si>
    <t>1J219J1077B0A</t>
  </si>
  <si>
    <t>55N</t>
  </si>
  <si>
    <t>1-43C</t>
  </si>
  <si>
    <t>CU: 66 (g)</t>
  </si>
  <si>
    <t>68 (g)</t>
  </si>
  <si>
    <t>1-45B</t>
  </si>
  <si>
    <t>9J1_937_581_E</t>
  </si>
  <si>
    <t>9J1_937_581_D</t>
  </si>
  <si>
    <t>Pracovisko osádzania poistiek/rel</t>
  </si>
  <si>
    <t>SCR</t>
  </si>
  <si>
    <t>Pracovisko skrutkovania+testu/kam</t>
  </si>
  <si>
    <t xml:space="preserve">Pracovisko kamerovania </t>
  </si>
  <si>
    <t>EM3</t>
  </si>
  <si>
    <t>Packtisch</t>
  </si>
  <si>
    <t>Masse</t>
  </si>
  <si>
    <t>Masse Schuhe</t>
  </si>
  <si>
    <t>VF</t>
  </si>
  <si>
    <t>Vorfertigung</t>
  </si>
  <si>
    <t>BK</t>
  </si>
  <si>
    <t>Bruckekontaktierung</t>
  </si>
  <si>
    <t>nur CUV</t>
  </si>
  <si>
    <t>Legend:</t>
  </si>
  <si>
    <t>R</t>
  </si>
  <si>
    <t>9J1_974_000_C</t>
  </si>
  <si>
    <t>1614 (g)</t>
  </si>
  <si>
    <t>9J1_974_219_H</t>
  </si>
  <si>
    <t>K8S+L0L+QV6</t>
  </si>
  <si>
    <t>311 (g)</t>
  </si>
  <si>
    <t>213 (g)</t>
  </si>
  <si>
    <t>A.ANTENNE.9Y0_077.AM_XF.RX7.5_1_3</t>
  </si>
  <si>
    <t>Heckscheibenantenne 1 [Rechts - VAE]</t>
  </si>
  <si>
    <t>XA.R130.5</t>
  </si>
  <si>
    <t>ANT_HSR_VAE</t>
  </si>
  <si>
    <t>1-61A</t>
  </si>
  <si>
    <t>shield</t>
  </si>
  <si>
    <t>AN219031</t>
  </si>
  <si>
    <t>S.SCHIRM.9Y0_077.AM_XF.RX7.5_1S_3</t>
  </si>
  <si>
    <t>sw</t>
  </si>
  <si>
    <t>A.ANTENNE.9Y0_056.ZV_XA.R130.5_1_2</t>
  </si>
  <si>
    <t>1-66A</t>
  </si>
  <si>
    <t>AN219033</t>
  </si>
  <si>
    <t>A.ANTENNE.9Y0_056.ZV</t>
  </si>
  <si>
    <t>S.SCHIRM.9Y0_056.ZV_XA.R130.5_2_2</t>
  </si>
  <si>
    <t>S.SCHIRM.9Y0_056.ZV</t>
  </si>
  <si>
    <t>1-73C</t>
  </si>
  <si>
    <t>AN219035</t>
  </si>
  <si>
    <t>AN219037</t>
  </si>
  <si>
    <t>S.SCHIRM.9Y0_077.FM2_XF.RX7.5_4S_1</t>
  </si>
  <si>
    <t>S.SCHIRM.9Y0_077.FM2</t>
  </si>
  <si>
    <t>K8X+L0L+QV3+ER1/ER2/ER6/ER7/ER8//K8X+L0L+QV6</t>
  </si>
  <si>
    <t>272 (g)</t>
  </si>
  <si>
    <t>H</t>
  </si>
  <si>
    <t>L0L+9ZE+GB1/GB2/GB3</t>
  </si>
  <si>
    <t>6002,6015,6611</t>
  </si>
  <si>
    <t>374 (g)</t>
  </si>
  <si>
    <t>402 (g)</t>
  </si>
  <si>
    <t>429 (g)</t>
  </si>
  <si>
    <t>CU: 208 (g)</t>
  </si>
  <si>
    <t>CU: 221 (g)</t>
  </si>
  <si>
    <t>CU: 201, (g)</t>
  </si>
  <si>
    <t>CU: 215 (g)</t>
  </si>
  <si>
    <t>443 (g)</t>
  </si>
  <si>
    <t>415 (g)</t>
  </si>
  <si>
    <t>457 (g)</t>
  </si>
  <si>
    <t>N_037_099_3</t>
  </si>
  <si>
    <t>1J219J1029E0E</t>
  </si>
  <si>
    <t>1J219J1029C0H</t>
  </si>
  <si>
    <t>LTGS.ANTENNEN</t>
  </si>
  <si>
    <t>9J1_974_656</t>
  </si>
  <si>
    <t>L0L+IV1/IV2/IV3/IV4/IV5/IV6/IV7/IV8/JE0/JE1/JE2/JE3/JE4/JE5/JE6</t>
  </si>
  <si>
    <t>CU: 13 (g)</t>
  </si>
  <si>
    <t>AN656001</t>
  </si>
  <si>
    <t xml:space="preserve"> ~</t>
  </si>
  <si>
    <t>1J219J1029A0G</t>
  </si>
  <si>
    <t>6025,6618,6622,6053</t>
  </si>
  <si>
    <t>CU: 632 (g)</t>
  </si>
  <si>
    <t>1-45A</t>
  </si>
  <si>
    <t>mm 95</t>
  </si>
  <si>
    <t>Koppelstelle am Dach rechts [CUV: FM2</t>
  </si>
  <si>
    <t>HF_KONTAKTGEHAEUSE_LAUBGRUEN_2POL_COD_E</t>
  </si>
  <si>
    <t>50N</t>
  </si>
  <si>
    <t>NANO (N_108_156_03)</t>
  </si>
  <si>
    <t>RI_BL</t>
  </si>
  <si>
    <t>6628storno</t>
  </si>
  <si>
    <t>Lautsprecher für Notrufmodul</t>
  </si>
  <si>
    <t>XA.R335.1</t>
  </si>
  <si>
    <t>S.LSP+._078A.eCall</t>
  </si>
  <si>
    <t>980017360→980018489</t>
  </si>
  <si>
    <t>Ethernet</t>
  </si>
  <si>
    <t>Flexray</t>
  </si>
  <si>
    <t>Z.D.: 20.02.2020</t>
  </si>
  <si>
    <t>CU: 617 (g)</t>
  </si>
  <si>
    <t>980015854→980018883</t>
  </si>
  <si>
    <t>N_106_773_02</t>
  </si>
  <si>
    <t>980015857→980018876</t>
  </si>
  <si>
    <t>L0L+2ZC/2ZX/2PJ/2ZW/2PF/2FM/1XF/2PS//L0L+2ZP</t>
  </si>
  <si>
    <t>K8X+L0L+QV3+ER1/ER2/ER6/ER7/ER8//K8X+L0L+QV6//K8D+L0L+QV3+ER1/ER2/ER6/ER7/ER8//K8D+L0L+QV6</t>
  </si>
  <si>
    <t>K8X+L0L+QV0+ER1/ER2/ER6/ER7/ER8//K8D+L0L+QV0+ER1/ER2/ER6/ER7/ER8</t>
  </si>
  <si>
    <t>K8X+L0L+QU8+ER3//K8D+L0L+QU8+ER3</t>
  </si>
  <si>
    <t>K8X+L0L+QV0+ER4//K8D+L0L+QV0+ER4</t>
  </si>
  <si>
    <t>7007, 7012</t>
  </si>
  <si>
    <t>D890949-2</t>
  </si>
  <si>
    <t>Sofort</t>
  </si>
  <si>
    <t>Bandagierung wird zwischen CL_031 und CL_038 von Sparbandage auf Vollbandage umgestellt.</t>
  </si>
  <si>
    <t>7315_1</t>
  </si>
  <si>
    <t>Bandagierung wird zwischen CL_031 und CL_038 von Sparbandage auf Vollbandage umgestellt.
Die Bemaßung wieder hinzufügen.</t>
  </si>
  <si>
    <t>980015155→980018080</t>
  </si>
  <si>
    <t>980015156→980018078</t>
  </si>
  <si>
    <t>KW2028</t>
  </si>
  <si>
    <t>gesteuerter Einsatz</t>
  </si>
  <si>
    <t>Schalterleitungen zum Airbag OFF Schalter sind im Taycan aktuell nicht verdrillt. Auf Rückfrage beim Fachbereich EKS5 wird dieser
Sachverhalt explizit gefordert.</t>
  </si>
  <si>
    <t>LTGS.SCHNITTSTELLE</t>
  </si>
  <si>
    <t>9JA_974_295_A</t>
  </si>
  <si>
    <t>9J1_974_295_A</t>
  </si>
  <si>
    <t>V.15AS.9J1_034.SD_F2_TCPL.2D1_1_1</t>
  </si>
  <si>
    <t>N_037_099_8</t>
  </si>
  <si>
    <t>SW/BR</t>
  </si>
  <si>
    <t>V.15AS.9J1_034.SD_F2</t>
  </si>
  <si>
    <t xml:space="preserve">V1 </t>
  </si>
  <si>
    <t xml:space="preserve"> L0L</t>
  </si>
  <si>
    <t xml:space="preserve"> 0 (g)</t>
  </si>
  <si>
    <t>LTGS:SCHNITTSTELLE</t>
  </si>
  <si>
    <t>9JA_974_295</t>
  </si>
  <si>
    <t>1J219JA295</t>
  </si>
  <si>
    <t>1J219JA295A0A</t>
  </si>
  <si>
    <t>AKTUELL</t>
  </si>
  <si>
    <t>9J1_974_295</t>
  </si>
  <si>
    <t>1J219J1295</t>
  </si>
  <si>
    <t>1J219J1295A0A</t>
  </si>
  <si>
    <t>KW2048</t>
  </si>
  <si>
    <t>N_901_965_13</t>
  </si>
  <si>
    <t>SL412006</t>
  </si>
  <si>
    <t>2-ge/br</t>
  </si>
  <si>
    <t>GE/BR</t>
  </si>
  <si>
    <t>1-ge/gr</t>
  </si>
  <si>
    <t>3-br</t>
  </si>
  <si>
    <t>Increase index:  9J1_974_412_B</t>
  </si>
  <si>
    <t>KB_029 befindet sich sehr nah an der Ausbindung, es kann rutschen nach elektrische Prüfung.
Die Abweichung der Befestigung verursacht Spannung in den Antennenkabeln.</t>
  </si>
  <si>
    <t>Infobaugruppe Relais / Sicherung gemäß Verfahrensanweisung CPE-W-930</t>
  </si>
  <si>
    <t>Einheit</t>
  </si>
  <si>
    <t>Verbindungsknoten</t>
  </si>
  <si>
    <t>Schweißname</t>
  </si>
  <si>
    <t>Infobaugruppe Kabelschuh / Kontakte gemäß Verfahrensanweiung CPE-W-930</t>
  </si>
  <si>
    <t>Länge</t>
  </si>
  <si>
    <t>D912608-0</t>
  </si>
  <si>
    <t>D912608-1</t>
  </si>
  <si>
    <t>KW2045</t>
  </si>
  <si>
    <t>LSK Pkt. 1145 Leitungen im Bereich Mittelkonsole werden beschädigt.
Beschädigter Bereich mit Vollbandage wickeln.</t>
  </si>
  <si>
    <t>CL_038 soll mit 19mm Bandage angewickelt werden
Ansicht CL_038 anpassen</t>
  </si>
  <si>
    <t>1J219J1000B0D</t>
  </si>
  <si>
    <t>1J219J1000C0D</t>
  </si>
  <si>
    <t>Increase index: 9J1_974_000_B, 9J1_974_000_C</t>
  </si>
  <si>
    <t>PPE_UA</t>
  </si>
  <si>
    <t>4M0_971_904</t>
  </si>
  <si>
    <t>Fertigungsprobeme mit dem Eisatz des 19mm Bandes.
Nach viele durchgeführten Fertigungstests wurde die Breite des Bandes auf 25mm festgesetzt.</t>
  </si>
  <si>
    <t>D912608-3</t>
  </si>
  <si>
    <t>KW2041</t>
  </si>
  <si>
    <t>Änderungsantrag AEB7170 wurde nicht vollständig in die Zeichnung 20.02.2020 aufgenommen.
Die aktuelle Zeichnunskontrolle ZS. 20.02/31.08.2020 und 22.01.2021 ergab eine Abweichung, die zu beheben ist. Montagemarkierungen
und Hilfsbemaßungen mussten weggelassen werden. Beim Weglassen wurde ein Bemaßungspunkt Kreuz ''X'' belassen - siehe rote
Markierung.</t>
  </si>
  <si>
    <t>Z.D.: 31.08.2020</t>
  </si>
  <si>
    <t>Die Universell-Blinddichtung UNI_BLIND_SEAL_050_NANO für Stecker XA.J234.5 / AIR_A wird durch 4M0_971_904 ersetzt.</t>
  </si>
  <si>
    <t>KW 48/20 ZD:31082020</t>
  </si>
  <si>
    <t>Das Modul 9J1_974_000_B und betroffene Basis-Leitungen zum Tongeber und LTE Antenne 3 entfallen (siehe Anlagen).</t>
  </si>
  <si>
    <t>7204</t>
  </si>
  <si>
    <t>AWE_7456</t>
  </si>
  <si>
    <t>KW53</t>
  </si>
  <si>
    <t xml:space="preserve">AWE ist gültig ab Einsatz ZS 31.08.2020 bis Einsatz der neuen Antenne in KW53.
Für L0R ist diese Antenne schon eingesetzt.
Es ist eine Verlängerung der AWE 7309
</t>
  </si>
  <si>
    <t>AWE7309</t>
  </si>
  <si>
    <t>AWE_7364</t>
  </si>
  <si>
    <t xml:space="preserve">Splicekonstruktion von Splice YW0010 (SP_CANH_MIB) und YW0011 (SP_CANL_MIB) entspricht nicht der Norm (SEBN CPE-W-520).
</t>
  </si>
  <si>
    <t>0_serie CUV</t>
  </si>
  <si>
    <t>D944172-0</t>
  </si>
  <si>
    <t>7025_1</t>
  </si>
  <si>
    <t>1) Das LDorado-Label für FlexRay (Verarbeitungsinformationen) wird entfernt - siehe IST/SOLL.
2) Die Wirelist zeigt die relevanten Leitungsnummern an.</t>
  </si>
  <si>
    <t>Neue Modul 9J1_974_077_C ohne Leitungen und Antenne zum Kompensor hinzu.
Splice Y0049/SP_30A ist nicht in neue Variante vorhanden.
Die Versorgungsleitung vom Koppelbox geht auf Sicherung ohne Splice (neue Leitung)
Einsatztermin gemäß ÄKO20200512379 (zu PVS MOPF 25/21)</t>
  </si>
  <si>
    <t>End- oder Durchgangsverbinder</t>
  </si>
  <si>
    <t>Art der Verbindung</t>
  </si>
  <si>
    <t>au</t>
  </si>
  <si>
    <t>FLR/ETH</t>
  </si>
  <si>
    <t>SP_MB31_B1          KI_A</t>
  </si>
  <si>
    <t>SP_MB31_B1          KS_CPM_D</t>
  </si>
  <si>
    <t>SP_MB31_B1          KS_CPL_A</t>
  </si>
  <si>
    <t>SP_MB31_B2          SP_MB31_B1</t>
  </si>
  <si>
    <t>SP_MB31_B1          SG_EVLS</t>
  </si>
  <si>
    <t>SP_MB31_B2          EZS</t>
  </si>
  <si>
    <t>SP_MB31_B2          SGMLS</t>
  </si>
  <si>
    <t>SP_MB31_B2          SBT_A</t>
  </si>
  <si>
    <t>SP_MB31_B2          SBT_B</t>
  </si>
  <si>
    <t>SP_MB31_B2          KS_CP_C</t>
  </si>
  <si>
    <t>SP_MB31_B2          HUD</t>
  </si>
  <si>
    <t>SP_MB31_B2          KNAFS</t>
  </si>
  <si>
    <t>SP_MB32_B1          SP_MB32_B2</t>
  </si>
  <si>
    <t>SP_MB32_B2          SGION_A</t>
  </si>
  <si>
    <t>SP_MB32_B2          FSS</t>
  </si>
  <si>
    <t>ABB_A               SP_MB32_B2</t>
  </si>
  <si>
    <t>KNABFS              SP_MB32_B2</t>
  </si>
  <si>
    <t>SP_MB33_C           KS_CPL_A</t>
  </si>
  <si>
    <t>SP_MB33_C           DIAG</t>
  </si>
  <si>
    <t>SP_MB33_C           FRL_VL</t>
  </si>
  <si>
    <t>SP_MB33_C           FRL2_VL</t>
  </si>
  <si>
    <t>SP_MB34_B1          MIB_D</t>
  </si>
  <si>
    <t>SP_MB34_B1          KS_CPM_E</t>
  </si>
  <si>
    <t>SP_MB34_B1          BTMK_A</t>
  </si>
  <si>
    <t>SP_MB34_B1          KS_CPR_B</t>
  </si>
  <si>
    <t>SP_MB34_B1          DISM_A</t>
  </si>
  <si>
    <t>SP_MB34_B1          DISA_A</t>
  </si>
  <si>
    <t>Serie_AWE_7521</t>
  </si>
  <si>
    <t>sofort</t>
  </si>
  <si>
    <t xml:space="preserve">Scheuerschutz hinzufügen, siehe IST_SOLL_DARSTELLUNG                     Die AWE ist gültig für 30 Fahrzeuge, die nicht direkt aufeinander gebaut werden. 
Prod.-Nr. sollen rückgemeldet werden damit Fahrzeuge geprüft werden können.
</t>
  </si>
  <si>
    <t>D944172-1</t>
  </si>
  <si>
    <t>KW2051</t>
  </si>
  <si>
    <t>KW2050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</si>
</sst>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\ mm/yyyy"/>
    <numFmt numFmtId="165" formatCode="00"/>
    <numFmt numFmtId="166" formatCode="0000"/>
    <numFmt numFmtId="167" formatCode="0.000000"/>
  </numFmts>
  <fonts count="9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Helv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 CE"/>
      <family val="2"/>
      <charset val="238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name val="Andale Mono"/>
    </font>
    <font>
      <sz val="10"/>
      <name val="Arial CE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</font>
    <font>
      <sz val="11"/>
      <name val="Arial"/>
      <family val="2"/>
      <charset val="238"/>
    </font>
    <font>
      <strike/>
      <sz val="10"/>
      <name val="Arial"/>
      <family val="2"/>
      <charset val="238"/>
    </font>
    <font>
      <sz val="9"/>
      <name val="Arial CE"/>
      <family val="2"/>
      <charset val="238"/>
    </font>
    <font>
      <sz val="6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  <charset val="238"/>
    </font>
    <font>
      <b/>
      <sz val="10"/>
      <name val="Calibri"/>
      <family val="2"/>
      <charset val="238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  <charset val="238"/>
    </font>
    <font>
      <b/>
      <sz val="10"/>
      <name val="Arial CE"/>
      <charset val="238"/>
    </font>
    <font>
      <b/>
      <sz val="10"/>
      <name val="Arial CE"/>
      <family val="2"/>
      <charset val="238"/>
    </font>
    <font>
      <b/>
      <sz val="11"/>
      <name val="Arial"/>
      <family val="2"/>
      <charset val="238"/>
    </font>
    <font>
      <strike/>
      <sz val="11"/>
      <name val="Arial"/>
      <family val="2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CE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0"/>
      <color theme="1"/>
      <name val="Arial"/>
      <family val="2"/>
    </font>
    <font>
      <b/>
      <sz val="12"/>
      <name val="Calibri"/>
      <family val="2"/>
      <charset val="238"/>
      <scheme val="minor"/>
    </font>
    <font>
      <strike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name val="Calibri"/>
      <family val="2"/>
      <scheme val="minor"/>
    </font>
    <font>
      <strike/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trike/>
      <sz val="10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1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strike/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charset val="238"/>
      <scheme val="minor"/>
    </font>
    <font>
      <sz val="11"/>
      <color rgb="FF0070C0"/>
      <name val="Calibri"/>
      <family val="2"/>
      <scheme val="minor"/>
    </font>
    <font>
      <sz val="11"/>
      <color rgb="FF0070C0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  <font>
      <sz val="10"/>
      <color rgb="FF0070C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8"/>
      <color indexed="8"/>
      <name val="Calibri"/>
      <family val="2"/>
      <charset val="238"/>
      <scheme val="minor"/>
    </font>
    <font>
      <b/>
      <sz val="11"/>
      <color theme="0" tint="-0.499984740745262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trike/>
      <sz val="11"/>
      <name val="Calibri"/>
      <family val="2"/>
      <charset val="238"/>
      <scheme val="minor"/>
    </font>
    <font>
      <b/>
      <strike/>
      <sz val="11"/>
      <name val="Calibri"/>
      <family val="2"/>
      <scheme val="minor"/>
    </font>
    <font>
      <sz val="10"/>
      <name val="Calibri"/>
      <family val="2"/>
      <scheme val="minor"/>
    </font>
    <font>
      <strike/>
      <sz val="10"/>
      <color rgb="FFFF0000"/>
      <name val="Calibri"/>
      <family val="2"/>
      <charset val="238"/>
      <scheme val="minor"/>
    </font>
    <font>
      <strike/>
      <sz val="11"/>
      <color rgb="FFFF0000"/>
      <name val="Calibri"/>
      <family val="2"/>
      <charset val="238"/>
      <scheme val="minor"/>
    </font>
    <font>
      <sz val="11"/>
      <name val="Calibri"/>
      <family val="2"/>
      <charset val="238"/>
    </font>
    <font>
      <strike/>
      <sz val="11"/>
      <color indexed="10"/>
      <name val="Calibri"/>
      <family val="2"/>
      <charset val="238"/>
      <scheme val="minor"/>
    </font>
    <font>
      <b/>
      <strike/>
      <sz val="11"/>
      <color indexed="10"/>
      <name val="Calibri"/>
      <family val="2"/>
      <charset val="238"/>
      <scheme val="minor"/>
    </font>
    <font>
      <strike/>
      <sz val="10"/>
      <color indexed="10"/>
      <name val="Calibri"/>
      <family val="2"/>
      <charset val="238"/>
      <scheme val="minor"/>
    </font>
    <font>
      <b/>
      <sz val="9"/>
      <color indexed="81"/>
      <name val="Segoe UI"/>
      <family val="2"/>
      <charset val="238"/>
    </font>
    <font>
      <sz val="9"/>
      <color indexed="81"/>
      <name val="Segoe UI"/>
      <family val="2"/>
      <charset val="238"/>
    </font>
    <font>
      <strike/>
      <sz val="8"/>
      <color rgb="FFFF0000"/>
      <name val="Arial"/>
      <family val="2"/>
      <charset val="238"/>
    </font>
    <font>
      <sz val="8"/>
      <color rgb="FF0070C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rgb="FFFF0000"/>
      <name val="Arial"/>
      <family val="2"/>
      <charset val="238"/>
    </font>
    <font>
      <b/>
      <sz val="26"/>
      <color theme="1"/>
      <name val="Calibri"/>
      <family val="2"/>
      <scheme val="minor"/>
    </font>
    <font>
      <sz val="10"/>
      <color rgb="FF0070C0"/>
      <name val="Arial"/>
      <family val="2"/>
    </font>
    <font>
      <b/>
      <sz val="10"/>
      <color rgb="FF0070C0"/>
      <name val="Arial"/>
      <family val="2"/>
      <charset val="238"/>
    </font>
    <font>
      <b/>
      <sz val="10"/>
      <color rgb="FF0070C0"/>
      <name val="Calibri"/>
      <family val="2"/>
      <charset val="238"/>
      <scheme val="minor"/>
    </font>
    <font>
      <b/>
      <sz val="10"/>
      <color rgb="FFFF0000"/>
      <name val="Arial"/>
      <family val="2"/>
    </font>
    <font>
      <b/>
      <sz val="10"/>
      <color rgb="FFFF0000"/>
      <name val="Calibri"/>
      <family val="2"/>
      <charset val="238"/>
      <scheme val="minor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2">
    <xf numFmtId="0" fontId="0" fillId="0" borderId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" fillId="0" borderId="0"/>
    <xf numFmtId="0" fontId="37" fillId="0" borderId="0"/>
    <xf numFmtId="0" fontId="37" fillId="0" borderId="0"/>
    <xf numFmtId="0" fontId="38" fillId="0" borderId="0"/>
    <xf numFmtId="0" fontId="38" fillId="0" borderId="0"/>
    <xf numFmtId="0" fontId="21" fillId="0" borderId="0"/>
    <xf numFmtId="0" fontId="3" fillId="0" borderId="0"/>
    <xf numFmtId="0" fontId="22" fillId="0" borderId="0"/>
    <xf numFmtId="0" fontId="3" fillId="0" borderId="0"/>
    <xf numFmtId="0" fontId="40" fillId="0" borderId="0"/>
    <xf numFmtId="0" fontId="38" fillId="0" borderId="0"/>
    <xf numFmtId="0" fontId="38" fillId="0" borderId="0"/>
    <xf numFmtId="0" fontId="38" fillId="0" borderId="0"/>
    <xf numFmtId="9" fontId="37" fillId="0" borderId="0" applyFont="0" applyFill="0" applyBorder="0" applyAlignment="0" applyProtection="0"/>
    <xf numFmtId="0" fontId="37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3" fillId="0" borderId="0"/>
    <xf numFmtId="0" fontId="4" fillId="0" borderId="0"/>
    <xf numFmtId="0" fontId="18" fillId="0" borderId="0"/>
    <xf numFmtId="0" fontId="4" fillId="0" borderId="0"/>
    <xf numFmtId="0" fontId="18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557">
    <xf numFmtId="0" fontId="0" fillId="0" borderId="0" xfId="0"/>
    <xf numFmtId="0" fontId="3" fillId="0" borderId="0" xfId="0" applyFont="1" applyFill="1"/>
    <xf numFmtId="0" fontId="0" fillId="0" borderId="0" xfId="0" applyFill="1"/>
    <xf numFmtId="0" fontId="0" fillId="0" borderId="0" xfId="0"/>
    <xf numFmtId="0" fontId="43" fillId="0" borderId="0" xfId="0" applyFont="1" applyFill="1"/>
    <xf numFmtId="0" fontId="38" fillId="0" borderId="0" xfId="0" applyFont="1" applyFill="1"/>
    <xf numFmtId="0" fontId="43" fillId="0" borderId="0" xfId="0" applyFont="1" applyFill="1" applyAlignment="1">
      <alignment horizontal="left" vertical="center"/>
    </xf>
    <xf numFmtId="0" fontId="44" fillId="0" borderId="0" xfId="0" applyFont="1" applyFill="1" applyAlignment="1">
      <alignment horizontal="center" vertical="center" textRotation="90"/>
    </xf>
    <xf numFmtId="0" fontId="44" fillId="0" borderId="0" xfId="0" applyFont="1" applyFill="1" applyAlignment="1">
      <alignment horizontal="center" vertical="center"/>
    </xf>
    <xf numFmtId="0" fontId="44" fillId="0" borderId="0" xfId="0" applyFont="1" applyFill="1" applyAlignment="1">
      <alignment horizontal="left" vertical="center"/>
    </xf>
    <xf numFmtId="0" fontId="45" fillId="0" borderId="0" xfId="0" applyFont="1" applyFill="1"/>
    <xf numFmtId="49" fontId="4" fillId="2" borderId="1" xfId="18" applyNumberFormat="1" applyFont="1" applyFill="1" applyBorder="1" applyAlignment="1">
      <alignment horizontal="center" vertical="center" textRotation="90" wrapText="1"/>
    </xf>
    <xf numFmtId="49" fontId="8" fillId="2" borderId="1" xfId="18" applyNumberFormat="1" applyFont="1" applyFill="1" applyBorder="1" applyAlignment="1">
      <alignment horizontal="center" vertical="center" textRotation="90"/>
    </xf>
    <xf numFmtId="0" fontId="4" fillId="2" borderId="1" xfId="18" applyNumberFormat="1" applyFont="1" applyFill="1" applyBorder="1" applyAlignment="1">
      <alignment horizontal="center" vertical="center" textRotation="90" wrapText="1"/>
    </xf>
    <xf numFmtId="0" fontId="4" fillId="0" borderId="1" xfId="18" applyNumberFormat="1" applyFont="1" applyFill="1" applyBorder="1" applyAlignment="1">
      <alignment horizontal="center" vertical="center" textRotation="90" wrapText="1"/>
    </xf>
    <xf numFmtId="0" fontId="4" fillId="2" borderId="1" xfId="18" applyFont="1" applyFill="1" applyBorder="1" applyAlignment="1">
      <alignment horizontal="center" vertical="center" textRotation="90" wrapText="1"/>
    </xf>
    <xf numFmtId="0" fontId="46" fillId="0" borderId="1" xfId="18" applyNumberFormat="1" applyFont="1" applyFill="1" applyBorder="1" applyAlignment="1">
      <alignment horizontal="center" vertical="center" textRotation="90"/>
    </xf>
    <xf numFmtId="0" fontId="46" fillId="0" borderId="1" xfId="18" applyNumberFormat="1" applyFont="1" applyFill="1" applyBorder="1" applyAlignment="1">
      <alignment horizontal="center" vertical="center" textRotation="90" wrapText="1"/>
    </xf>
    <xf numFmtId="0" fontId="46" fillId="2" borderId="1" xfId="18" applyFont="1" applyFill="1" applyBorder="1" applyAlignment="1">
      <alignment horizontal="center" vertical="center" textRotation="90" wrapText="1"/>
    </xf>
    <xf numFmtId="0" fontId="15" fillId="2" borderId="1" xfId="20" applyFont="1" applyFill="1" applyBorder="1" applyAlignment="1">
      <alignment horizontal="center" vertical="center" textRotation="90"/>
    </xf>
    <xf numFmtId="49" fontId="3" fillId="2" borderId="1" xfId="20" applyNumberFormat="1" applyFont="1" applyFill="1" applyBorder="1" applyAlignment="1">
      <alignment horizontal="center" vertical="center" textRotation="90"/>
    </xf>
    <xf numFmtId="0" fontId="15" fillId="0" borderId="1" xfId="20" applyFont="1" applyFill="1" applyBorder="1" applyAlignment="1">
      <alignment horizontal="center" vertical="center" textRotation="90"/>
    </xf>
    <xf numFmtId="49" fontId="15" fillId="2" borderId="1" xfId="20" applyNumberFormat="1" applyFont="1" applyFill="1" applyBorder="1" applyAlignment="1">
      <alignment horizontal="center" vertical="center" textRotation="90"/>
    </xf>
    <xf numFmtId="0" fontId="15" fillId="2" borderId="1" xfId="20" applyNumberFormat="1" applyFont="1" applyFill="1" applyBorder="1" applyAlignment="1">
      <alignment horizontal="center" vertical="center" textRotation="90" wrapText="1"/>
    </xf>
    <xf numFmtId="0" fontId="15" fillId="0" borderId="1" xfId="20" applyFont="1" applyFill="1" applyBorder="1" applyAlignment="1">
      <alignment horizontal="center" vertical="center" textRotation="90" wrapText="1"/>
    </xf>
    <xf numFmtId="0" fontId="0" fillId="0" borderId="1" xfId="0" applyBorder="1"/>
    <xf numFmtId="0" fontId="0" fillId="0" borderId="1" xfId="0" applyNumberFormat="1" applyBorder="1"/>
    <xf numFmtId="0" fontId="0" fillId="0" borderId="2" xfId="0" applyBorder="1"/>
    <xf numFmtId="0" fontId="47" fillId="0" borderId="0" xfId="0" applyFont="1" applyFill="1" applyAlignment="1">
      <alignment horizontal="center" vertical="center" wrapText="1"/>
    </xf>
    <xf numFmtId="0" fontId="48" fillId="0" borderId="0" xfId="0" applyFont="1" applyFill="1"/>
    <xf numFmtId="0" fontId="49" fillId="0" borderId="0" xfId="0" applyFont="1" applyFill="1" applyAlignment="1">
      <alignment horizontal="left"/>
    </xf>
    <xf numFmtId="0" fontId="50" fillId="0" borderId="0" xfId="0" applyFont="1" applyFill="1" applyAlignment="1">
      <alignment horizontal="right" vertical="center"/>
    </xf>
    <xf numFmtId="0" fontId="51" fillId="0" borderId="0" xfId="0" applyFont="1" applyFill="1"/>
    <xf numFmtId="0" fontId="43" fillId="0" borderId="0" xfId="0" applyFont="1" applyFill="1" applyBorder="1"/>
    <xf numFmtId="0" fontId="52" fillId="0" borderId="0" xfId="0" applyFont="1" applyFill="1"/>
    <xf numFmtId="0" fontId="49" fillId="0" borderId="0" xfId="0" applyFont="1" applyFill="1"/>
    <xf numFmtId="0" fontId="47" fillId="4" borderId="0" xfId="0" applyFont="1" applyFill="1" applyAlignment="1">
      <alignment horizontal="center" vertical="center" wrapText="1"/>
    </xf>
    <xf numFmtId="0" fontId="47" fillId="5" borderId="0" xfId="0" applyFont="1" applyFill="1" applyAlignment="1">
      <alignment horizontal="center" vertical="center" wrapText="1"/>
    </xf>
    <xf numFmtId="0" fontId="42" fillId="0" borderId="0" xfId="0" applyFont="1"/>
    <xf numFmtId="0" fontId="49" fillId="0" borderId="0" xfId="0" applyFont="1" applyFill="1" applyBorder="1"/>
    <xf numFmtId="0" fontId="51" fillId="0" borderId="0" xfId="0" applyFont="1" applyFill="1" applyAlignment="1">
      <alignment horizontal="left"/>
    </xf>
    <xf numFmtId="49" fontId="20" fillId="2" borderId="1" xfId="20" applyNumberFormat="1" applyFont="1" applyFill="1" applyBorder="1" applyAlignment="1">
      <alignment horizontal="center" vertical="center" textRotation="90" wrapText="1"/>
    </xf>
    <xf numFmtId="0" fontId="43" fillId="0" borderId="0" xfId="0" applyFont="1" applyFill="1" applyAlignment="1">
      <alignment horizontal="center" vertical="center"/>
    </xf>
    <xf numFmtId="0" fontId="23" fillId="0" borderId="0" xfId="0" applyFont="1" applyFill="1"/>
    <xf numFmtId="0" fontId="48" fillId="0" borderId="0" xfId="0" applyFont="1" applyFill="1" applyBorder="1"/>
    <xf numFmtId="0" fontId="24" fillId="0" borderId="0" xfId="0" applyFont="1" applyFill="1"/>
    <xf numFmtId="0" fontId="53" fillId="0" borderId="0" xfId="0" applyFont="1" applyFill="1" applyAlignment="1">
      <alignment horizontal="left"/>
    </xf>
    <xf numFmtId="0" fontId="53" fillId="0" borderId="0" xfId="0" applyFont="1" applyFill="1"/>
    <xf numFmtId="0" fontId="54" fillId="0" borderId="0" xfId="0" applyFont="1" applyFill="1" applyAlignment="1">
      <alignment horizontal="left"/>
    </xf>
    <xf numFmtId="0" fontId="53" fillId="0" borderId="0" xfId="0" applyFont="1" applyFill="1" applyBorder="1" applyAlignment="1"/>
    <xf numFmtId="0" fontId="53" fillId="0" borderId="0" xfId="0" applyFont="1" applyFill="1" applyAlignment="1"/>
    <xf numFmtId="0" fontId="55" fillId="0" borderId="0" xfId="0" applyFont="1" applyFill="1"/>
    <xf numFmtId="0" fontId="23" fillId="0" borderId="0" xfId="0" applyFont="1" applyFill="1" applyBorder="1"/>
    <xf numFmtId="0" fontId="0" fillId="0" borderId="0" xfId="0" applyBorder="1"/>
    <xf numFmtId="0" fontId="0" fillId="0" borderId="0" xfId="0" applyNumberFormat="1" applyBorder="1"/>
    <xf numFmtId="0" fontId="23" fillId="0" borderId="0" xfId="0" applyFont="1" applyFill="1" applyAlignment="1">
      <alignment horizontal="center"/>
    </xf>
    <xf numFmtId="0" fontId="43" fillId="0" borderId="0" xfId="0" applyFont="1" applyFill="1" applyAlignment="1">
      <alignment horizontal="center"/>
    </xf>
    <xf numFmtId="0" fontId="48" fillId="0" borderId="0" xfId="0" applyFont="1" applyFill="1" applyAlignment="1">
      <alignment horizontal="center"/>
    </xf>
    <xf numFmtId="0" fontId="49" fillId="0" borderId="0" xfId="0" applyFont="1" applyFill="1" applyAlignment="1">
      <alignment horizontal="center"/>
    </xf>
    <xf numFmtId="0" fontId="51" fillId="0" borderId="0" xfId="0" applyFont="1" applyFill="1" applyAlignment="1">
      <alignment horizontal="center"/>
    </xf>
    <xf numFmtId="0" fontId="38" fillId="0" borderId="0" xfId="0" applyFont="1" applyFill="1" applyAlignment="1">
      <alignment horizontal="center"/>
    </xf>
    <xf numFmtId="0" fontId="4" fillId="2" borderId="4" xfId="18" applyNumberFormat="1" applyFont="1" applyFill="1" applyBorder="1" applyAlignment="1">
      <alignment horizontal="center" vertical="center" textRotation="90" wrapText="1"/>
    </xf>
    <xf numFmtId="0" fontId="51" fillId="0" borderId="0" xfId="0" applyFont="1" applyFill="1" applyBorder="1"/>
    <xf numFmtId="0" fontId="38" fillId="0" borderId="0" xfId="0" applyFont="1"/>
    <xf numFmtId="0" fontId="38" fillId="0" borderId="0" xfId="0" applyFont="1" applyBorder="1"/>
    <xf numFmtId="0" fontId="53" fillId="0" borderId="0" xfId="18" applyFont="1"/>
    <xf numFmtId="0" fontId="53" fillId="0" borderId="0" xfId="18" applyFont="1" applyFill="1"/>
    <xf numFmtId="0" fontId="53" fillId="0" borderId="0" xfId="28" applyFont="1" applyFill="1" applyBorder="1"/>
    <xf numFmtId="49" fontId="53" fillId="0" borderId="1" xfId="28" applyNumberFormat="1" applyFont="1" applyFill="1" applyBorder="1"/>
    <xf numFmtId="0" fontId="53" fillId="0" borderId="1" xfId="28" applyFont="1" applyFill="1" applyBorder="1"/>
    <xf numFmtId="0" fontId="53" fillId="0" borderId="1" xfId="28" applyFont="1" applyFill="1" applyBorder="1" applyAlignment="1">
      <alignment horizontal="left"/>
    </xf>
    <xf numFmtId="0" fontId="53" fillId="0" borderId="1" xfId="28" applyFont="1" applyFill="1" applyBorder="1" applyAlignment="1">
      <alignment horizontal="center" vertical="center"/>
    </xf>
    <xf numFmtId="0" fontId="53" fillId="0" borderId="1" xfId="28" applyFont="1" applyFill="1" applyBorder="1" applyAlignment="1"/>
    <xf numFmtId="0" fontId="38" fillId="0" borderId="0" xfId="0" applyFont="1" applyBorder="1" applyAlignment="1">
      <alignment vertical="center"/>
    </xf>
    <xf numFmtId="49" fontId="55" fillId="0" borderId="0" xfId="28" applyNumberFormat="1" applyFont="1" applyFill="1" applyBorder="1"/>
    <xf numFmtId="0" fontId="53" fillId="0" borderId="0" xfId="28" applyFont="1" applyFill="1" applyBorder="1" applyAlignment="1">
      <alignment horizontal="left" vertical="center"/>
    </xf>
    <xf numFmtId="167" fontId="53" fillId="0" borderId="1" xfId="28" applyNumberFormat="1" applyFont="1" applyFill="1" applyBorder="1" applyAlignment="1">
      <alignment horizontal="left"/>
    </xf>
    <xf numFmtId="0" fontId="49" fillId="0" borderId="0" xfId="0" applyFont="1" applyFill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25" fillId="0" borderId="1" xfId="20" applyFont="1" applyFill="1" applyBorder="1" applyAlignment="1">
      <alignment horizontal="center" vertical="center" textRotation="90" wrapText="1"/>
    </xf>
    <xf numFmtId="49" fontId="15" fillId="0" borderId="1" xfId="20" applyNumberFormat="1" applyFont="1" applyFill="1" applyBorder="1" applyAlignment="1">
      <alignment horizontal="center" vertical="center" textRotation="90" wrapText="1"/>
    </xf>
    <xf numFmtId="0" fontId="6" fillId="6" borderId="0" xfId="26" applyFont="1" applyFill="1" applyAlignment="1"/>
    <xf numFmtId="0" fontId="6" fillId="0" borderId="0" xfId="26" applyFont="1" applyFill="1" applyAlignment="1"/>
    <xf numFmtId="0" fontId="6" fillId="6" borderId="0" xfId="26" applyFont="1" applyFill="1" applyAlignment="1">
      <alignment horizontal="center"/>
    </xf>
    <xf numFmtId="0" fontId="6" fillId="0" borderId="0" xfId="26" applyFont="1" applyAlignment="1"/>
    <xf numFmtId="0" fontId="6" fillId="0" borderId="0" xfId="26" applyFont="1" applyFill="1" applyAlignment="1">
      <alignment horizontal="center"/>
    </xf>
    <xf numFmtId="0" fontId="6" fillId="0" borderId="0" xfId="26" applyFont="1" applyFill="1"/>
    <xf numFmtId="0" fontId="6" fillId="0" borderId="0" xfId="26" applyFont="1" applyFill="1" applyAlignment="1">
      <alignment horizontal="left"/>
    </xf>
    <xf numFmtId="0" fontId="6" fillId="0" borderId="0" xfId="26" applyFont="1" applyFill="1" applyBorder="1" applyAlignment="1">
      <alignment horizontal="center"/>
    </xf>
    <xf numFmtId="0" fontId="6" fillId="0" borderId="0" xfId="26" applyFont="1"/>
    <xf numFmtId="0" fontId="6" fillId="0" borderId="0" xfId="26" applyFont="1" applyFill="1" applyBorder="1"/>
    <xf numFmtId="0" fontId="4" fillId="0" borderId="0" xfId="18" applyFont="1" applyAlignment="1">
      <alignment horizontal="left"/>
    </xf>
    <xf numFmtId="49" fontId="4" fillId="0" borderId="0" xfId="30" applyNumberFormat="1" applyFont="1"/>
    <xf numFmtId="164" fontId="6" fillId="0" borderId="0" xfId="30" applyNumberFormat="1" applyFont="1" applyFill="1" applyAlignment="1">
      <alignment horizontal="left"/>
    </xf>
    <xf numFmtId="164" fontId="6" fillId="0" borderId="0" xfId="30" applyNumberFormat="1" applyFont="1" applyFill="1" applyAlignment="1">
      <alignment horizontal="center"/>
    </xf>
    <xf numFmtId="0" fontId="4" fillId="0" borderId="0" xfId="18" applyFont="1" applyAlignment="1">
      <alignment horizontal="center"/>
    </xf>
    <xf numFmtId="0" fontId="4" fillId="0" borderId="0" xfId="3" applyFont="1"/>
    <xf numFmtId="49" fontId="4" fillId="0" borderId="0" xfId="30" applyNumberFormat="1" applyFont="1" applyAlignment="1">
      <alignment horizontal="center"/>
    </xf>
    <xf numFmtId="0" fontId="6" fillId="0" borderId="0" xfId="0" applyFont="1" applyFill="1"/>
    <xf numFmtId="0" fontId="6" fillId="0" borderId="0" xfId="0" applyFont="1"/>
    <xf numFmtId="0" fontId="4" fillId="6" borderId="5" xfId="30" applyFont="1" applyFill="1" applyBorder="1" applyAlignment="1">
      <alignment horizontal="center" vertical="center"/>
    </xf>
    <xf numFmtId="0" fontId="4" fillId="6" borderId="6" xfId="30" applyFont="1" applyFill="1" applyBorder="1" applyAlignment="1">
      <alignment horizontal="center" vertical="center"/>
    </xf>
    <xf numFmtId="0" fontId="4" fillId="6" borderId="7" xfId="30" applyFont="1" applyFill="1" applyBorder="1" applyAlignment="1">
      <alignment horizontal="center" vertical="center"/>
    </xf>
    <xf numFmtId="0" fontId="0" fillId="0" borderId="0" xfId="0" applyFill="1" applyProtection="1">
      <protection locked="0"/>
    </xf>
    <xf numFmtId="0" fontId="49" fillId="0" borderId="0" xfId="0" applyFont="1" applyFill="1" applyBorder="1" applyAlignment="1">
      <alignment horizontal="center"/>
    </xf>
    <xf numFmtId="0" fontId="4" fillId="0" borderId="0" xfId="28" applyFont="1" applyFill="1" applyBorder="1"/>
    <xf numFmtId="0" fontId="5" fillId="0" borderId="0" xfId="28" applyFont="1" applyFill="1" applyBorder="1" applyAlignment="1">
      <alignment horizontal="left" vertical="center" wrapText="1"/>
    </xf>
    <xf numFmtId="0" fontId="46" fillId="0" borderId="0" xfId="18" applyFont="1" applyFill="1"/>
    <xf numFmtId="0" fontId="4" fillId="0" borderId="0" xfId="18"/>
    <xf numFmtId="0" fontId="46" fillId="0" borderId="0" xfId="28" applyFont="1" applyFill="1" applyBorder="1"/>
    <xf numFmtId="0" fontId="56" fillId="0" borderId="0" xfId="28" applyFont="1" applyFill="1" applyBorder="1" applyAlignment="1">
      <alignment horizontal="left" vertical="center" wrapText="1"/>
    </xf>
    <xf numFmtId="49" fontId="46" fillId="0" borderId="1" xfId="28" applyNumberFormat="1" applyFont="1" applyFill="1" applyBorder="1" applyAlignment="1">
      <alignment horizontal="center" vertical="center" textRotation="90"/>
    </xf>
    <xf numFmtId="49" fontId="4" fillId="0" borderId="0" xfId="28" applyNumberFormat="1" applyFont="1" applyFill="1" applyBorder="1"/>
    <xf numFmtId="49" fontId="46" fillId="0" borderId="0" xfId="28" applyNumberFormat="1" applyFont="1" applyFill="1" applyBorder="1" applyAlignment="1">
      <alignment horizontal="right"/>
    </xf>
    <xf numFmtId="49" fontId="4" fillId="0" borderId="0" xfId="28" applyNumberFormat="1" applyFont="1" applyFill="1" applyBorder="1" applyAlignment="1">
      <alignment horizontal="right"/>
    </xf>
    <xf numFmtId="49" fontId="4" fillId="0" borderId="0" xfId="28" applyNumberFormat="1" applyFont="1" applyFill="1" applyBorder="1" applyAlignment="1">
      <alignment horizontal="left" vertical="center"/>
    </xf>
    <xf numFmtId="0" fontId="4" fillId="0" borderId="0" xfId="28" applyFont="1" applyBorder="1" applyAlignment="1">
      <alignment horizontal="left" vertical="center" wrapText="1"/>
    </xf>
    <xf numFmtId="0" fontId="46" fillId="0" borderId="0" xfId="28" applyFont="1" applyFill="1" applyBorder="1" applyAlignment="1">
      <alignment horizontal="center"/>
    </xf>
    <xf numFmtId="0" fontId="4" fillId="0" borderId="0" xfId="28" applyFont="1" applyBorder="1" applyAlignment="1">
      <alignment horizontal="center"/>
    </xf>
    <xf numFmtId="0" fontId="4" fillId="0" borderId="0" xfId="28" applyFont="1" applyFill="1" applyBorder="1" applyAlignment="1">
      <alignment horizontal="left" vertical="center"/>
    </xf>
    <xf numFmtId="0" fontId="4" fillId="0" borderId="0" xfId="28" applyFont="1" applyFill="1" applyBorder="1" applyAlignment="1">
      <alignment horizontal="center"/>
    </xf>
    <xf numFmtId="0" fontId="6" fillId="0" borderId="0" xfId="31" applyFont="1" applyFill="1" applyAlignment="1">
      <alignment horizontal="center" vertical="center"/>
    </xf>
    <xf numFmtId="0" fontId="46" fillId="0" borderId="1" xfId="28" applyFont="1" applyFill="1" applyBorder="1" applyAlignment="1">
      <alignment horizontal="center" vertical="center" textRotation="90"/>
    </xf>
    <xf numFmtId="0" fontId="6" fillId="0" borderId="0" xfId="28" applyFont="1" applyFill="1" applyBorder="1" applyAlignment="1">
      <alignment vertical="center"/>
    </xf>
    <xf numFmtId="49" fontId="6" fillId="0" borderId="1" xfId="28" applyNumberFormat="1" applyFont="1" applyFill="1" applyBorder="1" applyAlignment="1">
      <alignment horizontal="left" vertical="center" wrapText="1"/>
    </xf>
    <xf numFmtId="0" fontId="57" fillId="0" borderId="1" xfId="28" applyFont="1" applyFill="1" applyBorder="1" applyAlignment="1">
      <alignment horizontal="center" vertical="center"/>
    </xf>
    <xf numFmtId="0" fontId="57" fillId="0" borderId="1" xfId="28" applyFont="1" applyFill="1" applyBorder="1" applyAlignment="1">
      <alignment horizontal="center" vertical="center" wrapText="1"/>
    </xf>
    <xf numFmtId="0" fontId="6" fillId="0" borderId="1" xfId="28" applyFont="1" applyFill="1" applyBorder="1" applyAlignment="1">
      <alignment horizontal="center" vertical="center" wrapText="1"/>
    </xf>
    <xf numFmtId="0" fontId="6" fillId="0" borderId="1" xfId="28" applyFont="1" applyFill="1" applyBorder="1" applyAlignment="1">
      <alignment horizontal="left" vertical="center"/>
    </xf>
    <xf numFmtId="0" fontId="6" fillId="0" borderId="1" xfId="28" applyFont="1" applyFill="1" applyBorder="1" applyAlignment="1">
      <alignment vertical="center"/>
    </xf>
    <xf numFmtId="0" fontId="58" fillId="0" borderId="1" xfId="28" applyFont="1" applyFill="1" applyBorder="1" applyAlignment="1">
      <alignment horizontal="center" vertical="center"/>
    </xf>
    <xf numFmtId="0" fontId="26" fillId="0" borderId="0" xfId="28" applyFont="1" applyFill="1" applyBorder="1" applyAlignment="1">
      <alignment vertical="center"/>
    </xf>
    <xf numFmtId="0" fontId="46" fillId="0" borderId="1" xfId="28" applyFont="1" applyFill="1" applyBorder="1" applyAlignment="1">
      <alignment horizontal="center" vertical="center" wrapText="1"/>
    </xf>
    <xf numFmtId="0" fontId="57" fillId="0" borderId="1" xfId="28" applyFont="1" applyFill="1" applyBorder="1" applyAlignment="1">
      <alignment vertical="center" wrapText="1"/>
    </xf>
    <xf numFmtId="0" fontId="46" fillId="0" borderId="1" xfId="28" applyFont="1" applyFill="1" applyBorder="1" applyAlignment="1">
      <alignment horizontal="left" vertical="center" wrapText="1"/>
    </xf>
    <xf numFmtId="9" fontId="46" fillId="0" borderId="1" xfId="28" applyNumberFormat="1" applyFont="1" applyFill="1" applyBorder="1" applyAlignment="1">
      <alignment horizontal="left" vertical="center" wrapText="1"/>
    </xf>
    <xf numFmtId="9" fontId="46" fillId="0" borderId="1" xfId="28" applyNumberFormat="1" applyFont="1" applyFill="1" applyBorder="1" applyAlignment="1">
      <alignment horizontal="center" vertical="center" wrapText="1"/>
    </xf>
    <xf numFmtId="0" fontId="46" fillId="0" borderId="1" xfId="28" applyFont="1" applyFill="1" applyBorder="1" applyAlignment="1">
      <alignment horizontal="center" vertical="center"/>
    </xf>
    <xf numFmtId="0" fontId="4" fillId="0" borderId="0" xfId="28" applyFont="1" applyFill="1" applyBorder="1" applyAlignment="1">
      <alignment vertical="center"/>
    </xf>
    <xf numFmtId="0" fontId="53" fillId="0" borderId="0" xfId="18" applyFont="1" applyBorder="1"/>
    <xf numFmtId="0" fontId="53" fillId="0" borderId="0" xfId="18" applyFont="1" applyFill="1" applyBorder="1"/>
    <xf numFmtId="49" fontId="53" fillId="0" borderId="0" xfId="28" applyNumberFormat="1" applyFont="1" applyFill="1" applyBorder="1"/>
    <xf numFmtId="49" fontId="53" fillId="0" borderId="0" xfId="28" applyNumberFormat="1" applyFont="1" applyFill="1" applyBorder="1" applyAlignment="1">
      <alignment horizontal="left"/>
    </xf>
    <xf numFmtId="49" fontId="53" fillId="0" borderId="0" xfId="28" applyNumberFormat="1" applyFont="1" applyBorder="1"/>
    <xf numFmtId="0" fontId="53" fillId="0" borderId="0" xfId="28" applyFont="1" applyBorder="1" applyAlignment="1">
      <alignment horizontal="center"/>
    </xf>
    <xf numFmtId="0" fontId="53" fillId="0" borderId="0" xfId="28" applyFont="1" applyFill="1" applyBorder="1" applyAlignment="1">
      <alignment horizontal="center"/>
    </xf>
    <xf numFmtId="0" fontId="53" fillId="0" borderId="8" xfId="28" applyFont="1" applyFill="1" applyBorder="1" applyAlignment="1">
      <alignment horizontal="center"/>
    </xf>
    <xf numFmtId="49" fontId="59" fillId="0" borderId="1" xfId="28" applyNumberFormat="1" applyFont="1" applyFill="1" applyBorder="1" applyAlignment="1">
      <alignment horizontal="left" vertical="center"/>
    </xf>
    <xf numFmtId="0" fontId="59" fillId="0" borderId="1" xfId="28" applyFont="1" applyFill="1" applyBorder="1" applyAlignment="1">
      <alignment horizontal="center" vertical="center"/>
    </xf>
    <xf numFmtId="0" fontId="59" fillId="0" borderId="1" xfId="28" applyFont="1" applyFill="1" applyBorder="1" applyAlignment="1">
      <alignment horizontal="center" vertical="center" wrapText="1"/>
    </xf>
    <xf numFmtId="0" fontId="59" fillId="0" borderId="1" xfId="28" applyFont="1" applyFill="1" applyBorder="1" applyAlignment="1">
      <alignment horizontal="left" vertical="center"/>
    </xf>
    <xf numFmtId="0" fontId="59" fillId="0" borderId="1" xfId="28" applyFont="1" applyFill="1" applyBorder="1" applyAlignment="1">
      <alignment vertical="center"/>
    </xf>
    <xf numFmtId="0" fontId="53" fillId="0" borderId="8" xfId="28" applyFont="1" applyFill="1" applyBorder="1" applyAlignment="1">
      <alignment horizontal="left"/>
    </xf>
    <xf numFmtId="9" fontId="53" fillId="0" borderId="8" xfId="28" applyNumberFormat="1" applyFont="1" applyFill="1" applyBorder="1" applyAlignment="1">
      <alignment horizontal="left"/>
    </xf>
    <xf numFmtId="9" fontId="53" fillId="0" borderId="1" xfId="28" applyNumberFormat="1" applyFont="1" applyFill="1" applyBorder="1"/>
    <xf numFmtId="0" fontId="59" fillId="0" borderId="0" xfId="31" applyFont="1" applyFill="1" applyBorder="1" applyAlignment="1">
      <alignment horizontal="center" vertical="center"/>
    </xf>
    <xf numFmtId="0" fontId="27" fillId="0" borderId="0" xfId="31" applyFont="1" applyFill="1" applyAlignment="1">
      <alignment horizontal="center" vertical="center"/>
    </xf>
    <xf numFmtId="0" fontId="60" fillId="7" borderId="1" xfId="0" applyFont="1" applyFill="1" applyBorder="1" applyAlignment="1" applyProtection="1">
      <alignment horizontal="center" vertical="center" wrapText="1"/>
      <protection locked="0"/>
    </xf>
    <xf numFmtId="0" fontId="39" fillId="7" borderId="1" xfId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49" fontId="61" fillId="0" borderId="1" xfId="28" applyNumberFormat="1" applyFont="1" applyFill="1" applyBorder="1"/>
    <xf numFmtId="0" fontId="0" fillId="0" borderId="1" xfId="0" applyFill="1" applyBorder="1"/>
    <xf numFmtId="49" fontId="15" fillId="2" borderId="3" xfId="20" applyNumberFormat="1" applyFont="1" applyFill="1" applyBorder="1" applyAlignment="1">
      <alignment horizontal="center" vertical="center" textRotation="90" wrapText="1"/>
    </xf>
    <xf numFmtId="0" fontId="50" fillId="0" borderId="0" xfId="0" applyFont="1" applyAlignment="1">
      <alignment horizontal="right" vertical="center"/>
    </xf>
    <xf numFmtId="0" fontId="43" fillId="0" borderId="0" xfId="0" applyFont="1"/>
    <xf numFmtId="0" fontId="38" fillId="0" borderId="1" xfId="0" applyFont="1" applyFill="1" applyBorder="1"/>
    <xf numFmtId="49" fontId="53" fillId="0" borderId="0" xfId="28" applyNumberFormat="1" applyFont="1" applyFill="1" applyBorder="1" applyAlignment="1">
      <alignment horizontal="center" vertical="center" textRotation="90"/>
    </xf>
    <xf numFmtId="0" fontId="0" fillId="0" borderId="1" xfId="0" applyNumberFormat="1" applyFill="1" applyBorder="1"/>
    <xf numFmtId="0" fontId="53" fillId="0" borderId="8" xfId="28" applyFont="1" applyFill="1" applyBorder="1" applyAlignment="1">
      <alignment horizontal="center" vertical="center"/>
    </xf>
    <xf numFmtId="49" fontId="4" fillId="6" borderId="9" xfId="30" applyNumberFormat="1" applyFont="1" applyFill="1" applyBorder="1" applyAlignment="1">
      <alignment horizontal="center" vertical="center" wrapText="1"/>
    </xf>
    <xf numFmtId="3" fontId="49" fillId="0" borderId="0" xfId="0" applyNumberFormat="1" applyFont="1" applyFill="1" applyBorder="1" applyAlignment="1">
      <alignment horizontal="center" wrapText="1"/>
    </xf>
    <xf numFmtId="0" fontId="49" fillId="0" borderId="0" xfId="2" applyFont="1" applyFill="1" applyBorder="1" applyAlignment="1">
      <alignment horizontal="center" vertical="center"/>
    </xf>
    <xf numFmtId="49" fontId="4" fillId="6" borderId="9" xfId="30" applyNumberFormat="1" applyFont="1" applyFill="1" applyBorder="1" applyAlignment="1">
      <alignment horizontal="left" vertical="center" wrapText="1"/>
    </xf>
    <xf numFmtId="0" fontId="62" fillId="0" borderId="2" xfId="0" applyFont="1" applyBorder="1"/>
    <xf numFmtId="0" fontId="49" fillId="0" borderId="0" xfId="0" applyNumberFormat="1" applyFont="1" applyFill="1" applyBorder="1" applyAlignment="1">
      <alignment horizontal="center" vertical="center"/>
    </xf>
    <xf numFmtId="1" fontId="49" fillId="0" borderId="0" xfId="0" applyNumberFormat="1" applyFont="1" applyFill="1" applyBorder="1" applyAlignment="1">
      <alignment horizontal="center" vertical="center"/>
    </xf>
    <xf numFmtId="0" fontId="47" fillId="0" borderId="0" xfId="0" applyFont="1" applyFill="1"/>
    <xf numFmtId="0" fontId="49" fillId="5" borderId="0" xfId="0" applyFont="1" applyFill="1"/>
    <xf numFmtId="0" fontId="41" fillId="0" borderId="0" xfId="0" applyFont="1"/>
    <xf numFmtId="49" fontId="0" fillId="0" borderId="0" xfId="0" applyNumberFormat="1"/>
    <xf numFmtId="0" fontId="63" fillId="0" borderId="0" xfId="0" applyFont="1" applyFill="1"/>
    <xf numFmtId="0" fontId="63" fillId="0" borderId="0" xfId="0" applyFont="1" applyFill="1" applyBorder="1"/>
    <xf numFmtId="49" fontId="63" fillId="0" borderId="0" xfId="0" applyNumberFormat="1" applyFont="1" applyFill="1"/>
    <xf numFmtId="0" fontId="64" fillId="0" borderId="0" xfId="0" applyFont="1" applyFill="1"/>
    <xf numFmtId="0" fontId="64" fillId="0" borderId="0" xfId="0" applyFont="1"/>
    <xf numFmtId="0" fontId="49" fillId="8" borderId="0" xfId="0" applyFont="1" applyFill="1"/>
    <xf numFmtId="0" fontId="65" fillId="0" borderId="0" xfId="0" applyFont="1" applyFill="1"/>
    <xf numFmtId="0" fontId="65" fillId="0" borderId="0" xfId="0" applyFont="1" applyFill="1" applyAlignment="1">
      <alignment horizontal="left"/>
    </xf>
    <xf numFmtId="0" fontId="65" fillId="0" borderId="0" xfId="0" applyFont="1" applyFill="1" applyAlignment="1">
      <alignment horizontal="center"/>
    </xf>
    <xf numFmtId="0" fontId="65" fillId="0" borderId="0" xfId="0" applyFont="1" applyFill="1" applyBorder="1"/>
    <xf numFmtId="0" fontId="67" fillId="0" borderId="0" xfId="0" applyFont="1" applyFill="1" applyAlignment="1">
      <alignment horizontal="left"/>
    </xf>
    <xf numFmtId="0" fontId="66" fillId="0" borderId="0" xfId="0" applyFont="1" applyFill="1"/>
    <xf numFmtId="0" fontId="65" fillId="8" borderId="0" xfId="0" applyFont="1" applyFill="1"/>
    <xf numFmtId="0" fontId="68" fillId="0" borderId="1" xfId="28" applyFont="1" applyFill="1" applyBorder="1" applyAlignment="1">
      <alignment horizontal="left" vertical="center"/>
    </xf>
    <xf numFmtId="49" fontId="59" fillId="9" borderId="10" xfId="27" applyNumberFormat="1" applyFont="1" applyFill="1" applyBorder="1" applyAlignment="1">
      <alignment horizontal="center" wrapText="1"/>
    </xf>
    <xf numFmtId="49" fontId="69" fillId="9" borderId="10" xfId="27" applyNumberFormat="1" applyFont="1" applyFill="1" applyBorder="1" applyAlignment="1"/>
    <xf numFmtId="49" fontId="69" fillId="9" borderId="10" xfId="27" applyNumberFormat="1" applyFont="1" applyFill="1" applyBorder="1" applyAlignment="1">
      <alignment horizontal="center" wrapText="1"/>
    </xf>
    <xf numFmtId="49" fontId="69" fillId="9" borderId="8" xfId="27" applyNumberFormat="1" applyFont="1" applyFill="1" applyBorder="1" applyAlignment="1">
      <alignment horizontal="center" wrapText="1"/>
    </xf>
    <xf numFmtId="49" fontId="69" fillId="9" borderId="11" xfId="27" applyNumberFormat="1" applyFont="1" applyFill="1" applyBorder="1" applyAlignment="1">
      <alignment horizontal="center" wrapText="1"/>
    </xf>
    <xf numFmtId="165" fontId="69" fillId="9" borderId="1" xfId="27" applyNumberFormat="1" applyFont="1" applyFill="1" applyBorder="1" applyAlignment="1">
      <alignment horizontal="center" textRotation="90" wrapText="1"/>
    </xf>
    <xf numFmtId="49" fontId="69" fillId="9" borderId="8" xfId="27" applyNumberFormat="1" applyFont="1" applyFill="1" applyBorder="1" applyAlignment="1">
      <alignment horizontal="center" textRotation="90" wrapText="1"/>
    </xf>
    <xf numFmtId="49" fontId="69" fillId="9" borderId="8" xfId="27" applyNumberFormat="1" applyFont="1" applyFill="1" applyBorder="1" applyAlignment="1"/>
    <xf numFmtId="49" fontId="69" fillId="9" borderId="8" xfId="27" applyNumberFormat="1" applyFont="1" applyFill="1" applyBorder="1" applyAlignment="1">
      <alignment horizontal="left"/>
    </xf>
    <xf numFmtId="1" fontId="59" fillId="9" borderId="8" xfId="27" applyNumberFormat="1" applyFont="1" applyFill="1" applyBorder="1" applyAlignment="1">
      <alignment horizontal="center" wrapText="1"/>
    </xf>
    <xf numFmtId="49" fontId="59" fillId="9" borderId="1" xfId="25" applyNumberFormat="1" applyFont="1" applyFill="1" applyBorder="1" applyAlignment="1">
      <alignment horizontal="center" wrapText="1"/>
    </xf>
    <xf numFmtId="49" fontId="59" fillId="0" borderId="1" xfId="25" applyNumberFormat="1" applyFont="1" applyFill="1" applyBorder="1" applyAlignment="1">
      <alignment horizontal="center" wrapText="1"/>
    </xf>
    <xf numFmtId="9" fontId="30" fillId="0" borderId="1" xfId="16" applyFont="1" applyFill="1" applyBorder="1" applyAlignment="1">
      <alignment horizontal="center" textRotation="90" wrapText="1"/>
    </xf>
    <xf numFmtId="49" fontId="30" fillId="9" borderId="8" xfId="27" applyNumberFormat="1" applyFont="1" applyFill="1" applyBorder="1" applyAlignment="1">
      <alignment horizontal="center" textRotation="90" wrapText="1"/>
    </xf>
    <xf numFmtId="0" fontId="59" fillId="9" borderId="1" xfId="0" applyFont="1" applyFill="1" applyBorder="1" applyAlignment="1">
      <alignment horizontal="center"/>
    </xf>
    <xf numFmtId="0" fontId="53" fillId="0" borderId="0" xfId="0" applyFont="1" applyAlignment="1">
      <alignment horizontal="center"/>
    </xf>
    <xf numFmtId="0" fontId="55" fillId="0" borderId="0" xfId="0" applyFont="1" applyAlignment="1">
      <alignment horizontal="center"/>
    </xf>
    <xf numFmtId="49" fontId="70" fillId="0" borderId="0" xfId="25" applyNumberFormat="1" applyFont="1" applyFill="1" applyAlignment="1"/>
    <xf numFmtId="49" fontId="53" fillId="0" borderId="0" xfId="25" applyNumberFormat="1" applyFont="1" applyFill="1" applyAlignment="1"/>
    <xf numFmtId="49" fontId="59" fillId="0" borderId="10" xfId="27" applyNumberFormat="1" applyFont="1" applyFill="1" applyBorder="1" applyAlignment="1">
      <alignment horizontal="center" wrapText="1"/>
    </xf>
    <xf numFmtId="49" fontId="69" fillId="0" borderId="10" xfId="27" applyNumberFormat="1" applyFont="1" applyFill="1" applyBorder="1" applyAlignment="1"/>
    <xf numFmtId="49" fontId="69" fillId="0" borderId="10" xfId="27" applyNumberFormat="1" applyFont="1" applyFill="1" applyBorder="1" applyAlignment="1">
      <alignment horizontal="center" wrapText="1"/>
    </xf>
    <xf numFmtId="49" fontId="69" fillId="0" borderId="8" xfId="27" applyNumberFormat="1" applyFont="1" applyFill="1" applyBorder="1" applyAlignment="1">
      <alignment horizontal="center" wrapText="1"/>
    </xf>
    <xf numFmtId="49" fontId="69" fillId="0" borderId="11" xfId="27" applyNumberFormat="1" applyFont="1" applyFill="1" applyBorder="1" applyAlignment="1">
      <alignment horizontal="center" wrapText="1"/>
    </xf>
    <xf numFmtId="165" fontId="69" fillId="0" borderId="1" xfId="27" applyNumberFormat="1" applyFont="1" applyFill="1" applyBorder="1" applyAlignment="1">
      <alignment horizontal="center" textRotation="90" wrapText="1"/>
    </xf>
    <xf numFmtId="49" fontId="70" fillId="0" borderId="8" xfId="27" applyNumberFormat="1" applyFont="1" applyFill="1" applyBorder="1" applyAlignment="1">
      <alignment horizontal="center" textRotation="90" wrapText="1"/>
    </xf>
    <xf numFmtId="49" fontId="69" fillId="0" borderId="8" xfId="27" applyNumberFormat="1" applyFont="1" applyFill="1" applyBorder="1" applyAlignment="1"/>
    <xf numFmtId="49" fontId="70" fillId="0" borderId="8" xfId="27" applyNumberFormat="1" applyFont="1" applyFill="1" applyBorder="1" applyAlignment="1">
      <alignment horizontal="left"/>
    </xf>
    <xf numFmtId="1" fontId="59" fillId="0" borderId="8" xfId="27" applyNumberFormat="1" applyFont="1" applyFill="1" applyBorder="1" applyAlignment="1">
      <alignment horizontal="center" wrapText="1"/>
    </xf>
    <xf numFmtId="49" fontId="53" fillId="0" borderId="1" xfId="25" applyNumberFormat="1" applyFont="1" applyFill="1" applyBorder="1" applyAlignment="1">
      <alignment horizontal="center" wrapText="1"/>
    </xf>
    <xf numFmtId="0" fontId="4" fillId="0" borderId="12" xfId="18" applyFont="1" applyBorder="1" applyAlignment="1">
      <alignment horizontal="center" vertical="center" wrapText="1"/>
    </xf>
    <xf numFmtId="9" fontId="31" fillId="0" borderId="1" xfId="16" applyFont="1" applyFill="1" applyBorder="1" applyAlignment="1">
      <alignment horizontal="center" textRotation="90" wrapText="1"/>
    </xf>
    <xf numFmtId="49" fontId="31" fillId="0" borderId="8" xfId="27" applyNumberFormat="1" applyFont="1" applyFill="1" applyBorder="1" applyAlignment="1">
      <alignment horizontal="center" textRotation="90" wrapText="1"/>
    </xf>
    <xf numFmtId="0" fontId="53" fillId="0" borderId="1" xfId="0" applyFont="1" applyFill="1" applyBorder="1" applyAlignment="1">
      <alignment horizontal="center"/>
    </xf>
    <xf numFmtId="0" fontId="53" fillId="0" borderId="0" xfId="0" applyFont="1" applyFill="1" applyAlignment="1">
      <alignment horizontal="center"/>
    </xf>
    <xf numFmtId="0" fontId="55" fillId="0" borderId="0" xfId="0" applyFont="1" applyFill="1" applyAlignment="1">
      <alignment horizontal="center"/>
    </xf>
    <xf numFmtId="49" fontId="69" fillId="3" borderId="1" xfId="27" applyNumberFormat="1" applyFont="1" applyFill="1" applyBorder="1" applyAlignment="1">
      <alignment vertical="top"/>
    </xf>
    <xf numFmtId="49" fontId="69" fillId="3" borderId="1" xfId="27" applyNumberFormat="1" applyFont="1" applyFill="1" applyBorder="1" applyAlignment="1">
      <alignment horizontal="center" vertical="top"/>
    </xf>
    <xf numFmtId="165" fontId="69" fillId="3" borderId="1" xfId="27" applyNumberFormat="1" applyFont="1" applyFill="1" applyBorder="1" applyAlignment="1">
      <alignment horizontal="center" vertical="top"/>
    </xf>
    <xf numFmtId="49" fontId="69" fillId="3" borderId="1" xfId="27" applyNumberFormat="1" applyFont="1" applyFill="1" applyBorder="1" applyAlignment="1">
      <alignment horizontal="left" vertical="top"/>
    </xf>
    <xf numFmtId="49" fontId="70" fillId="3" borderId="1" xfId="27" quotePrefix="1" applyNumberFormat="1" applyFont="1" applyFill="1" applyBorder="1" applyAlignment="1">
      <alignment horizontal="left" vertical="top"/>
    </xf>
    <xf numFmtId="1" fontId="70" fillId="3" borderId="1" xfId="27" applyNumberFormat="1" applyFont="1" applyFill="1" applyBorder="1" applyAlignment="1">
      <alignment horizontal="center"/>
    </xf>
    <xf numFmtId="49" fontId="70" fillId="3" borderId="1" xfId="25" applyNumberFormat="1" applyFont="1" applyFill="1" applyBorder="1" applyAlignment="1">
      <alignment horizontal="center" vertical="top" wrapText="1"/>
    </xf>
    <xf numFmtId="0" fontId="70" fillId="8" borderId="1" xfId="19" applyFont="1" applyFill="1" applyBorder="1" applyAlignment="1">
      <alignment horizontal="center"/>
    </xf>
    <xf numFmtId="166" fontId="71" fillId="8" borderId="1" xfId="19" applyNumberFormat="1" applyFont="1" applyFill="1" applyBorder="1" applyAlignment="1">
      <alignment horizontal="center"/>
    </xf>
    <xf numFmtId="0" fontId="70" fillId="8" borderId="1" xfId="19" applyFont="1" applyFill="1" applyBorder="1" applyAlignment="1">
      <alignment horizontal="left"/>
    </xf>
    <xf numFmtId="0" fontId="72" fillId="0" borderId="1" xfId="0" applyFont="1" applyBorder="1"/>
    <xf numFmtId="0" fontId="72" fillId="0" borderId="0" xfId="0" applyFont="1"/>
    <xf numFmtId="0" fontId="53" fillId="0" borderId="0" xfId="0" applyFont="1" applyFill="1" applyBorder="1"/>
    <xf numFmtId="0" fontId="53" fillId="9" borderId="0" xfId="19" applyFont="1" applyFill="1"/>
    <xf numFmtId="0" fontId="53" fillId="9" borderId="0" xfId="19" applyFont="1" applyFill="1" applyAlignment="1">
      <alignment horizontal="center"/>
    </xf>
    <xf numFmtId="0" fontId="53" fillId="0" borderId="0" xfId="25" applyNumberFormat="1" applyFont="1" applyFill="1" applyAlignment="1"/>
    <xf numFmtId="0" fontId="53" fillId="8" borderId="0" xfId="25" applyNumberFormat="1" applyFont="1" applyFill="1" applyAlignment="1"/>
    <xf numFmtId="0" fontId="0" fillId="0" borderId="0" xfId="0" applyAlignment="1">
      <alignment horizontal="center" vertical="center" wrapText="1"/>
    </xf>
    <xf numFmtId="0" fontId="49" fillId="0" borderId="0" xfId="0" applyFont="1"/>
    <xf numFmtId="0" fontId="33" fillId="2" borderId="1" xfId="20" applyFont="1" applyFill="1" applyBorder="1" applyAlignment="1">
      <alignment horizontal="center" vertical="center" textRotation="90"/>
    </xf>
    <xf numFmtId="0" fontId="62" fillId="0" borderId="1" xfId="0" applyFont="1" applyBorder="1"/>
    <xf numFmtId="0" fontId="62" fillId="0" borderId="1" xfId="0" applyNumberFormat="1" applyFont="1" applyBorder="1"/>
    <xf numFmtId="0" fontId="41" fillId="0" borderId="1" xfId="0" applyFont="1" applyBorder="1"/>
    <xf numFmtId="0" fontId="41" fillId="0" borderId="0" xfId="0" applyFont="1" applyBorder="1"/>
    <xf numFmtId="0" fontId="52" fillId="0" borderId="0" xfId="0" applyFont="1"/>
    <xf numFmtId="0" fontId="73" fillId="0" borderId="0" xfId="0" applyFont="1"/>
    <xf numFmtId="0" fontId="52" fillId="0" borderId="0" xfId="0" applyFont="1" applyFill="1" applyBorder="1"/>
    <xf numFmtId="0" fontId="41" fillId="0" borderId="0" xfId="0" applyFont="1" applyFill="1"/>
    <xf numFmtId="0" fontId="34" fillId="4" borderId="1" xfId="20" applyFont="1" applyFill="1" applyBorder="1" applyAlignment="1">
      <alignment horizontal="center" vertical="center" textRotation="90"/>
    </xf>
    <xf numFmtId="0" fontId="34" fillId="5" borderId="1" xfId="20" applyFont="1" applyFill="1" applyBorder="1" applyAlignment="1">
      <alignment horizontal="center" vertical="center" textRotation="90"/>
    </xf>
    <xf numFmtId="0" fontId="50" fillId="0" borderId="0" xfId="0" applyFont="1" applyFill="1"/>
    <xf numFmtId="0" fontId="50" fillId="0" borderId="0" xfId="0" applyFont="1" applyFill="1" applyAlignment="1">
      <alignment horizontal="left" vertical="center"/>
    </xf>
    <xf numFmtId="0" fontId="60" fillId="0" borderId="0" xfId="0" applyFont="1"/>
    <xf numFmtId="49" fontId="69" fillId="0" borderId="8" xfId="27" applyNumberFormat="1" applyFont="1" applyFill="1" applyBorder="1" applyAlignment="1">
      <alignment horizontal="left" wrapText="1"/>
    </xf>
    <xf numFmtId="0" fontId="0" fillId="0" borderId="13" xfId="0" applyBorder="1"/>
    <xf numFmtId="0" fontId="41" fillId="0" borderId="13" xfId="0" applyFont="1" applyBorder="1"/>
    <xf numFmtId="0" fontId="0" fillId="0" borderId="13" xfId="0" applyNumberFormat="1" applyBorder="1"/>
    <xf numFmtId="0" fontId="41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62" fillId="0" borderId="17" xfId="0" applyFont="1" applyBorder="1"/>
    <xf numFmtId="0" fontId="0" fillId="0" borderId="17" xfId="0" applyFill="1" applyBorder="1"/>
    <xf numFmtId="0" fontId="43" fillId="0" borderId="1" xfId="0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9" fillId="0" borderId="0" xfId="0" applyFont="1" applyFill="1" applyAlignment="1">
      <alignment horizontal="left" vertical="center" textRotation="90"/>
    </xf>
    <xf numFmtId="0" fontId="49" fillId="0" borderId="0" xfId="0" applyFont="1" applyFill="1" applyAlignment="1">
      <alignment horizontal="center" vertical="center" textRotation="90"/>
    </xf>
    <xf numFmtId="0" fontId="49" fillId="0" borderId="0" xfId="0" applyFont="1" applyFill="1" applyAlignment="1">
      <alignment horizontal="center" vertical="center"/>
    </xf>
    <xf numFmtId="0" fontId="52" fillId="0" borderId="0" xfId="0" applyFont="1" applyFill="1" applyAlignment="1">
      <alignment horizontal="center" vertical="center" textRotation="90"/>
    </xf>
    <xf numFmtId="0" fontId="49" fillId="0" borderId="0" xfId="0" applyFont="1" applyFill="1" applyBorder="1" applyAlignment="1">
      <alignment horizontal="center" vertical="center" textRotation="90"/>
    </xf>
    <xf numFmtId="0" fontId="65" fillId="0" borderId="0" xfId="0" applyFont="1"/>
    <xf numFmtId="0" fontId="49" fillId="0" borderId="0" xfId="0" applyFont="1" applyFill="1" applyAlignment="1">
      <alignment horizontal="left" vertical="center"/>
    </xf>
    <xf numFmtId="0" fontId="49" fillId="0" borderId="0" xfId="0" applyFont="1" applyFill="1" applyAlignment="1"/>
    <xf numFmtId="0" fontId="52" fillId="0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/>
    </xf>
    <xf numFmtId="9" fontId="49" fillId="0" borderId="0" xfId="0" applyNumberFormat="1" applyFont="1" applyFill="1" applyAlignment="1">
      <alignment horizontal="center" vertical="center"/>
    </xf>
    <xf numFmtId="0" fontId="75" fillId="0" borderId="0" xfId="0" applyFont="1" applyFill="1"/>
    <xf numFmtId="0" fontId="52" fillId="5" borderId="0" xfId="0" applyFont="1" applyFill="1"/>
    <xf numFmtId="0" fontId="52" fillId="5" borderId="0" xfId="0" applyFont="1" applyFill="1" applyAlignment="1">
      <alignment horizontal="left" vertical="center"/>
    </xf>
    <xf numFmtId="0" fontId="43" fillId="0" borderId="1" xfId="0" applyFont="1" applyFill="1" applyBorder="1" applyAlignment="1">
      <alignment horizontal="center" vertical="center" wrapText="1"/>
    </xf>
    <xf numFmtId="0" fontId="43" fillId="0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>
      <alignment horizontal="center" vertical="center"/>
    </xf>
    <xf numFmtId="49" fontId="4" fillId="6" borderId="9" xfId="30" applyNumberFormat="1" applyFont="1" applyFill="1" applyBorder="1" applyAlignment="1">
      <alignment horizontal="center" vertical="center" wrapText="1"/>
    </xf>
    <xf numFmtId="0" fontId="6" fillId="0" borderId="0" xfId="26" applyFont="1" applyAlignment="1">
      <alignment horizontal="center"/>
    </xf>
    <xf numFmtId="0" fontId="0" fillId="0" borderId="0" xfId="0" applyFill="1" applyAlignment="1">
      <alignment horizontal="center"/>
    </xf>
    <xf numFmtId="0" fontId="53" fillId="9" borderId="0" xfId="19" applyFont="1" applyFill="1" applyAlignment="1"/>
    <xf numFmtId="10" fontId="30" fillId="0" borderId="1" xfId="16" applyNumberFormat="1" applyFont="1" applyFill="1" applyBorder="1" applyAlignment="1">
      <alignment horizontal="center" textRotation="90" wrapText="1"/>
    </xf>
    <xf numFmtId="10" fontId="31" fillId="0" borderId="1" xfId="16" applyNumberFormat="1" applyFont="1" applyFill="1" applyBorder="1" applyAlignment="1">
      <alignment horizontal="center" textRotation="90" wrapText="1"/>
    </xf>
    <xf numFmtId="10" fontId="70" fillId="8" borderId="1" xfId="19" applyNumberFormat="1" applyFont="1" applyFill="1" applyBorder="1" applyAlignment="1">
      <alignment horizontal="left"/>
    </xf>
    <xf numFmtId="10" fontId="49" fillId="0" borderId="0" xfId="0" applyNumberFormat="1" applyFont="1" applyFill="1"/>
    <xf numFmtId="0" fontId="51" fillId="8" borderId="0" xfId="0" applyFont="1" applyFill="1"/>
    <xf numFmtId="0" fontId="49" fillId="0" borderId="0" xfId="0" applyFont="1" applyFill="1" applyBorder="1" applyAlignment="1">
      <alignment horizontal="left"/>
    </xf>
    <xf numFmtId="0" fontId="49" fillId="0" borderId="0" xfId="0" applyNumberFormat="1" applyFont="1" applyFill="1" applyBorder="1" applyAlignment="1">
      <alignment horizontal="center" wrapText="1"/>
    </xf>
    <xf numFmtId="49" fontId="43" fillId="0" borderId="0" xfId="0" applyNumberFormat="1" applyFont="1" applyFill="1"/>
    <xf numFmtId="0" fontId="43" fillId="0" borderId="0" xfId="0" applyFont="1" applyFill="1" applyBorder="1" applyAlignment="1">
      <alignment horizontal="left"/>
    </xf>
    <xf numFmtId="0" fontId="48" fillId="0" borderId="0" xfId="0" applyFont="1" applyFill="1" applyAlignment="1">
      <alignment horizontal="left" vertical="center"/>
    </xf>
    <xf numFmtId="0" fontId="36" fillId="0" borderId="0" xfId="0" applyFont="1" applyFill="1"/>
    <xf numFmtId="0" fontId="76" fillId="0" borderId="0" xfId="0" applyFont="1" applyFill="1"/>
    <xf numFmtId="0" fontId="48" fillId="0" borderId="0" xfId="0" applyFont="1" applyFill="1" applyAlignment="1">
      <alignment horizontal="center" vertical="center"/>
    </xf>
    <xf numFmtId="0" fontId="36" fillId="0" borderId="0" xfId="0" applyFont="1" applyFill="1" applyAlignment="1">
      <alignment horizontal="center"/>
    </xf>
    <xf numFmtId="0" fontId="36" fillId="0" borderId="0" xfId="0" applyFont="1" applyFill="1" applyBorder="1"/>
    <xf numFmtId="10" fontId="49" fillId="0" borderId="0" xfId="0" applyNumberFormat="1" applyFont="1"/>
    <xf numFmtId="1" fontId="53" fillId="0" borderId="0" xfId="0" applyNumberFormat="1" applyFont="1" applyFill="1" applyAlignment="1">
      <alignment horizontal="right"/>
    </xf>
    <xf numFmtId="0" fontId="77" fillId="9" borderId="0" xfId="0" applyFont="1" applyFill="1"/>
    <xf numFmtId="0" fontId="49" fillId="0" borderId="0" xfId="0" applyFont="1" applyAlignment="1">
      <alignment horizontal="center"/>
    </xf>
    <xf numFmtId="0" fontId="35" fillId="2" borderId="1" xfId="18" applyNumberFormat="1" applyFont="1" applyFill="1" applyBorder="1" applyAlignment="1">
      <alignment horizontal="center" vertical="center" textRotation="90" wrapText="1"/>
    </xf>
    <xf numFmtId="0" fontId="53" fillId="0" borderId="1" xfId="0" applyNumberFormat="1" applyFont="1" applyFill="1" applyBorder="1" applyAlignment="1" applyProtection="1">
      <alignment horizontal="center" vertical="center" textRotation="180" wrapText="1"/>
      <protection locked="0"/>
    </xf>
    <xf numFmtId="0" fontId="28" fillId="10" borderId="0" xfId="0" applyFont="1" applyFill="1" applyBorder="1"/>
    <xf numFmtId="0" fontId="53" fillId="0" borderId="1" xfId="28" applyNumberFormat="1" applyFont="1" applyFill="1" applyBorder="1"/>
    <xf numFmtId="0" fontId="59" fillId="0" borderId="8" xfId="28" applyFont="1" applyFill="1" applyBorder="1" applyAlignment="1">
      <alignment horizontal="left" vertical="center"/>
    </xf>
    <xf numFmtId="0" fontId="53" fillId="0" borderId="1" xfId="28" applyFont="1" applyFill="1" applyBorder="1" applyAlignment="1">
      <alignment horizontal="center" vertical="center" textRotation="90"/>
    </xf>
    <xf numFmtId="49" fontId="53" fillId="0" borderId="1" xfId="28" applyNumberFormat="1" applyFont="1" applyFill="1" applyBorder="1" applyAlignment="1">
      <alignment horizontal="center" vertical="center" textRotation="90"/>
    </xf>
    <xf numFmtId="0" fontId="53" fillId="0" borderId="1" xfId="28" applyNumberFormat="1" applyFont="1" applyFill="1" applyBorder="1" applyAlignment="1"/>
    <xf numFmtId="0" fontId="38" fillId="0" borderId="1" xfId="0" applyFont="1" applyFill="1" applyBorder="1" applyAlignment="1">
      <alignment horizontal="center"/>
    </xf>
    <xf numFmtId="0" fontId="0" fillId="0" borderId="18" xfId="0" applyFill="1" applyBorder="1"/>
    <xf numFmtId="0" fontId="0" fillId="0" borderId="19" xfId="0" applyFill="1" applyBorder="1"/>
    <xf numFmtId="0" fontId="41" fillId="0" borderId="19" xfId="0" applyFont="1" applyFill="1" applyBorder="1"/>
    <xf numFmtId="0" fontId="0" fillId="0" borderId="19" xfId="0" applyNumberFormat="1" applyFill="1" applyBorder="1"/>
    <xf numFmtId="0" fontId="0" fillId="0" borderId="20" xfId="0" applyFill="1" applyBorder="1"/>
    <xf numFmtId="0" fontId="49" fillId="0" borderId="0" xfId="0" applyNumberFormat="1" applyFont="1" applyFill="1" applyAlignment="1">
      <alignment horizontal="right"/>
    </xf>
    <xf numFmtId="0" fontId="51" fillId="0" borderId="0" xfId="0" applyNumberFormat="1" applyFont="1" applyFill="1" applyAlignment="1">
      <alignment horizontal="right"/>
    </xf>
    <xf numFmtId="0" fontId="0" fillId="0" borderId="0" xfId="0" applyNumberFormat="1" applyAlignment="1">
      <alignment horizontal="right"/>
    </xf>
    <xf numFmtId="0" fontId="78" fillId="0" borderId="0" xfId="0" applyFont="1" applyFill="1" applyAlignment="1">
      <alignment horizontal="left"/>
    </xf>
    <xf numFmtId="0" fontId="79" fillId="0" borderId="0" xfId="0" applyFont="1" applyFill="1"/>
    <xf numFmtId="0" fontId="79" fillId="0" borderId="0" xfId="0" applyFont="1" applyFill="1" applyAlignment="1">
      <alignment horizontal="center"/>
    </xf>
    <xf numFmtId="0" fontId="79" fillId="0" borderId="0" xfId="0" applyFont="1" applyFill="1" applyBorder="1"/>
    <xf numFmtId="0" fontId="53" fillId="5" borderId="0" xfId="0" applyFont="1" applyFill="1" applyBorder="1"/>
    <xf numFmtId="0" fontId="43" fillId="5" borderId="0" xfId="0" applyFont="1" applyFill="1"/>
    <xf numFmtId="0" fontId="49" fillId="0" borderId="0" xfId="0" applyFont="1" applyFill="1" applyAlignment="1">
      <alignment vertical="center"/>
    </xf>
    <xf numFmtId="0" fontId="49" fillId="0" borderId="0" xfId="0" applyNumberFormat="1" applyFont="1" applyFill="1" applyAlignment="1">
      <alignment horizontal="right" vertical="center"/>
    </xf>
    <xf numFmtId="0" fontId="49" fillId="0" borderId="0" xfId="0" applyFont="1" applyAlignment="1">
      <alignment vertical="center"/>
    </xf>
    <xf numFmtId="0" fontId="52" fillId="5" borderId="0" xfId="0" applyFont="1" applyFill="1" applyAlignment="1">
      <alignment vertical="center"/>
    </xf>
    <xf numFmtId="0" fontId="49" fillId="0" borderId="0" xfId="0" applyFont="1" applyFill="1" applyBorder="1" applyAlignment="1">
      <alignment vertical="center"/>
    </xf>
    <xf numFmtId="3" fontId="49" fillId="0" borderId="0" xfId="0" applyNumberFormat="1" applyFont="1" applyFill="1" applyBorder="1" applyAlignment="1">
      <alignment horizontal="center" vertical="center" wrapText="1"/>
    </xf>
    <xf numFmtId="0" fontId="52" fillId="0" borderId="0" xfId="0" applyFont="1" applyFill="1" applyAlignment="1">
      <alignment vertical="center"/>
    </xf>
    <xf numFmtId="0" fontId="53" fillId="0" borderId="0" xfId="0" applyNumberFormat="1" applyFont="1" applyFill="1" applyAlignment="1">
      <alignment horizontal="left"/>
    </xf>
    <xf numFmtId="49" fontId="49" fillId="0" borderId="0" xfId="0" applyNumberFormat="1" applyFont="1" applyFill="1"/>
    <xf numFmtId="0" fontId="49" fillId="0" borderId="0" xfId="0" applyNumberFormat="1" applyFont="1" applyFill="1"/>
    <xf numFmtId="0" fontId="51" fillId="0" borderId="0" xfId="0" applyNumberFormat="1" applyFont="1" applyFill="1"/>
    <xf numFmtId="0" fontId="32" fillId="9" borderId="0" xfId="0" applyFont="1" applyFill="1" applyAlignment="1">
      <alignment horizontal="center" vertical="center"/>
    </xf>
    <xf numFmtId="0" fontId="49" fillId="0" borderId="1" xfId="0" applyFont="1" applyFill="1" applyBorder="1"/>
    <xf numFmtId="0" fontId="6" fillId="0" borderId="0" xfId="18" applyFont="1"/>
    <xf numFmtId="49" fontId="6" fillId="0" borderId="0" xfId="18" applyNumberFormat="1" applyFont="1"/>
    <xf numFmtId="0" fontId="6" fillId="0" borderId="0" xfId="18" applyFont="1" applyFill="1"/>
    <xf numFmtId="49" fontId="6" fillId="0" borderId="0" xfId="18" applyNumberFormat="1" applyFont="1" applyFill="1"/>
    <xf numFmtId="0" fontId="0" fillId="5" borderId="0" xfId="0" applyFill="1"/>
    <xf numFmtId="0" fontId="20" fillId="0" borderId="0" xfId="18" applyFont="1" applyAlignment="1">
      <alignment horizontal="left"/>
    </xf>
    <xf numFmtId="49" fontId="30" fillId="9" borderId="10" xfId="27" applyNumberFormat="1" applyFont="1" applyFill="1" applyBorder="1" applyAlignment="1">
      <alignment horizontal="center"/>
    </xf>
    <xf numFmtId="0" fontId="59" fillId="0" borderId="0" xfId="28" applyFont="1" applyFill="1" applyBorder="1" applyAlignment="1">
      <alignment horizontal="left" vertical="center"/>
    </xf>
    <xf numFmtId="0" fontId="43" fillId="0" borderId="13" xfId="0" applyFont="1" applyFill="1" applyBorder="1"/>
    <xf numFmtId="0" fontId="43" fillId="0" borderId="1" xfId="0" applyFont="1" applyFill="1" applyBorder="1"/>
    <xf numFmtId="0" fontId="53" fillId="0" borderId="1" xfId="28" applyFont="1" applyFill="1" applyBorder="1" applyAlignment="1">
      <alignment horizontal="left" vertical="center"/>
    </xf>
    <xf numFmtId="0" fontId="4" fillId="0" borderId="1" xfId="28" applyFont="1" applyFill="1" applyBorder="1" applyAlignment="1">
      <alignment horizontal="center" vertical="center" wrapText="1"/>
    </xf>
    <xf numFmtId="0" fontId="65" fillId="8" borderId="0" xfId="0" applyFont="1" applyFill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3" fontId="49" fillId="0" borderId="0" xfId="0" applyNumberFormat="1" applyFont="1" applyFill="1" applyAlignment="1">
      <alignment horizontal="right"/>
    </xf>
    <xf numFmtId="0" fontId="49" fillId="0" borderId="0" xfId="0" applyFont="1" applyFill="1" applyBorder="1" applyAlignment="1">
      <alignment horizontal="center" wrapText="1"/>
    </xf>
    <xf numFmtId="0" fontId="80" fillId="0" borderId="0" xfId="0" applyNumberFormat="1" applyFont="1" applyFill="1"/>
    <xf numFmtId="0" fontId="59" fillId="0" borderId="1" xfId="28" applyFont="1" applyFill="1" applyBorder="1" applyAlignment="1">
      <alignment horizontal="center"/>
    </xf>
    <xf numFmtId="0" fontId="53" fillId="0" borderId="0" xfId="0" applyFont="1" applyFill="1" applyAlignment="1">
      <alignment horizontal="right" vertical="center"/>
    </xf>
    <xf numFmtId="0" fontId="65" fillId="8" borderId="0" xfId="0" applyFont="1" applyFill="1" applyBorder="1" applyAlignment="1">
      <alignment horizontal="center"/>
    </xf>
    <xf numFmtId="49" fontId="69" fillId="9" borderId="8" xfId="27" applyNumberFormat="1" applyFont="1" applyFill="1" applyBorder="1" applyAlignment="1">
      <alignment horizontal="center" vertical="center" textRotation="90" wrapText="1"/>
    </xf>
    <xf numFmtId="49" fontId="70" fillId="0" borderId="8" xfId="27" applyNumberFormat="1" applyFont="1" applyFill="1" applyBorder="1" applyAlignment="1">
      <alignment horizontal="center" vertical="center" textRotation="90" wrapText="1"/>
    </xf>
    <xf numFmtId="49" fontId="70" fillId="3" borderId="1" xfId="27" applyNumberFormat="1" applyFont="1" applyFill="1" applyBorder="1" applyAlignment="1">
      <alignment horizontal="center" vertical="center"/>
    </xf>
    <xf numFmtId="0" fontId="38" fillId="0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65" fillId="0" borderId="0" xfId="0" applyNumberFormat="1" applyFont="1" applyFill="1" applyAlignment="1">
      <alignment horizontal="right"/>
    </xf>
    <xf numFmtId="0" fontId="65" fillId="0" borderId="0" xfId="0" applyFont="1" applyFill="1" applyAlignment="1">
      <alignment horizontal="left" vertical="center"/>
    </xf>
    <xf numFmtId="0" fontId="65" fillId="0" borderId="0" xfId="0" applyFont="1" applyFill="1" applyAlignment="1">
      <alignment horizontal="center" vertical="center"/>
    </xf>
    <xf numFmtId="0" fontId="81" fillId="0" borderId="0" xfId="0" applyFont="1" applyFill="1"/>
    <xf numFmtId="0" fontId="81" fillId="0" borderId="0" xfId="0" applyNumberFormat="1" applyFont="1" applyFill="1" applyAlignment="1">
      <alignment horizontal="right"/>
    </xf>
    <xf numFmtId="0" fontId="81" fillId="0" borderId="0" xfId="0" applyFont="1"/>
    <xf numFmtId="0" fontId="81" fillId="0" borderId="0" xfId="0" applyFont="1" applyFill="1" applyAlignment="1">
      <alignment horizontal="left" vertical="center"/>
    </xf>
    <xf numFmtId="0" fontId="82" fillId="0" borderId="0" xfId="0" applyFont="1" applyFill="1"/>
    <xf numFmtId="0" fontId="81" fillId="0" borderId="0" xfId="0" applyFont="1" applyFill="1" applyAlignment="1">
      <alignment horizontal="center"/>
    </xf>
    <xf numFmtId="0" fontId="81" fillId="0" borderId="0" xfId="0" applyFont="1" applyFill="1" applyBorder="1"/>
    <xf numFmtId="0" fontId="81" fillId="0" borderId="0" xfId="0" applyFont="1" applyFill="1" applyAlignment="1">
      <alignment horizontal="center" vertical="center"/>
    </xf>
    <xf numFmtId="0" fontId="83" fillId="0" borderId="0" xfId="0" applyFont="1" applyFill="1" applyAlignment="1">
      <alignment horizontal="left"/>
    </xf>
    <xf numFmtId="0" fontId="81" fillId="0" borderId="0" xfId="0" applyFont="1" applyFill="1" applyAlignment="1">
      <alignment horizontal="left"/>
    </xf>
    <xf numFmtId="0" fontId="43" fillId="8" borderId="0" xfId="0" applyFont="1" applyFill="1"/>
    <xf numFmtId="0" fontId="49" fillId="11" borderId="0" xfId="2" applyFont="1" applyFill="1" applyBorder="1" applyAlignment="1">
      <alignment horizontal="center" vertical="center"/>
    </xf>
    <xf numFmtId="0" fontId="53" fillId="10" borderId="0" xfId="0" applyFont="1" applyFill="1" applyAlignment="1">
      <alignment horizontal="left"/>
    </xf>
    <xf numFmtId="0" fontId="49" fillId="10" borderId="0" xfId="0" applyFont="1" applyFill="1" applyAlignment="1">
      <alignment horizontal="left"/>
    </xf>
    <xf numFmtId="0" fontId="49" fillId="10" borderId="0" xfId="0" applyFont="1" applyFill="1"/>
    <xf numFmtId="0" fontId="49" fillId="10" borderId="0" xfId="0" applyFont="1" applyFill="1" applyAlignment="1">
      <alignment horizontal="center"/>
    </xf>
    <xf numFmtId="0" fontId="49" fillId="10" borderId="0" xfId="0" applyFont="1" applyFill="1" applyBorder="1"/>
    <xf numFmtId="0" fontId="49" fillId="10" borderId="0" xfId="0" applyFont="1" applyFill="1" applyBorder="1" applyAlignment="1">
      <alignment horizontal="center" vertical="center"/>
    </xf>
    <xf numFmtId="0" fontId="63" fillId="10" borderId="0" xfId="0" applyFont="1" applyFill="1"/>
    <xf numFmtId="0" fontId="73" fillId="10" borderId="0" xfId="0" applyFont="1" applyFill="1"/>
    <xf numFmtId="49" fontId="49" fillId="10" borderId="0" xfId="0" applyNumberFormat="1" applyFont="1" applyFill="1" applyAlignment="1">
      <alignment horizontal="center"/>
    </xf>
    <xf numFmtId="0" fontId="53" fillId="6" borderId="0" xfId="0" applyFont="1" applyFill="1" applyAlignment="1">
      <alignment horizontal="left"/>
    </xf>
    <xf numFmtId="0" fontId="49" fillId="6" borderId="0" xfId="0" applyFont="1" applyFill="1" applyAlignment="1">
      <alignment horizontal="left"/>
    </xf>
    <xf numFmtId="49" fontId="49" fillId="6" borderId="0" xfId="0" applyNumberFormat="1" applyFont="1" applyFill="1" applyAlignment="1">
      <alignment horizontal="center"/>
    </xf>
    <xf numFmtId="0" fontId="49" fillId="6" borderId="0" xfId="0" applyFont="1" applyFill="1"/>
    <xf numFmtId="0" fontId="49" fillId="6" borderId="0" xfId="0" applyFont="1" applyFill="1" applyAlignment="1">
      <alignment horizontal="center"/>
    </xf>
    <xf numFmtId="0" fontId="49" fillId="6" borderId="0" xfId="0" applyFont="1" applyFill="1" applyBorder="1"/>
    <xf numFmtId="0" fontId="49" fillId="6" borderId="0" xfId="0" applyFont="1" applyFill="1" applyBorder="1" applyAlignment="1">
      <alignment horizontal="center" vertical="center"/>
    </xf>
    <xf numFmtId="0" fontId="63" fillId="6" borderId="0" xfId="0" applyFont="1" applyFill="1"/>
    <xf numFmtId="0" fontId="73" fillId="6" borderId="0" xfId="0" applyFont="1" applyFill="1"/>
    <xf numFmtId="0" fontId="43" fillId="0" borderId="0" xfId="0" applyFont="1" applyFill="1" applyAlignment="1"/>
    <xf numFmtId="0" fontId="49" fillId="10" borderId="0" xfId="0" applyFont="1" applyFill="1" applyAlignment="1"/>
    <xf numFmtId="0" fontId="65" fillId="0" borderId="0" xfId="0" applyFont="1" applyFill="1" applyAlignment="1"/>
    <xf numFmtId="49" fontId="49" fillId="6" borderId="0" xfId="0" applyNumberFormat="1" applyFont="1" applyFill="1" applyAlignment="1"/>
    <xf numFmtId="0" fontId="81" fillId="0" borderId="0" xfId="0" applyFont="1" applyFill="1" applyAlignment="1"/>
    <xf numFmtId="0" fontId="49" fillId="5" borderId="0" xfId="0" applyFont="1" applyFill="1" applyAlignment="1"/>
    <xf numFmtId="0" fontId="0" fillId="0" borderId="0" xfId="0" applyAlignment="1"/>
    <xf numFmtId="0" fontId="65" fillId="8" borderId="0" xfId="0" applyFont="1" applyFill="1" applyAlignment="1"/>
    <xf numFmtId="0" fontId="49" fillId="8" borderId="0" xfId="0" applyFont="1" applyFill="1" applyAlignment="1">
      <alignment horizontal="center"/>
    </xf>
    <xf numFmtId="0" fontId="79" fillId="0" borderId="0" xfId="0" applyFont="1" applyFill="1" applyAlignment="1">
      <alignment horizontal="center" vertical="center"/>
    </xf>
    <xf numFmtId="0" fontId="78" fillId="0" borderId="0" xfId="0" applyFont="1" applyFill="1" applyBorder="1"/>
    <xf numFmtId="0" fontId="86" fillId="9" borderId="0" xfId="0" applyFont="1" applyFill="1" applyAlignment="1">
      <alignment horizontal="center" vertical="center"/>
    </xf>
    <xf numFmtId="0" fontId="78" fillId="9" borderId="0" xfId="19" applyFont="1" applyFill="1"/>
    <xf numFmtId="0" fontId="78" fillId="9" borderId="0" xfId="19" applyFont="1" applyFill="1" applyAlignment="1">
      <alignment horizontal="center"/>
    </xf>
    <xf numFmtId="0" fontId="62" fillId="0" borderId="0" xfId="0" applyFont="1" applyFill="1"/>
    <xf numFmtId="0" fontId="78" fillId="0" borderId="0" xfId="0" applyFont="1" applyFill="1"/>
    <xf numFmtId="0" fontId="78" fillId="0" borderId="0" xfId="0" applyFont="1" applyFill="1" applyAlignment="1">
      <alignment horizontal="center"/>
    </xf>
    <xf numFmtId="0" fontId="78" fillId="0" borderId="0" xfId="25" applyNumberFormat="1" applyFont="1" applyFill="1" applyAlignment="1"/>
    <xf numFmtId="10" fontId="79" fillId="0" borderId="0" xfId="0" applyNumberFormat="1" applyFont="1" applyFill="1"/>
    <xf numFmtId="0" fontId="67" fillId="0" borderId="0" xfId="0" applyFont="1" applyFill="1" applyBorder="1"/>
    <xf numFmtId="0" fontId="87" fillId="9" borderId="0" xfId="0" applyFont="1" applyFill="1" applyAlignment="1">
      <alignment horizontal="center" vertical="center"/>
    </xf>
    <xf numFmtId="0" fontId="67" fillId="9" borderId="0" xfId="19" applyFont="1" applyFill="1"/>
    <xf numFmtId="0" fontId="67" fillId="9" borderId="0" xfId="19" applyFont="1" applyFill="1" applyAlignment="1">
      <alignment horizontal="center"/>
    </xf>
    <xf numFmtId="0" fontId="67" fillId="0" borderId="0" xfId="0" applyFont="1" applyFill="1"/>
    <xf numFmtId="0" fontId="67" fillId="0" borderId="0" xfId="0" applyFont="1" applyFill="1" applyAlignment="1">
      <alignment horizontal="center"/>
    </xf>
    <xf numFmtId="0" fontId="67" fillId="0" borderId="0" xfId="25" applyNumberFormat="1" applyFont="1" applyFill="1" applyAlignment="1"/>
    <xf numFmtId="10" fontId="65" fillId="0" borderId="0" xfId="0" applyNumberFormat="1" applyFont="1" applyFill="1"/>
    <xf numFmtId="0" fontId="65" fillId="8" borderId="0" xfId="0" applyFont="1" applyFill="1" applyAlignment="1">
      <alignment horizontal="center" vertical="center"/>
    </xf>
    <xf numFmtId="0" fontId="88" fillId="0" borderId="1" xfId="0" applyFont="1" applyFill="1" applyBorder="1" applyAlignment="1">
      <alignment horizontal="center" vertical="center"/>
    </xf>
    <xf numFmtId="0" fontId="88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 wrapText="1"/>
    </xf>
    <xf numFmtId="0" fontId="65" fillId="5" borderId="0" xfId="0" applyFont="1" applyFill="1" applyAlignment="1">
      <alignment horizontal="left" vertical="center"/>
    </xf>
    <xf numFmtId="0" fontId="66" fillId="5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/>
    </xf>
    <xf numFmtId="0" fontId="82" fillId="5" borderId="0" xfId="0" applyFont="1" applyFill="1" applyAlignment="1">
      <alignment horizontal="left" vertical="center"/>
    </xf>
    <xf numFmtId="0" fontId="3" fillId="8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 wrapText="1"/>
    </xf>
    <xf numFmtId="0" fontId="20" fillId="0" borderId="1" xfId="18" applyFont="1" applyBorder="1" applyAlignment="1">
      <alignment horizontal="center" vertical="center"/>
    </xf>
    <xf numFmtId="0" fontId="46" fillId="2" borderId="1" xfId="18" applyNumberFormat="1" applyFont="1" applyFill="1" applyBorder="1" applyAlignment="1">
      <alignment horizontal="center" vertical="center" textRotation="90" wrapText="1"/>
    </xf>
    <xf numFmtId="0" fontId="43" fillId="0" borderId="2" xfId="0" applyFont="1" applyFill="1" applyBorder="1" applyAlignment="1">
      <alignment horizontal="left" vertical="center"/>
    </xf>
    <xf numFmtId="0" fontId="74" fillId="0" borderId="2" xfId="0" applyFont="1" applyFill="1" applyBorder="1" applyAlignment="1">
      <alignment horizontal="left" vertical="center"/>
    </xf>
    <xf numFmtId="0" fontId="65" fillId="8" borderId="0" xfId="0" applyNumberFormat="1" applyFont="1" applyFill="1" applyBorder="1" applyAlignment="1">
      <alignment horizontal="center" vertical="center"/>
    </xf>
    <xf numFmtId="0" fontId="66" fillId="8" borderId="0" xfId="0" applyFont="1" applyFill="1"/>
    <xf numFmtId="0" fontId="52" fillId="8" borderId="0" xfId="0" applyFont="1" applyFill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vertical="center"/>
    </xf>
    <xf numFmtId="0" fontId="0" fillId="0" borderId="1" xfId="0" applyFill="1" applyBorder="1" applyAlignment="1">
      <alignment wrapText="1"/>
    </xf>
    <xf numFmtId="0" fontId="0" fillId="0" borderId="1" xfId="0" applyFill="1" applyBorder="1" applyProtection="1">
      <protection locked="0"/>
    </xf>
    <xf numFmtId="0" fontId="6" fillId="0" borderId="1" xfId="0" applyFont="1" applyFill="1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/>
    <xf numFmtId="0" fontId="74" fillId="0" borderId="0" xfId="0" applyFont="1" applyFill="1"/>
    <xf numFmtId="0" fontId="89" fillId="0" borderId="1" xfId="0" applyFont="1" applyFill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74" fillId="0" borderId="1" xfId="0" applyFont="1" applyFill="1" applyBorder="1"/>
    <xf numFmtId="0" fontId="74" fillId="0" borderId="1" xfId="0" applyFont="1" applyFill="1" applyBorder="1" applyAlignment="1">
      <alignment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0" borderId="1" xfId="0" applyFont="1" applyFill="1" applyBorder="1" applyAlignment="1">
      <alignment wrapText="1"/>
    </xf>
    <xf numFmtId="0" fontId="74" fillId="0" borderId="1" xfId="0" applyFont="1" applyFill="1" applyBorder="1" applyProtection="1">
      <protection locked="0"/>
    </xf>
    <xf numFmtId="0" fontId="74" fillId="0" borderId="1" xfId="0" applyFont="1" applyFill="1" applyBorder="1" applyAlignment="1" applyProtection="1">
      <alignment horizontal="center" vertical="center"/>
      <protection locked="0"/>
    </xf>
    <xf numFmtId="0" fontId="43" fillId="6" borderId="1" xfId="0" applyFont="1" applyFill="1" applyBorder="1" applyAlignment="1">
      <alignment horizontal="center"/>
    </xf>
    <xf numFmtId="0" fontId="0" fillId="6" borderId="1" xfId="0" applyFill="1" applyBorder="1"/>
    <xf numFmtId="0" fontId="90" fillId="6" borderId="1" xfId="0" applyFont="1" applyFill="1" applyBorder="1" applyAlignment="1">
      <alignment horizontal="center"/>
    </xf>
    <xf numFmtId="49" fontId="4" fillId="6" borderId="1" xfId="30" applyNumberFormat="1" applyFont="1" applyFill="1" applyBorder="1" applyAlignment="1">
      <alignment horizontal="center" vertical="center" wrapText="1"/>
    </xf>
    <xf numFmtId="0" fontId="4" fillId="0" borderId="1" xfId="30" applyFont="1" applyFill="1" applyBorder="1" applyAlignment="1">
      <alignment horizontal="center" vertical="center" wrapText="1"/>
    </xf>
    <xf numFmtId="0" fontId="4" fillId="0" borderId="1" xfId="30" applyFont="1" applyFill="1" applyBorder="1" applyAlignment="1">
      <alignment horizontal="center" vertical="center" textRotation="90" wrapText="1"/>
    </xf>
    <xf numFmtId="49" fontId="4" fillId="0" borderId="1" xfId="30" applyNumberFormat="1" applyFont="1" applyFill="1" applyBorder="1" applyAlignment="1">
      <alignment horizontal="center" vertical="center" textRotation="90" wrapText="1"/>
    </xf>
    <xf numFmtId="0" fontId="4" fillId="0" borderId="1" xfId="30" applyFont="1" applyFill="1" applyBorder="1" applyAlignment="1">
      <alignment horizontal="center" textRotation="90"/>
    </xf>
    <xf numFmtId="0" fontId="4" fillId="0" borderId="1" xfId="3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1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/>
    <xf numFmtId="0" fontId="61" fillId="0" borderId="0" xfId="0" applyNumberFormat="1" applyFont="1" applyFill="1" applyAlignment="1">
      <alignment horizontal="left"/>
    </xf>
    <xf numFmtId="0" fontId="2" fillId="0" borderId="0" xfId="0" applyNumberFormat="1" applyFont="1" applyFill="1" applyAlignment="1">
      <alignment horizontal="right"/>
    </xf>
    <xf numFmtId="0" fontId="2" fillId="0" borderId="0" xfId="0" applyFont="1" applyFill="1" applyAlignment="1">
      <alignment horizontal="left" vertical="center"/>
    </xf>
    <xf numFmtId="3" fontId="2" fillId="0" borderId="0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 vertical="center"/>
    </xf>
    <xf numFmtId="49" fontId="91" fillId="0" borderId="1" xfId="29" applyNumberFormat="1" applyFont="1" applyFill="1" applyBorder="1" applyAlignment="1">
      <alignment horizontal="left" vertical="center" wrapText="1"/>
    </xf>
    <xf numFmtId="0" fontId="91" fillId="8" borderId="1" xfId="28" applyFont="1" applyFill="1" applyBorder="1" applyAlignment="1">
      <alignment horizontal="center" vertical="center" wrapText="1"/>
    </xf>
    <xf numFmtId="0" fontId="92" fillId="8" borderId="1" xfId="28" applyFont="1" applyFill="1" applyBorder="1" applyAlignment="1">
      <alignment horizontal="center" vertical="center" wrapText="1"/>
    </xf>
    <xf numFmtId="49" fontId="67" fillId="0" borderId="1" xfId="28" applyNumberFormat="1" applyFont="1" applyFill="1" applyBorder="1"/>
    <xf numFmtId="0" fontId="67" fillId="8" borderId="1" xfId="28" applyNumberFormat="1" applyFont="1" applyFill="1" applyBorder="1" applyAlignment="1"/>
    <xf numFmtId="0" fontId="93" fillId="8" borderId="1" xfId="28" applyFont="1" applyFill="1" applyBorder="1" applyAlignment="1">
      <alignment horizontal="center"/>
    </xf>
    <xf numFmtId="0" fontId="67" fillId="8" borderId="0" xfId="0" applyFont="1" applyFill="1"/>
    <xf numFmtId="0" fontId="67" fillId="8" borderId="1" xfId="28" applyNumberFormat="1" applyFont="1" applyFill="1" applyBorder="1"/>
    <xf numFmtId="0" fontId="4" fillId="0" borderId="3" xfId="30" applyFont="1" applyFill="1" applyBorder="1" applyAlignment="1">
      <alignment horizontal="center"/>
    </xf>
    <xf numFmtId="0" fontId="74" fillId="0" borderId="0" xfId="0" applyFont="1"/>
    <xf numFmtId="0" fontId="94" fillId="0" borderId="1" xfId="0" applyFont="1" applyFill="1" applyBorder="1"/>
    <xf numFmtId="0" fontId="74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15" fillId="2" borderId="1" xfId="20" applyNumberFormat="1" applyFont="1" applyFill="1" applyBorder="1" applyAlignment="1">
      <alignment horizontal="center" vertical="center" textRotation="90"/>
    </xf>
    <xf numFmtId="0" fontId="79" fillId="0" borderId="0" xfId="0" applyFont="1" applyFill="1" applyAlignment="1">
      <alignment horizontal="center" vertical="center" textRotation="90"/>
    </xf>
    <xf numFmtId="0" fontId="1" fillId="0" borderId="0" xfId="0" applyFont="1" applyFill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8" fillId="0" borderId="0" xfId="18" applyFont="1" applyFill="1" applyBorder="1" applyAlignment="1">
      <alignment horizontal="center" vertical="center" textRotation="90" wrapText="1"/>
    </xf>
    <xf numFmtId="0" fontId="1" fillId="0" borderId="0" xfId="0" applyFont="1" applyFill="1" applyAlignment="1">
      <alignment horizontal="center" vertical="center"/>
    </xf>
    <xf numFmtId="0" fontId="68" fillId="0" borderId="1" xfId="28" applyFont="1" applyFill="1" applyBorder="1"/>
    <xf numFmtId="0" fontId="68" fillId="0" borderId="1" xfId="28" applyFont="1" applyFill="1" applyBorder="1" applyAlignment="1">
      <alignment horizontal="left"/>
    </xf>
    <xf numFmtId="0" fontId="68" fillId="0" borderId="1" xfId="28" applyFont="1" applyFill="1" applyBorder="1" applyAlignment="1"/>
    <xf numFmtId="0" fontId="42" fillId="0" borderId="1" xfId="0" applyFont="1" applyFill="1" applyBorder="1"/>
    <xf numFmtId="0" fontId="95" fillId="0" borderId="1" xfId="28" applyFont="1" applyFill="1" applyBorder="1" applyAlignment="1">
      <alignment horizontal="left" vertical="center"/>
    </xf>
    <xf numFmtId="0" fontId="96" fillId="0" borderId="1" xfId="28" applyFont="1" applyFill="1" applyBorder="1" applyAlignment="1">
      <alignment horizontal="center" vertical="center" wrapText="1"/>
    </xf>
    <xf numFmtId="0" fontId="95" fillId="0" borderId="8" xfId="28" applyFont="1" applyFill="1" applyBorder="1" applyAlignment="1">
      <alignment horizontal="left" vertical="center"/>
    </xf>
    <xf numFmtId="0" fontId="49" fillId="0" borderId="0" xfId="0" applyFont="1" applyFill="1" applyAlignment="1">
      <alignment horizontal="center" vertical="center" textRotation="255"/>
    </xf>
    <xf numFmtId="0" fontId="46" fillId="0" borderId="0" xfId="18" applyNumberFormat="1" applyFont="1" applyFill="1" applyBorder="1" applyAlignment="1">
      <alignment horizontal="center" vertical="center" textRotation="255" wrapText="1"/>
    </xf>
    <xf numFmtId="0" fontId="65" fillId="0" borderId="0" xfId="0" applyFont="1" applyFill="1" applyAlignment="1">
      <alignment horizontal="center" vertical="center" textRotation="255"/>
    </xf>
    <xf numFmtId="0" fontId="2" fillId="0" borderId="0" xfId="0" applyFont="1" applyFill="1" applyAlignment="1">
      <alignment horizontal="center" vertical="center" textRotation="255"/>
    </xf>
    <xf numFmtId="0" fontId="81" fillId="0" borderId="0" xfId="0" applyFont="1" applyFill="1" applyAlignment="1">
      <alignment horizontal="center" vertical="center" textRotation="255"/>
    </xf>
    <xf numFmtId="0" fontId="49" fillId="0" borderId="0" xfId="0" applyFont="1" applyFill="1" applyAlignment="1">
      <alignment horizontal="center" textRotation="255"/>
    </xf>
    <xf numFmtId="0" fontId="0" fillId="0" borderId="0" xfId="0" applyFill="1" applyAlignment="1">
      <alignment textRotation="255"/>
    </xf>
    <xf numFmtId="0" fontId="0" fillId="0" borderId="0" xfId="0" applyAlignment="1">
      <alignment textRotation="255"/>
    </xf>
    <xf numFmtId="0" fontId="0" fillId="0" borderId="1" xfId="0" applyFill="1" applyBorder="1" applyAlignment="1">
      <alignment horizontal="left" wrapText="1"/>
    </xf>
    <xf numFmtId="0" fontId="79" fillId="8" borderId="0" xfId="0" applyFont="1" applyFill="1"/>
    <xf numFmtId="49" fontId="4" fillId="6" borderId="12" xfId="30" applyNumberFormat="1" applyFont="1" applyFill="1" applyBorder="1" applyAlignment="1">
      <alignment horizontal="center" vertical="center" wrapText="1"/>
    </xf>
    <xf numFmtId="49" fontId="4" fillId="6" borderId="9" xfId="30" applyNumberFormat="1" applyFont="1" applyFill="1" applyBorder="1" applyAlignment="1">
      <alignment horizontal="center" vertical="center" wrapText="1"/>
    </xf>
    <xf numFmtId="49" fontId="4" fillId="0" borderId="12" xfId="30" applyNumberFormat="1" applyFont="1" applyFill="1" applyBorder="1" applyAlignment="1">
      <alignment horizontal="center" vertical="center" wrapText="1"/>
    </xf>
    <xf numFmtId="49" fontId="4" fillId="0" borderId="9" xfId="30" applyNumberFormat="1" applyFont="1" applyFill="1" applyBorder="1" applyAlignment="1">
      <alignment horizontal="center" vertical="center" wrapText="1"/>
    </xf>
    <xf numFmtId="49" fontId="4" fillId="6" borderId="12" xfId="30" applyNumberFormat="1" applyFont="1" applyFill="1" applyBorder="1" applyAlignment="1">
      <alignment horizontal="center" vertical="center" textRotation="90" wrapText="1"/>
    </xf>
    <xf numFmtId="49" fontId="4" fillId="6" borderId="9" xfId="30" applyNumberFormat="1" applyFont="1" applyFill="1" applyBorder="1" applyAlignment="1">
      <alignment horizontal="center" vertical="center" textRotation="90" wrapText="1"/>
    </xf>
    <xf numFmtId="49" fontId="4" fillId="6" borderId="14" xfId="30" applyNumberFormat="1" applyFont="1" applyFill="1" applyBorder="1" applyAlignment="1">
      <alignment horizontal="center" vertical="center" wrapText="1"/>
    </xf>
    <xf numFmtId="49" fontId="4" fillId="6" borderId="21" xfId="30" applyNumberFormat="1" applyFont="1" applyFill="1" applyBorder="1" applyAlignment="1">
      <alignment horizontal="center" vertical="center" wrapText="1"/>
    </xf>
    <xf numFmtId="49" fontId="4" fillId="6" borderId="22" xfId="30" applyNumberFormat="1" applyFont="1" applyFill="1" applyBorder="1" applyAlignment="1">
      <alignment horizontal="center" vertical="center" wrapText="1"/>
    </xf>
    <xf numFmtId="49" fontId="4" fillId="6" borderId="23" xfId="30" applyNumberFormat="1" applyFont="1" applyFill="1" applyBorder="1" applyAlignment="1">
      <alignment horizontal="center" vertical="center" wrapText="1"/>
    </xf>
    <xf numFmtId="49" fontId="4" fillId="6" borderId="24" xfId="30" applyNumberFormat="1" applyFont="1" applyFill="1" applyBorder="1" applyAlignment="1">
      <alignment horizontal="center" vertical="center" wrapText="1"/>
    </xf>
    <xf numFmtId="49" fontId="4" fillId="6" borderId="25" xfId="30" applyNumberFormat="1" applyFont="1" applyFill="1" applyBorder="1" applyAlignment="1">
      <alignment horizontal="center" vertical="center" wrapText="1"/>
    </xf>
    <xf numFmtId="49" fontId="4" fillId="6" borderId="26" xfId="30" applyNumberFormat="1" applyFont="1" applyFill="1" applyBorder="1" applyAlignment="1">
      <alignment horizontal="center" vertical="center" wrapText="1"/>
    </xf>
    <xf numFmtId="0" fontId="4" fillId="0" borderId="7" xfId="30" applyFont="1" applyFill="1" applyBorder="1" applyAlignment="1">
      <alignment horizontal="center" vertical="center" wrapText="1"/>
    </xf>
    <xf numFmtId="0" fontId="4" fillId="0" borderId="23" xfId="30" applyFont="1" applyFill="1" applyBorder="1" applyAlignment="1">
      <alignment horizontal="center" vertical="center" wrapText="1"/>
    </xf>
    <xf numFmtId="0" fontId="4" fillId="0" borderId="12" xfId="30" applyFont="1" applyFill="1" applyBorder="1" applyAlignment="1">
      <alignment horizontal="center" vertical="center" wrapText="1"/>
    </xf>
    <xf numFmtId="0" fontId="4" fillId="0" borderId="9" xfId="30" applyFont="1" applyFill="1" applyBorder="1" applyAlignment="1">
      <alignment horizontal="center" vertical="center" wrapText="1"/>
    </xf>
    <xf numFmtId="0" fontId="4" fillId="6" borderId="12" xfId="30" applyFont="1" applyFill="1" applyBorder="1" applyAlignment="1">
      <alignment horizontal="center" textRotation="90"/>
    </xf>
    <xf numFmtId="0" fontId="4" fillId="6" borderId="9" xfId="30" applyFont="1" applyFill="1" applyBorder="1" applyAlignment="1">
      <alignment horizontal="center" textRotation="90"/>
    </xf>
    <xf numFmtId="0" fontId="3" fillId="0" borderId="12" xfId="30" applyFont="1" applyFill="1" applyBorder="1" applyAlignment="1">
      <alignment horizontal="center" vertical="center" textRotation="90" wrapText="1"/>
    </xf>
    <xf numFmtId="0" fontId="4" fillId="0" borderId="9" xfId="30" applyFont="1" applyFill="1" applyBorder="1" applyAlignment="1">
      <alignment horizontal="center" vertical="center" textRotation="90" wrapText="1"/>
    </xf>
    <xf numFmtId="0" fontId="4" fillId="0" borderId="12" xfId="30" applyFont="1" applyBorder="1" applyAlignment="1">
      <alignment horizontal="center"/>
    </xf>
    <xf numFmtId="0" fontId="4" fillId="0" borderId="9" xfId="30" applyFont="1" applyBorder="1" applyAlignment="1">
      <alignment horizontal="center"/>
    </xf>
    <xf numFmtId="0" fontId="60" fillId="7" borderId="1" xfId="0" applyFont="1" applyFill="1" applyBorder="1" applyAlignment="1" applyProtection="1">
      <alignment horizontal="center" vertical="center"/>
      <protection locked="0"/>
    </xf>
  </cellXfs>
  <cellStyles count="32">
    <cellStyle name="Hipervínculo" xfId="2" builtinId="8"/>
    <cellStyle name="Hyperlink 3" xfId="1"/>
    <cellStyle name="Normal" xfId="0" builtinId="0"/>
    <cellStyle name="Normal_Classeur2 2" xfId="3"/>
    <cellStyle name="Normálna 2" xfId="4"/>
    <cellStyle name="Normálna 2 2" xfId="5"/>
    <cellStyle name="Normálna 3" xfId="6"/>
    <cellStyle name="Normálna 3 2" xfId="7"/>
    <cellStyle name="Normálna 4" xfId="8"/>
    <cellStyle name="normálne_Hárok1" xfId="9"/>
    <cellStyle name="normální 2" xfId="10"/>
    <cellStyle name="normální 2 2" xfId="11"/>
    <cellStyle name="normální 3" xfId="12"/>
    <cellStyle name="Normalny 14" xfId="13"/>
    <cellStyle name="Normalny 21" xfId="14"/>
    <cellStyle name="Normalny 4" xfId="15"/>
    <cellStyle name="Porcentaje" xfId="16" builtinId="5"/>
    <cellStyle name="Standard 11" xfId="17"/>
    <cellStyle name="Standard 2" xfId="18"/>
    <cellStyle name="Standard 2 10" xfId="19"/>
    <cellStyle name="Standard 3" xfId="20"/>
    <cellStyle name="Standard 4 2" xfId="21"/>
    <cellStyle name="Standard 5 2" xfId="22"/>
    <cellStyle name="Standard 6" xfId="23"/>
    <cellStyle name="Standard 7" xfId="24"/>
    <cellStyle name="Standard_KSK_ABS" xfId="25"/>
    <cellStyle name="Standard_M M 1" xfId="26"/>
    <cellStyle name="Standard_TAB_016_450_451_Serie" xfId="27"/>
    <cellStyle name="Standard_V01_TAB_450AA_IR_inkl_aem072_230710_PIM_20110110" xfId="28"/>
    <cellStyle name="Standard_V01_TAB_450AA_IR_inkl_aem072_230710_Splice_20110106" xfId="29"/>
    <cellStyle name="Standard_ZDat- 10-03-10 Leitungs-Stückl+Relais+Sido" xfId="30"/>
    <cellStyle name="Stil 1" xfId="31"/>
  </cellStyles>
  <dxfs count="359"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8983559" name="Button 7" hidden="1">
              <a:extLst>
                <a:ext uri="{63B3BB69-23CF-44E3-9099-C40C66FF867C}">
                  <a14:compatExt spid="_x0000_s898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 Von-Bis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19050</xdr:rowOff>
        </xdr:from>
        <xdr:to>
          <xdr:col>1</xdr:col>
          <xdr:colOff>1009650</xdr:colOff>
          <xdr:row>0</xdr:row>
          <xdr:rowOff>342900</xdr:rowOff>
        </xdr:to>
        <xdr:sp macro="" textlink="">
          <xdr:nvSpPr>
            <xdr:cNvPr id="8983560" name="Button 8" hidden="1">
              <a:extLst>
                <a:ext uri="{63B3BB69-23CF-44E3-9099-C40C66FF867C}">
                  <a14:compatExt spid="_x0000_s898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Odkial - kam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361950</xdr:rowOff>
        </xdr:from>
        <xdr:to>
          <xdr:col>1</xdr:col>
          <xdr:colOff>990600</xdr:colOff>
          <xdr:row>0</xdr:row>
          <xdr:rowOff>857250</xdr:rowOff>
        </xdr:to>
        <xdr:sp macro="" textlink="">
          <xdr:nvSpPr>
            <xdr:cNvPr id="8983561" name="Button 9" hidden="1">
              <a:extLst>
                <a:ext uri="{63B3BB69-23CF-44E3-9099-C40C66FF867C}">
                  <a14:compatExt spid="_x0000_s898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Vypni odkial - kam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1200150</xdr:rowOff>
        </xdr:from>
        <xdr:to>
          <xdr:col>1</xdr:col>
          <xdr:colOff>542925</xdr:colOff>
          <xdr:row>0</xdr:row>
          <xdr:rowOff>1466850</xdr:rowOff>
        </xdr:to>
        <xdr:sp macro="" textlink="">
          <xdr:nvSpPr>
            <xdr:cNvPr id="8983562" name="Button 10" hidden="1">
              <a:extLst>
                <a:ext uri="{63B3BB69-23CF-44E3-9099-C40C66FF867C}">
                  <a14:compatExt spid="_x0000_s898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1504950</xdr:rowOff>
        </xdr:from>
        <xdr:to>
          <xdr:col>1</xdr:col>
          <xdr:colOff>800100</xdr:colOff>
          <xdr:row>0</xdr:row>
          <xdr:rowOff>1838325</xdr:rowOff>
        </xdr:to>
        <xdr:sp macro="" textlink="">
          <xdr:nvSpPr>
            <xdr:cNvPr id="8983563" name="Button 11" hidden="1">
              <a:extLst>
                <a:ext uri="{63B3BB69-23CF-44E3-9099-C40C66FF867C}">
                  <a14:compatExt spid="_x0000_s898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1238250</xdr:rowOff>
        </xdr:from>
        <xdr:to>
          <xdr:col>0</xdr:col>
          <xdr:colOff>704850</xdr:colOff>
          <xdr:row>0</xdr:row>
          <xdr:rowOff>1562100</xdr:rowOff>
        </xdr:to>
        <xdr:sp macro="" textlink="">
          <xdr:nvSpPr>
            <xdr:cNvPr id="8984584" name="Button 8" hidden="1">
              <a:extLst>
                <a:ext uri="{63B3BB69-23CF-44E3-9099-C40C66FF867C}">
                  <a14:compatExt spid="_x0000_s898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114300</xdr:rowOff>
        </xdr:from>
        <xdr:to>
          <xdr:col>0</xdr:col>
          <xdr:colOff>847725</xdr:colOff>
          <xdr:row>0</xdr:row>
          <xdr:rowOff>485775</xdr:rowOff>
        </xdr:to>
        <xdr:sp macro="" textlink="">
          <xdr:nvSpPr>
            <xdr:cNvPr id="8984670" name="Button 94" hidden="1">
              <a:extLst>
                <a:ext uri="{63B3BB69-23CF-44E3-9099-C40C66FF867C}">
                  <a14:compatExt spid="_x0000_s8984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Wire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BR98"/>
  <sheetViews>
    <sheetView tabSelected="1" zoomScale="70" zoomScaleNormal="70" workbookViewId="0">
      <pane ySplit="16" topLeftCell="A30" activePane="bottomLeft" state="frozen"/>
      <selection activeCell="G1" sqref="G1"/>
      <selection pane="bottomLeft" activeCell="B31" sqref="B31"/>
    </sheetView>
  </sheetViews>
  <sheetFormatPr baseColWidth="10" defaultColWidth="11.42578125" defaultRowHeight="15"/>
  <cols>
    <col min="1" max="1" width="21.7109375" style="3" customWidth="1"/>
    <col min="2" max="2" width="13.85546875" style="99" customWidth="1"/>
    <col min="3" max="3" width="15.140625" style="99" customWidth="1"/>
    <col min="4" max="4" width="16.28515625" style="3" customWidth="1"/>
    <col min="5" max="5" width="15.42578125" style="3" customWidth="1"/>
    <col min="6" max="6" width="11.5703125" style="3" customWidth="1"/>
    <col min="7" max="7" width="6" style="3" customWidth="1"/>
    <col min="8" max="8" width="8.5703125" style="276" customWidth="1"/>
    <col min="9" max="9" width="20.42578125" style="3" customWidth="1"/>
    <col min="10" max="10" width="13.85546875" style="3" customWidth="1"/>
    <col min="11" max="11" width="12.42578125" style="3" customWidth="1"/>
    <col min="12" max="12" width="10.42578125" style="3" customWidth="1"/>
    <col min="13" max="13" width="58.85546875" style="3" customWidth="1"/>
    <col min="14" max="14" width="12.85546875" style="3" customWidth="1"/>
    <col min="15" max="15" width="10.7109375" style="3" customWidth="1"/>
    <col min="16" max="16" width="11" style="3" customWidth="1"/>
    <col min="17" max="17" width="3.28515625" style="3" customWidth="1"/>
    <col min="18" max="18" width="3.28515625" style="3" bestFit="1" customWidth="1"/>
    <col min="19" max="19" width="3.28515625" style="3" customWidth="1"/>
    <col min="20" max="20" width="4" style="3" bestFit="1" customWidth="1"/>
    <col min="21" max="23" width="3.28515625" style="3" customWidth="1"/>
    <col min="24" max="24" width="3.28515625" style="3" bestFit="1" customWidth="1"/>
    <col min="25" max="25" width="5" style="3" bestFit="1" customWidth="1"/>
    <col min="26" max="26" width="79.85546875" style="3" customWidth="1"/>
    <col min="27" max="16384" width="11.42578125" style="3"/>
  </cols>
  <sheetData>
    <row r="1" spans="1:70" s="89" customFormat="1" ht="26.1" customHeight="1">
      <c r="B1" s="81" t="s">
        <v>1146</v>
      </c>
      <c r="C1" s="82"/>
      <c r="D1" s="83" t="s">
        <v>2433</v>
      </c>
      <c r="E1" s="83"/>
      <c r="F1" s="84"/>
      <c r="G1" s="84"/>
      <c r="H1" s="295"/>
      <c r="I1" s="84"/>
      <c r="J1" s="84"/>
      <c r="K1" s="84"/>
      <c r="L1" s="84"/>
      <c r="M1" s="84"/>
      <c r="N1" s="84"/>
      <c r="O1" s="84"/>
      <c r="P1" s="84"/>
      <c r="Q1" s="85"/>
      <c r="R1" s="86" t="s">
        <v>550</v>
      </c>
      <c r="S1" s="85" t="s">
        <v>1121</v>
      </c>
      <c r="T1" s="85"/>
      <c r="U1" s="85"/>
      <c r="V1" s="85"/>
      <c r="W1" s="85"/>
      <c r="X1" s="86"/>
      <c r="Y1" s="85"/>
      <c r="Z1" s="87"/>
      <c r="AA1" s="86"/>
      <c r="AB1" s="85"/>
      <c r="AC1" s="85"/>
      <c r="AD1" s="86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5"/>
      <c r="BF1" s="85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</row>
    <row r="2" spans="1:70" s="89" customFormat="1" ht="26.1" customHeight="1">
      <c r="B2" s="81" t="s">
        <v>1147</v>
      </c>
      <c r="C2" s="82"/>
      <c r="D2" s="83" t="s">
        <v>2627</v>
      </c>
      <c r="E2" s="83" t="s">
        <v>2559</v>
      </c>
      <c r="F2" s="84"/>
      <c r="G2" s="84"/>
      <c r="H2" s="295"/>
      <c r="I2" s="84"/>
      <c r="J2" s="84"/>
      <c r="K2" s="84"/>
      <c r="L2" s="84"/>
      <c r="M2" s="87"/>
      <c r="N2" s="87"/>
      <c r="O2" s="87"/>
      <c r="P2" s="87"/>
      <c r="Q2" s="85"/>
      <c r="R2" s="86" t="s">
        <v>10</v>
      </c>
      <c r="S2" s="87" t="s">
        <v>1122</v>
      </c>
      <c r="T2" s="85"/>
      <c r="U2" s="85"/>
      <c r="V2" s="85"/>
      <c r="W2" s="85"/>
      <c r="X2" s="86"/>
      <c r="Y2" s="87"/>
      <c r="Z2" s="87"/>
      <c r="AA2" s="86"/>
      <c r="AB2" s="85"/>
      <c r="AC2" s="85"/>
      <c r="AD2" s="86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90"/>
      <c r="BH2" s="90"/>
      <c r="BI2" s="90"/>
      <c r="BJ2" s="90"/>
      <c r="BK2" s="86"/>
      <c r="BL2" s="86"/>
      <c r="BM2" s="86"/>
      <c r="BN2" s="86"/>
      <c r="BO2" s="86"/>
      <c r="BP2" s="86"/>
      <c r="BQ2" s="86"/>
      <c r="BR2" s="86"/>
    </row>
    <row r="3" spans="1:70" s="91" customFormat="1" ht="12.75">
      <c r="D3" s="92"/>
      <c r="E3" s="92"/>
      <c r="F3" s="92"/>
      <c r="G3" s="92"/>
      <c r="H3" s="97"/>
      <c r="I3" s="92"/>
      <c r="J3" s="92"/>
      <c r="K3" s="92"/>
      <c r="L3" s="92"/>
      <c r="M3" s="93"/>
      <c r="N3" s="93"/>
      <c r="O3" s="93"/>
      <c r="P3" s="93"/>
      <c r="Q3" s="94"/>
      <c r="R3" s="94"/>
      <c r="S3" s="94"/>
      <c r="T3" s="94"/>
      <c r="U3" s="94"/>
      <c r="V3" s="94"/>
      <c r="W3" s="94"/>
      <c r="X3" s="94"/>
      <c r="Y3" s="95"/>
    </row>
    <row r="4" spans="1:70" s="91" customFormat="1" ht="12.75">
      <c r="B4" s="358" t="s">
        <v>2490</v>
      </c>
      <c r="D4" s="92"/>
      <c r="E4" s="92"/>
      <c r="F4" s="92"/>
      <c r="G4" s="92"/>
      <c r="H4" s="97"/>
      <c r="I4" s="92"/>
      <c r="J4" s="92"/>
      <c r="K4" s="92"/>
      <c r="L4" s="92"/>
      <c r="M4" s="93"/>
      <c r="N4" s="93"/>
      <c r="O4" s="93"/>
      <c r="P4" s="93"/>
      <c r="Q4" s="94"/>
      <c r="R4" s="94"/>
      <c r="S4" s="94"/>
      <c r="T4" s="94"/>
      <c r="U4" s="94"/>
      <c r="V4" s="94"/>
      <c r="W4" s="94"/>
      <c r="X4" s="94"/>
      <c r="Y4" s="95"/>
    </row>
    <row r="5" spans="1:70" s="91" customFormat="1" ht="12.75">
      <c r="B5" s="353" t="s">
        <v>1083</v>
      </c>
      <c r="C5" s="108"/>
      <c r="D5" s="354" t="s">
        <v>2477</v>
      </c>
      <c r="E5" s="92"/>
      <c r="F5" s="92"/>
      <c r="G5" s="97"/>
      <c r="H5" s="92"/>
      <c r="I5" s="92"/>
      <c r="J5" s="92"/>
      <c r="K5" s="92"/>
      <c r="L5" s="93"/>
      <c r="M5" s="93"/>
      <c r="N5" s="93"/>
      <c r="O5" s="93"/>
      <c r="P5" s="94"/>
      <c r="Q5" s="94"/>
      <c r="R5" s="94"/>
      <c r="S5" s="94"/>
      <c r="T5" s="94"/>
      <c r="U5" s="94"/>
      <c r="V5" s="94"/>
      <c r="W5" s="94"/>
      <c r="X5" s="95"/>
    </row>
    <row r="6" spans="1:70" s="91" customFormat="1" ht="12.75">
      <c r="B6" s="353" t="s">
        <v>2478</v>
      </c>
      <c r="C6" s="108"/>
      <c r="D6" s="354" t="s">
        <v>2479</v>
      </c>
      <c r="E6" s="92"/>
      <c r="F6" s="92"/>
      <c r="G6" s="97"/>
      <c r="H6" s="92"/>
      <c r="I6" s="92"/>
      <c r="J6" s="92"/>
      <c r="K6" s="92"/>
      <c r="L6" s="93"/>
      <c r="M6" s="93"/>
      <c r="N6" s="93"/>
      <c r="O6" s="93"/>
      <c r="P6" s="94"/>
      <c r="Q6" s="94"/>
      <c r="R6" s="94"/>
      <c r="S6" s="94"/>
      <c r="T6" s="94"/>
      <c r="U6" s="94"/>
      <c r="V6" s="94"/>
      <c r="W6" s="94"/>
      <c r="X6" s="95"/>
    </row>
    <row r="7" spans="1:70" s="91" customFormat="1" ht="12.75">
      <c r="B7" s="353" t="s">
        <v>1084</v>
      </c>
      <c r="C7" s="108"/>
      <c r="D7" s="354" t="s">
        <v>2480</v>
      </c>
      <c r="E7" s="92"/>
      <c r="F7" s="92"/>
      <c r="G7" s="97"/>
      <c r="H7" s="92"/>
      <c r="I7" s="92"/>
      <c r="J7" s="92"/>
      <c r="K7" s="92"/>
      <c r="L7" s="93"/>
      <c r="M7" s="93"/>
      <c r="N7" s="93"/>
      <c r="O7" s="93"/>
      <c r="P7" s="94"/>
      <c r="Q7" s="94"/>
      <c r="R7" s="94"/>
      <c r="S7" s="94"/>
      <c r="T7" s="94"/>
      <c r="U7" s="94"/>
      <c r="V7" s="94"/>
      <c r="W7" s="94"/>
      <c r="X7" s="95"/>
    </row>
    <row r="8" spans="1:70" s="91" customFormat="1" ht="12.75">
      <c r="B8" s="353" t="s">
        <v>2481</v>
      </c>
      <c r="C8" s="108"/>
      <c r="D8" s="354" t="s">
        <v>2482</v>
      </c>
      <c r="E8" s="92"/>
      <c r="F8" s="92"/>
      <c r="G8" s="97"/>
      <c r="H8" s="92"/>
      <c r="I8" s="92"/>
      <c r="J8" s="92"/>
      <c r="K8" s="92"/>
      <c r="L8" s="93"/>
      <c r="M8" s="93"/>
      <c r="N8" s="93"/>
      <c r="O8" s="93"/>
      <c r="P8" s="94"/>
      <c r="Q8" s="94"/>
      <c r="R8" s="94"/>
      <c r="S8" s="94"/>
      <c r="T8" s="94"/>
      <c r="U8" s="94"/>
      <c r="V8" s="94"/>
      <c r="W8" s="94"/>
      <c r="X8" s="95"/>
    </row>
    <row r="9" spans="1:70" s="91" customFormat="1">
      <c r="B9" s="355" t="s">
        <v>2483</v>
      </c>
      <c r="C9" s="3"/>
      <c r="D9" s="356" t="s">
        <v>2484</v>
      </c>
      <c r="E9" s="92"/>
      <c r="F9" s="92"/>
      <c r="G9" s="97"/>
      <c r="H9" s="92"/>
      <c r="I9" s="92"/>
      <c r="J9" s="92"/>
      <c r="K9" s="92"/>
      <c r="L9" s="93"/>
      <c r="M9" s="93"/>
      <c r="N9" s="93"/>
      <c r="O9" s="93"/>
      <c r="P9" s="94"/>
      <c r="Q9" s="94"/>
      <c r="R9" s="94"/>
      <c r="S9" s="94"/>
      <c r="T9" s="94"/>
      <c r="U9" s="94"/>
      <c r="V9" s="94"/>
      <c r="W9" s="94"/>
      <c r="X9" s="95"/>
    </row>
    <row r="10" spans="1:70" s="91" customFormat="1">
      <c r="B10" s="355" t="s">
        <v>2485</v>
      </c>
      <c r="C10" s="3"/>
      <c r="D10" s="262" t="s">
        <v>2486</v>
      </c>
      <c r="E10" s="92"/>
      <c r="F10" s="92"/>
      <c r="G10" s="97"/>
      <c r="H10" s="92"/>
      <c r="I10" s="92"/>
      <c r="J10" s="92"/>
      <c r="K10" s="92"/>
      <c r="L10" s="93"/>
      <c r="M10" s="93"/>
      <c r="N10" s="93"/>
      <c r="O10" s="93"/>
      <c r="P10" s="94"/>
      <c r="Q10" s="94"/>
      <c r="R10" s="94"/>
      <c r="S10" s="94"/>
      <c r="T10" s="94"/>
      <c r="U10" s="94"/>
      <c r="V10" s="94"/>
      <c r="W10" s="94"/>
      <c r="X10" s="95"/>
    </row>
    <row r="11" spans="1:70" s="91" customFormat="1">
      <c r="B11" s="355" t="s">
        <v>2487</v>
      </c>
      <c r="C11" s="3"/>
      <c r="D11" s="262" t="s">
        <v>2488</v>
      </c>
      <c r="E11" s="92"/>
      <c r="F11" s="92"/>
      <c r="G11" s="97"/>
      <c r="H11" s="92"/>
      <c r="I11" s="92"/>
      <c r="J11" s="92"/>
      <c r="K11" s="92"/>
      <c r="L11" s="93"/>
      <c r="M11" s="93"/>
      <c r="N11" s="93"/>
      <c r="O11" s="93"/>
      <c r="P11" s="94"/>
      <c r="Q11" s="94"/>
      <c r="R11" s="94"/>
      <c r="S11" s="94"/>
      <c r="T11" s="94"/>
      <c r="U11" s="94"/>
      <c r="V11" s="94"/>
      <c r="W11" s="94"/>
      <c r="X11" s="95"/>
    </row>
    <row r="12" spans="1:70" s="91" customFormat="1">
      <c r="B12" s="357"/>
      <c r="D12" s="355" t="s">
        <v>2489</v>
      </c>
      <c r="E12" s="92"/>
      <c r="F12" s="92"/>
      <c r="G12" s="97"/>
      <c r="H12" s="92"/>
      <c r="I12" s="92"/>
      <c r="J12" s="92"/>
      <c r="K12" s="92"/>
      <c r="L12" s="93"/>
      <c r="M12" s="93"/>
      <c r="N12" s="93"/>
      <c r="O12" s="93"/>
      <c r="P12" s="94"/>
      <c r="Q12" s="94"/>
      <c r="R12" s="94"/>
      <c r="S12" s="94"/>
      <c r="T12" s="94"/>
      <c r="U12" s="94"/>
      <c r="V12" s="94"/>
      <c r="W12" s="94"/>
      <c r="X12" s="95"/>
    </row>
    <row r="13" spans="1:70" s="91" customFormat="1" ht="13.5" thickBot="1">
      <c r="D13" s="92"/>
      <c r="E13" s="92"/>
      <c r="F13" s="92"/>
      <c r="G13" s="92"/>
      <c r="H13" s="97"/>
      <c r="I13" s="92"/>
      <c r="J13" s="92"/>
      <c r="K13" s="92"/>
      <c r="L13" s="92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5"/>
    </row>
    <row r="14" spans="1:70" s="96" customFormat="1" ht="17.25" customHeight="1" thickBot="1">
      <c r="B14" s="537" t="s">
        <v>1123</v>
      </c>
      <c r="C14" s="533" t="s">
        <v>1124</v>
      </c>
      <c r="D14" s="539" t="s">
        <v>1125</v>
      </c>
      <c r="E14" s="539" t="s">
        <v>1150</v>
      </c>
      <c r="F14" s="535" t="s">
        <v>1126</v>
      </c>
      <c r="G14" s="540" t="s">
        <v>1127</v>
      </c>
      <c r="H14" s="541"/>
      <c r="I14" s="542"/>
      <c r="J14" s="533" t="s">
        <v>1128</v>
      </c>
      <c r="K14" s="533" t="s">
        <v>1129</v>
      </c>
      <c r="L14" s="535" t="s">
        <v>1130</v>
      </c>
      <c r="M14" s="546" t="s">
        <v>1131</v>
      </c>
      <c r="N14" s="548" t="s">
        <v>1132</v>
      </c>
      <c r="O14" s="548" t="s">
        <v>1133</v>
      </c>
      <c r="P14" s="548" t="s">
        <v>1134</v>
      </c>
      <c r="Q14" s="552" t="s">
        <v>1135</v>
      </c>
      <c r="R14" s="100" t="s">
        <v>1136</v>
      </c>
      <c r="S14" s="101"/>
      <c r="T14" s="101"/>
      <c r="U14" s="101"/>
      <c r="V14" s="101"/>
      <c r="W14" s="101"/>
      <c r="X14" s="101"/>
      <c r="Y14" s="102"/>
      <c r="Z14" s="554" t="s">
        <v>1137</v>
      </c>
    </row>
    <row r="15" spans="1:70" s="96" customFormat="1" ht="30" customHeight="1" thickBot="1">
      <c r="B15" s="538"/>
      <c r="C15" s="534"/>
      <c r="D15" s="539"/>
      <c r="E15" s="539"/>
      <c r="F15" s="536"/>
      <c r="G15" s="543"/>
      <c r="H15" s="544"/>
      <c r="I15" s="545"/>
      <c r="J15" s="534"/>
      <c r="K15" s="534"/>
      <c r="L15" s="536"/>
      <c r="M15" s="546"/>
      <c r="N15" s="549"/>
      <c r="O15" s="549"/>
      <c r="P15" s="549"/>
      <c r="Q15" s="553"/>
      <c r="R15" s="550" t="s">
        <v>1138</v>
      </c>
      <c r="S15" s="550" t="s">
        <v>1139</v>
      </c>
      <c r="T15" s="550" t="s">
        <v>1140</v>
      </c>
      <c r="U15" s="550" t="s">
        <v>1141</v>
      </c>
      <c r="V15" s="550" t="s">
        <v>1148</v>
      </c>
      <c r="W15" s="550" t="s">
        <v>1294</v>
      </c>
      <c r="X15" s="550" t="s">
        <v>1149</v>
      </c>
      <c r="Y15" s="550" t="s">
        <v>1142</v>
      </c>
      <c r="Z15" s="555"/>
    </row>
    <row r="16" spans="1:70" s="96" customFormat="1" ht="66.75" customHeight="1">
      <c r="A16" s="247" t="s">
        <v>1151</v>
      </c>
      <c r="B16" s="538"/>
      <c r="C16" s="534"/>
      <c r="D16" s="533"/>
      <c r="E16" s="533"/>
      <c r="F16" s="536"/>
      <c r="G16" s="172" t="s">
        <v>1143</v>
      </c>
      <c r="H16" s="294" t="s">
        <v>1144</v>
      </c>
      <c r="I16" s="169" t="s">
        <v>1145</v>
      </c>
      <c r="J16" s="534"/>
      <c r="K16" s="534"/>
      <c r="L16" s="536"/>
      <c r="M16" s="547"/>
      <c r="N16" s="549"/>
      <c r="O16" s="549"/>
      <c r="P16" s="549"/>
      <c r="Q16" s="553"/>
      <c r="R16" s="551"/>
      <c r="S16" s="551"/>
      <c r="T16" s="551"/>
      <c r="U16" s="551"/>
      <c r="V16" s="551"/>
      <c r="W16" s="551"/>
      <c r="X16" s="551"/>
      <c r="Y16" s="551"/>
      <c r="Z16" s="555"/>
    </row>
    <row r="17" spans="1:26" s="96" customFormat="1" ht="66.75" customHeight="1">
      <c r="A17" s="247"/>
      <c r="B17" s="480"/>
      <c r="C17" s="475"/>
      <c r="D17" s="475"/>
      <c r="E17" s="476" t="s">
        <v>2629</v>
      </c>
      <c r="F17" s="474"/>
      <c r="G17" s="475"/>
      <c r="H17" s="477"/>
      <c r="I17" s="477"/>
      <c r="J17" s="477"/>
      <c r="K17" s="477"/>
      <c r="L17" s="477"/>
      <c r="M17" s="478"/>
      <c r="N17" s="478"/>
      <c r="O17" s="478"/>
      <c r="P17" s="478"/>
      <c r="Q17" s="479"/>
      <c r="R17" s="481"/>
      <c r="S17" s="481"/>
      <c r="T17" s="481"/>
      <c r="U17" s="481"/>
      <c r="V17" s="481"/>
      <c r="W17" s="481"/>
      <c r="X17" s="481"/>
      <c r="Y17" s="481"/>
      <c r="Z17" s="482"/>
    </row>
    <row r="18" spans="1:26" s="96" customFormat="1" ht="66.75" customHeight="1">
      <c r="A18" s="247"/>
      <c r="B18" s="480"/>
      <c r="C18" s="293" t="s">
        <v>2162</v>
      </c>
      <c r="D18" s="273" t="s">
        <v>2636</v>
      </c>
      <c r="E18" s="273"/>
      <c r="F18" s="273"/>
      <c r="G18" s="273"/>
      <c r="H18" s="273"/>
      <c r="I18" s="291" t="s">
        <v>2638</v>
      </c>
      <c r="J18" s="273"/>
      <c r="K18" s="273"/>
      <c r="L18" s="273"/>
      <c r="M18" s="478" t="s">
        <v>2637</v>
      </c>
      <c r="N18" s="478"/>
      <c r="O18" s="478"/>
      <c r="P18" s="478"/>
      <c r="Q18" s="479"/>
      <c r="R18" s="292" t="s">
        <v>550</v>
      </c>
      <c r="S18" s="292" t="s">
        <v>10</v>
      </c>
      <c r="T18" s="292" t="s">
        <v>10</v>
      </c>
      <c r="U18" s="292" t="s">
        <v>10</v>
      </c>
      <c r="V18" s="292" t="s">
        <v>10</v>
      </c>
      <c r="W18" s="292" t="s">
        <v>10</v>
      </c>
      <c r="X18" s="292" t="s">
        <v>10</v>
      </c>
      <c r="Y18" s="292" t="s">
        <v>10</v>
      </c>
      <c r="Z18" s="503"/>
    </row>
    <row r="19" spans="1:26" s="4" customFormat="1" ht="75">
      <c r="B19" s="293"/>
      <c r="C19" s="293" t="s">
        <v>2162</v>
      </c>
      <c r="D19" s="273" t="s">
        <v>2632</v>
      </c>
      <c r="E19" s="273"/>
      <c r="F19" s="273" t="s">
        <v>2635</v>
      </c>
      <c r="G19" s="273"/>
      <c r="H19" s="273"/>
      <c r="I19" s="291" t="s">
        <v>2633</v>
      </c>
      <c r="J19" s="273"/>
      <c r="K19" s="273"/>
      <c r="L19" s="273"/>
      <c r="M19" s="274" t="s">
        <v>2634</v>
      </c>
      <c r="N19" s="273"/>
      <c r="O19" s="273"/>
      <c r="P19" s="273"/>
      <c r="Q19" s="292"/>
      <c r="R19" s="292" t="s">
        <v>550</v>
      </c>
      <c r="S19" s="292" t="s">
        <v>10</v>
      </c>
      <c r="T19" s="292" t="s">
        <v>10</v>
      </c>
      <c r="U19" s="292" t="s">
        <v>10</v>
      </c>
      <c r="V19" s="292" t="s">
        <v>10</v>
      </c>
      <c r="W19" s="292" t="s">
        <v>10</v>
      </c>
      <c r="X19" s="292" t="s">
        <v>10</v>
      </c>
      <c r="Y19" s="292" t="s">
        <v>10</v>
      </c>
      <c r="Z19" s="452"/>
    </row>
    <row r="20" spans="1:26" s="4" customFormat="1" ht="30">
      <c r="B20" s="293" t="s">
        <v>2570</v>
      </c>
      <c r="C20" s="293" t="s">
        <v>2162</v>
      </c>
      <c r="D20" s="273">
        <v>7200</v>
      </c>
      <c r="E20" s="273">
        <v>7315</v>
      </c>
      <c r="F20" s="273">
        <v>7014</v>
      </c>
      <c r="G20" s="273"/>
      <c r="H20" s="291" t="s">
        <v>2577</v>
      </c>
      <c r="I20" s="291" t="s">
        <v>2571</v>
      </c>
      <c r="J20" s="273">
        <v>20200220297</v>
      </c>
      <c r="K20" s="273"/>
      <c r="L20" s="273"/>
      <c r="M20" s="274" t="s">
        <v>2572</v>
      </c>
      <c r="N20" s="273"/>
      <c r="O20" s="273"/>
      <c r="P20" s="273"/>
      <c r="Q20" s="292"/>
      <c r="R20" s="292" t="s">
        <v>10</v>
      </c>
      <c r="S20" s="292" t="s">
        <v>10</v>
      </c>
      <c r="T20" s="292" t="s">
        <v>10</v>
      </c>
      <c r="U20" s="292" t="s">
        <v>10</v>
      </c>
      <c r="V20" s="292" t="s">
        <v>10</v>
      </c>
      <c r="W20" s="292" t="s">
        <v>10</v>
      </c>
      <c r="X20" s="292" t="s">
        <v>10</v>
      </c>
      <c r="Y20" s="292" t="s">
        <v>550</v>
      </c>
      <c r="Z20" s="453"/>
    </row>
    <row r="21" spans="1:26" s="4" customFormat="1" ht="45">
      <c r="B21" s="293" t="s">
        <v>2570</v>
      </c>
      <c r="C21" s="293" t="s">
        <v>2162</v>
      </c>
      <c r="D21" s="273">
        <v>7201</v>
      </c>
      <c r="E21" s="273" t="s">
        <v>2573</v>
      </c>
      <c r="F21" s="273">
        <v>7015</v>
      </c>
      <c r="G21" s="273"/>
      <c r="H21" s="291" t="s">
        <v>2577</v>
      </c>
      <c r="I21" s="291" t="s">
        <v>2571</v>
      </c>
      <c r="J21" s="273">
        <v>20200220297</v>
      </c>
      <c r="K21" s="273"/>
      <c r="L21" s="273"/>
      <c r="M21" s="274" t="s">
        <v>2574</v>
      </c>
      <c r="N21" s="273"/>
      <c r="O21" s="273"/>
      <c r="P21" s="273"/>
      <c r="Q21" s="292"/>
      <c r="R21" s="292" t="s">
        <v>10</v>
      </c>
      <c r="S21" s="292" t="s">
        <v>10</v>
      </c>
      <c r="T21" s="292" t="s">
        <v>10</v>
      </c>
      <c r="U21" s="292" t="s">
        <v>10</v>
      </c>
      <c r="V21" s="292" t="s">
        <v>10</v>
      </c>
      <c r="W21" s="292" t="s">
        <v>10</v>
      </c>
      <c r="X21" s="292" t="s">
        <v>10</v>
      </c>
      <c r="Y21" s="292" t="s">
        <v>550</v>
      </c>
      <c r="Z21" s="453"/>
    </row>
    <row r="22" spans="1:26" s="4" customFormat="1" ht="60">
      <c r="B22" s="439" t="s">
        <v>2613</v>
      </c>
      <c r="C22" s="447" t="s">
        <v>2162</v>
      </c>
      <c r="D22" s="448">
        <v>7202</v>
      </c>
      <c r="E22" s="448">
        <v>7349</v>
      </c>
      <c r="F22" s="448">
        <v>7016</v>
      </c>
      <c r="G22" s="448"/>
      <c r="H22" s="449" t="s">
        <v>2598</v>
      </c>
      <c r="I22" s="449" t="s">
        <v>2578</v>
      </c>
      <c r="J22" s="448">
        <v>20200624438</v>
      </c>
      <c r="K22" s="273"/>
      <c r="L22" s="273"/>
      <c r="M22" s="274" t="s">
        <v>2579</v>
      </c>
      <c r="N22" s="273"/>
      <c r="O22" s="273"/>
      <c r="P22" s="273"/>
      <c r="Q22" s="292"/>
      <c r="R22" s="292" t="s">
        <v>550</v>
      </c>
      <c r="S22" s="292" t="s">
        <v>10</v>
      </c>
      <c r="T22" s="292" t="s">
        <v>10</v>
      </c>
      <c r="U22" s="292" t="s">
        <v>10</v>
      </c>
      <c r="V22" s="292" t="s">
        <v>10</v>
      </c>
      <c r="W22" s="292" t="s">
        <v>10</v>
      </c>
      <c r="X22" s="292" t="s">
        <v>550</v>
      </c>
      <c r="Y22" s="292" t="s">
        <v>10</v>
      </c>
      <c r="Z22" s="452" t="s">
        <v>2605</v>
      </c>
    </row>
    <row r="23" spans="1:26" s="4" customFormat="1" ht="60">
      <c r="B23" s="439" t="s">
        <v>2613</v>
      </c>
      <c r="C23" s="447" t="s">
        <v>2162</v>
      </c>
      <c r="D23" s="448">
        <v>7203</v>
      </c>
      <c r="E23" s="448">
        <v>7354</v>
      </c>
      <c r="F23" s="448">
        <v>7017</v>
      </c>
      <c r="G23" s="448"/>
      <c r="H23" s="449" t="s">
        <v>2615</v>
      </c>
      <c r="I23" s="449" t="s">
        <v>2357</v>
      </c>
      <c r="J23" s="448"/>
      <c r="K23" s="273"/>
      <c r="L23" s="273"/>
      <c r="M23" s="274" t="s">
        <v>2606</v>
      </c>
      <c r="N23" s="273"/>
      <c r="O23" s="273"/>
      <c r="P23" s="273"/>
      <c r="Q23" s="292"/>
      <c r="R23" s="292" t="s">
        <v>10</v>
      </c>
      <c r="S23" s="292" t="s">
        <v>10</v>
      </c>
      <c r="T23" s="292" t="s">
        <v>10</v>
      </c>
      <c r="U23" s="292" t="s">
        <v>10</v>
      </c>
      <c r="V23" s="292" t="s">
        <v>10</v>
      </c>
      <c r="W23" s="292" t="s">
        <v>10</v>
      </c>
      <c r="X23" s="292" t="s">
        <v>10</v>
      </c>
      <c r="Y23" s="292" t="s">
        <v>550</v>
      </c>
      <c r="Z23" s="452"/>
    </row>
    <row r="24" spans="1:26" s="4" customFormat="1" ht="45">
      <c r="B24" s="439" t="s">
        <v>2614</v>
      </c>
      <c r="C24" s="447" t="s">
        <v>2162</v>
      </c>
      <c r="D24" s="448">
        <v>7204</v>
      </c>
      <c r="E24" s="448">
        <v>7342</v>
      </c>
      <c r="F24" s="448">
        <v>7018</v>
      </c>
      <c r="G24" s="448"/>
      <c r="H24" s="449" t="s">
        <v>2598</v>
      </c>
      <c r="I24" s="449" t="s">
        <v>2578</v>
      </c>
      <c r="J24" s="448">
        <v>20200714280</v>
      </c>
      <c r="K24" s="273"/>
      <c r="L24" s="273"/>
      <c r="M24" s="274" t="s">
        <v>2616</v>
      </c>
      <c r="N24" s="273"/>
      <c r="O24" s="273"/>
      <c r="P24" s="273"/>
      <c r="Q24" s="292"/>
      <c r="R24" s="292" t="s">
        <v>10</v>
      </c>
      <c r="S24" s="292" t="s">
        <v>10</v>
      </c>
      <c r="T24" s="292" t="s">
        <v>10</v>
      </c>
      <c r="U24" s="292" t="s">
        <v>550</v>
      </c>
      <c r="V24" s="292" t="s">
        <v>10</v>
      </c>
      <c r="W24" s="292" t="s">
        <v>550</v>
      </c>
      <c r="X24" s="292" t="s">
        <v>550</v>
      </c>
      <c r="Y24" s="292" t="s">
        <v>550</v>
      </c>
      <c r="Z24" s="452" t="s">
        <v>2620</v>
      </c>
    </row>
    <row r="25" spans="1:26" s="4" customFormat="1" ht="30">
      <c r="B25" s="439" t="s">
        <v>2614</v>
      </c>
      <c r="C25" s="447" t="s">
        <v>2162</v>
      </c>
      <c r="D25" s="448">
        <v>7205</v>
      </c>
      <c r="E25" s="448">
        <v>7413</v>
      </c>
      <c r="F25" s="448">
        <v>7019</v>
      </c>
      <c r="G25" s="448"/>
      <c r="H25" s="449" t="s">
        <v>2598</v>
      </c>
      <c r="I25" s="449" t="s">
        <v>2357</v>
      </c>
      <c r="J25" s="448"/>
      <c r="K25" s="273"/>
      <c r="L25" s="273"/>
      <c r="M25" s="274" t="s">
        <v>2617</v>
      </c>
      <c r="N25" s="273"/>
      <c r="O25" s="273"/>
      <c r="P25" s="273"/>
      <c r="Q25" s="292"/>
      <c r="R25" s="292" t="s">
        <v>10</v>
      </c>
      <c r="S25" s="292" t="s">
        <v>10</v>
      </c>
      <c r="T25" s="292" t="s">
        <v>10</v>
      </c>
      <c r="U25" s="292" t="s">
        <v>10</v>
      </c>
      <c r="V25" s="292" t="s">
        <v>10</v>
      </c>
      <c r="W25" s="292" t="s">
        <v>10</v>
      </c>
      <c r="X25" s="292" t="s">
        <v>10</v>
      </c>
      <c r="Y25" s="292" t="s">
        <v>550</v>
      </c>
      <c r="Z25" s="452"/>
    </row>
    <row r="26" spans="1:26" ht="45">
      <c r="B26" s="439" t="s">
        <v>2624</v>
      </c>
      <c r="C26" s="440" t="s">
        <v>2162</v>
      </c>
      <c r="D26" s="441">
        <v>7206</v>
      </c>
      <c r="E26" s="457">
        <v>7432</v>
      </c>
      <c r="F26" s="458">
        <v>7020</v>
      </c>
      <c r="G26" s="458"/>
      <c r="H26" s="459" t="s">
        <v>2625</v>
      </c>
      <c r="I26" s="442" t="s">
        <v>2357</v>
      </c>
      <c r="J26" s="458"/>
      <c r="K26" s="161"/>
      <c r="L26" s="161"/>
      <c r="M26" s="460" t="s">
        <v>2623</v>
      </c>
      <c r="N26" s="161"/>
      <c r="O26" s="161"/>
      <c r="P26" s="161"/>
      <c r="Q26" s="461"/>
      <c r="R26" s="292" t="s">
        <v>10</v>
      </c>
      <c r="S26" s="292" t="s">
        <v>10</v>
      </c>
      <c r="T26" s="292" t="s">
        <v>10</v>
      </c>
      <c r="U26" s="292" t="s">
        <v>10</v>
      </c>
      <c r="V26" s="292" t="s">
        <v>10</v>
      </c>
      <c r="W26" s="292" t="s">
        <v>10</v>
      </c>
      <c r="X26" s="292" t="s">
        <v>10</v>
      </c>
      <c r="Y26" s="292" t="s">
        <v>550</v>
      </c>
      <c r="Z26" s="161"/>
    </row>
    <row r="27" spans="1:26" s="465" customFormat="1" ht="30">
      <c r="B27" s="466"/>
      <c r="C27" s="466" t="s">
        <v>2162</v>
      </c>
      <c r="D27" s="467">
        <v>7207</v>
      </c>
      <c r="E27" s="467">
        <v>7438</v>
      </c>
      <c r="F27" s="468"/>
      <c r="G27" s="468"/>
      <c r="H27" s="469"/>
      <c r="I27" s="470" t="s">
        <v>2357</v>
      </c>
      <c r="J27" s="468"/>
      <c r="K27" s="468"/>
      <c r="L27" s="468"/>
      <c r="M27" s="471" t="s">
        <v>2628</v>
      </c>
      <c r="N27" s="468"/>
      <c r="O27" s="468"/>
      <c r="P27" s="468"/>
      <c r="Q27" s="472"/>
      <c r="R27" s="473" t="s">
        <v>10</v>
      </c>
      <c r="S27" s="473" t="s">
        <v>10</v>
      </c>
      <c r="T27" s="473" t="s">
        <v>10</v>
      </c>
      <c r="U27" s="473" t="s">
        <v>10</v>
      </c>
      <c r="V27" s="473" t="s">
        <v>10</v>
      </c>
      <c r="W27" s="473" t="s">
        <v>10</v>
      </c>
      <c r="X27" s="473" t="s">
        <v>10</v>
      </c>
      <c r="Y27" s="473" t="s">
        <v>10</v>
      </c>
      <c r="Z27" s="468"/>
    </row>
    <row r="28" spans="1:26" s="465" customFormat="1" ht="30">
      <c r="B28" s="466"/>
      <c r="C28" s="466" t="s">
        <v>2162</v>
      </c>
      <c r="D28" s="467">
        <v>7208</v>
      </c>
      <c r="E28" s="467">
        <v>7454</v>
      </c>
      <c r="F28" s="468"/>
      <c r="G28" s="468"/>
      <c r="H28" s="469"/>
      <c r="I28" s="470" t="s">
        <v>2357</v>
      </c>
      <c r="J28" s="468"/>
      <c r="K28" s="468"/>
      <c r="L28" s="468"/>
      <c r="M28" s="471" t="s">
        <v>2630</v>
      </c>
      <c r="N28" s="468"/>
      <c r="O28" s="468"/>
      <c r="P28" s="468"/>
      <c r="Q28" s="472"/>
      <c r="R28" s="473" t="s">
        <v>10</v>
      </c>
      <c r="S28" s="473" t="s">
        <v>10</v>
      </c>
      <c r="T28" s="473" t="s">
        <v>10</v>
      </c>
      <c r="U28" s="473" t="s">
        <v>10</v>
      </c>
      <c r="V28" s="473" t="s">
        <v>10</v>
      </c>
      <c r="W28" s="473" t="s">
        <v>10</v>
      </c>
      <c r="X28" s="473" t="s">
        <v>10</v>
      </c>
      <c r="Y28" s="473" t="s">
        <v>10</v>
      </c>
      <c r="Z28" s="468"/>
    </row>
    <row r="29" spans="1:26" ht="135">
      <c r="B29" s="439" t="s">
        <v>2639</v>
      </c>
      <c r="C29" s="447" t="s">
        <v>2162</v>
      </c>
      <c r="D29" s="457">
        <v>7209</v>
      </c>
      <c r="E29" s="457">
        <v>7473</v>
      </c>
      <c r="F29" s="457"/>
      <c r="G29" s="457"/>
      <c r="H29" s="457" t="s">
        <v>2598</v>
      </c>
      <c r="I29" s="442" t="s">
        <v>2357</v>
      </c>
      <c r="J29" s="458"/>
      <c r="K29" s="161"/>
      <c r="L29" s="161"/>
      <c r="M29" s="460" t="s">
        <v>2626</v>
      </c>
      <c r="N29" s="161"/>
      <c r="O29" s="464">
        <v>44156</v>
      </c>
      <c r="P29" s="161"/>
      <c r="Q29" s="461"/>
      <c r="R29" s="292" t="s">
        <v>10</v>
      </c>
      <c r="S29" s="292" t="s">
        <v>10</v>
      </c>
      <c r="T29" s="292" t="s">
        <v>10</v>
      </c>
      <c r="U29" s="292" t="s">
        <v>10</v>
      </c>
      <c r="V29" s="292" t="s">
        <v>10</v>
      </c>
      <c r="W29" s="292" t="s">
        <v>10</v>
      </c>
      <c r="X29" s="292" t="s">
        <v>10</v>
      </c>
      <c r="Y29" s="292" t="s">
        <v>550</v>
      </c>
      <c r="Z29" s="161"/>
    </row>
    <row r="30" spans="1:26" s="504" customFormat="1" ht="90">
      <c r="B30" s="505"/>
      <c r="C30" s="466" t="s">
        <v>2162</v>
      </c>
      <c r="D30" s="467">
        <v>7210</v>
      </c>
      <c r="E30" s="467">
        <v>7502</v>
      </c>
      <c r="F30" s="468"/>
      <c r="G30" s="468"/>
      <c r="H30" s="506"/>
      <c r="I30" s="470" t="s">
        <v>2578</v>
      </c>
      <c r="J30" s="468">
        <v>20200512379</v>
      </c>
      <c r="K30" s="468"/>
      <c r="L30" s="468"/>
      <c r="M30" s="471" t="s">
        <v>2642</v>
      </c>
      <c r="N30" s="468"/>
      <c r="O30" s="468"/>
      <c r="P30" s="468"/>
      <c r="Q30" s="472"/>
      <c r="R30" s="473" t="s">
        <v>10</v>
      </c>
      <c r="S30" s="473" t="s">
        <v>10</v>
      </c>
      <c r="T30" s="473" t="s">
        <v>10</v>
      </c>
      <c r="U30" s="473" t="s">
        <v>10</v>
      </c>
      <c r="V30" s="473" t="s">
        <v>10</v>
      </c>
      <c r="W30" s="473" t="s">
        <v>10</v>
      </c>
      <c r="X30" s="473" t="s">
        <v>10</v>
      </c>
      <c r="Y30" s="473" t="s">
        <v>10</v>
      </c>
      <c r="Z30" s="468"/>
    </row>
    <row r="31" spans="1:26" ht="45">
      <c r="B31" s="439" t="s">
        <v>2677</v>
      </c>
      <c r="C31" s="447" t="s">
        <v>2162</v>
      </c>
      <c r="D31" s="457">
        <v>7211</v>
      </c>
      <c r="E31" s="457" t="s">
        <v>2640</v>
      </c>
      <c r="F31" s="458"/>
      <c r="G31" s="458"/>
      <c r="H31" s="508" t="s">
        <v>2678</v>
      </c>
      <c r="I31" s="442" t="s">
        <v>2357</v>
      </c>
      <c r="J31" s="458">
        <v>20200831440</v>
      </c>
      <c r="K31" s="161"/>
      <c r="L31" s="161"/>
      <c r="M31" s="460" t="s">
        <v>2641</v>
      </c>
      <c r="N31" s="161"/>
      <c r="O31" s="464">
        <v>44182</v>
      </c>
      <c r="P31" s="161"/>
      <c r="Q31" s="461"/>
      <c r="R31" s="292" t="s">
        <v>10</v>
      </c>
      <c r="S31" s="292" t="s">
        <v>10</v>
      </c>
      <c r="T31" s="292" t="s">
        <v>10</v>
      </c>
      <c r="U31" s="292" t="s">
        <v>10</v>
      </c>
      <c r="V31" s="292" t="s">
        <v>10</v>
      </c>
      <c r="W31" s="292" t="s">
        <v>10</v>
      </c>
      <c r="X31" s="292" t="s">
        <v>10</v>
      </c>
      <c r="Y31" s="292" t="s">
        <v>550</v>
      </c>
      <c r="Z31" s="161"/>
    </row>
    <row r="32" spans="1:26" ht="90">
      <c r="B32" s="439" t="s">
        <v>2677</v>
      </c>
      <c r="C32" s="293" t="s">
        <v>2162</v>
      </c>
      <c r="D32" s="507" t="s">
        <v>2674</v>
      </c>
      <c r="E32" s="161"/>
      <c r="F32" s="161"/>
      <c r="G32" s="161"/>
      <c r="H32" s="507" t="s">
        <v>2679</v>
      </c>
      <c r="I32" s="507" t="s">
        <v>2675</v>
      </c>
      <c r="J32" s="161"/>
      <c r="K32" s="161"/>
      <c r="L32" s="161"/>
      <c r="M32" s="531" t="s">
        <v>2676</v>
      </c>
      <c r="N32" s="161"/>
      <c r="O32" s="161"/>
      <c r="P32" s="161"/>
      <c r="Q32" s="461"/>
      <c r="R32" s="292" t="s">
        <v>10</v>
      </c>
      <c r="S32" s="292" t="s">
        <v>10</v>
      </c>
      <c r="T32" s="292" t="s">
        <v>10</v>
      </c>
      <c r="U32" s="292" t="s">
        <v>10</v>
      </c>
      <c r="V32" s="292" t="s">
        <v>10</v>
      </c>
      <c r="W32" s="292" t="s">
        <v>10</v>
      </c>
      <c r="X32" s="292" t="s">
        <v>10</v>
      </c>
      <c r="Y32" s="292" t="s">
        <v>550</v>
      </c>
      <c r="Z32" s="161"/>
    </row>
    <row r="33" spans="2:26">
      <c r="B33" s="462"/>
      <c r="C33" s="462"/>
      <c r="D33" s="161"/>
      <c r="E33" s="161"/>
      <c r="F33" s="161"/>
      <c r="G33" s="161"/>
      <c r="H33" s="463"/>
      <c r="I33" s="161"/>
      <c r="J33" s="161"/>
      <c r="K33" s="161"/>
      <c r="L33" s="161"/>
      <c r="M33" s="161"/>
      <c r="N33" s="161"/>
      <c r="O33" s="161"/>
      <c r="P33" s="161"/>
      <c r="Q33" s="461"/>
      <c r="R33" s="461"/>
      <c r="S33" s="461"/>
      <c r="T33" s="461"/>
      <c r="U33" s="461"/>
      <c r="V33" s="461"/>
      <c r="W33" s="461"/>
      <c r="X33" s="461"/>
      <c r="Y33" s="461"/>
      <c r="Z33" s="161"/>
    </row>
    <row r="34" spans="2:26">
      <c r="B34" s="462"/>
      <c r="C34" s="462"/>
      <c r="D34" s="161"/>
      <c r="E34" s="161"/>
      <c r="F34" s="161"/>
      <c r="G34" s="161"/>
      <c r="H34" s="463"/>
      <c r="I34" s="161"/>
      <c r="J34" s="161"/>
      <c r="K34" s="161"/>
      <c r="L34" s="161"/>
      <c r="M34" s="161"/>
      <c r="N34" s="161"/>
      <c r="O34" s="161"/>
      <c r="P34" s="161"/>
      <c r="Q34" s="461"/>
      <c r="R34" s="461"/>
      <c r="S34" s="461"/>
      <c r="T34" s="461"/>
      <c r="U34" s="461"/>
      <c r="V34" s="461"/>
      <c r="W34" s="461"/>
      <c r="X34" s="461"/>
      <c r="Y34" s="461"/>
      <c r="Z34" s="161"/>
    </row>
    <row r="35" spans="2:26">
      <c r="B35" s="462"/>
      <c r="C35" s="462"/>
      <c r="D35" s="161"/>
      <c r="E35" s="161"/>
      <c r="F35" s="161"/>
      <c r="G35" s="161"/>
      <c r="H35" s="463"/>
      <c r="I35" s="161"/>
      <c r="J35" s="161"/>
      <c r="K35" s="161"/>
      <c r="L35" s="161"/>
      <c r="M35" s="161"/>
      <c r="N35" s="161"/>
      <c r="O35" s="161"/>
      <c r="P35" s="161"/>
      <c r="Q35" s="461"/>
      <c r="R35" s="461"/>
      <c r="S35" s="461"/>
      <c r="T35" s="461"/>
      <c r="U35" s="461"/>
      <c r="V35" s="461"/>
      <c r="W35" s="461"/>
      <c r="X35" s="461"/>
      <c r="Y35" s="461"/>
      <c r="Z35" s="161"/>
    </row>
    <row r="36" spans="2:26">
      <c r="B36" s="462"/>
      <c r="C36" s="462"/>
      <c r="D36" s="161"/>
      <c r="E36" s="161"/>
      <c r="F36" s="161"/>
      <c r="G36" s="161"/>
      <c r="H36" s="463"/>
      <c r="I36" s="161"/>
      <c r="J36" s="161"/>
      <c r="K36" s="161"/>
      <c r="L36" s="161"/>
      <c r="M36" s="161"/>
      <c r="N36" s="161"/>
      <c r="O36" s="161"/>
      <c r="P36" s="161"/>
      <c r="Q36" s="461"/>
      <c r="R36" s="461"/>
      <c r="S36" s="461"/>
      <c r="T36" s="461"/>
      <c r="U36" s="461"/>
      <c r="V36" s="461"/>
      <c r="W36" s="461"/>
      <c r="X36" s="461"/>
      <c r="Y36" s="461"/>
      <c r="Z36" s="161"/>
    </row>
    <row r="37" spans="2:26">
      <c r="B37" s="98"/>
      <c r="C37" s="98"/>
      <c r="D37" s="2"/>
      <c r="E37" s="2"/>
      <c r="F37" s="2"/>
      <c r="G37" s="2"/>
      <c r="H37" s="296"/>
      <c r="I37" s="2"/>
      <c r="J37" s="2"/>
      <c r="K37" s="2"/>
      <c r="L37" s="2"/>
      <c r="M37" s="2"/>
      <c r="N37" s="2"/>
      <c r="O37" s="2"/>
      <c r="P37" s="2"/>
      <c r="Q37" s="103"/>
      <c r="R37" s="103"/>
      <c r="S37" s="103"/>
      <c r="T37" s="103"/>
      <c r="U37" s="103"/>
      <c r="V37" s="103"/>
      <c r="W37" s="103"/>
      <c r="X37" s="103"/>
      <c r="Y37" s="103"/>
      <c r="Z37" s="2"/>
    </row>
    <row r="38" spans="2:26">
      <c r="B38" s="98"/>
      <c r="C38" s="98"/>
      <c r="D38" s="2"/>
      <c r="E38" s="2"/>
      <c r="F38" s="2"/>
      <c r="G38" s="2"/>
      <c r="H38" s="296"/>
      <c r="I38" s="2"/>
      <c r="J38" s="2"/>
      <c r="K38" s="2"/>
      <c r="L38" s="2"/>
      <c r="M38" s="2"/>
      <c r="N38" s="2"/>
      <c r="O38" s="2"/>
      <c r="P38" s="2"/>
      <c r="Q38" s="103"/>
      <c r="R38" s="103"/>
      <c r="S38" s="103"/>
      <c r="T38" s="103"/>
      <c r="U38" s="103"/>
      <c r="V38" s="103"/>
      <c r="W38" s="103"/>
      <c r="X38" s="103"/>
      <c r="Y38" s="103"/>
      <c r="Z38" s="2"/>
    </row>
    <row r="39" spans="2:26">
      <c r="B39" s="98"/>
      <c r="C39" s="98"/>
      <c r="D39" s="2"/>
      <c r="E39" s="2"/>
      <c r="F39" s="2"/>
      <c r="G39" s="2"/>
      <c r="H39" s="296"/>
      <c r="I39" s="2"/>
      <c r="J39" s="2"/>
      <c r="K39" s="2"/>
      <c r="L39" s="2"/>
      <c r="M39" s="2"/>
      <c r="N39" s="2"/>
      <c r="O39" s="2"/>
      <c r="P39" s="2"/>
      <c r="Q39" s="103"/>
      <c r="R39" s="103"/>
      <c r="S39" s="103"/>
      <c r="T39" s="103"/>
      <c r="U39" s="103"/>
      <c r="V39" s="103"/>
      <c r="W39" s="103"/>
      <c r="X39" s="103"/>
      <c r="Y39" s="103"/>
      <c r="Z39" s="2"/>
    </row>
    <row r="40" spans="2:26">
      <c r="B40" s="98"/>
      <c r="C40" s="98"/>
      <c r="D40" s="2"/>
      <c r="E40" s="2"/>
      <c r="F40" s="2"/>
      <c r="G40" s="2"/>
      <c r="H40" s="296"/>
      <c r="I40" s="2"/>
      <c r="J40" s="2"/>
      <c r="K40" s="2"/>
      <c r="L40" s="2"/>
      <c r="M40" s="2"/>
      <c r="N40" s="2"/>
      <c r="O40" s="2"/>
      <c r="P40" s="2"/>
      <c r="Q40" s="103"/>
      <c r="R40" s="103"/>
      <c r="S40" s="103"/>
      <c r="T40" s="103"/>
      <c r="U40" s="103"/>
      <c r="V40" s="103"/>
      <c r="W40" s="103"/>
      <c r="X40" s="103"/>
      <c r="Y40" s="103"/>
      <c r="Z40" s="2"/>
    </row>
    <row r="41" spans="2:26">
      <c r="B41" s="98"/>
      <c r="C41" s="98"/>
      <c r="D41" s="2"/>
      <c r="E41" s="2"/>
      <c r="F41" s="2"/>
      <c r="G41" s="2"/>
      <c r="H41" s="296"/>
      <c r="I41" s="2"/>
      <c r="J41" s="2"/>
      <c r="K41" s="2"/>
      <c r="L41" s="2"/>
      <c r="M41" s="2"/>
      <c r="N41" s="2"/>
      <c r="O41" s="2"/>
      <c r="P41" s="2"/>
      <c r="Q41" s="103"/>
      <c r="R41" s="103"/>
      <c r="S41" s="103"/>
      <c r="T41" s="103"/>
      <c r="U41" s="103"/>
      <c r="V41" s="103"/>
      <c r="W41" s="103"/>
      <c r="X41" s="103"/>
      <c r="Y41" s="103"/>
      <c r="Z41" s="2"/>
    </row>
    <row r="42" spans="2:26">
      <c r="B42" s="98"/>
      <c r="C42" s="98"/>
      <c r="D42" s="2"/>
      <c r="E42" s="2"/>
      <c r="F42" s="2"/>
      <c r="G42" s="2"/>
      <c r="H42" s="296"/>
      <c r="I42" s="2"/>
      <c r="J42" s="2"/>
      <c r="K42" s="2"/>
      <c r="L42" s="2"/>
      <c r="M42" s="2"/>
      <c r="N42" s="2"/>
      <c r="O42" s="2"/>
      <c r="P42" s="2"/>
      <c r="Q42" s="103"/>
      <c r="R42" s="103"/>
      <c r="S42" s="103"/>
      <c r="T42" s="103"/>
      <c r="U42" s="103"/>
      <c r="V42" s="103"/>
      <c r="W42" s="103"/>
      <c r="X42" s="103"/>
      <c r="Y42" s="103"/>
      <c r="Z42" s="2"/>
    </row>
    <row r="43" spans="2:26">
      <c r="B43" s="98"/>
      <c r="C43" s="98"/>
      <c r="D43" s="2"/>
      <c r="E43" s="2"/>
      <c r="F43" s="2"/>
      <c r="G43" s="2"/>
      <c r="H43" s="296"/>
      <c r="I43" s="2"/>
      <c r="J43" s="2"/>
      <c r="K43" s="2"/>
      <c r="L43" s="2"/>
      <c r="M43" s="2"/>
      <c r="N43" s="2"/>
      <c r="O43" s="2"/>
      <c r="P43" s="2"/>
      <c r="Q43" s="103"/>
      <c r="R43" s="103"/>
      <c r="S43" s="103"/>
      <c r="T43" s="103"/>
      <c r="U43" s="103"/>
      <c r="V43" s="103"/>
      <c r="W43" s="103"/>
      <c r="X43" s="103"/>
      <c r="Y43" s="103"/>
      <c r="Z43" s="2"/>
    </row>
    <row r="44" spans="2:26">
      <c r="B44" s="98"/>
      <c r="C44" s="98"/>
      <c r="D44" s="2"/>
      <c r="E44" s="2"/>
      <c r="F44" s="2"/>
      <c r="G44" s="2"/>
      <c r="H44" s="296"/>
      <c r="I44" s="2"/>
      <c r="J44" s="2"/>
      <c r="K44" s="2"/>
      <c r="L44" s="2"/>
      <c r="M44" s="2"/>
      <c r="N44" s="2"/>
      <c r="O44" s="2"/>
      <c r="P44" s="2"/>
      <c r="Q44" s="103"/>
      <c r="R44" s="103"/>
      <c r="S44" s="103"/>
      <c r="T44" s="103"/>
      <c r="U44" s="103"/>
      <c r="V44" s="103"/>
      <c r="W44" s="103"/>
      <c r="X44" s="103"/>
      <c r="Y44" s="103"/>
      <c r="Z44" s="2"/>
    </row>
    <row r="45" spans="2:26">
      <c r="B45" s="98"/>
      <c r="C45" s="98"/>
      <c r="D45" s="2"/>
      <c r="E45" s="2"/>
      <c r="F45" s="2"/>
      <c r="G45" s="2"/>
      <c r="H45" s="296"/>
      <c r="I45" s="2"/>
      <c r="J45" s="2"/>
      <c r="K45" s="2"/>
      <c r="L45" s="2"/>
      <c r="M45" s="2"/>
      <c r="N45" s="2"/>
      <c r="O45" s="2"/>
      <c r="P45" s="2"/>
      <c r="Q45" s="103"/>
      <c r="R45" s="103"/>
      <c r="S45" s="103"/>
      <c r="T45" s="103"/>
      <c r="U45" s="103"/>
      <c r="V45" s="103"/>
      <c r="W45" s="103"/>
      <c r="X45" s="103"/>
      <c r="Y45" s="103"/>
      <c r="Z45" s="2"/>
    </row>
    <row r="46" spans="2:26">
      <c r="B46" s="98"/>
      <c r="C46" s="98"/>
      <c r="D46" s="2"/>
      <c r="E46" s="2"/>
      <c r="F46" s="2"/>
      <c r="G46" s="2"/>
      <c r="H46" s="296"/>
      <c r="I46" s="2"/>
      <c r="J46" s="2"/>
      <c r="K46" s="2"/>
      <c r="L46" s="2"/>
      <c r="M46" s="2"/>
      <c r="N46" s="2"/>
      <c r="O46" s="2"/>
      <c r="P46" s="2"/>
      <c r="Q46" s="103"/>
      <c r="R46" s="103"/>
      <c r="S46" s="103"/>
      <c r="T46" s="103"/>
      <c r="U46" s="103"/>
      <c r="V46" s="103"/>
      <c r="W46" s="103"/>
      <c r="X46" s="103"/>
      <c r="Y46" s="103"/>
      <c r="Z46" s="2"/>
    </row>
    <row r="47" spans="2:26">
      <c r="B47" s="98"/>
      <c r="C47" s="98"/>
      <c r="D47" s="2"/>
      <c r="E47" s="2"/>
      <c r="F47" s="2"/>
      <c r="G47" s="2"/>
      <c r="H47" s="296"/>
      <c r="I47" s="2"/>
      <c r="J47" s="2"/>
      <c r="K47" s="2"/>
      <c r="L47" s="2"/>
      <c r="M47" s="2"/>
      <c r="N47" s="2"/>
      <c r="O47" s="2"/>
      <c r="P47" s="2"/>
      <c r="Q47" s="103"/>
      <c r="R47" s="103"/>
      <c r="S47" s="103"/>
      <c r="T47" s="103"/>
      <c r="U47" s="103"/>
      <c r="V47" s="103"/>
      <c r="W47" s="103"/>
      <c r="X47" s="103"/>
      <c r="Y47" s="103"/>
      <c r="Z47" s="2"/>
    </row>
    <row r="48" spans="2:26">
      <c r="B48" s="98"/>
      <c r="C48" s="98"/>
      <c r="D48" s="2"/>
      <c r="E48" s="2"/>
      <c r="F48" s="2"/>
      <c r="G48" s="2"/>
      <c r="H48" s="296"/>
      <c r="I48" s="2"/>
      <c r="J48" s="2"/>
      <c r="K48" s="2"/>
      <c r="L48" s="2"/>
      <c r="M48" s="2"/>
      <c r="N48" s="2"/>
      <c r="O48" s="2"/>
      <c r="P48" s="2"/>
      <c r="Q48" s="103"/>
      <c r="R48" s="103"/>
      <c r="S48" s="103"/>
      <c r="T48" s="103"/>
      <c r="U48" s="103"/>
      <c r="V48" s="103"/>
      <c r="W48" s="103"/>
      <c r="X48" s="103"/>
      <c r="Y48" s="103"/>
      <c r="Z48" s="2"/>
    </row>
    <row r="49" spans="2:26">
      <c r="B49" s="98"/>
      <c r="C49" s="98"/>
      <c r="D49" s="2"/>
      <c r="E49" s="2"/>
      <c r="F49" s="2"/>
      <c r="G49" s="2"/>
      <c r="H49" s="296"/>
      <c r="I49" s="2"/>
      <c r="J49" s="2"/>
      <c r="K49" s="2"/>
      <c r="L49" s="2"/>
      <c r="M49" s="2"/>
      <c r="N49" s="2"/>
      <c r="O49" s="2"/>
      <c r="P49" s="2"/>
      <c r="Q49" s="103"/>
      <c r="R49" s="103"/>
      <c r="S49" s="103"/>
      <c r="T49" s="103"/>
      <c r="U49" s="103"/>
      <c r="V49" s="103"/>
      <c r="W49" s="103"/>
      <c r="X49" s="103"/>
      <c r="Y49" s="103"/>
      <c r="Z49" s="2"/>
    </row>
    <row r="50" spans="2:26">
      <c r="B50" s="98"/>
      <c r="C50" s="98"/>
      <c r="D50" s="2"/>
      <c r="E50" s="2"/>
      <c r="F50" s="2"/>
      <c r="G50" s="2"/>
      <c r="H50" s="296"/>
      <c r="I50" s="2"/>
      <c r="J50" s="2"/>
      <c r="K50" s="2"/>
      <c r="L50" s="2"/>
      <c r="M50" s="2"/>
      <c r="N50" s="2"/>
      <c r="O50" s="2"/>
      <c r="P50" s="2"/>
      <c r="Q50" s="103"/>
      <c r="R50" s="103"/>
      <c r="S50" s="103"/>
      <c r="T50" s="103"/>
      <c r="U50" s="103"/>
      <c r="V50" s="103"/>
      <c r="W50" s="103"/>
      <c r="X50" s="103"/>
      <c r="Y50" s="103"/>
      <c r="Z50" s="2"/>
    </row>
    <row r="51" spans="2:26">
      <c r="B51" s="98"/>
      <c r="C51" s="98"/>
      <c r="D51" s="2"/>
      <c r="E51" s="2"/>
      <c r="F51" s="2"/>
      <c r="G51" s="2"/>
      <c r="H51" s="296"/>
      <c r="I51" s="2"/>
      <c r="J51" s="2"/>
      <c r="K51" s="2"/>
      <c r="L51" s="2"/>
      <c r="M51" s="2"/>
      <c r="N51" s="2"/>
      <c r="O51" s="2"/>
      <c r="P51" s="2"/>
      <c r="Q51" s="103"/>
      <c r="R51" s="103"/>
      <c r="S51" s="103"/>
      <c r="T51" s="103"/>
      <c r="U51" s="103"/>
      <c r="V51" s="103"/>
      <c r="W51" s="103"/>
      <c r="X51" s="103"/>
      <c r="Y51" s="103"/>
      <c r="Z51" s="2"/>
    </row>
    <row r="52" spans="2:26">
      <c r="B52" s="98"/>
      <c r="C52" s="98"/>
      <c r="D52" s="2"/>
      <c r="E52" s="2"/>
      <c r="F52" s="2"/>
      <c r="G52" s="2"/>
      <c r="H52" s="296"/>
      <c r="I52" s="2"/>
      <c r="J52" s="2"/>
      <c r="K52" s="2"/>
      <c r="L52" s="2"/>
      <c r="M52" s="2"/>
      <c r="N52" s="2"/>
      <c r="O52" s="2"/>
      <c r="P52" s="2"/>
      <c r="Q52" s="103"/>
      <c r="R52" s="103"/>
      <c r="S52" s="103"/>
      <c r="T52" s="103"/>
      <c r="U52" s="103"/>
      <c r="V52" s="103"/>
      <c r="W52" s="103"/>
      <c r="X52" s="103"/>
      <c r="Y52" s="103"/>
      <c r="Z52" s="2"/>
    </row>
    <row r="53" spans="2:26">
      <c r="B53" s="98"/>
      <c r="C53" s="98"/>
      <c r="D53" s="2"/>
      <c r="E53" s="2"/>
      <c r="F53" s="2"/>
      <c r="G53" s="2"/>
      <c r="H53" s="296"/>
      <c r="I53" s="2"/>
      <c r="J53" s="2"/>
      <c r="K53" s="2"/>
      <c r="L53" s="2"/>
      <c r="M53" s="2"/>
      <c r="N53" s="2"/>
      <c r="O53" s="2"/>
      <c r="P53" s="2"/>
      <c r="Q53" s="103"/>
      <c r="R53" s="103"/>
      <c r="S53" s="103"/>
      <c r="T53" s="103"/>
      <c r="U53" s="103"/>
      <c r="V53" s="103"/>
      <c r="W53" s="103"/>
      <c r="X53" s="103"/>
      <c r="Y53" s="103"/>
      <c r="Z53" s="2"/>
    </row>
    <row r="54" spans="2:26">
      <c r="B54" s="98"/>
      <c r="C54" s="98"/>
      <c r="D54" s="2"/>
      <c r="E54" s="2"/>
      <c r="F54" s="2"/>
      <c r="G54" s="2"/>
      <c r="H54" s="296"/>
      <c r="I54" s="2"/>
      <c r="J54" s="2"/>
      <c r="K54" s="2"/>
      <c r="L54" s="2"/>
      <c r="M54" s="2"/>
      <c r="N54" s="2"/>
      <c r="O54" s="2"/>
      <c r="P54" s="2"/>
      <c r="Q54" s="103"/>
      <c r="R54" s="103"/>
      <c r="S54" s="103"/>
      <c r="T54" s="103"/>
      <c r="U54" s="103"/>
      <c r="V54" s="103"/>
      <c r="W54" s="103"/>
      <c r="X54" s="103"/>
      <c r="Y54" s="103"/>
      <c r="Z54" s="2"/>
    </row>
    <row r="55" spans="2:26">
      <c r="B55" s="98"/>
      <c r="C55" s="98"/>
      <c r="D55" s="2"/>
      <c r="E55" s="2"/>
      <c r="F55" s="2"/>
      <c r="G55" s="2"/>
      <c r="H55" s="296"/>
      <c r="I55" s="2"/>
      <c r="J55" s="2"/>
      <c r="K55" s="2"/>
      <c r="L55" s="2"/>
      <c r="M55" s="2"/>
      <c r="N55" s="2"/>
      <c r="O55" s="2"/>
      <c r="P55" s="2"/>
      <c r="Q55" s="103"/>
      <c r="R55" s="103"/>
      <c r="S55" s="103"/>
      <c r="T55" s="103"/>
      <c r="U55" s="103"/>
      <c r="V55" s="103"/>
      <c r="W55" s="103"/>
      <c r="X55" s="103"/>
      <c r="Y55" s="103"/>
      <c r="Z55" s="2"/>
    </row>
    <row r="56" spans="2:26">
      <c r="B56" s="98"/>
      <c r="C56" s="98"/>
      <c r="D56" s="2"/>
      <c r="E56" s="2"/>
      <c r="F56" s="2"/>
      <c r="G56" s="2"/>
      <c r="H56" s="296"/>
      <c r="I56" s="2"/>
      <c r="J56" s="2"/>
      <c r="K56" s="2"/>
      <c r="L56" s="2"/>
      <c r="M56" s="2"/>
      <c r="N56" s="2"/>
      <c r="O56" s="2"/>
      <c r="P56" s="2"/>
      <c r="Q56" s="103"/>
      <c r="R56" s="103"/>
      <c r="S56" s="103"/>
      <c r="T56" s="103"/>
      <c r="U56" s="103"/>
      <c r="V56" s="103"/>
      <c r="W56" s="103"/>
      <c r="X56" s="103"/>
      <c r="Y56" s="103"/>
      <c r="Z56" s="2"/>
    </row>
    <row r="57" spans="2:26">
      <c r="B57" s="98"/>
      <c r="C57" s="98"/>
      <c r="D57" s="2"/>
      <c r="E57" s="2"/>
      <c r="F57" s="2"/>
      <c r="G57" s="2"/>
      <c r="H57" s="296"/>
      <c r="I57" s="2"/>
      <c r="J57" s="2"/>
      <c r="K57" s="2"/>
      <c r="L57" s="2"/>
      <c r="M57" s="2"/>
      <c r="N57" s="2"/>
      <c r="O57" s="2"/>
      <c r="P57" s="2"/>
      <c r="Q57" s="103"/>
      <c r="R57" s="103"/>
      <c r="S57" s="103"/>
      <c r="T57" s="103"/>
      <c r="U57" s="103"/>
      <c r="V57" s="103"/>
      <c r="W57" s="103"/>
      <c r="X57" s="103"/>
      <c r="Y57" s="103"/>
      <c r="Z57" s="2"/>
    </row>
    <row r="58" spans="2:26">
      <c r="B58" s="98"/>
      <c r="C58" s="98"/>
      <c r="D58" s="2"/>
      <c r="E58" s="2"/>
      <c r="F58" s="2"/>
      <c r="G58" s="2"/>
      <c r="H58" s="296"/>
      <c r="I58" s="2"/>
      <c r="J58" s="2"/>
      <c r="K58" s="2"/>
      <c r="L58" s="2"/>
      <c r="M58" s="2"/>
      <c r="N58" s="2"/>
      <c r="O58" s="2"/>
      <c r="P58" s="2"/>
      <c r="Q58" s="103"/>
      <c r="R58" s="103"/>
      <c r="S58" s="103"/>
      <c r="T58" s="103"/>
      <c r="U58" s="103"/>
      <c r="V58" s="103"/>
      <c r="W58" s="103"/>
      <c r="X58" s="103"/>
      <c r="Y58" s="103"/>
      <c r="Z58" s="2"/>
    </row>
    <row r="59" spans="2:26">
      <c r="B59" s="98"/>
      <c r="C59" s="98"/>
      <c r="D59" s="2"/>
      <c r="E59" s="2"/>
      <c r="F59" s="2"/>
      <c r="G59" s="2"/>
      <c r="H59" s="296"/>
      <c r="I59" s="2"/>
      <c r="J59" s="2"/>
      <c r="K59" s="2"/>
      <c r="L59" s="2"/>
      <c r="M59" s="2"/>
      <c r="N59" s="2"/>
      <c r="O59" s="2"/>
      <c r="P59" s="2"/>
      <c r="Q59" s="103"/>
      <c r="R59" s="103"/>
      <c r="S59" s="103"/>
      <c r="T59" s="103"/>
      <c r="U59" s="103"/>
      <c r="V59" s="103"/>
      <c r="W59" s="103"/>
      <c r="X59" s="103"/>
      <c r="Y59" s="103"/>
      <c r="Z59" s="2"/>
    </row>
    <row r="60" spans="2:26">
      <c r="B60" s="98"/>
      <c r="C60" s="98"/>
      <c r="D60" s="2"/>
      <c r="E60" s="2"/>
      <c r="F60" s="2"/>
      <c r="G60" s="2"/>
      <c r="H60" s="296"/>
      <c r="I60" s="2"/>
      <c r="J60" s="2"/>
      <c r="K60" s="2"/>
      <c r="L60" s="2"/>
      <c r="M60" s="2"/>
      <c r="N60" s="2"/>
      <c r="O60" s="2"/>
      <c r="P60" s="2"/>
      <c r="Q60" s="103"/>
      <c r="R60" s="103"/>
      <c r="S60" s="103"/>
      <c r="T60" s="103"/>
      <c r="U60" s="103"/>
      <c r="V60" s="103"/>
      <c r="W60" s="103"/>
      <c r="X60" s="103"/>
      <c r="Y60" s="103"/>
      <c r="Z60" s="2"/>
    </row>
    <row r="61" spans="2:26">
      <c r="B61" s="98"/>
      <c r="C61" s="98"/>
      <c r="D61" s="2"/>
      <c r="E61" s="2"/>
      <c r="F61" s="2"/>
      <c r="G61" s="2"/>
      <c r="H61" s="296"/>
      <c r="I61" s="2"/>
      <c r="J61" s="2"/>
      <c r="K61" s="2"/>
      <c r="L61" s="2"/>
      <c r="M61" s="2"/>
      <c r="N61" s="2"/>
      <c r="O61" s="2"/>
      <c r="P61" s="2"/>
      <c r="Q61" s="103"/>
      <c r="R61" s="103"/>
      <c r="S61" s="103"/>
      <c r="T61" s="103"/>
      <c r="U61" s="103"/>
      <c r="V61" s="103"/>
      <c r="W61" s="103"/>
      <c r="X61" s="103"/>
      <c r="Y61" s="103"/>
      <c r="Z61" s="2"/>
    </row>
    <row r="62" spans="2:26">
      <c r="B62" s="98"/>
      <c r="C62" s="98"/>
      <c r="D62" s="2"/>
      <c r="E62" s="2"/>
      <c r="F62" s="2"/>
      <c r="G62" s="2"/>
      <c r="H62" s="296"/>
      <c r="I62" s="2"/>
      <c r="J62" s="2"/>
      <c r="K62" s="2"/>
      <c r="L62" s="2"/>
      <c r="M62" s="2"/>
      <c r="N62" s="2"/>
      <c r="O62" s="2"/>
      <c r="P62" s="2"/>
      <c r="Q62" s="103"/>
      <c r="R62" s="103"/>
      <c r="S62" s="103"/>
      <c r="T62" s="103"/>
      <c r="U62" s="103"/>
      <c r="V62" s="103"/>
      <c r="W62" s="103"/>
      <c r="X62" s="103"/>
      <c r="Y62" s="103"/>
      <c r="Z62" s="2"/>
    </row>
    <row r="63" spans="2:26">
      <c r="B63" s="98"/>
      <c r="C63" s="98"/>
      <c r="D63" s="2"/>
      <c r="E63" s="2"/>
      <c r="F63" s="2"/>
      <c r="G63" s="2"/>
      <c r="H63" s="296"/>
      <c r="I63" s="2"/>
      <c r="J63" s="2"/>
      <c r="K63" s="2"/>
      <c r="L63" s="2"/>
      <c r="M63" s="2"/>
      <c r="N63" s="2"/>
      <c r="O63" s="2"/>
      <c r="P63" s="2"/>
      <c r="Q63" s="103"/>
      <c r="R63" s="103"/>
      <c r="S63" s="103"/>
      <c r="T63" s="103"/>
      <c r="U63" s="103"/>
      <c r="V63" s="103"/>
      <c r="W63" s="103"/>
      <c r="X63" s="103"/>
      <c r="Y63" s="103"/>
      <c r="Z63" s="2"/>
    </row>
    <row r="64" spans="2:26">
      <c r="B64" s="98"/>
      <c r="C64" s="98"/>
      <c r="D64" s="2"/>
      <c r="E64" s="2"/>
      <c r="F64" s="2"/>
      <c r="G64" s="2"/>
      <c r="H64" s="296"/>
      <c r="I64" s="2"/>
      <c r="J64" s="2"/>
      <c r="K64" s="2"/>
      <c r="L64" s="2"/>
      <c r="M64" s="2"/>
      <c r="N64" s="2"/>
      <c r="O64" s="2"/>
      <c r="P64" s="2"/>
      <c r="Q64" s="103"/>
      <c r="R64" s="103"/>
      <c r="S64" s="103"/>
      <c r="T64" s="103"/>
      <c r="U64" s="103"/>
      <c r="V64" s="103"/>
      <c r="W64" s="103"/>
      <c r="X64" s="103"/>
      <c r="Y64" s="103"/>
      <c r="Z64" s="2"/>
    </row>
    <row r="65" spans="2:26">
      <c r="B65" s="98"/>
      <c r="C65" s="98"/>
      <c r="D65" s="2"/>
      <c r="E65" s="2"/>
      <c r="F65" s="2"/>
      <c r="G65" s="2"/>
      <c r="H65" s="296"/>
      <c r="I65" s="2"/>
      <c r="J65" s="2"/>
      <c r="K65" s="2"/>
      <c r="L65" s="2"/>
      <c r="M65" s="2"/>
      <c r="N65" s="2"/>
      <c r="O65" s="2"/>
      <c r="P65" s="2"/>
      <c r="Q65" s="103"/>
      <c r="R65" s="103"/>
      <c r="S65" s="103"/>
      <c r="T65" s="103"/>
      <c r="U65" s="103"/>
      <c r="V65" s="103"/>
      <c r="W65" s="103"/>
      <c r="X65" s="103"/>
      <c r="Y65" s="103"/>
      <c r="Z65" s="2"/>
    </row>
    <row r="66" spans="2:26">
      <c r="B66" s="98"/>
      <c r="C66" s="98"/>
      <c r="D66" s="2"/>
      <c r="E66" s="2"/>
      <c r="F66" s="2"/>
      <c r="G66" s="2"/>
      <c r="H66" s="296"/>
      <c r="I66" s="2"/>
      <c r="J66" s="2"/>
      <c r="K66" s="2"/>
      <c r="L66" s="2"/>
      <c r="M66" s="2"/>
      <c r="N66" s="2"/>
      <c r="O66" s="2"/>
      <c r="P66" s="2"/>
      <c r="Q66" s="103"/>
      <c r="R66" s="103"/>
      <c r="S66" s="103"/>
      <c r="T66" s="103"/>
      <c r="U66" s="103"/>
      <c r="V66" s="103"/>
      <c r="W66" s="103"/>
      <c r="X66" s="103"/>
      <c r="Y66" s="103"/>
      <c r="Z66" s="2"/>
    </row>
    <row r="67" spans="2:26">
      <c r="B67" s="98"/>
      <c r="C67" s="98"/>
      <c r="D67" s="2"/>
      <c r="E67" s="2"/>
      <c r="F67" s="2"/>
      <c r="G67" s="2"/>
      <c r="H67" s="296"/>
      <c r="I67" s="2"/>
      <c r="J67" s="2"/>
      <c r="K67" s="2"/>
      <c r="L67" s="2"/>
      <c r="M67" s="2"/>
      <c r="N67" s="2"/>
      <c r="O67" s="2"/>
      <c r="P67" s="2"/>
      <c r="Q67" s="103"/>
      <c r="R67" s="103"/>
      <c r="S67" s="103"/>
      <c r="T67" s="103"/>
      <c r="U67" s="103"/>
      <c r="V67" s="103"/>
      <c r="W67" s="103"/>
      <c r="X67" s="103"/>
      <c r="Y67" s="103"/>
      <c r="Z67" s="2"/>
    </row>
    <row r="68" spans="2:26">
      <c r="B68" s="98"/>
      <c r="C68" s="98"/>
      <c r="D68" s="2"/>
      <c r="E68" s="2"/>
      <c r="F68" s="2"/>
      <c r="G68" s="2"/>
      <c r="H68" s="296"/>
      <c r="I68" s="2"/>
      <c r="J68" s="2"/>
      <c r="K68" s="2"/>
      <c r="L68" s="2"/>
      <c r="M68" s="2"/>
      <c r="N68" s="2"/>
      <c r="O68" s="2"/>
      <c r="P68" s="2"/>
      <c r="Q68" s="103"/>
      <c r="R68" s="103"/>
      <c r="S68" s="103"/>
      <c r="T68" s="103"/>
      <c r="U68" s="103"/>
      <c r="V68" s="103"/>
      <c r="W68" s="103"/>
      <c r="X68" s="103"/>
      <c r="Y68" s="103"/>
      <c r="Z68" s="2"/>
    </row>
    <row r="69" spans="2:26">
      <c r="B69" s="98"/>
      <c r="C69" s="98"/>
      <c r="D69" s="2"/>
      <c r="E69" s="2"/>
      <c r="F69" s="2"/>
      <c r="G69" s="2"/>
      <c r="H69" s="296"/>
      <c r="I69" s="2"/>
      <c r="J69" s="2"/>
      <c r="K69" s="2"/>
      <c r="L69" s="2"/>
      <c r="M69" s="2"/>
      <c r="N69" s="2"/>
      <c r="O69" s="2"/>
      <c r="P69" s="2"/>
      <c r="Q69" s="103"/>
      <c r="R69" s="103"/>
      <c r="S69" s="103"/>
      <c r="T69" s="103"/>
      <c r="U69" s="103"/>
      <c r="V69" s="103"/>
      <c r="W69" s="103"/>
      <c r="X69" s="103"/>
      <c r="Y69" s="103"/>
      <c r="Z69" s="2"/>
    </row>
    <row r="70" spans="2:26">
      <c r="B70" s="98"/>
      <c r="C70" s="98"/>
      <c r="D70" s="2"/>
      <c r="E70" s="2"/>
      <c r="F70" s="2"/>
      <c r="G70" s="2"/>
      <c r="H70" s="296"/>
      <c r="I70" s="2"/>
      <c r="J70" s="2"/>
      <c r="K70" s="2"/>
      <c r="L70" s="2"/>
      <c r="M70" s="2"/>
      <c r="N70" s="2"/>
      <c r="O70" s="2"/>
      <c r="P70" s="2"/>
      <c r="Q70" s="103"/>
      <c r="R70" s="103"/>
      <c r="S70" s="103"/>
      <c r="T70" s="103"/>
      <c r="U70" s="103"/>
      <c r="V70" s="103"/>
      <c r="W70" s="103"/>
      <c r="X70" s="103"/>
      <c r="Y70" s="103"/>
      <c r="Z70" s="2"/>
    </row>
    <row r="71" spans="2:26">
      <c r="B71" s="98"/>
      <c r="C71" s="98"/>
      <c r="D71" s="2"/>
      <c r="E71" s="2"/>
      <c r="F71" s="2"/>
      <c r="G71" s="2"/>
      <c r="H71" s="296"/>
      <c r="I71" s="2"/>
      <c r="J71" s="2"/>
      <c r="K71" s="2"/>
      <c r="L71" s="2"/>
      <c r="M71" s="2"/>
      <c r="N71" s="2"/>
      <c r="O71" s="2"/>
      <c r="P71" s="2"/>
      <c r="Q71" s="103"/>
      <c r="R71" s="103"/>
      <c r="S71" s="103"/>
      <c r="T71" s="103"/>
      <c r="U71" s="103"/>
      <c r="V71" s="103"/>
      <c r="W71" s="103"/>
      <c r="X71" s="103"/>
      <c r="Y71" s="103"/>
      <c r="Z71" s="2"/>
    </row>
    <row r="72" spans="2:26">
      <c r="B72" s="98"/>
      <c r="C72" s="98"/>
      <c r="D72" s="2"/>
      <c r="E72" s="2"/>
      <c r="F72" s="2"/>
      <c r="G72" s="2"/>
      <c r="H72" s="296"/>
      <c r="I72" s="2"/>
      <c r="J72" s="2"/>
      <c r="K72" s="2"/>
      <c r="L72" s="2"/>
      <c r="M72" s="2"/>
      <c r="N72" s="2"/>
      <c r="O72" s="2"/>
      <c r="P72" s="2"/>
      <c r="Q72" s="103"/>
      <c r="R72" s="103"/>
      <c r="S72" s="103"/>
      <c r="T72" s="103"/>
      <c r="U72" s="103"/>
      <c r="V72" s="103"/>
      <c r="W72" s="103"/>
      <c r="X72" s="103"/>
      <c r="Y72" s="103"/>
      <c r="Z72" s="2"/>
    </row>
    <row r="73" spans="2:26">
      <c r="B73" s="98"/>
      <c r="C73" s="98"/>
      <c r="D73" s="2"/>
      <c r="E73" s="2"/>
      <c r="F73" s="2"/>
      <c r="G73" s="2"/>
      <c r="H73" s="296"/>
      <c r="I73" s="2"/>
      <c r="J73" s="2"/>
      <c r="K73" s="2"/>
      <c r="L73" s="2"/>
      <c r="M73" s="2"/>
      <c r="N73" s="2"/>
      <c r="O73" s="2"/>
      <c r="P73" s="2"/>
      <c r="Q73" s="103"/>
      <c r="R73" s="103"/>
      <c r="S73" s="103"/>
      <c r="T73" s="103"/>
      <c r="U73" s="103"/>
      <c r="V73" s="103"/>
      <c r="W73" s="103"/>
      <c r="X73" s="103"/>
      <c r="Y73" s="103"/>
      <c r="Z73" s="2"/>
    </row>
    <row r="74" spans="2:26">
      <c r="B74" s="98"/>
      <c r="C74" s="98"/>
      <c r="D74" s="2"/>
      <c r="E74" s="2"/>
      <c r="F74" s="2"/>
      <c r="G74" s="2"/>
      <c r="H74" s="296"/>
      <c r="I74" s="2"/>
      <c r="J74" s="2"/>
      <c r="K74" s="2"/>
      <c r="L74" s="2"/>
      <c r="M74" s="2"/>
      <c r="N74" s="2"/>
      <c r="O74" s="2"/>
      <c r="P74" s="2"/>
      <c r="Q74" s="103"/>
      <c r="R74" s="103"/>
      <c r="S74" s="103"/>
      <c r="T74" s="103"/>
      <c r="U74" s="103"/>
      <c r="V74" s="103"/>
      <c r="W74" s="103"/>
      <c r="X74" s="103"/>
      <c r="Y74" s="103"/>
      <c r="Z74" s="2"/>
    </row>
    <row r="75" spans="2:26">
      <c r="B75" s="98"/>
      <c r="C75" s="98"/>
      <c r="D75" s="2"/>
      <c r="E75" s="2"/>
      <c r="F75" s="2"/>
      <c r="G75" s="2"/>
      <c r="H75" s="296"/>
      <c r="I75" s="2"/>
      <c r="J75" s="2"/>
      <c r="K75" s="2"/>
      <c r="L75" s="2"/>
      <c r="M75" s="2"/>
      <c r="N75" s="2"/>
      <c r="O75" s="2"/>
      <c r="P75" s="2"/>
      <c r="Q75" s="103"/>
      <c r="R75" s="103"/>
      <c r="S75" s="103"/>
      <c r="T75" s="103"/>
      <c r="U75" s="103"/>
      <c r="V75" s="103"/>
      <c r="W75" s="103"/>
      <c r="X75" s="103"/>
      <c r="Y75" s="103"/>
      <c r="Z75" s="2"/>
    </row>
    <row r="76" spans="2:26">
      <c r="B76" s="98"/>
      <c r="C76" s="98"/>
      <c r="D76" s="2"/>
      <c r="E76" s="2"/>
      <c r="F76" s="2"/>
      <c r="G76" s="2"/>
      <c r="H76" s="296"/>
      <c r="I76" s="2"/>
      <c r="J76" s="2"/>
      <c r="K76" s="2"/>
      <c r="L76" s="2"/>
      <c r="M76" s="2"/>
      <c r="N76" s="2"/>
      <c r="O76" s="2"/>
      <c r="P76" s="2"/>
      <c r="Q76" s="103"/>
      <c r="R76" s="103"/>
      <c r="S76" s="103"/>
      <c r="T76" s="103"/>
      <c r="U76" s="103"/>
      <c r="V76" s="103"/>
      <c r="W76" s="103"/>
      <c r="X76" s="103"/>
      <c r="Y76" s="103"/>
      <c r="Z76" s="2"/>
    </row>
    <row r="77" spans="2:26">
      <c r="B77" s="98"/>
      <c r="C77" s="98"/>
      <c r="D77" s="2"/>
      <c r="E77" s="2"/>
      <c r="F77" s="2"/>
      <c r="G77" s="2"/>
      <c r="H77" s="296"/>
      <c r="I77" s="2"/>
      <c r="J77" s="2"/>
      <c r="K77" s="2"/>
      <c r="L77" s="2"/>
      <c r="M77" s="2"/>
      <c r="N77" s="2"/>
      <c r="O77" s="2"/>
      <c r="P77" s="2"/>
      <c r="Q77" s="103"/>
      <c r="R77" s="103"/>
      <c r="S77" s="103"/>
      <c r="T77" s="103"/>
      <c r="U77" s="103"/>
      <c r="V77" s="103"/>
      <c r="W77" s="103"/>
      <c r="X77" s="103"/>
      <c r="Y77" s="103"/>
      <c r="Z77" s="2"/>
    </row>
    <row r="78" spans="2:26">
      <c r="B78" s="98"/>
      <c r="C78" s="98"/>
      <c r="D78" s="2"/>
      <c r="E78" s="2"/>
      <c r="F78" s="2"/>
      <c r="G78" s="2"/>
      <c r="H78" s="296"/>
      <c r="I78" s="2"/>
      <c r="J78" s="2"/>
      <c r="K78" s="2"/>
      <c r="L78" s="2"/>
      <c r="M78" s="2"/>
      <c r="N78" s="2"/>
      <c r="O78" s="2"/>
      <c r="P78" s="2"/>
      <c r="Q78" s="103"/>
      <c r="R78" s="103"/>
      <c r="S78" s="103"/>
      <c r="T78" s="103"/>
      <c r="U78" s="103"/>
      <c r="V78" s="103"/>
      <c r="W78" s="103"/>
      <c r="X78" s="103"/>
      <c r="Y78" s="103"/>
      <c r="Z78" s="2"/>
    </row>
    <row r="79" spans="2:26">
      <c r="B79" s="98"/>
      <c r="C79" s="98"/>
      <c r="D79" s="2"/>
      <c r="E79" s="2"/>
      <c r="F79" s="2"/>
      <c r="G79" s="2"/>
      <c r="H79" s="296"/>
      <c r="I79" s="2"/>
      <c r="J79" s="2"/>
      <c r="K79" s="2"/>
      <c r="L79" s="2"/>
      <c r="M79" s="2"/>
      <c r="N79" s="2"/>
      <c r="O79" s="2"/>
      <c r="P79" s="2"/>
      <c r="Q79" s="103"/>
      <c r="R79" s="103"/>
      <c r="S79" s="103"/>
      <c r="T79" s="103"/>
      <c r="U79" s="103"/>
      <c r="V79" s="103"/>
      <c r="W79" s="103"/>
      <c r="X79" s="103"/>
      <c r="Y79" s="103"/>
      <c r="Z79" s="2"/>
    </row>
    <row r="80" spans="2:26">
      <c r="B80" s="98"/>
      <c r="C80" s="98"/>
      <c r="D80" s="2"/>
      <c r="E80" s="2"/>
      <c r="F80" s="2"/>
      <c r="G80" s="2"/>
      <c r="H80" s="296"/>
      <c r="I80" s="2"/>
      <c r="J80" s="2"/>
      <c r="K80" s="2"/>
      <c r="L80" s="2"/>
      <c r="M80" s="2"/>
      <c r="N80" s="2"/>
      <c r="O80" s="2"/>
      <c r="P80" s="2"/>
      <c r="Q80" s="103"/>
      <c r="R80" s="103"/>
      <c r="S80" s="103"/>
      <c r="T80" s="103"/>
      <c r="U80" s="103"/>
      <c r="V80" s="103"/>
      <c r="W80" s="103"/>
      <c r="X80" s="103"/>
      <c r="Y80" s="103"/>
      <c r="Z80" s="2"/>
    </row>
    <row r="81" spans="2:26">
      <c r="B81" s="98"/>
      <c r="C81" s="98"/>
      <c r="D81" s="2"/>
      <c r="E81" s="2"/>
      <c r="F81" s="2"/>
      <c r="G81" s="2"/>
      <c r="H81" s="296"/>
      <c r="I81" s="2"/>
      <c r="J81" s="2"/>
      <c r="K81" s="2"/>
      <c r="L81" s="2"/>
      <c r="M81" s="2"/>
      <c r="N81" s="2"/>
      <c r="O81" s="2"/>
      <c r="P81" s="2"/>
      <c r="Q81" s="103"/>
      <c r="R81" s="103"/>
      <c r="S81" s="103"/>
      <c r="T81" s="103"/>
      <c r="U81" s="103"/>
      <c r="V81" s="103"/>
      <c r="W81" s="103"/>
      <c r="X81" s="103"/>
      <c r="Y81" s="103"/>
      <c r="Z81" s="2"/>
    </row>
    <row r="82" spans="2:26">
      <c r="B82" s="98"/>
      <c r="C82" s="98"/>
      <c r="D82" s="2"/>
      <c r="E82" s="2"/>
      <c r="F82" s="2"/>
      <c r="G82" s="2"/>
      <c r="H82" s="296"/>
      <c r="I82" s="2"/>
      <c r="J82" s="2"/>
      <c r="K82" s="2"/>
      <c r="L82" s="2"/>
      <c r="M82" s="2"/>
      <c r="N82" s="2"/>
      <c r="O82" s="2"/>
      <c r="P82" s="2"/>
      <c r="Q82" s="103"/>
      <c r="R82" s="103"/>
      <c r="S82" s="103"/>
      <c r="T82" s="103"/>
      <c r="U82" s="103"/>
      <c r="V82" s="103"/>
      <c r="W82" s="103"/>
      <c r="X82" s="103"/>
      <c r="Y82" s="103"/>
      <c r="Z82" s="2"/>
    </row>
    <row r="83" spans="2:26">
      <c r="B83" s="98"/>
      <c r="C83" s="98"/>
      <c r="D83" s="2"/>
      <c r="E83" s="2"/>
      <c r="F83" s="2"/>
      <c r="G83" s="2"/>
      <c r="H83" s="296"/>
      <c r="I83" s="2"/>
      <c r="J83" s="2"/>
      <c r="K83" s="2"/>
      <c r="L83" s="2"/>
      <c r="M83" s="2"/>
      <c r="N83" s="2"/>
      <c r="O83" s="2"/>
      <c r="P83" s="2"/>
      <c r="Q83" s="103"/>
      <c r="R83" s="103"/>
      <c r="S83" s="103"/>
      <c r="T83" s="103"/>
      <c r="U83" s="103"/>
      <c r="V83" s="103"/>
      <c r="W83" s="103"/>
      <c r="X83" s="103"/>
      <c r="Y83" s="103"/>
      <c r="Z83" s="2"/>
    </row>
    <row r="84" spans="2:26">
      <c r="B84" s="98"/>
      <c r="C84" s="98"/>
      <c r="D84" s="2"/>
      <c r="E84" s="2"/>
      <c r="F84" s="2"/>
      <c r="G84" s="2"/>
      <c r="H84" s="296"/>
      <c r="I84" s="2"/>
      <c r="J84" s="2"/>
      <c r="K84" s="2"/>
      <c r="L84" s="2"/>
      <c r="M84" s="2"/>
      <c r="N84" s="2"/>
      <c r="O84" s="2"/>
      <c r="P84" s="2"/>
      <c r="Q84" s="103"/>
      <c r="R84" s="103"/>
      <c r="S84" s="103"/>
      <c r="T84" s="103"/>
      <c r="U84" s="103"/>
      <c r="V84" s="103"/>
      <c r="W84" s="103"/>
      <c r="X84" s="103"/>
      <c r="Y84" s="103"/>
      <c r="Z84" s="2"/>
    </row>
    <row r="85" spans="2:26">
      <c r="B85" s="98"/>
      <c r="C85" s="98"/>
      <c r="D85" s="2"/>
      <c r="E85" s="2"/>
      <c r="F85" s="2"/>
      <c r="G85" s="2"/>
      <c r="H85" s="296"/>
      <c r="I85" s="2"/>
      <c r="J85" s="2"/>
      <c r="K85" s="2"/>
      <c r="L85" s="2"/>
      <c r="M85" s="2"/>
      <c r="N85" s="2"/>
      <c r="O85" s="2"/>
      <c r="P85" s="2"/>
      <c r="Q85" s="103"/>
      <c r="R85" s="103"/>
      <c r="S85" s="103"/>
      <c r="T85" s="103"/>
      <c r="U85" s="103"/>
      <c r="V85" s="103"/>
      <c r="W85" s="103"/>
      <c r="X85" s="103"/>
      <c r="Y85" s="103"/>
      <c r="Z85" s="2"/>
    </row>
    <row r="86" spans="2:26">
      <c r="B86" s="98"/>
      <c r="C86" s="98"/>
      <c r="D86" s="2"/>
      <c r="E86" s="2"/>
      <c r="F86" s="2"/>
      <c r="G86" s="2"/>
      <c r="H86" s="296"/>
      <c r="I86" s="2"/>
      <c r="J86" s="2"/>
      <c r="K86" s="2"/>
      <c r="L86" s="2"/>
      <c r="M86" s="2"/>
      <c r="N86" s="2"/>
      <c r="O86" s="2"/>
      <c r="P86" s="2"/>
      <c r="Q86" s="103"/>
      <c r="R86" s="103"/>
      <c r="S86" s="103"/>
      <c r="T86" s="103"/>
      <c r="U86" s="103"/>
      <c r="V86" s="103"/>
      <c r="W86" s="103"/>
      <c r="X86" s="103"/>
      <c r="Y86" s="103"/>
      <c r="Z86" s="2"/>
    </row>
    <row r="87" spans="2:26">
      <c r="B87" s="98"/>
      <c r="C87" s="98"/>
      <c r="D87" s="2"/>
      <c r="E87" s="2"/>
      <c r="F87" s="2"/>
      <c r="G87" s="2"/>
      <c r="H87" s="296"/>
      <c r="I87" s="2"/>
      <c r="J87" s="2"/>
      <c r="K87" s="2"/>
      <c r="L87" s="2"/>
      <c r="M87" s="2"/>
      <c r="N87" s="2"/>
      <c r="O87" s="2"/>
      <c r="P87" s="2"/>
      <c r="Q87" s="103"/>
      <c r="R87" s="103"/>
      <c r="S87" s="103"/>
      <c r="T87" s="103"/>
      <c r="U87" s="103"/>
      <c r="V87" s="103"/>
      <c r="W87" s="103"/>
      <c r="X87" s="103"/>
      <c r="Y87" s="103"/>
      <c r="Z87" s="2"/>
    </row>
    <row r="88" spans="2:26">
      <c r="B88" s="98"/>
      <c r="C88" s="98"/>
      <c r="D88" s="2"/>
      <c r="E88" s="2"/>
      <c r="F88" s="2"/>
      <c r="G88" s="2"/>
      <c r="H88" s="296"/>
      <c r="I88" s="2"/>
      <c r="J88" s="2"/>
      <c r="K88" s="2"/>
      <c r="L88" s="2"/>
      <c r="M88" s="2"/>
      <c r="N88" s="2"/>
      <c r="O88" s="2"/>
      <c r="P88" s="2"/>
      <c r="Q88" s="103"/>
      <c r="R88" s="103"/>
      <c r="S88" s="103"/>
      <c r="T88" s="103"/>
      <c r="U88" s="103"/>
      <c r="V88" s="103"/>
      <c r="W88" s="103"/>
      <c r="X88" s="103"/>
      <c r="Y88" s="103"/>
      <c r="Z88" s="2"/>
    </row>
    <row r="89" spans="2:26">
      <c r="B89" s="98"/>
      <c r="C89" s="98"/>
      <c r="D89" s="2"/>
      <c r="E89" s="2"/>
      <c r="F89" s="2"/>
      <c r="G89" s="2"/>
      <c r="H89" s="29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2:26">
      <c r="B90" s="98"/>
      <c r="C90" s="98"/>
      <c r="D90" s="2"/>
      <c r="E90" s="2"/>
      <c r="F90" s="2"/>
      <c r="G90" s="2"/>
      <c r="H90" s="29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2:26">
      <c r="B91" s="98"/>
      <c r="C91" s="98"/>
      <c r="D91" s="2"/>
      <c r="E91" s="2"/>
      <c r="F91" s="2"/>
      <c r="G91" s="2"/>
      <c r="H91" s="29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2:26">
      <c r="B92" s="98"/>
      <c r="C92" s="98"/>
      <c r="D92" s="2"/>
      <c r="E92" s="2"/>
      <c r="F92" s="2"/>
      <c r="G92" s="2"/>
      <c r="H92" s="29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2:26">
      <c r="B93" s="98"/>
      <c r="C93" s="98"/>
      <c r="D93" s="2"/>
      <c r="E93" s="2"/>
      <c r="F93" s="2"/>
      <c r="G93" s="2"/>
      <c r="H93" s="29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2:26">
      <c r="B94" s="98"/>
      <c r="C94" s="98"/>
      <c r="D94" s="2"/>
      <c r="E94" s="2"/>
      <c r="F94" s="2"/>
      <c r="G94" s="2"/>
      <c r="H94" s="29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2:26">
      <c r="B95" s="98"/>
      <c r="C95" s="98"/>
      <c r="D95" s="2"/>
      <c r="E95" s="2"/>
      <c r="F95" s="2"/>
      <c r="G95" s="2"/>
      <c r="H95" s="29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2:26">
      <c r="B96" s="98"/>
      <c r="C96" s="98"/>
      <c r="D96" s="2"/>
      <c r="E96" s="2"/>
      <c r="F96" s="2"/>
      <c r="G96" s="2"/>
      <c r="H96" s="29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2:26">
      <c r="B97" s="98"/>
      <c r="C97" s="98"/>
      <c r="D97" s="2"/>
      <c r="E97" s="2"/>
      <c r="F97" s="2"/>
      <c r="G97" s="2"/>
      <c r="H97" s="29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2:26">
      <c r="B98" s="98"/>
      <c r="C98" s="98"/>
      <c r="D98" s="2"/>
      <c r="E98" s="2"/>
      <c r="F98" s="2"/>
      <c r="G98" s="2"/>
      <c r="H98" s="29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autoFilter ref="B14:Z16">
    <filterColumn colId="5" showButton="0"/>
    <filterColumn colId="6" showButton="0"/>
  </autoFilter>
  <mergeCells count="23">
    <mergeCell ref="Z14:Z16"/>
    <mergeCell ref="R15:R16"/>
    <mergeCell ref="S15:S16"/>
    <mergeCell ref="T15:T16"/>
    <mergeCell ref="U15:U16"/>
    <mergeCell ref="X15:X16"/>
    <mergeCell ref="Y15:Y16"/>
    <mergeCell ref="W15:W16"/>
    <mergeCell ref="M14:M16"/>
    <mergeCell ref="N14:N16"/>
    <mergeCell ref="O14:O16"/>
    <mergeCell ref="P14:P16"/>
    <mergeCell ref="V15:V16"/>
    <mergeCell ref="Q14:Q16"/>
    <mergeCell ref="K14:K16"/>
    <mergeCell ref="L14:L16"/>
    <mergeCell ref="B14:B16"/>
    <mergeCell ref="C14:C16"/>
    <mergeCell ref="D14:D16"/>
    <mergeCell ref="F14:F16"/>
    <mergeCell ref="G14:I15"/>
    <mergeCell ref="J14:J16"/>
    <mergeCell ref="E14:E1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3"/>
  <dimension ref="A1:EE450"/>
  <sheetViews>
    <sheetView zoomScale="90" zoomScaleNormal="90" workbookViewId="0">
      <pane xSplit="2" ySplit="1" topLeftCell="M34" activePane="bottomRight" state="frozen"/>
      <selection activeCell="B1" sqref="B1"/>
      <selection pane="topRight" activeCell="C1" sqref="C1"/>
      <selection pane="bottomLeft" activeCell="B2" sqref="B2"/>
      <selection pane="bottomRight" activeCell="W45" sqref="W45"/>
    </sheetView>
  </sheetViews>
  <sheetFormatPr baseColWidth="10" defaultColWidth="9.140625" defaultRowHeight="15" outlineLevelCol="1"/>
  <cols>
    <col min="1" max="1" width="29.28515625" customWidth="1" outlineLevel="1"/>
    <col min="2" max="2" width="16.28515625" style="333" customWidth="1"/>
    <col min="3" max="3" width="9.85546875" bestFit="1" customWidth="1"/>
    <col min="4" max="4" width="5.42578125" customWidth="1"/>
    <col min="5" max="5" width="3.28515625" bestFit="1" customWidth="1"/>
    <col min="6" max="6" width="7.28515625" customWidth="1"/>
    <col min="7" max="7" width="16.28515625" style="3" bestFit="1" customWidth="1"/>
    <col min="8" max="8" width="8.28515625" bestFit="1" customWidth="1"/>
    <col min="9" max="9" width="8.28515625" style="3" customWidth="1"/>
    <col min="11" max="11" width="3.28515625" bestFit="1" customWidth="1" collapsed="1"/>
    <col min="12" max="13" width="3.28515625" bestFit="1" customWidth="1"/>
    <col min="14" max="14" width="8.7109375" bestFit="1" customWidth="1"/>
    <col min="15" max="16" width="6.140625" style="262" bestFit="1" customWidth="1"/>
    <col min="17" max="17" width="3.28515625" bestFit="1" customWidth="1"/>
    <col min="18" max="18" width="6.7109375" customWidth="1"/>
    <col min="19" max="20" width="3.85546875" bestFit="1" customWidth="1"/>
    <col min="21" max="21" width="3.28515625" bestFit="1" customWidth="1"/>
    <col min="22" max="22" width="5.7109375" bestFit="1" customWidth="1"/>
    <col min="23" max="23" width="22.5703125" style="296" customWidth="1"/>
    <col min="24" max="25" width="3.28515625" bestFit="1" customWidth="1"/>
    <col min="26" max="26" width="6.28515625" style="3" customWidth="1"/>
    <col min="27" max="27" width="7.5703125" style="3" customWidth="1"/>
    <col min="28" max="28" width="9.140625" style="276" customWidth="1"/>
    <col min="29" max="29" width="9.28515625" bestFit="1" customWidth="1"/>
    <col min="30" max="30" width="11" customWidth="1"/>
    <col min="31" max="36" width="3.28515625" bestFit="1" customWidth="1"/>
    <col min="37" max="37" width="3.28515625" style="3" customWidth="1"/>
    <col min="38" max="38" width="3.28515625" style="530" customWidth="1"/>
    <col min="39" max="39" width="11.42578125" customWidth="1"/>
    <col min="40" max="40" width="17" customWidth="1"/>
    <col min="41" max="41" width="30.42578125" style="2" customWidth="1"/>
    <col min="42" max="42" width="10.5703125" customWidth="1"/>
    <col min="43" max="43" width="15.140625" style="178" customWidth="1"/>
    <col min="44" max="44" width="10.28515625" bestFit="1" customWidth="1"/>
    <col min="45" max="45" width="7.7109375" bestFit="1" customWidth="1"/>
    <col min="46" max="46" width="16.140625" customWidth="1"/>
    <col min="47" max="47" width="12.28515625" customWidth="1"/>
    <col min="48" max="48" width="15.7109375" customWidth="1"/>
    <col min="49" max="49" width="10.28515625" customWidth="1"/>
    <col min="50" max="50" width="14.85546875" style="178" customWidth="1"/>
    <col min="51" max="51" width="4.140625" bestFit="1" customWidth="1"/>
    <col min="52" max="52" width="6" bestFit="1" customWidth="1"/>
    <col min="53" max="53" width="17.140625" customWidth="1"/>
    <col min="54" max="54" width="10.28515625" customWidth="1"/>
    <col min="55" max="55" width="16.28515625" customWidth="1"/>
    <col min="56" max="56" width="7.85546875" bestFit="1" customWidth="1"/>
    <col min="57" max="57" width="10.5703125" customWidth="1"/>
    <col min="58" max="58" width="11.85546875" customWidth="1"/>
    <col min="59" max="59" width="8.140625" bestFit="1" customWidth="1"/>
    <col min="60" max="60" width="7.5703125" bestFit="1" customWidth="1"/>
    <col min="61" max="61" width="6.42578125" bestFit="1" customWidth="1"/>
    <col min="62" max="62" width="31.28515625" bestFit="1" customWidth="1"/>
    <col min="63" max="64" width="15.140625" bestFit="1" customWidth="1"/>
    <col min="65" max="65" width="15.28515625" bestFit="1" customWidth="1"/>
    <col min="66" max="66" width="15" bestFit="1" customWidth="1"/>
    <col min="67" max="67" width="15.28515625" bestFit="1" customWidth="1"/>
    <col min="68" max="68" width="15" bestFit="1" customWidth="1"/>
  </cols>
  <sheetData>
    <row r="1" spans="1:135" s="163" customFormat="1" ht="156.75" customHeight="1">
      <c r="A1" s="31"/>
      <c r="B1" s="317" t="s">
        <v>27</v>
      </c>
      <c r="C1" s="19" t="s">
        <v>569</v>
      </c>
      <c r="D1" s="22" t="s">
        <v>28</v>
      </c>
      <c r="E1" s="20" t="s">
        <v>570</v>
      </c>
      <c r="F1" s="41" t="s">
        <v>552</v>
      </c>
      <c r="G1" s="249" t="s">
        <v>2609</v>
      </c>
      <c r="H1" s="19" t="s">
        <v>29</v>
      </c>
      <c r="I1" s="19" t="s">
        <v>2643</v>
      </c>
      <c r="J1" s="509" t="s">
        <v>2644</v>
      </c>
      <c r="K1" s="21" t="s">
        <v>571</v>
      </c>
      <c r="L1" s="21" t="s">
        <v>572</v>
      </c>
      <c r="M1" s="22" t="s">
        <v>2610</v>
      </c>
      <c r="N1" s="19" t="s">
        <v>573</v>
      </c>
      <c r="O1" s="258" t="s">
        <v>574</v>
      </c>
      <c r="P1" s="259" t="s">
        <v>575</v>
      </c>
      <c r="Q1" s="162" t="s">
        <v>554</v>
      </c>
      <c r="R1" s="23" t="s">
        <v>576</v>
      </c>
      <c r="S1" s="79" t="s">
        <v>1112</v>
      </c>
      <c r="T1" s="79" t="s">
        <v>1113</v>
      </c>
      <c r="U1" s="24" t="s">
        <v>577</v>
      </c>
      <c r="V1" s="23" t="s">
        <v>2611</v>
      </c>
      <c r="W1" s="23" t="s">
        <v>560</v>
      </c>
      <c r="X1" s="24" t="s">
        <v>578</v>
      </c>
      <c r="Y1" s="23" t="s">
        <v>579</v>
      </c>
      <c r="Z1" s="23" t="s">
        <v>580</v>
      </c>
      <c r="AA1" s="23" t="s">
        <v>581</v>
      </c>
      <c r="AB1" s="80" t="s">
        <v>31</v>
      </c>
      <c r="AC1" s="80" t="s">
        <v>32</v>
      </c>
      <c r="AD1" s="80" t="s">
        <v>33</v>
      </c>
      <c r="AE1" s="80" t="s">
        <v>30</v>
      </c>
      <c r="AF1" s="80" t="s">
        <v>564</v>
      </c>
      <c r="AG1" s="80" t="s">
        <v>565</v>
      </c>
      <c r="AH1" s="80" t="s">
        <v>566</v>
      </c>
      <c r="AI1" s="80"/>
      <c r="AJ1" s="451" t="s">
        <v>568</v>
      </c>
      <c r="AK1" s="514" t="s">
        <v>2646</v>
      </c>
      <c r="AL1" s="524"/>
      <c r="AM1" s="28" t="s">
        <v>12</v>
      </c>
      <c r="AN1" s="28" t="s">
        <v>13</v>
      </c>
      <c r="AO1" s="28" t="s">
        <v>356</v>
      </c>
      <c r="AP1" s="28" t="s">
        <v>14</v>
      </c>
      <c r="AQ1" s="36" t="s">
        <v>7</v>
      </c>
      <c r="AR1" s="28" t="s">
        <v>15</v>
      </c>
      <c r="AS1" s="28" t="s">
        <v>8</v>
      </c>
      <c r="AT1" s="28" t="s">
        <v>16</v>
      </c>
      <c r="AU1" s="28" t="s">
        <v>17</v>
      </c>
      <c r="AV1" s="28" t="s">
        <v>356</v>
      </c>
      <c r="AW1" s="28" t="s">
        <v>18</v>
      </c>
      <c r="AX1" s="37" t="s">
        <v>7</v>
      </c>
      <c r="AY1" s="28" t="s">
        <v>15</v>
      </c>
      <c r="AZ1" s="28" t="s">
        <v>8</v>
      </c>
      <c r="BA1" s="28" t="s">
        <v>16</v>
      </c>
      <c r="BB1" s="28" t="s">
        <v>17</v>
      </c>
      <c r="BC1" s="28" t="s">
        <v>19</v>
      </c>
      <c r="BD1" s="28" t="s">
        <v>1737</v>
      </c>
      <c r="BE1" s="28" t="s">
        <v>20</v>
      </c>
      <c r="BF1" s="28" t="s">
        <v>21</v>
      </c>
      <c r="BG1" s="451" t="s">
        <v>2612</v>
      </c>
      <c r="BH1" s="28" t="s">
        <v>9</v>
      </c>
      <c r="BI1" s="28" t="s">
        <v>23</v>
      </c>
      <c r="BJ1" s="28" t="s">
        <v>24</v>
      </c>
      <c r="BK1" s="28" t="s">
        <v>0</v>
      </c>
      <c r="BL1" s="28" t="s">
        <v>2</v>
      </c>
      <c r="BM1" s="28" t="s">
        <v>3</v>
      </c>
      <c r="BN1" s="28" t="s">
        <v>4</v>
      </c>
      <c r="BO1" s="28" t="s">
        <v>5</v>
      </c>
      <c r="BP1" s="28" t="s">
        <v>6</v>
      </c>
      <c r="BQ1" s="28" t="s">
        <v>35</v>
      </c>
      <c r="BR1" s="28" t="s">
        <v>36</v>
      </c>
      <c r="BS1" s="28" t="s">
        <v>37</v>
      </c>
      <c r="BT1" s="28" t="s">
        <v>38</v>
      </c>
      <c r="BU1" s="28" t="s">
        <v>39</v>
      </c>
      <c r="BV1" s="28" t="s">
        <v>40</v>
      </c>
      <c r="BW1" s="28" t="s">
        <v>41</v>
      </c>
      <c r="BX1" s="28" t="s">
        <v>42</v>
      </c>
      <c r="BY1" s="28" t="s">
        <v>43</v>
      </c>
      <c r="BZ1" s="28" t="s">
        <v>44</v>
      </c>
      <c r="CA1" s="28" t="s">
        <v>45</v>
      </c>
      <c r="CB1" s="28" t="s">
        <v>46</v>
      </c>
      <c r="CC1" s="28" t="s">
        <v>47</v>
      </c>
      <c r="CD1" s="28" t="s">
        <v>48</v>
      </c>
      <c r="CE1" s="28" t="s">
        <v>49</v>
      </c>
      <c r="CF1" s="28" t="s">
        <v>50</v>
      </c>
      <c r="CG1" s="28" t="s">
        <v>51</v>
      </c>
      <c r="CH1" s="28" t="s">
        <v>52</v>
      </c>
      <c r="CI1" s="28" t="s">
        <v>53</v>
      </c>
      <c r="CJ1" s="28" t="s">
        <v>54</v>
      </c>
      <c r="CK1" s="28" t="s">
        <v>55</v>
      </c>
      <c r="CL1" s="28" t="s">
        <v>56</v>
      </c>
      <c r="CM1" s="28" t="s">
        <v>57</v>
      </c>
      <c r="CN1" s="28" t="s">
        <v>58</v>
      </c>
      <c r="CO1" s="28" t="s">
        <v>59</v>
      </c>
      <c r="CP1" s="28" t="s">
        <v>60</v>
      </c>
      <c r="CQ1" s="28" t="s">
        <v>190</v>
      </c>
      <c r="CR1" s="28" t="s">
        <v>191</v>
      </c>
      <c r="CS1" s="28" t="s">
        <v>192</v>
      </c>
      <c r="CT1" s="28" t="s">
        <v>193</v>
      </c>
      <c r="CU1" s="28" t="s">
        <v>194</v>
      </c>
      <c r="CV1" s="28" t="s">
        <v>195</v>
      </c>
      <c r="CW1" s="28" t="s">
        <v>196</v>
      </c>
      <c r="CX1" s="28" t="s">
        <v>197</v>
      </c>
      <c r="CY1" s="28" t="s">
        <v>198</v>
      </c>
      <c r="CZ1" s="28" t="s">
        <v>199</v>
      </c>
      <c r="DA1" s="28" t="s">
        <v>200</v>
      </c>
      <c r="DB1" s="28" t="s">
        <v>201</v>
      </c>
      <c r="DC1" s="28" t="s">
        <v>202</v>
      </c>
      <c r="DD1" s="28" t="s">
        <v>203</v>
      </c>
      <c r="DE1" s="28" t="s">
        <v>204</v>
      </c>
      <c r="DF1" s="28" t="s">
        <v>205</v>
      </c>
      <c r="DG1" s="28" t="s">
        <v>206</v>
      </c>
      <c r="DH1" s="28" t="s">
        <v>207</v>
      </c>
      <c r="DI1" s="28" t="s">
        <v>208</v>
      </c>
      <c r="DJ1" s="28" t="s">
        <v>209</v>
      </c>
      <c r="DK1" s="28" t="s">
        <v>210</v>
      </c>
      <c r="DL1" s="28" t="s">
        <v>211</v>
      </c>
      <c r="DM1" s="28" t="s">
        <v>212</v>
      </c>
      <c r="DN1" s="28" t="s">
        <v>213</v>
      </c>
      <c r="DO1" s="28" t="s">
        <v>214</v>
      </c>
      <c r="DP1" s="28" t="s">
        <v>215</v>
      </c>
      <c r="DQ1" s="28" t="s">
        <v>216</v>
      </c>
      <c r="DR1" s="28" t="s">
        <v>217</v>
      </c>
      <c r="DS1" s="31"/>
      <c r="DT1" s="31"/>
    </row>
    <row r="2" spans="1:135" s="35" customFormat="1" ht="16.5">
      <c r="A2" s="35" t="str">
        <f xml:space="preserve"> AQ2 &amp; REPT(" ",20-LEN(AQ2)) &amp; AX2</f>
        <v xml:space="preserve">                    </v>
      </c>
      <c r="B2" s="331"/>
      <c r="D2" s="277"/>
      <c r="E2" s="278"/>
      <c r="F2" s="278"/>
      <c r="G2" s="278"/>
      <c r="H2" s="279"/>
      <c r="I2" s="279"/>
      <c r="K2" s="278"/>
      <c r="L2" s="278"/>
      <c r="M2" s="278"/>
      <c r="N2" s="278"/>
      <c r="O2" s="280"/>
      <c r="P2" s="280"/>
      <c r="Q2" s="278"/>
      <c r="R2" s="281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523">
        <v>1</v>
      </c>
      <c r="AM2" s="35" t="s">
        <v>407</v>
      </c>
      <c r="AQ2" s="34"/>
      <c r="AX2" s="34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8"/>
      <c r="CR2" s="248"/>
      <c r="CS2" s="248"/>
      <c r="CT2" s="248"/>
      <c r="CU2" s="248"/>
      <c r="CV2" s="248"/>
      <c r="CW2" s="248"/>
      <c r="CX2" s="248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48"/>
      <c r="DR2" s="248"/>
      <c r="DS2" s="248"/>
      <c r="DT2" s="248"/>
      <c r="DU2" s="248"/>
      <c r="DV2" s="248"/>
      <c r="DW2" s="248"/>
      <c r="DX2" s="248"/>
      <c r="DY2" s="248"/>
      <c r="DZ2" s="248"/>
      <c r="EA2" s="248"/>
      <c r="EB2" s="248"/>
      <c r="EC2" s="248"/>
      <c r="ED2" s="248"/>
      <c r="EE2" s="248"/>
    </row>
    <row r="3" spans="1:135" s="35" customFormat="1" ht="16.5">
      <c r="A3" s="35" t="str">
        <f xml:space="preserve"> AQ3 &amp; REPT(" ",20-LEN(AQ3)) &amp; AX3</f>
        <v xml:space="preserve">~                   </v>
      </c>
      <c r="B3" s="331"/>
      <c r="D3" s="283"/>
      <c r="E3" s="278"/>
      <c r="F3" s="278"/>
      <c r="G3" s="278"/>
      <c r="H3" s="279"/>
      <c r="I3" s="279"/>
      <c r="K3" s="278"/>
      <c r="L3" s="278"/>
      <c r="M3" s="278"/>
      <c r="N3" s="278"/>
      <c r="O3" s="280"/>
      <c r="P3" s="280"/>
      <c r="Q3" s="278"/>
      <c r="R3" s="281"/>
      <c r="S3" s="278"/>
      <c r="T3" s="278"/>
      <c r="U3" s="278"/>
      <c r="V3" s="278"/>
      <c r="W3" s="278"/>
      <c r="X3" s="278"/>
      <c r="Y3" s="278"/>
      <c r="Z3" s="510"/>
      <c r="AA3" s="510"/>
      <c r="AB3" s="510"/>
      <c r="AC3" s="287">
        <v>1</v>
      </c>
      <c r="AD3" s="287"/>
      <c r="AE3" s="287"/>
      <c r="AF3" s="287"/>
      <c r="AG3" s="287"/>
      <c r="AH3" s="287"/>
      <c r="AI3" s="287"/>
      <c r="AJ3" s="278"/>
      <c r="AK3" s="510"/>
      <c r="AL3" s="523">
        <v>2</v>
      </c>
      <c r="AM3" s="35" t="s">
        <v>0</v>
      </c>
      <c r="AN3" s="35" t="s">
        <v>2374</v>
      </c>
      <c r="AO3" s="35" t="s">
        <v>1356</v>
      </c>
      <c r="AP3" s="35" t="s">
        <v>2378</v>
      </c>
      <c r="AQ3" s="34" t="s">
        <v>1</v>
      </c>
      <c r="AR3" s="35" t="s">
        <v>2544</v>
      </c>
      <c r="AS3" s="35" t="s">
        <v>11</v>
      </c>
      <c r="AX3" s="34"/>
    </row>
    <row r="4" spans="1:135" s="35" customFormat="1" ht="16.5">
      <c r="B4" s="367"/>
      <c r="D4" s="283"/>
      <c r="E4" s="278"/>
      <c r="F4" s="278"/>
      <c r="G4" s="278"/>
      <c r="H4" s="279"/>
      <c r="I4" s="279"/>
      <c r="K4" s="278"/>
      <c r="L4" s="278"/>
      <c r="M4" s="278"/>
      <c r="N4" s="278"/>
      <c r="O4" s="280"/>
      <c r="P4" s="280"/>
      <c r="Q4" s="278"/>
      <c r="R4" s="281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87">
        <v>1</v>
      </c>
      <c r="AD4" s="287"/>
      <c r="AE4" s="287"/>
      <c r="AF4" s="287"/>
      <c r="AG4" s="287"/>
      <c r="AH4" s="287"/>
      <c r="AI4" s="287"/>
      <c r="AJ4" s="278"/>
      <c r="AK4" s="278"/>
      <c r="AL4" s="523">
        <v>2</v>
      </c>
      <c r="AM4" s="35" t="s">
        <v>2</v>
      </c>
      <c r="AN4" s="35" t="s">
        <v>2492</v>
      </c>
      <c r="AO4" s="35" t="s">
        <v>1356</v>
      </c>
      <c r="AP4" s="35" t="s">
        <v>2493</v>
      </c>
      <c r="AQ4" s="34" t="s">
        <v>1</v>
      </c>
      <c r="AR4" s="35" t="s">
        <v>2560</v>
      </c>
      <c r="AS4" s="35" t="s">
        <v>11</v>
      </c>
      <c r="AX4" s="34"/>
    </row>
    <row r="5" spans="1:135" s="35" customFormat="1" ht="16.5">
      <c r="A5" s="35" t="str">
        <f t="shared" ref="A5:A36" si="0" xml:space="preserve"> AQ5 &amp; REPT(" ",20-LEN(AQ5)) &amp; AX5</f>
        <v>Kurzname            Kurzname</v>
      </c>
      <c r="B5" s="331"/>
      <c r="D5" s="283"/>
      <c r="E5" s="278"/>
      <c r="F5" s="278"/>
      <c r="G5" s="278"/>
      <c r="H5" s="279"/>
      <c r="I5" s="279"/>
      <c r="K5" s="278"/>
      <c r="L5" s="278"/>
      <c r="M5" s="278"/>
      <c r="N5" s="278"/>
      <c r="O5" s="280"/>
      <c r="P5" s="280"/>
      <c r="Q5" s="278"/>
      <c r="R5" s="281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523">
        <v>0</v>
      </c>
      <c r="AM5" s="35" t="s">
        <v>12</v>
      </c>
      <c r="AN5" s="35" t="s">
        <v>13</v>
      </c>
      <c r="AO5" s="35" t="s">
        <v>356</v>
      </c>
      <c r="AP5" s="35" t="s">
        <v>14</v>
      </c>
      <c r="AQ5" s="34" t="s">
        <v>7</v>
      </c>
      <c r="AR5" s="35" t="s">
        <v>15</v>
      </c>
      <c r="AS5" s="35" t="s">
        <v>8</v>
      </c>
      <c r="AT5" s="35" t="s">
        <v>16</v>
      </c>
      <c r="AU5" s="35" t="s">
        <v>17</v>
      </c>
      <c r="AV5" s="35" t="s">
        <v>356</v>
      </c>
      <c r="AW5" s="35" t="s">
        <v>18</v>
      </c>
      <c r="AX5" s="34" t="s">
        <v>7</v>
      </c>
      <c r="AY5" s="35" t="s">
        <v>15</v>
      </c>
      <c r="AZ5" s="35" t="s">
        <v>8</v>
      </c>
      <c r="BA5" s="35" t="s">
        <v>16</v>
      </c>
      <c r="BB5" s="35" t="s">
        <v>17</v>
      </c>
      <c r="BC5" s="35" t="s">
        <v>19</v>
      </c>
      <c r="BD5" s="35" t="s">
        <v>1737</v>
      </c>
      <c r="BE5" s="35" t="s">
        <v>20</v>
      </c>
      <c r="BF5" s="35" t="s">
        <v>21</v>
      </c>
      <c r="BG5" s="35" t="s">
        <v>22</v>
      </c>
      <c r="BH5" s="35" t="s">
        <v>9</v>
      </c>
      <c r="BI5" s="35" t="s">
        <v>23</v>
      </c>
      <c r="BJ5" s="35" t="s">
        <v>24</v>
      </c>
      <c r="BK5" s="35" t="s">
        <v>0</v>
      </c>
      <c r="BL5" s="35" t="s">
        <v>2</v>
      </c>
      <c r="BM5" s="35" t="s">
        <v>12</v>
      </c>
    </row>
    <row r="6" spans="1:135" s="35" customFormat="1" ht="16.5">
      <c r="A6" s="35" t="str">
        <f t="shared" si="0"/>
        <v>MIB_I               KI_B</v>
      </c>
      <c r="B6" s="331"/>
      <c r="C6" s="248">
        <v>1</v>
      </c>
      <c r="D6" s="283" t="s">
        <v>605</v>
      </c>
      <c r="E6" s="283"/>
      <c r="F6" s="35" t="s">
        <v>1086</v>
      </c>
      <c r="L6" s="278"/>
      <c r="M6" s="278"/>
      <c r="N6" s="278"/>
      <c r="O6" s="34" t="s">
        <v>1086</v>
      </c>
      <c r="P6" s="34" t="s">
        <v>1086</v>
      </c>
      <c r="Q6" s="279"/>
      <c r="R6" s="104"/>
      <c r="S6" s="278"/>
      <c r="T6" s="278"/>
      <c r="U6" s="278"/>
      <c r="V6" s="278"/>
      <c r="W6" s="279">
        <v>980015855</v>
      </c>
      <c r="X6" s="278"/>
      <c r="Y6" s="278"/>
      <c r="Z6" s="278"/>
      <c r="AA6" s="278"/>
      <c r="AB6" s="279" t="s">
        <v>1114</v>
      </c>
      <c r="AC6" s="279"/>
      <c r="AD6" s="279"/>
      <c r="AE6" s="279"/>
      <c r="AF6" s="279"/>
      <c r="AG6" s="279"/>
      <c r="AH6" s="279"/>
      <c r="AJ6" s="279" t="s">
        <v>1117</v>
      </c>
      <c r="AK6" s="279"/>
      <c r="AL6" s="523">
        <v>3</v>
      </c>
      <c r="AM6" s="35">
        <v>1</v>
      </c>
      <c r="AN6" s="35" t="s">
        <v>1357</v>
      </c>
      <c r="AO6" s="35" t="s">
        <v>920</v>
      </c>
      <c r="AP6" s="35" t="s">
        <v>1259</v>
      </c>
      <c r="AQ6" s="34" t="s">
        <v>2253</v>
      </c>
      <c r="AR6" s="35">
        <v>4</v>
      </c>
      <c r="AS6" s="35" t="s">
        <v>1738</v>
      </c>
      <c r="AT6" s="35" t="s">
        <v>1358</v>
      </c>
      <c r="AU6" s="35" t="s">
        <v>10</v>
      </c>
      <c r="AV6" s="35" t="s">
        <v>896</v>
      </c>
      <c r="AW6" s="35" t="s">
        <v>621</v>
      </c>
      <c r="AX6" s="34" t="s">
        <v>2303</v>
      </c>
      <c r="AY6" s="35">
        <v>1</v>
      </c>
      <c r="AZ6" s="35" t="s">
        <v>414</v>
      </c>
      <c r="BA6" s="35" t="s">
        <v>1358</v>
      </c>
      <c r="BB6" s="35" t="s">
        <v>10</v>
      </c>
      <c r="BC6" s="35" t="s">
        <v>225</v>
      </c>
      <c r="BD6" s="35" t="s">
        <v>1739</v>
      </c>
      <c r="BE6" s="35" t="s">
        <v>622</v>
      </c>
      <c r="BF6" s="35" t="s">
        <v>152</v>
      </c>
      <c r="BG6" s="35">
        <v>1213</v>
      </c>
      <c r="BH6" s="35" t="s">
        <v>25</v>
      </c>
      <c r="BI6" s="35">
        <v>0.14000000000000001</v>
      </c>
      <c r="BJ6" s="35" t="s">
        <v>1359</v>
      </c>
      <c r="BK6" s="35" t="s">
        <v>2374</v>
      </c>
      <c r="BL6" s="35" t="s">
        <v>2492</v>
      </c>
      <c r="BM6" s="35">
        <v>1</v>
      </c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8"/>
      <c r="CL6" s="248"/>
      <c r="CM6" s="248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8"/>
      <c r="DD6" s="248"/>
      <c r="DE6" s="248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8"/>
      <c r="DV6" s="248"/>
      <c r="DW6" s="248"/>
      <c r="DX6" s="248"/>
      <c r="DY6" s="248"/>
      <c r="DZ6" s="248"/>
      <c r="EA6" s="248"/>
      <c r="EB6" s="248"/>
      <c r="EC6" s="248"/>
      <c r="ED6" s="248"/>
      <c r="EE6" s="248"/>
    </row>
    <row r="7" spans="1:135" s="35" customFormat="1" ht="16.5">
      <c r="A7" s="35" t="str">
        <f t="shared" si="0"/>
        <v>MIB_I               KI_B</v>
      </c>
      <c r="B7" s="331"/>
      <c r="C7" s="248">
        <v>2</v>
      </c>
      <c r="D7" s="283" t="s">
        <v>605</v>
      </c>
      <c r="E7" s="283"/>
      <c r="F7" s="35" t="s">
        <v>1086</v>
      </c>
      <c r="L7" s="278"/>
      <c r="M7" s="278"/>
      <c r="N7" s="278"/>
      <c r="O7" s="34" t="s">
        <v>1086</v>
      </c>
      <c r="P7" s="34" t="s">
        <v>1086</v>
      </c>
      <c r="Q7" s="279"/>
      <c r="R7" s="104"/>
      <c r="S7" s="278"/>
      <c r="T7" s="278"/>
      <c r="U7" s="278"/>
      <c r="V7" s="278"/>
      <c r="W7" s="279">
        <v>980015855</v>
      </c>
      <c r="X7" s="278"/>
      <c r="Y7" s="278"/>
      <c r="Z7" s="278"/>
      <c r="AA7" s="278"/>
      <c r="AB7" s="279" t="s">
        <v>1114</v>
      </c>
      <c r="AC7" s="279"/>
      <c r="AD7" s="279"/>
      <c r="AE7" s="279"/>
      <c r="AF7" s="279"/>
      <c r="AG7" s="279"/>
      <c r="AH7" s="279"/>
      <c r="AJ7" s="279" t="s">
        <v>1117</v>
      </c>
      <c r="AK7" s="279"/>
      <c r="AL7" s="523">
        <v>3</v>
      </c>
      <c r="AM7" s="35">
        <v>2</v>
      </c>
      <c r="AN7" s="35" t="s">
        <v>1360</v>
      </c>
      <c r="AO7" s="35" t="s">
        <v>920</v>
      </c>
      <c r="AP7" s="35" t="s">
        <v>1259</v>
      </c>
      <c r="AQ7" s="34" t="s">
        <v>2253</v>
      </c>
      <c r="AR7" s="35">
        <v>3</v>
      </c>
      <c r="AS7" s="35" t="s">
        <v>1738</v>
      </c>
      <c r="AT7" s="35" t="s">
        <v>1358</v>
      </c>
      <c r="AU7" s="35" t="s">
        <v>10</v>
      </c>
      <c r="AV7" s="35" t="s">
        <v>896</v>
      </c>
      <c r="AW7" s="35" t="s">
        <v>621</v>
      </c>
      <c r="AX7" s="34" t="s">
        <v>2303</v>
      </c>
      <c r="AY7" s="35">
        <v>2</v>
      </c>
      <c r="AZ7" s="35" t="s">
        <v>414</v>
      </c>
      <c r="BA7" s="35" t="s">
        <v>1358</v>
      </c>
      <c r="BB7" s="35" t="s">
        <v>10</v>
      </c>
      <c r="BC7" s="35" t="s">
        <v>225</v>
      </c>
      <c r="BD7" s="35" t="s">
        <v>1739</v>
      </c>
      <c r="BE7" s="35" t="s">
        <v>622</v>
      </c>
      <c r="BF7" s="35" t="s">
        <v>149</v>
      </c>
      <c r="BG7" s="35">
        <v>1213</v>
      </c>
      <c r="BH7" s="35" t="s">
        <v>66</v>
      </c>
      <c r="BI7" s="35">
        <v>0.14000000000000001</v>
      </c>
      <c r="BJ7" s="35" t="s">
        <v>1361</v>
      </c>
      <c r="BK7" s="35" t="s">
        <v>2374</v>
      </c>
      <c r="BL7" s="35" t="s">
        <v>2492</v>
      </c>
      <c r="BM7" s="35">
        <v>2</v>
      </c>
      <c r="BW7" s="248"/>
      <c r="BX7" s="248"/>
      <c r="BY7" s="248"/>
      <c r="BZ7" s="248"/>
      <c r="CA7" s="248"/>
      <c r="CB7" s="248"/>
      <c r="CC7" s="248"/>
      <c r="CD7" s="248"/>
      <c r="CE7" s="248"/>
      <c r="CF7" s="248"/>
      <c r="CG7" s="248"/>
      <c r="CH7" s="248"/>
      <c r="CI7" s="248"/>
      <c r="CJ7" s="248"/>
      <c r="CK7" s="248"/>
      <c r="CL7" s="248"/>
      <c r="CM7" s="248"/>
      <c r="CN7" s="248"/>
      <c r="CO7" s="248"/>
      <c r="CP7" s="248"/>
      <c r="CQ7" s="248"/>
      <c r="CR7" s="248"/>
      <c r="CS7" s="248"/>
      <c r="CT7" s="248"/>
      <c r="CU7" s="248"/>
      <c r="CV7" s="248"/>
      <c r="CW7" s="248"/>
      <c r="CX7" s="248"/>
      <c r="CY7" s="248"/>
      <c r="CZ7" s="248"/>
      <c r="DA7" s="248"/>
      <c r="DB7" s="248"/>
      <c r="DC7" s="248"/>
      <c r="DD7" s="248"/>
      <c r="DE7" s="248"/>
      <c r="DF7" s="248"/>
      <c r="DG7" s="248"/>
      <c r="DH7" s="248"/>
      <c r="DI7" s="248"/>
      <c r="DJ7" s="248"/>
      <c r="DK7" s="248"/>
      <c r="DL7" s="248"/>
      <c r="DM7" s="248"/>
      <c r="DN7" s="248"/>
      <c r="DO7" s="248"/>
      <c r="DP7" s="248"/>
      <c r="DQ7" s="248"/>
      <c r="DR7" s="248"/>
      <c r="DS7" s="248"/>
      <c r="DT7" s="248"/>
      <c r="DU7" s="248"/>
      <c r="DV7" s="248"/>
      <c r="DW7" s="248"/>
      <c r="DX7" s="248"/>
      <c r="DY7" s="248"/>
      <c r="DZ7" s="248"/>
      <c r="EA7" s="248"/>
      <c r="EB7" s="248"/>
      <c r="EC7" s="248"/>
      <c r="ED7" s="248"/>
      <c r="EE7" s="248"/>
    </row>
    <row r="8" spans="1:135" s="35" customFormat="1" ht="16.5">
      <c r="A8" s="35" t="str">
        <f t="shared" si="0"/>
        <v>MIB_I               KI_B</v>
      </c>
      <c r="B8" s="331"/>
      <c r="C8" s="248">
        <v>3</v>
      </c>
      <c r="D8" s="283" t="s">
        <v>605</v>
      </c>
      <c r="E8" s="283"/>
      <c r="F8" s="35" t="s">
        <v>1086</v>
      </c>
      <c r="L8" s="278"/>
      <c r="M8" s="278"/>
      <c r="N8" s="278"/>
      <c r="O8" s="34" t="s">
        <v>1086</v>
      </c>
      <c r="P8" s="34" t="s">
        <v>1086</v>
      </c>
      <c r="Q8" s="279"/>
      <c r="R8" s="104"/>
      <c r="S8" s="278"/>
      <c r="T8" s="278"/>
      <c r="U8" s="278"/>
      <c r="V8" s="278"/>
      <c r="W8" s="279">
        <v>980015855</v>
      </c>
      <c r="X8" s="278"/>
      <c r="Y8" s="278"/>
      <c r="Z8" s="278"/>
      <c r="AA8" s="278"/>
      <c r="AB8" s="279" t="s">
        <v>1114</v>
      </c>
      <c r="AC8" s="279"/>
      <c r="AD8" s="279"/>
      <c r="AE8" s="279"/>
      <c r="AF8" s="279"/>
      <c r="AG8" s="279"/>
      <c r="AH8" s="279"/>
      <c r="AJ8" s="279" t="s">
        <v>1117</v>
      </c>
      <c r="AK8" s="279"/>
      <c r="AL8" s="523">
        <v>3</v>
      </c>
      <c r="AM8" s="35">
        <v>3</v>
      </c>
      <c r="AN8" s="35" t="s">
        <v>1362</v>
      </c>
      <c r="AO8" s="35" t="s">
        <v>920</v>
      </c>
      <c r="AP8" s="35" t="s">
        <v>1259</v>
      </c>
      <c r="AQ8" s="34" t="s">
        <v>2253</v>
      </c>
      <c r="AR8" s="35">
        <v>2</v>
      </c>
      <c r="AS8" s="35" t="s">
        <v>1738</v>
      </c>
      <c r="AT8" s="35" t="s">
        <v>1358</v>
      </c>
      <c r="AU8" s="35" t="s">
        <v>10</v>
      </c>
      <c r="AV8" s="35" t="s">
        <v>896</v>
      </c>
      <c r="AW8" s="35" t="s">
        <v>621</v>
      </c>
      <c r="AX8" s="34" t="s">
        <v>2303</v>
      </c>
      <c r="AY8" s="35">
        <v>3</v>
      </c>
      <c r="AZ8" s="35" t="s">
        <v>414</v>
      </c>
      <c r="BA8" s="35" t="s">
        <v>1358</v>
      </c>
      <c r="BB8" s="35" t="s">
        <v>10</v>
      </c>
      <c r="BC8" s="35" t="s">
        <v>225</v>
      </c>
      <c r="BD8" s="35" t="s">
        <v>1739</v>
      </c>
      <c r="BE8" s="35" t="s">
        <v>622</v>
      </c>
      <c r="BF8" s="35" t="s">
        <v>227</v>
      </c>
      <c r="BG8" s="35">
        <v>1213</v>
      </c>
      <c r="BH8" s="35" t="s">
        <v>96</v>
      </c>
      <c r="BI8" s="35">
        <v>0.14000000000000001</v>
      </c>
      <c r="BJ8" s="35" t="s">
        <v>1363</v>
      </c>
      <c r="BK8" s="35" t="s">
        <v>2374</v>
      </c>
      <c r="BL8" s="35" t="s">
        <v>2492</v>
      </c>
      <c r="BM8" s="35">
        <v>3</v>
      </c>
      <c r="BW8" s="248"/>
      <c r="BX8" s="248"/>
      <c r="BY8" s="248"/>
      <c r="BZ8" s="248"/>
      <c r="CA8" s="248"/>
      <c r="CB8" s="248"/>
      <c r="CC8" s="248"/>
      <c r="CD8" s="248"/>
      <c r="CE8" s="248"/>
      <c r="CF8" s="248"/>
      <c r="CG8" s="248"/>
      <c r="CH8" s="248"/>
      <c r="CI8" s="248"/>
      <c r="CJ8" s="248"/>
      <c r="CK8" s="248"/>
      <c r="CL8" s="248"/>
      <c r="CM8" s="248"/>
      <c r="CN8" s="248"/>
      <c r="CO8" s="248"/>
      <c r="CP8" s="248"/>
      <c r="CQ8" s="248"/>
      <c r="CR8" s="248"/>
      <c r="CS8" s="248"/>
      <c r="CT8" s="248"/>
      <c r="CU8" s="248"/>
      <c r="CV8" s="248"/>
      <c r="CW8" s="248"/>
      <c r="CX8" s="248"/>
      <c r="CY8" s="248"/>
      <c r="CZ8" s="248"/>
      <c r="DA8" s="248"/>
      <c r="DB8" s="248"/>
      <c r="DC8" s="248"/>
      <c r="DD8" s="248"/>
      <c r="DE8" s="248"/>
      <c r="DF8" s="248"/>
      <c r="DG8" s="248"/>
      <c r="DH8" s="248"/>
      <c r="DI8" s="248"/>
      <c r="DJ8" s="248"/>
      <c r="DK8" s="248"/>
      <c r="DL8" s="248"/>
      <c r="DM8" s="248"/>
      <c r="DN8" s="248"/>
      <c r="DO8" s="248"/>
      <c r="DP8" s="248"/>
      <c r="DQ8" s="248"/>
      <c r="DR8" s="248"/>
      <c r="DS8" s="248"/>
      <c r="DT8" s="248"/>
      <c r="DU8" s="248"/>
      <c r="DV8" s="248"/>
      <c r="DW8" s="248"/>
      <c r="DX8" s="248"/>
      <c r="DY8" s="248"/>
      <c r="DZ8" s="248"/>
      <c r="EA8" s="248"/>
      <c r="EB8" s="248"/>
      <c r="EC8" s="248"/>
      <c r="ED8" s="248"/>
      <c r="EE8" s="248"/>
    </row>
    <row r="9" spans="1:135" s="35" customFormat="1" ht="16.5">
      <c r="A9" s="35" t="str">
        <f t="shared" si="0"/>
        <v>MIB_I               KI_B</v>
      </c>
      <c r="B9" s="331"/>
      <c r="C9" s="248">
        <v>4</v>
      </c>
      <c r="D9" s="283" t="s">
        <v>605</v>
      </c>
      <c r="E9" s="283"/>
      <c r="F9" s="35" t="s">
        <v>1086</v>
      </c>
      <c r="L9" s="278"/>
      <c r="M9" s="278"/>
      <c r="N9" s="278"/>
      <c r="O9" s="34" t="s">
        <v>1086</v>
      </c>
      <c r="P9" s="34" t="s">
        <v>1086</v>
      </c>
      <c r="Q9" s="279"/>
      <c r="R9" s="104"/>
      <c r="S9" s="278"/>
      <c r="T9" s="278"/>
      <c r="U9" s="278"/>
      <c r="V9" s="278"/>
      <c r="W9" s="279">
        <v>980015855</v>
      </c>
      <c r="X9" s="278"/>
      <c r="Y9" s="278"/>
      <c r="Z9" s="278"/>
      <c r="AA9" s="278"/>
      <c r="AB9" s="279" t="s">
        <v>1114</v>
      </c>
      <c r="AC9" s="279"/>
      <c r="AD9" s="279"/>
      <c r="AE9" s="279"/>
      <c r="AF9" s="279"/>
      <c r="AG9" s="279"/>
      <c r="AH9" s="279"/>
      <c r="AJ9" s="279" t="s">
        <v>1117</v>
      </c>
      <c r="AK9" s="279"/>
      <c r="AL9" s="523">
        <v>3</v>
      </c>
      <c r="AM9" s="35">
        <v>4</v>
      </c>
      <c r="AN9" s="35" t="s">
        <v>1364</v>
      </c>
      <c r="AO9" s="35" t="s">
        <v>920</v>
      </c>
      <c r="AP9" s="35" t="s">
        <v>1259</v>
      </c>
      <c r="AQ9" s="34" t="s">
        <v>2253</v>
      </c>
      <c r="AR9" s="35">
        <v>1</v>
      </c>
      <c r="AS9" s="35" t="s">
        <v>1738</v>
      </c>
      <c r="AT9" s="35" t="s">
        <v>1358</v>
      </c>
      <c r="AU9" s="35" t="s">
        <v>10</v>
      </c>
      <c r="AV9" s="35" t="s">
        <v>896</v>
      </c>
      <c r="AW9" s="35" t="s">
        <v>621</v>
      </c>
      <c r="AX9" s="34" t="s">
        <v>2303</v>
      </c>
      <c r="AY9" s="35">
        <v>4</v>
      </c>
      <c r="AZ9" s="35" t="s">
        <v>414</v>
      </c>
      <c r="BA9" s="35" t="s">
        <v>1358</v>
      </c>
      <c r="BB9" s="35" t="s">
        <v>10</v>
      </c>
      <c r="BC9" s="35" t="s">
        <v>225</v>
      </c>
      <c r="BD9" s="35" t="s">
        <v>1739</v>
      </c>
      <c r="BE9" s="35" t="s">
        <v>622</v>
      </c>
      <c r="BF9" s="35" t="s">
        <v>228</v>
      </c>
      <c r="BG9" s="35">
        <v>1213</v>
      </c>
      <c r="BH9" s="35" t="s">
        <v>110</v>
      </c>
      <c r="BI9" s="35">
        <v>0.14000000000000001</v>
      </c>
      <c r="BJ9" s="35" t="s">
        <v>1365</v>
      </c>
      <c r="BK9" s="35" t="s">
        <v>2374</v>
      </c>
      <c r="BL9" s="35" t="s">
        <v>2492</v>
      </c>
      <c r="BM9" s="35">
        <v>4</v>
      </c>
      <c r="BW9" s="248"/>
      <c r="BX9" s="248"/>
      <c r="BY9" s="248"/>
      <c r="BZ9" s="248"/>
      <c r="CA9" s="248"/>
      <c r="CB9" s="248"/>
      <c r="CC9" s="248"/>
      <c r="CD9" s="248"/>
      <c r="CE9" s="248"/>
      <c r="CF9" s="248"/>
      <c r="CG9" s="248"/>
      <c r="CH9" s="248"/>
      <c r="CI9" s="248"/>
      <c r="CJ9" s="248"/>
      <c r="CK9" s="248"/>
      <c r="CL9" s="248"/>
      <c r="CM9" s="248"/>
      <c r="CN9" s="248"/>
      <c r="CO9" s="248"/>
      <c r="CP9" s="248"/>
      <c r="CQ9" s="248"/>
      <c r="CR9" s="248"/>
      <c r="CS9" s="248"/>
      <c r="CT9" s="248"/>
      <c r="CU9" s="248"/>
      <c r="CV9" s="248"/>
      <c r="CW9" s="248"/>
      <c r="CX9" s="248"/>
      <c r="CY9" s="248"/>
      <c r="CZ9" s="248"/>
      <c r="DA9" s="248"/>
      <c r="DB9" s="248"/>
      <c r="DC9" s="248"/>
      <c r="DD9" s="248"/>
      <c r="DE9" s="248"/>
      <c r="DF9" s="248"/>
      <c r="DG9" s="248"/>
      <c r="DH9" s="248"/>
      <c r="DI9" s="248"/>
      <c r="DJ9" s="248"/>
      <c r="DK9" s="248"/>
      <c r="DL9" s="248"/>
      <c r="DM9" s="248"/>
      <c r="DN9" s="248"/>
      <c r="DO9" s="248"/>
      <c r="DP9" s="248"/>
      <c r="DQ9" s="248"/>
      <c r="DR9" s="248"/>
      <c r="DS9" s="248"/>
      <c r="DT9" s="248"/>
      <c r="DU9" s="248"/>
      <c r="DV9" s="248"/>
      <c r="DW9" s="248"/>
      <c r="DX9" s="248"/>
      <c r="DY9" s="248"/>
      <c r="DZ9" s="248"/>
      <c r="EA9" s="248"/>
      <c r="EB9" s="248"/>
      <c r="EC9" s="248"/>
      <c r="ED9" s="248"/>
      <c r="EE9" s="248"/>
    </row>
    <row r="10" spans="1:135" s="35" customFormat="1" ht="16.5">
      <c r="A10" s="35" t="str">
        <f t="shared" si="0"/>
        <v>MIB_I               KI_B</v>
      </c>
      <c r="B10" s="331"/>
      <c r="C10" s="248">
        <v>5</v>
      </c>
      <c r="D10" s="283" t="s">
        <v>605</v>
      </c>
      <c r="E10" s="283"/>
      <c r="F10" s="35" t="s">
        <v>1086</v>
      </c>
      <c r="L10" s="278"/>
      <c r="M10" s="278"/>
      <c r="N10" s="278"/>
      <c r="O10" s="34" t="s">
        <v>1086</v>
      </c>
      <c r="P10" s="34" t="s">
        <v>1086</v>
      </c>
      <c r="Q10" s="279"/>
      <c r="R10" s="104"/>
      <c r="S10" s="278"/>
      <c r="T10" s="278"/>
      <c r="U10" s="278"/>
      <c r="V10" s="278"/>
      <c r="W10" s="279">
        <v>980015855</v>
      </c>
      <c r="X10" s="278"/>
      <c r="Y10" s="278"/>
      <c r="Z10" s="35" t="s">
        <v>2645</v>
      </c>
      <c r="AA10" s="35" t="s">
        <v>2645</v>
      </c>
      <c r="AB10" s="279" t="s">
        <v>1114</v>
      </c>
      <c r="AC10" s="279"/>
      <c r="AD10" s="279"/>
      <c r="AE10" s="279"/>
      <c r="AF10" s="279"/>
      <c r="AG10" s="279"/>
      <c r="AH10" s="279"/>
      <c r="AJ10" s="279" t="s">
        <v>1117</v>
      </c>
      <c r="AK10" s="279"/>
      <c r="AL10" s="523">
        <v>3</v>
      </c>
      <c r="AM10" s="35">
        <v>5</v>
      </c>
      <c r="AN10" s="35" t="s">
        <v>1366</v>
      </c>
      <c r="AO10" s="35" t="s">
        <v>920</v>
      </c>
      <c r="AP10" s="35" t="s">
        <v>1259</v>
      </c>
      <c r="AQ10" s="34" t="s">
        <v>2253</v>
      </c>
      <c r="AR10" s="35" t="s">
        <v>229</v>
      </c>
      <c r="AS10" s="35" t="s">
        <v>1738</v>
      </c>
      <c r="AT10" s="35" t="s">
        <v>230</v>
      </c>
      <c r="AU10" s="35" t="s">
        <v>10</v>
      </c>
      <c r="AV10" s="35" t="s">
        <v>896</v>
      </c>
      <c r="AW10" s="35" t="s">
        <v>621</v>
      </c>
      <c r="AX10" s="34" t="s">
        <v>2303</v>
      </c>
      <c r="AY10" s="35" t="s">
        <v>229</v>
      </c>
      <c r="AZ10" s="35" t="s">
        <v>414</v>
      </c>
      <c r="BA10" s="35" t="s">
        <v>230</v>
      </c>
      <c r="BB10" s="35" t="s">
        <v>10</v>
      </c>
      <c r="BC10" s="35" t="s">
        <v>225</v>
      </c>
      <c r="BD10" s="35" t="s">
        <v>157</v>
      </c>
      <c r="BE10" s="35" t="s">
        <v>622</v>
      </c>
      <c r="BF10" s="35" t="s">
        <v>231</v>
      </c>
      <c r="BG10" s="35">
        <v>1213</v>
      </c>
      <c r="BH10" s="35" t="s">
        <v>139</v>
      </c>
      <c r="BI10" s="35">
        <v>1</v>
      </c>
      <c r="BJ10" s="35" t="s">
        <v>1367</v>
      </c>
      <c r="BK10" s="35" t="s">
        <v>2374</v>
      </c>
      <c r="BL10" s="35" t="s">
        <v>2492</v>
      </c>
      <c r="BM10" s="35">
        <v>5</v>
      </c>
      <c r="BW10" s="248"/>
      <c r="BX10" s="248"/>
      <c r="BY10" s="248"/>
      <c r="BZ10" s="248"/>
      <c r="CA10" s="248"/>
      <c r="CB10" s="248"/>
      <c r="CC10" s="248"/>
      <c r="CD10" s="248"/>
      <c r="CE10" s="248"/>
      <c r="CF10" s="248"/>
      <c r="CG10" s="248"/>
      <c r="CH10" s="248"/>
      <c r="CI10" s="248"/>
      <c r="CJ10" s="248"/>
      <c r="CK10" s="248"/>
      <c r="CL10" s="248"/>
      <c r="CM10" s="248"/>
      <c r="CN10" s="248"/>
      <c r="CO10" s="248"/>
      <c r="CP10" s="248"/>
      <c r="CQ10" s="248"/>
      <c r="CR10" s="248"/>
      <c r="CS10" s="248"/>
      <c r="CT10" s="248"/>
      <c r="CU10" s="248"/>
      <c r="CV10" s="248"/>
      <c r="CW10" s="248"/>
      <c r="CX10" s="248"/>
      <c r="CY10" s="248"/>
      <c r="CZ10" s="248"/>
      <c r="DA10" s="248"/>
      <c r="DB10" s="248"/>
      <c r="DC10" s="248"/>
      <c r="DD10" s="248"/>
      <c r="DE10" s="248"/>
      <c r="DF10" s="248"/>
      <c r="DG10" s="248"/>
      <c r="DH10" s="248"/>
      <c r="DI10" s="248"/>
      <c r="DJ10" s="248"/>
      <c r="DK10" s="248"/>
      <c r="DL10" s="248"/>
      <c r="DM10" s="248"/>
      <c r="DN10" s="248"/>
      <c r="DO10" s="248"/>
      <c r="DP10" s="248"/>
      <c r="DQ10" s="248"/>
      <c r="DR10" s="248"/>
      <c r="DS10" s="248"/>
      <c r="DT10" s="248"/>
      <c r="DU10" s="248"/>
      <c r="DV10" s="248"/>
      <c r="DW10" s="248"/>
      <c r="DX10" s="248"/>
      <c r="DY10" s="248"/>
      <c r="DZ10" s="248"/>
      <c r="EA10" s="248"/>
      <c r="EB10" s="248"/>
      <c r="EC10" s="248"/>
      <c r="ED10" s="248"/>
      <c r="EE10" s="248"/>
    </row>
    <row r="11" spans="1:135" s="35" customFormat="1" ht="16.5">
      <c r="A11" s="35" t="str">
        <f t="shared" si="0"/>
        <v>KS_CPL_B            KI_A</v>
      </c>
      <c r="B11" s="331"/>
      <c r="C11" s="248">
        <v>6</v>
      </c>
      <c r="D11" s="283" t="s">
        <v>605</v>
      </c>
      <c r="E11" s="283"/>
      <c r="F11" s="35" t="s">
        <v>1086</v>
      </c>
      <c r="G11" s="279"/>
      <c r="H11" s="279"/>
      <c r="I11" s="279"/>
      <c r="K11" s="278"/>
      <c r="L11" s="278"/>
      <c r="M11" s="278"/>
      <c r="N11" s="278"/>
      <c r="O11" s="34" t="s">
        <v>1086</v>
      </c>
      <c r="P11" s="34" t="s">
        <v>1086</v>
      </c>
      <c r="Q11" s="279"/>
      <c r="R11" s="281"/>
      <c r="S11" s="278"/>
      <c r="T11" s="278"/>
      <c r="U11" s="278"/>
      <c r="V11" s="278"/>
      <c r="W11" s="278"/>
      <c r="X11" s="278"/>
      <c r="Y11" s="278"/>
      <c r="Z11" s="510"/>
      <c r="AA11" s="510"/>
      <c r="AB11" s="510"/>
      <c r="AC11" s="278"/>
      <c r="AD11" s="278"/>
      <c r="AE11" s="278"/>
      <c r="AF11" s="278"/>
      <c r="AG11" s="278"/>
      <c r="AH11" s="279"/>
      <c r="AJ11" s="279" t="s">
        <v>1117</v>
      </c>
      <c r="AK11" s="420"/>
      <c r="AL11" s="523">
        <v>3</v>
      </c>
      <c r="AM11" s="35">
        <v>6</v>
      </c>
      <c r="AN11" s="35" t="s">
        <v>1740</v>
      </c>
      <c r="AO11" s="35" t="s">
        <v>416</v>
      </c>
      <c r="AP11" s="35" t="s">
        <v>623</v>
      </c>
      <c r="AQ11" s="34" t="s">
        <v>1741</v>
      </c>
      <c r="AR11" s="35">
        <v>3</v>
      </c>
      <c r="AS11" s="35" t="s">
        <v>1398</v>
      </c>
      <c r="AT11" s="35" t="s">
        <v>72</v>
      </c>
      <c r="AU11" s="35" t="s">
        <v>10</v>
      </c>
      <c r="AV11" s="35" t="s">
        <v>896</v>
      </c>
      <c r="AW11" s="35" t="s">
        <v>624</v>
      </c>
      <c r="AX11" s="34" t="s">
        <v>2254</v>
      </c>
      <c r="AY11" s="35">
        <v>13</v>
      </c>
      <c r="AZ11" s="35" t="s">
        <v>350</v>
      </c>
      <c r="BA11" s="35" t="s">
        <v>87</v>
      </c>
      <c r="BB11" s="35" t="s">
        <v>10</v>
      </c>
      <c r="BC11" s="35" t="s">
        <v>170</v>
      </c>
      <c r="BD11" s="35" t="s">
        <v>1742</v>
      </c>
      <c r="BE11" s="35" t="s">
        <v>10</v>
      </c>
      <c r="BF11" s="35" t="s">
        <v>10</v>
      </c>
      <c r="BG11" s="35">
        <v>1069</v>
      </c>
      <c r="BH11" s="35" t="s">
        <v>171</v>
      </c>
      <c r="BI11" s="35">
        <v>0.35</v>
      </c>
      <c r="BJ11" s="35" t="s">
        <v>322</v>
      </c>
      <c r="BK11" s="35" t="s">
        <v>2374</v>
      </c>
      <c r="BL11" s="35" t="s">
        <v>10</v>
      </c>
      <c r="BM11" s="35">
        <v>6</v>
      </c>
      <c r="BW11" s="248"/>
      <c r="BX11" s="248"/>
      <c r="BY11" s="248"/>
      <c r="BZ11" s="248"/>
      <c r="CA11" s="248"/>
      <c r="CB11" s="248"/>
      <c r="CC11" s="248"/>
      <c r="CD11" s="248"/>
      <c r="CE11" s="248"/>
      <c r="CF11" s="248"/>
      <c r="CG11" s="248"/>
      <c r="CH11" s="248"/>
      <c r="CI11" s="248"/>
      <c r="CJ11" s="248"/>
      <c r="CK11" s="248"/>
      <c r="CL11" s="248"/>
      <c r="CM11" s="248"/>
      <c r="CN11" s="248"/>
      <c r="CO11" s="248"/>
      <c r="CP11" s="248"/>
      <c r="CQ11" s="248"/>
      <c r="CR11" s="248"/>
      <c r="CS11" s="248"/>
      <c r="CT11" s="248"/>
      <c r="CU11" s="248"/>
      <c r="CV11" s="248"/>
      <c r="CW11" s="248"/>
      <c r="CX11" s="248"/>
      <c r="CY11" s="248"/>
      <c r="CZ11" s="248"/>
      <c r="DA11" s="248"/>
      <c r="DB11" s="248"/>
      <c r="DC11" s="248"/>
      <c r="DD11" s="248"/>
      <c r="DE11" s="248"/>
      <c r="DF11" s="248"/>
      <c r="DG11" s="248"/>
      <c r="DH11" s="248"/>
      <c r="DI11" s="248"/>
      <c r="DJ11" s="248"/>
      <c r="DK11" s="248"/>
      <c r="DL11" s="248"/>
      <c r="DM11" s="248"/>
      <c r="DN11" s="248"/>
      <c r="DO11" s="248"/>
      <c r="DP11" s="248"/>
      <c r="DQ11" s="248"/>
      <c r="DR11" s="248"/>
      <c r="DS11" s="248"/>
      <c r="DT11" s="248"/>
      <c r="DU11" s="248"/>
      <c r="DV11" s="248"/>
      <c r="DW11" s="248"/>
      <c r="DX11" s="248"/>
      <c r="DY11" s="248"/>
      <c r="DZ11" s="248"/>
      <c r="EA11" s="248"/>
      <c r="EB11" s="248"/>
      <c r="EC11" s="248"/>
      <c r="ED11" s="248"/>
      <c r="EE11" s="248"/>
    </row>
    <row r="12" spans="1:135" s="35" customFormat="1" ht="16.5">
      <c r="A12" s="35" t="str">
        <f t="shared" si="0"/>
        <v>KS_CPL_B            KI_A</v>
      </c>
      <c r="B12" s="331"/>
      <c r="C12" s="248">
        <v>7</v>
      </c>
      <c r="D12" s="283" t="s">
        <v>605</v>
      </c>
      <c r="E12" s="283"/>
      <c r="F12" s="35" t="s">
        <v>1086</v>
      </c>
      <c r="H12" s="284"/>
      <c r="I12" s="284"/>
      <c r="O12" s="34" t="s">
        <v>1086</v>
      </c>
      <c r="P12" s="34" t="s">
        <v>1086</v>
      </c>
      <c r="Q12" s="58"/>
      <c r="R12" s="39"/>
      <c r="Z12" s="335"/>
      <c r="AA12" s="335"/>
      <c r="AB12" s="335"/>
      <c r="AH12" s="279"/>
      <c r="AJ12" s="279" t="s">
        <v>1117</v>
      </c>
      <c r="AK12" s="420"/>
      <c r="AL12" s="523">
        <v>3</v>
      </c>
      <c r="AM12" s="35">
        <v>7</v>
      </c>
      <c r="AN12" s="35" t="s">
        <v>1743</v>
      </c>
      <c r="AO12" s="35" t="s">
        <v>416</v>
      </c>
      <c r="AP12" s="35" t="s">
        <v>623</v>
      </c>
      <c r="AQ12" s="34" t="s">
        <v>1741</v>
      </c>
      <c r="AR12" s="35">
        <v>4</v>
      </c>
      <c r="AS12" s="35" t="s">
        <v>1398</v>
      </c>
      <c r="AT12" s="35" t="s">
        <v>72</v>
      </c>
      <c r="AU12" s="35" t="s">
        <v>10</v>
      </c>
      <c r="AV12" s="35" t="s">
        <v>896</v>
      </c>
      <c r="AW12" s="35" t="s">
        <v>624</v>
      </c>
      <c r="AX12" s="34" t="s">
        <v>2254</v>
      </c>
      <c r="AY12" s="35">
        <v>14</v>
      </c>
      <c r="AZ12" s="35" t="s">
        <v>350</v>
      </c>
      <c r="BA12" s="35" t="s">
        <v>87</v>
      </c>
      <c r="BB12" s="35" t="s">
        <v>10</v>
      </c>
      <c r="BC12" s="35" t="s">
        <v>323</v>
      </c>
      <c r="BD12" s="35" t="s">
        <v>1742</v>
      </c>
      <c r="BE12" s="35" t="s">
        <v>10</v>
      </c>
      <c r="BF12" s="35" t="s">
        <v>10</v>
      </c>
      <c r="BG12" s="35">
        <v>1069</v>
      </c>
      <c r="BH12" s="35" t="s">
        <v>133</v>
      </c>
      <c r="BI12" s="35">
        <v>0.35</v>
      </c>
      <c r="BJ12" s="35" t="s">
        <v>324</v>
      </c>
      <c r="BK12" s="35" t="s">
        <v>2374</v>
      </c>
      <c r="BL12" s="35" t="s">
        <v>10</v>
      </c>
      <c r="BM12" s="35">
        <v>7</v>
      </c>
      <c r="BW12" s="248"/>
      <c r="BX12" s="248"/>
      <c r="BY12" s="248"/>
      <c r="BZ12" s="248"/>
      <c r="CA12" s="248"/>
      <c r="CB12" s="248"/>
      <c r="CC12" s="248"/>
      <c r="CD12" s="248"/>
      <c r="CE12" s="248"/>
      <c r="CF12" s="248"/>
      <c r="CG12" s="248"/>
      <c r="CH12" s="248"/>
      <c r="CI12" s="248"/>
      <c r="CJ12" s="248"/>
      <c r="CK12" s="248"/>
      <c r="CL12" s="248"/>
      <c r="CM12" s="248"/>
      <c r="CN12" s="248"/>
      <c r="CO12" s="248"/>
      <c r="CP12" s="248"/>
      <c r="CQ12" s="248"/>
      <c r="CR12" s="248"/>
      <c r="CS12" s="248"/>
      <c r="CT12" s="248"/>
      <c r="CU12" s="248"/>
      <c r="CV12" s="248"/>
      <c r="CW12" s="248"/>
      <c r="CX12" s="248"/>
      <c r="CY12" s="248"/>
      <c r="CZ12" s="248"/>
      <c r="DA12" s="248"/>
      <c r="DB12" s="248"/>
      <c r="DC12" s="248"/>
      <c r="DD12" s="248"/>
      <c r="DE12" s="248"/>
      <c r="DF12" s="248"/>
      <c r="DG12" s="248"/>
      <c r="DH12" s="248"/>
      <c r="DI12" s="248"/>
      <c r="DJ12" s="248"/>
      <c r="DK12" s="248"/>
      <c r="DL12" s="248"/>
      <c r="DM12" s="248"/>
      <c r="DN12" s="248"/>
      <c r="DO12" s="248"/>
      <c r="DP12" s="248"/>
      <c r="DQ12" s="248"/>
      <c r="DR12" s="248"/>
      <c r="DS12" s="248"/>
      <c r="DT12" s="248"/>
      <c r="DU12" s="248"/>
      <c r="DV12" s="248"/>
      <c r="DW12" s="248"/>
      <c r="DX12" s="248"/>
      <c r="DY12" s="248"/>
      <c r="DZ12" s="248"/>
      <c r="EA12" s="248"/>
      <c r="EB12" s="248"/>
      <c r="EC12" s="248"/>
      <c r="ED12" s="248"/>
      <c r="EE12" s="248"/>
    </row>
    <row r="13" spans="1:135" s="35" customFormat="1" ht="16.5">
      <c r="A13" s="35" t="str">
        <f t="shared" si="0"/>
        <v>KI_A                SP_30A_KOMBI</v>
      </c>
      <c r="B13" s="331"/>
      <c r="C13" s="248">
        <v>8</v>
      </c>
      <c r="D13" s="283" t="s">
        <v>605</v>
      </c>
      <c r="E13" s="283"/>
      <c r="F13" s="35" t="s">
        <v>1086</v>
      </c>
      <c r="G13" s="35" t="s">
        <v>2224</v>
      </c>
      <c r="H13" s="35" t="s">
        <v>610</v>
      </c>
      <c r="N13" s="35" t="s">
        <v>537</v>
      </c>
      <c r="O13" s="34" t="s">
        <v>1086</v>
      </c>
      <c r="P13" s="285" t="s">
        <v>1097</v>
      </c>
      <c r="Q13" s="58"/>
      <c r="R13" s="39"/>
      <c r="AH13" s="279"/>
      <c r="AJ13" s="279" t="s">
        <v>1117</v>
      </c>
      <c r="AK13" s="279"/>
      <c r="AL13" s="523">
        <v>3</v>
      </c>
      <c r="AM13" s="35">
        <v>8</v>
      </c>
      <c r="AN13" s="35" t="s">
        <v>1368</v>
      </c>
      <c r="AO13" s="35" t="s">
        <v>896</v>
      </c>
      <c r="AP13" s="35" t="s">
        <v>624</v>
      </c>
      <c r="AQ13" s="34" t="s">
        <v>2254</v>
      </c>
      <c r="AR13" s="35">
        <v>27</v>
      </c>
      <c r="AS13" s="35" t="s">
        <v>350</v>
      </c>
      <c r="AT13" s="35" t="s">
        <v>77</v>
      </c>
      <c r="AU13" s="35" t="s">
        <v>10</v>
      </c>
      <c r="AV13" s="35" t="s">
        <v>1688</v>
      </c>
      <c r="AW13" s="35" t="s">
        <v>625</v>
      </c>
      <c r="AX13" s="34" t="s">
        <v>2224</v>
      </c>
      <c r="AY13" s="35">
        <v>1</v>
      </c>
      <c r="AZ13" s="35" t="s">
        <v>1745</v>
      </c>
      <c r="BA13" s="35" t="s">
        <v>10</v>
      </c>
      <c r="BB13" s="35" t="s">
        <v>10</v>
      </c>
      <c r="BC13" s="35" t="s">
        <v>164</v>
      </c>
      <c r="BD13" s="35" t="s">
        <v>1742</v>
      </c>
      <c r="BE13" s="35" t="s">
        <v>10</v>
      </c>
      <c r="BF13" s="35" t="s">
        <v>10</v>
      </c>
      <c r="BG13" s="35">
        <v>322</v>
      </c>
      <c r="BH13" s="35" t="s">
        <v>165</v>
      </c>
      <c r="BI13" s="35">
        <v>0.5</v>
      </c>
      <c r="BJ13" s="35" t="s">
        <v>1369</v>
      </c>
      <c r="BK13" s="35" t="s">
        <v>2374</v>
      </c>
      <c r="BL13" s="35" t="s">
        <v>2492</v>
      </c>
      <c r="BM13" s="35">
        <v>8</v>
      </c>
      <c r="BW13" s="248"/>
      <c r="BX13" s="248"/>
      <c r="BY13" s="248"/>
      <c r="BZ13" s="248"/>
      <c r="CA13" s="248"/>
      <c r="CB13" s="248"/>
      <c r="CC13" s="248"/>
      <c r="CD13" s="248"/>
      <c r="CE13" s="248"/>
      <c r="CF13" s="248"/>
      <c r="CG13" s="248"/>
      <c r="CH13" s="248"/>
      <c r="CI13" s="248"/>
      <c r="CJ13" s="248"/>
      <c r="CK13" s="248"/>
      <c r="CL13" s="248"/>
      <c r="CM13" s="248"/>
      <c r="CN13" s="248"/>
      <c r="CO13" s="248"/>
      <c r="CP13" s="248"/>
      <c r="CQ13" s="248"/>
      <c r="CR13" s="248"/>
      <c r="CS13" s="248"/>
      <c r="CT13" s="248"/>
      <c r="CU13" s="248"/>
      <c r="CV13" s="248"/>
      <c r="CW13" s="248"/>
      <c r="CX13" s="248"/>
      <c r="CY13" s="248"/>
      <c r="CZ13" s="248"/>
      <c r="DA13" s="248"/>
      <c r="DB13" s="248"/>
      <c r="DC13" s="248"/>
      <c r="DD13" s="248"/>
      <c r="DE13" s="248"/>
      <c r="DF13" s="248"/>
      <c r="DG13" s="248"/>
      <c r="DH13" s="248"/>
      <c r="DI13" s="248"/>
      <c r="DJ13" s="248"/>
      <c r="DK13" s="248"/>
      <c r="DL13" s="248"/>
      <c r="DM13" s="248"/>
      <c r="DN13" s="248"/>
      <c r="DO13" s="248"/>
      <c r="DP13" s="248"/>
      <c r="DQ13" s="248"/>
      <c r="DR13" s="248"/>
      <c r="DS13" s="248"/>
      <c r="DT13" s="248"/>
      <c r="DU13" s="248"/>
      <c r="DV13" s="248"/>
      <c r="DW13" s="248"/>
      <c r="DX13" s="248"/>
      <c r="DY13" s="248"/>
      <c r="DZ13" s="248"/>
      <c r="EA13" s="248"/>
      <c r="EB13" s="248"/>
      <c r="EC13" s="248"/>
      <c r="ED13" s="248"/>
      <c r="EE13" s="248"/>
    </row>
    <row r="14" spans="1:135" s="35" customFormat="1" ht="16.5">
      <c r="A14" s="35" t="str">
        <f t="shared" si="0"/>
        <v>KI_A                SP_30A_KOMBI</v>
      </c>
      <c r="B14" s="331"/>
      <c r="C14" s="248">
        <v>9</v>
      </c>
      <c r="D14" s="283" t="s">
        <v>605</v>
      </c>
      <c r="E14" s="283"/>
      <c r="F14" s="35" t="s">
        <v>1086</v>
      </c>
      <c r="G14" s="35" t="s">
        <v>2224</v>
      </c>
      <c r="H14" s="35" t="s">
        <v>610</v>
      </c>
      <c r="N14" s="35" t="s">
        <v>537</v>
      </c>
      <c r="O14" s="34" t="s">
        <v>1086</v>
      </c>
      <c r="P14" s="285" t="s">
        <v>1097</v>
      </c>
      <c r="Q14" s="58"/>
      <c r="R14" s="39"/>
      <c r="AH14" s="279"/>
      <c r="AJ14" s="279" t="s">
        <v>1117</v>
      </c>
      <c r="AK14" s="279"/>
      <c r="AL14" s="523">
        <v>3</v>
      </c>
      <c r="AM14" s="35">
        <v>9</v>
      </c>
      <c r="AN14" s="35" t="s">
        <v>1370</v>
      </c>
      <c r="AO14" s="35" t="s">
        <v>896</v>
      </c>
      <c r="AP14" s="35" t="s">
        <v>624</v>
      </c>
      <c r="AQ14" s="34" t="s">
        <v>2254</v>
      </c>
      <c r="AR14" s="35">
        <v>31</v>
      </c>
      <c r="AS14" s="35" t="s">
        <v>350</v>
      </c>
      <c r="AT14" s="35" t="s">
        <v>77</v>
      </c>
      <c r="AU14" s="35" t="s">
        <v>10</v>
      </c>
      <c r="AV14" s="35" t="s">
        <v>1688</v>
      </c>
      <c r="AW14" s="35" t="s">
        <v>625</v>
      </c>
      <c r="AX14" s="34" t="s">
        <v>2224</v>
      </c>
      <c r="AY14" s="35">
        <v>1</v>
      </c>
      <c r="AZ14" s="35" t="s">
        <v>1745</v>
      </c>
      <c r="BA14" s="35" t="s">
        <v>10</v>
      </c>
      <c r="BB14" s="35" t="s">
        <v>10</v>
      </c>
      <c r="BC14" s="35" t="s">
        <v>164</v>
      </c>
      <c r="BD14" s="35" t="s">
        <v>1742</v>
      </c>
      <c r="BE14" s="35" t="s">
        <v>10</v>
      </c>
      <c r="BF14" s="35" t="s">
        <v>10</v>
      </c>
      <c r="BG14" s="35">
        <v>322</v>
      </c>
      <c r="BH14" s="35" t="s">
        <v>165</v>
      </c>
      <c r="BI14" s="35">
        <v>0.5</v>
      </c>
      <c r="BJ14" s="35" t="s">
        <v>1369</v>
      </c>
      <c r="BK14" s="35" t="s">
        <v>2374</v>
      </c>
      <c r="BL14" s="35" t="s">
        <v>2492</v>
      </c>
      <c r="BM14" s="35">
        <v>9</v>
      </c>
      <c r="BW14" s="248"/>
      <c r="BX14" s="248"/>
      <c r="BY14" s="248"/>
      <c r="BZ14" s="248"/>
      <c r="CA14" s="248"/>
      <c r="CB14" s="248"/>
      <c r="CC14" s="248"/>
      <c r="CD14" s="248"/>
      <c r="CE14" s="248"/>
      <c r="CF14" s="248"/>
      <c r="CG14" s="248"/>
      <c r="CH14" s="248"/>
      <c r="CI14" s="248"/>
      <c r="CJ14" s="248"/>
      <c r="CK14" s="248"/>
      <c r="CL14" s="248"/>
      <c r="CM14" s="248"/>
      <c r="CN14" s="248"/>
      <c r="CO14" s="248"/>
      <c r="CP14" s="248"/>
      <c r="CQ14" s="248"/>
      <c r="CR14" s="248"/>
      <c r="CS14" s="248"/>
      <c r="CT14" s="248"/>
      <c r="CU14" s="248"/>
      <c r="CV14" s="248"/>
      <c r="CW14" s="248"/>
      <c r="CX14" s="248"/>
      <c r="CY14" s="248"/>
      <c r="CZ14" s="248"/>
      <c r="DA14" s="248"/>
      <c r="DB14" s="248"/>
      <c r="DC14" s="248"/>
      <c r="DD14" s="248"/>
      <c r="DE14" s="248"/>
      <c r="DF14" s="248"/>
      <c r="DG14" s="248"/>
      <c r="DH14" s="248"/>
      <c r="DI14" s="248"/>
      <c r="DJ14" s="248"/>
      <c r="DK14" s="248"/>
      <c r="DL14" s="248"/>
      <c r="DM14" s="248"/>
      <c r="DN14" s="248"/>
      <c r="DO14" s="248"/>
      <c r="DP14" s="248"/>
      <c r="DQ14" s="248"/>
      <c r="DR14" s="248"/>
      <c r="DS14" s="248"/>
      <c r="DT14" s="248"/>
      <c r="DU14" s="248"/>
      <c r="DV14" s="248"/>
      <c r="DW14" s="248"/>
      <c r="DX14" s="248"/>
      <c r="DY14" s="248"/>
      <c r="DZ14" s="248"/>
      <c r="EA14" s="248"/>
      <c r="EB14" s="248"/>
      <c r="EC14" s="248"/>
      <c r="ED14" s="248"/>
      <c r="EE14" s="248"/>
    </row>
    <row r="15" spans="1:135" s="35" customFormat="1" ht="16.5">
      <c r="A15" s="35" t="str">
        <f t="shared" si="0"/>
        <v>KI_A                SP_30A_KOMBI</v>
      </c>
      <c r="B15" s="331"/>
      <c r="C15" s="248">
        <v>10</v>
      </c>
      <c r="D15" s="283" t="s">
        <v>605</v>
      </c>
      <c r="E15" s="283"/>
      <c r="F15" s="35" t="s">
        <v>1086</v>
      </c>
      <c r="G15" s="35" t="s">
        <v>2224</v>
      </c>
      <c r="H15" s="35" t="s">
        <v>610</v>
      </c>
      <c r="N15" s="35" t="s">
        <v>537</v>
      </c>
      <c r="O15" s="34" t="s">
        <v>1086</v>
      </c>
      <c r="P15" s="285" t="s">
        <v>1097</v>
      </c>
      <c r="Q15" s="58"/>
      <c r="R15" s="39"/>
      <c r="AH15" s="279"/>
      <c r="AJ15" s="279" t="s">
        <v>1117</v>
      </c>
      <c r="AK15" s="279"/>
      <c r="AL15" s="523">
        <v>3</v>
      </c>
      <c r="AM15" s="35">
        <v>10</v>
      </c>
      <c r="AN15" s="35" t="s">
        <v>1371</v>
      </c>
      <c r="AO15" s="35" t="s">
        <v>896</v>
      </c>
      <c r="AP15" s="35" t="s">
        <v>624</v>
      </c>
      <c r="AQ15" s="34" t="s">
        <v>2254</v>
      </c>
      <c r="AR15" s="35">
        <v>32</v>
      </c>
      <c r="AS15" s="35" t="s">
        <v>350</v>
      </c>
      <c r="AT15" s="35" t="s">
        <v>77</v>
      </c>
      <c r="AU15" s="35" t="s">
        <v>10</v>
      </c>
      <c r="AV15" s="35" t="s">
        <v>1688</v>
      </c>
      <c r="AW15" s="35" t="s">
        <v>625</v>
      </c>
      <c r="AX15" s="34" t="s">
        <v>2224</v>
      </c>
      <c r="AY15" s="35">
        <v>1</v>
      </c>
      <c r="AZ15" s="35" t="s">
        <v>1745</v>
      </c>
      <c r="BA15" s="35" t="s">
        <v>10</v>
      </c>
      <c r="BB15" s="35" t="s">
        <v>10</v>
      </c>
      <c r="BC15" s="35" t="s">
        <v>164</v>
      </c>
      <c r="BD15" s="35" t="s">
        <v>1742</v>
      </c>
      <c r="BE15" s="35" t="s">
        <v>10</v>
      </c>
      <c r="BF15" s="35" t="s">
        <v>10</v>
      </c>
      <c r="BG15" s="35">
        <v>322</v>
      </c>
      <c r="BH15" s="35" t="s">
        <v>165</v>
      </c>
      <c r="BI15" s="35">
        <v>0.5</v>
      </c>
      <c r="BJ15" s="35" t="s">
        <v>1369</v>
      </c>
      <c r="BK15" s="35" t="s">
        <v>2374</v>
      </c>
      <c r="BL15" s="35" t="s">
        <v>2492</v>
      </c>
      <c r="BM15" s="35">
        <v>10</v>
      </c>
      <c r="BW15" s="248"/>
      <c r="BX15" s="248"/>
      <c r="BY15" s="248"/>
      <c r="BZ15" s="248"/>
      <c r="CA15" s="248"/>
      <c r="CB15" s="248"/>
      <c r="CC15" s="248"/>
      <c r="CD15" s="248"/>
      <c r="CE15" s="248"/>
      <c r="CF15" s="248"/>
      <c r="CG15" s="248"/>
      <c r="CH15" s="248"/>
      <c r="CI15" s="248"/>
      <c r="CJ15" s="248"/>
      <c r="CK15" s="248"/>
      <c r="CL15" s="248"/>
      <c r="CM15" s="248"/>
      <c r="CN15" s="248"/>
      <c r="CO15" s="248"/>
      <c r="CP15" s="248"/>
      <c r="CQ15" s="248"/>
      <c r="CR15" s="248"/>
      <c r="CS15" s="248"/>
      <c r="CT15" s="248"/>
      <c r="CU15" s="248"/>
      <c r="CV15" s="248"/>
      <c r="CW15" s="248"/>
      <c r="CX15" s="248"/>
      <c r="CY15" s="248"/>
      <c r="CZ15" s="248"/>
      <c r="DA15" s="248"/>
      <c r="DB15" s="248"/>
      <c r="DC15" s="248"/>
      <c r="DD15" s="248"/>
      <c r="DE15" s="248"/>
      <c r="DF15" s="248"/>
      <c r="DG15" s="248"/>
      <c r="DH15" s="248"/>
      <c r="DI15" s="248"/>
      <c r="DJ15" s="248"/>
      <c r="DK15" s="248"/>
      <c r="DL15" s="248"/>
      <c r="DM15" s="248"/>
      <c r="DN15" s="248"/>
      <c r="DO15" s="248"/>
      <c r="DP15" s="248"/>
      <c r="DQ15" s="248"/>
      <c r="DR15" s="248"/>
      <c r="DS15" s="248"/>
      <c r="DT15" s="248"/>
      <c r="DU15" s="248"/>
      <c r="DV15" s="248"/>
      <c r="DW15" s="248"/>
      <c r="DX15" s="248"/>
      <c r="DY15" s="248"/>
      <c r="DZ15" s="248"/>
      <c r="EA15" s="248"/>
      <c r="EB15" s="248"/>
      <c r="EC15" s="248"/>
      <c r="ED15" s="248"/>
      <c r="EE15" s="248"/>
    </row>
    <row r="16" spans="1:135" s="35" customFormat="1" ht="16.5">
      <c r="A16" s="35" t="str">
        <f t="shared" si="0"/>
        <v>SIDO_O              SP_30A_KOMBI</v>
      </c>
      <c r="B16" s="331"/>
      <c r="C16" s="248">
        <v>11</v>
      </c>
      <c r="D16" s="283" t="s">
        <v>605</v>
      </c>
      <c r="E16" s="283"/>
      <c r="F16" s="35" t="s">
        <v>1086</v>
      </c>
      <c r="G16" s="35" t="s">
        <v>2224</v>
      </c>
      <c r="H16" s="35" t="s">
        <v>610</v>
      </c>
      <c r="N16" s="35" t="s">
        <v>537</v>
      </c>
      <c r="O16" s="34" t="s">
        <v>1086</v>
      </c>
      <c r="P16" s="285" t="s">
        <v>1097</v>
      </c>
      <c r="Q16" s="58"/>
      <c r="R16" s="39"/>
      <c r="AH16" s="279"/>
      <c r="AJ16" s="279" t="s">
        <v>1117</v>
      </c>
      <c r="AK16" s="279"/>
      <c r="AL16" s="523">
        <v>3</v>
      </c>
      <c r="AM16" s="35">
        <v>11</v>
      </c>
      <c r="AN16" s="35" t="s">
        <v>1746</v>
      </c>
      <c r="AO16" s="35" t="s">
        <v>897</v>
      </c>
      <c r="AP16" s="35" t="s">
        <v>626</v>
      </c>
      <c r="AQ16" s="34" t="s">
        <v>2255</v>
      </c>
      <c r="AR16" s="35" t="s">
        <v>270</v>
      </c>
      <c r="AS16" s="35" t="s">
        <v>1158</v>
      </c>
      <c r="AT16" s="35" t="s">
        <v>98</v>
      </c>
      <c r="AU16" s="35" t="s">
        <v>10</v>
      </c>
      <c r="AV16" s="35" t="s">
        <v>1688</v>
      </c>
      <c r="AW16" s="35" t="s">
        <v>625</v>
      </c>
      <c r="AX16" s="34" t="s">
        <v>2224</v>
      </c>
      <c r="AY16" s="35">
        <v>1</v>
      </c>
      <c r="AZ16" s="35" t="s">
        <v>1745</v>
      </c>
      <c r="BA16" s="35" t="s">
        <v>10</v>
      </c>
      <c r="BB16" s="35" t="s">
        <v>10</v>
      </c>
      <c r="BC16" s="35" t="s">
        <v>627</v>
      </c>
      <c r="BD16" s="35" t="s">
        <v>1742</v>
      </c>
      <c r="BE16" s="35" t="s">
        <v>10</v>
      </c>
      <c r="BF16" s="35" t="s">
        <v>10</v>
      </c>
      <c r="BG16" s="35">
        <v>729</v>
      </c>
      <c r="BH16" s="35" t="s">
        <v>165</v>
      </c>
      <c r="BI16" s="35">
        <v>1.5</v>
      </c>
      <c r="BJ16" s="35" t="s">
        <v>1369</v>
      </c>
      <c r="BK16" s="35" t="s">
        <v>2374</v>
      </c>
      <c r="BL16" s="35" t="s">
        <v>2492</v>
      </c>
      <c r="BM16" s="35">
        <v>11</v>
      </c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  <c r="CG16" s="248"/>
      <c r="CH16" s="248"/>
      <c r="CI16" s="248"/>
      <c r="CJ16" s="248"/>
      <c r="CK16" s="248"/>
      <c r="CL16" s="248"/>
      <c r="CM16" s="248"/>
      <c r="CN16" s="248"/>
      <c r="CO16" s="248"/>
      <c r="CP16" s="248"/>
      <c r="CQ16" s="248"/>
      <c r="CR16" s="248"/>
      <c r="CS16" s="248"/>
      <c r="CT16" s="248"/>
      <c r="CU16" s="248"/>
      <c r="CV16" s="248"/>
      <c r="CW16" s="248"/>
      <c r="CX16" s="248"/>
      <c r="CY16" s="248"/>
      <c r="CZ16" s="248"/>
      <c r="DA16" s="248"/>
      <c r="DB16" s="248"/>
      <c r="DC16" s="248"/>
      <c r="DD16" s="248"/>
      <c r="DE16" s="248"/>
      <c r="DF16" s="248"/>
      <c r="DG16" s="248"/>
      <c r="DH16" s="248"/>
      <c r="DI16" s="248"/>
      <c r="DJ16" s="248"/>
      <c r="DK16" s="248"/>
      <c r="DL16" s="248"/>
      <c r="DM16" s="248"/>
      <c r="DN16" s="248"/>
      <c r="DO16" s="248"/>
      <c r="DP16" s="248"/>
      <c r="DQ16" s="248"/>
      <c r="DR16" s="248"/>
      <c r="DS16" s="248"/>
      <c r="DT16" s="248"/>
      <c r="DU16" s="248"/>
      <c r="DV16" s="248"/>
      <c r="DW16" s="248"/>
      <c r="DX16" s="248"/>
      <c r="DY16" s="248"/>
      <c r="DZ16" s="248"/>
      <c r="EA16" s="248"/>
      <c r="EB16" s="248"/>
      <c r="EC16" s="248"/>
      <c r="ED16" s="248"/>
      <c r="EE16" s="248"/>
    </row>
    <row r="17" spans="1:135" s="35" customFormat="1" ht="16.5">
      <c r="A17" s="35" t="str">
        <f t="shared" si="0"/>
        <v>SP_MB31_B1          KI_A</v>
      </c>
      <c r="B17" s="331"/>
      <c r="C17" s="248">
        <v>12</v>
      </c>
      <c r="D17" s="283" t="s">
        <v>605</v>
      </c>
      <c r="E17" s="283"/>
      <c r="F17" s="35" t="s">
        <v>1086</v>
      </c>
      <c r="G17" s="39" t="s">
        <v>2225</v>
      </c>
      <c r="H17" s="35" t="s">
        <v>609</v>
      </c>
      <c r="N17" s="35" t="s">
        <v>537</v>
      </c>
      <c r="O17" s="34" t="s">
        <v>1086</v>
      </c>
      <c r="P17" s="34" t="s">
        <v>1086</v>
      </c>
      <c r="Q17" s="58"/>
      <c r="R17" s="39"/>
      <c r="AH17" s="279"/>
      <c r="AJ17" s="279" t="s">
        <v>1117</v>
      </c>
      <c r="AK17" s="279"/>
      <c r="AL17" s="523">
        <v>3</v>
      </c>
      <c r="AM17" s="35">
        <v>12</v>
      </c>
      <c r="AN17" s="35" t="s">
        <v>1491</v>
      </c>
      <c r="AO17" s="35" t="s">
        <v>2145</v>
      </c>
      <c r="AP17" s="35" t="s">
        <v>532</v>
      </c>
      <c r="AQ17" s="34" t="s">
        <v>2225</v>
      </c>
      <c r="AR17" s="35">
        <v>1</v>
      </c>
      <c r="AS17" s="35" t="s">
        <v>1748</v>
      </c>
      <c r="AT17" s="35" t="s">
        <v>10</v>
      </c>
      <c r="AU17" s="35" t="s">
        <v>10</v>
      </c>
      <c r="AV17" s="35" t="s">
        <v>896</v>
      </c>
      <c r="AW17" s="35" t="s">
        <v>624</v>
      </c>
      <c r="AX17" s="34" t="s">
        <v>2254</v>
      </c>
      <c r="AY17" s="35">
        <v>28</v>
      </c>
      <c r="AZ17" s="35" t="s">
        <v>350</v>
      </c>
      <c r="BA17" s="35" t="s">
        <v>77</v>
      </c>
      <c r="BB17" s="35" t="s">
        <v>10</v>
      </c>
      <c r="BC17" s="35" t="s">
        <v>26</v>
      </c>
      <c r="BD17" s="35" t="s">
        <v>1742</v>
      </c>
      <c r="BE17" s="35" t="s">
        <v>10</v>
      </c>
      <c r="BF17" s="35" t="s">
        <v>10</v>
      </c>
      <c r="BG17" s="35">
        <v>567</v>
      </c>
      <c r="BH17" s="35" t="s">
        <v>25</v>
      </c>
      <c r="BI17" s="35">
        <v>0.5</v>
      </c>
      <c r="BJ17" s="35" t="s">
        <v>1285</v>
      </c>
      <c r="BK17" s="35" t="s">
        <v>2374</v>
      </c>
      <c r="BL17" s="35" t="s">
        <v>2492</v>
      </c>
      <c r="BM17" s="35">
        <v>12</v>
      </c>
      <c r="BW17" s="248"/>
      <c r="BX17" s="248"/>
      <c r="BY17" s="248"/>
      <c r="BZ17" s="248"/>
      <c r="CA17" s="248"/>
      <c r="CB17" s="248"/>
      <c r="CC17" s="248"/>
      <c r="CD17" s="248"/>
      <c r="CE17" s="248"/>
      <c r="CF17" s="248"/>
      <c r="CG17" s="248"/>
      <c r="CH17" s="248"/>
      <c r="CI17" s="248"/>
      <c r="CJ17" s="248"/>
      <c r="CK17" s="248"/>
      <c r="CL17" s="248"/>
      <c r="CM17" s="248"/>
      <c r="CN17" s="248"/>
      <c r="CO17" s="248"/>
      <c r="CP17" s="248"/>
      <c r="CQ17" s="248"/>
      <c r="CR17" s="248"/>
      <c r="CS17" s="248"/>
      <c r="CT17" s="248"/>
      <c r="CU17" s="248"/>
      <c r="CV17" s="248"/>
      <c r="CW17" s="248"/>
      <c r="CX17" s="248"/>
      <c r="CY17" s="248"/>
      <c r="CZ17" s="248"/>
      <c r="DA17" s="248"/>
      <c r="DB17" s="248"/>
      <c r="DC17" s="248"/>
      <c r="DD17" s="248"/>
      <c r="DE17" s="248"/>
      <c r="DF17" s="248"/>
      <c r="DG17" s="248"/>
      <c r="DH17" s="248"/>
      <c r="DI17" s="248"/>
      <c r="DJ17" s="248"/>
      <c r="DK17" s="248"/>
      <c r="DL17" s="248"/>
      <c r="DM17" s="248"/>
      <c r="DN17" s="248"/>
      <c r="DO17" s="248"/>
      <c r="DP17" s="248"/>
      <c r="DQ17" s="248"/>
      <c r="DR17" s="248"/>
      <c r="DS17" s="248"/>
      <c r="DT17" s="248"/>
      <c r="DU17" s="248"/>
      <c r="DV17" s="248"/>
      <c r="DW17" s="248"/>
      <c r="DX17" s="248"/>
      <c r="DY17" s="248"/>
      <c r="DZ17" s="248"/>
      <c r="EA17" s="248"/>
      <c r="EB17" s="248"/>
      <c r="EC17" s="248"/>
      <c r="ED17" s="248"/>
      <c r="EE17" s="248"/>
    </row>
    <row r="18" spans="1:135" s="35" customFormat="1" ht="16.5">
      <c r="A18" s="35" t="str">
        <f t="shared" si="0"/>
        <v>SP_MB31_B1          KI_A</v>
      </c>
      <c r="B18" s="331"/>
      <c r="C18" s="248">
        <v>13</v>
      </c>
      <c r="D18" s="283" t="s">
        <v>605</v>
      </c>
      <c r="E18" s="283"/>
      <c r="F18" s="35" t="s">
        <v>1086</v>
      </c>
      <c r="G18" s="39" t="s">
        <v>2225</v>
      </c>
      <c r="H18" s="35" t="s">
        <v>609</v>
      </c>
      <c r="N18" s="35" t="s">
        <v>537</v>
      </c>
      <c r="O18" s="34" t="s">
        <v>1086</v>
      </c>
      <c r="P18" s="34" t="s">
        <v>1086</v>
      </c>
      <c r="Q18" s="58"/>
      <c r="R18" s="39"/>
      <c r="AH18" s="279"/>
      <c r="AJ18" s="279" t="s">
        <v>1117</v>
      </c>
      <c r="AK18" s="279"/>
      <c r="AL18" s="523">
        <v>3</v>
      </c>
      <c r="AM18" s="35">
        <v>13</v>
      </c>
      <c r="AN18" s="35" t="s">
        <v>1749</v>
      </c>
      <c r="AO18" s="35" t="s">
        <v>2145</v>
      </c>
      <c r="AP18" s="35" t="s">
        <v>532</v>
      </c>
      <c r="AQ18" s="34" t="s">
        <v>2225</v>
      </c>
      <c r="AR18" s="35">
        <v>1</v>
      </c>
      <c r="AS18" s="35" t="s">
        <v>1748</v>
      </c>
      <c r="AT18" s="35" t="s">
        <v>10</v>
      </c>
      <c r="AU18" s="35" t="s">
        <v>10</v>
      </c>
      <c r="AV18" s="35" t="s">
        <v>896</v>
      </c>
      <c r="AW18" s="35" t="s">
        <v>624</v>
      </c>
      <c r="AX18" s="34" t="s">
        <v>2254</v>
      </c>
      <c r="AY18" s="35">
        <v>29</v>
      </c>
      <c r="AZ18" s="35" t="s">
        <v>350</v>
      </c>
      <c r="BA18" s="35" t="s">
        <v>77</v>
      </c>
      <c r="BB18" s="35" t="s">
        <v>10</v>
      </c>
      <c r="BC18" s="35" t="s">
        <v>26</v>
      </c>
      <c r="BD18" s="35" t="s">
        <v>1742</v>
      </c>
      <c r="BE18" s="35" t="s">
        <v>10</v>
      </c>
      <c r="BF18" s="35" t="s">
        <v>10</v>
      </c>
      <c r="BG18" s="35">
        <v>567</v>
      </c>
      <c r="BH18" s="35" t="s">
        <v>25</v>
      </c>
      <c r="BI18" s="35">
        <v>0.5</v>
      </c>
      <c r="BJ18" s="35" t="s">
        <v>1285</v>
      </c>
      <c r="BK18" s="35" t="s">
        <v>2374</v>
      </c>
      <c r="BL18" s="35" t="s">
        <v>2492</v>
      </c>
      <c r="BM18" s="35">
        <v>13</v>
      </c>
      <c r="BW18" s="248"/>
      <c r="BX18" s="248"/>
      <c r="BY18" s="248"/>
      <c r="BZ18" s="248"/>
      <c r="CA18" s="248"/>
      <c r="CB18" s="248"/>
      <c r="CC18" s="248"/>
      <c r="CD18" s="248"/>
      <c r="CE18" s="248"/>
      <c r="CF18" s="248"/>
      <c r="CG18" s="248"/>
      <c r="CH18" s="248"/>
      <c r="CI18" s="248"/>
      <c r="CJ18" s="248"/>
      <c r="CK18" s="248"/>
      <c r="CL18" s="248"/>
      <c r="CM18" s="248"/>
      <c r="CN18" s="248"/>
      <c r="CO18" s="248"/>
      <c r="CP18" s="248"/>
      <c r="CQ18" s="248"/>
      <c r="CR18" s="248"/>
      <c r="CS18" s="248"/>
      <c r="CT18" s="248"/>
      <c r="CU18" s="248"/>
      <c r="CV18" s="248"/>
      <c r="CW18" s="248"/>
      <c r="CX18" s="248"/>
      <c r="CY18" s="248"/>
      <c r="CZ18" s="248"/>
      <c r="DA18" s="248"/>
      <c r="DB18" s="248"/>
      <c r="DC18" s="248"/>
      <c r="DD18" s="248"/>
      <c r="DE18" s="248"/>
      <c r="DF18" s="248"/>
      <c r="DG18" s="248"/>
      <c r="DH18" s="248"/>
      <c r="DI18" s="248"/>
      <c r="DJ18" s="248"/>
      <c r="DK18" s="248"/>
      <c r="DL18" s="248"/>
      <c r="DM18" s="248"/>
      <c r="DN18" s="248"/>
      <c r="DO18" s="248"/>
      <c r="DP18" s="248"/>
      <c r="DQ18" s="248"/>
      <c r="DR18" s="248"/>
      <c r="DS18" s="248"/>
      <c r="DT18" s="248"/>
      <c r="DU18" s="248"/>
      <c r="DV18" s="248"/>
      <c r="DW18" s="248"/>
      <c r="DX18" s="248"/>
      <c r="DY18" s="248"/>
      <c r="DZ18" s="248"/>
      <c r="EA18" s="248"/>
      <c r="EB18" s="248"/>
      <c r="EC18" s="248"/>
      <c r="ED18" s="248"/>
      <c r="EE18" s="248"/>
    </row>
    <row r="19" spans="1:135" s="35" customFormat="1" ht="16.5">
      <c r="A19" s="35" t="str">
        <f t="shared" si="0"/>
        <v>SP_MB31_B1          KI_A</v>
      </c>
      <c r="B19" s="331"/>
      <c r="C19" s="248">
        <v>14</v>
      </c>
      <c r="D19" s="283" t="s">
        <v>605</v>
      </c>
      <c r="E19" s="283"/>
      <c r="F19" s="35" t="s">
        <v>1086</v>
      </c>
      <c r="G19" s="39" t="s">
        <v>2225</v>
      </c>
      <c r="H19" s="35" t="s">
        <v>609</v>
      </c>
      <c r="N19" s="35" t="s">
        <v>537</v>
      </c>
      <c r="O19" s="34" t="s">
        <v>1086</v>
      </c>
      <c r="P19" s="34" t="s">
        <v>1086</v>
      </c>
      <c r="Q19" s="58"/>
      <c r="R19" s="39"/>
      <c r="AH19" s="279"/>
      <c r="AJ19" s="279" t="s">
        <v>1117</v>
      </c>
      <c r="AK19" s="279"/>
      <c r="AL19" s="523">
        <v>3</v>
      </c>
      <c r="AM19" s="35">
        <v>14</v>
      </c>
      <c r="AN19" s="35" t="s">
        <v>1373</v>
      </c>
      <c r="AO19" s="35" t="s">
        <v>2145</v>
      </c>
      <c r="AP19" s="35" t="s">
        <v>532</v>
      </c>
      <c r="AQ19" s="34" t="s">
        <v>2225</v>
      </c>
      <c r="AR19" s="35">
        <v>1</v>
      </c>
      <c r="AS19" s="35" t="s">
        <v>1748</v>
      </c>
      <c r="AT19" s="35" t="s">
        <v>10</v>
      </c>
      <c r="AU19" s="35" t="s">
        <v>10</v>
      </c>
      <c r="AV19" s="35" t="s">
        <v>896</v>
      </c>
      <c r="AW19" s="35" t="s">
        <v>624</v>
      </c>
      <c r="AX19" s="34" t="s">
        <v>2254</v>
      </c>
      <c r="AY19" s="35">
        <v>30</v>
      </c>
      <c r="AZ19" s="35" t="s">
        <v>350</v>
      </c>
      <c r="BA19" s="35" t="s">
        <v>77</v>
      </c>
      <c r="BB19" s="35" t="s">
        <v>10</v>
      </c>
      <c r="BC19" s="35" t="s">
        <v>26</v>
      </c>
      <c r="BD19" s="35" t="s">
        <v>1742</v>
      </c>
      <c r="BE19" s="35" t="s">
        <v>10</v>
      </c>
      <c r="BF19" s="35" t="s">
        <v>10</v>
      </c>
      <c r="BG19" s="35">
        <v>567</v>
      </c>
      <c r="BH19" s="35" t="s">
        <v>25</v>
      </c>
      <c r="BI19" s="35">
        <v>0.5</v>
      </c>
      <c r="BJ19" s="35" t="s">
        <v>1285</v>
      </c>
      <c r="BK19" s="35" t="s">
        <v>2374</v>
      </c>
      <c r="BL19" s="35" t="s">
        <v>2492</v>
      </c>
      <c r="BM19" s="35">
        <v>14</v>
      </c>
      <c r="BW19" s="248"/>
      <c r="BX19" s="248"/>
      <c r="BY19" s="248"/>
      <c r="BZ19" s="248"/>
      <c r="CA19" s="248"/>
      <c r="CB19" s="248"/>
      <c r="CC19" s="248"/>
      <c r="CD19" s="248"/>
      <c r="CE19" s="248"/>
      <c r="CF19" s="248"/>
      <c r="CG19" s="248"/>
      <c r="CH19" s="248"/>
      <c r="CI19" s="248"/>
      <c r="CJ19" s="248"/>
      <c r="CK19" s="248"/>
      <c r="CL19" s="248"/>
      <c r="CM19" s="248"/>
      <c r="CN19" s="248"/>
      <c r="CO19" s="248"/>
      <c r="CP19" s="248"/>
      <c r="CQ19" s="248"/>
      <c r="CR19" s="248"/>
      <c r="CS19" s="248"/>
      <c r="CT19" s="248"/>
      <c r="CU19" s="248"/>
      <c r="CV19" s="248"/>
      <c r="CW19" s="248"/>
      <c r="CX19" s="248"/>
      <c r="CY19" s="248"/>
      <c r="CZ19" s="248"/>
      <c r="DA19" s="248"/>
      <c r="DB19" s="248"/>
      <c r="DC19" s="248"/>
      <c r="DD19" s="248"/>
      <c r="DE19" s="248"/>
      <c r="DF19" s="248"/>
      <c r="DG19" s="248"/>
      <c r="DH19" s="248"/>
      <c r="DI19" s="248"/>
      <c r="DJ19" s="248"/>
      <c r="DK19" s="248"/>
      <c r="DL19" s="248"/>
      <c r="DM19" s="248"/>
      <c r="DN19" s="248"/>
      <c r="DO19" s="248"/>
      <c r="DP19" s="248"/>
      <c r="DQ19" s="248"/>
      <c r="DR19" s="248"/>
      <c r="DS19" s="248"/>
      <c r="DT19" s="248"/>
      <c r="DU19" s="248"/>
      <c r="DV19" s="248"/>
      <c r="DW19" s="248"/>
      <c r="DX19" s="248"/>
      <c r="DY19" s="248"/>
      <c r="DZ19" s="248"/>
      <c r="EA19" s="248"/>
      <c r="EB19" s="248"/>
      <c r="EC19" s="248"/>
      <c r="ED19" s="248"/>
      <c r="EE19" s="248"/>
    </row>
    <row r="20" spans="1:135" s="35" customFormat="1" ht="16.5">
      <c r="A20" s="35" t="str">
        <f t="shared" si="0"/>
        <v>KS_CPL_B            SP_CANLK</v>
      </c>
      <c r="B20" s="331"/>
      <c r="C20" s="248">
        <v>15</v>
      </c>
      <c r="D20" s="283" t="s">
        <v>605</v>
      </c>
      <c r="E20" s="283"/>
      <c r="F20" s="177" t="s">
        <v>1293</v>
      </c>
      <c r="G20" s="39" t="s">
        <v>2226</v>
      </c>
      <c r="H20" s="35" t="s">
        <v>610</v>
      </c>
      <c r="N20" s="35" t="s">
        <v>619</v>
      </c>
      <c r="O20" s="34" t="s">
        <v>1086</v>
      </c>
      <c r="P20" s="285" t="s">
        <v>1097</v>
      </c>
      <c r="Q20" s="58"/>
      <c r="R20" s="39"/>
      <c r="AH20" s="279"/>
      <c r="AJ20" s="279" t="s">
        <v>1116</v>
      </c>
      <c r="AK20" s="279"/>
      <c r="AL20" s="523">
        <v>3</v>
      </c>
      <c r="AM20" s="35">
        <v>15</v>
      </c>
      <c r="AN20" s="35" t="s">
        <v>1750</v>
      </c>
      <c r="AO20" s="35" t="s">
        <v>416</v>
      </c>
      <c r="AP20" s="35" t="s">
        <v>623</v>
      </c>
      <c r="AQ20" s="34" t="s">
        <v>1741</v>
      </c>
      <c r="AR20" s="35">
        <v>1</v>
      </c>
      <c r="AS20" s="35" t="s">
        <v>1398</v>
      </c>
      <c r="AT20" s="35" t="s">
        <v>72</v>
      </c>
      <c r="AU20" s="35" t="s">
        <v>10</v>
      </c>
      <c r="AV20" s="35" t="s">
        <v>1689</v>
      </c>
      <c r="AW20" s="35" t="s">
        <v>1188</v>
      </c>
      <c r="AX20" s="34" t="s">
        <v>2226</v>
      </c>
      <c r="AY20" s="35">
        <v>1</v>
      </c>
      <c r="AZ20" s="35" t="s">
        <v>628</v>
      </c>
      <c r="BA20" s="35" t="s">
        <v>10</v>
      </c>
      <c r="BB20" s="35" t="s">
        <v>10</v>
      </c>
      <c r="BC20" s="35" t="s">
        <v>2384</v>
      </c>
      <c r="BD20" s="35" t="s">
        <v>1742</v>
      </c>
      <c r="BE20" s="35" t="s">
        <v>629</v>
      </c>
      <c r="BF20" s="35" t="s">
        <v>88</v>
      </c>
      <c r="BG20" s="35">
        <v>691</v>
      </c>
      <c r="BH20" s="35" t="s">
        <v>89</v>
      </c>
      <c r="BI20" s="35">
        <v>0.35</v>
      </c>
      <c r="BJ20" s="35" t="s">
        <v>1752</v>
      </c>
      <c r="BK20" s="35" t="s">
        <v>2374</v>
      </c>
      <c r="BL20" s="35" t="s">
        <v>2492</v>
      </c>
      <c r="BM20" s="35">
        <v>15</v>
      </c>
      <c r="BW20" s="248"/>
      <c r="BX20" s="248"/>
      <c r="BY20" s="248"/>
      <c r="BZ20" s="248"/>
      <c r="CA20" s="248"/>
      <c r="CB20" s="248"/>
      <c r="CC20" s="248"/>
      <c r="CD20" s="248"/>
      <c r="CE20" s="248"/>
      <c r="CF20" s="248"/>
      <c r="CG20" s="248"/>
      <c r="CH20" s="248"/>
      <c r="CI20" s="248"/>
      <c r="CJ20" s="248"/>
      <c r="CK20" s="248"/>
      <c r="CL20" s="248"/>
      <c r="CM20" s="248"/>
      <c r="CN20" s="248"/>
      <c r="CO20" s="248"/>
      <c r="CP20" s="248"/>
      <c r="CQ20" s="248"/>
      <c r="CR20" s="248"/>
      <c r="CS20" s="248"/>
      <c r="CT20" s="248"/>
      <c r="CU20" s="248"/>
      <c r="CV20" s="248"/>
      <c r="CW20" s="248"/>
      <c r="CX20" s="248"/>
      <c r="CY20" s="248"/>
      <c r="CZ20" s="248"/>
      <c r="DA20" s="248"/>
      <c r="DB20" s="248"/>
      <c r="DC20" s="248"/>
      <c r="DD20" s="248"/>
      <c r="DE20" s="248"/>
      <c r="DF20" s="248"/>
      <c r="DG20" s="248"/>
      <c r="DH20" s="248"/>
      <c r="DI20" s="248"/>
      <c r="DJ20" s="248"/>
      <c r="DK20" s="248"/>
      <c r="DL20" s="248"/>
      <c r="DM20" s="248"/>
      <c r="DN20" s="248"/>
      <c r="DO20" s="248"/>
      <c r="DP20" s="248"/>
      <c r="DQ20" s="248"/>
      <c r="DR20" s="248"/>
      <c r="DS20" s="248"/>
      <c r="DT20" s="248"/>
      <c r="DU20" s="248"/>
      <c r="DV20" s="248"/>
      <c r="DW20" s="248"/>
      <c r="DX20" s="248"/>
      <c r="DY20" s="248"/>
      <c r="DZ20" s="248"/>
      <c r="EA20" s="248"/>
      <c r="EB20" s="248"/>
      <c r="EC20" s="248"/>
      <c r="ED20" s="248"/>
      <c r="EE20" s="248"/>
    </row>
    <row r="21" spans="1:135" s="35" customFormat="1" ht="16.5">
      <c r="A21" s="35" t="str">
        <f t="shared" si="0"/>
        <v>KS_CPL_B            SP_CANHK</v>
      </c>
      <c r="B21" s="331"/>
      <c r="C21" s="248">
        <v>16</v>
      </c>
      <c r="D21" s="283" t="s">
        <v>605</v>
      </c>
      <c r="E21" s="283"/>
      <c r="F21" s="177" t="s">
        <v>1293</v>
      </c>
      <c r="G21" s="39" t="s">
        <v>2227</v>
      </c>
      <c r="H21" s="35" t="s">
        <v>610</v>
      </c>
      <c r="N21" s="35" t="s">
        <v>619</v>
      </c>
      <c r="O21" s="34" t="s">
        <v>1086</v>
      </c>
      <c r="P21" s="285" t="s">
        <v>1097</v>
      </c>
      <c r="Q21" s="58"/>
      <c r="R21" s="39"/>
      <c r="AH21" s="279"/>
      <c r="AJ21" s="279" t="s">
        <v>1116</v>
      </c>
      <c r="AK21" s="279"/>
      <c r="AL21" s="523">
        <v>3</v>
      </c>
      <c r="AM21" s="35">
        <v>16</v>
      </c>
      <c r="AN21" s="35" t="s">
        <v>1753</v>
      </c>
      <c r="AO21" s="35" t="s">
        <v>416</v>
      </c>
      <c r="AP21" s="35" t="s">
        <v>623</v>
      </c>
      <c r="AQ21" s="34" t="s">
        <v>1741</v>
      </c>
      <c r="AR21" s="35">
        <v>2</v>
      </c>
      <c r="AS21" s="35" t="s">
        <v>1398</v>
      </c>
      <c r="AT21" s="35" t="s">
        <v>72</v>
      </c>
      <c r="AU21" s="35" t="s">
        <v>10</v>
      </c>
      <c r="AV21" s="35" t="s">
        <v>1690</v>
      </c>
      <c r="AW21" s="35" t="s">
        <v>1187</v>
      </c>
      <c r="AX21" s="34" t="s">
        <v>2227</v>
      </c>
      <c r="AY21" s="35">
        <v>1</v>
      </c>
      <c r="AZ21" s="35" t="s">
        <v>628</v>
      </c>
      <c r="BA21" s="35" t="s">
        <v>10</v>
      </c>
      <c r="BB21" s="35" t="s">
        <v>10</v>
      </c>
      <c r="BC21" s="35" t="s">
        <v>2384</v>
      </c>
      <c r="BD21" s="35" t="s">
        <v>1742</v>
      </c>
      <c r="BE21" s="35" t="s">
        <v>629</v>
      </c>
      <c r="BF21" s="35" t="s">
        <v>109</v>
      </c>
      <c r="BG21" s="35">
        <v>691</v>
      </c>
      <c r="BH21" s="35" t="s">
        <v>110</v>
      </c>
      <c r="BI21" s="35">
        <v>0.35</v>
      </c>
      <c r="BJ21" s="35" t="s">
        <v>1755</v>
      </c>
      <c r="BK21" s="35" t="s">
        <v>2374</v>
      </c>
      <c r="BL21" s="35" t="s">
        <v>2492</v>
      </c>
      <c r="BM21" s="35">
        <v>16</v>
      </c>
      <c r="BW21" s="248"/>
      <c r="BX21" s="248"/>
      <c r="BY21" s="248"/>
      <c r="BZ21" s="248"/>
      <c r="CA21" s="248"/>
      <c r="CB21" s="248"/>
      <c r="CC21" s="248"/>
      <c r="CD21" s="248"/>
      <c r="CE21" s="248"/>
      <c r="CF21" s="248"/>
      <c r="CG21" s="248"/>
      <c r="CH21" s="248"/>
      <c r="CI21" s="248"/>
      <c r="CJ21" s="248"/>
      <c r="CK21" s="248"/>
      <c r="CL21" s="248"/>
      <c r="CM21" s="248"/>
      <c r="CN21" s="248"/>
      <c r="CO21" s="248"/>
      <c r="CP21" s="248"/>
      <c r="CQ21" s="248"/>
      <c r="CR21" s="248"/>
      <c r="CS21" s="248"/>
      <c r="CT21" s="248"/>
      <c r="CU21" s="248"/>
      <c r="CV21" s="248"/>
      <c r="CW21" s="248"/>
      <c r="CX21" s="248"/>
      <c r="CY21" s="248"/>
      <c r="CZ21" s="248"/>
      <c r="DA21" s="248"/>
      <c r="DB21" s="248"/>
      <c r="DC21" s="248"/>
      <c r="DD21" s="248"/>
      <c r="DE21" s="248"/>
      <c r="DF21" s="248"/>
      <c r="DG21" s="248"/>
      <c r="DH21" s="248"/>
      <c r="DI21" s="248"/>
      <c r="DJ21" s="248"/>
      <c r="DK21" s="248"/>
      <c r="DL21" s="248"/>
      <c r="DM21" s="248"/>
      <c r="DN21" s="248"/>
      <c r="DO21" s="248"/>
      <c r="DP21" s="248"/>
      <c r="DQ21" s="248"/>
      <c r="DR21" s="248"/>
      <c r="DS21" s="248"/>
      <c r="DT21" s="248"/>
      <c r="DU21" s="248"/>
      <c r="DV21" s="248"/>
      <c r="DW21" s="248"/>
      <c r="DX21" s="248"/>
      <c r="DY21" s="248"/>
      <c r="DZ21" s="248"/>
      <c r="EA21" s="248"/>
      <c r="EB21" s="248"/>
      <c r="EC21" s="248"/>
      <c r="ED21" s="248"/>
      <c r="EE21" s="248"/>
    </row>
    <row r="22" spans="1:135" s="35" customFormat="1" ht="16.5">
      <c r="A22" s="35" t="str">
        <f t="shared" si="0"/>
        <v>HSKL                SHKS</v>
      </c>
      <c r="B22" s="331"/>
      <c r="C22" s="248">
        <v>17</v>
      </c>
      <c r="D22" s="283" t="s">
        <v>605</v>
      </c>
      <c r="E22" s="283"/>
      <c r="F22" s="35" t="s">
        <v>1086</v>
      </c>
      <c r="O22" s="34" t="s">
        <v>1086</v>
      </c>
      <c r="P22" s="34" t="s">
        <v>1086</v>
      </c>
      <c r="Q22" s="58"/>
      <c r="R22" s="39"/>
      <c r="AH22" s="279"/>
      <c r="AJ22" s="279" t="s">
        <v>1117</v>
      </c>
      <c r="AK22" s="279"/>
      <c r="AL22" s="523">
        <v>3</v>
      </c>
      <c r="AM22" s="35">
        <v>17</v>
      </c>
      <c r="AN22" s="35" t="s">
        <v>1377</v>
      </c>
      <c r="AO22" s="35" t="s">
        <v>912</v>
      </c>
      <c r="AP22" s="35" t="s">
        <v>630</v>
      </c>
      <c r="AQ22" s="34" t="s">
        <v>2256</v>
      </c>
      <c r="AR22" s="35">
        <v>1</v>
      </c>
      <c r="AS22" s="35" t="s">
        <v>1378</v>
      </c>
      <c r="AT22" s="35" t="s">
        <v>77</v>
      </c>
      <c r="AU22" s="35" t="s">
        <v>10</v>
      </c>
      <c r="AV22" s="35" t="s">
        <v>1691</v>
      </c>
      <c r="AW22" s="35" t="s">
        <v>631</v>
      </c>
      <c r="AX22" s="34" t="s">
        <v>2304</v>
      </c>
      <c r="AY22" s="35">
        <v>1</v>
      </c>
      <c r="AZ22" s="35" t="s">
        <v>649</v>
      </c>
      <c r="BA22" s="35" t="s">
        <v>598</v>
      </c>
      <c r="BB22" s="35" t="s">
        <v>10</v>
      </c>
      <c r="BC22" s="35" t="s">
        <v>82</v>
      </c>
      <c r="BD22" s="35" t="s">
        <v>1742</v>
      </c>
      <c r="BE22" s="35" t="s">
        <v>10</v>
      </c>
      <c r="BF22" s="35" t="s">
        <v>10</v>
      </c>
      <c r="BG22" s="35">
        <v>619</v>
      </c>
      <c r="BH22" s="35" t="s">
        <v>83</v>
      </c>
      <c r="BI22" s="35">
        <v>0.5</v>
      </c>
      <c r="BJ22" s="35" t="s">
        <v>1379</v>
      </c>
      <c r="BK22" s="35" t="s">
        <v>2374</v>
      </c>
      <c r="BL22" s="35" t="s">
        <v>2492</v>
      </c>
      <c r="BM22" s="35">
        <v>17</v>
      </c>
      <c r="BW22" s="248"/>
      <c r="BX22" s="248"/>
      <c r="BY22" s="248"/>
      <c r="BZ22" s="248"/>
      <c r="CA22" s="248"/>
      <c r="CB22" s="248"/>
      <c r="CC22" s="248"/>
      <c r="CD22" s="248"/>
      <c r="CE22" s="248"/>
      <c r="CF22" s="248"/>
      <c r="CG22" s="248"/>
      <c r="CH22" s="248"/>
      <c r="CI22" s="248"/>
      <c r="CJ22" s="248"/>
      <c r="CK22" s="248"/>
      <c r="CL22" s="248"/>
      <c r="CM22" s="248"/>
      <c r="CN22" s="248"/>
      <c r="CO22" s="248"/>
      <c r="CP22" s="248"/>
      <c r="CQ22" s="248"/>
      <c r="CR22" s="248"/>
      <c r="CS22" s="248"/>
      <c r="CT22" s="248"/>
      <c r="CU22" s="248"/>
      <c r="CV22" s="248"/>
      <c r="CW22" s="248"/>
      <c r="CX22" s="248"/>
      <c r="CY22" s="248"/>
      <c r="CZ22" s="248"/>
      <c r="DA22" s="248"/>
      <c r="DB22" s="248"/>
      <c r="DC22" s="248"/>
      <c r="DD22" s="248"/>
      <c r="DE22" s="248"/>
      <c r="DF22" s="248"/>
      <c r="DG22" s="248"/>
      <c r="DH22" s="248"/>
      <c r="DI22" s="248"/>
      <c r="DJ22" s="248"/>
      <c r="DK22" s="248"/>
      <c r="DL22" s="248"/>
      <c r="DM22" s="248"/>
      <c r="DN22" s="248"/>
      <c r="DO22" s="248"/>
      <c r="DP22" s="248"/>
      <c r="DQ22" s="248"/>
      <c r="DR22" s="248"/>
      <c r="DS22" s="248"/>
      <c r="DT22" s="248"/>
      <c r="DU22" s="248"/>
      <c r="DV22" s="248"/>
      <c r="DW22" s="248"/>
      <c r="DX22" s="248"/>
      <c r="DY22" s="248"/>
      <c r="DZ22" s="248"/>
      <c r="EA22" s="248"/>
      <c r="EB22" s="248"/>
      <c r="EC22" s="248"/>
      <c r="ED22" s="248"/>
      <c r="EE22" s="248"/>
    </row>
    <row r="23" spans="1:135" s="35" customFormat="1" ht="16.5">
      <c r="A23" s="35" t="str">
        <f t="shared" si="0"/>
        <v>SP_MB32_B2          SHKS</v>
      </c>
      <c r="B23" s="331"/>
      <c r="C23" s="248">
        <v>18</v>
      </c>
      <c r="D23" s="283" t="s">
        <v>605</v>
      </c>
      <c r="E23" s="283"/>
      <c r="F23" s="35" t="s">
        <v>1086</v>
      </c>
      <c r="G23" s="35" t="s">
        <v>2228</v>
      </c>
      <c r="H23" s="35" t="s">
        <v>609</v>
      </c>
      <c r="N23" s="35" t="s">
        <v>537</v>
      </c>
      <c r="O23" s="34" t="s">
        <v>1086</v>
      </c>
      <c r="P23" s="34" t="s">
        <v>1086</v>
      </c>
      <c r="Q23" s="58"/>
      <c r="R23" s="39"/>
      <c r="AH23" s="279"/>
      <c r="AJ23" s="279" t="s">
        <v>1117</v>
      </c>
      <c r="AK23" s="279"/>
      <c r="AL23" s="523">
        <v>3</v>
      </c>
      <c r="AM23" s="35">
        <v>18</v>
      </c>
      <c r="AN23" s="35" t="s">
        <v>1490</v>
      </c>
      <c r="AO23" s="35" t="s">
        <v>2146</v>
      </c>
      <c r="AP23" s="35" t="s">
        <v>250</v>
      </c>
      <c r="AQ23" s="34" t="s">
        <v>2228</v>
      </c>
      <c r="AR23" s="35">
        <v>1</v>
      </c>
      <c r="AS23" s="35" t="s">
        <v>1170</v>
      </c>
      <c r="AT23" s="35" t="s">
        <v>10</v>
      </c>
      <c r="AU23" s="35" t="s">
        <v>10</v>
      </c>
      <c r="AV23" s="35" t="s">
        <v>1691</v>
      </c>
      <c r="AW23" s="35" t="s">
        <v>631</v>
      </c>
      <c r="AX23" s="34" t="s">
        <v>2304</v>
      </c>
      <c r="AY23" s="35">
        <v>2</v>
      </c>
      <c r="AZ23" s="35" t="s">
        <v>649</v>
      </c>
      <c r="BA23" s="35" t="s">
        <v>598</v>
      </c>
      <c r="BB23" s="35" t="s">
        <v>10</v>
      </c>
      <c r="BC23" s="35" t="s">
        <v>26</v>
      </c>
      <c r="BD23" s="35" t="s">
        <v>1742</v>
      </c>
      <c r="BE23" s="35" t="s">
        <v>10</v>
      </c>
      <c r="BF23" s="35" t="s">
        <v>10</v>
      </c>
      <c r="BG23" s="35">
        <v>1109</v>
      </c>
      <c r="BH23" s="35" t="s">
        <v>25</v>
      </c>
      <c r="BI23" s="35">
        <v>0.5</v>
      </c>
      <c r="BJ23" s="35" t="s">
        <v>1296</v>
      </c>
      <c r="BK23" s="35" t="s">
        <v>2374</v>
      </c>
      <c r="BL23" s="35" t="s">
        <v>2492</v>
      </c>
      <c r="BM23" s="35">
        <v>18</v>
      </c>
      <c r="BW23" s="248"/>
      <c r="BX23" s="248"/>
      <c r="BY23" s="248"/>
      <c r="BZ23" s="248"/>
      <c r="CA23" s="248"/>
      <c r="CB23" s="248"/>
      <c r="CC23" s="248"/>
      <c r="CD23" s="248"/>
      <c r="CE23" s="248"/>
      <c r="CF23" s="248"/>
      <c r="CG23" s="248"/>
      <c r="CH23" s="248"/>
      <c r="CI23" s="248"/>
      <c r="CJ23" s="248"/>
      <c r="CK23" s="248"/>
      <c r="CL23" s="248"/>
      <c r="CM23" s="248"/>
      <c r="CN23" s="248"/>
      <c r="CO23" s="248"/>
      <c r="CP23" s="248"/>
      <c r="CQ23" s="248"/>
      <c r="CR23" s="248"/>
      <c r="CS23" s="248"/>
      <c r="CT23" s="248"/>
      <c r="CU23" s="248"/>
      <c r="CV23" s="248"/>
      <c r="CW23" s="248"/>
      <c r="CX23" s="248"/>
      <c r="CY23" s="248"/>
      <c r="CZ23" s="248"/>
      <c r="DA23" s="248"/>
      <c r="DB23" s="248"/>
      <c r="DC23" s="248"/>
      <c r="DD23" s="248"/>
      <c r="DE23" s="248"/>
      <c r="DF23" s="248"/>
      <c r="DG23" s="248"/>
      <c r="DH23" s="248"/>
      <c r="DI23" s="248"/>
      <c r="DJ23" s="248"/>
      <c r="DK23" s="248"/>
      <c r="DL23" s="248"/>
      <c r="DM23" s="248"/>
      <c r="DN23" s="248"/>
      <c r="DO23" s="248"/>
      <c r="DP23" s="248"/>
      <c r="DQ23" s="248"/>
      <c r="DR23" s="248"/>
      <c r="DS23" s="248"/>
      <c r="DT23" s="248"/>
      <c r="DU23" s="248"/>
      <c r="DV23" s="248"/>
      <c r="DW23" s="248"/>
      <c r="DX23" s="248"/>
      <c r="DY23" s="248"/>
      <c r="DZ23" s="248"/>
      <c r="EA23" s="248"/>
      <c r="EB23" s="248"/>
      <c r="EC23" s="248"/>
      <c r="ED23" s="248"/>
      <c r="EE23" s="248"/>
    </row>
    <row r="24" spans="1:135" s="35" customFormat="1" ht="16.5">
      <c r="A24" s="35" t="str">
        <f t="shared" si="0"/>
        <v>KS_CPL_C            HSKL</v>
      </c>
      <c r="B24" s="331"/>
      <c r="C24" s="248">
        <v>19</v>
      </c>
      <c r="D24" s="283" t="s">
        <v>605</v>
      </c>
      <c r="E24" s="283"/>
      <c r="F24" s="35" t="s">
        <v>1086</v>
      </c>
      <c r="O24" s="34" t="s">
        <v>1086</v>
      </c>
      <c r="P24" s="34" t="s">
        <v>1086</v>
      </c>
      <c r="Q24" s="58"/>
      <c r="R24" s="39"/>
      <c r="AH24" s="279"/>
      <c r="AJ24" s="279" t="s">
        <v>1117</v>
      </c>
      <c r="AK24" s="279"/>
      <c r="AL24" s="523">
        <v>3</v>
      </c>
      <c r="AM24" s="35">
        <v>19</v>
      </c>
      <c r="AN24" s="35" t="s">
        <v>1757</v>
      </c>
      <c r="AO24" s="35" t="s">
        <v>416</v>
      </c>
      <c r="AP24" s="35" t="s">
        <v>632</v>
      </c>
      <c r="AQ24" s="34" t="s">
        <v>1758</v>
      </c>
      <c r="AR24" s="35">
        <v>9</v>
      </c>
      <c r="AS24" s="35" t="s">
        <v>1759</v>
      </c>
      <c r="AT24" s="35" t="s">
        <v>81</v>
      </c>
      <c r="AU24" s="35" t="s">
        <v>10</v>
      </c>
      <c r="AV24" s="35" t="s">
        <v>912</v>
      </c>
      <c r="AW24" s="35" t="s">
        <v>630</v>
      </c>
      <c r="AX24" s="34" t="s">
        <v>2256</v>
      </c>
      <c r="AY24" s="35">
        <v>2</v>
      </c>
      <c r="AZ24" s="35" t="s">
        <v>1378</v>
      </c>
      <c r="BA24" s="35" t="s">
        <v>77</v>
      </c>
      <c r="BB24" s="35" t="s">
        <v>10</v>
      </c>
      <c r="BC24" s="35" t="s">
        <v>251</v>
      </c>
      <c r="BD24" s="35" t="s">
        <v>1742</v>
      </c>
      <c r="BE24" s="35" t="s">
        <v>10</v>
      </c>
      <c r="BF24" s="35" t="s">
        <v>10</v>
      </c>
      <c r="BG24" s="35">
        <v>1569</v>
      </c>
      <c r="BH24" s="35" t="s">
        <v>76</v>
      </c>
      <c r="BI24" s="35">
        <v>0.5</v>
      </c>
      <c r="BJ24" s="35" t="s">
        <v>1380</v>
      </c>
      <c r="BK24" s="35" t="s">
        <v>2374</v>
      </c>
      <c r="BL24" s="35" t="s">
        <v>2492</v>
      </c>
      <c r="BM24" s="35">
        <v>19</v>
      </c>
      <c r="BW24" s="248"/>
      <c r="BX24" s="248"/>
      <c r="BY24" s="248"/>
      <c r="BZ24" s="248"/>
      <c r="CA24" s="248"/>
      <c r="CB24" s="248"/>
      <c r="CC24" s="248"/>
      <c r="CD24" s="248"/>
      <c r="CE24" s="248"/>
      <c r="CF24" s="248"/>
      <c r="CG24" s="248"/>
      <c r="CH24" s="248"/>
      <c r="CI24" s="248"/>
      <c r="CJ24" s="248"/>
      <c r="CK24" s="248"/>
      <c r="CL24" s="248"/>
      <c r="CM24" s="248"/>
      <c r="CN24" s="248"/>
      <c r="CO24" s="248"/>
      <c r="CP24" s="248"/>
      <c r="CQ24" s="248"/>
      <c r="CR24" s="248"/>
      <c r="CS24" s="248"/>
      <c r="CT24" s="248"/>
      <c r="CU24" s="248"/>
      <c r="CV24" s="248"/>
      <c r="CW24" s="248"/>
      <c r="CX24" s="248"/>
      <c r="CY24" s="248"/>
      <c r="CZ24" s="248"/>
      <c r="DA24" s="248"/>
      <c r="DB24" s="248"/>
      <c r="DC24" s="248"/>
      <c r="DD24" s="248"/>
      <c r="DE24" s="248"/>
      <c r="DF24" s="248"/>
      <c r="DG24" s="248"/>
      <c r="DH24" s="248"/>
      <c r="DI24" s="248"/>
      <c r="DJ24" s="248"/>
      <c r="DK24" s="248"/>
      <c r="DL24" s="248"/>
      <c r="DM24" s="248"/>
      <c r="DN24" s="248"/>
      <c r="DO24" s="248"/>
      <c r="DP24" s="248"/>
      <c r="DQ24" s="248"/>
      <c r="DR24" s="248"/>
      <c r="DS24" s="248"/>
      <c r="DT24" s="248"/>
      <c r="DU24" s="248"/>
      <c r="DV24" s="248"/>
      <c r="DW24" s="248"/>
      <c r="DX24" s="248"/>
      <c r="DY24" s="248"/>
      <c r="DZ24" s="248"/>
      <c r="EA24" s="248"/>
      <c r="EB24" s="248"/>
      <c r="EC24" s="248"/>
      <c r="ED24" s="248"/>
      <c r="EE24" s="248"/>
    </row>
    <row r="25" spans="1:135" s="35" customFormat="1" ht="16.5">
      <c r="A25" s="35" t="str">
        <f t="shared" si="0"/>
        <v>KS_CPL_C            KI_A</v>
      </c>
      <c r="B25" s="331"/>
      <c r="C25" s="248">
        <v>22</v>
      </c>
      <c r="D25" s="283" t="s">
        <v>605</v>
      </c>
      <c r="E25" s="283"/>
      <c r="F25" s="35" t="s">
        <v>1086</v>
      </c>
      <c r="G25" s="39"/>
      <c r="O25" s="34" t="s">
        <v>1086</v>
      </c>
      <c r="P25" s="34" t="s">
        <v>1086</v>
      </c>
      <c r="Q25" s="58"/>
      <c r="R25" s="39"/>
      <c r="AH25" s="279"/>
      <c r="AJ25" s="279" t="s">
        <v>1117</v>
      </c>
      <c r="AK25" s="279"/>
      <c r="AL25" s="523">
        <v>3</v>
      </c>
      <c r="AM25" s="35">
        <v>22</v>
      </c>
      <c r="AN25" s="35" t="s">
        <v>1762</v>
      </c>
      <c r="AO25" s="35" t="s">
        <v>416</v>
      </c>
      <c r="AP25" s="35" t="s">
        <v>632</v>
      </c>
      <c r="AQ25" s="34" t="s">
        <v>1758</v>
      </c>
      <c r="AR25" s="35">
        <v>11</v>
      </c>
      <c r="AS25" s="35" t="s">
        <v>1759</v>
      </c>
      <c r="AT25" s="35" t="s">
        <v>492</v>
      </c>
      <c r="AU25" s="35" t="s">
        <v>10</v>
      </c>
      <c r="AV25" s="35" t="s">
        <v>896</v>
      </c>
      <c r="AW25" s="35" t="s">
        <v>624</v>
      </c>
      <c r="AX25" s="34" t="s">
        <v>2254</v>
      </c>
      <c r="AY25" s="35">
        <v>16</v>
      </c>
      <c r="AZ25" s="35" t="s">
        <v>350</v>
      </c>
      <c r="BA25" s="35" t="s">
        <v>218</v>
      </c>
      <c r="BB25" s="35" t="s">
        <v>10</v>
      </c>
      <c r="BC25" s="35" t="s">
        <v>329</v>
      </c>
      <c r="BD25" s="35" t="s">
        <v>1742</v>
      </c>
      <c r="BE25" s="35" t="s">
        <v>10</v>
      </c>
      <c r="BF25" s="35" t="s">
        <v>10</v>
      </c>
      <c r="BG25" s="35">
        <v>905</v>
      </c>
      <c r="BH25" s="35" t="s">
        <v>189</v>
      </c>
      <c r="BI25" s="35">
        <v>0.13</v>
      </c>
      <c r="BJ25" s="35" t="s">
        <v>1763</v>
      </c>
      <c r="BK25" s="35" t="s">
        <v>2374</v>
      </c>
      <c r="BL25" s="35" t="s">
        <v>2492</v>
      </c>
      <c r="BM25" s="35">
        <v>22</v>
      </c>
      <c r="BW25" s="248"/>
      <c r="BX25" s="248"/>
      <c r="BY25" s="248"/>
      <c r="BZ25" s="248"/>
      <c r="CA25" s="248"/>
      <c r="CB25" s="248"/>
      <c r="CC25" s="248"/>
      <c r="CD25" s="248"/>
      <c r="CE25" s="248"/>
      <c r="CF25" s="248"/>
      <c r="CG25" s="248"/>
      <c r="CH25" s="248"/>
      <c r="CI25" s="248"/>
      <c r="CJ25" s="248"/>
      <c r="CK25" s="248"/>
      <c r="CL25" s="248"/>
      <c r="CM25" s="248"/>
      <c r="CN25" s="248"/>
      <c r="CO25" s="248"/>
      <c r="CP25" s="248"/>
      <c r="CQ25" s="248"/>
      <c r="CR25" s="248"/>
      <c r="CS25" s="248"/>
      <c r="CT25" s="248"/>
      <c r="CU25" s="248"/>
      <c r="CV25" s="248"/>
      <c r="CW25" s="248"/>
      <c r="CX25" s="248"/>
      <c r="CY25" s="248"/>
      <c r="CZ25" s="248"/>
      <c r="DA25" s="248"/>
      <c r="DB25" s="248"/>
      <c r="DC25" s="248"/>
      <c r="DD25" s="248"/>
      <c r="DE25" s="248"/>
      <c r="DF25" s="248"/>
      <c r="DG25" s="248"/>
      <c r="DH25" s="248"/>
      <c r="DI25" s="248"/>
      <c r="DJ25" s="248"/>
      <c r="DK25" s="248"/>
      <c r="DL25" s="248"/>
      <c r="DM25" s="248"/>
      <c r="DN25" s="248"/>
      <c r="DO25" s="248"/>
      <c r="DP25" s="248"/>
      <c r="DQ25" s="248"/>
      <c r="DR25" s="248"/>
      <c r="DS25" s="248"/>
      <c r="DT25" s="248"/>
      <c r="DU25" s="248"/>
      <c r="DV25" s="248"/>
      <c r="DW25" s="248"/>
      <c r="DX25" s="248"/>
      <c r="DY25" s="248"/>
      <c r="DZ25" s="248"/>
      <c r="EA25" s="248"/>
      <c r="EB25" s="248"/>
      <c r="EC25" s="248"/>
      <c r="ED25" s="248"/>
      <c r="EE25" s="248"/>
    </row>
    <row r="26" spans="1:135" s="35" customFormat="1" ht="16.5">
      <c r="A26" s="35" t="str">
        <f t="shared" si="0"/>
        <v>KS_CPL_C            KI_A</v>
      </c>
      <c r="B26" s="331"/>
      <c r="C26" s="248">
        <v>23</v>
      </c>
      <c r="D26" s="283" t="s">
        <v>605</v>
      </c>
      <c r="E26" s="283"/>
      <c r="F26" s="35" t="s">
        <v>1086</v>
      </c>
      <c r="G26" s="39"/>
      <c r="H26" s="35" t="s">
        <v>523</v>
      </c>
      <c r="O26" s="34" t="s">
        <v>1086</v>
      </c>
      <c r="P26" s="34" t="s">
        <v>1086</v>
      </c>
      <c r="Q26" s="58"/>
      <c r="R26" s="39"/>
      <c r="AH26" s="279"/>
      <c r="AJ26" s="279" t="s">
        <v>1117</v>
      </c>
      <c r="AK26" s="279"/>
      <c r="AL26" s="523">
        <v>3</v>
      </c>
      <c r="AM26" s="35">
        <v>23</v>
      </c>
      <c r="AN26" s="35" t="s">
        <v>1764</v>
      </c>
      <c r="AO26" s="35" t="s">
        <v>416</v>
      </c>
      <c r="AP26" s="35" t="s">
        <v>632</v>
      </c>
      <c r="AQ26" s="34" t="s">
        <v>1758</v>
      </c>
      <c r="AR26" s="35">
        <v>10</v>
      </c>
      <c r="AS26" s="35" t="s">
        <v>1759</v>
      </c>
      <c r="AT26" s="35" t="s">
        <v>492</v>
      </c>
      <c r="AU26" s="35" t="s">
        <v>10</v>
      </c>
      <c r="AV26" s="35" t="s">
        <v>896</v>
      </c>
      <c r="AW26" s="35" t="s">
        <v>624</v>
      </c>
      <c r="AX26" s="34" t="s">
        <v>2254</v>
      </c>
      <c r="AY26" s="35">
        <v>15</v>
      </c>
      <c r="AZ26" s="35" t="s">
        <v>350</v>
      </c>
      <c r="BA26" s="35" t="s">
        <v>218</v>
      </c>
      <c r="BB26" s="35" t="s">
        <v>10</v>
      </c>
      <c r="BC26" s="35" t="s">
        <v>484</v>
      </c>
      <c r="BD26" s="35" t="s">
        <v>1742</v>
      </c>
      <c r="BE26" s="35" t="s">
        <v>10</v>
      </c>
      <c r="BF26" s="35" t="s">
        <v>10</v>
      </c>
      <c r="BG26" s="35">
        <v>905</v>
      </c>
      <c r="BH26" s="35" t="s">
        <v>80</v>
      </c>
      <c r="BI26" s="35">
        <v>0.13</v>
      </c>
      <c r="BJ26" s="35" t="s">
        <v>274</v>
      </c>
      <c r="BK26" s="35" t="s">
        <v>2374</v>
      </c>
      <c r="BL26" s="35" t="s">
        <v>2492</v>
      </c>
      <c r="BM26" s="35">
        <v>23</v>
      </c>
      <c r="BW26" s="248"/>
      <c r="BX26" s="248"/>
      <c r="BY26" s="248"/>
      <c r="BZ26" s="248"/>
      <c r="CA26" s="248"/>
      <c r="CB26" s="248"/>
      <c r="CC26" s="248"/>
      <c r="CD26" s="248"/>
      <c r="CE26" s="248"/>
      <c r="CF26" s="248"/>
      <c r="CG26" s="248"/>
      <c r="CH26" s="248"/>
      <c r="CI26" s="248"/>
      <c r="CJ26" s="248"/>
      <c r="CK26" s="248"/>
      <c r="CL26" s="248"/>
      <c r="CM26" s="248"/>
      <c r="CN26" s="248"/>
      <c r="CO26" s="248"/>
      <c r="CP26" s="248"/>
      <c r="CQ26" s="248"/>
      <c r="CR26" s="248"/>
      <c r="CS26" s="248"/>
      <c r="CT26" s="248"/>
      <c r="CU26" s="248"/>
      <c r="CV26" s="248"/>
      <c r="CW26" s="248"/>
      <c r="CX26" s="248"/>
      <c r="CY26" s="248"/>
      <c r="CZ26" s="248"/>
      <c r="DA26" s="248"/>
      <c r="DB26" s="248"/>
      <c r="DC26" s="248"/>
      <c r="DD26" s="248"/>
      <c r="DE26" s="248"/>
      <c r="DF26" s="248"/>
      <c r="DG26" s="248"/>
      <c r="DH26" s="248"/>
      <c r="DI26" s="248"/>
      <c r="DJ26" s="248"/>
      <c r="DK26" s="248"/>
      <c r="DL26" s="248"/>
      <c r="DM26" s="248"/>
      <c r="DN26" s="248"/>
      <c r="DO26" s="248"/>
      <c r="DP26" s="248"/>
      <c r="DQ26" s="248"/>
      <c r="DR26" s="248"/>
      <c r="DS26" s="248"/>
      <c r="DT26" s="248"/>
      <c r="DU26" s="248"/>
      <c r="DV26" s="248"/>
      <c r="DW26" s="248"/>
      <c r="DX26" s="248"/>
      <c r="DY26" s="248"/>
      <c r="DZ26" s="248"/>
      <c r="EA26" s="248"/>
      <c r="EB26" s="248"/>
      <c r="EC26" s="248"/>
      <c r="ED26" s="248"/>
      <c r="EE26" s="248"/>
    </row>
    <row r="27" spans="1:135" s="35" customFormat="1" ht="16.5">
      <c r="A27" s="35" t="str">
        <f t="shared" si="0"/>
        <v>KS_CPL_C            SP_58XT</v>
      </c>
      <c r="B27" s="331"/>
      <c r="C27" s="248">
        <v>26</v>
      </c>
      <c r="D27" s="283" t="s">
        <v>605</v>
      </c>
      <c r="E27" s="283"/>
      <c r="F27" s="35" t="s">
        <v>1086</v>
      </c>
      <c r="G27" s="39" t="s">
        <v>2229</v>
      </c>
      <c r="H27" s="35" t="s">
        <v>610</v>
      </c>
      <c r="N27" s="35" t="s">
        <v>537</v>
      </c>
      <c r="O27" s="34" t="s">
        <v>1086</v>
      </c>
      <c r="P27" s="285" t="s">
        <v>1097</v>
      </c>
      <c r="Q27" s="58"/>
      <c r="R27" s="39"/>
      <c r="AH27" s="279"/>
      <c r="AJ27" s="279" t="s">
        <v>1117</v>
      </c>
      <c r="AK27" s="279"/>
      <c r="AL27" s="523">
        <v>3</v>
      </c>
      <c r="AM27" s="35">
        <v>26</v>
      </c>
      <c r="AN27" s="35" t="s">
        <v>1765</v>
      </c>
      <c r="AO27" s="35" t="s">
        <v>416</v>
      </c>
      <c r="AP27" s="35" t="s">
        <v>632</v>
      </c>
      <c r="AQ27" s="34" t="s">
        <v>1758</v>
      </c>
      <c r="AR27" s="35">
        <v>4</v>
      </c>
      <c r="AS27" s="35" t="s">
        <v>1759</v>
      </c>
      <c r="AT27" s="35" t="s">
        <v>81</v>
      </c>
      <c r="AU27" s="35" t="s">
        <v>10</v>
      </c>
      <c r="AV27" s="35" t="s">
        <v>1692</v>
      </c>
      <c r="AW27" s="35" t="s">
        <v>272</v>
      </c>
      <c r="AX27" s="34" t="s">
        <v>2229</v>
      </c>
      <c r="AY27" s="35">
        <v>1</v>
      </c>
      <c r="AZ27" s="35" t="s">
        <v>1381</v>
      </c>
      <c r="BA27" s="35" t="s">
        <v>10</v>
      </c>
      <c r="BB27" s="35" t="s">
        <v>10</v>
      </c>
      <c r="BC27" s="35" t="s">
        <v>124</v>
      </c>
      <c r="BD27" s="35" t="s">
        <v>1742</v>
      </c>
      <c r="BE27" s="35" t="s">
        <v>10</v>
      </c>
      <c r="BF27" s="35" t="s">
        <v>10</v>
      </c>
      <c r="BG27" s="35">
        <v>604</v>
      </c>
      <c r="BH27" s="35" t="s">
        <v>125</v>
      </c>
      <c r="BI27" s="35">
        <v>0.5</v>
      </c>
      <c r="BJ27" s="35" t="s">
        <v>1382</v>
      </c>
      <c r="BK27" s="35" t="s">
        <v>2374</v>
      </c>
      <c r="BL27" s="35" t="s">
        <v>2492</v>
      </c>
      <c r="BM27" s="35">
        <v>26</v>
      </c>
      <c r="BW27" s="248"/>
      <c r="BX27" s="248"/>
      <c r="BY27" s="248"/>
      <c r="BZ27" s="248"/>
      <c r="CA27" s="248"/>
      <c r="CB27" s="248"/>
      <c r="CC27" s="248"/>
      <c r="CD27" s="248"/>
      <c r="CE27" s="248"/>
      <c r="CF27" s="248"/>
      <c r="CG27" s="248"/>
      <c r="CH27" s="248"/>
      <c r="CI27" s="248"/>
      <c r="CJ27" s="248"/>
      <c r="CK27" s="248"/>
      <c r="CL27" s="248"/>
      <c r="CM27" s="248"/>
      <c r="CN27" s="248"/>
      <c r="CO27" s="248"/>
      <c r="CP27" s="248"/>
      <c r="CQ27" s="248"/>
      <c r="CR27" s="248"/>
      <c r="CS27" s="248"/>
      <c r="CT27" s="248"/>
      <c r="CU27" s="248"/>
      <c r="CV27" s="248"/>
      <c r="CW27" s="248"/>
      <c r="CX27" s="248"/>
      <c r="CY27" s="248"/>
      <c r="CZ27" s="248"/>
      <c r="DA27" s="248"/>
      <c r="DB27" s="248"/>
      <c r="DC27" s="248"/>
      <c r="DD27" s="248"/>
      <c r="DE27" s="248"/>
      <c r="DF27" s="248"/>
      <c r="DG27" s="248"/>
      <c r="DH27" s="248"/>
      <c r="DI27" s="248"/>
      <c r="DJ27" s="248"/>
      <c r="DK27" s="248"/>
      <c r="DL27" s="248"/>
      <c r="DM27" s="248"/>
      <c r="DN27" s="248"/>
      <c r="DO27" s="248"/>
      <c r="DP27" s="248"/>
      <c r="DQ27" s="248"/>
      <c r="DR27" s="248"/>
      <c r="DS27" s="248"/>
      <c r="DT27" s="248"/>
      <c r="DU27" s="248"/>
      <c r="DV27" s="248"/>
      <c r="DW27" s="248"/>
      <c r="DX27" s="248"/>
      <c r="DY27" s="248"/>
      <c r="DZ27" s="248"/>
      <c r="EA27" s="248"/>
      <c r="EB27" s="248"/>
      <c r="EC27" s="248"/>
      <c r="ED27" s="248"/>
      <c r="EE27" s="248"/>
    </row>
    <row r="28" spans="1:135" s="35" customFormat="1" ht="16.5">
      <c r="A28" s="35" t="str">
        <f t="shared" si="0"/>
        <v>SIDO_P              MIB_D</v>
      </c>
      <c r="B28" s="331"/>
      <c r="C28" s="248">
        <v>27</v>
      </c>
      <c r="D28" s="283" t="s">
        <v>605</v>
      </c>
      <c r="E28" s="283"/>
      <c r="F28" s="35" t="s">
        <v>1086</v>
      </c>
      <c r="O28" s="34" t="s">
        <v>1086</v>
      </c>
      <c r="P28" s="34" t="s">
        <v>1086</v>
      </c>
      <c r="Q28" s="58"/>
      <c r="R28" s="39"/>
      <c r="AH28" s="279"/>
      <c r="AJ28" s="279" t="s">
        <v>1117</v>
      </c>
      <c r="AK28" s="279"/>
      <c r="AL28" s="523">
        <v>3</v>
      </c>
      <c r="AM28" s="35">
        <v>27</v>
      </c>
      <c r="AN28" s="35" t="s">
        <v>1767</v>
      </c>
      <c r="AO28" s="35" t="s">
        <v>901</v>
      </c>
      <c r="AP28" s="35" t="s">
        <v>633</v>
      </c>
      <c r="AQ28" s="34" t="s">
        <v>2257</v>
      </c>
      <c r="AR28" s="35" t="s">
        <v>253</v>
      </c>
      <c r="AS28" s="35" t="s">
        <v>1414</v>
      </c>
      <c r="AT28" s="35" t="s">
        <v>98</v>
      </c>
      <c r="AU28" s="35" t="s">
        <v>10</v>
      </c>
      <c r="AV28" s="35" t="s">
        <v>920</v>
      </c>
      <c r="AW28" s="35" t="s">
        <v>634</v>
      </c>
      <c r="AX28" s="34" t="s">
        <v>2280</v>
      </c>
      <c r="AY28" s="35">
        <v>18</v>
      </c>
      <c r="AZ28" s="35" t="s">
        <v>1768</v>
      </c>
      <c r="BA28" s="35" t="s">
        <v>247</v>
      </c>
      <c r="BB28" s="35" t="s">
        <v>10</v>
      </c>
      <c r="BC28" s="35" t="s">
        <v>1349</v>
      </c>
      <c r="BD28" s="35" t="s">
        <v>1742</v>
      </c>
      <c r="BE28" s="35" t="s">
        <v>10</v>
      </c>
      <c r="BF28" s="35" t="s">
        <v>10</v>
      </c>
      <c r="BG28" s="35">
        <v>1723</v>
      </c>
      <c r="BH28" s="35" t="s">
        <v>91</v>
      </c>
      <c r="BI28" s="35">
        <v>2.5</v>
      </c>
      <c r="BJ28" s="35" t="s">
        <v>1383</v>
      </c>
      <c r="BK28" s="35" t="s">
        <v>2374</v>
      </c>
      <c r="BL28" s="35" t="s">
        <v>2492</v>
      </c>
      <c r="BM28" s="35">
        <v>27</v>
      </c>
      <c r="BW28" s="248"/>
      <c r="BX28" s="248"/>
      <c r="BY28" s="248"/>
      <c r="BZ28" s="248"/>
      <c r="CA28" s="248"/>
      <c r="CB28" s="248"/>
      <c r="CC28" s="248"/>
      <c r="CD28" s="248"/>
      <c r="CE28" s="248"/>
      <c r="CF28" s="248"/>
      <c r="CG28" s="248"/>
      <c r="CH28" s="248"/>
      <c r="CI28" s="248"/>
      <c r="CJ28" s="248"/>
      <c r="CK28" s="248"/>
      <c r="CL28" s="248"/>
      <c r="CM28" s="248"/>
      <c r="CN28" s="248"/>
      <c r="CO28" s="248"/>
      <c r="CP28" s="248"/>
      <c r="CQ28" s="248"/>
      <c r="CR28" s="248"/>
      <c r="CS28" s="248"/>
      <c r="CT28" s="248"/>
      <c r="CU28" s="248"/>
      <c r="CV28" s="248"/>
      <c r="CW28" s="248"/>
      <c r="CX28" s="248"/>
      <c r="CY28" s="248"/>
      <c r="CZ28" s="248"/>
      <c r="DA28" s="248"/>
      <c r="DB28" s="248"/>
      <c r="DC28" s="248"/>
      <c r="DD28" s="248"/>
      <c r="DE28" s="248"/>
      <c r="DF28" s="248"/>
      <c r="DG28" s="248"/>
      <c r="DH28" s="248"/>
      <c r="DI28" s="248"/>
      <c r="DJ28" s="248"/>
      <c r="DK28" s="248"/>
      <c r="DL28" s="248"/>
      <c r="DM28" s="248"/>
      <c r="DN28" s="248"/>
      <c r="DO28" s="248"/>
      <c r="DP28" s="248"/>
      <c r="DQ28" s="248"/>
      <c r="DR28" s="248"/>
      <c r="DS28" s="248"/>
      <c r="DT28" s="248"/>
      <c r="DU28" s="248"/>
      <c r="DV28" s="248"/>
      <c r="DW28" s="248"/>
      <c r="DX28" s="248"/>
      <c r="DY28" s="248"/>
      <c r="DZ28" s="248"/>
      <c r="EA28" s="248"/>
      <c r="EB28" s="248"/>
      <c r="EC28" s="248"/>
      <c r="ED28" s="248"/>
      <c r="EE28" s="248"/>
    </row>
    <row r="29" spans="1:135" s="35" customFormat="1" ht="16.5">
      <c r="A29" s="35" t="str">
        <f t="shared" si="0"/>
        <v>EZS                 SP_58XT</v>
      </c>
      <c r="B29" s="331"/>
      <c r="C29" s="248">
        <v>28</v>
      </c>
      <c r="D29" s="283" t="s">
        <v>605</v>
      </c>
      <c r="E29" s="283"/>
      <c r="F29" s="35" t="s">
        <v>1086</v>
      </c>
      <c r="G29" s="39" t="s">
        <v>2229</v>
      </c>
      <c r="H29" s="35" t="s">
        <v>610</v>
      </c>
      <c r="N29" s="35" t="s">
        <v>537</v>
      </c>
      <c r="O29" s="34" t="s">
        <v>1086</v>
      </c>
      <c r="P29" s="285" t="s">
        <v>1097</v>
      </c>
      <c r="Q29" s="58"/>
      <c r="R29" s="39"/>
      <c r="AH29" s="279"/>
      <c r="AJ29" s="279" t="s">
        <v>1117</v>
      </c>
      <c r="AK29" s="279"/>
      <c r="AL29" s="523">
        <v>3</v>
      </c>
      <c r="AM29" s="35">
        <v>28</v>
      </c>
      <c r="AN29" s="35" t="s">
        <v>1384</v>
      </c>
      <c r="AO29" s="35" t="s">
        <v>1693</v>
      </c>
      <c r="AP29" s="35" t="s">
        <v>635</v>
      </c>
      <c r="AQ29" s="34" t="s">
        <v>2258</v>
      </c>
      <c r="AR29" s="35">
        <v>2</v>
      </c>
      <c r="AS29" s="35" t="s">
        <v>414</v>
      </c>
      <c r="AT29" s="35" t="s">
        <v>77</v>
      </c>
      <c r="AU29" s="35" t="s">
        <v>10</v>
      </c>
      <c r="AV29" s="35" t="s">
        <v>1692</v>
      </c>
      <c r="AW29" s="35" t="s">
        <v>272</v>
      </c>
      <c r="AX29" s="34" t="s">
        <v>2229</v>
      </c>
      <c r="AY29" s="35">
        <v>1</v>
      </c>
      <c r="AZ29" s="35" t="s">
        <v>1381</v>
      </c>
      <c r="BA29" s="35" t="s">
        <v>10</v>
      </c>
      <c r="BB29" s="35" t="s">
        <v>10</v>
      </c>
      <c r="BC29" s="35" t="s">
        <v>124</v>
      </c>
      <c r="BD29" s="35" t="s">
        <v>1742</v>
      </c>
      <c r="BE29" s="35" t="s">
        <v>10</v>
      </c>
      <c r="BF29" s="35" t="s">
        <v>10</v>
      </c>
      <c r="BG29" s="35">
        <v>342</v>
      </c>
      <c r="BH29" s="35" t="s">
        <v>125</v>
      </c>
      <c r="BI29" s="35">
        <v>0.5</v>
      </c>
      <c r="BJ29" s="35" t="s">
        <v>1382</v>
      </c>
      <c r="BK29" s="35" t="s">
        <v>2374</v>
      </c>
      <c r="BL29" s="35" t="s">
        <v>2492</v>
      </c>
      <c r="BM29" s="35">
        <v>28</v>
      </c>
      <c r="BW29" s="248"/>
      <c r="BX29" s="248"/>
      <c r="BY29" s="248"/>
      <c r="BZ29" s="248"/>
      <c r="CA29" s="248"/>
      <c r="CB29" s="248"/>
      <c r="CC29" s="248"/>
      <c r="CD29" s="248"/>
      <c r="CE29" s="248"/>
      <c r="CF29" s="248"/>
      <c r="CG29" s="248"/>
      <c r="CH29" s="248"/>
      <c r="CI29" s="248"/>
      <c r="CJ29" s="248"/>
      <c r="CK29" s="248"/>
      <c r="CL29" s="248"/>
      <c r="CM29" s="248"/>
      <c r="CN29" s="248"/>
      <c r="CO29" s="248"/>
      <c r="CP29" s="248"/>
      <c r="CQ29" s="248"/>
      <c r="CR29" s="248"/>
      <c r="CS29" s="248"/>
      <c r="CT29" s="248"/>
      <c r="CU29" s="248"/>
      <c r="CV29" s="248"/>
      <c r="CW29" s="248"/>
      <c r="CX29" s="248"/>
      <c r="CY29" s="248"/>
      <c r="CZ29" s="248"/>
      <c r="DA29" s="248"/>
      <c r="DB29" s="248"/>
      <c r="DC29" s="248"/>
      <c r="DD29" s="248"/>
      <c r="DE29" s="248"/>
      <c r="DF29" s="248"/>
      <c r="DG29" s="248"/>
      <c r="DH29" s="248"/>
      <c r="DI29" s="248"/>
      <c r="DJ29" s="248"/>
      <c r="DK29" s="248"/>
      <c r="DL29" s="248"/>
      <c r="DM29" s="248"/>
      <c r="DN29" s="248"/>
      <c r="DO29" s="248"/>
      <c r="DP29" s="248"/>
      <c r="DQ29" s="248"/>
      <c r="DR29" s="248"/>
      <c r="DS29" s="248"/>
      <c r="DT29" s="248"/>
      <c r="DU29" s="248"/>
      <c r="DV29" s="248"/>
      <c r="DW29" s="248"/>
      <c r="DX29" s="248"/>
      <c r="DY29" s="248"/>
      <c r="DZ29" s="248"/>
      <c r="EA29" s="248"/>
      <c r="EB29" s="248"/>
      <c r="EC29" s="248"/>
      <c r="ED29" s="248"/>
      <c r="EE29" s="248"/>
    </row>
    <row r="30" spans="1:135" s="35" customFormat="1" ht="16.5">
      <c r="A30" s="35" t="str">
        <f t="shared" si="0"/>
        <v>KS_CPR_A            EZS</v>
      </c>
      <c r="B30" s="331"/>
      <c r="C30" s="248">
        <v>29</v>
      </c>
      <c r="D30" s="283" t="s">
        <v>605</v>
      </c>
      <c r="E30" s="283"/>
      <c r="F30" s="35" t="s">
        <v>1086</v>
      </c>
      <c r="O30" s="34" t="s">
        <v>1086</v>
      </c>
      <c r="P30" s="34" t="s">
        <v>1086</v>
      </c>
      <c r="Q30" s="58"/>
      <c r="R30" s="39"/>
      <c r="AH30" s="279"/>
      <c r="AJ30" s="279" t="s">
        <v>1117</v>
      </c>
      <c r="AK30" s="279"/>
      <c r="AL30" s="523">
        <v>3</v>
      </c>
      <c r="AM30" s="35">
        <v>29</v>
      </c>
      <c r="AN30" s="35" t="s">
        <v>1769</v>
      </c>
      <c r="AO30" s="35" t="s">
        <v>424</v>
      </c>
      <c r="AP30" s="35" t="s">
        <v>637</v>
      </c>
      <c r="AQ30" s="34" t="s">
        <v>1770</v>
      </c>
      <c r="AR30" s="35">
        <v>1</v>
      </c>
      <c r="AS30" s="35" t="s">
        <v>1771</v>
      </c>
      <c r="AT30" s="35" t="s">
        <v>81</v>
      </c>
      <c r="AU30" s="35" t="s">
        <v>10</v>
      </c>
      <c r="AV30" s="35" t="s">
        <v>1693</v>
      </c>
      <c r="AW30" s="35" t="s">
        <v>635</v>
      </c>
      <c r="AX30" s="34" t="s">
        <v>2258</v>
      </c>
      <c r="AY30" s="35">
        <v>5</v>
      </c>
      <c r="AZ30" s="35" t="s">
        <v>603</v>
      </c>
      <c r="BA30" s="35" t="s">
        <v>77</v>
      </c>
      <c r="BB30" s="35" t="s">
        <v>10</v>
      </c>
      <c r="BC30" s="35" t="s">
        <v>175</v>
      </c>
      <c r="BD30" s="35" t="s">
        <v>1742</v>
      </c>
      <c r="BE30" s="35" t="s">
        <v>10</v>
      </c>
      <c r="BF30" s="35" t="s">
        <v>10</v>
      </c>
      <c r="BG30" s="35">
        <v>1873</v>
      </c>
      <c r="BH30" s="35" t="s">
        <v>172</v>
      </c>
      <c r="BI30" s="35">
        <v>0.5</v>
      </c>
      <c r="BJ30" s="35" t="s">
        <v>1385</v>
      </c>
      <c r="BK30" s="35" t="s">
        <v>2374</v>
      </c>
      <c r="BL30" s="35" t="s">
        <v>2492</v>
      </c>
      <c r="BM30" s="35">
        <v>29</v>
      </c>
      <c r="BW30" s="248"/>
      <c r="BX30" s="248"/>
      <c r="BY30" s="248"/>
      <c r="BZ30" s="248"/>
      <c r="CA30" s="248"/>
      <c r="CB30" s="248"/>
      <c r="CC30" s="248"/>
      <c r="CD30" s="248"/>
      <c r="CE30" s="248"/>
      <c r="CF30" s="248"/>
      <c r="CG30" s="248"/>
      <c r="CH30" s="248"/>
      <c r="CI30" s="248"/>
      <c r="CJ30" s="248"/>
      <c r="CK30" s="248"/>
      <c r="CL30" s="248"/>
      <c r="CM30" s="248"/>
      <c r="CN30" s="248"/>
      <c r="CO30" s="248"/>
      <c r="CP30" s="248"/>
      <c r="CQ30" s="248"/>
      <c r="CR30" s="248"/>
      <c r="CS30" s="248"/>
      <c r="CT30" s="248"/>
      <c r="CU30" s="248"/>
      <c r="CV30" s="248"/>
      <c r="CW30" s="248"/>
      <c r="CX30" s="248"/>
      <c r="CY30" s="248"/>
      <c r="CZ30" s="248"/>
      <c r="DA30" s="248"/>
      <c r="DB30" s="248"/>
      <c r="DC30" s="248"/>
      <c r="DD30" s="248"/>
      <c r="DE30" s="248"/>
      <c r="DF30" s="248"/>
      <c r="DG30" s="248"/>
      <c r="DH30" s="248"/>
      <c r="DI30" s="248"/>
      <c r="DJ30" s="248"/>
      <c r="DK30" s="248"/>
      <c r="DL30" s="248"/>
      <c r="DM30" s="248"/>
      <c r="DN30" s="248"/>
      <c r="DO30" s="248"/>
      <c r="DP30" s="248"/>
      <c r="DQ30" s="248"/>
      <c r="DR30" s="248"/>
      <c r="DS30" s="248"/>
      <c r="DT30" s="248"/>
      <c r="DU30" s="248"/>
      <c r="DV30" s="248"/>
      <c r="DW30" s="248"/>
      <c r="DX30" s="248"/>
      <c r="DY30" s="248"/>
      <c r="DZ30" s="248"/>
      <c r="EA30" s="248"/>
      <c r="EB30" s="248"/>
      <c r="EC30" s="248"/>
      <c r="ED30" s="248"/>
      <c r="EE30" s="248"/>
    </row>
    <row r="31" spans="1:135" s="35" customFormat="1" ht="16.5">
      <c r="A31" s="35" t="str">
        <f t="shared" si="0"/>
        <v>KS_CPR_A            EZS</v>
      </c>
      <c r="B31" s="331"/>
      <c r="C31" s="248">
        <v>30</v>
      </c>
      <c r="D31" s="283" t="s">
        <v>605</v>
      </c>
      <c r="E31" s="283"/>
      <c r="F31" s="35" t="s">
        <v>1086</v>
      </c>
      <c r="O31" s="34" t="s">
        <v>1086</v>
      </c>
      <c r="P31" s="34" t="s">
        <v>1086</v>
      </c>
      <c r="Q31" s="58"/>
      <c r="R31" s="39"/>
      <c r="AH31" s="279"/>
      <c r="AJ31" s="279" t="s">
        <v>1117</v>
      </c>
      <c r="AK31" s="279"/>
      <c r="AL31" s="523">
        <v>3</v>
      </c>
      <c r="AM31" s="35">
        <v>30</v>
      </c>
      <c r="AN31" s="35" t="s">
        <v>1772</v>
      </c>
      <c r="AO31" s="35" t="s">
        <v>424</v>
      </c>
      <c r="AP31" s="35" t="s">
        <v>637</v>
      </c>
      <c r="AQ31" s="34" t="s">
        <v>1770</v>
      </c>
      <c r="AR31" s="35">
        <v>2</v>
      </c>
      <c r="AS31" s="35" t="s">
        <v>1771</v>
      </c>
      <c r="AT31" s="35" t="s">
        <v>81</v>
      </c>
      <c r="AU31" s="35" t="s">
        <v>10</v>
      </c>
      <c r="AV31" s="35" t="s">
        <v>1693</v>
      </c>
      <c r="AW31" s="35" t="s">
        <v>635</v>
      </c>
      <c r="AX31" s="34" t="s">
        <v>2258</v>
      </c>
      <c r="AY31" s="35">
        <v>6</v>
      </c>
      <c r="AZ31" s="35" t="s">
        <v>603</v>
      </c>
      <c r="BA31" s="35" t="s">
        <v>77</v>
      </c>
      <c r="BB31" s="35" t="s">
        <v>10</v>
      </c>
      <c r="BC31" s="35" t="s">
        <v>257</v>
      </c>
      <c r="BD31" s="35" t="s">
        <v>1742</v>
      </c>
      <c r="BE31" s="35" t="s">
        <v>10</v>
      </c>
      <c r="BF31" s="35" t="s">
        <v>10</v>
      </c>
      <c r="BG31" s="35">
        <v>1873</v>
      </c>
      <c r="BH31" s="35" t="s">
        <v>185</v>
      </c>
      <c r="BI31" s="35">
        <v>0.5</v>
      </c>
      <c r="BJ31" s="35" t="s">
        <v>1386</v>
      </c>
      <c r="BK31" s="35" t="s">
        <v>2374</v>
      </c>
      <c r="BL31" s="35" t="s">
        <v>2492</v>
      </c>
      <c r="BM31" s="35">
        <v>30</v>
      </c>
      <c r="BW31" s="248"/>
      <c r="BX31" s="248"/>
      <c r="BY31" s="248"/>
      <c r="BZ31" s="248"/>
      <c r="CA31" s="248"/>
      <c r="CB31" s="248"/>
      <c r="CC31" s="248"/>
      <c r="CD31" s="248"/>
      <c r="CE31" s="248"/>
      <c r="CF31" s="248"/>
      <c r="CG31" s="248"/>
      <c r="CH31" s="248"/>
      <c r="CI31" s="248"/>
      <c r="CJ31" s="248"/>
      <c r="CK31" s="248"/>
      <c r="CL31" s="248"/>
      <c r="CM31" s="248"/>
      <c r="CN31" s="248"/>
      <c r="CO31" s="248"/>
      <c r="CP31" s="248"/>
      <c r="CQ31" s="248"/>
      <c r="CR31" s="248"/>
      <c r="CS31" s="248"/>
      <c r="CT31" s="248"/>
      <c r="CU31" s="248"/>
      <c r="CV31" s="248"/>
      <c r="CW31" s="248"/>
      <c r="CX31" s="248"/>
      <c r="CY31" s="248"/>
      <c r="CZ31" s="248"/>
      <c r="DA31" s="248"/>
      <c r="DB31" s="248"/>
      <c r="DC31" s="248"/>
      <c r="DD31" s="248"/>
      <c r="DE31" s="248"/>
      <c r="DF31" s="248"/>
      <c r="DG31" s="248"/>
      <c r="DH31" s="248"/>
      <c r="DI31" s="248"/>
      <c r="DJ31" s="248"/>
      <c r="DK31" s="248"/>
      <c r="DL31" s="248"/>
      <c r="DM31" s="248"/>
      <c r="DN31" s="248"/>
      <c r="DO31" s="248"/>
      <c r="DP31" s="248"/>
      <c r="DQ31" s="248"/>
      <c r="DR31" s="248"/>
      <c r="DS31" s="248"/>
      <c r="DT31" s="248"/>
      <c r="DU31" s="248"/>
      <c r="DV31" s="248"/>
      <c r="DW31" s="248"/>
      <c r="DX31" s="248"/>
      <c r="DY31" s="248"/>
      <c r="DZ31" s="248"/>
      <c r="EA31" s="248"/>
      <c r="EB31" s="248"/>
      <c r="EC31" s="248"/>
      <c r="ED31" s="248"/>
      <c r="EE31" s="248"/>
    </row>
    <row r="32" spans="1:135" s="35" customFormat="1" ht="16.5">
      <c r="A32" s="35" t="str">
        <f t="shared" si="0"/>
        <v>SP_MB34_B1          MIB_D</v>
      </c>
      <c r="B32" s="331"/>
      <c r="C32" s="248">
        <v>31</v>
      </c>
      <c r="D32" s="283" t="s">
        <v>605</v>
      </c>
      <c r="E32" s="283"/>
      <c r="F32" s="35" t="s">
        <v>1086</v>
      </c>
      <c r="G32" s="39" t="s">
        <v>2231</v>
      </c>
      <c r="H32" s="35" t="s">
        <v>609</v>
      </c>
      <c r="N32" s="35" t="s">
        <v>537</v>
      </c>
      <c r="O32" s="34" t="s">
        <v>1097</v>
      </c>
      <c r="P32" s="34" t="s">
        <v>1086</v>
      </c>
      <c r="Q32" s="58"/>
      <c r="R32" s="39"/>
      <c r="AH32" s="279"/>
      <c r="AJ32" s="279" t="s">
        <v>1117</v>
      </c>
      <c r="AK32" s="279"/>
      <c r="AL32" s="523">
        <v>3</v>
      </c>
      <c r="AM32" s="35">
        <v>31</v>
      </c>
      <c r="AN32" s="35" t="s">
        <v>1773</v>
      </c>
      <c r="AO32" s="35" t="s">
        <v>2147</v>
      </c>
      <c r="AP32" s="35" t="s">
        <v>534</v>
      </c>
      <c r="AQ32" s="34" t="s">
        <v>2231</v>
      </c>
      <c r="AR32" s="35">
        <v>1</v>
      </c>
      <c r="AS32" s="35" t="s">
        <v>411</v>
      </c>
      <c r="AT32" s="35" t="s">
        <v>10</v>
      </c>
      <c r="AU32" s="35" t="s">
        <v>10</v>
      </c>
      <c r="AV32" s="35" t="s">
        <v>920</v>
      </c>
      <c r="AW32" s="35" t="s">
        <v>634</v>
      </c>
      <c r="AX32" s="34" t="s">
        <v>2280</v>
      </c>
      <c r="AY32" s="35">
        <v>17</v>
      </c>
      <c r="AZ32" s="35" t="s">
        <v>1768</v>
      </c>
      <c r="BA32" s="35" t="s">
        <v>247</v>
      </c>
      <c r="BB32" s="35" t="s">
        <v>10</v>
      </c>
      <c r="BC32" s="35" t="s">
        <v>92</v>
      </c>
      <c r="BD32" s="35" t="s">
        <v>1742</v>
      </c>
      <c r="BE32" s="35" t="s">
        <v>10</v>
      </c>
      <c r="BF32" s="35" t="s">
        <v>10</v>
      </c>
      <c r="BG32" s="35">
        <v>828</v>
      </c>
      <c r="BH32" s="35" t="s">
        <v>25</v>
      </c>
      <c r="BI32" s="35">
        <v>2.5</v>
      </c>
      <c r="BJ32" s="35" t="s">
        <v>1355</v>
      </c>
      <c r="BK32" s="35" t="s">
        <v>2374</v>
      </c>
      <c r="BL32" s="35" t="s">
        <v>2492</v>
      </c>
      <c r="BM32" s="35">
        <v>31</v>
      </c>
      <c r="BW32" s="248"/>
      <c r="BX32" s="248"/>
      <c r="BY32" s="248"/>
      <c r="BZ32" s="248"/>
      <c r="CA32" s="248"/>
      <c r="CB32" s="248"/>
      <c r="CC32" s="248"/>
      <c r="CD32" s="248"/>
      <c r="CE32" s="248"/>
      <c r="CF32" s="248"/>
      <c r="CG32" s="248"/>
      <c r="CH32" s="248"/>
      <c r="CI32" s="248"/>
      <c r="CJ32" s="248"/>
      <c r="CK32" s="248"/>
      <c r="CL32" s="248"/>
      <c r="CM32" s="248"/>
      <c r="CN32" s="248"/>
      <c r="CO32" s="248"/>
      <c r="CP32" s="248"/>
      <c r="CQ32" s="248"/>
      <c r="CR32" s="248"/>
      <c r="CS32" s="248"/>
      <c r="CT32" s="248"/>
      <c r="CU32" s="248"/>
      <c r="CV32" s="248"/>
      <c r="CW32" s="248"/>
      <c r="CX32" s="248"/>
      <c r="CY32" s="248"/>
      <c r="CZ32" s="248"/>
      <c r="DA32" s="248"/>
      <c r="DB32" s="248"/>
      <c r="DC32" s="248"/>
      <c r="DD32" s="248"/>
      <c r="DE32" s="248"/>
      <c r="DF32" s="248"/>
      <c r="DG32" s="248"/>
      <c r="DH32" s="248"/>
      <c r="DI32" s="248"/>
      <c r="DJ32" s="248"/>
      <c r="DK32" s="248"/>
      <c r="DL32" s="248"/>
      <c r="DM32" s="248"/>
      <c r="DN32" s="248"/>
      <c r="DO32" s="248"/>
      <c r="DP32" s="248"/>
      <c r="DQ32" s="248"/>
      <c r="DR32" s="248"/>
      <c r="DS32" s="248"/>
      <c r="DT32" s="248"/>
      <c r="DU32" s="248"/>
      <c r="DV32" s="248"/>
      <c r="DW32" s="248"/>
      <c r="DX32" s="248"/>
      <c r="DY32" s="248"/>
      <c r="DZ32" s="248"/>
      <c r="EA32" s="248"/>
      <c r="EB32" s="248"/>
      <c r="EC32" s="248"/>
      <c r="ED32" s="248"/>
      <c r="EE32" s="248"/>
    </row>
    <row r="33" spans="1:135" s="35" customFormat="1" ht="16.5">
      <c r="A33" s="35" t="str">
        <f t="shared" si="0"/>
        <v>KS_CPR_A            EZS</v>
      </c>
      <c r="B33" s="331"/>
      <c r="C33" s="248">
        <v>32</v>
      </c>
      <c r="D33" s="283" t="s">
        <v>605</v>
      </c>
      <c r="E33" s="283"/>
      <c r="F33" s="35" t="s">
        <v>1086</v>
      </c>
      <c r="O33" s="34" t="s">
        <v>1086</v>
      </c>
      <c r="P33" s="34" t="s">
        <v>1086</v>
      </c>
      <c r="Q33" s="58"/>
      <c r="R33" s="39"/>
      <c r="AH33" s="279"/>
      <c r="AJ33" s="279" t="s">
        <v>1117</v>
      </c>
      <c r="AK33" s="279"/>
      <c r="AL33" s="523">
        <v>3</v>
      </c>
      <c r="AM33" s="35">
        <v>32</v>
      </c>
      <c r="AN33" s="35" t="s">
        <v>1774</v>
      </c>
      <c r="AO33" s="35" t="s">
        <v>424</v>
      </c>
      <c r="AP33" s="35" t="s">
        <v>637</v>
      </c>
      <c r="AQ33" s="34" t="s">
        <v>1770</v>
      </c>
      <c r="AR33" s="35">
        <v>4</v>
      </c>
      <c r="AS33" s="35" t="s">
        <v>1771</v>
      </c>
      <c r="AT33" s="35" t="s">
        <v>81</v>
      </c>
      <c r="AU33" s="35" t="s">
        <v>10</v>
      </c>
      <c r="AV33" s="35" t="s">
        <v>1693</v>
      </c>
      <c r="AW33" s="35" t="s">
        <v>635</v>
      </c>
      <c r="AX33" s="34" t="s">
        <v>2258</v>
      </c>
      <c r="AY33" s="35">
        <v>3</v>
      </c>
      <c r="AZ33" s="35" t="s">
        <v>603</v>
      </c>
      <c r="BA33" s="35" t="s">
        <v>77</v>
      </c>
      <c r="BB33" s="35" t="s">
        <v>10</v>
      </c>
      <c r="BC33" s="35" t="s">
        <v>161</v>
      </c>
      <c r="BD33" s="35" t="s">
        <v>1742</v>
      </c>
      <c r="BE33" s="35" t="s">
        <v>10</v>
      </c>
      <c r="BF33" s="35" t="s">
        <v>10</v>
      </c>
      <c r="BG33" s="35">
        <v>1873</v>
      </c>
      <c r="BH33" s="35" t="s">
        <v>162</v>
      </c>
      <c r="BI33" s="35">
        <v>0.5</v>
      </c>
      <c r="BJ33" s="35" t="s">
        <v>1387</v>
      </c>
      <c r="BK33" s="35" t="s">
        <v>2374</v>
      </c>
      <c r="BL33" s="35" t="s">
        <v>2492</v>
      </c>
      <c r="BM33" s="35">
        <v>32</v>
      </c>
      <c r="BW33" s="248"/>
      <c r="BX33" s="248"/>
      <c r="BY33" s="248"/>
      <c r="BZ33" s="248"/>
      <c r="CA33" s="248"/>
      <c r="CB33" s="248"/>
      <c r="CC33" s="248"/>
      <c r="CD33" s="248"/>
      <c r="CE33" s="248"/>
      <c r="CF33" s="248"/>
      <c r="CG33" s="248"/>
      <c r="CH33" s="248"/>
      <c r="CI33" s="248"/>
      <c r="CJ33" s="248"/>
      <c r="CK33" s="248"/>
      <c r="CL33" s="248"/>
      <c r="CM33" s="248"/>
      <c r="CN33" s="248"/>
      <c r="CO33" s="248"/>
      <c r="CP33" s="248"/>
      <c r="CQ33" s="248"/>
      <c r="CR33" s="248"/>
      <c r="CS33" s="248"/>
      <c r="CT33" s="248"/>
      <c r="CU33" s="248"/>
      <c r="CV33" s="248"/>
      <c r="CW33" s="248"/>
      <c r="CX33" s="248"/>
      <c r="CY33" s="248"/>
      <c r="CZ33" s="248"/>
      <c r="DA33" s="248"/>
      <c r="DB33" s="248"/>
      <c r="DC33" s="248"/>
      <c r="DD33" s="248"/>
      <c r="DE33" s="248"/>
      <c r="DF33" s="248"/>
      <c r="DG33" s="248"/>
      <c r="DH33" s="248"/>
      <c r="DI33" s="248"/>
      <c r="DJ33" s="248"/>
      <c r="DK33" s="248"/>
      <c r="DL33" s="248"/>
      <c r="DM33" s="248"/>
      <c r="DN33" s="248"/>
      <c r="DO33" s="248"/>
      <c r="DP33" s="248"/>
      <c r="DQ33" s="248"/>
      <c r="DR33" s="248"/>
      <c r="DS33" s="248"/>
      <c r="DT33" s="248"/>
      <c r="DU33" s="248"/>
      <c r="DV33" s="248"/>
      <c r="DW33" s="248"/>
      <c r="DX33" s="248"/>
      <c r="DY33" s="248"/>
      <c r="DZ33" s="248"/>
      <c r="EA33" s="248"/>
      <c r="EB33" s="248"/>
      <c r="EC33" s="248"/>
      <c r="ED33" s="248"/>
      <c r="EE33" s="248"/>
    </row>
    <row r="34" spans="1:135" s="35" customFormat="1" ht="16.5">
      <c r="A34" s="35" t="str">
        <f t="shared" si="0"/>
        <v>SP_MB31_B2          EZS</v>
      </c>
      <c r="B34" s="331"/>
      <c r="C34" s="248">
        <v>33</v>
      </c>
      <c r="D34" s="283" t="s">
        <v>605</v>
      </c>
      <c r="F34" s="283" t="s">
        <v>1086</v>
      </c>
      <c r="G34" s="39" t="s">
        <v>2232</v>
      </c>
      <c r="H34" s="35" t="s">
        <v>609</v>
      </c>
      <c r="N34" s="35" t="s">
        <v>537</v>
      </c>
      <c r="O34" s="34" t="s">
        <v>1086</v>
      </c>
      <c r="P34" s="34" t="s">
        <v>1086</v>
      </c>
      <c r="Q34" s="58"/>
      <c r="R34" s="39"/>
      <c r="AH34" s="279"/>
      <c r="AJ34" s="279" t="s">
        <v>1117</v>
      </c>
      <c r="AK34" s="279"/>
      <c r="AL34" s="523">
        <v>3</v>
      </c>
      <c r="AM34" s="35">
        <v>33</v>
      </c>
      <c r="AN34" s="35" t="s">
        <v>1388</v>
      </c>
      <c r="AO34" s="35" t="s">
        <v>2148</v>
      </c>
      <c r="AP34" s="35" t="s">
        <v>535</v>
      </c>
      <c r="AQ34" s="34" t="s">
        <v>2232</v>
      </c>
      <c r="AR34" s="35">
        <v>1</v>
      </c>
      <c r="AS34" s="35" t="s">
        <v>1254</v>
      </c>
      <c r="AT34" s="35" t="s">
        <v>10</v>
      </c>
      <c r="AU34" s="35" t="s">
        <v>10</v>
      </c>
      <c r="AV34" s="35" t="s">
        <v>1693</v>
      </c>
      <c r="AW34" s="35" t="s">
        <v>635</v>
      </c>
      <c r="AX34" s="34" t="s">
        <v>2258</v>
      </c>
      <c r="AY34" s="35">
        <v>4</v>
      </c>
      <c r="AZ34" s="35" t="s">
        <v>603</v>
      </c>
      <c r="BA34" s="35" t="s">
        <v>77</v>
      </c>
      <c r="BB34" s="35" t="s">
        <v>10</v>
      </c>
      <c r="BC34" s="35" t="s">
        <v>26</v>
      </c>
      <c r="BD34" s="35" t="s">
        <v>1742</v>
      </c>
      <c r="BE34" s="35" t="s">
        <v>10</v>
      </c>
      <c r="BF34" s="35" t="s">
        <v>10</v>
      </c>
      <c r="BG34" s="35">
        <v>644</v>
      </c>
      <c r="BH34" s="35" t="s">
        <v>25</v>
      </c>
      <c r="BI34" s="35">
        <v>0.5</v>
      </c>
      <c r="BJ34" s="35" t="s">
        <v>1285</v>
      </c>
      <c r="BK34" s="35" t="s">
        <v>2374</v>
      </c>
      <c r="BL34" s="35" t="s">
        <v>2492</v>
      </c>
      <c r="BM34" s="35">
        <v>33</v>
      </c>
      <c r="BW34" s="248"/>
      <c r="BX34" s="248"/>
      <c r="BY34" s="248"/>
      <c r="BZ34" s="248"/>
      <c r="CA34" s="248"/>
      <c r="CB34" s="248"/>
      <c r="CC34" s="248"/>
      <c r="CD34" s="248"/>
      <c r="CE34" s="248"/>
      <c r="CF34" s="248"/>
      <c r="CG34" s="248"/>
      <c r="CH34" s="248"/>
      <c r="CI34" s="248"/>
      <c r="CJ34" s="248"/>
      <c r="CK34" s="248"/>
      <c r="CL34" s="248"/>
      <c r="CM34" s="248"/>
      <c r="CN34" s="248"/>
      <c r="CO34" s="248"/>
      <c r="CP34" s="248"/>
      <c r="CQ34" s="248"/>
      <c r="CR34" s="248"/>
      <c r="CS34" s="248"/>
      <c r="CT34" s="248"/>
      <c r="CU34" s="248"/>
      <c r="CV34" s="248"/>
      <c r="CW34" s="248"/>
      <c r="CX34" s="248"/>
      <c r="CY34" s="248"/>
      <c r="CZ34" s="248"/>
      <c r="DA34" s="248"/>
      <c r="DB34" s="248"/>
      <c r="DC34" s="248"/>
      <c r="DD34" s="248"/>
      <c r="DE34" s="248"/>
      <c r="DF34" s="248"/>
      <c r="DG34" s="248"/>
      <c r="DH34" s="248"/>
      <c r="DI34" s="248"/>
      <c r="DJ34" s="248"/>
      <c r="DK34" s="248"/>
      <c r="DL34" s="248"/>
      <c r="DM34" s="248"/>
      <c r="DN34" s="248"/>
      <c r="DO34" s="248"/>
      <c r="DP34" s="248"/>
      <c r="DQ34" s="248"/>
      <c r="DR34" s="248"/>
      <c r="DS34" s="248"/>
      <c r="DT34" s="248"/>
      <c r="DU34" s="248"/>
      <c r="DV34" s="248"/>
      <c r="DW34" s="248"/>
      <c r="DX34" s="248"/>
      <c r="DY34" s="248"/>
      <c r="DZ34" s="248"/>
      <c r="EA34" s="248"/>
      <c r="EB34" s="248"/>
      <c r="EC34" s="248"/>
      <c r="ED34" s="248"/>
      <c r="EE34" s="248"/>
    </row>
    <row r="35" spans="1:135" s="35" customFormat="1" ht="16.5">
      <c r="A35" s="35" t="str">
        <f t="shared" si="0"/>
        <v>SP_MB31_B1          KS_CPM_D</v>
      </c>
      <c r="B35" s="331"/>
      <c r="C35" s="248">
        <v>38</v>
      </c>
      <c r="D35" s="283" t="s">
        <v>605</v>
      </c>
      <c r="E35" s="283"/>
      <c r="F35" s="35" t="s">
        <v>1086</v>
      </c>
      <c r="G35" s="39" t="s">
        <v>2225</v>
      </c>
      <c r="H35" s="35" t="s">
        <v>609</v>
      </c>
      <c r="N35" s="35" t="s">
        <v>537</v>
      </c>
      <c r="O35" s="34" t="s">
        <v>1086</v>
      </c>
      <c r="P35" s="34" t="s">
        <v>1086</v>
      </c>
      <c r="Q35" s="58"/>
      <c r="R35" s="39"/>
      <c r="AH35" s="279"/>
      <c r="AJ35" s="279" t="s">
        <v>1117</v>
      </c>
      <c r="AK35" s="279"/>
      <c r="AL35" s="523">
        <v>3</v>
      </c>
      <c r="AM35" s="35">
        <v>38</v>
      </c>
      <c r="AN35" s="35" t="s">
        <v>1376</v>
      </c>
      <c r="AO35" s="35" t="s">
        <v>2145</v>
      </c>
      <c r="AP35" s="35" t="s">
        <v>532</v>
      </c>
      <c r="AQ35" s="34" t="s">
        <v>2225</v>
      </c>
      <c r="AR35" s="35">
        <v>1</v>
      </c>
      <c r="AS35" s="35" t="s">
        <v>1748</v>
      </c>
      <c r="AT35" s="35" t="s">
        <v>10</v>
      </c>
      <c r="AU35" s="35" t="s">
        <v>10</v>
      </c>
      <c r="AV35" s="35" t="s">
        <v>502</v>
      </c>
      <c r="AW35" s="35" t="s">
        <v>641</v>
      </c>
      <c r="AX35" s="34" t="s">
        <v>1776</v>
      </c>
      <c r="AY35" s="35">
        <v>14</v>
      </c>
      <c r="AZ35" s="35" t="s">
        <v>1389</v>
      </c>
      <c r="BA35" s="35" t="s">
        <v>241</v>
      </c>
      <c r="BB35" s="35" t="s">
        <v>10</v>
      </c>
      <c r="BC35" s="35" t="s">
        <v>224</v>
      </c>
      <c r="BD35" s="35" t="s">
        <v>1742</v>
      </c>
      <c r="BE35" s="35" t="s">
        <v>10</v>
      </c>
      <c r="BF35" s="35" t="s">
        <v>10</v>
      </c>
      <c r="BG35" s="35">
        <v>942</v>
      </c>
      <c r="BH35" s="35" t="s">
        <v>25</v>
      </c>
      <c r="BI35" s="35">
        <v>0.75</v>
      </c>
      <c r="BJ35" s="35" t="s">
        <v>1285</v>
      </c>
      <c r="BK35" s="35" t="s">
        <v>2374</v>
      </c>
      <c r="BL35" s="35" t="s">
        <v>2492</v>
      </c>
      <c r="BM35" s="35">
        <v>38</v>
      </c>
      <c r="BW35" s="248"/>
      <c r="BX35" s="248"/>
      <c r="BY35" s="248"/>
      <c r="BZ35" s="248"/>
      <c r="CA35" s="248"/>
      <c r="CB35" s="248"/>
      <c r="CC35" s="248"/>
      <c r="CD35" s="248"/>
      <c r="CE35" s="248"/>
      <c r="CF35" s="248"/>
      <c r="CG35" s="248"/>
      <c r="CH35" s="248"/>
      <c r="CI35" s="248"/>
      <c r="CJ35" s="248"/>
      <c r="CK35" s="248"/>
      <c r="CL35" s="248"/>
      <c r="CM35" s="248"/>
      <c r="CN35" s="248"/>
      <c r="CO35" s="248"/>
      <c r="CP35" s="248"/>
      <c r="CQ35" s="248"/>
      <c r="CR35" s="248"/>
      <c r="CS35" s="248"/>
      <c r="CT35" s="248"/>
      <c r="CU35" s="248"/>
      <c r="CV35" s="248"/>
      <c r="CW35" s="248"/>
      <c r="CX35" s="248"/>
      <c r="CY35" s="248"/>
      <c r="CZ35" s="248"/>
      <c r="DA35" s="248"/>
      <c r="DB35" s="248"/>
      <c r="DC35" s="248"/>
      <c r="DD35" s="248"/>
      <c r="DE35" s="248"/>
      <c r="DF35" s="248"/>
      <c r="DG35" s="248"/>
      <c r="DH35" s="248"/>
      <c r="DI35" s="248"/>
      <c r="DJ35" s="248"/>
      <c r="DK35" s="248"/>
      <c r="DL35" s="248"/>
      <c r="DM35" s="248"/>
      <c r="DN35" s="248"/>
      <c r="DO35" s="248"/>
      <c r="DP35" s="248"/>
      <c r="DQ35" s="248"/>
      <c r="DR35" s="248"/>
      <c r="DS35" s="248"/>
      <c r="DT35" s="248"/>
      <c r="DU35" s="248"/>
      <c r="DV35" s="248"/>
      <c r="DW35" s="248"/>
      <c r="DX35" s="248"/>
      <c r="DY35" s="248"/>
      <c r="DZ35" s="248"/>
      <c r="EA35" s="248"/>
      <c r="EB35" s="248"/>
      <c r="EC35" s="248"/>
      <c r="ED35" s="248"/>
      <c r="EE35" s="248"/>
    </row>
    <row r="36" spans="1:135" s="35" customFormat="1" ht="16.5">
      <c r="A36" s="35" t="str">
        <f t="shared" si="0"/>
        <v>KS_CPL_B            SGMLS</v>
      </c>
      <c r="B36" s="378">
        <v>7211</v>
      </c>
      <c r="C36" s="248">
        <v>39</v>
      </c>
      <c r="D36" s="283" t="s">
        <v>605</v>
      </c>
      <c r="E36" s="283"/>
      <c r="F36" s="35" t="s">
        <v>1086</v>
      </c>
      <c r="O36" s="34" t="s">
        <v>1086</v>
      </c>
      <c r="P36" s="34" t="s">
        <v>1086</v>
      </c>
      <c r="Q36" s="58"/>
      <c r="R36" s="39"/>
      <c r="AH36" s="279"/>
      <c r="AJ36" s="279" t="s">
        <v>1117</v>
      </c>
      <c r="AK36" s="532" t="s">
        <v>2558</v>
      </c>
      <c r="AL36" s="523">
        <v>3</v>
      </c>
      <c r="AM36" s="35">
        <v>39</v>
      </c>
      <c r="AN36" s="35" t="s">
        <v>1777</v>
      </c>
      <c r="AO36" s="35" t="s">
        <v>416</v>
      </c>
      <c r="AP36" s="35" t="s">
        <v>623</v>
      </c>
      <c r="AQ36" s="34" t="s">
        <v>1741</v>
      </c>
      <c r="AR36" s="35">
        <v>6</v>
      </c>
      <c r="AS36" s="35" t="s">
        <v>1398</v>
      </c>
      <c r="AT36" s="35" t="s">
        <v>72</v>
      </c>
      <c r="AU36" s="35" t="s">
        <v>10</v>
      </c>
      <c r="AV36" s="35" t="s">
        <v>1694</v>
      </c>
      <c r="AW36" s="35" t="s">
        <v>643</v>
      </c>
      <c r="AX36" s="34" t="s">
        <v>2305</v>
      </c>
      <c r="AY36" s="35">
        <v>3</v>
      </c>
      <c r="AZ36" s="35" t="s">
        <v>478</v>
      </c>
      <c r="BA36" s="35" t="s">
        <v>72</v>
      </c>
      <c r="BB36" s="35" t="s">
        <v>10</v>
      </c>
      <c r="BC36" s="35" t="s">
        <v>147</v>
      </c>
      <c r="BD36" s="35" t="s">
        <v>1742</v>
      </c>
      <c r="BE36" s="35" t="s">
        <v>146</v>
      </c>
      <c r="BF36" s="35" t="s">
        <v>150</v>
      </c>
      <c r="BG36" s="35">
        <v>1368</v>
      </c>
      <c r="BH36" s="35" t="s">
        <v>151</v>
      </c>
      <c r="BI36" s="35">
        <v>0.35</v>
      </c>
      <c r="BJ36" s="35" t="s">
        <v>1778</v>
      </c>
      <c r="BK36" s="35" t="s">
        <v>2374</v>
      </c>
      <c r="BL36" s="35" t="s">
        <v>2492</v>
      </c>
      <c r="BM36" s="35">
        <v>39</v>
      </c>
      <c r="BW36" s="248"/>
      <c r="BX36" s="248"/>
      <c r="BY36" s="248"/>
      <c r="BZ36" s="248"/>
      <c r="CA36" s="248"/>
      <c r="CB36" s="248"/>
      <c r="CC36" s="248"/>
      <c r="CD36" s="248"/>
      <c r="CE36" s="248"/>
      <c r="CF36" s="248"/>
      <c r="CG36" s="248"/>
      <c r="CH36" s="248"/>
      <c r="CI36" s="248"/>
      <c r="CJ36" s="248"/>
      <c r="CK36" s="248"/>
      <c r="CL36" s="248"/>
      <c r="CM36" s="248"/>
      <c r="CN36" s="248"/>
      <c r="CO36" s="248"/>
      <c r="CP36" s="248"/>
      <c r="CQ36" s="248"/>
      <c r="CR36" s="248"/>
      <c r="CS36" s="248"/>
      <c r="CT36" s="248"/>
      <c r="CU36" s="248"/>
      <c r="CV36" s="248"/>
      <c r="CW36" s="248"/>
      <c r="CX36" s="248"/>
      <c r="CY36" s="248"/>
      <c r="CZ36" s="248"/>
      <c r="DA36" s="248"/>
      <c r="DB36" s="248"/>
      <c r="DC36" s="248"/>
      <c r="DD36" s="248"/>
      <c r="DE36" s="248"/>
      <c r="DF36" s="248"/>
      <c r="DG36" s="248"/>
      <c r="DH36" s="248"/>
      <c r="DI36" s="248"/>
      <c r="DJ36" s="248"/>
      <c r="DK36" s="248"/>
      <c r="DL36" s="248"/>
      <c r="DM36" s="248"/>
      <c r="DN36" s="248"/>
      <c r="DO36" s="248"/>
      <c r="DP36" s="248"/>
      <c r="DQ36" s="248"/>
      <c r="DR36" s="248"/>
      <c r="DS36" s="248"/>
      <c r="DT36" s="248"/>
      <c r="DU36" s="248"/>
      <c r="DV36" s="248"/>
      <c r="DW36" s="248"/>
      <c r="DX36" s="248"/>
      <c r="DY36" s="248"/>
      <c r="DZ36" s="248"/>
      <c r="EA36" s="248"/>
      <c r="EB36" s="248"/>
      <c r="EC36" s="248"/>
      <c r="ED36" s="248"/>
      <c r="EE36" s="248"/>
    </row>
    <row r="37" spans="1:135" s="35" customFormat="1" ht="16.5">
      <c r="A37" s="35" t="str">
        <f t="shared" ref="A37:A68" si="1" xml:space="preserve"> AQ37 &amp; REPT(" ",20-LEN(AQ37)) &amp; AX37</f>
        <v>KS_CPL_B            SGMLS</v>
      </c>
      <c r="B37" s="378">
        <v>7211</v>
      </c>
      <c r="C37" s="248">
        <v>40</v>
      </c>
      <c r="D37" s="283" t="s">
        <v>605</v>
      </c>
      <c r="E37" s="283"/>
      <c r="F37" s="35" t="s">
        <v>1086</v>
      </c>
      <c r="O37" s="34" t="s">
        <v>1086</v>
      </c>
      <c r="P37" s="34" t="s">
        <v>1086</v>
      </c>
      <c r="Q37" s="58"/>
      <c r="R37" s="39"/>
      <c r="AH37" s="279"/>
      <c r="AJ37" s="279" t="s">
        <v>1117</v>
      </c>
      <c r="AK37" s="532" t="s">
        <v>2558</v>
      </c>
      <c r="AL37" s="523">
        <v>3</v>
      </c>
      <c r="AM37" s="35">
        <v>40</v>
      </c>
      <c r="AN37" s="35" t="s">
        <v>1779</v>
      </c>
      <c r="AO37" s="35" t="s">
        <v>416</v>
      </c>
      <c r="AP37" s="35" t="s">
        <v>623</v>
      </c>
      <c r="AQ37" s="34" t="s">
        <v>1741</v>
      </c>
      <c r="AR37" s="35">
        <v>7</v>
      </c>
      <c r="AS37" s="35" t="s">
        <v>1398</v>
      </c>
      <c r="AT37" s="35" t="s">
        <v>72</v>
      </c>
      <c r="AU37" s="35" t="s">
        <v>10</v>
      </c>
      <c r="AV37" s="35" t="s">
        <v>1694</v>
      </c>
      <c r="AW37" s="35" t="s">
        <v>643</v>
      </c>
      <c r="AX37" s="34" t="s">
        <v>2305</v>
      </c>
      <c r="AY37" s="35">
        <v>4</v>
      </c>
      <c r="AZ37" s="35" t="s">
        <v>478</v>
      </c>
      <c r="BA37" s="35" t="s">
        <v>72</v>
      </c>
      <c r="BB37" s="35" t="s">
        <v>10</v>
      </c>
      <c r="BC37" s="35" t="s">
        <v>147</v>
      </c>
      <c r="BD37" s="35" t="s">
        <v>1742</v>
      </c>
      <c r="BE37" s="35" t="s">
        <v>146</v>
      </c>
      <c r="BF37" s="35" t="s">
        <v>149</v>
      </c>
      <c r="BG37" s="35">
        <v>1368</v>
      </c>
      <c r="BH37" s="35" t="s">
        <v>66</v>
      </c>
      <c r="BI37" s="35">
        <v>0.35</v>
      </c>
      <c r="BJ37" s="35" t="s">
        <v>1780</v>
      </c>
      <c r="BK37" s="35" t="s">
        <v>2374</v>
      </c>
      <c r="BL37" s="35" t="s">
        <v>2492</v>
      </c>
      <c r="BM37" s="35">
        <v>40</v>
      </c>
      <c r="BW37" s="248"/>
      <c r="BX37" s="248"/>
      <c r="BY37" s="248"/>
      <c r="BZ37" s="248"/>
      <c r="CA37" s="248"/>
      <c r="CB37" s="248"/>
      <c r="CC37" s="248"/>
      <c r="CD37" s="248"/>
      <c r="CE37" s="248"/>
      <c r="CF37" s="248"/>
      <c r="CG37" s="248"/>
      <c r="CH37" s="248"/>
      <c r="CI37" s="248"/>
      <c r="CJ37" s="248"/>
      <c r="CK37" s="248"/>
      <c r="CL37" s="248"/>
      <c r="CM37" s="248"/>
      <c r="CN37" s="248"/>
      <c r="CO37" s="248"/>
      <c r="CP37" s="248"/>
      <c r="CQ37" s="248"/>
      <c r="CR37" s="248"/>
      <c r="CS37" s="248"/>
      <c r="CT37" s="248"/>
      <c r="CU37" s="248"/>
      <c r="CV37" s="248"/>
      <c r="CW37" s="248"/>
      <c r="CX37" s="248"/>
      <c r="CY37" s="248"/>
      <c r="CZ37" s="248"/>
      <c r="DA37" s="248"/>
      <c r="DB37" s="248"/>
      <c r="DC37" s="248"/>
      <c r="DD37" s="248"/>
      <c r="DE37" s="248"/>
      <c r="DF37" s="248"/>
      <c r="DG37" s="248"/>
      <c r="DH37" s="248"/>
      <c r="DI37" s="248"/>
      <c r="DJ37" s="248"/>
      <c r="DK37" s="248"/>
      <c r="DL37" s="248"/>
      <c r="DM37" s="248"/>
      <c r="DN37" s="248"/>
      <c r="DO37" s="248"/>
      <c r="DP37" s="248"/>
      <c r="DQ37" s="248"/>
      <c r="DR37" s="248"/>
      <c r="DS37" s="248"/>
      <c r="DT37" s="248"/>
      <c r="DU37" s="248"/>
      <c r="DV37" s="248"/>
      <c r="DW37" s="248"/>
      <c r="DX37" s="248"/>
      <c r="DY37" s="248"/>
      <c r="DZ37" s="248"/>
      <c r="EA37" s="248"/>
      <c r="EB37" s="248"/>
      <c r="EC37" s="248"/>
      <c r="ED37" s="248"/>
      <c r="EE37" s="248"/>
    </row>
    <row r="38" spans="1:135" s="35" customFormat="1" ht="16.5">
      <c r="A38" s="35" t="str">
        <f t="shared" si="1"/>
        <v>KS_CPL_B            SGMLS</v>
      </c>
      <c r="C38" s="248">
        <v>41</v>
      </c>
      <c r="D38" s="283" t="s">
        <v>605</v>
      </c>
      <c r="E38" s="283"/>
      <c r="F38" s="35" t="s">
        <v>1086</v>
      </c>
      <c r="O38" s="34" t="s">
        <v>1086</v>
      </c>
      <c r="P38" s="34" t="s">
        <v>1086</v>
      </c>
      <c r="Q38" s="58"/>
      <c r="R38" s="39"/>
      <c r="AH38" s="279"/>
      <c r="AJ38" s="279" t="s">
        <v>1117</v>
      </c>
      <c r="AK38" s="279"/>
      <c r="AL38" s="523">
        <v>3</v>
      </c>
      <c r="AM38" s="35">
        <v>41</v>
      </c>
      <c r="AN38" s="35" t="s">
        <v>1781</v>
      </c>
      <c r="AO38" s="35" t="s">
        <v>416</v>
      </c>
      <c r="AP38" s="35" t="s">
        <v>623</v>
      </c>
      <c r="AQ38" s="34" t="s">
        <v>1741</v>
      </c>
      <c r="AR38" s="35">
        <v>5</v>
      </c>
      <c r="AS38" s="35" t="s">
        <v>1398</v>
      </c>
      <c r="AT38" s="35" t="s">
        <v>492</v>
      </c>
      <c r="AU38" s="35" t="s">
        <v>10</v>
      </c>
      <c r="AV38" s="35" t="s">
        <v>1694</v>
      </c>
      <c r="AW38" s="35" t="s">
        <v>643</v>
      </c>
      <c r="AX38" s="34" t="s">
        <v>2305</v>
      </c>
      <c r="AY38" s="35">
        <v>2</v>
      </c>
      <c r="AZ38" s="35" t="s">
        <v>478</v>
      </c>
      <c r="BA38" s="35" t="s">
        <v>492</v>
      </c>
      <c r="BB38" s="35" t="s">
        <v>10</v>
      </c>
      <c r="BC38" s="35" t="s">
        <v>219</v>
      </c>
      <c r="BD38" s="35" t="s">
        <v>1742</v>
      </c>
      <c r="BE38" s="35" t="s">
        <v>10</v>
      </c>
      <c r="BF38" s="35" t="s">
        <v>10</v>
      </c>
      <c r="BG38" s="35">
        <v>1368</v>
      </c>
      <c r="BH38" s="35" t="s">
        <v>108</v>
      </c>
      <c r="BI38" s="35">
        <v>0.13</v>
      </c>
      <c r="BJ38" s="35" t="s">
        <v>261</v>
      </c>
      <c r="BK38" s="35" t="s">
        <v>2374</v>
      </c>
      <c r="BL38" s="35" t="s">
        <v>2492</v>
      </c>
      <c r="BM38" s="35">
        <v>41</v>
      </c>
      <c r="BW38" s="248"/>
      <c r="BX38" s="248"/>
      <c r="BY38" s="248"/>
      <c r="BZ38" s="248"/>
      <c r="CA38" s="248"/>
      <c r="CB38" s="248"/>
      <c r="CC38" s="248"/>
      <c r="CD38" s="248"/>
      <c r="CE38" s="248"/>
      <c r="CF38" s="248"/>
      <c r="CG38" s="248"/>
      <c r="CH38" s="248"/>
      <c r="CI38" s="248"/>
      <c r="CJ38" s="248"/>
      <c r="CK38" s="248"/>
      <c r="CL38" s="248"/>
      <c r="CM38" s="248"/>
      <c r="CN38" s="248"/>
      <c r="CO38" s="248"/>
      <c r="CP38" s="248"/>
      <c r="CQ38" s="248"/>
      <c r="CR38" s="248"/>
      <c r="CS38" s="248"/>
      <c r="CT38" s="248"/>
      <c r="CU38" s="248"/>
      <c r="CV38" s="248"/>
      <c r="CW38" s="248"/>
      <c r="CX38" s="248"/>
      <c r="CY38" s="248"/>
      <c r="CZ38" s="248"/>
      <c r="DA38" s="248"/>
      <c r="DB38" s="248"/>
      <c r="DC38" s="248"/>
      <c r="DD38" s="248"/>
      <c r="DE38" s="248"/>
      <c r="DF38" s="248"/>
      <c r="DG38" s="248"/>
      <c r="DH38" s="248"/>
      <c r="DI38" s="248"/>
      <c r="DJ38" s="248"/>
      <c r="DK38" s="248"/>
      <c r="DL38" s="248"/>
      <c r="DM38" s="248"/>
      <c r="DN38" s="248"/>
      <c r="DO38" s="248"/>
      <c r="DP38" s="248"/>
      <c r="DQ38" s="248"/>
      <c r="DR38" s="248"/>
      <c r="DS38" s="248"/>
      <c r="DT38" s="248"/>
      <c r="DU38" s="248"/>
      <c r="DV38" s="248"/>
      <c r="DW38" s="248"/>
      <c r="DX38" s="248"/>
      <c r="DY38" s="248"/>
      <c r="DZ38" s="248"/>
      <c r="EA38" s="248"/>
      <c r="EB38" s="248"/>
      <c r="EC38" s="248"/>
      <c r="ED38" s="248"/>
      <c r="EE38" s="248"/>
    </row>
    <row r="39" spans="1:135" s="35" customFormat="1" ht="16.5">
      <c r="A39" s="35" t="str">
        <f t="shared" si="1"/>
        <v>SIDO_O              SGMLS</v>
      </c>
      <c r="B39" s="331"/>
      <c r="C39" s="248">
        <v>42</v>
      </c>
      <c r="D39" s="283" t="s">
        <v>605</v>
      </c>
      <c r="E39" s="283"/>
      <c r="F39" s="35" t="s">
        <v>1086</v>
      </c>
      <c r="O39" s="34" t="s">
        <v>1086</v>
      </c>
      <c r="P39" s="34" t="s">
        <v>1086</v>
      </c>
      <c r="Q39" s="58"/>
      <c r="R39" s="39"/>
      <c r="AH39" s="279"/>
      <c r="AJ39" s="279" t="s">
        <v>1117</v>
      </c>
      <c r="AK39" s="279"/>
      <c r="AL39" s="523">
        <v>3</v>
      </c>
      <c r="AM39" s="35">
        <v>42</v>
      </c>
      <c r="AN39" s="35" t="s">
        <v>1782</v>
      </c>
      <c r="AO39" s="35" t="s">
        <v>897</v>
      </c>
      <c r="AP39" s="35" t="s">
        <v>626</v>
      </c>
      <c r="AQ39" s="34" t="s">
        <v>2255</v>
      </c>
      <c r="AR39" s="35" t="s">
        <v>243</v>
      </c>
      <c r="AS39" s="35" t="s">
        <v>1158</v>
      </c>
      <c r="AT39" s="35" t="s">
        <v>242</v>
      </c>
      <c r="AU39" s="35" t="s">
        <v>10</v>
      </c>
      <c r="AV39" s="35" t="s">
        <v>1694</v>
      </c>
      <c r="AW39" s="35" t="s">
        <v>643</v>
      </c>
      <c r="AX39" s="34" t="s">
        <v>2305</v>
      </c>
      <c r="AY39" s="35">
        <v>1</v>
      </c>
      <c r="AZ39" s="35" t="s">
        <v>478</v>
      </c>
      <c r="BA39" s="35" t="s">
        <v>644</v>
      </c>
      <c r="BB39" s="35" t="s">
        <v>10</v>
      </c>
      <c r="BC39" s="35" t="s">
        <v>645</v>
      </c>
      <c r="BD39" s="35" t="s">
        <v>1742</v>
      </c>
      <c r="BE39" s="35" t="s">
        <v>10</v>
      </c>
      <c r="BF39" s="35" t="s">
        <v>10</v>
      </c>
      <c r="BG39" s="35">
        <v>1089</v>
      </c>
      <c r="BH39" s="35" t="s">
        <v>112</v>
      </c>
      <c r="BI39" s="35">
        <v>1</v>
      </c>
      <c r="BJ39" s="35" t="s">
        <v>1390</v>
      </c>
      <c r="BK39" s="35" t="s">
        <v>2374</v>
      </c>
      <c r="BL39" s="35" t="s">
        <v>2492</v>
      </c>
      <c r="BM39" s="35">
        <v>42</v>
      </c>
      <c r="BW39" s="248"/>
      <c r="BX39" s="248"/>
      <c r="BY39" s="248"/>
      <c r="BZ39" s="248"/>
      <c r="CA39" s="248"/>
      <c r="CB39" s="248"/>
      <c r="CC39" s="248"/>
      <c r="CD39" s="248"/>
      <c r="CE39" s="248"/>
      <c r="CF39" s="248"/>
      <c r="CG39" s="248"/>
      <c r="CH39" s="248"/>
      <c r="CI39" s="248"/>
      <c r="CJ39" s="248"/>
      <c r="CK39" s="248"/>
      <c r="CL39" s="248"/>
      <c r="CM39" s="248"/>
      <c r="CN39" s="248"/>
      <c r="CO39" s="248"/>
      <c r="CP39" s="248"/>
      <c r="CQ39" s="248"/>
      <c r="CR39" s="248"/>
      <c r="CS39" s="248"/>
      <c r="CT39" s="248"/>
      <c r="CU39" s="248"/>
      <c r="CV39" s="248"/>
      <c r="CW39" s="248"/>
      <c r="CX39" s="248"/>
      <c r="CY39" s="248"/>
      <c r="CZ39" s="248"/>
      <c r="DA39" s="248"/>
      <c r="DB39" s="248"/>
      <c r="DC39" s="248"/>
      <c r="DD39" s="248"/>
      <c r="DE39" s="248"/>
      <c r="DF39" s="248"/>
      <c r="DG39" s="248"/>
      <c r="DH39" s="248"/>
      <c r="DI39" s="248"/>
      <c r="DJ39" s="248"/>
      <c r="DK39" s="248"/>
      <c r="DL39" s="248"/>
      <c r="DM39" s="248"/>
      <c r="DN39" s="248"/>
      <c r="DO39" s="248"/>
      <c r="DP39" s="248"/>
      <c r="DQ39" s="248"/>
      <c r="DR39" s="248"/>
      <c r="DS39" s="248"/>
      <c r="DT39" s="248"/>
      <c r="DU39" s="248"/>
      <c r="DV39" s="248"/>
      <c r="DW39" s="248"/>
      <c r="DX39" s="248"/>
      <c r="DY39" s="248"/>
      <c r="DZ39" s="248"/>
      <c r="EA39" s="248"/>
      <c r="EB39" s="248"/>
      <c r="EC39" s="248"/>
      <c r="ED39" s="248"/>
      <c r="EE39" s="248"/>
    </row>
    <row r="40" spans="1:135" s="35" customFormat="1" ht="16.5">
      <c r="A40" s="35" t="str">
        <f t="shared" si="1"/>
        <v>KS_CPL_D            KS_CPM_D</v>
      </c>
      <c r="B40" s="331"/>
      <c r="C40" s="248">
        <v>43</v>
      </c>
      <c r="D40" s="283" t="s">
        <v>605</v>
      </c>
      <c r="E40" s="283"/>
      <c r="F40" s="35" t="s">
        <v>1086</v>
      </c>
      <c r="O40" s="34" t="s">
        <v>1086</v>
      </c>
      <c r="P40" s="34" t="s">
        <v>1086</v>
      </c>
      <c r="Q40" s="58"/>
      <c r="R40" s="39"/>
      <c r="AH40" s="279"/>
      <c r="AJ40" s="279" t="s">
        <v>1117</v>
      </c>
      <c r="AK40" s="279"/>
      <c r="AL40" s="523">
        <v>3</v>
      </c>
      <c r="AM40" s="35">
        <v>43</v>
      </c>
      <c r="AN40" s="35" t="s">
        <v>1783</v>
      </c>
      <c r="AO40" s="35" t="s">
        <v>416</v>
      </c>
      <c r="AP40" s="35" t="s">
        <v>646</v>
      </c>
      <c r="AQ40" s="34" t="s">
        <v>1784</v>
      </c>
      <c r="AR40" s="35">
        <v>17</v>
      </c>
      <c r="AS40" s="35" t="s">
        <v>1785</v>
      </c>
      <c r="AT40" s="35" t="s">
        <v>75</v>
      </c>
      <c r="AU40" s="35" t="s">
        <v>10</v>
      </c>
      <c r="AV40" s="35" t="s">
        <v>502</v>
      </c>
      <c r="AW40" s="35" t="s">
        <v>641</v>
      </c>
      <c r="AX40" s="34" t="s">
        <v>1776</v>
      </c>
      <c r="AY40" s="35">
        <v>17</v>
      </c>
      <c r="AZ40" s="35" t="s">
        <v>1389</v>
      </c>
      <c r="BA40" s="35" t="s">
        <v>254</v>
      </c>
      <c r="BB40" s="35" t="s">
        <v>10</v>
      </c>
      <c r="BC40" s="35" t="s">
        <v>163</v>
      </c>
      <c r="BD40" s="35" t="s">
        <v>1742</v>
      </c>
      <c r="BE40" s="35" t="s">
        <v>10</v>
      </c>
      <c r="BF40" s="35" t="s">
        <v>10</v>
      </c>
      <c r="BG40" s="35">
        <v>1280</v>
      </c>
      <c r="BH40" s="35" t="s">
        <v>25</v>
      </c>
      <c r="BI40" s="35">
        <v>1.5</v>
      </c>
      <c r="BJ40" s="35" t="s">
        <v>10</v>
      </c>
      <c r="BK40" s="35" t="s">
        <v>2374</v>
      </c>
      <c r="BL40" s="35" t="s">
        <v>2492</v>
      </c>
      <c r="BM40" s="35">
        <v>43</v>
      </c>
      <c r="BW40" s="248"/>
      <c r="BX40" s="248"/>
      <c r="BY40" s="248"/>
      <c r="BZ40" s="248"/>
      <c r="CA40" s="248"/>
      <c r="CB40" s="248"/>
      <c r="CC40" s="248"/>
      <c r="CD40" s="248"/>
      <c r="CE40" s="248"/>
      <c r="CF40" s="248"/>
      <c r="CG40" s="248"/>
      <c r="CH40" s="248"/>
      <c r="CI40" s="248"/>
      <c r="CJ40" s="248"/>
      <c r="CK40" s="248"/>
      <c r="CL40" s="248"/>
      <c r="CM40" s="248"/>
      <c r="CN40" s="248"/>
      <c r="CO40" s="248"/>
      <c r="CP40" s="248"/>
      <c r="CQ40" s="248"/>
      <c r="CR40" s="248"/>
      <c r="CS40" s="248"/>
      <c r="CT40" s="248"/>
      <c r="CU40" s="248"/>
      <c r="CV40" s="248"/>
      <c r="CW40" s="248"/>
      <c r="CX40" s="248"/>
      <c r="CY40" s="248"/>
      <c r="CZ40" s="248"/>
      <c r="DA40" s="248"/>
      <c r="DB40" s="248"/>
      <c r="DC40" s="248"/>
      <c r="DD40" s="248"/>
      <c r="DE40" s="248"/>
      <c r="DF40" s="248"/>
      <c r="DG40" s="248"/>
      <c r="DH40" s="248"/>
      <c r="DI40" s="248"/>
      <c r="DJ40" s="248"/>
      <c r="DK40" s="248"/>
      <c r="DL40" s="248"/>
      <c r="DM40" s="248"/>
      <c r="DN40" s="248"/>
      <c r="DO40" s="248"/>
      <c r="DP40" s="248"/>
      <c r="DQ40" s="248"/>
      <c r="DR40" s="248"/>
      <c r="DS40" s="248"/>
      <c r="DT40" s="248"/>
      <c r="DU40" s="248"/>
      <c r="DV40" s="248"/>
      <c r="DW40" s="248"/>
      <c r="DX40" s="248"/>
      <c r="DY40" s="248"/>
      <c r="DZ40" s="248"/>
      <c r="EA40" s="248"/>
      <c r="EB40" s="248"/>
      <c r="EC40" s="248"/>
      <c r="ED40" s="248"/>
      <c r="EE40" s="248"/>
    </row>
    <row r="41" spans="1:135" s="35" customFormat="1" ht="16.5">
      <c r="A41" s="35" t="str">
        <f t="shared" si="1"/>
        <v>KS_CPL_D            KS_CPM_E</v>
      </c>
      <c r="B41" s="331"/>
      <c r="C41" s="248">
        <v>44</v>
      </c>
      <c r="D41" s="283" t="s">
        <v>605</v>
      </c>
      <c r="E41" s="283"/>
      <c r="F41" s="35" t="s">
        <v>1086</v>
      </c>
      <c r="O41" s="34" t="s">
        <v>1086</v>
      </c>
      <c r="P41" s="34" t="s">
        <v>1086</v>
      </c>
      <c r="Q41" s="58"/>
      <c r="R41" s="39"/>
      <c r="AH41" s="279"/>
      <c r="AJ41" s="279" t="s">
        <v>1117</v>
      </c>
      <c r="AK41" s="279"/>
      <c r="AL41" s="523">
        <v>3</v>
      </c>
      <c r="AM41" s="35">
        <v>44</v>
      </c>
      <c r="AN41" s="35" t="s">
        <v>1391</v>
      </c>
      <c r="AO41" s="35" t="s">
        <v>416</v>
      </c>
      <c r="AP41" s="35" t="s">
        <v>646</v>
      </c>
      <c r="AQ41" s="34" t="s">
        <v>1784</v>
      </c>
      <c r="AR41" s="35">
        <v>9</v>
      </c>
      <c r="AS41" s="35" t="s">
        <v>1785</v>
      </c>
      <c r="AT41" s="35" t="s">
        <v>72</v>
      </c>
      <c r="AU41" s="35" t="s">
        <v>10</v>
      </c>
      <c r="AV41" s="35" t="s">
        <v>502</v>
      </c>
      <c r="AW41" s="35" t="s">
        <v>647</v>
      </c>
      <c r="AX41" s="34" t="s">
        <v>1786</v>
      </c>
      <c r="AY41" s="35">
        <v>9</v>
      </c>
      <c r="AZ41" s="35" t="s">
        <v>1392</v>
      </c>
      <c r="BA41" s="35" t="s">
        <v>245</v>
      </c>
      <c r="BB41" s="35" t="s">
        <v>10</v>
      </c>
      <c r="BC41" s="35" t="s">
        <v>525</v>
      </c>
      <c r="BD41" s="35" t="s">
        <v>1742</v>
      </c>
      <c r="BE41" s="35" t="s">
        <v>10</v>
      </c>
      <c r="BF41" s="35" t="s">
        <v>10</v>
      </c>
      <c r="BG41" s="35">
        <v>1355</v>
      </c>
      <c r="BH41" s="35" t="s">
        <v>125</v>
      </c>
      <c r="BI41" s="35">
        <v>0.35</v>
      </c>
      <c r="BJ41" s="35" t="s">
        <v>1393</v>
      </c>
      <c r="BK41" s="35" t="s">
        <v>2374</v>
      </c>
      <c r="BL41" s="35" t="s">
        <v>2492</v>
      </c>
      <c r="BM41" s="35">
        <v>44</v>
      </c>
      <c r="BW41" s="248"/>
      <c r="BX41" s="248"/>
      <c r="BY41" s="248"/>
      <c r="BZ41" s="248"/>
      <c r="CA41" s="248"/>
      <c r="CB41" s="248"/>
      <c r="CC41" s="248"/>
      <c r="CD41" s="248"/>
      <c r="CE41" s="248"/>
      <c r="CF41" s="248"/>
      <c r="CG41" s="248"/>
      <c r="CH41" s="248"/>
      <c r="CI41" s="248"/>
      <c r="CJ41" s="248"/>
      <c r="CK41" s="248"/>
      <c r="CL41" s="248"/>
      <c r="CM41" s="248"/>
      <c r="CN41" s="248"/>
      <c r="CO41" s="248"/>
      <c r="CP41" s="248"/>
      <c r="CQ41" s="248"/>
      <c r="CR41" s="248"/>
      <c r="CS41" s="248"/>
      <c r="CT41" s="248"/>
      <c r="CU41" s="248"/>
      <c r="CV41" s="248"/>
      <c r="CW41" s="248"/>
      <c r="CX41" s="248"/>
      <c r="CY41" s="248"/>
      <c r="CZ41" s="248"/>
      <c r="DA41" s="248"/>
      <c r="DB41" s="248"/>
      <c r="DC41" s="248"/>
      <c r="DD41" s="248"/>
      <c r="DE41" s="248"/>
      <c r="DF41" s="248"/>
      <c r="DG41" s="248"/>
      <c r="DH41" s="248"/>
      <c r="DI41" s="248"/>
      <c r="DJ41" s="248"/>
      <c r="DK41" s="248"/>
      <c r="DL41" s="248"/>
      <c r="DM41" s="248"/>
      <c r="DN41" s="248"/>
      <c r="DO41" s="248"/>
      <c r="DP41" s="248"/>
      <c r="DQ41" s="248"/>
      <c r="DR41" s="248"/>
      <c r="DS41" s="248"/>
      <c r="DT41" s="248"/>
      <c r="DU41" s="248"/>
      <c r="DV41" s="248"/>
      <c r="DW41" s="248"/>
      <c r="DX41" s="248"/>
      <c r="DY41" s="248"/>
      <c r="DZ41" s="248"/>
      <c r="EA41" s="248"/>
      <c r="EB41" s="248"/>
      <c r="EC41" s="248"/>
      <c r="ED41" s="248"/>
      <c r="EE41" s="248"/>
    </row>
    <row r="42" spans="1:135" s="35" customFormat="1" ht="16.5">
      <c r="A42" s="35" t="str">
        <f t="shared" si="1"/>
        <v>SP_CANHI            KS_CPR_A</v>
      </c>
      <c r="B42" s="331"/>
      <c r="C42" s="248">
        <v>45</v>
      </c>
      <c r="D42" s="283" t="s">
        <v>605</v>
      </c>
      <c r="E42" s="283"/>
      <c r="F42" s="286" t="s">
        <v>1093</v>
      </c>
      <c r="G42" s="39" t="s">
        <v>2233</v>
      </c>
      <c r="H42" s="35" t="s">
        <v>610</v>
      </c>
      <c r="N42" s="35" t="s">
        <v>619</v>
      </c>
      <c r="O42" s="34" t="s">
        <v>1097</v>
      </c>
      <c r="P42" s="34" t="s">
        <v>1086</v>
      </c>
      <c r="Q42" s="58"/>
      <c r="R42" s="39"/>
      <c r="AH42" s="279"/>
      <c r="AJ42" s="279" t="s">
        <v>1116</v>
      </c>
      <c r="AK42" s="279"/>
      <c r="AL42" s="523">
        <v>3</v>
      </c>
      <c r="AM42" s="35">
        <v>45</v>
      </c>
      <c r="AN42" s="35" t="s">
        <v>1787</v>
      </c>
      <c r="AO42" s="35" t="s">
        <v>1695</v>
      </c>
      <c r="AP42" s="35" t="s">
        <v>1189</v>
      </c>
      <c r="AQ42" s="34" t="s">
        <v>2233</v>
      </c>
      <c r="AR42" s="35">
        <v>1</v>
      </c>
      <c r="AS42" s="35" t="s">
        <v>1394</v>
      </c>
      <c r="AT42" s="35" t="s">
        <v>10</v>
      </c>
      <c r="AU42" s="35" t="s">
        <v>10</v>
      </c>
      <c r="AV42" s="35" t="s">
        <v>424</v>
      </c>
      <c r="AW42" s="35" t="s">
        <v>637</v>
      </c>
      <c r="AX42" s="34" t="s">
        <v>1770</v>
      </c>
      <c r="AY42" s="35">
        <v>12</v>
      </c>
      <c r="AZ42" s="35" t="s">
        <v>1771</v>
      </c>
      <c r="BA42" s="35" t="s">
        <v>72</v>
      </c>
      <c r="BB42" s="35" t="s">
        <v>10</v>
      </c>
      <c r="BC42" s="35" t="s">
        <v>2385</v>
      </c>
      <c r="BD42" s="35" t="s">
        <v>1742</v>
      </c>
      <c r="BE42" s="35" t="s">
        <v>148</v>
      </c>
      <c r="BF42" s="35" t="s">
        <v>181</v>
      </c>
      <c r="BG42" s="35">
        <v>1187</v>
      </c>
      <c r="BH42" s="35" t="s">
        <v>79</v>
      </c>
      <c r="BI42" s="35">
        <v>0.35</v>
      </c>
      <c r="BJ42" s="35" t="s">
        <v>1789</v>
      </c>
      <c r="BK42" s="35" t="s">
        <v>2374</v>
      </c>
      <c r="BL42" s="35" t="s">
        <v>2492</v>
      </c>
      <c r="BM42" s="35">
        <v>45</v>
      </c>
      <c r="BW42" s="248"/>
      <c r="BX42" s="248"/>
      <c r="BY42" s="248"/>
      <c r="BZ42" s="248"/>
      <c r="CA42" s="248"/>
      <c r="CB42" s="248"/>
      <c r="CC42" s="248"/>
      <c r="CD42" s="248"/>
      <c r="CE42" s="248"/>
      <c r="CF42" s="248"/>
      <c r="CG42" s="248"/>
      <c r="CH42" s="248"/>
      <c r="CI42" s="248"/>
      <c r="CJ42" s="248"/>
      <c r="CK42" s="248"/>
      <c r="CL42" s="248"/>
      <c r="CM42" s="248"/>
      <c r="CN42" s="248"/>
      <c r="CO42" s="248"/>
      <c r="CP42" s="248"/>
      <c r="CQ42" s="248"/>
      <c r="CR42" s="248"/>
      <c r="CS42" s="248"/>
      <c r="CT42" s="248"/>
      <c r="CU42" s="248"/>
      <c r="CV42" s="248"/>
      <c r="CW42" s="248"/>
      <c r="CX42" s="248"/>
      <c r="CY42" s="248"/>
      <c r="CZ42" s="248"/>
      <c r="DA42" s="248"/>
      <c r="DB42" s="248"/>
      <c r="DC42" s="248"/>
      <c r="DD42" s="248"/>
      <c r="DE42" s="248"/>
      <c r="DF42" s="248"/>
      <c r="DG42" s="248"/>
      <c r="DH42" s="248"/>
      <c r="DI42" s="248"/>
      <c r="DJ42" s="248"/>
      <c r="DK42" s="248"/>
      <c r="DL42" s="248"/>
      <c r="DM42" s="248"/>
      <c r="DN42" s="248"/>
      <c r="DO42" s="248"/>
      <c r="DP42" s="248"/>
      <c r="DQ42" s="248"/>
      <c r="DR42" s="248"/>
      <c r="DS42" s="248"/>
      <c r="DT42" s="248"/>
      <c r="DU42" s="248"/>
      <c r="DV42" s="248"/>
      <c r="DW42" s="248"/>
      <c r="DX42" s="248"/>
      <c r="DY42" s="248"/>
      <c r="DZ42" s="248"/>
      <c r="EA42" s="248"/>
      <c r="EB42" s="248"/>
      <c r="EC42" s="248"/>
      <c r="ED42" s="248"/>
      <c r="EE42" s="248"/>
    </row>
    <row r="43" spans="1:135" s="35" customFormat="1" ht="16.5">
      <c r="A43" s="35" t="str">
        <f t="shared" si="1"/>
        <v>SP_CANLI            KS_CPR_A</v>
      </c>
      <c r="B43" s="331"/>
      <c r="C43" s="248">
        <v>46</v>
      </c>
      <c r="D43" s="283" t="s">
        <v>605</v>
      </c>
      <c r="E43" s="283"/>
      <c r="F43" s="286" t="s">
        <v>1093</v>
      </c>
      <c r="G43" s="39" t="s">
        <v>2234</v>
      </c>
      <c r="H43" s="35" t="s">
        <v>610</v>
      </c>
      <c r="N43" s="35" t="s">
        <v>619</v>
      </c>
      <c r="O43" s="34" t="s">
        <v>1097</v>
      </c>
      <c r="P43" s="285" t="s">
        <v>1086</v>
      </c>
      <c r="Q43" s="58"/>
      <c r="R43" s="39"/>
      <c r="AH43" s="279"/>
      <c r="AJ43" s="279" t="s">
        <v>1116</v>
      </c>
      <c r="AK43" s="279"/>
      <c r="AL43" s="523">
        <v>3</v>
      </c>
      <c r="AM43" s="35">
        <v>46</v>
      </c>
      <c r="AN43" s="35" t="s">
        <v>1790</v>
      </c>
      <c r="AO43" s="35" t="s">
        <v>1696</v>
      </c>
      <c r="AP43" s="35" t="s">
        <v>1190</v>
      </c>
      <c r="AQ43" s="34" t="s">
        <v>2234</v>
      </c>
      <c r="AR43" s="35">
        <v>1</v>
      </c>
      <c r="AS43" s="35" t="s">
        <v>1394</v>
      </c>
      <c r="AT43" s="35" t="s">
        <v>10</v>
      </c>
      <c r="AU43" s="35" t="s">
        <v>10</v>
      </c>
      <c r="AV43" s="35" t="s">
        <v>424</v>
      </c>
      <c r="AW43" s="35" t="s">
        <v>637</v>
      </c>
      <c r="AX43" s="34" t="s">
        <v>1770</v>
      </c>
      <c r="AY43" s="35">
        <v>13</v>
      </c>
      <c r="AZ43" s="35" t="s">
        <v>1771</v>
      </c>
      <c r="BA43" s="35" t="s">
        <v>72</v>
      </c>
      <c r="BB43" s="35" t="s">
        <v>10</v>
      </c>
      <c r="BC43" s="35" t="s">
        <v>2385</v>
      </c>
      <c r="BD43" s="35" t="s">
        <v>1742</v>
      </c>
      <c r="BE43" s="35" t="s">
        <v>148</v>
      </c>
      <c r="BF43" s="35" t="s">
        <v>88</v>
      </c>
      <c r="BG43" s="35">
        <v>1187</v>
      </c>
      <c r="BH43" s="35" t="s">
        <v>89</v>
      </c>
      <c r="BI43" s="35">
        <v>0.35</v>
      </c>
      <c r="BJ43" s="35" t="s">
        <v>1792</v>
      </c>
      <c r="BK43" s="35" t="s">
        <v>2374</v>
      </c>
      <c r="BL43" s="35" t="s">
        <v>2492</v>
      </c>
      <c r="BM43" s="35">
        <v>46</v>
      </c>
      <c r="BW43" s="248"/>
      <c r="BX43" s="248"/>
      <c r="BY43" s="248"/>
      <c r="BZ43" s="248"/>
      <c r="CA43" s="248"/>
      <c r="CB43" s="248"/>
      <c r="CC43" s="248"/>
      <c r="CD43" s="248"/>
      <c r="CE43" s="248"/>
      <c r="CF43" s="248"/>
      <c r="CG43" s="248"/>
      <c r="CH43" s="248"/>
      <c r="CI43" s="248"/>
      <c r="CJ43" s="248"/>
      <c r="CK43" s="248"/>
      <c r="CL43" s="248"/>
      <c r="CM43" s="248"/>
      <c r="CN43" s="248"/>
      <c r="CO43" s="248"/>
      <c r="CP43" s="248"/>
      <c r="CQ43" s="248"/>
      <c r="CR43" s="248"/>
      <c r="CS43" s="248"/>
      <c r="CT43" s="248"/>
      <c r="CU43" s="248"/>
      <c r="CV43" s="248"/>
      <c r="CW43" s="248"/>
      <c r="CX43" s="248"/>
      <c r="CY43" s="248"/>
      <c r="CZ43" s="248"/>
      <c r="DA43" s="248"/>
      <c r="DB43" s="248"/>
      <c r="DC43" s="248"/>
      <c r="DD43" s="248"/>
      <c r="DE43" s="248"/>
      <c r="DF43" s="248"/>
      <c r="DG43" s="248"/>
      <c r="DH43" s="248"/>
      <c r="DI43" s="248"/>
      <c r="DJ43" s="248"/>
      <c r="DK43" s="248"/>
      <c r="DL43" s="248"/>
      <c r="DM43" s="248"/>
      <c r="DN43" s="248"/>
      <c r="DO43" s="248"/>
      <c r="DP43" s="248"/>
      <c r="DQ43" s="248"/>
      <c r="DR43" s="248"/>
      <c r="DS43" s="248"/>
      <c r="DT43" s="248"/>
      <c r="DU43" s="248"/>
      <c r="DV43" s="248"/>
      <c r="DW43" s="248"/>
      <c r="DX43" s="248"/>
      <c r="DY43" s="248"/>
      <c r="DZ43" s="248"/>
      <c r="EA43" s="248"/>
      <c r="EB43" s="248"/>
      <c r="EC43" s="248"/>
      <c r="ED43" s="248"/>
      <c r="EE43" s="248"/>
    </row>
    <row r="44" spans="1:135" s="32" customFormat="1" ht="16.5">
      <c r="A44" s="35" t="str">
        <f t="shared" si="1"/>
        <v>KS_CPL_D            KS_CPM_D</v>
      </c>
      <c r="B44" s="331"/>
      <c r="C44" s="248">
        <v>50</v>
      </c>
      <c r="D44" s="283" t="s">
        <v>605</v>
      </c>
      <c r="E44" s="283"/>
      <c r="F44" s="35" t="s">
        <v>1086</v>
      </c>
      <c r="O44" s="34" t="s">
        <v>1086</v>
      </c>
      <c r="P44" s="34" t="s">
        <v>1086</v>
      </c>
      <c r="Q44" s="59"/>
      <c r="R44" s="62"/>
      <c r="AH44" s="279"/>
      <c r="AI44" s="35"/>
      <c r="AJ44" s="279" t="s">
        <v>1117</v>
      </c>
      <c r="AK44" s="279"/>
      <c r="AL44" s="523">
        <v>3</v>
      </c>
      <c r="AM44" s="35">
        <v>50</v>
      </c>
      <c r="AN44" s="35" t="s">
        <v>1395</v>
      </c>
      <c r="AO44" s="35" t="s">
        <v>416</v>
      </c>
      <c r="AP44" s="35" t="s">
        <v>646</v>
      </c>
      <c r="AQ44" s="34" t="s">
        <v>1784</v>
      </c>
      <c r="AR44" s="35">
        <v>15</v>
      </c>
      <c r="AS44" s="35" t="s">
        <v>1785</v>
      </c>
      <c r="AT44" s="35" t="s">
        <v>75</v>
      </c>
      <c r="AU44" s="35" t="s">
        <v>10</v>
      </c>
      <c r="AV44" s="35" t="s">
        <v>502</v>
      </c>
      <c r="AW44" s="35" t="s">
        <v>641</v>
      </c>
      <c r="AX44" s="34" t="s">
        <v>1776</v>
      </c>
      <c r="AY44" s="35">
        <v>15</v>
      </c>
      <c r="AZ44" s="35" t="s">
        <v>1389</v>
      </c>
      <c r="BA44" s="35" t="s">
        <v>254</v>
      </c>
      <c r="BB44" s="35" t="s">
        <v>10</v>
      </c>
      <c r="BC44" s="35" t="s">
        <v>222</v>
      </c>
      <c r="BD44" s="35" t="s">
        <v>1742</v>
      </c>
      <c r="BE44" s="35" t="s">
        <v>10</v>
      </c>
      <c r="BF44" s="35" t="s">
        <v>10</v>
      </c>
      <c r="BG44" s="35">
        <v>1280</v>
      </c>
      <c r="BH44" s="35" t="s">
        <v>91</v>
      </c>
      <c r="BI44" s="35">
        <v>1.5</v>
      </c>
      <c r="BJ44" s="35" t="s">
        <v>1396</v>
      </c>
      <c r="BK44" s="35" t="s">
        <v>2374</v>
      </c>
      <c r="BL44" s="35" t="s">
        <v>2492</v>
      </c>
      <c r="BM44" s="35">
        <v>50</v>
      </c>
      <c r="BN44" s="35"/>
      <c r="BO44" s="35"/>
      <c r="BP44" s="35"/>
      <c r="BQ44" s="35"/>
      <c r="BR44" s="35"/>
      <c r="BS44" s="35"/>
      <c r="BT44" s="35"/>
      <c r="BU44" s="35"/>
      <c r="BV44" s="35"/>
      <c r="BW44" s="248"/>
      <c r="BX44" s="248"/>
      <c r="BY44" s="248"/>
      <c r="BZ44" s="248"/>
      <c r="CA44" s="248"/>
      <c r="CB44" s="248"/>
      <c r="CC44" s="248"/>
      <c r="CD44" s="248"/>
      <c r="CE44" s="248"/>
      <c r="CF44" s="248"/>
      <c r="CG44" s="248"/>
      <c r="CH44" s="248"/>
      <c r="CI44" s="248"/>
      <c r="CJ44" s="248"/>
      <c r="CK44" s="248"/>
      <c r="CL44" s="248"/>
      <c r="CM44" s="248"/>
      <c r="CN44" s="248"/>
      <c r="CO44" s="248"/>
      <c r="CP44" s="248"/>
      <c r="CQ44" s="248"/>
      <c r="CR44" s="248"/>
      <c r="CS44" s="248"/>
      <c r="CT44" s="248"/>
      <c r="CU44" s="248"/>
      <c r="CV44" s="248"/>
      <c r="CW44" s="248"/>
      <c r="CX44" s="248"/>
      <c r="CY44" s="248"/>
      <c r="CZ44" s="248"/>
      <c r="DA44" s="248"/>
      <c r="DB44" s="248"/>
      <c r="DC44" s="248"/>
      <c r="DD44" s="248"/>
      <c r="DE44" s="248"/>
      <c r="DF44" s="248"/>
      <c r="DG44" s="248"/>
      <c r="DH44" s="248"/>
      <c r="DI44" s="248"/>
      <c r="DJ44" s="248"/>
      <c r="DK44" s="248"/>
      <c r="DL44" s="248"/>
      <c r="DM44" s="248"/>
      <c r="DN44" s="248"/>
      <c r="DO44" s="248"/>
      <c r="DP44" s="248"/>
      <c r="DQ44" s="248"/>
      <c r="DR44" s="248"/>
      <c r="DS44" s="248"/>
      <c r="DT44" s="248"/>
      <c r="DU44" s="248"/>
      <c r="DV44" s="248"/>
      <c r="DW44" s="248"/>
      <c r="DX44" s="248"/>
      <c r="DY44" s="248"/>
      <c r="DZ44" s="248"/>
      <c r="EA44" s="248"/>
      <c r="EB44" s="248"/>
      <c r="EC44" s="248"/>
      <c r="ED44" s="248"/>
      <c r="EE44" s="248"/>
    </row>
    <row r="45" spans="1:135" s="35" customFormat="1" ht="16.5">
      <c r="A45" s="35" t="str">
        <f t="shared" si="1"/>
        <v>KS_CPL_B            SGMLS</v>
      </c>
      <c r="B45" s="331"/>
      <c r="C45" s="248">
        <v>51</v>
      </c>
      <c r="D45" s="283" t="s">
        <v>605</v>
      </c>
      <c r="E45" s="283"/>
      <c r="F45" s="35" t="s">
        <v>1086</v>
      </c>
      <c r="G45" s="39"/>
      <c r="H45" s="35" t="s">
        <v>523</v>
      </c>
      <c r="O45" s="34" t="s">
        <v>1086</v>
      </c>
      <c r="P45" s="34" t="s">
        <v>1086</v>
      </c>
      <c r="Q45" s="58"/>
      <c r="R45" s="39"/>
      <c r="AH45" s="279"/>
      <c r="AJ45" s="279" t="s">
        <v>1117</v>
      </c>
      <c r="AK45" s="279"/>
      <c r="AL45" s="523">
        <v>3</v>
      </c>
      <c r="AM45" s="35">
        <v>51</v>
      </c>
      <c r="AN45" s="35" t="s">
        <v>1793</v>
      </c>
      <c r="AO45" s="35" t="s">
        <v>416</v>
      </c>
      <c r="AP45" s="35" t="s">
        <v>623</v>
      </c>
      <c r="AQ45" s="34" t="s">
        <v>1741</v>
      </c>
      <c r="AR45" s="35">
        <v>8</v>
      </c>
      <c r="AS45" s="35" t="s">
        <v>1398</v>
      </c>
      <c r="AT45" s="35" t="s">
        <v>72</v>
      </c>
      <c r="AU45" s="35" t="s">
        <v>10</v>
      </c>
      <c r="AV45" s="35" t="s">
        <v>1694</v>
      </c>
      <c r="AW45" s="35" t="s">
        <v>643</v>
      </c>
      <c r="AX45" s="34" t="s">
        <v>2305</v>
      </c>
      <c r="AY45" s="35">
        <v>7</v>
      </c>
      <c r="AZ45" s="35" t="s">
        <v>478</v>
      </c>
      <c r="BA45" s="35" t="s">
        <v>72</v>
      </c>
      <c r="BB45" s="35" t="s">
        <v>10</v>
      </c>
      <c r="BC45" s="35" t="s">
        <v>1320</v>
      </c>
      <c r="BD45" s="35" t="s">
        <v>1742</v>
      </c>
      <c r="BE45" s="35" t="s">
        <v>10</v>
      </c>
      <c r="BF45" s="35" t="s">
        <v>10</v>
      </c>
      <c r="BG45" s="35">
        <v>1368</v>
      </c>
      <c r="BH45" s="35" t="s">
        <v>174</v>
      </c>
      <c r="BI45" s="35">
        <v>0.35</v>
      </c>
      <c r="BJ45" s="35" t="s">
        <v>262</v>
      </c>
      <c r="BK45" s="35" t="s">
        <v>2374</v>
      </c>
      <c r="BL45" s="35" t="s">
        <v>2492</v>
      </c>
      <c r="BM45" s="35">
        <v>51</v>
      </c>
      <c r="BW45" s="248"/>
      <c r="BX45" s="248"/>
      <c r="BY45" s="248"/>
      <c r="BZ45" s="248"/>
      <c r="CA45" s="248"/>
      <c r="CB45" s="248"/>
      <c r="CC45" s="248"/>
      <c r="CD45" s="248"/>
      <c r="CE45" s="248"/>
      <c r="CF45" s="248"/>
      <c r="CG45" s="248"/>
      <c r="CH45" s="248"/>
      <c r="CI45" s="248"/>
      <c r="CJ45" s="248"/>
      <c r="CK45" s="248"/>
      <c r="CL45" s="248"/>
      <c r="CM45" s="248"/>
      <c r="CN45" s="248"/>
      <c r="CO45" s="248"/>
      <c r="CP45" s="248"/>
      <c r="CQ45" s="248"/>
      <c r="CR45" s="248"/>
      <c r="CS45" s="248"/>
      <c r="CT45" s="248"/>
      <c r="CU45" s="248"/>
      <c r="CV45" s="248"/>
      <c r="CW45" s="248"/>
      <c r="CX45" s="248"/>
      <c r="CY45" s="248"/>
      <c r="CZ45" s="248"/>
      <c r="DA45" s="248"/>
      <c r="DB45" s="248"/>
      <c r="DC45" s="248"/>
      <c r="DD45" s="248"/>
      <c r="DE45" s="248"/>
      <c r="DF45" s="248"/>
      <c r="DG45" s="248"/>
      <c r="DH45" s="248"/>
      <c r="DI45" s="248"/>
      <c r="DJ45" s="248"/>
      <c r="DK45" s="248"/>
      <c r="DL45" s="248"/>
      <c r="DM45" s="248"/>
      <c r="DN45" s="248"/>
      <c r="DO45" s="248"/>
      <c r="DP45" s="248"/>
      <c r="DQ45" s="248"/>
      <c r="DR45" s="248"/>
      <c r="DS45" s="248"/>
      <c r="DT45" s="248"/>
      <c r="DU45" s="248"/>
      <c r="DV45" s="248"/>
      <c r="DW45" s="248"/>
      <c r="DX45" s="248"/>
      <c r="DY45" s="248"/>
      <c r="DZ45" s="248"/>
      <c r="EA45" s="248"/>
      <c r="EB45" s="248"/>
      <c r="EC45" s="248"/>
      <c r="ED45" s="248"/>
      <c r="EE45" s="248"/>
    </row>
    <row r="46" spans="1:135" s="35" customFormat="1" ht="16.5">
      <c r="A46" s="35" t="str">
        <f t="shared" si="1"/>
        <v>SP_MB31_B2          SGMLS</v>
      </c>
      <c r="B46" s="331"/>
      <c r="C46" s="248">
        <v>52</v>
      </c>
      <c r="D46" s="283" t="s">
        <v>605</v>
      </c>
      <c r="F46" s="283" t="s">
        <v>1086</v>
      </c>
      <c r="G46" s="39" t="s">
        <v>2232</v>
      </c>
      <c r="H46" s="35" t="s">
        <v>609</v>
      </c>
      <c r="N46" s="35" t="s">
        <v>537</v>
      </c>
      <c r="O46" s="34" t="s">
        <v>1086</v>
      </c>
      <c r="P46" s="34" t="s">
        <v>1086</v>
      </c>
      <c r="Q46" s="58"/>
      <c r="R46" s="39"/>
      <c r="AH46" s="279"/>
      <c r="AJ46" s="279" t="s">
        <v>1117</v>
      </c>
      <c r="AK46" s="279"/>
      <c r="AL46" s="523">
        <v>3</v>
      </c>
      <c r="AM46" s="35">
        <v>52</v>
      </c>
      <c r="AN46" s="35" t="s">
        <v>1397</v>
      </c>
      <c r="AO46" s="35" t="s">
        <v>2148</v>
      </c>
      <c r="AP46" s="35" t="s">
        <v>535</v>
      </c>
      <c r="AQ46" s="34" t="s">
        <v>2232</v>
      </c>
      <c r="AR46" s="35">
        <v>1</v>
      </c>
      <c r="AS46" s="35" t="s">
        <v>1254</v>
      </c>
      <c r="AT46" s="35" t="s">
        <v>10</v>
      </c>
      <c r="AU46" s="35" t="s">
        <v>10</v>
      </c>
      <c r="AV46" s="35" t="s">
        <v>1694</v>
      </c>
      <c r="AW46" s="35" t="s">
        <v>643</v>
      </c>
      <c r="AX46" s="34" t="s">
        <v>2305</v>
      </c>
      <c r="AY46" s="35">
        <v>17</v>
      </c>
      <c r="AZ46" s="35" t="s">
        <v>478</v>
      </c>
      <c r="BA46" s="35" t="s">
        <v>237</v>
      </c>
      <c r="BB46" s="35" t="s">
        <v>10</v>
      </c>
      <c r="BC46" s="35" t="s">
        <v>224</v>
      </c>
      <c r="BD46" s="35" t="s">
        <v>1742</v>
      </c>
      <c r="BE46" s="35" t="s">
        <v>10</v>
      </c>
      <c r="BF46" s="35" t="s">
        <v>10</v>
      </c>
      <c r="BG46" s="35">
        <v>633</v>
      </c>
      <c r="BH46" s="35" t="s">
        <v>25</v>
      </c>
      <c r="BI46" s="35">
        <v>0.75</v>
      </c>
      <c r="BJ46" s="35" t="s">
        <v>1285</v>
      </c>
      <c r="BK46" s="35" t="s">
        <v>2374</v>
      </c>
      <c r="BL46" s="35" t="s">
        <v>2492</v>
      </c>
      <c r="BM46" s="35">
        <v>52</v>
      </c>
      <c r="BW46" s="248"/>
      <c r="BX46" s="248"/>
      <c r="BY46" s="248"/>
      <c r="BZ46" s="248"/>
      <c r="CA46" s="248"/>
      <c r="CB46" s="248"/>
      <c r="CC46" s="248"/>
      <c r="CD46" s="248"/>
      <c r="CE46" s="248"/>
      <c r="CF46" s="248"/>
      <c r="CG46" s="248"/>
      <c r="CH46" s="248"/>
      <c r="CI46" s="248"/>
      <c r="CJ46" s="248"/>
      <c r="CK46" s="248"/>
      <c r="CL46" s="248"/>
      <c r="CM46" s="248"/>
      <c r="CN46" s="248"/>
      <c r="CO46" s="248"/>
      <c r="CP46" s="248"/>
      <c r="CQ46" s="248"/>
      <c r="CR46" s="248"/>
      <c r="CS46" s="248"/>
      <c r="CT46" s="248"/>
      <c r="CU46" s="248"/>
      <c r="CV46" s="248"/>
      <c r="CW46" s="248"/>
      <c r="CX46" s="248"/>
      <c r="CY46" s="248"/>
      <c r="CZ46" s="248"/>
      <c r="DA46" s="248"/>
      <c r="DB46" s="248"/>
      <c r="DC46" s="248"/>
      <c r="DD46" s="248"/>
      <c r="DE46" s="248"/>
      <c r="DF46" s="248"/>
      <c r="DG46" s="248"/>
      <c r="DH46" s="248"/>
      <c r="DI46" s="248"/>
      <c r="DJ46" s="248"/>
      <c r="DK46" s="248"/>
      <c r="DL46" s="248"/>
      <c r="DM46" s="248"/>
      <c r="DN46" s="248"/>
      <c r="DO46" s="248"/>
      <c r="DP46" s="248"/>
      <c r="DQ46" s="248"/>
      <c r="DR46" s="248"/>
      <c r="DS46" s="248"/>
      <c r="DT46" s="248"/>
      <c r="DU46" s="248"/>
      <c r="DV46" s="248"/>
      <c r="DW46" s="248"/>
      <c r="DX46" s="248"/>
      <c r="DY46" s="248"/>
      <c r="DZ46" s="248"/>
      <c r="EA46" s="248"/>
      <c r="EB46" s="248"/>
      <c r="EC46" s="248"/>
      <c r="ED46" s="248"/>
      <c r="EE46" s="248"/>
    </row>
    <row r="47" spans="1:135" s="35" customFormat="1" ht="16.5">
      <c r="A47" s="35" t="str">
        <f t="shared" si="1"/>
        <v>SP_MB31_B1          KS_CPL_A</v>
      </c>
      <c r="B47" s="331"/>
      <c r="C47" s="248">
        <v>53</v>
      </c>
      <c r="D47" s="283" t="s">
        <v>605</v>
      </c>
      <c r="E47" s="283"/>
      <c r="F47" s="35" t="s">
        <v>1086</v>
      </c>
      <c r="G47" s="39" t="s">
        <v>2225</v>
      </c>
      <c r="H47" s="35" t="s">
        <v>609</v>
      </c>
      <c r="N47" s="35" t="s">
        <v>537</v>
      </c>
      <c r="O47" s="34" t="s">
        <v>1086</v>
      </c>
      <c r="P47" s="34" t="s">
        <v>1086</v>
      </c>
      <c r="Q47" s="58"/>
      <c r="R47" s="39"/>
      <c r="AH47" s="279"/>
      <c r="AJ47" s="279" t="s">
        <v>1117</v>
      </c>
      <c r="AK47" s="279"/>
      <c r="AL47" s="523">
        <v>3</v>
      </c>
      <c r="AM47" s="35">
        <v>53</v>
      </c>
      <c r="AN47" s="35" t="s">
        <v>1375</v>
      </c>
      <c r="AO47" s="35" t="s">
        <v>2145</v>
      </c>
      <c r="AP47" s="35" t="s">
        <v>532</v>
      </c>
      <c r="AQ47" s="34" t="s">
        <v>2225</v>
      </c>
      <c r="AR47" s="35">
        <v>1</v>
      </c>
      <c r="AS47" s="35" t="s">
        <v>1748</v>
      </c>
      <c r="AT47" s="35" t="s">
        <v>10</v>
      </c>
      <c r="AU47" s="35" t="s">
        <v>10</v>
      </c>
      <c r="AV47" s="35" t="s">
        <v>416</v>
      </c>
      <c r="AW47" s="35" t="s">
        <v>639</v>
      </c>
      <c r="AX47" s="34" t="s">
        <v>1794</v>
      </c>
      <c r="AY47" s="35">
        <v>15</v>
      </c>
      <c r="AZ47" s="35" t="s">
        <v>876</v>
      </c>
      <c r="BA47" s="35" t="s">
        <v>75</v>
      </c>
      <c r="BB47" s="35" t="s">
        <v>10</v>
      </c>
      <c r="BC47" s="35" t="s">
        <v>92</v>
      </c>
      <c r="BD47" s="35" t="s">
        <v>1742</v>
      </c>
      <c r="BE47" s="35" t="s">
        <v>10</v>
      </c>
      <c r="BF47" s="35" t="s">
        <v>10</v>
      </c>
      <c r="BG47" s="35">
        <v>762</v>
      </c>
      <c r="BH47" s="35" t="s">
        <v>25</v>
      </c>
      <c r="BI47" s="35">
        <v>2.5</v>
      </c>
      <c r="BJ47" s="35" t="s">
        <v>1285</v>
      </c>
      <c r="BK47" s="35" t="s">
        <v>2374</v>
      </c>
      <c r="BL47" s="35" t="s">
        <v>2492</v>
      </c>
      <c r="BM47" s="35">
        <v>53</v>
      </c>
      <c r="BW47" s="248"/>
      <c r="BX47" s="248"/>
      <c r="BY47" s="248"/>
      <c r="BZ47" s="248"/>
      <c r="CA47" s="248"/>
      <c r="CB47" s="248"/>
      <c r="CC47" s="248"/>
      <c r="CD47" s="248"/>
      <c r="CE47" s="248"/>
      <c r="CF47" s="248"/>
      <c r="CG47" s="248"/>
      <c r="CH47" s="248"/>
      <c r="CI47" s="248"/>
      <c r="CJ47" s="248"/>
      <c r="CK47" s="248"/>
      <c r="CL47" s="248"/>
      <c r="CM47" s="248"/>
      <c r="CN47" s="248"/>
      <c r="CO47" s="248"/>
      <c r="CP47" s="248"/>
      <c r="CQ47" s="248"/>
      <c r="CR47" s="248"/>
      <c r="CS47" s="248"/>
      <c r="CT47" s="248"/>
      <c r="CU47" s="248"/>
      <c r="CV47" s="248"/>
      <c r="CW47" s="248"/>
      <c r="CX47" s="248"/>
      <c r="CY47" s="248"/>
      <c r="CZ47" s="248"/>
      <c r="DA47" s="248"/>
      <c r="DB47" s="248"/>
      <c r="DC47" s="248"/>
      <c r="DD47" s="248"/>
      <c r="DE47" s="248"/>
      <c r="DF47" s="248"/>
      <c r="DG47" s="248"/>
      <c r="DH47" s="248"/>
      <c r="DI47" s="248"/>
      <c r="DJ47" s="248"/>
      <c r="DK47" s="248"/>
      <c r="DL47" s="248"/>
      <c r="DM47" s="248"/>
      <c r="DN47" s="248"/>
      <c r="DO47" s="248"/>
      <c r="DP47" s="248"/>
      <c r="DQ47" s="248"/>
      <c r="DR47" s="248"/>
      <c r="DS47" s="248"/>
      <c r="DT47" s="248"/>
      <c r="DU47" s="248"/>
      <c r="DV47" s="248"/>
      <c r="DW47" s="248"/>
      <c r="DX47" s="248"/>
      <c r="DY47" s="248"/>
      <c r="DZ47" s="248"/>
      <c r="EA47" s="248"/>
      <c r="EB47" s="248"/>
      <c r="EC47" s="248"/>
      <c r="ED47" s="248"/>
      <c r="EE47" s="248"/>
    </row>
    <row r="48" spans="1:135" s="35" customFormat="1" ht="16.5">
      <c r="A48" s="35" t="str">
        <f t="shared" si="1"/>
        <v>SP_MB32_B1          KS_CPR_C</v>
      </c>
      <c r="B48" s="331"/>
      <c r="C48" s="248">
        <v>54</v>
      </c>
      <c r="D48" s="283" t="s">
        <v>605</v>
      </c>
      <c r="E48" s="283"/>
      <c r="F48" s="35" t="s">
        <v>1086</v>
      </c>
      <c r="G48" s="39" t="s">
        <v>2235</v>
      </c>
      <c r="H48" s="35" t="s">
        <v>610</v>
      </c>
      <c r="N48" s="35" t="s">
        <v>537</v>
      </c>
      <c r="O48" s="34" t="s">
        <v>1097</v>
      </c>
      <c r="P48" s="34" t="s">
        <v>1086</v>
      </c>
      <c r="Q48" s="58"/>
      <c r="R48" s="39"/>
      <c r="AH48" s="279"/>
      <c r="AJ48" s="279" t="s">
        <v>1117</v>
      </c>
      <c r="AK48" s="279"/>
      <c r="AL48" s="523">
        <v>3</v>
      </c>
      <c r="AM48" s="35">
        <v>54</v>
      </c>
      <c r="AN48" s="35" t="s">
        <v>1462</v>
      </c>
      <c r="AO48" s="35" t="s">
        <v>2149</v>
      </c>
      <c r="AP48" s="35" t="s">
        <v>252</v>
      </c>
      <c r="AQ48" s="34" t="s">
        <v>2235</v>
      </c>
      <c r="AR48" s="35">
        <v>1</v>
      </c>
      <c r="AS48" s="35" t="s">
        <v>1311</v>
      </c>
      <c r="AT48" s="35" t="s">
        <v>10</v>
      </c>
      <c r="AU48" s="35" t="s">
        <v>10</v>
      </c>
      <c r="AV48" s="35" t="s">
        <v>424</v>
      </c>
      <c r="AW48" s="35" t="s">
        <v>648</v>
      </c>
      <c r="AX48" s="34" t="s">
        <v>1796</v>
      </c>
      <c r="AY48" s="35">
        <v>16</v>
      </c>
      <c r="AZ48" s="35" t="s">
        <v>1613</v>
      </c>
      <c r="BA48" s="35" t="s">
        <v>276</v>
      </c>
      <c r="BB48" s="35" t="s">
        <v>10</v>
      </c>
      <c r="BC48" s="35" t="s">
        <v>188</v>
      </c>
      <c r="BD48" s="35" t="s">
        <v>1742</v>
      </c>
      <c r="BE48" s="35" t="s">
        <v>10</v>
      </c>
      <c r="BF48" s="35" t="s">
        <v>10</v>
      </c>
      <c r="BG48" s="35">
        <v>708</v>
      </c>
      <c r="BH48" s="35" t="s">
        <v>25</v>
      </c>
      <c r="BI48" s="35">
        <v>4</v>
      </c>
      <c r="BJ48" s="35" t="s">
        <v>1296</v>
      </c>
      <c r="BK48" s="35" t="s">
        <v>2374</v>
      </c>
      <c r="BL48" s="35" t="s">
        <v>2492</v>
      </c>
      <c r="BM48" s="35">
        <v>54</v>
      </c>
      <c r="BW48" s="248"/>
      <c r="BX48" s="248"/>
      <c r="BY48" s="248"/>
      <c r="BZ48" s="248"/>
      <c r="CA48" s="248"/>
      <c r="CB48" s="248"/>
      <c r="CC48" s="248"/>
      <c r="CD48" s="248"/>
      <c r="CE48" s="248"/>
      <c r="CF48" s="248"/>
      <c r="CG48" s="248"/>
      <c r="CH48" s="248"/>
      <c r="CI48" s="248"/>
      <c r="CJ48" s="248"/>
      <c r="CK48" s="248"/>
      <c r="CL48" s="248"/>
      <c r="CM48" s="248"/>
      <c r="CN48" s="248"/>
      <c r="CO48" s="248"/>
      <c r="CP48" s="248"/>
      <c r="CQ48" s="248"/>
      <c r="CR48" s="248"/>
      <c r="CS48" s="248"/>
      <c r="CT48" s="248"/>
      <c r="CU48" s="248"/>
      <c r="CV48" s="248"/>
      <c r="CW48" s="248"/>
      <c r="CX48" s="248"/>
      <c r="CY48" s="248"/>
      <c r="CZ48" s="248"/>
      <c r="DA48" s="248"/>
      <c r="DB48" s="248"/>
      <c r="DC48" s="248"/>
      <c r="DD48" s="248"/>
      <c r="DE48" s="248"/>
      <c r="DF48" s="248"/>
      <c r="DG48" s="248"/>
      <c r="DH48" s="248"/>
      <c r="DI48" s="248"/>
      <c r="DJ48" s="248"/>
      <c r="DK48" s="248"/>
      <c r="DL48" s="248"/>
      <c r="DM48" s="248"/>
      <c r="DN48" s="248"/>
      <c r="DO48" s="248"/>
      <c r="DP48" s="248"/>
      <c r="DQ48" s="248"/>
      <c r="DR48" s="248"/>
      <c r="DS48" s="248"/>
      <c r="DT48" s="248"/>
      <c r="DU48" s="248"/>
      <c r="DV48" s="248"/>
      <c r="DW48" s="248"/>
      <c r="DX48" s="248"/>
      <c r="DY48" s="248"/>
      <c r="DZ48" s="248"/>
      <c r="EA48" s="248"/>
      <c r="EB48" s="248"/>
      <c r="EC48" s="248"/>
      <c r="ED48" s="248"/>
      <c r="EE48" s="248"/>
    </row>
    <row r="49" spans="1:135" s="35" customFormat="1" ht="16.5">
      <c r="A49" s="35" t="str">
        <f t="shared" si="1"/>
        <v>KS_CPR_A            KS_CPM_D</v>
      </c>
      <c r="B49" s="331"/>
      <c r="C49" s="248">
        <v>62</v>
      </c>
      <c r="D49" s="283" t="s">
        <v>605</v>
      </c>
      <c r="E49" s="283"/>
      <c r="F49" s="35" t="s">
        <v>1086</v>
      </c>
      <c r="O49" s="34" t="s">
        <v>1086</v>
      </c>
      <c r="P49" s="34" t="s">
        <v>1086</v>
      </c>
      <c r="Q49" s="58"/>
      <c r="R49" s="39"/>
      <c r="AH49" s="279"/>
      <c r="AJ49" s="279" t="s">
        <v>1117</v>
      </c>
      <c r="AK49" s="279"/>
      <c r="AL49" s="523">
        <v>3</v>
      </c>
      <c r="AM49" s="35">
        <v>62</v>
      </c>
      <c r="AN49" s="35" t="s">
        <v>1399</v>
      </c>
      <c r="AO49" s="35" t="s">
        <v>424</v>
      </c>
      <c r="AP49" s="35" t="s">
        <v>637</v>
      </c>
      <c r="AQ49" s="34" t="s">
        <v>1770</v>
      </c>
      <c r="AR49" s="35">
        <v>11</v>
      </c>
      <c r="AS49" s="35" t="s">
        <v>1771</v>
      </c>
      <c r="AT49" s="35" t="s">
        <v>72</v>
      </c>
      <c r="AU49" s="35" t="s">
        <v>10</v>
      </c>
      <c r="AV49" s="35" t="s">
        <v>502</v>
      </c>
      <c r="AW49" s="35" t="s">
        <v>641</v>
      </c>
      <c r="AX49" s="34" t="s">
        <v>1776</v>
      </c>
      <c r="AY49" s="35">
        <v>7</v>
      </c>
      <c r="AZ49" s="35" t="s">
        <v>1389</v>
      </c>
      <c r="BA49" s="35" t="s">
        <v>245</v>
      </c>
      <c r="BB49" s="35" t="s">
        <v>10</v>
      </c>
      <c r="BC49" s="35" t="s">
        <v>2386</v>
      </c>
      <c r="BD49" s="35" t="s">
        <v>1742</v>
      </c>
      <c r="BE49" s="35" t="s">
        <v>650</v>
      </c>
      <c r="BF49" s="35" t="s">
        <v>85</v>
      </c>
      <c r="BG49" s="35">
        <v>1816</v>
      </c>
      <c r="BH49" s="35" t="s">
        <v>25</v>
      </c>
      <c r="BI49" s="35">
        <v>0.35</v>
      </c>
      <c r="BJ49" s="35" t="s">
        <v>1400</v>
      </c>
      <c r="BK49" s="35" t="s">
        <v>2374</v>
      </c>
      <c r="BL49" s="35" t="s">
        <v>2492</v>
      </c>
      <c r="BM49" s="35">
        <v>62</v>
      </c>
      <c r="BW49" s="248"/>
      <c r="BX49" s="248"/>
      <c r="BY49" s="248"/>
      <c r="BZ49" s="248"/>
      <c r="CA49" s="248"/>
      <c r="CB49" s="248"/>
      <c r="CC49" s="248"/>
      <c r="CD49" s="248"/>
      <c r="CE49" s="248"/>
      <c r="CF49" s="248"/>
      <c r="CG49" s="248"/>
      <c r="CH49" s="248"/>
      <c r="CI49" s="248"/>
      <c r="CJ49" s="248"/>
      <c r="CK49" s="248"/>
      <c r="CL49" s="248"/>
      <c r="CM49" s="248"/>
      <c r="CN49" s="248"/>
      <c r="CO49" s="248"/>
      <c r="CP49" s="248"/>
      <c r="CQ49" s="248"/>
      <c r="CR49" s="248"/>
      <c r="CS49" s="248"/>
      <c r="CT49" s="248"/>
      <c r="CU49" s="248"/>
      <c r="CV49" s="248"/>
      <c r="CW49" s="248"/>
      <c r="CX49" s="248"/>
      <c r="CY49" s="248"/>
      <c r="CZ49" s="248"/>
      <c r="DA49" s="248"/>
      <c r="DB49" s="248"/>
      <c r="DC49" s="248"/>
      <c r="DD49" s="248"/>
      <c r="DE49" s="248"/>
      <c r="DF49" s="248"/>
      <c r="DG49" s="248"/>
      <c r="DH49" s="248"/>
      <c r="DI49" s="248"/>
      <c r="DJ49" s="248"/>
      <c r="DK49" s="248"/>
      <c r="DL49" s="248"/>
      <c r="DM49" s="248"/>
      <c r="DN49" s="248"/>
      <c r="DO49" s="248"/>
      <c r="DP49" s="248"/>
      <c r="DQ49" s="248"/>
      <c r="DR49" s="248"/>
      <c r="DS49" s="248"/>
      <c r="DT49" s="248"/>
      <c r="DU49" s="248"/>
      <c r="DV49" s="248"/>
      <c r="DW49" s="248"/>
      <c r="DX49" s="248"/>
      <c r="DY49" s="248"/>
      <c r="DZ49" s="248"/>
      <c r="EA49" s="248"/>
      <c r="EB49" s="248"/>
      <c r="EC49" s="248"/>
      <c r="ED49" s="248"/>
      <c r="EE49" s="248"/>
    </row>
    <row r="50" spans="1:135" s="35" customFormat="1" ht="16.5">
      <c r="A50" s="35" t="str">
        <f t="shared" si="1"/>
        <v>KS_CPR_A            KS_CPM_D</v>
      </c>
      <c r="B50" s="331"/>
      <c r="C50" s="248">
        <v>63</v>
      </c>
      <c r="D50" s="283" t="s">
        <v>605</v>
      </c>
      <c r="E50" s="283"/>
      <c r="F50" s="35" t="s">
        <v>1086</v>
      </c>
      <c r="O50" s="34" t="s">
        <v>1086</v>
      </c>
      <c r="P50" s="34" t="s">
        <v>1086</v>
      </c>
      <c r="Q50" s="58"/>
      <c r="R50" s="39"/>
      <c r="AH50" s="279"/>
      <c r="AJ50" s="279" t="s">
        <v>1117</v>
      </c>
      <c r="AK50" s="279"/>
      <c r="AL50" s="523">
        <v>3</v>
      </c>
      <c r="AM50" s="35">
        <v>63</v>
      </c>
      <c r="AN50" s="35" t="s">
        <v>1797</v>
      </c>
      <c r="AO50" s="35" t="s">
        <v>424</v>
      </c>
      <c r="AP50" s="35" t="s">
        <v>637</v>
      </c>
      <c r="AQ50" s="34" t="s">
        <v>1770</v>
      </c>
      <c r="AR50" s="35">
        <v>10</v>
      </c>
      <c r="AS50" s="35" t="s">
        <v>1771</v>
      </c>
      <c r="AT50" s="35" t="s">
        <v>72</v>
      </c>
      <c r="AU50" s="35" t="s">
        <v>10</v>
      </c>
      <c r="AV50" s="35" t="s">
        <v>502</v>
      </c>
      <c r="AW50" s="35" t="s">
        <v>641</v>
      </c>
      <c r="AX50" s="34" t="s">
        <v>1776</v>
      </c>
      <c r="AY50" s="35">
        <v>8</v>
      </c>
      <c r="AZ50" s="35" t="s">
        <v>1389</v>
      </c>
      <c r="BA50" s="35" t="s">
        <v>245</v>
      </c>
      <c r="BB50" s="35" t="s">
        <v>10</v>
      </c>
      <c r="BC50" s="35" t="s">
        <v>2386</v>
      </c>
      <c r="BD50" s="35" t="s">
        <v>1742</v>
      </c>
      <c r="BE50" s="35" t="s">
        <v>650</v>
      </c>
      <c r="BF50" s="35" t="s">
        <v>90</v>
      </c>
      <c r="BG50" s="35">
        <v>1816</v>
      </c>
      <c r="BH50" s="35" t="s">
        <v>66</v>
      </c>
      <c r="BI50" s="35">
        <v>0.35</v>
      </c>
      <c r="BJ50" s="35" t="s">
        <v>10</v>
      </c>
      <c r="BK50" s="35" t="s">
        <v>2374</v>
      </c>
      <c r="BL50" s="35" t="s">
        <v>2492</v>
      </c>
      <c r="BM50" s="35">
        <v>63</v>
      </c>
      <c r="BW50" s="248"/>
      <c r="BX50" s="248"/>
      <c r="BY50" s="248"/>
      <c r="BZ50" s="248"/>
      <c r="CA50" s="248"/>
      <c r="CB50" s="248"/>
      <c r="CC50" s="248"/>
      <c r="CD50" s="248"/>
      <c r="CE50" s="248"/>
      <c r="CF50" s="248"/>
      <c r="CG50" s="248"/>
      <c r="CH50" s="248"/>
      <c r="CI50" s="248"/>
      <c r="CJ50" s="248"/>
      <c r="CK50" s="248"/>
      <c r="CL50" s="248"/>
      <c r="CM50" s="248"/>
      <c r="CN50" s="248"/>
      <c r="CO50" s="248"/>
      <c r="CP50" s="248"/>
      <c r="CQ50" s="248"/>
      <c r="CR50" s="248"/>
      <c r="CS50" s="248"/>
      <c r="CT50" s="248"/>
      <c r="CU50" s="248"/>
      <c r="CV50" s="248"/>
      <c r="CW50" s="248"/>
      <c r="CX50" s="248"/>
      <c r="CY50" s="248"/>
      <c r="CZ50" s="248"/>
      <c r="DA50" s="248"/>
      <c r="DB50" s="248"/>
      <c r="DC50" s="248"/>
      <c r="DD50" s="248"/>
      <c r="DE50" s="248"/>
      <c r="DF50" s="248"/>
      <c r="DG50" s="248"/>
      <c r="DH50" s="248"/>
      <c r="DI50" s="248"/>
      <c r="DJ50" s="248"/>
      <c r="DK50" s="248"/>
      <c r="DL50" s="248"/>
      <c r="DM50" s="248"/>
      <c r="DN50" s="248"/>
      <c r="DO50" s="248"/>
      <c r="DP50" s="248"/>
      <c r="DQ50" s="248"/>
      <c r="DR50" s="248"/>
      <c r="DS50" s="248"/>
      <c r="DT50" s="248"/>
      <c r="DU50" s="248"/>
      <c r="DV50" s="248"/>
      <c r="DW50" s="248"/>
      <c r="DX50" s="248"/>
      <c r="DY50" s="248"/>
      <c r="DZ50" s="248"/>
      <c r="EA50" s="248"/>
      <c r="EB50" s="248"/>
      <c r="EC50" s="248"/>
      <c r="ED50" s="248"/>
      <c r="EE50" s="248"/>
    </row>
    <row r="51" spans="1:135" s="35" customFormat="1" ht="16.5">
      <c r="A51" s="35" t="str">
        <f t="shared" si="1"/>
        <v>KS_CPL_D            KS_CPM_E</v>
      </c>
      <c r="B51" s="331"/>
      <c r="C51" s="248">
        <v>65</v>
      </c>
      <c r="D51" s="283" t="s">
        <v>605</v>
      </c>
      <c r="E51" s="283"/>
      <c r="F51" s="35" t="s">
        <v>1086</v>
      </c>
      <c r="G51" s="39"/>
      <c r="H51" s="35" t="s">
        <v>523</v>
      </c>
      <c r="O51" s="34" t="s">
        <v>1086</v>
      </c>
      <c r="P51" s="34" t="s">
        <v>1086</v>
      </c>
      <c r="Q51" s="58"/>
      <c r="R51" s="39"/>
      <c r="AH51" s="279"/>
      <c r="AJ51" s="279" t="s">
        <v>1117</v>
      </c>
      <c r="AK51" s="279"/>
      <c r="AL51" s="523">
        <v>3</v>
      </c>
      <c r="AM51" s="35">
        <v>65</v>
      </c>
      <c r="AN51" s="35" t="s">
        <v>1401</v>
      </c>
      <c r="AO51" s="35" t="s">
        <v>416</v>
      </c>
      <c r="AP51" s="35" t="s">
        <v>646</v>
      </c>
      <c r="AQ51" s="34" t="s">
        <v>1784</v>
      </c>
      <c r="AR51" s="35">
        <v>10</v>
      </c>
      <c r="AS51" s="35" t="s">
        <v>1785</v>
      </c>
      <c r="AT51" s="35" t="s">
        <v>81</v>
      </c>
      <c r="AU51" s="35" t="s">
        <v>10</v>
      </c>
      <c r="AV51" s="35" t="s">
        <v>502</v>
      </c>
      <c r="AW51" s="35" t="s">
        <v>647</v>
      </c>
      <c r="AX51" s="34" t="s">
        <v>1786</v>
      </c>
      <c r="AY51" s="35">
        <v>7</v>
      </c>
      <c r="AZ51" s="35" t="s">
        <v>1392</v>
      </c>
      <c r="BA51" s="35" t="s">
        <v>241</v>
      </c>
      <c r="BB51" s="35" t="s">
        <v>10</v>
      </c>
      <c r="BC51" s="35" t="s">
        <v>135</v>
      </c>
      <c r="BD51" s="35" t="s">
        <v>1742</v>
      </c>
      <c r="BE51" s="35" t="s">
        <v>10</v>
      </c>
      <c r="BF51" s="35" t="s">
        <v>10</v>
      </c>
      <c r="BG51" s="35">
        <v>1355</v>
      </c>
      <c r="BH51" s="35" t="s">
        <v>61</v>
      </c>
      <c r="BI51" s="35">
        <v>0.5</v>
      </c>
      <c r="BJ51" s="35" t="s">
        <v>1402</v>
      </c>
      <c r="BK51" s="35" t="s">
        <v>2374</v>
      </c>
      <c r="BL51" s="35" t="s">
        <v>2492</v>
      </c>
      <c r="BM51" s="35">
        <v>65</v>
      </c>
      <c r="BW51" s="248"/>
      <c r="BX51" s="248"/>
      <c r="BY51" s="248"/>
      <c r="BZ51" s="248"/>
      <c r="CA51" s="248"/>
      <c r="CB51" s="248"/>
      <c r="CC51" s="248"/>
      <c r="CD51" s="248"/>
      <c r="CE51" s="248"/>
      <c r="CF51" s="248"/>
      <c r="CG51" s="248"/>
      <c r="CH51" s="248"/>
      <c r="CI51" s="248"/>
      <c r="CJ51" s="248"/>
      <c r="CK51" s="248"/>
      <c r="CL51" s="248"/>
      <c r="CM51" s="248"/>
      <c r="CN51" s="248"/>
      <c r="CO51" s="248"/>
      <c r="CP51" s="248"/>
      <c r="CQ51" s="248"/>
      <c r="CR51" s="248"/>
      <c r="CS51" s="248"/>
      <c r="CT51" s="248"/>
      <c r="CU51" s="248"/>
      <c r="CV51" s="248"/>
      <c r="CW51" s="248"/>
      <c r="CX51" s="248"/>
      <c r="CY51" s="248"/>
      <c r="CZ51" s="248"/>
      <c r="DA51" s="248"/>
      <c r="DB51" s="248"/>
      <c r="DC51" s="248"/>
      <c r="DD51" s="248"/>
      <c r="DE51" s="248"/>
      <c r="DF51" s="248"/>
      <c r="DG51" s="248"/>
      <c r="DH51" s="248"/>
      <c r="DI51" s="248"/>
      <c r="DJ51" s="248"/>
      <c r="DK51" s="248"/>
      <c r="DL51" s="248"/>
      <c r="DM51" s="248"/>
      <c r="DN51" s="248"/>
      <c r="DO51" s="248"/>
      <c r="DP51" s="248"/>
      <c r="DQ51" s="248"/>
      <c r="DR51" s="248"/>
      <c r="DS51" s="248"/>
      <c r="DT51" s="248"/>
      <c r="DU51" s="248"/>
      <c r="DV51" s="248"/>
      <c r="DW51" s="248"/>
      <c r="DX51" s="248"/>
      <c r="DY51" s="248"/>
      <c r="DZ51" s="248"/>
      <c r="EA51" s="248"/>
      <c r="EB51" s="248"/>
      <c r="EC51" s="248"/>
      <c r="ED51" s="248"/>
      <c r="EE51" s="248"/>
    </row>
    <row r="52" spans="1:135" s="35" customFormat="1" ht="16.5">
      <c r="A52" s="35" t="str">
        <f t="shared" si="1"/>
        <v>KS_CPL_D            KS_CPM_E</v>
      </c>
      <c r="B52" s="331"/>
      <c r="C52" s="248">
        <v>66</v>
      </c>
      <c r="D52" s="283" t="s">
        <v>605</v>
      </c>
      <c r="E52" s="283"/>
      <c r="F52" s="35" t="s">
        <v>1086</v>
      </c>
      <c r="G52" s="39"/>
      <c r="H52" s="35" t="s">
        <v>523</v>
      </c>
      <c r="O52" s="34" t="s">
        <v>1086</v>
      </c>
      <c r="P52" s="34" t="s">
        <v>1086</v>
      </c>
      <c r="Q52" s="58"/>
      <c r="R52" s="39"/>
      <c r="AH52" s="279"/>
      <c r="AJ52" s="279" t="s">
        <v>1117</v>
      </c>
      <c r="AK52" s="279"/>
      <c r="AL52" s="523">
        <v>3</v>
      </c>
      <c r="AM52" s="35">
        <v>66</v>
      </c>
      <c r="AN52" s="35" t="s">
        <v>1403</v>
      </c>
      <c r="AO52" s="35" t="s">
        <v>416</v>
      </c>
      <c r="AP52" s="35" t="s">
        <v>646</v>
      </c>
      <c r="AQ52" s="34" t="s">
        <v>1784</v>
      </c>
      <c r="AR52" s="35">
        <v>11</v>
      </c>
      <c r="AS52" s="35" t="s">
        <v>1785</v>
      </c>
      <c r="AT52" s="35" t="s">
        <v>81</v>
      </c>
      <c r="AU52" s="35" t="s">
        <v>10</v>
      </c>
      <c r="AV52" s="35" t="s">
        <v>502</v>
      </c>
      <c r="AW52" s="35" t="s">
        <v>647</v>
      </c>
      <c r="AX52" s="34" t="s">
        <v>1786</v>
      </c>
      <c r="AY52" s="35">
        <v>5</v>
      </c>
      <c r="AZ52" s="35" t="s">
        <v>1392</v>
      </c>
      <c r="BA52" s="35" t="s">
        <v>241</v>
      </c>
      <c r="BB52" s="35" t="s">
        <v>10</v>
      </c>
      <c r="BC52" s="35" t="s">
        <v>126</v>
      </c>
      <c r="BD52" s="35" t="s">
        <v>1742</v>
      </c>
      <c r="BE52" s="35" t="s">
        <v>10</v>
      </c>
      <c r="BF52" s="35" t="s">
        <v>10</v>
      </c>
      <c r="BG52" s="35">
        <v>1355</v>
      </c>
      <c r="BH52" s="35" t="s">
        <v>127</v>
      </c>
      <c r="BI52" s="35">
        <v>0.5</v>
      </c>
      <c r="BJ52" s="35" t="s">
        <v>1404</v>
      </c>
      <c r="BK52" s="35" t="s">
        <v>2374</v>
      </c>
      <c r="BL52" s="35" t="s">
        <v>2492</v>
      </c>
      <c r="BM52" s="35">
        <v>66</v>
      </c>
      <c r="BW52" s="248"/>
      <c r="BX52" s="248"/>
      <c r="BY52" s="248"/>
      <c r="BZ52" s="248"/>
      <c r="CA52" s="248"/>
      <c r="CB52" s="248"/>
      <c r="CC52" s="248"/>
      <c r="CD52" s="248"/>
      <c r="CE52" s="248"/>
      <c r="CF52" s="248"/>
      <c r="CG52" s="248"/>
      <c r="CH52" s="248"/>
      <c r="CI52" s="248"/>
      <c r="CJ52" s="248"/>
      <c r="CK52" s="248"/>
      <c r="CL52" s="248"/>
      <c r="CM52" s="248"/>
      <c r="CN52" s="248"/>
      <c r="CO52" s="248"/>
      <c r="CP52" s="248"/>
      <c r="CQ52" s="248"/>
      <c r="CR52" s="248"/>
      <c r="CS52" s="248"/>
      <c r="CT52" s="248"/>
      <c r="CU52" s="248"/>
      <c r="CV52" s="248"/>
      <c r="CW52" s="248"/>
      <c r="CX52" s="248"/>
      <c r="CY52" s="248"/>
      <c r="CZ52" s="248"/>
      <c r="DA52" s="248"/>
      <c r="DB52" s="248"/>
      <c r="DC52" s="248"/>
      <c r="DD52" s="248"/>
      <c r="DE52" s="248"/>
      <c r="DF52" s="248"/>
      <c r="DG52" s="248"/>
      <c r="DH52" s="248"/>
      <c r="DI52" s="248"/>
      <c r="DJ52" s="248"/>
      <c r="DK52" s="248"/>
      <c r="DL52" s="248"/>
      <c r="DM52" s="248"/>
      <c r="DN52" s="248"/>
      <c r="DO52" s="248"/>
      <c r="DP52" s="248"/>
      <c r="DQ52" s="248"/>
      <c r="DR52" s="248"/>
      <c r="DS52" s="248"/>
      <c r="DT52" s="248"/>
      <c r="DU52" s="248"/>
      <c r="DV52" s="248"/>
      <c r="DW52" s="248"/>
      <c r="DX52" s="248"/>
      <c r="DY52" s="248"/>
      <c r="DZ52" s="248"/>
      <c r="EA52" s="248"/>
      <c r="EB52" s="248"/>
      <c r="EC52" s="248"/>
      <c r="ED52" s="248"/>
      <c r="EE52" s="248"/>
    </row>
    <row r="53" spans="1:135" s="35" customFormat="1" ht="16.5">
      <c r="A53" s="35" t="str">
        <f t="shared" si="1"/>
        <v>KS_CPL_D            KS_CPM_E</v>
      </c>
      <c r="B53" s="331"/>
      <c r="C53" s="248">
        <v>67</v>
      </c>
      <c r="D53" s="283" t="s">
        <v>605</v>
      </c>
      <c r="E53" s="283"/>
      <c r="F53" s="35" t="s">
        <v>1086</v>
      </c>
      <c r="G53" s="39"/>
      <c r="H53" s="35" t="s">
        <v>523</v>
      </c>
      <c r="O53" s="34" t="s">
        <v>1086</v>
      </c>
      <c r="P53" s="34" t="s">
        <v>1086</v>
      </c>
      <c r="Q53" s="58"/>
      <c r="R53" s="39"/>
      <c r="AH53" s="279"/>
      <c r="AJ53" s="279" t="s">
        <v>1117</v>
      </c>
      <c r="AK53" s="279"/>
      <c r="AL53" s="523">
        <v>3</v>
      </c>
      <c r="AM53" s="35">
        <v>67</v>
      </c>
      <c r="AN53" s="35" t="s">
        <v>1405</v>
      </c>
      <c r="AO53" s="35" t="s">
        <v>416</v>
      </c>
      <c r="AP53" s="35" t="s">
        <v>646</v>
      </c>
      <c r="AQ53" s="34" t="s">
        <v>1784</v>
      </c>
      <c r="AR53" s="35">
        <v>12</v>
      </c>
      <c r="AS53" s="35" t="s">
        <v>1785</v>
      </c>
      <c r="AT53" s="35" t="s">
        <v>81</v>
      </c>
      <c r="AU53" s="35" t="s">
        <v>10</v>
      </c>
      <c r="AV53" s="35" t="s">
        <v>502</v>
      </c>
      <c r="AW53" s="35" t="s">
        <v>647</v>
      </c>
      <c r="AX53" s="34" t="s">
        <v>1786</v>
      </c>
      <c r="AY53" s="35">
        <v>4</v>
      </c>
      <c r="AZ53" s="35" t="s">
        <v>1392</v>
      </c>
      <c r="BA53" s="35" t="s">
        <v>241</v>
      </c>
      <c r="BB53" s="35" t="s">
        <v>10</v>
      </c>
      <c r="BC53" s="35" t="s">
        <v>140</v>
      </c>
      <c r="BD53" s="35" t="s">
        <v>1742</v>
      </c>
      <c r="BE53" s="35" t="s">
        <v>10</v>
      </c>
      <c r="BF53" s="35" t="s">
        <v>10</v>
      </c>
      <c r="BG53" s="35">
        <v>1355</v>
      </c>
      <c r="BH53" s="35" t="s">
        <v>141</v>
      </c>
      <c r="BI53" s="35">
        <v>0.5</v>
      </c>
      <c r="BJ53" s="35" t="s">
        <v>1406</v>
      </c>
      <c r="BK53" s="35" t="s">
        <v>2374</v>
      </c>
      <c r="BL53" s="35" t="s">
        <v>2492</v>
      </c>
      <c r="BM53" s="35">
        <v>67</v>
      </c>
      <c r="BW53" s="248"/>
      <c r="BX53" s="248"/>
      <c r="BY53" s="248"/>
      <c r="BZ53" s="248"/>
      <c r="CA53" s="248"/>
      <c r="CB53" s="248"/>
      <c r="CC53" s="248"/>
      <c r="CD53" s="248"/>
      <c r="CE53" s="248"/>
      <c r="CF53" s="248"/>
      <c r="CG53" s="248"/>
      <c r="CH53" s="248"/>
      <c r="CI53" s="248"/>
      <c r="CJ53" s="248"/>
      <c r="CK53" s="248"/>
      <c r="CL53" s="248"/>
      <c r="CM53" s="248"/>
      <c r="CN53" s="248"/>
      <c r="CO53" s="248"/>
      <c r="CP53" s="248"/>
      <c r="CQ53" s="248"/>
      <c r="CR53" s="248"/>
      <c r="CS53" s="248"/>
      <c r="CT53" s="248"/>
      <c r="CU53" s="248"/>
      <c r="CV53" s="248"/>
      <c r="CW53" s="248"/>
      <c r="CX53" s="248"/>
      <c r="CY53" s="248"/>
      <c r="CZ53" s="248"/>
      <c r="DA53" s="248"/>
      <c r="DB53" s="248"/>
      <c r="DC53" s="248"/>
      <c r="DD53" s="248"/>
      <c r="DE53" s="248"/>
      <c r="DF53" s="248"/>
      <c r="DG53" s="248"/>
      <c r="DH53" s="248"/>
      <c r="DI53" s="248"/>
      <c r="DJ53" s="248"/>
      <c r="DK53" s="248"/>
      <c r="DL53" s="248"/>
      <c r="DM53" s="248"/>
      <c r="DN53" s="248"/>
      <c r="DO53" s="248"/>
      <c r="DP53" s="248"/>
      <c r="DQ53" s="248"/>
      <c r="DR53" s="248"/>
      <c r="DS53" s="248"/>
      <c r="DT53" s="248"/>
      <c r="DU53" s="248"/>
      <c r="DV53" s="248"/>
      <c r="DW53" s="248"/>
      <c r="DX53" s="248"/>
      <c r="DY53" s="248"/>
      <c r="DZ53" s="248"/>
      <c r="EA53" s="248"/>
      <c r="EB53" s="248"/>
      <c r="EC53" s="248"/>
      <c r="ED53" s="248"/>
      <c r="EE53" s="248"/>
    </row>
    <row r="54" spans="1:135" s="35" customFormat="1" ht="16.5">
      <c r="A54" s="35" t="str">
        <f t="shared" si="1"/>
        <v>KS_CPM_E            SP_58XT</v>
      </c>
      <c r="B54" s="331"/>
      <c r="C54" s="248">
        <v>68</v>
      </c>
      <c r="D54" s="283" t="s">
        <v>605</v>
      </c>
      <c r="E54" s="283"/>
      <c r="F54" s="35" t="s">
        <v>1086</v>
      </c>
      <c r="G54" s="35" t="s">
        <v>2229</v>
      </c>
      <c r="H54" s="35" t="s">
        <v>610</v>
      </c>
      <c r="N54" s="35" t="s">
        <v>537</v>
      </c>
      <c r="O54" s="34" t="s">
        <v>1086</v>
      </c>
      <c r="P54" s="285" t="s">
        <v>1097</v>
      </c>
      <c r="Q54" s="58"/>
      <c r="R54" s="39"/>
      <c r="AH54" s="279"/>
      <c r="AJ54" s="279" t="s">
        <v>1117</v>
      </c>
      <c r="AK54" s="279"/>
      <c r="AL54" s="523">
        <v>3</v>
      </c>
      <c r="AM54" s="35">
        <v>68</v>
      </c>
      <c r="AN54" s="35" t="s">
        <v>1798</v>
      </c>
      <c r="AO54" s="35" t="s">
        <v>502</v>
      </c>
      <c r="AP54" s="35" t="s">
        <v>647</v>
      </c>
      <c r="AQ54" s="34" t="s">
        <v>1786</v>
      </c>
      <c r="AR54" s="35">
        <v>6</v>
      </c>
      <c r="AS54" s="35" t="s">
        <v>1392</v>
      </c>
      <c r="AT54" s="35" t="s">
        <v>241</v>
      </c>
      <c r="AU54" s="35" t="s">
        <v>10</v>
      </c>
      <c r="AV54" s="35" t="s">
        <v>1692</v>
      </c>
      <c r="AW54" s="35" t="s">
        <v>272</v>
      </c>
      <c r="AX54" s="34" t="s">
        <v>2229</v>
      </c>
      <c r="AY54" s="35">
        <v>1</v>
      </c>
      <c r="AZ54" s="35" t="s">
        <v>1381</v>
      </c>
      <c r="BA54" s="35" t="s">
        <v>10</v>
      </c>
      <c r="BB54" s="35" t="s">
        <v>10</v>
      </c>
      <c r="BC54" s="35" t="s">
        <v>124</v>
      </c>
      <c r="BD54" s="35" t="s">
        <v>1742</v>
      </c>
      <c r="BE54" s="35" t="s">
        <v>10</v>
      </c>
      <c r="BF54" s="35" t="s">
        <v>10</v>
      </c>
      <c r="BG54" s="35">
        <v>1086</v>
      </c>
      <c r="BH54" s="35" t="s">
        <v>125</v>
      </c>
      <c r="BI54" s="35">
        <v>0.5</v>
      </c>
      <c r="BJ54" s="35" t="s">
        <v>1382</v>
      </c>
      <c r="BK54" s="35" t="s">
        <v>2374</v>
      </c>
      <c r="BL54" s="35" t="s">
        <v>2492</v>
      </c>
      <c r="BM54" s="35">
        <v>68</v>
      </c>
      <c r="BW54" s="248"/>
      <c r="BX54" s="248"/>
      <c r="BY54" s="248"/>
      <c r="BZ54" s="248"/>
      <c r="CA54" s="248"/>
      <c r="CB54" s="248"/>
      <c r="CC54" s="248"/>
      <c r="CD54" s="248"/>
      <c r="CE54" s="248"/>
      <c r="CF54" s="248"/>
      <c r="CG54" s="248"/>
      <c r="CH54" s="248"/>
      <c r="CI54" s="248"/>
      <c r="CJ54" s="248"/>
      <c r="CK54" s="248"/>
      <c r="CL54" s="248"/>
      <c r="CM54" s="248"/>
      <c r="CN54" s="248"/>
      <c r="CO54" s="248"/>
      <c r="CP54" s="248"/>
      <c r="CQ54" s="248"/>
      <c r="CR54" s="248"/>
      <c r="CS54" s="248"/>
      <c r="CT54" s="248"/>
      <c r="CU54" s="248"/>
      <c r="CV54" s="248"/>
      <c r="CW54" s="248"/>
      <c r="CX54" s="248"/>
      <c r="CY54" s="248"/>
      <c r="CZ54" s="248"/>
      <c r="DA54" s="248"/>
      <c r="DB54" s="248"/>
      <c r="DC54" s="248"/>
      <c r="DD54" s="248"/>
      <c r="DE54" s="248"/>
      <c r="DF54" s="248"/>
      <c r="DG54" s="248"/>
      <c r="DH54" s="248"/>
      <c r="DI54" s="248"/>
      <c r="DJ54" s="248"/>
      <c r="DK54" s="248"/>
      <c r="DL54" s="248"/>
      <c r="DM54" s="248"/>
      <c r="DN54" s="248"/>
      <c r="DO54" s="248"/>
      <c r="DP54" s="248"/>
      <c r="DQ54" s="248"/>
      <c r="DR54" s="248"/>
      <c r="DS54" s="248"/>
      <c r="DT54" s="248"/>
      <c r="DU54" s="248"/>
      <c r="DV54" s="248"/>
      <c r="DW54" s="248"/>
      <c r="DX54" s="248"/>
      <c r="DY54" s="248"/>
      <c r="DZ54" s="248"/>
      <c r="EA54" s="248"/>
      <c r="EB54" s="248"/>
      <c r="EC54" s="248"/>
      <c r="ED54" s="248"/>
      <c r="EE54" s="248"/>
    </row>
    <row r="55" spans="1:135" s="35" customFormat="1" ht="16.5">
      <c r="A55" s="35" t="str">
        <f t="shared" si="1"/>
        <v>MIB_C               KS_CPM_E</v>
      </c>
      <c r="B55" s="331"/>
      <c r="C55" s="248">
        <v>71</v>
      </c>
      <c r="D55" s="283" t="s">
        <v>605</v>
      </c>
      <c r="E55" s="283"/>
      <c r="F55" s="35" t="s">
        <v>1086</v>
      </c>
      <c r="O55" s="34" t="s">
        <v>1086</v>
      </c>
      <c r="P55" s="34" t="s">
        <v>1086</v>
      </c>
      <c r="Q55" s="58"/>
      <c r="R55" s="39"/>
      <c r="W55" s="39"/>
      <c r="AH55" s="279"/>
      <c r="AJ55" s="279" t="s">
        <v>1117</v>
      </c>
      <c r="AK55" s="279"/>
      <c r="AL55" s="523">
        <v>3</v>
      </c>
      <c r="AM55" s="35">
        <v>71</v>
      </c>
      <c r="AN55" s="35" t="s">
        <v>1598</v>
      </c>
      <c r="AO55" s="35" t="s">
        <v>920</v>
      </c>
      <c r="AP55" s="35" t="s">
        <v>672</v>
      </c>
      <c r="AQ55" s="34" t="s">
        <v>2259</v>
      </c>
      <c r="AR55" s="35">
        <v>10</v>
      </c>
      <c r="AS55" s="35" t="s">
        <v>1768</v>
      </c>
      <c r="AT55" s="35" t="s">
        <v>218</v>
      </c>
      <c r="AU55" s="35" t="s">
        <v>10</v>
      </c>
      <c r="AV55" s="35" t="s">
        <v>502</v>
      </c>
      <c r="AW55" s="35" t="s">
        <v>647</v>
      </c>
      <c r="AX55" s="34" t="s">
        <v>1786</v>
      </c>
      <c r="AY55" s="35">
        <v>10</v>
      </c>
      <c r="AZ55" s="35" t="s">
        <v>1392</v>
      </c>
      <c r="BA55" s="35" t="s">
        <v>255</v>
      </c>
      <c r="BB55" s="35" t="s">
        <v>10</v>
      </c>
      <c r="BC55" s="35" t="s">
        <v>480</v>
      </c>
      <c r="BD55" s="35" t="s">
        <v>1742</v>
      </c>
      <c r="BE55" s="35" t="s">
        <v>10</v>
      </c>
      <c r="BF55" s="35" t="s">
        <v>10</v>
      </c>
      <c r="BG55" s="35">
        <v>1172</v>
      </c>
      <c r="BH55" s="35" t="s">
        <v>166</v>
      </c>
      <c r="BI55" s="35">
        <v>0.13</v>
      </c>
      <c r="BJ55" s="35" t="s">
        <v>1599</v>
      </c>
      <c r="BK55" s="35" t="s">
        <v>2374</v>
      </c>
      <c r="BL55" s="35" t="s">
        <v>2492</v>
      </c>
      <c r="BM55" s="35">
        <v>71</v>
      </c>
      <c r="BW55" s="248"/>
      <c r="BX55" s="248"/>
      <c r="BY55" s="248"/>
      <c r="BZ55" s="248"/>
      <c r="CA55" s="248"/>
      <c r="CB55" s="248"/>
      <c r="CC55" s="248"/>
      <c r="CD55" s="248"/>
      <c r="CE55" s="248"/>
      <c r="CF55" s="248"/>
      <c r="CG55" s="248"/>
      <c r="CH55" s="248"/>
      <c r="CI55" s="248"/>
      <c r="CJ55" s="248"/>
      <c r="CK55" s="248"/>
      <c r="CL55" s="248"/>
      <c r="CM55" s="248"/>
      <c r="CN55" s="248"/>
      <c r="CO55" s="248"/>
      <c r="CP55" s="248"/>
      <c r="CQ55" s="248"/>
      <c r="CR55" s="248"/>
      <c r="CS55" s="248"/>
      <c r="CT55" s="248"/>
      <c r="CU55" s="248"/>
      <c r="CV55" s="248"/>
      <c r="CW55" s="248"/>
      <c r="CX55" s="248"/>
      <c r="CY55" s="248"/>
      <c r="CZ55" s="248"/>
      <c r="DA55" s="248"/>
      <c r="DB55" s="248"/>
      <c r="DC55" s="248"/>
      <c r="DD55" s="248"/>
      <c r="DE55" s="248"/>
      <c r="DF55" s="248"/>
      <c r="DG55" s="248"/>
      <c r="DH55" s="248"/>
      <c r="DI55" s="248"/>
      <c r="DJ55" s="248"/>
      <c r="DK55" s="248"/>
      <c r="DL55" s="248"/>
      <c r="DM55" s="248"/>
      <c r="DN55" s="248"/>
      <c r="DO55" s="248"/>
      <c r="DP55" s="248"/>
      <c r="DQ55" s="248"/>
      <c r="DR55" s="248"/>
      <c r="DS55" s="248"/>
      <c r="DT55" s="248"/>
      <c r="DU55" s="248"/>
      <c r="DV55" s="248"/>
      <c r="DW55" s="248"/>
      <c r="DX55" s="248"/>
      <c r="DY55" s="248"/>
      <c r="DZ55" s="248"/>
      <c r="EA55" s="248"/>
      <c r="EB55" s="248"/>
      <c r="EC55" s="248"/>
      <c r="ED55" s="248"/>
      <c r="EE55" s="248"/>
    </row>
    <row r="56" spans="1:135" s="35" customFormat="1" ht="16.5">
      <c r="A56" s="35" t="str">
        <f t="shared" si="1"/>
        <v>MIB_H               KS_CPM_B</v>
      </c>
      <c r="B56" s="331"/>
      <c r="C56" s="248">
        <v>72</v>
      </c>
      <c r="D56" s="283" t="s">
        <v>605</v>
      </c>
      <c r="E56" s="283"/>
      <c r="F56" s="35" t="s">
        <v>1086</v>
      </c>
      <c r="O56" s="34" t="s">
        <v>1086</v>
      </c>
      <c r="P56" s="34" t="s">
        <v>1086</v>
      </c>
      <c r="Q56" s="279"/>
      <c r="R56" s="104"/>
      <c r="W56" s="104">
        <v>980015859</v>
      </c>
      <c r="AB56" s="104" t="s">
        <v>1114</v>
      </c>
      <c r="AH56" s="279"/>
      <c r="AJ56" s="279" t="s">
        <v>1117</v>
      </c>
      <c r="AK56" s="279"/>
      <c r="AL56" s="523">
        <v>3</v>
      </c>
      <c r="AM56" s="35">
        <v>72</v>
      </c>
      <c r="AN56" s="35" t="s">
        <v>1600</v>
      </c>
      <c r="AO56" s="35" t="s">
        <v>920</v>
      </c>
      <c r="AP56" s="35" t="s">
        <v>816</v>
      </c>
      <c r="AQ56" s="34" t="s">
        <v>2260</v>
      </c>
      <c r="AR56" s="35">
        <v>1</v>
      </c>
      <c r="AS56" s="35" t="s">
        <v>1799</v>
      </c>
      <c r="AT56" s="35" t="s">
        <v>1358</v>
      </c>
      <c r="AU56" s="35" t="s">
        <v>10</v>
      </c>
      <c r="AV56" s="35" t="s">
        <v>502</v>
      </c>
      <c r="AW56" s="35" t="s">
        <v>815</v>
      </c>
      <c r="AX56" s="34" t="s">
        <v>1800</v>
      </c>
      <c r="AY56" s="35">
        <v>1</v>
      </c>
      <c r="AZ56" s="35" t="s">
        <v>686</v>
      </c>
      <c r="BA56" s="35" t="s">
        <v>1358</v>
      </c>
      <c r="BB56" s="35" t="s">
        <v>10</v>
      </c>
      <c r="BC56" s="35" t="s">
        <v>225</v>
      </c>
      <c r="BD56" s="35" t="s">
        <v>1739</v>
      </c>
      <c r="BE56" s="35" t="s">
        <v>1801</v>
      </c>
      <c r="BF56" s="35" t="s">
        <v>228</v>
      </c>
      <c r="BG56" s="35">
        <v>1212</v>
      </c>
      <c r="BH56" s="35" t="s">
        <v>110</v>
      </c>
      <c r="BI56" s="35">
        <v>0.14000000000000001</v>
      </c>
      <c r="BJ56" s="35" t="s">
        <v>1601</v>
      </c>
      <c r="BK56" s="35" t="s">
        <v>2374</v>
      </c>
      <c r="BL56" s="35" t="s">
        <v>2492</v>
      </c>
      <c r="BM56" s="35">
        <v>72</v>
      </c>
      <c r="BW56" s="248"/>
      <c r="BX56" s="248"/>
      <c r="BY56" s="248"/>
      <c r="BZ56" s="248"/>
      <c r="CA56" s="248"/>
      <c r="CB56" s="248"/>
      <c r="CC56" s="248"/>
      <c r="CD56" s="248"/>
      <c r="CE56" s="248"/>
      <c r="CF56" s="248"/>
      <c r="CG56" s="248"/>
      <c r="CH56" s="248"/>
      <c r="CI56" s="248"/>
      <c r="CJ56" s="248"/>
      <c r="CK56" s="248"/>
      <c r="CL56" s="248"/>
      <c r="CM56" s="248"/>
      <c r="CN56" s="248"/>
      <c r="CO56" s="248"/>
      <c r="CP56" s="248"/>
      <c r="CQ56" s="248"/>
      <c r="CR56" s="248"/>
      <c r="CS56" s="248"/>
      <c r="CT56" s="248"/>
      <c r="CU56" s="248"/>
      <c r="CV56" s="248"/>
      <c r="CW56" s="248"/>
      <c r="CX56" s="248"/>
      <c r="CY56" s="248"/>
      <c r="CZ56" s="248"/>
      <c r="DA56" s="248"/>
      <c r="DB56" s="248"/>
      <c r="DC56" s="248"/>
      <c r="DD56" s="248"/>
      <c r="DE56" s="248"/>
      <c r="DF56" s="248"/>
      <c r="DG56" s="248"/>
      <c r="DH56" s="248"/>
      <c r="DI56" s="248"/>
      <c r="DJ56" s="248"/>
      <c r="DK56" s="248"/>
      <c r="DL56" s="248"/>
      <c r="DM56" s="248"/>
      <c r="DN56" s="248"/>
      <c r="DO56" s="248"/>
      <c r="DP56" s="248"/>
      <c r="DQ56" s="248"/>
      <c r="DR56" s="248"/>
      <c r="DS56" s="248"/>
      <c r="DT56" s="248"/>
      <c r="DU56" s="248"/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</row>
    <row r="57" spans="1:135" s="35" customFormat="1" ht="16.5">
      <c r="A57" s="35" t="str">
        <f t="shared" si="1"/>
        <v>MIB_H               KS_CPM_B</v>
      </c>
      <c r="B57" s="331"/>
      <c r="C57" s="248">
        <v>73</v>
      </c>
      <c r="D57" s="283" t="s">
        <v>605</v>
      </c>
      <c r="E57" s="283"/>
      <c r="F57" s="35" t="s">
        <v>1086</v>
      </c>
      <c r="O57" s="34" t="s">
        <v>1086</v>
      </c>
      <c r="P57" s="34" t="s">
        <v>1086</v>
      </c>
      <c r="Q57" s="279"/>
      <c r="R57" s="104"/>
      <c r="W57" s="104">
        <v>980015859</v>
      </c>
      <c r="AB57" s="104" t="s">
        <v>1114</v>
      </c>
      <c r="AH57" s="279"/>
      <c r="AJ57" s="279" t="s">
        <v>1117</v>
      </c>
      <c r="AK57" s="279"/>
      <c r="AL57" s="523">
        <v>3</v>
      </c>
      <c r="AM57" s="35">
        <v>73</v>
      </c>
      <c r="AN57" s="35" t="s">
        <v>1602</v>
      </c>
      <c r="AO57" s="35" t="s">
        <v>920</v>
      </c>
      <c r="AP57" s="35" t="s">
        <v>816</v>
      </c>
      <c r="AQ57" s="34" t="s">
        <v>2260</v>
      </c>
      <c r="AR57" s="35">
        <v>2</v>
      </c>
      <c r="AS57" s="35" t="s">
        <v>1799</v>
      </c>
      <c r="AT57" s="35" t="s">
        <v>1358</v>
      </c>
      <c r="AU57" s="35" t="s">
        <v>10</v>
      </c>
      <c r="AV57" s="35" t="s">
        <v>502</v>
      </c>
      <c r="AW57" s="35" t="s">
        <v>815</v>
      </c>
      <c r="AX57" s="34" t="s">
        <v>1800</v>
      </c>
      <c r="AY57" s="35">
        <v>2</v>
      </c>
      <c r="AZ57" s="35" t="s">
        <v>686</v>
      </c>
      <c r="BA57" s="35" t="s">
        <v>1358</v>
      </c>
      <c r="BB57" s="35" t="s">
        <v>10</v>
      </c>
      <c r="BC57" s="35" t="s">
        <v>225</v>
      </c>
      <c r="BD57" s="35" t="s">
        <v>1739</v>
      </c>
      <c r="BE57" s="35" t="s">
        <v>1801</v>
      </c>
      <c r="BF57" s="35" t="s">
        <v>227</v>
      </c>
      <c r="BG57" s="35">
        <v>1212</v>
      </c>
      <c r="BH57" s="35" t="s">
        <v>96</v>
      </c>
      <c r="BI57" s="35">
        <v>0.14000000000000001</v>
      </c>
      <c r="BJ57" s="35" t="s">
        <v>1603</v>
      </c>
      <c r="BK57" s="35" t="s">
        <v>2374</v>
      </c>
      <c r="BL57" s="35" t="s">
        <v>2492</v>
      </c>
      <c r="BM57" s="35">
        <v>73</v>
      </c>
      <c r="BW57" s="248"/>
      <c r="BX57" s="248"/>
      <c r="BY57" s="248"/>
      <c r="BZ57" s="248"/>
      <c r="CA57" s="248"/>
      <c r="CB57" s="248"/>
      <c r="CC57" s="248"/>
      <c r="CD57" s="248"/>
      <c r="CE57" s="248"/>
      <c r="CF57" s="248"/>
      <c r="CG57" s="248"/>
      <c r="CH57" s="248"/>
      <c r="CI57" s="248"/>
      <c r="CJ57" s="248"/>
      <c r="CK57" s="248"/>
      <c r="CL57" s="248"/>
      <c r="CM57" s="248"/>
      <c r="CN57" s="248"/>
      <c r="CO57" s="248"/>
      <c r="CP57" s="248"/>
      <c r="CQ57" s="248"/>
      <c r="CR57" s="248"/>
      <c r="CS57" s="248"/>
      <c r="CT57" s="248"/>
      <c r="CU57" s="248"/>
      <c r="CV57" s="248"/>
      <c r="CW57" s="248"/>
      <c r="CX57" s="248"/>
      <c r="CY57" s="248"/>
      <c r="CZ57" s="248"/>
      <c r="DA57" s="248"/>
      <c r="DB57" s="248"/>
      <c r="DC57" s="248"/>
      <c r="DD57" s="248"/>
      <c r="DE57" s="248"/>
      <c r="DF57" s="248"/>
      <c r="DG57" s="248"/>
      <c r="DH57" s="248"/>
      <c r="DI57" s="248"/>
      <c r="DJ57" s="248"/>
      <c r="DK57" s="248"/>
      <c r="DL57" s="248"/>
      <c r="DM57" s="248"/>
      <c r="DN57" s="248"/>
      <c r="DO57" s="248"/>
      <c r="DP57" s="248"/>
      <c r="DQ57" s="248"/>
      <c r="DR57" s="248"/>
      <c r="DS57" s="248"/>
      <c r="DT57" s="248"/>
      <c r="DU57" s="24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</row>
    <row r="58" spans="1:135" s="35" customFormat="1" ht="16.5">
      <c r="A58" s="35" t="str">
        <f t="shared" si="1"/>
        <v>MIB_H               KS_CPM_B</v>
      </c>
      <c r="B58" s="331"/>
      <c r="C58" s="248">
        <v>74</v>
      </c>
      <c r="D58" s="283" t="s">
        <v>605</v>
      </c>
      <c r="E58" s="283"/>
      <c r="F58" s="35" t="s">
        <v>1086</v>
      </c>
      <c r="O58" s="34" t="s">
        <v>1086</v>
      </c>
      <c r="P58" s="34" t="s">
        <v>1086</v>
      </c>
      <c r="Q58" s="279"/>
      <c r="R58" s="104"/>
      <c r="W58" s="104">
        <v>980015859</v>
      </c>
      <c r="AB58" s="104" t="s">
        <v>1114</v>
      </c>
      <c r="AH58" s="279"/>
      <c r="AJ58" s="279" t="s">
        <v>1117</v>
      </c>
      <c r="AK58" s="279"/>
      <c r="AL58" s="523">
        <v>3</v>
      </c>
      <c r="AM58" s="35">
        <v>74</v>
      </c>
      <c r="AN58" s="35" t="s">
        <v>1604</v>
      </c>
      <c r="AO58" s="35" t="s">
        <v>920</v>
      </c>
      <c r="AP58" s="35" t="s">
        <v>816</v>
      </c>
      <c r="AQ58" s="34" t="s">
        <v>2260</v>
      </c>
      <c r="AR58" s="35">
        <v>3</v>
      </c>
      <c r="AS58" s="35" t="s">
        <v>1799</v>
      </c>
      <c r="AT58" s="35" t="s">
        <v>1358</v>
      </c>
      <c r="AU58" s="35" t="s">
        <v>10</v>
      </c>
      <c r="AV58" s="35" t="s">
        <v>502</v>
      </c>
      <c r="AW58" s="35" t="s">
        <v>815</v>
      </c>
      <c r="AX58" s="34" t="s">
        <v>1800</v>
      </c>
      <c r="AY58" s="35">
        <v>3</v>
      </c>
      <c r="AZ58" s="35" t="s">
        <v>686</v>
      </c>
      <c r="BA58" s="35" t="s">
        <v>1358</v>
      </c>
      <c r="BB58" s="35" t="s">
        <v>10</v>
      </c>
      <c r="BC58" s="35" t="s">
        <v>225</v>
      </c>
      <c r="BD58" s="35" t="s">
        <v>1739</v>
      </c>
      <c r="BE58" s="35" t="s">
        <v>1801</v>
      </c>
      <c r="BF58" s="35" t="s">
        <v>149</v>
      </c>
      <c r="BG58" s="35">
        <v>1212</v>
      </c>
      <c r="BH58" s="35" t="s">
        <v>66</v>
      </c>
      <c r="BI58" s="35">
        <v>0.14000000000000001</v>
      </c>
      <c r="BJ58" s="35" t="s">
        <v>1605</v>
      </c>
      <c r="BK58" s="35" t="s">
        <v>2374</v>
      </c>
      <c r="BL58" s="35" t="s">
        <v>2492</v>
      </c>
      <c r="BM58" s="35">
        <v>74</v>
      </c>
      <c r="BW58" s="248"/>
      <c r="BX58" s="248"/>
      <c r="BY58" s="248"/>
      <c r="BZ58" s="248"/>
      <c r="CA58" s="248"/>
      <c r="CB58" s="248"/>
      <c r="CC58" s="248"/>
      <c r="CD58" s="248"/>
      <c r="CE58" s="248"/>
      <c r="CF58" s="248"/>
      <c r="CG58" s="248"/>
      <c r="CH58" s="248"/>
      <c r="CI58" s="248"/>
      <c r="CJ58" s="248"/>
      <c r="CK58" s="248"/>
      <c r="CL58" s="248"/>
      <c r="CM58" s="248"/>
      <c r="CN58" s="248"/>
      <c r="CO58" s="248"/>
      <c r="CP58" s="248"/>
      <c r="CQ58" s="248"/>
      <c r="CR58" s="248"/>
      <c r="CS58" s="248"/>
      <c r="CT58" s="248"/>
      <c r="CU58" s="248"/>
      <c r="CV58" s="248"/>
      <c r="CW58" s="248"/>
      <c r="CX58" s="248"/>
      <c r="CY58" s="248"/>
      <c r="CZ58" s="248"/>
      <c r="DA58" s="248"/>
      <c r="DB58" s="248"/>
      <c r="DC58" s="248"/>
      <c r="DD58" s="248"/>
      <c r="DE58" s="248"/>
      <c r="DF58" s="248"/>
      <c r="DG58" s="248"/>
      <c r="DH58" s="248"/>
      <c r="DI58" s="248"/>
      <c r="DJ58" s="248"/>
      <c r="DK58" s="248"/>
      <c r="DL58" s="248"/>
      <c r="DM58" s="248"/>
      <c r="DN58" s="248"/>
      <c r="DO58" s="248"/>
      <c r="DP58" s="248"/>
      <c r="DQ58" s="248"/>
      <c r="DR58" s="248"/>
      <c r="DS58" s="248"/>
      <c r="DT58" s="248"/>
      <c r="DU58" s="248"/>
      <c r="DV58" s="248"/>
      <c r="DW58" s="248"/>
      <c r="DX58" s="248"/>
      <c r="DY58" s="248"/>
      <c r="DZ58" s="248"/>
      <c r="EA58" s="248"/>
      <c r="EB58" s="248"/>
      <c r="EC58" s="248"/>
      <c r="ED58" s="248"/>
      <c r="EE58" s="248"/>
    </row>
    <row r="59" spans="1:135" s="35" customFormat="1" ht="16.5">
      <c r="A59" s="35" t="str">
        <f t="shared" si="1"/>
        <v>MIB_H               KS_CPM_B</v>
      </c>
      <c r="B59" s="331"/>
      <c r="C59" s="248">
        <v>75</v>
      </c>
      <c r="D59" s="283" t="s">
        <v>605</v>
      </c>
      <c r="E59" s="283"/>
      <c r="F59" s="35" t="s">
        <v>1086</v>
      </c>
      <c r="O59" s="34" t="s">
        <v>1086</v>
      </c>
      <c r="P59" s="34" t="s">
        <v>1086</v>
      </c>
      <c r="Q59" s="279"/>
      <c r="R59" s="104"/>
      <c r="W59" s="104">
        <v>980015859</v>
      </c>
      <c r="AB59" s="104" t="s">
        <v>1114</v>
      </c>
      <c r="AH59" s="279"/>
      <c r="AJ59" s="279" t="s">
        <v>1117</v>
      </c>
      <c r="AK59" s="279"/>
      <c r="AL59" s="523">
        <v>3</v>
      </c>
      <c r="AM59" s="35">
        <v>75</v>
      </c>
      <c r="AN59" s="35" t="s">
        <v>1606</v>
      </c>
      <c r="AO59" s="35" t="s">
        <v>920</v>
      </c>
      <c r="AP59" s="35" t="s">
        <v>816</v>
      </c>
      <c r="AQ59" s="34" t="s">
        <v>2260</v>
      </c>
      <c r="AR59" s="35">
        <v>4</v>
      </c>
      <c r="AS59" s="35" t="s">
        <v>1799</v>
      </c>
      <c r="AT59" s="35" t="s">
        <v>1358</v>
      </c>
      <c r="AU59" s="35" t="s">
        <v>10</v>
      </c>
      <c r="AV59" s="35" t="s">
        <v>502</v>
      </c>
      <c r="AW59" s="35" t="s">
        <v>815</v>
      </c>
      <c r="AX59" s="34" t="s">
        <v>1800</v>
      </c>
      <c r="AY59" s="35">
        <v>4</v>
      </c>
      <c r="AZ59" s="35" t="s">
        <v>686</v>
      </c>
      <c r="BA59" s="35" t="s">
        <v>1358</v>
      </c>
      <c r="BB59" s="35" t="s">
        <v>10</v>
      </c>
      <c r="BC59" s="35" t="s">
        <v>225</v>
      </c>
      <c r="BD59" s="35" t="s">
        <v>1739</v>
      </c>
      <c r="BE59" s="35" t="s">
        <v>1801</v>
      </c>
      <c r="BF59" s="35" t="s">
        <v>152</v>
      </c>
      <c r="BG59" s="35">
        <v>1212</v>
      </c>
      <c r="BH59" s="35" t="s">
        <v>25</v>
      </c>
      <c r="BI59" s="35">
        <v>0.14000000000000001</v>
      </c>
      <c r="BJ59" s="35" t="s">
        <v>1607</v>
      </c>
      <c r="BK59" s="35" t="s">
        <v>2374</v>
      </c>
      <c r="BL59" s="35" t="s">
        <v>2492</v>
      </c>
      <c r="BM59" s="35">
        <v>75</v>
      </c>
      <c r="BW59" s="248"/>
      <c r="BX59" s="248"/>
      <c r="BY59" s="248"/>
      <c r="BZ59" s="248"/>
      <c r="CA59" s="248"/>
      <c r="CB59" s="248"/>
      <c r="CC59" s="248"/>
      <c r="CD59" s="248"/>
      <c r="CE59" s="248"/>
      <c r="CF59" s="248"/>
      <c r="CG59" s="248"/>
      <c r="CH59" s="248"/>
      <c r="CI59" s="248"/>
      <c r="CJ59" s="248"/>
      <c r="CK59" s="248"/>
      <c r="CL59" s="248"/>
      <c r="CM59" s="248"/>
      <c r="CN59" s="248"/>
      <c r="CO59" s="248"/>
      <c r="CP59" s="248"/>
      <c r="CQ59" s="248"/>
      <c r="CR59" s="248"/>
      <c r="CS59" s="248"/>
      <c r="CT59" s="248"/>
      <c r="CU59" s="248"/>
      <c r="CV59" s="248"/>
      <c r="CW59" s="248"/>
      <c r="CX59" s="248"/>
      <c r="CY59" s="248"/>
      <c r="CZ59" s="248"/>
      <c r="DA59" s="248"/>
      <c r="DB59" s="248"/>
      <c r="DC59" s="248"/>
      <c r="DD59" s="248"/>
      <c r="DE59" s="248"/>
      <c r="DF59" s="248"/>
      <c r="DG59" s="248"/>
      <c r="DH59" s="248"/>
      <c r="DI59" s="248"/>
      <c r="DJ59" s="248"/>
      <c r="DK59" s="248"/>
      <c r="DL59" s="248"/>
      <c r="DM59" s="248"/>
      <c r="DN59" s="248"/>
      <c r="DO59" s="248"/>
      <c r="DP59" s="248"/>
      <c r="DQ59" s="248"/>
      <c r="DR59" s="248"/>
      <c r="DS59" s="248"/>
      <c r="DT59" s="248"/>
      <c r="DU59" s="248"/>
      <c r="DV59" s="248"/>
      <c r="DW59" s="248"/>
      <c r="DX59" s="248"/>
      <c r="DY59" s="248"/>
      <c r="DZ59" s="248"/>
      <c r="EA59" s="248"/>
      <c r="EB59" s="248"/>
      <c r="EC59" s="248"/>
      <c r="ED59" s="248"/>
      <c r="EE59" s="248"/>
    </row>
    <row r="60" spans="1:135" s="35" customFormat="1" ht="16.5">
      <c r="A60" s="35" t="str">
        <f t="shared" si="1"/>
        <v>MIB_H               KS_CPM_B</v>
      </c>
      <c r="B60" s="331"/>
      <c r="C60" s="248">
        <v>76</v>
      </c>
      <c r="D60" s="283" t="s">
        <v>605</v>
      </c>
      <c r="E60" s="283"/>
      <c r="F60" s="35" t="s">
        <v>1086</v>
      </c>
      <c r="O60" s="34" t="s">
        <v>1086</v>
      </c>
      <c r="P60" s="34" t="s">
        <v>1086</v>
      </c>
      <c r="Q60" s="279"/>
      <c r="R60" s="104"/>
      <c r="W60" s="104">
        <v>980015859</v>
      </c>
      <c r="AB60" s="104" t="s">
        <v>1114</v>
      </c>
      <c r="AH60" s="279"/>
      <c r="AJ60" s="279" t="s">
        <v>1117</v>
      </c>
      <c r="AK60" s="279"/>
      <c r="AL60" s="523">
        <v>3</v>
      </c>
      <c r="AM60" s="35">
        <v>76</v>
      </c>
      <c r="AN60" s="35" t="s">
        <v>1608</v>
      </c>
      <c r="AO60" s="35" t="s">
        <v>920</v>
      </c>
      <c r="AP60" s="35" t="s">
        <v>816</v>
      </c>
      <c r="AQ60" s="34" t="s">
        <v>2260</v>
      </c>
      <c r="AR60" s="35" t="s">
        <v>229</v>
      </c>
      <c r="AS60" s="35" t="s">
        <v>1799</v>
      </c>
      <c r="AT60" s="35" t="s">
        <v>230</v>
      </c>
      <c r="AU60" s="35" t="s">
        <v>10</v>
      </c>
      <c r="AV60" s="35" t="s">
        <v>502</v>
      </c>
      <c r="AW60" s="35" t="s">
        <v>815</v>
      </c>
      <c r="AX60" s="34" t="s">
        <v>1800</v>
      </c>
      <c r="AY60" s="35" t="s">
        <v>229</v>
      </c>
      <c r="AZ60" s="35" t="s">
        <v>686</v>
      </c>
      <c r="BA60" s="35" t="s">
        <v>817</v>
      </c>
      <c r="BB60" s="35" t="s">
        <v>10</v>
      </c>
      <c r="BC60" s="35" t="s">
        <v>225</v>
      </c>
      <c r="BD60" s="35" t="s">
        <v>157</v>
      </c>
      <c r="BE60" s="35" t="s">
        <v>1801</v>
      </c>
      <c r="BF60" s="35" t="s">
        <v>231</v>
      </c>
      <c r="BG60" s="35">
        <v>1212</v>
      </c>
      <c r="BH60" s="35" t="s">
        <v>139</v>
      </c>
      <c r="BI60" s="35">
        <v>1</v>
      </c>
      <c r="BJ60" s="35" t="s">
        <v>1609</v>
      </c>
      <c r="BK60" s="35" t="s">
        <v>2374</v>
      </c>
      <c r="BL60" s="35" t="s">
        <v>2492</v>
      </c>
      <c r="BM60" s="35">
        <v>76</v>
      </c>
      <c r="BW60" s="248"/>
      <c r="BX60" s="248"/>
      <c r="BY60" s="248"/>
      <c r="BZ60" s="248"/>
      <c r="CA60" s="248"/>
      <c r="CB60" s="248"/>
      <c r="CC60" s="248"/>
      <c r="CD60" s="248"/>
      <c r="CE60" s="248"/>
      <c r="CF60" s="248"/>
      <c r="CG60" s="248"/>
      <c r="CH60" s="248"/>
      <c r="CI60" s="248"/>
      <c r="CJ60" s="248"/>
      <c r="CK60" s="248"/>
      <c r="CL60" s="248"/>
      <c r="CM60" s="248"/>
      <c r="CN60" s="248"/>
      <c r="CO60" s="248"/>
      <c r="CP60" s="248"/>
      <c r="CQ60" s="248"/>
      <c r="CR60" s="248"/>
      <c r="CS60" s="248"/>
      <c r="CT60" s="248"/>
      <c r="CU60" s="248"/>
      <c r="CV60" s="248"/>
      <c r="CW60" s="248"/>
      <c r="CX60" s="248"/>
      <c r="CY60" s="248"/>
      <c r="CZ60" s="248"/>
      <c r="DA60" s="248"/>
      <c r="DB60" s="248"/>
      <c r="DC60" s="248"/>
      <c r="DD60" s="248"/>
      <c r="DE60" s="248"/>
      <c r="DF60" s="248"/>
      <c r="DG60" s="248"/>
      <c r="DH60" s="248"/>
      <c r="DI60" s="248"/>
      <c r="DJ60" s="248"/>
      <c r="DK60" s="248"/>
      <c r="DL60" s="248"/>
      <c r="DM60" s="248"/>
      <c r="DN60" s="248"/>
      <c r="DO60" s="248"/>
      <c r="DP60" s="248"/>
      <c r="DQ60" s="248"/>
      <c r="DR60" s="248"/>
      <c r="DS60" s="248"/>
      <c r="DT60" s="248"/>
      <c r="DU60" s="248"/>
      <c r="DV60" s="248"/>
      <c r="DW60" s="248"/>
      <c r="DX60" s="248"/>
      <c r="DY60" s="248"/>
      <c r="DZ60" s="248"/>
      <c r="EA60" s="248"/>
      <c r="EB60" s="248"/>
      <c r="EC60" s="248"/>
      <c r="ED60" s="248"/>
      <c r="EE60" s="248"/>
    </row>
    <row r="61" spans="1:135" s="35" customFormat="1" ht="16.5">
      <c r="A61" s="35" t="str">
        <f t="shared" si="1"/>
        <v>SP_MB34_B1          KS_CPM_E</v>
      </c>
      <c r="B61" s="331"/>
      <c r="C61" s="248">
        <v>77</v>
      </c>
      <c r="D61" s="283" t="s">
        <v>605</v>
      </c>
      <c r="F61" s="35" t="s">
        <v>1086</v>
      </c>
      <c r="G61" s="35" t="s">
        <v>2231</v>
      </c>
      <c r="H61" s="35" t="s">
        <v>609</v>
      </c>
      <c r="N61" s="35" t="s">
        <v>537</v>
      </c>
      <c r="O61" s="34" t="s">
        <v>1086</v>
      </c>
      <c r="P61" s="34" t="s">
        <v>1086</v>
      </c>
      <c r="Q61" s="58"/>
      <c r="R61" s="39"/>
      <c r="W61" s="104"/>
      <c r="AB61" s="30"/>
      <c r="AH61" s="279"/>
      <c r="AJ61" s="279" t="s">
        <v>1117</v>
      </c>
      <c r="AK61" s="279"/>
      <c r="AL61" s="523">
        <v>3</v>
      </c>
      <c r="AM61" s="35">
        <v>77</v>
      </c>
      <c r="AN61" s="35" t="s">
        <v>1802</v>
      </c>
      <c r="AO61" s="35" t="s">
        <v>2147</v>
      </c>
      <c r="AP61" s="35" t="s">
        <v>534</v>
      </c>
      <c r="AQ61" s="34" t="s">
        <v>2231</v>
      </c>
      <c r="AR61" s="35">
        <v>1</v>
      </c>
      <c r="AS61" s="35" t="s">
        <v>411</v>
      </c>
      <c r="AT61" s="35" t="s">
        <v>10</v>
      </c>
      <c r="AU61" s="35" t="s">
        <v>10</v>
      </c>
      <c r="AV61" s="35" t="s">
        <v>502</v>
      </c>
      <c r="AW61" s="35" t="s">
        <v>647</v>
      </c>
      <c r="AX61" s="34" t="s">
        <v>1786</v>
      </c>
      <c r="AY61" s="35">
        <v>11</v>
      </c>
      <c r="AZ61" s="35" t="s">
        <v>1392</v>
      </c>
      <c r="BA61" s="35" t="s">
        <v>241</v>
      </c>
      <c r="BB61" s="35" t="s">
        <v>10</v>
      </c>
      <c r="BC61" s="35" t="s">
        <v>26</v>
      </c>
      <c r="BD61" s="35" t="s">
        <v>1742</v>
      </c>
      <c r="BE61" s="35" t="s">
        <v>10</v>
      </c>
      <c r="BF61" s="35" t="s">
        <v>10</v>
      </c>
      <c r="BG61" s="35">
        <v>604</v>
      </c>
      <c r="BH61" s="35" t="s">
        <v>25</v>
      </c>
      <c r="BI61" s="35">
        <v>0.5</v>
      </c>
      <c r="BJ61" s="35" t="s">
        <v>1355</v>
      </c>
      <c r="BK61" s="35" t="s">
        <v>2374</v>
      </c>
      <c r="BL61" s="35" t="s">
        <v>2492</v>
      </c>
      <c r="BM61" s="35">
        <v>77</v>
      </c>
      <c r="BW61" s="248"/>
      <c r="BX61" s="248"/>
      <c r="BY61" s="248"/>
      <c r="BZ61" s="248"/>
      <c r="CA61" s="248"/>
      <c r="CB61" s="248"/>
      <c r="CC61" s="248"/>
      <c r="CD61" s="248"/>
      <c r="CE61" s="248"/>
      <c r="CF61" s="248"/>
      <c r="CG61" s="248"/>
      <c r="CH61" s="248"/>
      <c r="CI61" s="248"/>
      <c r="CJ61" s="248"/>
      <c r="CK61" s="248"/>
      <c r="CL61" s="248"/>
      <c r="CM61" s="248"/>
      <c r="CN61" s="248"/>
      <c r="CO61" s="248"/>
      <c r="CP61" s="248"/>
      <c r="CQ61" s="248"/>
      <c r="CR61" s="248"/>
      <c r="CS61" s="248"/>
      <c r="CT61" s="248"/>
      <c r="CU61" s="248"/>
      <c r="CV61" s="248"/>
      <c r="CW61" s="248"/>
      <c r="CX61" s="248"/>
      <c r="CY61" s="248"/>
      <c r="CZ61" s="248"/>
      <c r="DA61" s="248"/>
      <c r="DB61" s="248"/>
      <c r="DC61" s="248"/>
      <c r="DD61" s="248"/>
      <c r="DE61" s="248"/>
      <c r="DF61" s="248"/>
      <c r="DG61" s="248"/>
      <c r="DH61" s="248"/>
      <c r="DI61" s="248"/>
      <c r="DJ61" s="248"/>
      <c r="DK61" s="248"/>
      <c r="DL61" s="248"/>
      <c r="DM61" s="248"/>
      <c r="DN61" s="248"/>
      <c r="DO61" s="248"/>
      <c r="DP61" s="248"/>
      <c r="DQ61" s="248"/>
      <c r="DR61" s="248"/>
      <c r="DS61" s="248"/>
      <c r="DT61" s="248"/>
      <c r="DU61" s="248"/>
      <c r="DV61" s="248"/>
      <c r="DW61" s="248"/>
      <c r="DX61" s="248"/>
      <c r="DY61" s="248"/>
      <c r="DZ61" s="248"/>
      <c r="EA61" s="248"/>
      <c r="EB61" s="248"/>
      <c r="EC61" s="248"/>
      <c r="ED61" s="248"/>
      <c r="EE61" s="248"/>
    </row>
    <row r="62" spans="1:135" s="35" customFormat="1" ht="16.5">
      <c r="A62" s="35" t="str">
        <f t="shared" si="1"/>
        <v>SIDO_P              KS_CPM_E</v>
      </c>
      <c r="B62" s="331"/>
      <c r="C62" s="248">
        <v>78</v>
      </c>
      <c r="D62" s="283" t="s">
        <v>605</v>
      </c>
      <c r="F62" s="35" t="s">
        <v>1086</v>
      </c>
      <c r="O62" s="34" t="s">
        <v>1086</v>
      </c>
      <c r="P62" s="34" t="s">
        <v>1086</v>
      </c>
      <c r="Q62" s="58"/>
      <c r="R62" s="39"/>
      <c r="W62" s="39"/>
      <c r="AH62" s="279"/>
      <c r="AJ62" s="279" t="s">
        <v>1117</v>
      </c>
      <c r="AK62" s="279"/>
      <c r="AL62" s="523">
        <v>3</v>
      </c>
      <c r="AM62" s="35">
        <v>78</v>
      </c>
      <c r="AN62" s="35" t="s">
        <v>1803</v>
      </c>
      <c r="AO62" s="35" t="s">
        <v>901</v>
      </c>
      <c r="AP62" s="35" t="s">
        <v>633</v>
      </c>
      <c r="AQ62" s="34" t="s">
        <v>2257</v>
      </c>
      <c r="AR62" s="35" t="s">
        <v>243</v>
      </c>
      <c r="AS62" s="35" t="s">
        <v>1414</v>
      </c>
      <c r="AT62" s="35" t="s">
        <v>242</v>
      </c>
      <c r="AU62" s="35" t="s">
        <v>10</v>
      </c>
      <c r="AV62" s="35" t="s">
        <v>502</v>
      </c>
      <c r="AW62" s="35" t="s">
        <v>647</v>
      </c>
      <c r="AX62" s="34" t="s">
        <v>1786</v>
      </c>
      <c r="AY62" s="35">
        <v>12</v>
      </c>
      <c r="AZ62" s="35" t="s">
        <v>1392</v>
      </c>
      <c r="BA62" s="35" t="s">
        <v>241</v>
      </c>
      <c r="BB62" s="35" t="s">
        <v>10</v>
      </c>
      <c r="BC62" s="35" t="s">
        <v>62</v>
      </c>
      <c r="BD62" s="35" t="s">
        <v>1742</v>
      </c>
      <c r="BE62" s="35" t="s">
        <v>10</v>
      </c>
      <c r="BF62" s="35" t="s">
        <v>10</v>
      </c>
      <c r="BG62" s="35">
        <v>1867</v>
      </c>
      <c r="BH62" s="35" t="s">
        <v>63</v>
      </c>
      <c r="BI62" s="35">
        <v>0.5</v>
      </c>
      <c r="BJ62" s="35" t="s">
        <v>1610</v>
      </c>
      <c r="BK62" s="35" t="s">
        <v>2374</v>
      </c>
      <c r="BL62" s="35" t="s">
        <v>2492</v>
      </c>
      <c r="BM62" s="35">
        <v>78</v>
      </c>
      <c r="BW62" s="248"/>
      <c r="BX62" s="248"/>
      <c r="BY62" s="248"/>
      <c r="BZ62" s="248"/>
      <c r="CA62" s="248"/>
      <c r="CB62" s="248"/>
      <c r="CC62" s="248"/>
      <c r="CD62" s="248"/>
      <c r="CE62" s="248"/>
      <c r="CF62" s="248"/>
      <c r="CG62" s="248"/>
      <c r="CH62" s="248"/>
      <c r="CI62" s="248"/>
      <c r="CJ62" s="248"/>
      <c r="CK62" s="248"/>
      <c r="CL62" s="248"/>
      <c r="CM62" s="248"/>
      <c r="CN62" s="248"/>
      <c r="CO62" s="248"/>
      <c r="CP62" s="248"/>
      <c r="CQ62" s="248"/>
      <c r="CR62" s="248"/>
      <c r="CS62" s="248"/>
      <c r="CT62" s="248"/>
      <c r="CU62" s="248"/>
      <c r="CV62" s="248"/>
      <c r="CW62" s="248"/>
      <c r="CX62" s="248"/>
      <c r="CY62" s="248"/>
      <c r="CZ62" s="248"/>
      <c r="DA62" s="248"/>
      <c r="DB62" s="248"/>
      <c r="DC62" s="248"/>
      <c r="DD62" s="248"/>
      <c r="DE62" s="248"/>
      <c r="DF62" s="248"/>
      <c r="DG62" s="248"/>
      <c r="DH62" s="248"/>
      <c r="DI62" s="248"/>
      <c r="DJ62" s="248"/>
      <c r="DK62" s="248"/>
      <c r="DL62" s="248"/>
      <c r="DM62" s="248"/>
      <c r="DN62" s="248"/>
      <c r="DO62" s="248"/>
      <c r="DP62" s="248"/>
      <c r="DQ62" s="248"/>
      <c r="DR62" s="248"/>
      <c r="DS62" s="248"/>
      <c r="DT62" s="248"/>
      <c r="DU62" s="248"/>
      <c r="DV62" s="248"/>
      <c r="DW62" s="248"/>
      <c r="DX62" s="248"/>
      <c r="DY62" s="248"/>
      <c r="DZ62" s="248"/>
      <c r="EA62" s="248"/>
      <c r="EB62" s="248"/>
      <c r="EC62" s="248"/>
      <c r="ED62" s="248"/>
      <c r="EE62" s="248"/>
    </row>
    <row r="63" spans="1:135" s="35" customFormat="1" ht="16.5">
      <c r="A63" s="35" t="str">
        <f t="shared" si="1"/>
        <v>SP_MB31_B2          SP_MB31_B1</v>
      </c>
      <c r="B63" s="331"/>
      <c r="C63" s="248">
        <v>82</v>
      </c>
      <c r="D63" s="283" t="s">
        <v>605</v>
      </c>
      <c r="F63" s="283" t="s">
        <v>1086</v>
      </c>
      <c r="G63" s="39" t="s">
        <v>2252</v>
      </c>
      <c r="H63" s="35" t="s">
        <v>611</v>
      </c>
      <c r="N63" s="35" t="s">
        <v>537</v>
      </c>
      <c r="O63" s="34" t="s">
        <v>1086</v>
      </c>
      <c r="P63" s="34" t="s">
        <v>1086</v>
      </c>
      <c r="Q63" s="58"/>
      <c r="R63" s="39"/>
      <c r="AH63" s="279"/>
      <c r="AJ63" s="279" t="s">
        <v>1117</v>
      </c>
      <c r="AK63" s="279"/>
      <c r="AL63" s="523">
        <v>3</v>
      </c>
      <c r="AM63" s="35">
        <v>82</v>
      </c>
      <c r="AN63" s="35" t="s">
        <v>1407</v>
      </c>
      <c r="AO63" s="35" t="s">
        <v>2148</v>
      </c>
      <c r="AP63" s="35" t="s">
        <v>535</v>
      </c>
      <c r="AQ63" s="34" t="s">
        <v>2232</v>
      </c>
      <c r="AR63" s="35">
        <v>1</v>
      </c>
      <c r="AS63" s="35" t="s">
        <v>1254</v>
      </c>
      <c r="AT63" s="35" t="s">
        <v>10</v>
      </c>
      <c r="AU63" s="35" t="s">
        <v>10</v>
      </c>
      <c r="AV63" s="35" t="s">
        <v>2145</v>
      </c>
      <c r="AW63" s="35" t="s">
        <v>532</v>
      </c>
      <c r="AX63" s="34" t="s">
        <v>2225</v>
      </c>
      <c r="AY63" s="35">
        <v>1</v>
      </c>
      <c r="AZ63" s="35" t="s">
        <v>1748</v>
      </c>
      <c r="BA63" s="35" t="s">
        <v>10</v>
      </c>
      <c r="BB63" s="35" t="s">
        <v>10</v>
      </c>
      <c r="BC63" s="35" t="s">
        <v>163</v>
      </c>
      <c r="BD63" s="35" t="s">
        <v>1742</v>
      </c>
      <c r="BE63" s="35" t="s">
        <v>10</v>
      </c>
      <c r="BF63" s="35" t="s">
        <v>10</v>
      </c>
      <c r="BG63" s="35">
        <v>493</v>
      </c>
      <c r="BH63" s="35" t="s">
        <v>25</v>
      </c>
      <c r="BI63" s="35">
        <v>1.5</v>
      </c>
      <c r="BJ63" s="35" t="s">
        <v>1285</v>
      </c>
      <c r="BK63" s="35" t="s">
        <v>2374</v>
      </c>
      <c r="BL63" s="35" t="s">
        <v>2492</v>
      </c>
      <c r="BM63" s="35">
        <v>82</v>
      </c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</row>
    <row r="64" spans="1:135" s="35" customFormat="1" ht="16.5">
      <c r="A64" s="35" t="str">
        <f t="shared" si="1"/>
        <v>KS_CPR_A            SIDO_O</v>
      </c>
      <c r="B64" s="331"/>
      <c r="C64" s="248">
        <v>83</v>
      </c>
      <c r="D64" s="283" t="s">
        <v>605</v>
      </c>
      <c r="E64" s="283"/>
      <c r="F64" s="35" t="s">
        <v>1086</v>
      </c>
      <c r="O64" s="34" t="s">
        <v>1086</v>
      </c>
      <c r="P64" s="34" t="s">
        <v>1086</v>
      </c>
      <c r="Q64" s="58"/>
      <c r="R64" s="39"/>
      <c r="W64" s="104">
        <v>920007290</v>
      </c>
      <c r="AB64" s="104" t="s">
        <v>1303</v>
      </c>
      <c r="AH64" s="279"/>
      <c r="AJ64" s="279" t="s">
        <v>1117</v>
      </c>
      <c r="AK64" s="279"/>
      <c r="AL64" s="523">
        <v>3</v>
      </c>
      <c r="AM64" s="35">
        <v>83</v>
      </c>
      <c r="AN64" s="35" t="s">
        <v>1804</v>
      </c>
      <c r="AO64" s="35" t="s">
        <v>424</v>
      </c>
      <c r="AP64" s="35" t="s">
        <v>637</v>
      </c>
      <c r="AQ64" s="34" t="s">
        <v>1770</v>
      </c>
      <c r="AR64" s="35">
        <v>16</v>
      </c>
      <c r="AS64" s="35" t="s">
        <v>1771</v>
      </c>
      <c r="AT64" s="35" t="s">
        <v>277</v>
      </c>
      <c r="AU64" s="35" t="s">
        <v>10</v>
      </c>
      <c r="AV64" s="35" t="s">
        <v>897</v>
      </c>
      <c r="AW64" s="35" t="s">
        <v>626</v>
      </c>
      <c r="AX64" s="34" t="s">
        <v>2255</v>
      </c>
      <c r="AY64" s="35">
        <v>6</v>
      </c>
      <c r="AZ64" s="35" t="s">
        <v>1158</v>
      </c>
      <c r="BA64" s="35" t="s">
        <v>275</v>
      </c>
      <c r="BB64" s="35" t="s">
        <v>10</v>
      </c>
      <c r="BC64" s="35" t="s">
        <v>278</v>
      </c>
      <c r="BD64" s="35" t="s">
        <v>1739</v>
      </c>
      <c r="BE64" s="35" t="s">
        <v>10</v>
      </c>
      <c r="BF64" s="35" t="s">
        <v>10</v>
      </c>
      <c r="BG64" s="35">
        <v>1945</v>
      </c>
      <c r="BH64" s="35" t="s">
        <v>91</v>
      </c>
      <c r="BI64" s="35">
        <v>6</v>
      </c>
      <c r="BJ64" s="35" t="s">
        <v>1805</v>
      </c>
      <c r="BK64" s="35" t="s">
        <v>2374</v>
      </c>
      <c r="BL64" s="35" t="s">
        <v>2492</v>
      </c>
      <c r="BM64" s="35">
        <v>83</v>
      </c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</row>
    <row r="65" spans="1:135" s="35" customFormat="1" ht="16.5">
      <c r="A65" s="35" t="str">
        <f t="shared" si="1"/>
        <v>KS_CPR_B            SIDO_P</v>
      </c>
      <c r="B65" s="331"/>
      <c r="C65" s="248">
        <v>84</v>
      </c>
      <c r="D65" s="283" t="s">
        <v>605</v>
      </c>
      <c r="E65" s="283"/>
      <c r="F65" s="35" t="s">
        <v>1086</v>
      </c>
      <c r="G65" s="39"/>
      <c r="H65" s="35" t="s">
        <v>523</v>
      </c>
      <c r="O65" s="34" t="s">
        <v>1086</v>
      </c>
      <c r="P65" s="34" t="s">
        <v>1086</v>
      </c>
      <c r="Q65" s="58"/>
      <c r="R65" s="39"/>
      <c r="W65" s="104">
        <v>920007428</v>
      </c>
      <c r="AB65" s="104" t="s">
        <v>1303</v>
      </c>
      <c r="AH65" s="279"/>
      <c r="AJ65" s="279" t="s">
        <v>1117</v>
      </c>
      <c r="AK65" s="279"/>
      <c r="AL65" s="523">
        <v>3</v>
      </c>
      <c r="AM65" s="35">
        <v>84</v>
      </c>
      <c r="AN65" s="35" t="s">
        <v>1806</v>
      </c>
      <c r="AO65" s="35" t="s">
        <v>424</v>
      </c>
      <c r="AP65" s="35" t="s">
        <v>651</v>
      </c>
      <c r="AQ65" s="34" t="s">
        <v>1807</v>
      </c>
      <c r="AR65" s="35">
        <v>16</v>
      </c>
      <c r="AS65" s="35" t="s">
        <v>1808</v>
      </c>
      <c r="AT65" s="35" t="s">
        <v>277</v>
      </c>
      <c r="AU65" s="35" t="s">
        <v>10</v>
      </c>
      <c r="AV65" s="35" t="s">
        <v>901</v>
      </c>
      <c r="AW65" s="35" t="s">
        <v>633</v>
      </c>
      <c r="AX65" s="34" t="s">
        <v>2257</v>
      </c>
      <c r="AY65" s="35">
        <v>6</v>
      </c>
      <c r="AZ65" s="35" t="s">
        <v>1414</v>
      </c>
      <c r="BA65" s="35" t="s">
        <v>10</v>
      </c>
      <c r="BB65" s="35" t="s">
        <v>10</v>
      </c>
      <c r="BC65" s="35" t="s">
        <v>652</v>
      </c>
      <c r="BD65" s="35" t="s">
        <v>1739</v>
      </c>
      <c r="BE65" s="35" t="s">
        <v>10</v>
      </c>
      <c r="BF65" s="35" t="s">
        <v>10</v>
      </c>
      <c r="BG65" s="35">
        <v>320</v>
      </c>
      <c r="BH65" s="35" t="s">
        <v>112</v>
      </c>
      <c r="BI65" s="35">
        <v>6</v>
      </c>
      <c r="BJ65" s="35" t="s">
        <v>1809</v>
      </c>
      <c r="BK65" s="35" t="s">
        <v>2374</v>
      </c>
      <c r="BL65" s="35" t="s">
        <v>2492</v>
      </c>
      <c r="BM65" s="35">
        <v>84</v>
      </c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</row>
    <row r="66" spans="1:135" s="32" customFormat="1" ht="16.5">
      <c r="A66" s="35" t="str">
        <f t="shared" si="1"/>
        <v>KI_A                SP_CANHK</v>
      </c>
      <c r="B66" s="331"/>
      <c r="C66" s="248">
        <v>85</v>
      </c>
      <c r="D66" s="283" t="s">
        <v>605</v>
      </c>
      <c r="E66" s="283"/>
      <c r="F66" s="177" t="s">
        <v>1293</v>
      </c>
      <c r="G66" s="35" t="s">
        <v>2227</v>
      </c>
      <c r="H66" s="35" t="s">
        <v>610</v>
      </c>
      <c r="I66" s="35"/>
      <c r="N66" s="35" t="s">
        <v>619</v>
      </c>
      <c r="O66" s="34" t="s">
        <v>1086</v>
      </c>
      <c r="P66" s="285" t="s">
        <v>1097</v>
      </c>
      <c r="Q66" s="59"/>
      <c r="R66" s="62"/>
      <c r="AH66" s="279"/>
      <c r="AI66" s="35"/>
      <c r="AJ66" s="279" t="s">
        <v>1116</v>
      </c>
      <c r="AK66" s="279"/>
      <c r="AL66" s="523">
        <v>3</v>
      </c>
      <c r="AM66" s="35">
        <v>85</v>
      </c>
      <c r="AN66" s="35" t="s">
        <v>1810</v>
      </c>
      <c r="AO66" s="35" t="s">
        <v>896</v>
      </c>
      <c r="AP66" s="35" t="s">
        <v>624</v>
      </c>
      <c r="AQ66" s="34" t="s">
        <v>2254</v>
      </c>
      <c r="AR66" s="35">
        <v>4</v>
      </c>
      <c r="AS66" s="35" t="s">
        <v>350</v>
      </c>
      <c r="AT66" s="35" t="s">
        <v>87</v>
      </c>
      <c r="AU66" s="35" t="s">
        <v>10</v>
      </c>
      <c r="AV66" s="35" t="s">
        <v>1690</v>
      </c>
      <c r="AW66" s="35" t="s">
        <v>1187</v>
      </c>
      <c r="AX66" s="34" t="s">
        <v>2227</v>
      </c>
      <c r="AY66" s="35">
        <v>1</v>
      </c>
      <c r="AZ66" s="35" t="s">
        <v>628</v>
      </c>
      <c r="BA66" s="35" t="s">
        <v>10</v>
      </c>
      <c r="BB66" s="35" t="s">
        <v>10</v>
      </c>
      <c r="BC66" s="35" t="s">
        <v>2384</v>
      </c>
      <c r="BD66" s="35" t="s">
        <v>1742</v>
      </c>
      <c r="BE66" s="35" t="s">
        <v>653</v>
      </c>
      <c r="BF66" s="35" t="s">
        <v>109</v>
      </c>
      <c r="BG66" s="35">
        <v>639</v>
      </c>
      <c r="BH66" s="35" t="s">
        <v>110</v>
      </c>
      <c r="BI66" s="35">
        <v>0.35</v>
      </c>
      <c r="BJ66" s="35" t="s">
        <v>1755</v>
      </c>
      <c r="BK66" s="35" t="s">
        <v>2374</v>
      </c>
      <c r="BL66" s="35" t="s">
        <v>2492</v>
      </c>
      <c r="BM66" s="35">
        <v>85</v>
      </c>
      <c r="BN66" s="35"/>
      <c r="BO66" s="35"/>
      <c r="BP66" s="35"/>
      <c r="BQ66" s="35"/>
      <c r="BR66" s="35"/>
      <c r="BS66" s="35"/>
      <c r="BT66" s="35"/>
      <c r="BU66" s="35"/>
      <c r="BV66" s="35"/>
      <c r="BW66" s="248"/>
      <c r="BX66" s="248"/>
      <c r="BY66" s="248"/>
      <c r="BZ66" s="248"/>
      <c r="CA66" s="248"/>
      <c r="CB66" s="248"/>
      <c r="CC66" s="248"/>
      <c r="CD66" s="248"/>
      <c r="CE66" s="248"/>
      <c r="CF66" s="248"/>
      <c r="CG66" s="248"/>
      <c r="CH66" s="248"/>
      <c r="CI66" s="248"/>
      <c r="CJ66" s="248"/>
      <c r="CK66" s="248"/>
      <c r="CL66" s="248"/>
      <c r="CM66" s="248"/>
      <c r="CN66" s="248"/>
      <c r="CO66" s="248"/>
      <c r="CP66" s="248"/>
      <c r="CQ66" s="248"/>
      <c r="CR66" s="248"/>
      <c r="CS66" s="248"/>
      <c r="CT66" s="248"/>
      <c r="CU66" s="248"/>
      <c r="CV66" s="248"/>
      <c r="CW66" s="248"/>
      <c r="CX66" s="248"/>
      <c r="CY66" s="248"/>
      <c r="CZ66" s="248"/>
      <c r="DA66" s="248"/>
      <c r="DB66" s="248"/>
      <c r="DC66" s="248"/>
      <c r="DD66" s="248"/>
      <c r="DE66" s="248"/>
      <c r="DF66" s="248"/>
      <c r="DG66" s="248"/>
      <c r="DH66" s="248"/>
      <c r="DI66" s="248"/>
      <c r="DJ66" s="248"/>
      <c r="DK66" s="248"/>
      <c r="DL66" s="248"/>
      <c r="DM66" s="248"/>
      <c r="DN66" s="248"/>
      <c r="DO66" s="248"/>
      <c r="DP66" s="248"/>
      <c r="DQ66" s="248"/>
      <c r="DR66" s="248"/>
      <c r="DS66" s="248"/>
      <c r="DT66" s="248"/>
      <c r="DU66" s="248"/>
      <c r="DV66" s="248"/>
      <c r="DW66" s="248"/>
      <c r="DX66" s="248"/>
      <c r="DY66" s="248"/>
      <c r="DZ66" s="248"/>
      <c r="EA66" s="248"/>
      <c r="EB66" s="248"/>
      <c r="EC66" s="248"/>
      <c r="ED66" s="248"/>
      <c r="EE66" s="248"/>
    </row>
    <row r="67" spans="1:135" s="32" customFormat="1" ht="16.5">
      <c r="A67" s="35" t="str">
        <f t="shared" si="1"/>
        <v>KI_A                SP_CANLK</v>
      </c>
      <c r="B67" s="331"/>
      <c r="C67" s="248">
        <v>86</v>
      </c>
      <c r="D67" s="283" t="s">
        <v>605</v>
      </c>
      <c r="E67" s="283"/>
      <c r="F67" s="177" t="s">
        <v>1293</v>
      </c>
      <c r="G67" s="35" t="s">
        <v>2226</v>
      </c>
      <c r="H67" s="35" t="s">
        <v>610</v>
      </c>
      <c r="I67" s="35"/>
      <c r="N67" s="35" t="s">
        <v>619</v>
      </c>
      <c r="O67" s="34" t="s">
        <v>1086</v>
      </c>
      <c r="P67" s="285" t="s">
        <v>1097</v>
      </c>
      <c r="Q67" s="59"/>
      <c r="R67" s="62"/>
      <c r="AH67" s="279"/>
      <c r="AI67" s="35"/>
      <c r="AJ67" s="279" t="s">
        <v>1116</v>
      </c>
      <c r="AK67" s="279"/>
      <c r="AL67" s="523">
        <v>3</v>
      </c>
      <c r="AM67" s="35">
        <v>86</v>
      </c>
      <c r="AN67" s="35" t="s">
        <v>1811</v>
      </c>
      <c r="AO67" s="35" t="s">
        <v>896</v>
      </c>
      <c r="AP67" s="35" t="s">
        <v>624</v>
      </c>
      <c r="AQ67" s="34" t="s">
        <v>2254</v>
      </c>
      <c r="AR67" s="35">
        <v>3</v>
      </c>
      <c r="AS67" s="35" t="s">
        <v>350</v>
      </c>
      <c r="AT67" s="35" t="s">
        <v>87</v>
      </c>
      <c r="AU67" s="35" t="s">
        <v>10</v>
      </c>
      <c r="AV67" s="35" t="s">
        <v>1689</v>
      </c>
      <c r="AW67" s="35" t="s">
        <v>1188</v>
      </c>
      <c r="AX67" s="34" t="s">
        <v>2226</v>
      </c>
      <c r="AY67" s="35">
        <v>1</v>
      </c>
      <c r="AZ67" s="35" t="s">
        <v>628</v>
      </c>
      <c r="BA67" s="35" t="s">
        <v>10</v>
      </c>
      <c r="BB67" s="35" t="s">
        <v>10</v>
      </c>
      <c r="BC67" s="35" t="s">
        <v>2384</v>
      </c>
      <c r="BD67" s="35" t="s">
        <v>1742</v>
      </c>
      <c r="BE67" s="35" t="s">
        <v>653</v>
      </c>
      <c r="BF67" s="35" t="s">
        <v>88</v>
      </c>
      <c r="BG67" s="35">
        <v>639</v>
      </c>
      <c r="BH67" s="35" t="s">
        <v>89</v>
      </c>
      <c r="BI67" s="35">
        <v>0.35</v>
      </c>
      <c r="BJ67" s="35" t="s">
        <v>1752</v>
      </c>
      <c r="BK67" s="35" t="s">
        <v>2374</v>
      </c>
      <c r="BL67" s="35" t="s">
        <v>2492</v>
      </c>
      <c r="BM67" s="35">
        <v>86</v>
      </c>
      <c r="BN67" s="35"/>
      <c r="BO67" s="35"/>
      <c r="BP67" s="35"/>
      <c r="BQ67" s="35"/>
      <c r="BR67" s="35"/>
      <c r="BS67" s="35"/>
      <c r="BT67" s="35"/>
      <c r="BU67" s="35"/>
      <c r="BV67" s="35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</row>
    <row r="68" spans="1:135" s="35" customFormat="1" ht="16.5">
      <c r="A68" s="35" t="str">
        <f t="shared" si="1"/>
        <v>SBT_A               SP_CANHK</v>
      </c>
      <c r="B68" s="331"/>
      <c r="C68" s="248">
        <v>87</v>
      </c>
      <c r="D68" s="283" t="s">
        <v>605</v>
      </c>
      <c r="E68" s="283"/>
      <c r="F68" s="177" t="s">
        <v>1293</v>
      </c>
      <c r="G68" s="35" t="s">
        <v>2227</v>
      </c>
      <c r="H68" s="35" t="s">
        <v>610</v>
      </c>
      <c r="N68" s="35" t="s">
        <v>619</v>
      </c>
      <c r="O68" s="34" t="s">
        <v>1086</v>
      </c>
      <c r="P68" s="285" t="s">
        <v>1097</v>
      </c>
      <c r="Q68" s="58"/>
      <c r="R68" s="39"/>
      <c r="AH68" s="279"/>
      <c r="AJ68" s="279" t="s">
        <v>1116</v>
      </c>
      <c r="AK68" s="279"/>
      <c r="AL68" s="523">
        <v>3</v>
      </c>
      <c r="AM68" s="35">
        <v>87</v>
      </c>
      <c r="AN68" s="35" t="s">
        <v>1812</v>
      </c>
      <c r="AO68" s="35" t="s">
        <v>1697</v>
      </c>
      <c r="AP68" s="35" t="s">
        <v>654</v>
      </c>
      <c r="AQ68" s="34" t="s">
        <v>2261</v>
      </c>
      <c r="AR68" s="35">
        <v>4</v>
      </c>
      <c r="AS68" s="35" t="s">
        <v>1813</v>
      </c>
      <c r="AT68" s="35" t="s">
        <v>87</v>
      </c>
      <c r="AU68" s="35" t="s">
        <v>10</v>
      </c>
      <c r="AV68" s="35" t="s">
        <v>1690</v>
      </c>
      <c r="AW68" s="35" t="s">
        <v>1187</v>
      </c>
      <c r="AX68" s="34" t="s">
        <v>2227</v>
      </c>
      <c r="AY68" s="35">
        <v>1</v>
      </c>
      <c r="AZ68" s="35" t="s">
        <v>628</v>
      </c>
      <c r="BA68" s="35" t="s">
        <v>10</v>
      </c>
      <c r="BB68" s="35" t="s">
        <v>10</v>
      </c>
      <c r="BC68" s="35" t="s">
        <v>2384</v>
      </c>
      <c r="BD68" s="35" t="s">
        <v>1742</v>
      </c>
      <c r="BE68" s="35" t="s">
        <v>655</v>
      </c>
      <c r="BF68" s="35" t="s">
        <v>109</v>
      </c>
      <c r="BG68" s="35">
        <v>659</v>
      </c>
      <c r="BH68" s="35" t="s">
        <v>110</v>
      </c>
      <c r="BI68" s="35">
        <v>0.35</v>
      </c>
      <c r="BJ68" s="35" t="s">
        <v>1755</v>
      </c>
      <c r="BK68" s="35" t="s">
        <v>2374</v>
      </c>
      <c r="BL68" s="35" t="s">
        <v>2492</v>
      </c>
      <c r="BM68" s="35">
        <v>87</v>
      </c>
      <c r="BW68" s="248"/>
      <c r="BX68" s="248"/>
      <c r="BY68" s="248"/>
      <c r="BZ68" s="248"/>
      <c r="CA68" s="248"/>
      <c r="CB68" s="248"/>
      <c r="CC68" s="248"/>
      <c r="CD68" s="248"/>
      <c r="CE68" s="248"/>
      <c r="CF68" s="248"/>
      <c r="CG68" s="248"/>
      <c r="CH68" s="248"/>
      <c r="CI68" s="248"/>
      <c r="CJ68" s="248"/>
      <c r="CK68" s="248"/>
      <c r="CL68" s="248"/>
      <c r="CM68" s="248"/>
      <c r="CN68" s="248"/>
      <c r="CO68" s="248"/>
      <c r="CP68" s="248"/>
      <c r="CQ68" s="248"/>
      <c r="CR68" s="248"/>
      <c r="CS68" s="248"/>
      <c r="CT68" s="248"/>
      <c r="CU68" s="248"/>
      <c r="CV68" s="248"/>
      <c r="CW68" s="248"/>
      <c r="CX68" s="248"/>
      <c r="CY68" s="248"/>
      <c r="CZ68" s="248"/>
      <c r="DA68" s="248"/>
      <c r="DB68" s="248"/>
      <c r="DC68" s="248"/>
      <c r="DD68" s="248"/>
      <c r="DE68" s="248"/>
      <c r="DF68" s="248"/>
      <c r="DG68" s="248"/>
      <c r="DH68" s="248"/>
      <c r="DI68" s="248"/>
      <c r="DJ68" s="248"/>
      <c r="DK68" s="248"/>
      <c r="DL68" s="248"/>
      <c r="DM68" s="248"/>
      <c r="DN68" s="248"/>
      <c r="DO68" s="248"/>
      <c r="DP68" s="248"/>
      <c r="DQ68" s="248"/>
      <c r="DR68" s="248"/>
      <c r="DS68" s="248"/>
      <c r="DT68" s="248"/>
      <c r="DU68" s="248"/>
      <c r="DV68" s="248"/>
      <c r="DW68" s="248"/>
      <c r="DX68" s="248"/>
      <c r="DY68" s="248"/>
      <c r="DZ68" s="248"/>
      <c r="EA68" s="248"/>
      <c r="EB68" s="248"/>
      <c r="EC68" s="248"/>
      <c r="ED68" s="248"/>
      <c r="EE68" s="248"/>
    </row>
    <row r="69" spans="1:135" s="35" customFormat="1" ht="16.5">
      <c r="A69" s="35" t="str">
        <f t="shared" ref="A69:A100" si="2" xml:space="preserve"> AQ69 &amp; REPT(" ",20-LEN(AQ69)) &amp; AX69</f>
        <v>SBT_A               SP_CANLK</v>
      </c>
      <c r="B69" s="331"/>
      <c r="C69" s="248">
        <v>88</v>
      </c>
      <c r="D69" s="283" t="s">
        <v>605</v>
      </c>
      <c r="E69" s="283"/>
      <c r="F69" s="177" t="s">
        <v>1293</v>
      </c>
      <c r="G69" s="35" t="s">
        <v>2226</v>
      </c>
      <c r="H69" s="35" t="s">
        <v>610</v>
      </c>
      <c r="N69" s="35" t="s">
        <v>619</v>
      </c>
      <c r="O69" s="34" t="s">
        <v>1086</v>
      </c>
      <c r="P69" s="285" t="s">
        <v>1097</v>
      </c>
      <c r="Q69" s="58"/>
      <c r="R69" s="39"/>
      <c r="AH69" s="279"/>
      <c r="AJ69" s="279" t="s">
        <v>1116</v>
      </c>
      <c r="AK69" s="279"/>
      <c r="AL69" s="523">
        <v>3</v>
      </c>
      <c r="AM69" s="35">
        <v>88</v>
      </c>
      <c r="AN69" s="35" t="s">
        <v>1814</v>
      </c>
      <c r="AO69" s="35" t="s">
        <v>1697</v>
      </c>
      <c r="AP69" s="35" t="s">
        <v>654</v>
      </c>
      <c r="AQ69" s="34" t="s">
        <v>2261</v>
      </c>
      <c r="AR69" s="35">
        <v>3</v>
      </c>
      <c r="AS69" s="35" t="s">
        <v>1813</v>
      </c>
      <c r="AT69" s="35" t="s">
        <v>87</v>
      </c>
      <c r="AU69" s="35" t="s">
        <v>10</v>
      </c>
      <c r="AV69" s="35" t="s">
        <v>1689</v>
      </c>
      <c r="AW69" s="35" t="s">
        <v>1188</v>
      </c>
      <c r="AX69" s="34" t="s">
        <v>2226</v>
      </c>
      <c r="AY69" s="35">
        <v>1</v>
      </c>
      <c r="AZ69" s="35" t="s">
        <v>628</v>
      </c>
      <c r="BA69" s="35" t="s">
        <v>10</v>
      </c>
      <c r="BB69" s="35" t="s">
        <v>10</v>
      </c>
      <c r="BC69" s="35" t="s">
        <v>2384</v>
      </c>
      <c r="BD69" s="35" t="s">
        <v>1742</v>
      </c>
      <c r="BE69" s="35" t="s">
        <v>655</v>
      </c>
      <c r="BF69" s="35" t="s">
        <v>88</v>
      </c>
      <c r="BG69" s="35">
        <v>659</v>
      </c>
      <c r="BH69" s="35" t="s">
        <v>89</v>
      </c>
      <c r="BI69" s="35">
        <v>0.35</v>
      </c>
      <c r="BJ69" s="35" t="s">
        <v>1752</v>
      </c>
      <c r="BK69" s="35" t="s">
        <v>2374</v>
      </c>
      <c r="BL69" s="35" t="s">
        <v>2492</v>
      </c>
      <c r="BM69" s="35">
        <v>88</v>
      </c>
      <c r="BW69" s="248"/>
      <c r="BX69" s="248"/>
      <c r="BY69" s="248"/>
      <c r="BZ69" s="248"/>
      <c r="CA69" s="248"/>
      <c r="CB69" s="248"/>
      <c r="CC69" s="248"/>
      <c r="CD69" s="248"/>
      <c r="CE69" s="248"/>
      <c r="CF69" s="248"/>
      <c r="CG69" s="248"/>
      <c r="CH69" s="248"/>
      <c r="CI69" s="248"/>
      <c r="CJ69" s="248"/>
      <c r="CK69" s="248"/>
      <c r="CL69" s="248"/>
      <c r="CM69" s="248"/>
      <c r="CN69" s="248"/>
      <c r="CO69" s="248"/>
      <c r="CP69" s="248"/>
      <c r="CQ69" s="248"/>
      <c r="CR69" s="248"/>
      <c r="CS69" s="248"/>
      <c r="CT69" s="248"/>
      <c r="CU69" s="248"/>
      <c r="CV69" s="248"/>
      <c r="CW69" s="248"/>
      <c r="CX69" s="248"/>
      <c r="CY69" s="248"/>
      <c r="CZ69" s="248"/>
      <c r="DA69" s="248"/>
      <c r="DB69" s="248"/>
      <c r="DC69" s="248"/>
      <c r="DD69" s="248"/>
      <c r="DE69" s="248"/>
      <c r="DF69" s="248"/>
      <c r="DG69" s="248"/>
      <c r="DH69" s="248"/>
      <c r="DI69" s="248"/>
      <c r="DJ69" s="248"/>
      <c r="DK69" s="248"/>
      <c r="DL69" s="248"/>
      <c r="DM69" s="248"/>
      <c r="DN69" s="248"/>
      <c r="DO69" s="248"/>
      <c r="DP69" s="248"/>
      <c r="DQ69" s="248"/>
      <c r="DR69" s="248"/>
      <c r="DS69" s="248"/>
      <c r="DT69" s="248"/>
      <c r="DU69" s="248"/>
      <c r="DV69" s="248"/>
      <c r="DW69" s="248"/>
      <c r="DX69" s="248"/>
      <c r="DY69" s="248"/>
      <c r="DZ69" s="248"/>
      <c r="EA69" s="248"/>
      <c r="EB69" s="248"/>
      <c r="EC69" s="248"/>
      <c r="ED69" s="248"/>
      <c r="EE69" s="248"/>
    </row>
    <row r="70" spans="1:135" s="35" customFormat="1" ht="16.5">
      <c r="A70" s="35" t="str">
        <f t="shared" si="2"/>
        <v>SIDO_P              SBT_A</v>
      </c>
      <c r="B70" s="331"/>
      <c r="C70" s="248">
        <v>89</v>
      </c>
      <c r="D70" s="283" t="s">
        <v>605</v>
      </c>
      <c r="E70" s="283"/>
      <c r="F70" s="35" t="s">
        <v>1086</v>
      </c>
      <c r="O70" s="34" t="s">
        <v>1086</v>
      </c>
      <c r="P70" s="34" t="s">
        <v>1086</v>
      </c>
      <c r="Q70" s="58"/>
      <c r="R70" s="39"/>
      <c r="AH70" s="279"/>
      <c r="AJ70" s="279" t="s">
        <v>1117</v>
      </c>
      <c r="AK70" s="279"/>
      <c r="AL70" s="523">
        <v>3</v>
      </c>
      <c r="AM70" s="35">
        <v>89</v>
      </c>
      <c r="AN70" s="35" t="s">
        <v>1815</v>
      </c>
      <c r="AO70" s="35" t="s">
        <v>901</v>
      </c>
      <c r="AP70" s="35" t="s">
        <v>633</v>
      </c>
      <c r="AQ70" s="34" t="s">
        <v>2257</v>
      </c>
      <c r="AR70" s="35" t="s">
        <v>270</v>
      </c>
      <c r="AS70" s="35" t="s">
        <v>1414</v>
      </c>
      <c r="AT70" s="35" t="s">
        <v>244</v>
      </c>
      <c r="AU70" s="35" t="s">
        <v>10</v>
      </c>
      <c r="AV70" s="35" t="s">
        <v>1697</v>
      </c>
      <c r="AW70" s="35" t="s">
        <v>654</v>
      </c>
      <c r="AX70" s="34" t="s">
        <v>2261</v>
      </c>
      <c r="AY70" s="35">
        <v>1</v>
      </c>
      <c r="AZ70" s="35" t="s">
        <v>1813</v>
      </c>
      <c r="BA70" s="35" t="s">
        <v>87</v>
      </c>
      <c r="BB70" s="35" t="s">
        <v>10</v>
      </c>
      <c r="BC70" s="35" t="s">
        <v>223</v>
      </c>
      <c r="BD70" s="35" t="s">
        <v>1742</v>
      </c>
      <c r="BE70" s="35" t="s">
        <v>10</v>
      </c>
      <c r="BF70" s="35" t="s">
        <v>10</v>
      </c>
      <c r="BG70" s="35">
        <v>1630</v>
      </c>
      <c r="BH70" s="35" t="s">
        <v>76</v>
      </c>
      <c r="BI70" s="35">
        <v>0.35</v>
      </c>
      <c r="BJ70" s="35" t="s">
        <v>1408</v>
      </c>
      <c r="BK70" s="35" t="s">
        <v>2374</v>
      </c>
      <c r="BL70" s="35" t="s">
        <v>2492</v>
      </c>
      <c r="BM70" s="35">
        <v>89</v>
      </c>
      <c r="BW70" s="248"/>
      <c r="BX70" s="248"/>
      <c r="BY70" s="248"/>
      <c r="BZ70" s="248"/>
      <c r="CA70" s="248"/>
      <c r="CB70" s="248"/>
      <c r="CC70" s="248"/>
      <c r="CD70" s="248"/>
      <c r="CE70" s="248"/>
      <c r="CF70" s="248"/>
      <c r="CG70" s="248"/>
      <c r="CH70" s="248"/>
      <c r="CI70" s="248"/>
      <c r="CJ70" s="248"/>
      <c r="CK70" s="248"/>
      <c r="CL70" s="248"/>
      <c r="CM70" s="248"/>
      <c r="CN70" s="248"/>
      <c r="CO70" s="248"/>
      <c r="CP70" s="248"/>
      <c r="CQ70" s="248"/>
      <c r="CR70" s="248"/>
      <c r="CS70" s="248"/>
      <c r="CT70" s="248"/>
      <c r="CU70" s="248"/>
      <c r="CV70" s="248"/>
      <c r="CW70" s="248"/>
      <c r="CX70" s="248"/>
      <c r="CY70" s="248"/>
      <c r="CZ70" s="248"/>
      <c r="DA70" s="248"/>
      <c r="DB70" s="248"/>
      <c r="DC70" s="248"/>
      <c r="DD70" s="248"/>
      <c r="DE70" s="248"/>
      <c r="DF70" s="248"/>
      <c r="DG70" s="248"/>
      <c r="DH70" s="248"/>
      <c r="DI70" s="248"/>
      <c r="DJ70" s="248"/>
      <c r="DK70" s="248"/>
      <c r="DL70" s="248"/>
      <c r="DM70" s="248"/>
      <c r="DN70" s="248"/>
      <c r="DO70" s="248"/>
      <c r="DP70" s="248"/>
      <c r="DQ70" s="248"/>
      <c r="DR70" s="248"/>
      <c r="DS70" s="248"/>
      <c r="DT70" s="248"/>
      <c r="DU70" s="248"/>
      <c r="DV70" s="248"/>
      <c r="DW70" s="248"/>
      <c r="DX70" s="248"/>
      <c r="DY70" s="248"/>
      <c r="DZ70" s="248"/>
      <c r="EA70" s="248"/>
      <c r="EB70" s="248"/>
      <c r="EC70" s="248"/>
      <c r="ED70" s="248"/>
      <c r="EE70" s="248"/>
    </row>
    <row r="71" spans="1:135" s="35" customFormat="1" ht="16.5">
      <c r="A71" s="35" t="str">
        <f t="shared" si="2"/>
        <v>SP_MB31_B2          SBT_A</v>
      </c>
      <c r="B71" s="331"/>
      <c r="C71" s="248">
        <v>90</v>
      </c>
      <c r="D71" s="283" t="s">
        <v>605</v>
      </c>
      <c r="F71" s="283" t="s">
        <v>1086</v>
      </c>
      <c r="G71" s="39" t="s">
        <v>2232</v>
      </c>
      <c r="H71" s="35" t="s">
        <v>609</v>
      </c>
      <c r="N71" s="35" t="s">
        <v>537</v>
      </c>
      <c r="O71" s="34" t="s">
        <v>1086</v>
      </c>
      <c r="P71" s="34" t="s">
        <v>1086</v>
      </c>
      <c r="Q71" s="58"/>
      <c r="R71" s="39"/>
      <c r="AH71" s="279"/>
      <c r="AJ71" s="279" t="s">
        <v>1117</v>
      </c>
      <c r="AK71" s="279"/>
      <c r="AL71" s="523">
        <v>3</v>
      </c>
      <c r="AM71" s="35">
        <v>90</v>
      </c>
      <c r="AN71" s="35" t="s">
        <v>1611</v>
      </c>
      <c r="AO71" s="35" t="s">
        <v>2148</v>
      </c>
      <c r="AP71" s="35" t="s">
        <v>535</v>
      </c>
      <c r="AQ71" s="34" t="s">
        <v>2232</v>
      </c>
      <c r="AR71" s="35">
        <v>1</v>
      </c>
      <c r="AS71" s="35" t="s">
        <v>1254</v>
      </c>
      <c r="AT71" s="35" t="s">
        <v>10</v>
      </c>
      <c r="AU71" s="35" t="s">
        <v>10</v>
      </c>
      <c r="AV71" s="35" t="s">
        <v>1697</v>
      </c>
      <c r="AW71" s="35" t="s">
        <v>654</v>
      </c>
      <c r="AX71" s="34" t="s">
        <v>2261</v>
      </c>
      <c r="AY71" s="35">
        <v>10</v>
      </c>
      <c r="AZ71" s="35" t="s">
        <v>1813</v>
      </c>
      <c r="BA71" s="35" t="s">
        <v>87</v>
      </c>
      <c r="BB71" s="35" t="s">
        <v>10</v>
      </c>
      <c r="BC71" s="35" t="s">
        <v>71</v>
      </c>
      <c r="BD71" s="35" t="s">
        <v>1742</v>
      </c>
      <c r="BE71" s="35" t="s">
        <v>10</v>
      </c>
      <c r="BF71" s="35" t="s">
        <v>10</v>
      </c>
      <c r="BG71" s="35">
        <v>426</v>
      </c>
      <c r="BH71" s="35" t="s">
        <v>25</v>
      </c>
      <c r="BI71" s="35">
        <v>0.35</v>
      </c>
      <c r="BJ71" s="35" t="s">
        <v>1285</v>
      </c>
      <c r="BK71" s="35" t="s">
        <v>2374</v>
      </c>
      <c r="BL71" s="35" t="s">
        <v>2492</v>
      </c>
      <c r="BM71" s="35">
        <v>90</v>
      </c>
      <c r="BW71" s="248"/>
      <c r="BX71" s="248"/>
      <c r="BY71" s="248"/>
      <c r="BZ71" s="248"/>
      <c r="CA71" s="248"/>
      <c r="CB71" s="248"/>
      <c r="CC71" s="248"/>
      <c r="CD71" s="248"/>
      <c r="CE71" s="248"/>
      <c r="CF71" s="248"/>
      <c r="CG71" s="248"/>
      <c r="CH71" s="248"/>
      <c r="CI71" s="248"/>
      <c r="CJ71" s="248"/>
      <c r="CK71" s="248"/>
      <c r="CL71" s="248"/>
      <c r="CM71" s="248"/>
      <c r="CN71" s="248"/>
      <c r="CO71" s="248"/>
      <c r="CP71" s="248"/>
      <c r="CQ71" s="248"/>
      <c r="CR71" s="248"/>
      <c r="CS71" s="248"/>
      <c r="CT71" s="248"/>
      <c r="CU71" s="248"/>
      <c r="CV71" s="248"/>
      <c r="CW71" s="248"/>
      <c r="CX71" s="248"/>
      <c r="CY71" s="248"/>
      <c r="CZ71" s="248"/>
      <c r="DA71" s="248"/>
      <c r="DB71" s="248"/>
      <c r="DC71" s="248"/>
      <c r="DD71" s="248"/>
      <c r="DE71" s="248"/>
      <c r="DF71" s="248"/>
      <c r="DG71" s="248"/>
      <c r="DH71" s="248"/>
      <c r="DI71" s="248"/>
      <c r="DJ71" s="248"/>
      <c r="DK71" s="248"/>
      <c r="DL71" s="248"/>
      <c r="DM71" s="248"/>
      <c r="DN71" s="248"/>
      <c r="DO71" s="248"/>
      <c r="DP71" s="248"/>
      <c r="DQ71" s="248"/>
      <c r="DR71" s="248"/>
      <c r="DS71" s="248"/>
      <c r="DT71" s="248"/>
      <c r="DU71" s="248"/>
      <c r="DV71" s="248"/>
      <c r="DW71" s="248"/>
      <c r="DX71" s="248"/>
      <c r="DY71" s="248"/>
      <c r="DZ71" s="248"/>
      <c r="EA71" s="248"/>
      <c r="EB71" s="248"/>
      <c r="EC71" s="248"/>
      <c r="ED71" s="248"/>
      <c r="EE71" s="248"/>
    </row>
    <row r="72" spans="1:135" s="35" customFormat="1" ht="16.5">
      <c r="A72" s="35" t="str">
        <f t="shared" si="2"/>
        <v>KS_CPL_A            KI_A</v>
      </c>
      <c r="B72" s="331"/>
      <c r="C72" s="248">
        <v>93</v>
      </c>
      <c r="D72" s="283" t="s">
        <v>605</v>
      </c>
      <c r="E72" s="283"/>
      <c r="F72" s="35" t="s">
        <v>1086</v>
      </c>
      <c r="G72" s="39"/>
      <c r="H72" s="35" t="s">
        <v>523</v>
      </c>
      <c r="O72" s="34" t="s">
        <v>1086</v>
      </c>
      <c r="P72" s="34" t="s">
        <v>1086</v>
      </c>
      <c r="Q72" s="58"/>
      <c r="R72" s="39"/>
      <c r="AH72" s="279"/>
      <c r="AJ72" s="279" t="s">
        <v>1117</v>
      </c>
      <c r="AK72" s="35" t="s">
        <v>2557</v>
      </c>
      <c r="AL72" s="523">
        <v>3</v>
      </c>
      <c r="AM72" s="35">
        <v>93</v>
      </c>
      <c r="AN72" s="35" t="s">
        <v>1816</v>
      </c>
      <c r="AO72" s="35" t="s">
        <v>416</v>
      </c>
      <c r="AP72" s="35" t="s">
        <v>639</v>
      </c>
      <c r="AQ72" s="34" t="s">
        <v>1794</v>
      </c>
      <c r="AR72" s="35">
        <v>13</v>
      </c>
      <c r="AS72" s="35" t="s">
        <v>876</v>
      </c>
      <c r="AT72" s="35" t="s">
        <v>492</v>
      </c>
      <c r="AU72" s="35" t="s">
        <v>10</v>
      </c>
      <c r="AV72" s="35" t="s">
        <v>896</v>
      </c>
      <c r="AW72" s="35" t="s">
        <v>624</v>
      </c>
      <c r="AX72" s="34" t="s">
        <v>2254</v>
      </c>
      <c r="AY72" s="35">
        <v>23</v>
      </c>
      <c r="AZ72" s="35" t="s">
        <v>350</v>
      </c>
      <c r="BA72" s="35" t="s">
        <v>218</v>
      </c>
      <c r="BB72" s="35" t="s">
        <v>10</v>
      </c>
      <c r="BC72" s="35" t="s">
        <v>267</v>
      </c>
      <c r="BD72" s="35" t="s">
        <v>1742</v>
      </c>
      <c r="BE72" s="35" t="s">
        <v>226</v>
      </c>
      <c r="BF72" s="35" t="s">
        <v>149</v>
      </c>
      <c r="BG72" s="35">
        <v>1069</v>
      </c>
      <c r="BH72" s="35" t="s">
        <v>66</v>
      </c>
      <c r="BI72" s="35">
        <v>0.13</v>
      </c>
      <c r="BJ72" s="35" t="s">
        <v>1817</v>
      </c>
      <c r="BK72" s="35" t="s">
        <v>2374</v>
      </c>
      <c r="BL72" s="35" t="s">
        <v>2492</v>
      </c>
      <c r="BM72" s="35">
        <v>93</v>
      </c>
      <c r="BW72" s="248"/>
      <c r="BX72" s="248"/>
      <c r="BY72" s="248"/>
      <c r="BZ72" s="248"/>
      <c r="CA72" s="248"/>
      <c r="CB72" s="248"/>
      <c r="CC72" s="248"/>
      <c r="CD72" s="248"/>
      <c r="CE72" s="248"/>
      <c r="CF72" s="248"/>
      <c r="CG72" s="248"/>
      <c r="CH72" s="248"/>
      <c r="CI72" s="248"/>
      <c r="CJ72" s="248"/>
      <c r="CK72" s="248"/>
      <c r="CL72" s="248"/>
      <c r="CM72" s="248"/>
      <c r="CN72" s="248"/>
      <c r="CO72" s="248"/>
      <c r="CP72" s="248"/>
      <c r="CQ72" s="248"/>
      <c r="CR72" s="248"/>
      <c r="CS72" s="248"/>
      <c r="CT72" s="248"/>
      <c r="CU72" s="248"/>
      <c r="CV72" s="248"/>
      <c r="CW72" s="248"/>
      <c r="CX72" s="248"/>
      <c r="CY72" s="248"/>
      <c r="CZ72" s="248"/>
      <c r="DA72" s="248"/>
      <c r="DB72" s="248"/>
      <c r="DC72" s="248"/>
      <c r="DD72" s="248"/>
      <c r="DE72" s="248"/>
      <c r="DF72" s="248"/>
      <c r="DG72" s="248"/>
      <c r="DH72" s="248"/>
      <c r="DI72" s="248"/>
      <c r="DJ72" s="248"/>
      <c r="DK72" s="248"/>
      <c r="DL72" s="248"/>
      <c r="DM72" s="248"/>
      <c r="DN72" s="248"/>
      <c r="DO72" s="248"/>
      <c r="DP72" s="248"/>
      <c r="DQ72" s="248"/>
      <c r="DR72" s="248"/>
      <c r="DS72" s="248"/>
      <c r="DT72" s="248"/>
      <c r="DU72" s="248"/>
      <c r="DV72" s="248"/>
      <c r="DW72" s="248"/>
      <c r="DX72" s="248"/>
      <c r="DY72" s="248"/>
      <c r="DZ72" s="248"/>
      <c r="EA72" s="248"/>
      <c r="EB72" s="248"/>
      <c r="EC72" s="248"/>
      <c r="ED72" s="248"/>
      <c r="EE72" s="248"/>
    </row>
    <row r="73" spans="1:135" s="35" customFormat="1" ht="16.5">
      <c r="A73" s="35" t="str">
        <f t="shared" si="2"/>
        <v>KS_CPL_A            KI_A</v>
      </c>
      <c r="B73" s="331"/>
      <c r="C73" s="248">
        <v>94</v>
      </c>
      <c r="D73" s="283" t="s">
        <v>605</v>
      </c>
      <c r="E73" s="283"/>
      <c r="F73" s="35" t="s">
        <v>1086</v>
      </c>
      <c r="G73" s="39"/>
      <c r="H73" s="35" t="s">
        <v>523</v>
      </c>
      <c r="O73" s="34" t="s">
        <v>1086</v>
      </c>
      <c r="P73" s="34" t="s">
        <v>1086</v>
      </c>
      <c r="Q73" s="58"/>
      <c r="R73" s="39"/>
      <c r="AH73" s="279"/>
      <c r="AJ73" s="279" t="s">
        <v>1117</v>
      </c>
      <c r="AK73" s="35" t="s">
        <v>2557</v>
      </c>
      <c r="AL73" s="523">
        <v>3</v>
      </c>
      <c r="AM73" s="35">
        <v>94</v>
      </c>
      <c r="AN73" s="35" t="s">
        <v>1818</v>
      </c>
      <c r="AO73" s="35" t="s">
        <v>416</v>
      </c>
      <c r="AP73" s="35" t="s">
        <v>639</v>
      </c>
      <c r="AQ73" s="34" t="s">
        <v>1794</v>
      </c>
      <c r="AR73" s="35">
        <v>14</v>
      </c>
      <c r="AS73" s="35" t="s">
        <v>876</v>
      </c>
      <c r="AT73" s="35" t="s">
        <v>492</v>
      </c>
      <c r="AU73" s="35" t="s">
        <v>10</v>
      </c>
      <c r="AV73" s="35" t="s">
        <v>896</v>
      </c>
      <c r="AW73" s="35" t="s">
        <v>624</v>
      </c>
      <c r="AX73" s="34" t="s">
        <v>2254</v>
      </c>
      <c r="AY73" s="35">
        <v>24</v>
      </c>
      <c r="AZ73" s="35" t="s">
        <v>350</v>
      </c>
      <c r="BA73" s="35" t="s">
        <v>218</v>
      </c>
      <c r="BB73" s="35" t="s">
        <v>10</v>
      </c>
      <c r="BC73" s="35" t="s">
        <v>267</v>
      </c>
      <c r="BD73" s="35" t="s">
        <v>1742</v>
      </c>
      <c r="BE73" s="35" t="s">
        <v>226</v>
      </c>
      <c r="BF73" s="35" t="s">
        <v>173</v>
      </c>
      <c r="BG73" s="35">
        <v>1069</v>
      </c>
      <c r="BH73" s="35" t="s">
        <v>174</v>
      </c>
      <c r="BI73" s="35">
        <v>0.13</v>
      </c>
      <c r="BJ73" s="35" t="s">
        <v>1819</v>
      </c>
      <c r="BK73" s="35" t="s">
        <v>2374</v>
      </c>
      <c r="BL73" s="35" t="s">
        <v>2492</v>
      </c>
      <c r="BM73" s="35">
        <v>94</v>
      </c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</row>
    <row r="74" spans="1:135" s="35" customFormat="1" ht="16.5">
      <c r="A74" s="35" t="str">
        <f t="shared" si="2"/>
        <v>SIDO_P              BTMK_A</v>
      </c>
      <c r="B74" s="331"/>
      <c r="C74" s="248">
        <v>96</v>
      </c>
      <c r="D74" s="283" t="s">
        <v>605</v>
      </c>
      <c r="E74" s="283"/>
      <c r="F74" s="35" t="s">
        <v>1086</v>
      </c>
      <c r="G74" s="39"/>
      <c r="H74" s="35" t="s">
        <v>523</v>
      </c>
      <c r="O74" s="34" t="s">
        <v>1086</v>
      </c>
      <c r="P74" s="34" t="s">
        <v>1086</v>
      </c>
      <c r="Q74" s="58"/>
      <c r="R74" s="39"/>
      <c r="AH74" s="279"/>
      <c r="AJ74" s="279" t="s">
        <v>1117</v>
      </c>
      <c r="AK74" s="279"/>
      <c r="AL74" s="523">
        <v>3</v>
      </c>
      <c r="AM74" s="35">
        <v>96</v>
      </c>
      <c r="AN74" s="35" t="s">
        <v>1820</v>
      </c>
      <c r="AO74" s="35" t="s">
        <v>901</v>
      </c>
      <c r="AP74" s="35" t="s">
        <v>633</v>
      </c>
      <c r="AQ74" s="34" t="s">
        <v>2257</v>
      </c>
      <c r="AR74" s="35" t="s">
        <v>266</v>
      </c>
      <c r="AS74" s="35" t="s">
        <v>1414</v>
      </c>
      <c r="AT74" s="35" t="s">
        <v>242</v>
      </c>
      <c r="AU74" s="35" t="s">
        <v>10</v>
      </c>
      <c r="AV74" s="35" t="s">
        <v>1698</v>
      </c>
      <c r="AW74" s="35" t="s">
        <v>657</v>
      </c>
      <c r="AX74" s="34" t="s">
        <v>2263</v>
      </c>
      <c r="AY74" s="35">
        <v>1</v>
      </c>
      <c r="AZ74" s="35" t="s">
        <v>642</v>
      </c>
      <c r="BA74" s="35" t="s">
        <v>237</v>
      </c>
      <c r="BB74" s="35" t="s">
        <v>10</v>
      </c>
      <c r="BC74" s="35" t="s">
        <v>97</v>
      </c>
      <c r="BD74" s="35" t="s">
        <v>1742</v>
      </c>
      <c r="BE74" s="35" t="s">
        <v>10</v>
      </c>
      <c r="BF74" s="35" t="s">
        <v>10</v>
      </c>
      <c r="BG74" s="35">
        <v>2099</v>
      </c>
      <c r="BH74" s="35" t="s">
        <v>64</v>
      </c>
      <c r="BI74" s="35">
        <v>0.5</v>
      </c>
      <c r="BJ74" s="35" t="s">
        <v>1409</v>
      </c>
      <c r="BK74" s="35" t="s">
        <v>2374</v>
      </c>
      <c r="BL74" s="35" t="s">
        <v>2492</v>
      </c>
      <c r="BM74" s="35">
        <v>96</v>
      </c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</row>
    <row r="75" spans="1:135" s="35" customFormat="1" ht="16.5">
      <c r="A75" s="35" t="str">
        <f t="shared" si="2"/>
        <v>SP_MB34_B1          BTMK_A</v>
      </c>
      <c r="B75" s="331"/>
      <c r="C75" s="248">
        <v>97</v>
      </c>
      <c r="D75" s="283" t="s">
        <v>605</v>
      </c>
      <c r="E75" s="283"/>
      <c r="F75" s="35" t="s">
        <v>1086</v>
      </c>
      <c r="G75" s="39" t="s">
        <v>2231</v>
      </c>
      <c r="H75" s="35" t="s">
        <v>609</v>
      </c>
      <c r="N75" s="35" t="s">
        <v>537</v>
      </c>
      <c r="O75" s="34" t="s">
        <v>1086</v>
      </c>
      <c r="P75" s="34" t="s">
        <v>1086</v>
      </c>
      <c r="Q75" s="58"/>
      <c r="R75" s="39"/>
      <c r="W75" s="39"/>
      <c r="AH75" s="279"/>
      <c r="AJ75" s="279" t="s">
        <v>1117</v>
      </c>
      <c r="AK75" s="279"/>
      <c r="AL75" s="523">
        <v>3</v>
      </c>
      <c r="AM75" s="35">
        <v>97</v>
      </c>
      <c r="AN75" s="35" t="s">
        <v>1354</v>
      </c>
      <c r="AO75" s="35" t="s">
        <v>2147</v>
      </c>
      <c r="AP75" s="35" t="s">
        <v>534</v>
      </c>
      <c r="AQ75" s="34" t="s">
        <v>2231</v>
      </c>
      <c r="AR75" s="35">
        <v>1</v>
      </c>
      <c r="AS75" s="35" t="s">
        <v>411</v>
      </c>
      <c r="AT75" s="35" t="s">
        <v>10</v>
      </c>
      <c r="AU75" s="35" t="s">
        <v>10</v>
      </c>
      <c r="AV75" s="35" t="s">
        <v>1698</v>
      </c>
      <c r="AW75" s="35" t="s">
        <v>657</v>
      </c>
      <c r="AX75" s="34" t="s">
        <v>2263</v>
      </c>
      <c r="AY75" s="35">
        <v>5</v>
      </c>
      <c r="AZ75" s="35" t="s">
        <v>642</v>
      </c>
      <c r="BA75" s="35" t="s">
        <v>237</v>
      </c>
      <c r="BB75" s="35" t="s">
        <v>10</v>
      </c>
      <c r="BC75" s="35" t="s">
        <v>26</v>
      </c>
      <c r="BD75" s="35" t="s">
        <v>1742</v>
      </c>
      <c r="BE75" s="35" t="s">
        <v>10</v>
      </c>
      <c r="BF75" s="35" t="s">
        <v>10</v>
      </c>
      <c r="BG75" s="35">
        <v>835</v>
      </c>
      <c r="BH75" s="35" t="s">
        <v>25</v>
      </c>
      <c r="BI75" s="35">
        <v>0.5</v>
      </c>
      <c r="BJ75" s="35" t="s">
        <v>1355</v>
      </c>
      <c r="BK75" s="35" t="s">
        <v>2374</v>
      </c>
      <c r="BL75" s="35" t="s">
        <v>2492</v>
      </c>
      <c r="BM75" s="35">
        <v>97</v>
      </c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</row>
    <row r="76" spans="1:135" s="35" customFormat="1" ht="16.5">
      <c r="A76" s="35" t="str">
        <f t="shared" si="2"/>
        <v>BTMK_A              MIB_E</v>
      </c>
      <c r="B76" s="331"/>
      <c r="C76" s="248">
        <v>98</v>
      </c>
      <c r="D76" s="283" t="s">
        <v>605</v>
      </c>
      <c r="E76" s="283"/>
      <c r="F76" s="35" t="s">
        <v>1086</v>
      </c>
      <c r="G76" s="39"/>
      <c r="O76" s="34" t="s">
        <v>1086</v>
      </c>
      <c r="P76" s="34" t="s">
        <v>1086</v>
      </c>
      <c r="Q76" s="58"/>
      <c r="R76" s="39"/>
      <c r="W76" s="39"/>
      <c r="AH76" s="279"/>
      <c r="AJ76" s="279" t="s">
        <v>1117</v>
      </c>
      <c r="AK76" s="279"/>
      <c r="AL76" s="523">
        <v>3</v>
      </c>
      <c r="AM76" s="35">
        <v>98</v>
      </c>
      <c r="AN76" s="35" t="s">
        <v>1410</v>
      </c>
      <c r="AO76" s="35" t="s">
        <v>1698</v>
      </c>
      <c r="AP76" s="35" t="s">
        <v>657</v>
      </c>
      <c r="AQ76" s="34" t="s">
        <v>2263</v>
      </c>
      <c r="AR76" s="35">
        <v>3</v>
      </c>
      <c r="AS76" s="35" t="s">
        <v>642</v>
      </c>
      <c r="AT76" s="35" t="s">
        <v>218</v>
      </c>
      <c r="AU76" s="35" t="s">
        <v>10</v>
      </c>
      <c r="AV76" s="35" t="s">
        <v>920</v>
      </c>
      <c r="AW76" s="35" t="s">
        <v>664</v>
      </c>
      <c r="AX76" s="34" t="s">
        <v>2264</v>
      </c>
      <c r="AY76" s="35">
        <v>8</v>
      </c>
      <c r="AZ76" s="35" t="s">
        <v>1257</v>
      </c>
      <c r="BA76" s="35" t="s">
        <v>218</v>
      </c>
      <c r="BB76" s="35" t="s">
        <v>10</v>
      </c>
      <c r="BC76" s="35" t="s">
        <v>697</v>
      </c>
      <c r="BD76" s="35" t="s">
        <v>1742</v>
      </c>
      <c r="BE76" s="35" t="s">
        <v>10</v>
      </c>
      <c r="BF76" s="35" t="s">
        <v>10</v>
      </c>
      <c r="BG76" s="35">
        <v>1403</v>
      </c>
      <c r="BH76" s="35" t="s">
        <v>110</v>
      </c>
      <c r="BI76" s="35">
        <v>0.13</v>
      </c>
      <c r="BJ76" s="35" t="s">
        <v>1258</v>
      </c>
      <c r="BK76" s="35" t="s">
        <v>2374</v>
      </c>
      <c r="BL76" s="35" t="s">
        <v>2492</v>
      </c>
      <c r="BM76" s="35">
        <v>98</v>
      </c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</row>
    <row r="77" spans="1:135" s="35" customFormat="1" ht="16.5">
      <c r="A77" s="35" t="str">
        <f t="shared" si="2"/>
        <v>KS_CPL_A            DIAG</v>
      </c>
      <c r="B77" s="331"/>
      <c r="C77" s="248">
        <v>102</v>
      </c>
      <c r="D77" s="283" t="s">
        <v>605</v>
      </c>
      <c r="E77" s="283"/>
      <c r="F77" s="35" t="s">
        <v>1086</v>
      </c>
      <c r="O77" s="34" t="s">
        <v>1086</v>
      </c>
      <c r="P77" s="34" t="s">
        <v>1086</v>
      </c>
      <c r="Q77" s="279"/>
      <c r="R77" s="104"/>
      <c r="W77" s="104"/>
      <c r="AH77" s="279"/>
      <c r="AJ77" s="279" t="s">
        <v>1117</v>
      </c>
      <c r="AK77" s="35" t="s">
        <v>2557</v>
      </c>
      <c r="AL77" s="523">
        <v>3</v>
      </c>
      <c r="AM77" s="35">
        <v>102</v>
      </c>
      <c r="AN77" s="35" t="s">
        <v>1821</v>
      </c>
      <c r="AO77" s="35" t="s">
        <v>416</v>
      </c>
      <c r="AP77" s="35" t="s">
        <v>639</v>
      </c>
      <c r="AQ77" s="34" t="s">
        <v>1794</v>
      </c>
      <c r="AR77" s="35">
        <v>7</v>
      </c>
      <c r="AS77" s="35" t="s">
        <v>876</v>
      </c>
      <c r="AT77" s="35" t="s">
        <v>72</v>
      </c>
      <c r="AU77" s="35" t="s">
        <v>10</v>
      </c>
      <c r="AV77" s="35" t="s">
        <v>1699</v>
      </c>
      <c r="AW77" s="35" t="s">
        <v>658</v>
      </c>
      <c r="AX77" s="34" t="s">
        <v>2306</v>
      </c>
      <c r="AY77" s="35">
        <v>11</v>
      </c>
      <c r="AZ77" s="35" t="s">
        <v>1308</v>
      </c>
      <c r="BA77" s="35" t="s">
        <v>659</v>
      </c>
      <c r="BB77" s="35" t="s">
        <v>10</v>
      </c>
      <c r="BC77" s="35" t="s">
        <v>147</v>
      </c>
      <c r="BD77" s="35" t="s">
        <v>1742</v>
      </c>
      <c r="BE77" s="35" t="s">
        <v>660</v>
      </c>
      <c r="BF77" s="35" t="s">
        <v>149</v>
      </c>
      <c r="BG77" s="35">
        <v>524</v>
      </c>
      <c r="BH77" s="35" t="s">
        <v>66</v>
      </c>
      <c r="BI77" s="35">
        <v>0.35</v>
      </c>
      <c r="BJ77" s="35" t="s">
        <v>1822</v>
      </c>
      <c r="BK77" s="35" t="s">
        <v>2374</v>
      </c>
      <c r="BL77" s="35" t="s">
        <v>2492</v>
      </c>
      <c r="BM77" s="35">
        <v>102</v>
      </c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</row>
    <row r="78" spans="1:135" s="35" customFormat="1" ht="16.5">
      <c r="A78" s="35" t="str">
        <f t="shared" si="2"/>
        <v>KS_CPL_A            DIAG</v>
      </c>
      <c r="B78" s="331"/>
      <c r="C78" s="248">
        <v>103</v>
      </c>
      <c r="D78" s="283" t="s">
        <v>605</v>
      </c>
      <c r="E78" s="283"/>
      <c r="F78" s="35" t="s">
        <v>1086</v>
      </c>
      <c r="O78" s="34" t="s">
        <v>1086</v>
      </c>
      <c r="P78" s="34" t="s">
        <v>1086</v>
      </c>
      <c r="Q78" s="279"/>
      <c r="R78" s="104"/>
      <c r="W78" s="104"/>
      <c r="AH78" s="279"/>
      <c r="AJ78" s="279" t="s">
        <v>1117</v>
      </c>
      <c r="AK78" s="35" t="s">
        <v>2557</v>
      </c>
      <c r="AL78" s="523">
        <v>3</v>
      </c>
      <c r="AM78" s="35">
        <v>103</v>
      </c>
      <c r="AN78" s="35" t="s">
        <v>1823</v>
      </c>
      <c r="AO78" s="35" t="s">
        <v>416</v>
      </c>
      <c r="AP78" s="35" t="s">
        <v>639</v>
      </c>
      <c r="AQ78" s="34" t="s">
        <v>1794</v>
      </c>
      <c r="AR78" s="35">
        <v>8</v>
      </c>
      <c r="AS78" s="35" t="s">
        <v>876</v>
      </c>
      <c r="AT78" s="35" t="s">
        <v>72</v>
      </c>
      <c r="AU78" s="35" t="s">
        <v>10</v>
      </c>
      <c r="AV78" s="35" t="s">
        <v>1699</v>
      </c>
      <c r="AW78" s="35" t="s">
        <v>658</v>
      </c>
      <c r="AX78" s="34" t="s">
        <v>2306</v>
      </c>
      <c r="AY78" s="35">
        <v>13</v>
      </c>
      <c r="AZ78" s="35" t="s">
        <v>1308</v>
      </c>
      <c r="BA78" s="35" t="s">
        <v>659</v>
      </c>
      <c r="BB78" s="35" t="s">
        <v>10</v>
      </c>
      <c r="BC78" s="35" t="s">
        <v>147</v>
      </c>
      <c r="BD78" s="35" t="s">
        <v>1742</v>
      </c>
      <c r="BE78" s="35" t="s">
        <v>2163</v>
      </c>
      <c r="BF78" s="35" t="s">
        <v>149</v>
      </c>
      <c r="BG78" s="35">
        <v>524</v>
      </c>
      <c r="BH78" s="35" t="s">
        <v>66</v>
      </c>
      <c r="BI78" s="35">
        <v>0.35</v>
      </c>
      <c r="BJ78" s="35" t="s">
        <v>1824</v>
      </c>
      <c r="BK78" s="35" t="s">
        <v>2374</v>
      </c>
      <c r="BL78" s="35" t="s">
        <v>2492</v>
      </c>
      <c r="BM78" s="35">
        <v>103</v>
      </c>
      <c r="BW78" s="248"/>
      <c r="BX78" s="248"/>
      <c r="BY78" s="248"/>
      <c r="BZ78" s="248"/>
      <c r="CA78" s="248"/>
      <c r="CB78" s="248"/>
      <c r="CC78" s="248"/>
      <c r="CD78" s="248"/>
      <c r="CE78" s="248"/>
      <c r="CF78" s="248"/>
      <c r="CG78" s="248"/>
      <c r="CH78" s="248"/>
      <c r="CI78" s="248"/>
      <c r="CJ78" s="248"/>
      <c r="CK78" s="248"/>
      <c r="CL78" s="248"/>
      <c r="CM78" s="248"/>
      <c r="CN78" s="248"/>
      <c r="CO78" s="248"/>
      <c r="CP78" s="248"/>
      <c r="CQ78" s="248"/>
      <c r="CR78" s="248"/>
      <c r="CS78" s="248"/>
      <c r="CT78" s="248"/>
      <c r="CU78" s="248"/>
      <c r="CV78" s="248"/>
      <c r="CW78" s="248"/>
      <c r="CX78" s="248"/>
      <c r="CY78" s="248"/>
      <c r="CZ78" s="248"/>
      <c r="DA78" s="248"/>
      <c r="DB78" s="248"/>
      <c r="DC78" s="248"/>
      <c r="DD78" s="248"/>
      <c r="DE78" s="248"/>
      <c r="DF78" s="248"/>
      <c r="DG78" s="248"/>
      <c r="DH78" s="248"/>
      <c r="DI78" s="248"/>
      <c r="DJ78" s="248"/>
      <c r="DK78" s="248"/>
      <c r="DL78" s="248"/>
      <c r="DM78" s="248"/>
      <c r="DN78" s="248"/>
      <c r="DO78" s="248"/>
      <c r="DP78" s="248"/>
      <c r="DQ78" s="248"/>
      <c r="DR78" s="248"/>
      <c r="DS78" s="248"/>
      <c r="DT78" s="248"/>
      <c r="DU78" s="248"/>
      <c r="DV78" s="248"/>
      <c r="DW78" s="248"/>
      <c r="DX78" s="248"/>
      <c r="DY78" s="248"/>
      <c r="DZ78" s="248"/>
      <c r="EA78" s="248"/>
      <c r="EB78" s="248"/>
      <c r="EC78" s="248"/>
      <c r="ED78" s="248"/>
      <c r="EE78" s="248"/>
    </row>
    <row r="79" spans="1:135" s="35" customFormat="1" ht="16.5">
      <c r="A79" s="35" t="str">
        <f t="shared" si="2"/>
        <v>KS_CPL_A            DIAG</v>
      </c>
      <c r="B79" s="331"/>
      <c r="C79" s="248">
        <v>104</v>
      </c>
      <c r="D79" s="283" t="s">
        <v>605</v>
      </c>
      <c r="E79" s="283"/>
      <c r="F79" s="35" t="s">
        <v>1086</v>
      </c>
      <c r="O79" s="34" t="s">
        <v>1086</v>
      </c>
      <c r="P79" s="34" t="s">
        <v>1086</v>
      </c>
      <c r="Q79" s="279"/>
      <c r="R79" s="104"/>
      <c r="W79" s="104"/>
      <c r="AH79" s="279"/>
      <c r="AJ79" s="279" t="s">
        <v>1117</v>
      </c>
      <c r="AK79" s="35" t="s">
        <v>2557</v>
      </c>
      <c r="AL79" s="523">
        <v>3</v>
      </c>
      <c r="AM79" s="35">
        <v>104</v>
      </c>
      <c r="AN79" s="35" t="s">
        <v>1825</v>
      </c>
      <c r="AO79" s="35" t="s">
        <v>416</v>
      </c>
      <c r="AP79" s="35" t="s">
        <v>639</v>
      </c>
      <c r="AQ79" s="34" t="s">
        <v>1794</v>
      </c>
      <c r="AR79" s="35">
        <v>6</v>
      </c>
      <c r="AS79" s="35" t="s">
        <v>876</v>
      </c>
      <c r="AT79" s="35" t="s">
        <v>72</v>
      </c>
      <c r="AU79" s="35" t="s">
        <v>10</v>
      </c>
      <c r="AV79" s="35" t="s">
        <v>1699</v>
      </c>
      <c r="AW79" s="35" t="s">
        <v>658</v>
      </c>
      <c r="AX79" s="34" t="s">
        <v>2306</v>
      </c>
      <c r="AY79" s="35">
        <v>3</v>
      </c>
      <c r="AZ79" s="35" t="s">
        <v>1308</v>
      </c>
      <c r="BA79" s="35" t="s">
        <v>659</v>
      </c>
      <c r="BB79" s="35" t="s">
        <v>10</v>
      </c>
      <c r="BC79" s="35" t="s">
        <v>147</v>
      </c>
      <c r="BD79" s="35" t="s">
        <v>1742</v>
      </c>
      <c r="BE79" s="35" t="s">
        <v>660</v>
      </c>
      <c r="BF79" s="35" t="s">
        <v>150</v>
      </c>
      <c r="BG79" s="35">
        <v>524</v>
      </c>
      <c r="BH79" s="35" t="s">
        <v>151</v>
      </c>
      <c r="BI79" s="35">
        <v>0.35</v>
      </c>
      <c r="BJ79" s="35" t="s">
        <v>1826</v>
      </c>
      <c r="BK79" s="35" t="s">
        <v>2374</v>
      </c>
      <c r="BL79" s="35" t="s">
        <v>2492</v>
      </c>
      <c r="BM79" s="35">
        <v>104</v>
      </c>
      <c r="BW79" s="248"/>
      <c r="BX79" s="248"/>
      <c r="BY79" s="248"/>
      <c r="BZ79" s="248"/>
      <c r="CA79" s="248"/>
      <c r="CB79" s="248"/>
      <c r="CC79" s="248"/>
      <c r="CD79" s="248"/>
      <c r="CE79" s="248"/>
      <c r="CF79" s="248"/>
      <c r="CG79" s="248"/>
      <c r="CH79" s="248"/>
      <c r="CI79" s="248"/>
      <c r="CJ79" s="248"/>
      <c r="CK79" s="248"/>
      <c r="CL79" s="248"/>
      <c r="CM79" s="248"/>
      <c r="CN79" s="248"/>
      <c r="CO79" s="248"/>
      <c r="CP79" s="248"/>
      <c r="CQ79" s="248"/>
      <c r="CR79" s="248"/>
      <c r="CS79" s="248"/>
      <c r="CT79" s="248"/>
      <c r="CU79" s="248"/>
      <c r="CV79" s="248"/>
      <c r="CW79" s="248"/>
      <c r="CX79" s="248"/>
      <c r="CY79" s="248"/>
      <c r="CZ79" s="248"/>
      <c r="DA79" s="248"/>
      <c r="DB79" s="248"/>
      <c r="DC79" s="248"/>
      <c r="DD79" s="248"/>
      <c r="DE79" s="248"/>
      <c r="DF79" s="248"/>
      <c r="DG79" s="248"/>
      <c r="DH79" s="248"/>
      <c r="DI79" s="248"/>
      <c r="DJ79" s="248"/>
      <c r="DK79" s="248"/>
      <c r="DL79" s="248"/>
      <c r="DM79" s="248"/>
      <c r="DN79" s="248"/>
      <c r="DO79" s="248"/>
      <c r="DP79" s="248"/>
      <c r="DQ79" s="248"/>
      <c r="DR79" s="248"/>
      <c r="DS79" s="248"/>
      <c r="DT79" s="248"/>
      <c r="DU79" s="248"/>
      <c r="DV79" s="248"/>
      <c r="DW79" s="248"/>
      <c r="DX79" s="248"/>
      <c r="DY79" s="248"/>
      <c r="DZ79" s="248"/>
      <c r="EA79" s="248"/>
      <c r="EB79" s="248"/>
      <c r="EC79" s="248"/>
      <c r="ED79" s="248"/>
      <c r="EE79" s="248"/>
    </row>
    <row r="80" spans="1:135" s="35" customFormat="1" ht="16.5">
      <c r="A80" s="35" t="str">
        <f t="shared" si="2"/>
        <v>KS_CPL_A            DIAG</v>
      </c>
      <c r="B80" s="331"/>
      <c r="C80" s="248">
        <v>105</v>
      </c>
      <c r="D80" s="283" t="s">
        <v>605</v>
      </c>
      <c r="E80" s="283"/>
      <c r="F80" s="35" t="s">
        <v>1086</v>
      </c>
      <c r="G80" s="39"/>
      <c r="H80" s="35" t="s">
        <v>523</v>
      </c>
      <c r="O80" s="34" t="s">
        <v>1086</v>
      </c>
      <c r="P80" s="34" t="s">
        <v>1086</v>
      </c>
      <c r="Q80" s="279"/>
      <c r="R80" s="104"/>
      <c r="W80" s="104"/>
      <c r="AH80" s="279"/>
      <c r="AJ80" s="279" t="s">
        <v>1117</v>
      </c>
      <c r="AK80" s="35" t="s">
        <v>2557</v>
      </c>
      <c r="AL80" s="523">
        <v>3</v>
      </c>
      <c r="AM80" s="35">
        <v>105</v>
      </c>
      <c r="AN80" s="35" t="s">
        <v>1827</v>
      </c>
      <c r="AO80" s="35" t="s">
        <v>416</v>
      </c>
      <c r="AP80" s="35" t="s">
        <v>639</v>
      </c>
      <c r="AQ80" s="34" t="s">
        <v>1794</v>
      </c>
      <c r="AR80" s="35">
        <v>9</v>
      </c>
      <c r="AS80" s="35" t="s">
        <v>876</v>
      </c>
      <c r="AT80" s="35" t="s">
        <v>72</v>
      </c>
      <c r="AU80" s="35" t="s">
        <v>10</v>
      </c>
      <c r="AV80" s="35" t="s">
        <v>1699</v>
      </c>
      <c r="AW80" s="35" t="s">
        <v>658</v>
      </c>
      <c r="AX80" s="34" t="s">
        <v>2306</v>
      </c>
      <c r="AY80" s="35">
        <v>12</v>
      </c>
      <c r="AZ80" s="35" t="s">
        <v>1308</v>
      </c>
      <c r="BA80" s="35" t="s">
        <v>659</v>
      </c>
      <c r="BB80" s="35" t="s">
        <v>10</v>
      </c>
      <c r="BC80" s="35" t="s">
        <v>147</v>
      </c>
      <c r="BD80" s="35" t="s">
        <v>1742</v>
      </c>
      <c r="BE80" s="35" t="s">
        <v>2163</v>
      </c>
      <c r="BF80" s="35" t="s">
        <v>150</v>
      </c>
      <c r="BG80" s="35">
        <v>524</v>
      </c>
      <c r="BH80" s="35" t="s">
        <v>151</v>
      </c>
      <c r="BI80" s="35">
        <v>0.35</v>
      </c>
      <c r="BJ80" s="35" t="s">
        <v>1828</v>
      </c>
      <c r="BK80" s="35" t="s">
        <v>2374</v>
      </c>
      <c r="BL80" s="35" t="s">
        <v>2492</v>
      </c>
      <c r="BM80" s="35">
        <v>105</v>
      </c>
      <c r="BW80" s="248"/>
      <c r="BX80" s="248"/>
      <c r="BY80" s="248"/>
      <c r="BZ80" s="248"/>
      <c r="CA80" s="248"/>
      <c r="CB80" s="248"/>
      <c r="CC80" s="248"/>
      <c r="CD80" s="248"/>
      <c r="CE80" s="248"/>
      <c r="CF80" s="248"/>
      <c r="CG80" s="248"/>
      <c r="CH80" s="248"/>
      <c r="CI80" s="248"/>
      <c r="CJ80" s="248"/>
      <c r="CK80" s="248"/>
      <c r="CL80" s="248"/>
      <c r="CM80" s="248"/>
      <c r="CN80" s="248"/>
      <c r="CO80" s="248"/>
      <c r="CP80" s="248"/>
      <c r="CQ80" s="248"/>
      <c r="CR80" s="248"/>
      <c r="CS80" s="248"/>
      <c r="CT80" s="248"/>
      <c r="CU80" s="248"/>
      <c r="CV80" s="248"/>
      <c r="CW80" s="248"/>
      <c r="CX80" s="248"/>
      <c r="CY80" s="248"/>
      <c r="CZ80" s="248"/>
      <c r="DA80" s="248"/>
      <c r="DB80" s="248"/>
      <c r="DC80" s="248"/>
      <c r="DD80" s="248"/>
      <c r="DE80" s="248"/>
      <c r="DF80" s="248"/>
      <c r="DG80" s="248"/>
      <c r="DH80" s="248"/>
      <c r="DI80" s="248"/>
      <c r="DJ80" s="248"/>
      <c r="DK80" s="248"/>
      <c r="DL80" s="248"/>
      <c r="DM80" s="248"/>
      <c r="DN80" s="248"/>
      <c r="DO80" s="248"/>
      <c r="DP80" s="248"/>
      <c r="DQ80" s="248"/>
      <c r="DR80" s="248"/>
      <c r="DS80" s="248"/>
      <c r="DT80" s="248"/>
      <c r="DU80" s="248"/>
      <c r="DV80" s="248"/>
      <c r="DW80" s="248"/>
      <c r="DX80" s="248"/>
      <c r="DY80" s="248"/>
      <c r="DZ80" s="248"/>
      <c r="EA80" s="248"/>
      <c r="EB80" s="248"/>
      <c r="EC80" s="248"/>
      <c r="ED80" s="248"/>
      <c r="EE80" s="248"/>
    </row>
    <row r="81" spans="1:135" s="35" customFormat="1" ht="16.5">
      <c r="A81" s="35" t="str">
        <f t="shared" si="2"/>
        <v>KS_CPL_B            DIAG</v>
      </c>
      <c r="B81" s="331"/>
      <c r="C81" s="248">
        <v>107</v>
      </c>
      <c r="D81" s="283" t="s">
        <v>605</v>
      </c>
      <c r="E81" s="283"/>
      <c r="F81" s="35" t="s">
        <v>1086</v>
      </c>
      <c r="O81" s="34" t="s">
        <v>1086</v>
      </c>
      <c r="P81" s="34" t="s">
        <v>1086</v>
      </c>
      <c r="Q81" s="279"/>
      <c r="R81" s="39"/>
      <c r="W81" s="39"/>
      <c r="AH81" s="279"/>
      <c r="AJ81" s="279" t="s">
        <v>1117</v>
      </c>
      <c r="AK81" s="279"/>
      <c r="AL81" s="523">
        <v>3</v>
      </c>
      <c r="AM81" s="35">
        <v>107</v>
      </c>
      <c r="AN81" s="35" t="s">
        <v>1829</v>
      </c>
      <c r="AO81" s="35" t="s">
        <v>416</v>
      </c>
      <c r="AP81" s="35" t="s">
        <v>623</v>
      </c>
      <c r="AQ81" s="34" t="s">
        <v>1741</v>
      </c>
      <c r="AR81" s="35">
        <v>10</v>
      </c>
      <c r="AS81" s="35" t="s">
        <v>1785</v>
      </c>
      <c r="AT81" s="35" t="s">
        <v>81</v>
      </c>
      <c r="AU81" s="35" t="s">
        <v>10</v>
      </c>
      <c r="AV81" s="35" t="s">
        <v>1699</v>
      </c>
      <c r="AW81" s="35" t="s">
        <v>658</v>
      </c>
      <c r="AX81" s="34" t="s">
        <v>2306</v>
      </c>
      <c r="AY81" s="35">
        <v>1</v>
      </c>
      <c r="AZ81" s="35" t="s">
        <v>1308</v>
      </c>
      <c r="BA81" s="35" t="s">
        <v>659</v>
      </c>
      <c r="BB81" s="35" t="s">
        <v>10</v>
      </c>
      <c r="BC81" s="35" t="s">
        <v>178</v>
      </c>
      <c r="BD81" s="35" t="s">
        <v>1742</v>
      </c>
      <c r="BE81" s="35" t="s">
        <v>10</v>
      </c>
      <c r="BF81" s="35" t="s">
        <v>10</v>
      </c>
      <c r="BG81" s="35">
        <v>524</v>
      </c>
      <c r="BH81" s="35" t="s">
        <v>176</v>
      </c>
      <c r="BI81" s="35">
        <v>0.5</v>
      </c>
      <c r="BJ81" s="35" t="s">
        <v>1830</v>
      </c>
      <c r="BK81" s="35" t="s">
        <v>2374</v>
      </c>
      <c r="BL81" s="35" t="s">
        <v>2492</v>
      </c>
      <c r="BM81" s="35">
        <v>107</v>
      </c>
      <c r="BW81" s="248"/>
      <c r="BX81" s="248"/>
      <c r="BY81" s="248"/>
      <c r="BZ81" s="248"/>
      <c r="CA81" s="248"/>
      <c r="CB81" s="248"/>
      <c r="CC81" s="248"/>
      <c r="CD81" s="248"/>
      <c r="CE81" s="248"/>
      <c r="CF81" s="248"/>
      <c r="CG81" s="248"/>
      <c r="CH81" s="248"/>
      <c r="CI81" s="248"/>
      <c r="CJ81" s="248"/>
      <c r="CK81" s="248"/>
      <c r="CL81" s="248"/>
      <c r="CM81" s="248"/>
      <c r="CN81" s="248"/>
      <c r="CO81" s="248"/>
      <c r="CP81" s="248"/>
      <c r="CQ81" s="248"/>
      <c r="CR81" s="248"/>
      <c r="CS81" s="248"/>
      <c r="CT81" s="248"/>
      <c r="CU81" s="248"/>
      <c r="CV81" s="248"/>
      <c r="CW81" s="248"/>
      <c r="CX81" s="248"/>
      <c r="CY81" s="248"/>
      <c r="CZ81" s="248"/>
      <c r="DA81" s="248"/>
      <c r="DB81" s="248"/>
      <c r="DC81" s="248"/>
      <c r="DD81" s="248"/>
      <c r="DE81" s="248"/>
      <c r="DF81" s="248"/>
      <c r="DG81" s="248"/>
      <c r="DH81" s="248"/>
      <c r="DI81" s="248"/>
      <c r="DJ81" s="248"/>
      <c r="DK81" s="248"/>
      <c r="DL81" s="248"/>
      <c r="DM81" s="248"/>
      <c r="DN81" s="248"/>
      <c r="DO81" s="248"/>
      <c r="DP81" s="248"/>
      <c r="DQ81" s="248"/>
      <c r="DR81" s="248"/>
      <c r="DS81" s="248"/>
      <c r="DT81" s="248"/>
      <c r="DU81" s="248"/>
      <c r="DV81" s="248"/>
      <c r="DW81" s="248"/>
      <c r="DX81" s="248"/>
      <c r="DY81" s="248"/>
      <c r="DZ81" s="248"/>
      <c r="EA81" s="248"/>
      <c r="EB81" s="248"/>
      <c r="EC81" s="248"/>
      <c r="ED81" s="248"/>
      <c r="EE81" s="248"/>
    </row>
    <row r="82" spans="1:135" s="35" customFormat="1" ht="16.5">
      <c r="A82" s="35" t="str">
        <f t="shared" si="2"/>
        <v>SP_MB33_C           KS_CPL_A</v>
      </c>
      <c r="B82" s="331"/>
      <c r="C82" s="248">
        <v>108</v>
      </c>
      <c r="D82" s="283" t="s">
        <v>605</v>
      </c>
      <c r="E82" s="283"/>
      <c r="F82" s="35" t="s">
        <v>1086</v>
      </c>
      <c r="G82" s="39" t="s">
        <v>2236</v>
      </c>
      <c r="H82" s="35" t="s">
        <v>609</v>
      </c>
      <c r="N82" s="35" t="s">
        <v>537</v>
      </c>
      <c r="O82" s="34" t="s">
        <v>1086</v>
      </c>
      <c r="P82" s="34" t="s">
        <v>1086</v>
      </c>
      <c r="Q82" s="58"/>
      <c r="R82" s="39"/>
      <c r="AH82" s="279"/>
      <c r="AJ82" s="279" t="s">
        <v>1117</v>
      </c>
      <c r="AK82" s="279"/>
      <c r="AL82" s="523">
        <v>3</v>
      </c>
      <c r="AM82" s="35">
        <v>108</v>
      </c>
      <c r="AN82" s="35" t="s">
        <v>1660</v>
      </c>
      <c r="AO82" s="35" t="s">
        <v>2150</v>
      </c>
      <c r="AP82" s="35" t="s">
        <v>662</v>
      </c>
      <c r="AQ82" s="34" t="s">
        <v>2236</v>
      </c>
      <c r="AR82" s="35">
        <v>1</v>
      </c>
      <c r="AS82" s="35" t="s">
        <v>1157</v>
      </c>
      <c r="AT82" s="35" t="s">
        <v>10</v>
      </c>
      <c r="AU82" s="35" t="s">
        <v>10</v>
      </c>
      <c r="AV82" s="35" t="s">
        <v>416</v>
      </c>
      <c r="AW82" s="35" t="s">
        <v>639</v>
      </c>
      <c r="AX82" s="34" t="s">
        <v>1794</v>
      </c>
      <c r="AY82" s="35">
        <v>17</v>
      </c>
      <c r="AZ82" s="35" t="s">
        <v>876</v>
      </c>
      <c r="BA82" s="35" t="s">
        <v>75</v>
      </c>
      <c r="BB82" s="35" t="s">
        <v>10</v>
      </c>
      <c r="BC82" s="35" t="s">
        <v>163</v>
      </c>
      <c r="BD82" s="35" t="s">
        <v>1742</v>
      </c>
      <c r="BE82" s="35" t="s">
        <v>10</v>
      </c>
      <c r="BF82" s="35" t="s">
        <v>10</v>
      </c>
      <c r="BG82" s="35">
        <v>569</v>
      </c>
      <c r="BH82" s="35" t="s">
        <v>25</v>
      </c>
      <c r="BI82" s="35">
        <v>1.5</v>
      </c>
      <c r="BJ82" s="35" t="s">
        <v>1411</v>
      </c>
      <c r="BK82" s="35" t="s">
        <v>2374</v>
      </c>
      <c r="BL82" s="35" t="s">
        <v>2492</v>
      </c>
      <c r="BM82" s="35">
        <v>108</v>
      </c>
      <c r="BW82" s="248"/>
      <c r="BX82" s="248"/>
      <c r="BY82" s="248"/>
      <c r="BZ82" s="248"/>
      <c r="CA82" s="248"/>
      <c r="CB82" s="248"/>
      <c r="CC82" s="248"/>
      <c r="CD82" s="248"/>
      <c r="CE82" s="248"/>
      <c r="CF82" s="248"/>
      <c r="CG82" s="248"/>
      <c r="CH82" s="248"/>
      <c r="CI82" s="248"/>
      <c r="CJ82" s="248"/>
      <c r="CK82" s="248"/>
      <c r="CL82" s="248"/>
      <c r="CM82" s="248"/>
      <c r="CN82" s="248"/>
      <c r="CO82" s="248"/>
      <c r="CP82" s="248"/>
      <c r="CQ82" s="248"/>
      <c r="CR82" s="248"/>
      <c r="CS82" s="248"/>
      <c r="CT82" s="248"/>
      <c r="CU82" s="248"/>
      <c r="CV82" s="248"/>
      <c r="CW82" s="248"/>
      <c r="CX82" s="248"/>
      <c r="CY82" s="248"/>
      <c r="CZ82" s="248"/>
      <c r="DA82" s="248"/>
      <c r="DB82" s="248"/>
      <c r="DC82" s="248"/>
      <c r="DD82" s="248"/>
      <c r="DE82" s="248"/>
      <c r="DF82" s="248"/>
      <c r="DG82" s="248"/>
      <c r="DH82" s="248"/>
      <c r="DI82" s="248"/>
      <c r="DJ82" s="248"/>
      <c r="DK82" s="248"/>
      <c r="DL82" s="248"/>
      <c r="DM82" s="248"/>
      <c r="DN82" s="248"/>
      <c r="DO82" s="248"/>
      <c r="DP82" s="248"/>
      <c r="DQ82" s="248"/>
      <c r="DR82" s="248"/>
      <c r="DS82" s="248"/>
      <c r="DT82" s="248"/>
      <c r="DU82" s="248"/>
      <c r="DV82" s="248"/>
      <c r="DW82" s="248"/>
      <c r="DX82" s="248"/>
      <c r="DY82" s="248"/>
      <c r="DZ82" s="248"/>
      <c r="EA82" s="248"/>
      <c r="EB82" s="248"/>
      <c r="EC82" s="248"/>
      <c r="ED82" s="248"/>
      <c r="EE82" s="248"/>
    </row>
    <row r="83" spans="1:135" s="35" customFormat="1" ht="16.5">
      <c r="A83" s="35" t="str">
        <f t="shared" si="2"/>
        <v>SP_MB34_B1          KS_CPR_B</v>
      </c>
      <c r="B83" s="331"/>
      <c r="C83" s="248">
        <v>109</v>
      </c>
      <c r="D83" s="283" t="s">
        <v>605</v>
      </c>
      <c r="E83" s="283"/>
      <c r="F83" s="35" t="s">
        <v>1086</v>
      </c>
      <c r="G83" s="39" t="s">
        <v>2231</v>
      </c>
      <c r="H83" s="35" t="s">
        <v>609</v>
      </c>
      <c r="N83" s="35" t="s">
        <v>537</v>
      </c>
      <c r="O83" s="34" t="s">
        <v>1097</v>
      </c>
      <c r="P83" s="34" t="s">
        <v>1086</v>
      </c>
      <c r="Q83" s="58"/>
      <c r="R83" s="39"/>
      <c r="AH83" s="279"/>
      <c r="AJ83" s="279" t="s">
        <v>1117</v>
      </c>
      <c r="AK83" s="279"/>
      <c r="AL83" s="523">
        <v>3</v>
      </c>
      <c r="AM83" s="35">
        <v>109</v>
      </c>
      <c r="AN83" s="35" t="s">
        <v>1832</v>
      </c>
      <c r="AO83" s="35" t="s">
        <v>2147</v>
      </c>
      <c r="AP83" s="35" t="s">
        <v>534</v>
      </c>
      <c r="AQ83" s="34" t="s">
        <v>2231</v>
      </c>
      <c r="AR83" s="35">
        <v>1</v>
      </c>
      <c r="AS83" s="35" t="s">
        <v>411</v>
      </c>
      <c r="AT83" s="35" t="s">
        <v>10</v>
      </c>
      <c r="AU83" s="35" t="s">
        <v>10</v>
      </c>
      <c r="AV83" s="35" t="s">
        <v>424</v>
      </c>
      <c r="AW83" s="35" t="s">
        <v>651</v>
      </c>
      <c r="AX83" s="34" t="s">
        <v>1807</v>
      </c>
      <c r="AY83" s="35">
        <v>15</v>
      </c>
      <c r="AZ83" s="35" t="s">
        <v>1808</v>
      </c>
      <c r="BA83" s="35" t="s">
        <v>75</v>
      </c>
      <c r="BB83" s="35" t="s">
        <v>10</v>
      </c>
      <c r="BC83" s="35" t="s">
        <v>92</v>
      </c>
      <c r="BD83" s="35" t="s">
        <v>1742</v>
      </c>
      <c r="BE83" s="35" t="s">
        <v>10</v>
      </c>
      <c r="BF83" s="35" t="s">
        <v>10</v>
      </c>
      <c r="BG83" s="35">
        <v>1563</v>
      </c>
      <c r="BH83" s="35" t="s">
        <v>25</v>
      </c>
      <c r="BI83" s="35">
        <v>2.5</v>
      </c>
      <c r="BJ83" s="35" t="s">
        <v>1355</v>
      </c>
      <c r="BK83" s="35" t="s">
        <v>2374</v>
      </c>
      <c r="BL83" s="35" t="s">
        <v>2492</v>
      </c>
      <c r="BM83" s="35">
        <v>109</v>
      </c>
      <c r="BW83" s="248"/>
      <c r="BX83" s="248"/>
      <c r="BY83" s="248"/>
      <c r="BZ83" s="248"/>
      <c r="CA83" s="248"/>
      <c r="CB83" s="248"/>
      <c r="CC83" s="248"/>
      <c r="CD83" s="248"/>
      <c r="CE83" s="248"/>
      <c r="CF83" s="248"/>
      <c r="CG83" s="248"/>
      <c r="CH83" s="248"/>
      <c r="CI83" s="248"/>
      <c r="CJ83" s="248"/>
      <c r="CK83" s="248"/>
      <c r="CL83" s="248"/>
      <c r="CM83" s="248"/>
      <c r="CN83" s="248"/>
      <c r="CO83" s="248"/>
      <c r="CP83" s="248"/>
      <c r="CQ83" s="248"/>
      <c r="CR83" s="248"/>
      <c r="CS83" s="248"/>
      <c r="CT83" s="248"/>
      <c r="CU83" s="248"/>
      <c r="CV83" s="248"/>
      <c r="CW83" s="248"/>
      <c r="CX83" s="248"/>
      <c r="CY83" s="248"/>
      <c r="CZ83" s="248"/>
      <c r="DA83" s="248"/>
      <c r="DB83" s="248"/>
      <c r="DC83" s="248"/>
      <c r="DD83" s="248"/>
      <c r="DE83" s="248"/>
      <c r="DF83" s="248"/>
      <c r="DG83" s="248"/>
      <c r="DH83" s="248"/>
      <c r="DI83" s="248"/>
      <c r="DJ83" s="248"/>
      <c r="DK83" s="248"/>
      <c r="DL83" s="248"/>
      <c r="DM83" s="248"/>
      <c r="DN83" s="248"/>
      <c r="DO83" s="248"/>
      <c r="DP83" s="248"/>
      <c r="DQ83" s="248"/>
      <c r="DR83" s="248"/>
      <c r="DS83" s="248"/>
      <c r="DT83" s="248"/>
      <c r="DU83" s="248"/>
      <c r="DV83" s="248"/>
      <c r="DW83" s="248"/>
      <c r="DX83" s="248"/>
      <c r="DY83" s="248"/>
      <c r="DZ83" s="248"/>
      <c r="EA83" s="248"/>
      <c r="EB83" s="248"/>
      <c r="EC83" s="248"/>
      <c r="ED83" s="248"/>
      <c r="EE83" s="248"/>
    </row>
    <row r="84" spans="1:135" s="35" customFormat="1" ht="16.5">
      <c r="A84" s="35" t="str">
        <f t="shared" si="2"/>
        <v>SP_MB33_C           DIAG</v>
      </c>
      <c r="B84" s="331"/>
      <c r="C84" s="248">
        <v>112</v>
      </c>
      <c r="D84" s="283" t="s">
        <v>605</v>
      </c>
      <c r="E84" s="283"/>
      <c r="F84" s="35" t="s">
        <v>1086</v>
      </c>
      <c r="G84" s="35" t="s">
        <v>2236</v>
      </c>
      <c r="H84" s="35" t="s">
        <v>609</v>
      </c>
      <c r="N84" s="35" t="s">
        <v>537</v>
      </c>
      <c r="O84" s="34" t="s">
        <v>1086</v>
      </c>
      <c r="P84" s="34" t="s">
        <v>1086</v>
      </c>
      <c r="Q84" s="58"/>
      <c r="R84" s="39"/>
      <c r="AH84" s="279"/>
      <c r="AJ84" s="279" t="s">
        <v>1117</v>
      </c>
      <c r="AK84" s="279"/>
      <c r="AL84" s="523">
        <v>3</v>
      </c>
      <c r="AM84" s="35">
        <v>112</v>
      </c>
      <c r="AN84" s="35" t="s">
        <v>1833</v>
      </c>
      <c r="AO84" s="35" t="s">
        <v>2150</v>
      </c>
      <c r="AP84" s="35" t="s">
        <v>662</v>
      </c>
      <c r="AQ84" s="34" t="s">
        <v>2236</v>
      </c>
      <c r="AR84" s="35">
        <v>1</v>
      </c>
      <c r="AS84" s="35" t="s">
        <v>1157</v>
      </c>
      <c r="AT84" s="35" t="s">
        <v>10</v>
      </c>
      <c r="AU84" s="35" t="s">
        <v>10</v>
      </c>
      <c r="AV84" s="35" t="s">
        <v>1699</v>
      </c>
      <c r="AW84" s="35" t="s">
        <v>658</v>
      </c>
      <c r="AX84" s="34" t="s">
        <v>2306</v>
      </c>
      <c r="AY84" s="35">
        <v>4</v>
      </c>
      <c r="AZ84" s="35" t="s">
        <v>1308</v>
      </c>
      <c r="BA84" s="35" t="s">
        <v>659</v>
      </c>
      <c r="BB84" s="35" t="s">
        <v>10</v>
      </c>
      <c r="BC84" s="35" t="s">
        <v>26</v>
      </c>
      <c r="BD84" s="35" t="s">
        <v>1742</v>
      </c>
      <c r="BE84" s="35" t="s">
        <v>10</v>
      </c>
      <c r="BF84" s="35" t="s">
        <v>10</v>
      </c>
      <c r="BG84" s="35">
        <v>404</v>
      </c>
      <c r="BH84" s="35" t="s">
        <v>25</v>
      </c>
      <c r="BI84" s="35">
        <v>0.5</v>
      </c>
      <c r="BJ84" s="35" t="s">
        <v>1411</v>
      </c>
      <c r="BK84" s="35" t="s">
        <v>2374</v>
      </c>
      <c r="BL84" s="35" t="s">
        <v>2492</v>
      </c>
      <c r="BM84" s="35">
        <v>112</v>
      </c>
      <c r="BW84" s="248"/>
      <c r="BX84" s="248"/>
      <c r="BY84" s="248"/>
      <c r="BZ84" s="248"/>
      <c r="CA84" s="248"/>
      <c r="CB84" s="248"/>
      <c r="CC84" s="248"/>
      <c r="CD84" s="248"/>
      <c r="CE84" s="248"/>
      <c r="CF84" s="248"/>
      <c r="CG84" s="248"/>
      <c r="CH84" s="248"/>
      <c r="CI84" s="248"/>
      <c r="CJ84" s="248"/>
      <c r="CK84" s="248"/>
      <c r="CL84" s="248"/>
      <c r="CM84" s="248"/>
      <c r="CN84" s="248"/>
      <c r="CO84" s="248"/>
      <c r="CP84" s="248"/>
      <c r="CQ84" s="248"/>
      <c r="CR84" s="248"/>
      <c r="CS84" s="248"/>
      <c r="CT84" s="248"/>
      <c r="CU84" s="248"/>
      <c r="CV84" s="248"/>
      <c r="CW84" s="248"/>
      <c r="CX84" s="248"/>
      <c r="CY84" s="248"/>
      <c r="CZ84" s="248"/>
      <c r="DA84" s="248"/>
      <c r="DB84" s="248"/>
      <c r="DC84" s="248"/>
      <c r="DD84" s="248"/>
      <c r="DE84" s="248"/>
      <c r="DF84" s="248"/>
      <c r="DG84" s="248"/>
      <c r="DH84" s="248"/>
      <c r="DI84" s="248"/>
      <c r="DJ84" s="248"/>
      <c r="DK84" s="248"/>
      <c r="DL84" s="248"/>
      <c r="DM84" s="248"/>
      <c r="DN84" s="248"/>
      <c r="DO84" s="248"/>
      <c r="DP84" s="248"/>
      <c r="DQ84" s="248"/>
      <c r="DR84" s="248"/>
      <c r="DS84" s="248"/>
      <c r="DT84" s="248"/>
      <c r="DU84" s="248"/>
      <c r="DV84" s="248"/>
      <c r="DW84" s="248"/>
      <c r="DX84" s="248"/>
      <c r="DY84" s="248"/>
      <c r="DZ84" s="248"/>
      <c r="EA84" s="248"/>
      <c r="EB84" s="248"/>
      <c r="EC84" s="248"/>
      <c r="ED84" s="248"/>
      <c r="EE84" s="248"/>
    </row>
    <row r="85" spans="1:135" s="35" customFormat="1" ht="16.5">
      <c r="A85" s="35" t="str">
        <f t="shared" si="2"/>
        <v>SP_MB33_C           DIAG</v>
      </c>
      <c r="B85" s="331"/>
      <c r="C85" s="248">
        <v>113</v>
      </c>
      <c r="D85" s="283" t="s">
        <v>605</v>
      </c>
      <c r="E85" s="283"/>
      <c r="F85" s="35" t="s">
        <v>1086</v>
      </c>
      <c r="G85" s="35" t="s">
        <v>2236</v>
      </c>
      <c r="H85" s="35" t="s">
        <v>609</v>
      </c>
      <c r="N85" s="35" t="s">
        <v>537</v>
      </c>
      <c r="O85" s="34" t="s">
        <v>1086</v>
      </c>
      <c r="P85" s="34" t="s">
        <v>1086</v>
      </c>
      <c r="Q85" s="58"/>
      <c r="R85" s="39"/>
      <c r="AH85" s="279"/>
      <c r="AJ85" s="279" t="s">
        <v>1117</v>
      </c>
      <c r="AK85" s="279"/>
      <c r="AL85" s="523">
        <v>3</v>
      </c>
      <c r="AM85" s="35">
        <v>113</v>
      </c>
      <c r="AN85" s="35" t="s">
        <v>1668</v>
      </c>
      <c r="AO85" s="35" t="s">
        <v>2150</v>
      </c>
      <c r="AP85" s="35" t="s">
        <v>662</v>
      </c>
      <c r="AQ85" s="34" t="s">
        <v>2236</v>
      </c>
      <c r="AR85" s="35">
        <v>1</v>
      </c>
      <c r="AS85" s="35" t="s">
        <v>1157</v>
      </c>
      <c r="AT85" s="35" t="s">
        <v>10</v>
      </c>
      <c r="AU85" s="35" t="s">
        <v>10</v>
      </c>
      <c r="AV85" s="35" t="s">
        <v>1699</v>
      </c>
      <c r="AW85" s="35" t="s">
        <v>658</v>
      </c>
      <c r="AX85" s="34" t="s">
        <v>2306</v>
      </c>
      <c r="AY85" s="35">
        <v>5</v>
      </c>
      <c r="AZ85" s="35" t="s">
        <v>1308</v>
      </c>
      <c r="BA85" s="35" t="s">
        <v>659</v>
      </c>
      <c r="BB85" s="35" t="s">
        <v>10</v>
      </c>
      <c r="BC85" s="35" t="s">
        <v>26</v>
      </c>
      <c r="BD85" s="35" t="s">
        <v>1742</v>
      </c>
      <c r="BE85" s="35" t="s">
        <v>10</v>
      </c>
      <c r="BF85" s="35" t="s">
        <v>10</v>
      </c>
      <c r="BG85" s="35">
        <v>404</v>
      </c>
      <c r="BH85" s="35" t="s">
        <v>25</v>
      </c>
      <c r="BI85" s="35">
        <v>0.5</v>
      </c>
      <c r="BJ85" s="35" t="s">
        <v>1411</v>
      </c>
      <c r="BK85" s="35" t="s">
        <v>2374</v>
      </c>
      <c r="BL85" s="35" t="s">
        <v>2492</v>
      </c>
      <c r="BM85" s="35">
        <v>113</v>
      </c>
      <c r="BW85" s="248"/>
      <c r="BX85" s="248"/>
      <c r="BY85" s="248"/>
      <c r="BZ85" s="248"/>
      <c r="CA85" s="248"/>
      <c r="CB85" s="248"/>
      <c r="CC85" s="248"/>
      <c r="CD85" s="248"/>
      <c r="CE85" s="248"/>
      <c r="CF85" s="248"/>
      <c r="CG85" s="248"/>
      <c r="CH85" s="248"/>
      <c r="CI85" s="248"/>
      <c r="CJ85" s="248"/>
      <c r="CK85" s="248"/>
      <c r="CL85" s="248"/>
      <c r="CM85" s="248"/>
      <c r="CN85" s="248"/>
      <c r="CO85" s="248"/>
      <c r="CP85" s="248"/>
      <c r="CQ85" s="248"/>
      <c r="CR85" s="248"/>
      <c r="CS85" s="248"/>
      <c r="CT85" s="248"/>
      <c r="CU85" s="248"/>
      <c r="CV85" s="248"/>
      <c r="CW85" s="248"/>
      <c r="CX85" s="248"/>
      <c r="CY85" s="248"/>
      <c r="CZ85" s="248"/>
      <c r="DA85" s="248"/>
      <c r="DB85" s="248"/>
      <c r="DC85" s="248"/>
      <c r="DD85" s="248"/>
      <c r="DE85" s="248"/>
      <c r="DF85" s="248"/>
      <c r="DG85" s="248"/>
      <c r="DH85" s="248"/>
      <c r="DI85" s="248"/>
      <c r="DJ85" s="248"/>
      <c r="DK85" s="248"/>
      <c r="DL85" s="248"/>
      <c r="DM85" s="248"/>
      <c r="DN85" s="248"/>
      <c r="DO85" s="248"/>
      <c r="DP85" s="248"/>
      <c r="DQ85" s="248"/>
      <c r="DR85" s="248"/>
      <c r="DS85" s="248"/>
      <c r="DT85" s="248"/>
      <c r="DU85" s="248"/>
      <c r="DV85" s="248"/>
      <c r="DW85" s="248"/>
      <c r="DX85" s="248"/>
      <c r="DY85" s="248"/>
      <c r="DZ85" s="248"/>
      <c r="EA85" s="248"/>
      <c r="EB85" s="248"/>
      <c r="EC85" s="248"/>
      <c r="ED85" s="248"/>
      <c r="EE85" s="248"/>
    </row>
    <row r="86" spans="1:135" s="35" customFormat="1" ht="16.5">
      <c r="A86" s="35" t="str">
        <f t="shared" si="2"/>
        <v>KS_CPL_B            DIAG</v>
      </c>
      <c r="B86" s="331"/>
      <c r="C86" s="248">
        <v>115</v>
      </c>
      <c r="D86" s="283" t="s">
        <v>605</v>
      </c>
      <c r="E86" s="283"/>
      <c r="F86" s="35" t="s">
        <v>1086</v>
      </c>
      <c r="H86" s="35" t="s">
        <v>523</v>
      </c>
      <c r="O86" s="34" t="s">
        <v>1086</v>
      </c>
      <c r="P86" s="34" t="s">
        <v>1086</v>
      </c>
      <c r="Q86" s="58"/>
      <c r="R86" s="39"/>
      <c r="AH86" s="279"/>
      <c r="AJ86" s="279" t="s">
        <v>1117</v>
      </c>
      <c r="AK86" s="279"/>
      <c r="AL86" s="523">
        <v>3</v>
      </c>
      <c r="AM86" s="35">
        <v>115</v>
      </c>
      <c r="AN86" s="35" t="s">
        <v>1834</v>
      </c>
      <c r="AO86" s="35" t="s">
        <v>416</v>
      </c>
      <c r="AP86" s="35" t="s">
        <v>623</v>
      </c>
      <c r="AQ86" s="34" t="s">
        <v>1741</v>
      </c>
      <c r="AR86" s="35">
        <v>11</v>
      </c>
      <c r="AS86" s="35" t="s">
        <v>1398</v>
      </c>
      <c r="AT86" s="35" t="s">
        <v>72</v>
      </c>
      <c r="AU86" s="35" t="s">
        <v>10</v>
      </c>
      <c r="AV86" s="35" t="s">
        <v>1699</v>
      </c>
      <c r="AW86" s="35" t="s">
        <v>658</v>
      </c>
      <c r="AX86" s="34" t="s">
        <v>2306</v>
      </c>
      <c r="AY86" s="35">
        <v>6</v>
      </c>
      <c r="AZ86" s="35" t="s">
        <v>1308</v>
      </c>
      <c r="BA86" s="35" t="s">
        <v>659</v>
      </c>
      <c r="BB86" s="35" t="s">
        <v>10</v>
      </c>
      <c r="BC86" s="35" t="s">
        <v>2387</v>
      </c>
      <c r="BD86" s="35" t="s">
        <v>1742</v>
      </c>
      <c r="BE86" s="35" t="s">
        <v>263</v>
      </c>
      <c r="BF86" s="35" t="s">
        <v>264</v>
      </c>
      <c r="BG86" s="35">
        <v>524</v>
      </c>
      <c r="BH86" s="35" t="s">
        <v>91</v>
      </c>
      <c r="BI86" s="35">
        <v>0.35</v>
      </c>
      <c r="BJ86" s="35" t="s">
        <v>1835</v>
      </c>
      <c r="BK86" s="35" t="s">
        <v>2374</v>
      </c>
      <c r="BL86" s="35" t="s">
        <v>2492</v>
      </c>
      <c r="BM86" s="35">
        <v>115</v>
      </c>
      <c r="BW86" s="248"/>
      <c r="BX86" s="248"/>
      <c r="BY86" s="248"/>
      <c r="BZ86" s="248"/>
      <c r="CA86" s="248"/>
      <c r="CB86" s="248"/>
      <c r="CC86" s="248"/>
      <c r="CD86" s="248"/>
      <c r="CE86" s="248"/>
      <c r="CF86" s="248"/>
      <c r="CG86" s="248"/>
      <c r="CH86" s="248"/>
      <c r="CI86" s="248"/>
      <c r="CJ86" s="248"/>
      <c r="CK86" s="248"/>
      <c r="CL86" s="248"/>
      <c r="CM86" s="248"/>
      <c r="CN86" s="248"/>
      <c r="CO86" s="248"/>
      <c r="CP86" s="248"/>
      <c r="CQ86" s="248"/>
      <c r="CR86" s="248"/>
      <c r="CS86" s="248"/>
      <c r="CT86" s="248"/>
      <c r="CU86" s="248"/>
      <c r="CV86" s="248"/>
      <c r="CW86" s="248"/>
      <c r="CX86" s="248"/>
      <c r="CY86" s="248"/>
      <c r="CZ86" s="248"/>
      <c r="DA86" s="248"/>
      <c r="DB86" s="248"/>
      <c r="DC86" s="248"/>
      <c r="DD86" s="248"/>
      <c r="DE86" s="248"/>
      <c r="DF86" s="248"/>
      <c r="DG86" s="248"/>
      <c r="DH86" s="248"/>
      <c r="DI86" s="248"/>
      <c r="DJ86" s="248"/>
      <c r="DK86" s="248"/>
      <c r="DL86" s="248"/>
      <c r="DM86" s="248"/>
      <c r="DN86" s="248"/>
      <c r="DO86" s="248"/>
      <c r="DP86" s="248"/>
      <c r="DQ86" s="248"/>
      <c r="DR86" s="248"/>
      <c r="DS86" s="248"/>
      <c r="DT86" s="248"/>
      <c r="DU86" s="248"/>
      <c r="DV86" s="248"/>
      <c r="DW86" s="248"/>
      <c r="DX86" s="248"/>
      <c r="DY86" s="248"/>
      <c r="DZ86" s="248"/>
      <c r="EA86" s="248"/>
      <c r="EB86" s="248"/>
      <c r="EC86" s="248"/>
      <c r="ED86" s="248"/>
      <c r="EE86" s="248"/>
    </row>
    <row r="87" spans="1:135" s="35" customFormat="1" ht="16.5">
      <c r="A87" s="35" t="str">
        <f t="shared" si="2"/>
        <v>KS_CPL_B            DIAG</v>
      </c>
      <c r="B87" s="331"/>
      <c r="C87" s="248">
        <v>116</v>
      </c>
      <c r="D87" s="283" t="s">
        <v>605</v>
      </c>
      <c r="E87" s="283"/>
      <c r="F87" s="35" t="s">
        <v>1086</v>
      </c>
      <c r="G87" s="39"/>
      <c r="H87" s="35" t="s">
        <v>523</v>
      </c>
      <c r="O87" s="34" t="s">
        <v>1086</v>
      </c>
      <c r="P87" s="34" t="s">
        <v>1086</v>
      </c>
      <c r="Q87" s="58"/>
      <c r="R87" s="39"/>
      <c r="AH87" s="279"/>
      <c r="AJ87" s="279" t="s">
        <v>1117</v>
      </c>
      <c r="AK87" s="279"/>
      <c r="AL87" s="523">
        <v>3</v>
      </c>
      <c r="AM87" s="35">
        <v>116</v>
      </c>
      <c r="AN87" s="35" t="s">
        <v>1836</v>
      </c>
      <c r="AO87" s="35" t="s">
        <v>416</v>
      </c>
      <c r="AP87" s="35" t="s">
        <v>623</v>
      </c>
      <c r="AQ87" s="34" t="s">
        <v>1741</v>
      </c>
      <c r="AR87" s="35">
        <v>12</v>
      </c>
      <c r="AS87" s="35" t="s">
        <v>1398</v>
      </c>
      <c r="AT87" s="35" t="s">
        <v>72</v>
      </c>
      <c r="AU87" s="35" t="s">
        <v>10</v>
      </c>
      <c r="AV87" s="35" t="s">
        <v>1699</v>
      </c>
      <c r="AW87" s="35" t="s">
        <v>658</v>
      </c>
      <c r="AX87" s="34" t="s">
        <v>2306</v>
      </c>
      <c r="AY87" s="35">
        <v>14</v>
      </c>
      <c r="AZ87" s="35" t="s">
        <v>1308</v>
      </c>
      <c r="BA87" s="35" t="s">
        <v>659</v>
      </c>
      <c r="BB87" s="35" t="s">
        <v>10</v>
      </c>
      <c r="BC87" s="35" t="s">
        <v>2387</v>
      </c>
      <c r="BD87" s="35" t="s">
        <v>1742</v>
      </c>
      <c r="BE87" s="35" t="s">
        <v>263</v>
      </c>
      <c r="BF87" s="35" t="s">
        <v>88</v>
      </c>
      <c r="BG87" s="35">
        <v>524</v>
      </c>
      <c r="BH87" s="35" t="s">
        <v>89</v>
      </c>
      <c r="BI87" s="35">
        <v>0.35</v>
      </c>
      <c r="BJ87" s="35" t="s">
        <v>1837</v>
      </c>
      <c r="BK87" s="35" t="s">
        <v>2374</v>
      </c>
      <c r="BL87" s="35" t="s">
        <v>2492</v>
      </c>
      <c r="BM87" s="35">
        <v>116</v>
      </c>
      <c r="BW87" s="248"/>
      <c r="BX87" s="248"/>
      <c r="BY87" s="248"/>
      <c r="BZ87" s="248"/>
      <c r="CA87" s="248"/>
      <c r="CB87" s="248"/>
      <c r="CC87" s="248"/>
      <c r="CD87" s="248"/>
      <c r="CE87" s="248"/>
      <c r="CF87" s="248"/>
      <c r="CG87" s="248"/>
      <c r="CH87" s="248"/>
      <c r="CI87" s="248"/>
      <c r="CJ87" s="248"/>
      <c r="CK87" s="248"/>
      <c r="CL87" s="248"/>
      <c r="CM87" s="248"/>
      <c r="CN87" s="248"/>
      <c r="CO87" s="248"/>
      <c r="CP87" s="248"/>
      <c r="CQ87" s="248"/>
      <c r="CR87" s="248"/>
      <c r="CS87" s="248"/>
      <c r="CT87" s="248"/>
      <c r="CU87" s="248"/>
      <c r="CV87" s="248"/>
      <c r="CW87" s="248"/>
      <c r="CX87" s="248"/>
      <c r="CY87" s="248"/>
      <c r="CZ87" s="248"/>
      <c r="DA87" s="248"/>
      <c r="DB87" s="248"/>
      <c r="DC87" s="248"/>
      <c r="DD87" s="248"/>
      <c r="DE87" s="248"/>
      <c r="DF87" s="248"/>
      <c r="DG87" s="248"/>
      <c r="DH87" s="248"/>
      <c r="DI87" s="248"/>
      <c r="DJ87" s="248"/>
      <c r="DK87" s="248"/>
      <c r="DL87" s="248"/>
      <c r="DM87" s="248"/>
      <c r="DN87" s="248"/>
      <c r="DO87" s="248"/>
      <c r="DP87" s="248"/>
      <c r="DQ87" s="248"/>
      <c r="DR87" s="248"/>
      <c r="DS87" s="248"/>
      <c r="DT87" s="248"/>
      <c r="DU87" s="248"/>
      <c r="DV87" s="248"/>
      <c r="DW87" s="248"/>
      <c r="DX87" s="248"/>
      <c r="DY87" s="248"/>
      <c r="DZ87" s="248"/>
      <c r="EA87" s="248"/>
      <c r="EB87" s="248"/>
      <c r="EC87" s="248"/>
      <c r="ED87" s="248"/>
      <c r="EE87" s="248"/>
    </row>
    <row r="88" spans="1:135" s="35" customFormat="1" ht="16.5">
      <c r="A88" s="35" t="str">
        <f t="shared" si="2"/>
        <v>KS_CPL_D            DIAG</v>
      </c>
      <c r="B88" s="331"/>
      <c r="C88" s="248">
        <v>117</v>
      </c>
      <c r="D88" s="283" t="s">
        <v>605</v>
      </c>
      <c r="E88" s="283"/>
      <c r="F88" s="35" t="s">
        <v>1086</v>
      </c>
      <c r="G88" s="39"/>
      <c r="H88" s="35" t="s">
        <v>523</v>
      </c>
      <c r="O88" s="34" t="s">
        <v>1086</v>
      </c>
      <c r="P88" s="34" t="s">
        <v>1086</v>
      </c>
      <c r="Q88" s="58"/>
      <c r="R88" s="39"/>
      <c r="AH88" s="279"/>
      <c r="AJ88" s="279" t="s">
        <v>1117</v>
      </c>
      <c r="AK88" s="279"/>
      <c r="AL88" s="523">
        <v>3</v>
      </c>
      <c r="AM88" s="35">
        <v>117</v>
      </c>
      <c r="AN88" s="35" t="s">
        <v>1838</v>
      </c>
      <c r="AO88" s="35" t="s">
        <v>416</v>
      </c>
      <c r="AP88" s="35" t="s">
        <v>646</v>
      </c>
      <c r="AQ88" s="34" t="s">
        <v>1784</v>
      </c>
      <c r="AR88" s="35">
        <v>14</v>
      </c>
      <c r="AS88" s="35" t="s">
        <v>1785</v>
      </c>
      <c r="AT88" s="35" t="s">
        <v>492</v>
      </c>
      <c r="AU88" s="35" t="s">
        <v>10</v>
      </c>
      <c r="AV88" s="35" t="s">
        <v>1699</v>
      </c>
      <c r="AW88" s="35" t="s">
        <v>658</v>
      </c>
      <c r="AX88" s="34" t="s">
        <v>2306</v>
      </c>
      <c r="AY88" s="35">
        <v>8</v>
      </c>
      <c r="AZ88" s="35" t="s">
        <v>1308</v>
      </c>
      <c r="BA88" s="35" t="s">
        <v>663</v>
      </c>
      <c r="BB88" s="35" t="s">
        <v>10</v>
      </c>
      <c r="BC88" s="35" t="s">
        <v>486</v>
      </c>
      <c r="BD88" s="35" t="s">
        <v>1742</v>
      </c>
      <c r="BE88" s="35" t="s">
        <v>10</v>
      </c>
      <c r="BF88" s="35" t="s">
        <v>10</v>
      </c>
      <c r="BG88" s="35">
        <v>360</v>
      </c>
      <c r="BH88" s="35" t="s">
        <v>79</v>
      </c>
      <c r="BI88" s="35">
        <v>0.13</v>
      </c>
      <c r="BJ88" s="35" t="s">
        <v>1839</v>
      </c>
      <c r="BK88" s="35" t="s">
        <v>2374</v>
      </c>
      <c r="BL88" s="35" t="s">
        <v>2492</v>
      </c>
      <c r="BM88" s="35">
        <v>117</v>
      </c>
      <c r="BW88" s="248"/>
      <c r="BX88" s="248"/>
      <c r="BY88" s="248"/>
      <c r="BZ88" s="248"/>
      <c r="CA88" s="248"/>
      <c r="CB88" s="248"/>
      <c r="CC88" s="248"/>
      <c r="CD88" s="248"/>
      <c r="CE88" s="248"/>
      <c r="CF88" s="248"/>
      <c r="CG88" s="248"/>
      <c r="CH88" s="248"/>
      <c r="CI88" s="248"/>
      <c r="CJ88" s="248"/>
      <c r="CK88" s="248"/>
      <c r="CL88" s="248"/>
      <c r="CM88" s="248"/>
      <c r="CN88" s="248"/>
      <c r="CO88" s="248"/>
      <c r="CP88" s="248"/>
      <c r="CQ88" s="248"/>
      <c r="CR88" s="248"/>
      <c r="CS88" s="248"/>
      <c r="CT88" s="248"/>
      <c r="CU88" s="248"/>
      <c r="CV88" s="248"/>
      <c r="CW88" s="248"/>
      <c r="CX88" s="248"/>
      <c r="CY88" s="248"/>
      <c r="CZ88" s="248"/>
      <c r="DA88" s="248"/>
      <c r="DB88" s="248"/>
      <c r="DC88" s="248"/>
      <c r="DD88" s="248"/>
      <c r="DE88" s="248"/>
      <c r="DF88" s="248"/>
      <c r="DG88" s="248"/>
      <c r="DH88" s="248"/>
      <c r="DI88" s="248"/>
      <c r="DJ88" s="248"/>
      <c r="DK88" s="248"/>
      <c r="DL88" s="248"/>
      <c r="DM88" s="248"/>
      <c r="DN88" s="248"/>
      <c r="DO88" s="248"/>
      <c r="DP88" s="248"/>
      <c r="DQ88" s="248"/>
      <c r="DR88" s="248"/>
      <c r="DS88" s="248"/>
      <c r="DT88" s="248"/>
      <c r="DU88" s="248"/>
      <c r="DV88" s="248"/>
      <c r="DW88" s="248"/>
      <c r="DX88" s="248"/>
      <c r="DY88" s="248"/>
      <c r="DZ88" s="248"/>
      <c r="EA88" s="248"/>
      <c r="EB88" s="248"/>
      <c r="EC88" s="248"/>
      <c r="ED88" s="248"/>
      <c r="EE88" s="248"/>
    </row>
    <row r="89" spans="1:135" s="32" customFormat="1" ht="16.5">
      <c r="A89" s="35" t="str">
        <f t="shared" si="2"/>
        <v>SIDO_P              DIAG</v>
      </c>
      <c r="B89" s="331"/>
      <c r="C89" s="248">
        <v>118</v>
      </c>
      <c r="D89" s="283" t="s">
        <v>605</v>
      </c>
      <c r="E89" s="283"/>
      <c r="F89" s="35" t="s">
        <v>1086</v>
      </c>
      <c r="G89" s="58"/>
      <c r="H89" s="58"/>
      <c r="I89" s="58"/>
      <c r="N89" s="58"/>
      <c r="O89" s="34" t="s">
        <v>1086</v>
      </c>
      <c r="P89" s="34" t="s">
        <v>1086</v>
      </c>
      <c r="Q89" s="59"/>
      <c r="R89" s="62"/>
      <c r="AH89" s="279"/>
      <c r="AI89" s="35"/>
      <c r="AJ89" s="279" t="s">
        <v>1117</v>
      </c>
      <c r="AK89" s="279"/>
      <c r="AL89" s="523">
        <v>3</v>
      </c>
      <c r="AM89" s="35">
        <v>118</v>
      </c>
      <c r="AN89" s="35" t="s">
        <v>1840</v>
      </c>
      <c r="AO89" s="35" t="s">
        <v>901</v>
      </c>
      <c r="AP89" s="35" t="s">
        <v>633</v>
      </c>
      <c r="AQ89" s="34" t="s">
        <v>2257</v>
      </c>
      <c r="AR89" s="35" t="s">
        <v>279</v>
      </c>
      <c r="AS89" s="35" t="s">
        <v>1414</v>
      </c>
      <c r="AT89" s="35" t="s">
        <v>242</v>
      </c>
      <c r="AU89" s="35" t="s">
        <v>10</v>
      </c>
      <c r="AV89" s="35" t="s">
        <v>1699</v>
      </c>
      <c r="AW89" s="35" t="s">
        <v>658</v>
      </c>
      <c r="AX89" s="34" t="s">
        <v>2306</v>
      </c>
      <c r="AY89" s="35">
        <v>16</v>
      </c>
      <c r="AZ89" s="35" t="s">
        <v>1308</v>
      </c>
      <c r="BA89" s="35" t="s">
        <v>659</v>
      </c>
      <c r="BB89" s="35" t="s">
        <v>10</v>
      </c>
      <c r="BC89" s="35" t="s">
        <v>131</v>
      </c>
      <c r="BD89" s="35" t="s">
        <v>1742</v>
      </c>
      <c r="BE89" s="35" t="s">
        <v>10</v>
      </c>
      <c r="BF89" s="35" t="s">
        <v>10</v>
      </c>
      <c r="BG89" s="35">
        <v>2035</v>
      </c>
      <c r="BH89" s="35" t="s">
        <v>112</v>
      </c>
      <c r="BI89" s="35">
        <v>0.5</v>
      </c>
      <c r="BJ89" s="35" t="s">
        <v>1412</v>
      </c>
      <c r="BK89" s="35" t="s">
        <v>2374</v>
      </c>
      <c r="BL89" s="35" t="s">
        <v>2492</v>
      </c>
      <c r="BM89" s="35">
        <v>118</v>
      </c>
      <c r="BN89" s="35"/>
      <c r="BO89" s="35"/>
      <c r="BP89" s="35"/>
      <c r="BQ89" s="35"/>
      <c r="BR89" s="35"/>
      <c r="BS89" s="35"/>
      <c r="BT89" s="35"/>
      <c r="BU89" s="35"/>
      <c r="BV89" s="35"/>
      <c r="BW89" s="248"/>
      <c r="BX89" s="248"/>
      <c r="BY89" s="248"/>
      <c r="BZ89" s="248"/>
      <c r="CA89" s="248"/>
      <c r="CB89" s="248"/>
      <c r="CC89" s="248"/>
      <c r="CD89" s="248"/>
      <c r="CE89" s="248"/>
      <c r="CF89" s="248"/>
      <c r="CG89" s="248"/>
      <c r="CH89" s="248"/>
      <c r="CI89" s="248"/>
      <c r="CJ89" s="248"/>
      <c r="CK89" s="248"/>
      <c r="CL89" s="248"/>
      <c r="CM89" s="248"/>
      <c r="CN89" s="248"/>
      <c r="CO89" s="248"/>
      <c r="CP89" s="248"/>
      <c r="CQ89" s="248"/>
      <c r="CR89" s="248"/>
      <c r="CS89" s="248"/>
      <c r="CT89" s="248"/>
      <c r="CU89" s="248"/>
      <c r="CV89" s="248"/>
      <c r="CW89" s="248"/>
      <c r="CX89" s="248"/>
      <c r="CY89" s="248"/>
      <c r="CZ89" s="248"/>
      <c r="DA89" s="248"/>
      <c r="DB89" s="248"/>
      <c r="DC89" s="248"/>
      <c r="DD89" s="248"/>
      <c r="DE89" s="248"/>
      <c r="DF89" s="248"/>
      <c r="DG89" s="248"/>
      <c r="DH89" s="248"/>
      <c r="DI89" s="248"/>
      <c r="DJ89" s="248"/>
      <c r="DK89" s="248"/>
      <c r="DL89" s="248"/>
      <c r="DM89" s="248"/>
      <c r="DN89" s="248"/>
      <c r="DO89" s="248"/>
      <c r="DP89" s="248"/>
      <c r="DQ89" s="248"/>
      <c r="DR89" s="248"/>
      <c r="DS89" s="248"/>
      <c r="DT89" s="248"/>
      <c r="DU89" s="248"/>
      <c r="DV89" s="248"/>
      <c r="DW89" s="248"/>
      <c r="DX89" s="248"/>
      <c r="DY89" s="248"/>
      <c r="DZ89" s="248"/>
      <c r="EA89" s="248"/>
      <c r="EB89" s="248"/>
      <c r="EC89" s="248"/>
      <c r="ED89" s="248"/>
      <c r="EE89" s="248"/>
    </row>
    <row r="90" spans="1:135" s="35" customFormat="1" ht="16.5">
      <c r="A90" s="35" t="str">
        <f t="shared" si="2"/>
        <v>MIB_E               SP_CANHI</v>
      </c>
      <c r="B90" s="331"/>
      <c r="C90" s="248">
        <v>121</v>
      </c>
      <c r="D90" s="283" t="s">
        <v>605</v>
      </c>
      <c r="F90" s="286" t="s">
        <v>1093</v>
      </c>
      <c r="G90" s="35" t="s">
        <v>2233</v>
      </c>
      <c r="H90" s="35" t="s">
        <v>610</v>
      </c>
      <c r="N90" s="35" t="s">
        <v>619</v>
      </c>
      <c r="O90" s="34" t="s">
        <v>1086</v>
      </c>
      <c r="P90" s="34" t="s">
        <v>1097</v>
      </c>
      <c r="Q90" s="58"/>
      <c r="R90" s="39"/>
      <c r="AH90" s="279"/>
      <c r="AJ90" s="279" t="s">
        <v>1116</v>
      </c>
      <c r="AK90" s="279"/>
      <c r="AL90" s="523">
        <v>3</v>
      </c>
      <c r="AM90" s="35">
        <v>121</v>
      </c>
      <c r="AN90" s="35" t="s">
        <v>1841</v>
      </c>
      <c r="AO90" s="35" t="s">
        <v>920</v>
      </c>
      <c r="AP90" s="35" t="s">
        <v>664</v>
      </c>
      <c r="AQ90" s="34" t="s">
        <v>2264</v>
      </c>
      <c r="AR90" s="35">
        <v>6</v>
      </c>
      <c r="AS90" s="35" t="s">
        <v>1257</v>
      </c>
      <c r="AT90" s="35" t="s">
        <v>87</v>
      </c>
      <c r="AU90" s="35" t="s">
        <v>10</v>
      </c>
      <c r="AV90" s="35" t="s">
        <v>1695</v>
      </c>
      <c r="AW90" s="35" t="s">
        <v>1189</v>
      </c>
      <c r="AX90" s="34" t="s">
        <v>2233</v>
      </c>
      <c r="AY90" s="35">
        <v>1</v>
      </c>
      <c r="AZ90" s="35" t="s">
        <v>1394</v>
      </c>
      <c r="BA90" s="35" t="s">
        <v>10</v>
      </c>
      <c r="BB90" s="35" t="s">
        <v>10</v>
      </c>
      <c r="BC90" s="35" t="s">
        <v>2385</v>
      </c>
      <c r="BD90" s="35" t="s">
        <v>1742</v>
      </c>
      <c r="BE90" s="35" t="s">
        <v>665</v>
      </c>
      <c r="BF90" s="35" t="s">
        <v>181</v>
      </c>
      <c r="BG90" s="35">
        <v>907</v>
      </c>
      <c r="BH90" s="35" t="s">
        <v>79</v>
      </c>
      <c r="BI90" s="35">
        <v>0.35</v>
      </c>
      <c r="BJ90" s="35" t="s">
        <v>1789</v>
      </c>
      <c r="BK90" s="35" t="s">
        <v>2374</v>
      </c>
      <c r="BL90" s="35" t="s">
        <v>2492</v>
      </c>
      <c r="BM90" s="35">
        <v>121</v>
      </c>
      <c r="BW90" s="248"/>
      <c r="BX90" s="248"/>
      <c r="BY90" s="248"/>
      <c r="BZ90" s="248"/>
      <c r="CA90" s="248"/>
      <c r="CB90" s="248"/>
      <c r="CC90" s="248"/>
      <c r="CD90" s="248"/>
      <c r="CE90" s="248"/>
      <c r="CF90" s="248"/>
      <c r="CG90" s="248"/>
      <c r="CH90" s="248"/>
      <c r="CI90" s="248"/>
      <c r="CJ90" s="248"/>
      <c r="CK90" s="248"/>
      <c r="CL90" s="248"/>
      <c r="CM90" s="248"/>
      <c r="CN90" s="248"/>
      <c r="CO90" s="248"/>
      <c r="CP90" s="248"/>
      <c r="CQ90" s="248"/>
      <c r="CR90" s="248"/>
      <c r="CS90" s="248"/>
      <c r="CT90" s="248"/>
      <c r="CU90" s="248"/>
      <c r="CV90" s="248"/>
      <c r="CW90" s="248"/>
      <c r="CX90" s="248"/>
      <c r="CY90" s="248"/>
      <c r="CZ90" s="248"/>
      <c r="DA90" s="248"/>
      <c r="DB90" s="248"/>
      <c r="DC90" s="248"/>
      <c r="DD90" s="248"/>
      <c r="DE90" s="248"/>
      <c r="DF90" s="248"/>
      <c r="DG90" s="248"/>
      <c r="DH90" s="248"/>
      <c r="DI90" s="248"/>
      <c r="DJ90" s="248"/>
      <c r="DK90" s="248"/>
      <c r="DL90" s="248"/>
      <c r="DM90" s="248"/>
      <c r="DN90" s="248"/>
      <c r="DO90" s="248"/>
      <c r="DP90" s="248"/>
      <c r="DQ90" s="248"/>
      <c r="DR90" s="248"/>
      <c r="DS90" s="248"/>
      <c r="DT90" s="248"/>
      <c r="DU90" s="248"/>
      <c r="DV90" s="248"/>
      <c r="DW90" s="248"/>
      <c r="DX90" s="248"/>
      <c r="DY90" s="248"/>
      <c r="DZ90" s="248"/>
      <c r="EA90" s="248"/>
      <c r="EB90" s="248"/>
      <c r="EC90" s="248"/>
      <c r="ED90" s="248"/>
      <c r="EE90" s="248"/>
    </row>
    <row r="91" spans="1:135" s="35" customFormat="1" ht="16.5">
      <c r="A91" s="35" t="str">
        <f t="shared" si="2"/>
        <v>MIB_E               SP_CANLI</v>
      </c>
      <c r="B91" s="331"/>
      <c r="C91" s="248">
        <v>122</v>
      </c>
      <c r="D91" s="283" t="s">
        <v>605</v>
      </c>
      <c r="F91" s="286" t="s">
        <v>1093</v>
      </c>
      <c r="G91" s="35" t="s">
        <v>2234</v>
      </c>
      <c r="H91" s="35" t="s">
        <v>610</v>
      </c>
      <c r="N91" s="35" t="s">
        <v>619</v>
      </c>
      <c r="O91" s="34" t="s">
        <v>1086</v>
      </c>
      <c r="P91" s="34" t="s">
        <v>1097</v>
      </c>
      <c r="Q91" s="58"/>
      <c r="R91" s="39"/>
      <c r="W91" s="39"/>
      <c r="AH91" s="279"/>
      <c r="AJ91" s="279" t="s">
        <v>1116</v>
      </c>
      <c r="AK91" s="279"/>
      <c r="AL91" s="523">
        <v>3</v>
      </c>
      <c r="AM91" s="35">
        <v>122</v>
      </c>
      <c r="AN91" s="35" t="s">
        <v>1842</v>
      </c>
      <c r="AO91" s="35" t="s">
        <v>920</v>
      </c>
      <c r="AP91" s="35" t="s">
        <v>664</v>
      </c>
      <c r="AQ91" s="34" t="s">
        <v>2264</v>
      </c>
      <c r="AR91" s="35">
        <v>12</v>
      </c>
      <c r="AS91" s="35" t="s">
        <v>1257</v>
      </c>
      <c r="AT91" s="35" t="s">
        <v>87</v>
      </c>
      <c r="AU91" s="35" t="s">
        <v>10</v>
      </c>
      <c r="AV91" s="35" t="s">
        <v>1696</v>
      </c>
      <c r="AW91" s="35" t="s">
        <v>1190</v>
      </c>
      <c r="AX91" s="34" t="s">
        <v>2234</v>
      </c>
      <c r="AY91" s="35">
        <v>1</v>
      </c>
      <c r="AZ91" s="35" t="s">
        <v>1394</v>
      </c>
      <c r="BA91" s="35" t="s">
        <v>10</v>
      </c>
      <c r="BB91" s="35" t="s">
        <v>10</v>
      </c>
      <c r="BC91" s="35" t="s">
        <v>2385</v>
      </c>
      <c r="BD91" s="35" t="s">
        <v>1742</v>
      </c>
      <c r="BE91" s="35" t="s">
        <v>665</v>
      </c>
      <c r="BF91" s="35" t="s">
        <v>88</v>
      </c>
      <c r="BG91" s="35">
        <v>907</v>
      </c>
      <c r="BH91" s="35" t="s">
        <v>89</v>
      </c>
      <c r="BI91" s="35">
        <v>0.35</v>
      </c>
      <c r="BJ91" s="35" t="s">
        <v>1792</v>
      </c>
      <c r="BK91" s="35" t="s">
        <v>2374</v>
      </c>
      <c r="BL91" s="35" t="s">
        <v>2492</v>
      </c>
      <c r="BM91" s="35">
        <v>122</v>
      </c>
      <c r="BW91" s="248"/>
      <c r="BX91" s="248"/>
      <c r="BY91" s="248"/>
      <c r="BZ91" s="248"/>
      <c r="CA91" s="248"/>
      <c r="CB91" s="248"/>
      <c r="CC91" s="248"/>
      <c r="CD91" s="248"/>
      <c r="CE91" s="248"/>
      <c r="CF91" s="248"/>
      <c r="CG91" s="248"/>
      <c r="CH91" s="248"/>
      <c r="CI91" s="248"/>
      <c r="CJ91" s="248"/>
      <c r="CK91" s="248"/>
      <c r="CL91" s="248"/>
      <c r="CM91" s="248"/>
      <c r="CN91" s="248"/>
      <c r="CO91" s="248"/>
      <c r="CP91" s="248"/>
      <c r="CQ91" s="248"/>
      <c r="CR91" s="248"/>
      <c r="CS91" s="248"/>
      <c r="CT91" s="248"/>
      <c r="CU91" s="248"/>
      <c r="CV91" s="248"/>
      <c r="CW91" s="248"/>
      <c r="CX91" s="248"/>
      <c r="CY91" s="248"/>
      <c r="CZ91" s="248"/>
      <c r="DA91" s="248"/>
      <c r="DB91" s="248"/>
      <c r="DC91" s="248"/>
      <c r="DD91" s="248"/>
      <c r="DE91" s="248"/>
      <c r="DF91" s="248"/>
      <c r="DG91" s="248"/>
      <c r="DH91" s="248"/>
      <c r="DI91" s="248"/>
      <c r="DJ91" s="248"/>
      <c r="DK91" s="248"/>
      <c r="DL91" s="248"/>
      <c r="DM91" s="248"/>
      <c r="DN91" s="248"/>
      <c r="DO91" s="248"/>
      <c r="DP91" s="248"/>
      <c r="DQ91" s="248"/>
      <c r="DR91" s="248"/>
      <c r="DS91" s="248"/>
      <c r="DT91" s="248"/>
      <c r="DU91" s="248"/>
      <c r="DV91" s="248"/>
      <c r="DW91" s="248"/>
      <c r="DX91" s="248"/>
      <c r="DY91" s="248"/>
      <c r="DZ91" s="248"/>
      <c r="EA91" s="248"/>
      <c r="EB91" s="248"/>
      <c r="EC91" s="248"/>
      <c r="ED91" s="248"/>
      <c r="EE91" s="248"/>
    </row>
    <row r="92" spans="1:135" s="35" customFormat="1" ht="16.5">
      <c r="A92" s="35" t="str">
        <f t="shared" si="2"/>
        <v>KS_CPL_D            DIAG</v>
      </c>
      <c r="B92" s="331"/>
      <c r="C92" s="248">
        <v>129</v>
      </c>
      <c r="D92" s="283" t="s">
        <v>605</v>
      </c>
      <c r="E92" s="283"/>
      <c r="F92" s="35" t="s">
        <v>1086</v>
      </c>
      <c r="G92" s="39"/>
      <c r="O92" s="34" t="s">
        <v>1086</v>
      </c>
      <c r="P92" s="34" t="s">
        <v>1086</v>
      </c>
      <c r="Q92" s="58"/>
      <c r="R92" s="39"/>
      <c r="W92" s="39"/>
      <c r="AH92" s="279"/>
      <c r="AJ92" s="279" t="s">
        <v>1117</v>
      </c>
      <c r="AK92" s="279"/>
      <c r="AL92" s="523">
        <v>3</v>
      </c>
      <c r="AM92" s="35">
        <v>129</v>
      </c>
      <c r="AN92" s="35" t="s">
        <v>1843</v>
      </c>
      <c r="AO92" s="35" t="s">
        <v>416</v>
      </c>
      <c r="AP92" s="35" t="s">
        <v>646</v>
      </c>
      <c r="AQ92" s="34" t="s">
        <v>1784</v>
      </c>
      <c r="AR92" s="35">
        <v>13</v>
      </c>
      <c r="AS92" s="35" t="s">
        <v>1785</v>
      </c>
      <c r="AT92" s="35" t="s">
        <v>72</v>
      </c>
      <c r="AU92" s="35" t="s">
        <v>10</v>
      </c>
      <c r="AV92" s="35" t="s">
        <v>1699</v>
      </c>
      <c r="AW92" s="35" t="s">
        <v>658</v>
      </c>
      <c r="AX92" s="34" t="s">
        <v>2306</v>
      </c>
      <c r="AY92" s="35">
        <v>15</v>
      </c>
      <c r="AZ92" s="35" t="s">
        <v>1308</v>
      </c>
      <c r="BA92" s="35" t="s">
        <v>659</v>
      </c>
      <c r="BB92" s="35" t="s">
        <v>10</v>
      </c>
      <c r="BC92" s="35" t="s">
        <v>186</v>
      </c>
      <c r="BD92" s="35" t="s">
        <v>1742</v>
      </c>
      <c r="BE92" s="35" t="s">
        <v>10</v>
      </c>
      <c r="BF92" s="35" t="s">
        <v>10</v>
      </c>
      <c r="BG92" s="35">
        <v>360</v>
      </c>
      <c r="BH92" s="35" t="s">
        <v>137</v>
      </c>
      <c r="BI92" s="35">
        <v>0.35</v>
      </c>
      <c r="BJ92" s="35" t="s">
        <v>476</v>
      </c>
      <c r="BK92" s="35" t="s">
        <v>2374</v>
      </c>
      <c r="BL92" s="35" t="s">
        <v>2492</v>
      </c>
      <c r="BM92" s="35">
        <v>129</v>
      </c>
      <c r="BW92" s="248"/>
      <c r="BX92" s="248"/>
      <c r="BY92" s="248"/>
      <c r="BZ92" s="248"/>
      <c r="CA92" s="248"/>
      <c r="CB92" s="248"/>
      <c r="CC92" s="248"/>
      <c r="CD92" s="248"/>
      <c r="CE92" s="248"/>
      <c r="CF92" s="248"/>
      <c r="CG92" s="248"/>
      <c r="CH92" s="248"/>
      <c r="CI92" s="248"/>
      <c r="CJ92" s="248"/>
      <c r="CK92" s="248"/>
      <c r="CL92" s="248"/>
      <c r="CM92" s="248"/>
      <c r="CN92" s="248"/>
      <c r="CO92" s="248"/>
      <c r="CP92" s="248"/>
      <c r="CQ92" s="248"/>
      <c r="CR92" s="248"/>
      <c r="CS92" s="248"/>
      <c r="CT92" s="248"/>
      <c r="CU92" s="248"/>
      <c r="CV92" s="248"/>
      <c r="CW92" s="248"/>
      <c r="CX92" s="248"/>
      <c r="CY92" s="248"/>
      <c r="CZ92" s="248"/>
      <c r="DA92" s="248"/>
      <c r="DB92" s="248"/>
      <c r="DC92" s="248"/>
      <c r="DD92" s="248"/>
      <c r="DE92" s="248"/>
      <c r="DF92" s="248"/>
      <c r="DG92" s="248"/>
      <c r="DH92" s="248"/>
      <c r="DI92" s="248"/>
      <c r="DJ92" s="248"/>
      <c r="DK92" s="248"/>
      <c r="DL92" s="248"/>
      <c r="DM92" s="248"/>
      <c r="DN92" s="248"/>
      <c r="DO92" s="248"/>
      <c r="DP92" s="248"/>
      <c r="DQ92" s="248"/>
      <c r="DR92" s="248"/>
      <c r="DS92" s="248"/>
      <c r="DT92" s="248"/>
      <c r="DU92" s="248"/>
      <c r="DV92" s="248"/>
      <c r="DW92" s="248"/>
      <c r="DX92" s="248"/>
      <c r="DY92" s="248"/>
      <c r="DZ92" s="248"/>
      <c r="EA92" s="248"/>
      <c r="EB92" s="248"/>
      <c r="EC92" s="248"/>
      <c r="ED92" s="248"/>
      <c r="EE92" s="248"/>
    </row>
    <row r="93" spans="1:135" s="35" customFormat="1" ht="16.5">
      <c r="A93" s="35" t="str">
        <f t="shared" si="2"/>
        <v>LTE_CPT             KS_CPR_E</v>
      </c>
      <c r="B93" s="367"/>
      <c r="C93" s="248">
        <v>137</v>
      </c>
      <c r="D93" s="283" t="s">
        <v>605</v>
      </c>
      <c r="E93" s="283"/>
      <c r="F93" s="35" t="s">
        <v>1086</v>
      </c>
      <c r="G93" s="39"/>
      <c r="O93" s="34" t="s">
        <v>1086</v>
      </c>
      <c r="P93" s="34" t="s">
        <v>1086</v>
      </c>
      <c r="Q93" s="58"/>
      <c r="R93" s="104"/>
      <c r="W93" s="104">
        <v>980016331</v>
      </c>
      <c r="Z93" s="335" t="s">
        <v>2645</v>
      </c>
      <c r="AA93" s="335" t="s">
        <v>2645</v>
      </c>
      <c r="AB93" s="336" t="s">
        <v>1114</v>
      </c>
      <c r="AH93" s="279"/>
      <c r="AJ93" s="279" t="s">
        <v>1117</v>
      </c>
      <c r="AK93" s="420"/>
      <c r="AL93" s="523">
        <v>3</v>
      </c>
      <c r="AM93" s="35">
        <v>137</v>
      </c>
      <c r="AN93" s="35" t="s">
        <v>1413</v>
      </c>
      <c r="AO93" s="35" t="s">
        <v>948</v>
      </c>
      <c r="AP93" s="35" t="s">
        <v>666</v>
      </c>
      <c r="AQ93" s="34" t="s">
        <v>2265</v>
      </c>
      <c r="AR93" s="35">
        <v>1</v>
      </c>
      <c r="AS93" s="35" t="s">
        <v>1844</v>
      </c>
      <c r="AT93" s="35" t="s">
        <v>320</v>
      </c>
      <c r="AU93" s="35" t="s">
        <v>10</v>
      </c>
      <c r="AV93" s="35" t="s">
        <v>424</v>
      </c>
      <c r="AW93" s="35" t="s">
        <v>1318</v>
      </c>
      <c r="AX93" s="34" t="s">
        <v>1845</v>
      </c>
      <c r="AY93" s="35">
        <v>1</v>
      </c>
      <c r="AZ93" s="35" t="s">
        <v>1088</v>
      </c>
      <c r="BA93" s="35" t="s">
        <v>1074</v>
      </c>
      <c r="BB93" s="35" t="s">
        <v>10</v>
      </c>
      <c r="BC93" s="35" t="s">
        <v>142</v>
      </c>
      <c r="BD93" s="35" t="s">
        <v>1846</v>
      </c>
      <c r="BE93" s="35" t="s">
        <v>667</v>
      </c>
      <c r="BF93" s="35" t="s">
        <v>143</v>
      </c>
      <c r="BG93" s="35">
        <v>1715</v>
      </c>
      <c r="BH93" s="35" t="s">
        <v>1415</v>
      </c>
      <c r="BI93" s="35">
        <v>0.35</v>
      </c>
      <c r="BJ93" s="35" t="s">
        <v>1416</v>
      </c>
      <c r="BK93" s="35" t="s">
        <v>2374</v>
      </c>
      <c r="BL93" s="35" t="s">
        <v>10</v>
      </c>
      <c r="BM93" s="35">
        <v>137</v>
      </c>
      <c r="BW93" s="248"/>
      <c r="BX93" s="248"/>
      <c r="BY93" s="248"/>
      <c r="BZ93" s="248"/>
      <c r="CA93" s="248"/>
      <c r="CB93" s="248"/>
      <c r="CC93" s="248"/>
      <c r="CD93" s="248"/>
      <c r="CE93" s="248"/>
      <c r="CF93" s="248"/>
      <c r="CG93" s="248"/>
      <c r="CH93" s="248"/>
      <c r="CI93" s="248"/>
      <c r="CJ93" s="248"/>
      <c r="CK93" s="248"/>
      <c r="CL93" s="248"/>
      <c r="CM93" s="248"/>
      <c r="CN93" s="248"/>
      <c r="CO93" s="248"/>
      <c r="CP93" s="248"/>
      <c r="CQ93" s="248"/>
      <c r="CR93" s="248"/>
      <c r="CS93" s="248"/>
      <c r="CT93" s="248"/>
      <c r="CU93" s="248"/>
      <c r="CV93" s="248"/>
      <c r="CW93" s="248"/>
      <c r="CX93" s="248"/>
      <c r="CY93" s="248"/>
      <c r="CZ93" s="248"/>
      <c r="DA93" s="248"/>
      <c r="DB93" s="248"/>
      <c r="DC93" s="248"/>
      <c r="DD93" s="248"/>
      <c r="DE93" s="248"/>
      <c r="DF93" s="248"/>
      <c r="DG93" s="248"/>
      <c r="DH93" s="248"/>
      <c r="DI93" s="248"/>
      <c r="DJ93" s="248"/>
      <c r="DK93" s="248"/>
      <c r="DL93" s="248"/>
      <c r="DM93" s="248"/>
      <c r="DN93" s="248"/>
      <c r="DO93" s="248"/>
      <c r="DP93" s="248"/>
      <c r="DQ93" s="248"/>
      <c r="DR93" s="248"/>
      <c r="DS93" s="248"/>
      <c r="DT93" s="248"/>
      <c r="DU93" s="248"/>
      <c r="DV93" s="248"/>
      <c r="DW93" s="248"/>
      <c r="DX93" s="248"/>
      <c r="DY93" s="248"/>
      <c r="DZ93" s="248"/>
      <c r="EA93" s="248"/>
      <c r="EB93" s="248"/>
      <c r="EC93" s="248"/>
      <c r="ED93" s="248"/>
      <c r="EE93" s="248"/>
    </row>
    <row r="94" spans="1:135" s="35" customFormat="1" ht="16.5">
      <c r="A94" s="35" t="str">
        <f t="shared" si="2"/>
        <v>LTE_CPT             KS_CPR_E</v>
      </c>
      <c r="B94" s="367"/>
      <c r="C94" s="248">
        <v>138</v>
      </c>
      <c r="D94" s="283" t="s">
        <v>605</v>
      </c>
      <c r="E94" s="283"/>
      <c r="F94" s="35" t="s">
        <v>1086</v>
      </c>
      <c r="G94" s="39"/>
      <c r="O94" s="34" t="s">
        <v>1086</v>
      </c>
      <c r="P94" s="34" t="s">
        <v>1086</v>
      </c>
      <c r="Q94" s="58"/>
      <c r="R94" s="104"/>
      <c r="W94" s="104">
        <v>980016331</v>
      </c>
      <c r="Z94" s="335"/>
      <c r="AA94" s="335"/>
      <c r="AB94" s="336" t="s">
        <v>1114</v>
      </c>
      <c r="AH94" s="279"/>
      <c r="AJ94" s="279" t="s">
        <v>1117</v>
      </c>
      <c r="AK94" s="420"/>
      <c r="AL94" s="523">
        <v>3</v>
      </c>
      <c r="AM94" s="35">
        <v>138</v>
      </c>
      <c r="AN94" s="35" t="s">
        <v>1417</v>
      </c>
      <c r="AO94" s="35" t="s">
        <v>948</v>
      </c>
      <c r="AP94" s="35" t="s">
        <v>666</v>
      </c>
      <c r="AQ94" s="34" t="s">
        <v>2265</v>
      </c>
      <c r="AR94" s="35">
        <v>2</v>
      </c>
      <c r="AS94" s="35" t="s">
        <v>1844</v>
      </c>
      <c r="AT94" s="35" t="s">
        <v>157</v>
      </c>
      <c r="AU94" s="35" t="s">
        <v>10</v>
      </c>
      <c r="AV94" s="35" t="s">
        <v>424</v>
      </c>
      <c r="AW94" s="35" t="s">
        <v>1318</v>
      </c>
      <c r="AX94" s="34" t="s">
        <v>1845</v>
      </c>
      <c r="AY94" s="35">
        <v>2</v>
      </c>
      <c r="AZ94" s="35" t="s">
        <v>1088</v>
      </c>
      <c r="BA94" s="35" t="s">
        <v>157</v>
      </c>
      <c r="BB94" s="35" t="s">
        <v>10</v>
      </c>
      <c r="BC94" s="35" t="s">
        <v>142</v>
      </c>
      <c r="BD94" s="35" t="s">
        <v>157</v>
      </c>
      <c r="BE94" s="35" t="s">
        <v>667</v>
      </c>
      <c r="BF94" s="35" t="s">
        <v>145</v>
      </c>
      <c r="BG94" s="35">
        <v>1715</v>
      </c>
      <c r="BH94" s="35" t="s">
        <v>139</v>
      </c>
      <c r="BI94" s="35">
        <v>0.5</v>
      </c>
      <c r="BJ94" s="35" t="s">
        <v>1418</v>
      </c>
      <c r="BK94" s="35" t="s">
        <v>2374</v>
      </c>
      <c r="BL94" s="35" t="s">
        <v>10</v>
      </c>
      <c r="BM94" s="35">
        <v>138</v>
      </c>
      <c r="BW94" s="248"/>
      <c r="BX94" s="248"/>
      <c r="BY94" s="248"/>
      <c r="BZ94" s="248"/>
      <c r="CA94" s="248"/>
      <c r="CB94" s="248"/>
      <c r="CC94" s="248"/>
      <c r="CD94" s="248"/>
      <c r="CE94" s="248"/>
      <c r="CF94" s="248"/>
      <c r="CG94" s="248"/>
      <c r="CH94" s="248"/>
      <c r="CI94" s="248"/>
      <c r="CJ94" s="248"/>
      <c r="CK94" s="248"/>
      <c r="CL94" s="248"/>
      <c r="CM94" s="248"/>
      <c r="CN94" s="248"/>
      <c r="CO94" s="248"/>
      <c r="CP94" s="248"/>
      <c r="CQ94" s="248"/>
      <c r="CR94" s="248"/>
      <c r="CS94" s="248"/>
      <c r="CT94" s="248"/>
      <c r="CU94" s="248"/>
      <c r="CV94" s="248"/>
      <c r="CW94" s="248"/>
      <c r="CX94" s="248"/>
      <c r="CY94" s="248"/>
      <c r="CZ94" s="248"/>
      <c r="DA94" s="248"/>
      <c r="DB94" s="248"/>
      <c r="DC94" s="248"/>
      <c r="DD94" s="248"/>
      <c r="DE94" s="248"/>
      <c r="DF94" s="248"/>
      <c r="DG94" s="248"/>
      <c r="DH94" s="248"/>
      <c r="DI94" s="248"/>
      <c r="DJ94" s="248"/>
      <c r="DK94" s="248"/>
      <c r="DL94" s="248"/>
      <c r="DM94" s="248"/>
      <c r="DN94" s="248"/>
      <c r="DO94" s="248"/>
      <c r="DP94" s="248"/>
      <c r="DQ94" s="248"/>
      <c r="DR94" s="248"/>
      <c r="DS94" s="248"/>
      <c r="DT94" s="248"/>
      <c r="DU94" s="248"/>
      <c r="DV94" s="248"/>
      <c r="DW94" s="248"/>
      <c r="DX94" s="248"/>
      <c r="DY94" s="248"/>
      <c r="DZ94" s="248"/>
      <c r="EA94" s="248"/>
      <c r="EB94" s="248"/>
      <c r="EC94" s="248"/>
      <c r="ED94" s="248"/>
      <c r="EE94" s="248"/>
    </row>
    <row r="95" spans="1:135" s="35" customFormat="1" ht="16.5">
      <c r="A95" s="35" t="str">
        <f t="shared" si="2"/>
        <v>ANT_WLAN            KS_CPR_J</v>
      </c>
      <c r="B95" s="331"/>
      <c r="C95" s="248">
        <v>143</v>
      </c>
      <c r="D95" s="283" t="s">
        <v>605</v>
      </c>
      <c r="E95" s="283"/>
      <c r="F95" s="35" t="s">
        <v>1086</v>
      </c>
      <c r="G95" s="39"/>
      <c r="O95" s="34" t="s">
        <v>1086</v>
      </c>
      <c r="P95" s="34" t="s">
        <v>1086</v>
      </c>
      <c r="Q95" s="58"/>
      <c r="R95" s="104"/>
      <c r="W95" s="372" t="s">
        <v>2561</v>
      </c>
      <c r="Z95" s="35" t="s">
        <v>2645</v>
      </c>
      <c r="AA95" s="35" t="s">
        <v>2645</v>
      </c>
      <c r="AB95" s="58" t="s">
        <v>1114</v>
      </c>
      <c r="AH95" s="279"/>
      <c r="AJ95" s="279" t="s">
        <v>1117</v>
      </c>
      <c r="AK95" s="279"/>
      <c r="AL95" s="523">
        <v>3</v>
      </c>
      <c r="AM95" s="35">
        <v>143</v>
      </c>
      <c r="AN95" s="35" t="s">
        <v>1419</v>
      </c>
      <c r="AO95" s="35" t="s">
        <v>1700</v>
      </c>
      <c r="AP95" s="35" t="s">
        <v>668</v>
      </c>
      <c r="AQ95" s="34" t="s">
        <v>2266</v>
      </c>
      <c r="AR95" s="35">
        <v>1</v>
      </c>
      <c r="AS95" s="35" t="s">
        <v>1844</v>
      </c>
      <c r="AT95" s="35" t="s">
        <v>1074</v>
      </c>
      <c r="AU95" s="35" t="s">
        <v>10</v>
      </c>
      <c r="AV95" s="35" t="s">
        <v>424</v>
      </c>
      <c r="AW95" s="35" t="s">
        <v>1319</v>
      </c>
      <c r="AX95" s="34" t="s">
        <v>1847</v>
      </c>
      <c r="AY95" s="35">
        <v>1</v>
      </c>
      <c r="AZ95" s="35" t="s">
        <v>938</v>
      </c>
      <c r="BA95" s="35" t="s">
        <v>1074</v>
      </c>
      <c r="BB95" s="35" t="s">
        <v>10</v>
      </c>
      <c r="BC95" s="35" t="s">
        <v>142</v>
      </c>
      <c r="BD95" s="35" t="s">
        <v>1846</v>
      </c>
      <c r="BE95" s="35" t="s">
        <v>669</v>
      </c>
      <c r="BF95" s="35" t="s">
        <v>143</v>
      </c>
      <c r="BG95" s="35">
        <v>1715</v>
      </c>
      <c r="BH95" s="35" t="s">
        <v>1415</v>
      </c>
      <c r="BI95" s="35">
        <v>0.35</v>
      </c>
      <c r="BJ95" s="35" t="s">
        <v>1420</v>
      </c>
      <c r="BK95" s="35" t="s">
        <v>2374</v>
      </c>
      <c r="BL95" s="35" t="s">
        <v>2492</v>
      </c>
      <c r="BM95" s="35">
        <v>143</v>
      </c>
      <c r="BW95" s="248"/>
      <c r="BX95" s="248"/>
      <c r="BY95" s="248"/>
      <c r="BZ95" s="248"/>
      <c r="CA95" s="248"/>
      <c r="CB95" s="248"/>
      <c r="CC95" s="248"/>
      <c r="CD95" s="248"/>
      <c r="CE95" s="248"/>
      <c r="CF95" s="248"/>
      <c r="CG95" s="248"/>
      <c r="CH95" s="248"/>
      <c r="CI95" s="248"/>
      <c r="CJ95" s="248"/>
      <c r="CK95" s="248"/>
      <c r="CL95" s="248"/>
      <c r="CM95" s="248"/>
      <c r="CN95" s="248"/>
      <c r="CO95" s="248"/>
      <c r="CP95" s="248"/>
      <c r="CQ95" s="248"/>
      <c r="CR95" s="248"/>
      <c r="CS95" s="248"/>
      <c r="CT95" s="248"/>
      <c r="CU95" s="248"/>
      <c r="CV95" s="248"/>
      <c r="CW95" s="248"/>
      <c r="CX95" s="248"/>
      <c r="CY95" s="248"/>
      <c r="CZ95" s="248"/>
      <c r="DA95" s="248"/>
      <c r="DB95" s="248"/>
      <c r="DC95" s="248"/>
      <c r="DD95" s="248"/>
      <c r="DE95" s="248"/>
      <c r="DF95" s="248"/>
      <c r="DG95" s="248"/>
      <c r="DH95" s="248"/>
      <c r="DI95" s="248"/>
      <c r="DJ95" s="248"/>
      <c r="DK95" s="248"/>
      <c r="DL95" s="248"/>
      <c r="DM95" s="248"/>
      <c r="DN95" s="248"/>
      <c r="DO95" s="248"/>
      <c r="DP95" s="248"/>
      <c r="DQ95" s="248"/>
      <c r="DR95" s="248"/>
      <c r="DS95" s="248"/>
      <c r="DT95" s="248"/>
      <c r="DU95" s="248"/>
      <c r="DV95" s="248"/>
      <c r="DW95" s="248"/>
      <c r="DX95" s="248"/>
      <c r="DY95" s="248"/>
      <c r="DZ95" s="248"/>
      <c r="EA95" s="248"/>
      <c r="EB95" s="248"/>
      <c r="EC95" s="248"/>
      <c r="ED95" s="248"/>
      <c r="EE95" s="248"/>
    </row>
    <row r="96" spans="1:135" s="35" customFormat="1" ht="16.5">
      <c r="A96" s="35" t="str">
        <f t="shared" si="2"/>
        <v>ANT_WLAN            KS_CPR_J</v>
      </c>
      <c r="B96" s="331"/>
      <c r="C96" s="248">
        <v>144</v>
      </c>
      <c r="D96" s="283" t="s">
        <v>605</v>
      </c>
      <c r="E96" s="283"/>
      <c r="F96" s="35" t="s">
        <v>1086</v>
      </c>
      <c r="G96" s="39"/>
      <c r="O96" s="34" t="s">
        <v>1086</v>
      </c>
      <c r="P96" s="34" t="s">
        <v>1086</v>
      </c>
      <c r="Q96" s="58"/>
      <c r="R96" s="104"/>
      <c r="W96" s="372" t="s">
        <v>2561</v>
      </c>
      <c r="AB96" s="58" t="s">
        <v>1114</v>
      </c>
      <c r="AH96" s="279"/>
      <c r="AJ96" s="279" t="s">
        <v>1117</v>
      </c>
      <c r="AK96" s="279"/>
      <c r="AL96" s="523">
        <v>3</v>
      </c>
      <c r="AM96" s="35">
        <v>144</v>
      </c>
      <c r="AN96" s="35" t="s">
        <v>1421</v>
      </c>
      <c r="AO96" s="35" t="s">
        <v>1700</v>
      </c>
      <c r="AP96" s="35" t="s">
        <v>668</v>
      </c>
      <c r="AQ96" s="34" t="s">
        <v>2266</v>
      </c>
      <c r="AR96" s="35">
        <v>2</v>
      </c>
      <c r="AS96" s="35" t="s">
        <v>1844</v>
      </c>
      <c r="AT96" s="35" t="s">
        <v>157</v>
      </c>
      <c r="AU96" s="35" t="s">
        <v>10</v>
      </c>
      <c r="AV96" s="35" t="s">
        <v>424</v>
      </c>
      <c r="AW96" s="35" t="s">
        <v>1319</v>
      </c>
      <c r="AX96" s="34" t="s">
        <v>1847</v>
      </c>
      <c r="AY96" s="35">
        <v>2</v>
      </c>
      <c r="AZ96" s="35" t="s">
        <v>938</v>
      </c>
      <c r="BA96" s="35" t="s">
        <v>157</v>
      </c>
      <c r="BB96" s="35" t="s">
        <v>10</v>
      </c>
      <c r="BC96" s="35" t="s">
        <v>142</v>
      </c>
      <c r="BD96" s="35" t="s">
        <v>157</v>
      </c>
      <c r="BE96" s="35" t="s">
        <v>669</v>
      </c>
      <c r="BF96" s="35" t="s">
        <v>145</v>
      </c>
      <c r="BG96" s="35">
        <v>1715</v>
      </c>
      <c r="BH96" s="35" t="s">
        <v>139</v>
      </c>
      <c r="BI96" s="35">
        <v>0.5</v>
      </c>
      <c r="BJ96" s="35" t="s">
        <v>1422</v>
      </c>
      <c r="BK96" s="35" t="s">
        <v>2374</v>
      </c>
      <c r="BL96" s="35" t="s">
        <v>2492</v>
      </c>
      <c r="BM96" s="35">
        <v>144</v>
      </c>
      <c r="BW96" s="248"/>
      <c r="BX96" s="248"/>
      <c r="BY96" s="248"/>
      <c r="BZ96" s="248"/>
      <c r="CA96" s="248"/>
      <c r="CB96" s="248"/>
      <c r="CC96" s="248"/>
      <c r="CD96" s="248"/>
      <c r="CE96" s="248"/>
      <c r="CF96" s="248"/>
      <c r="CG96" s="248"/>
      <c r="CH96" s="248"/>
      <c r="CI96" s="248"/>
      <c r="CJ96" s="248"/>
      <c r="CK96" s="248"/>
      <c r="CL96" s="248"/>
      <c r="CM96" s="248"/>
      <c r="CN96" s="248"/>
      <c r="CO96" s="248"/>
      <c r="CP96" s="248"/>
      <c r="CQ96" s="248"/>
      <c r="CR96" s="248"/>
      <c r="CS96" s="248"/>
      <c r="CT96" s="248"/>
      <c r="CU96" s="248"/>
      <c r="CV96" s="248"/>
      <c r="CW96" s="248"/>
      <c r="CX96" s="248"/>
      <c r="CY96" s="248"/>
      <c r="CZ96" s="248"/>
      <c r="DA96" s="248"/>
      <c r="DB96" s="248"/>
      <c r="DC96" s="248"/>
      <c r="DD96" s="248"/>
      <c r="DE96" s="248"/>
      <c r="DF96" s="248"/>
      <c r="DG96" s="248"/>
      <c r="DH96" s="248"/>
      <c r="DI96" s="248"/>
      <c r="DJ96" s="248"/>
      <c r="DK96" s="248"/>
      <c r="DL96" s="248"/>
      <c r="DM96" s="248"/>
      <c r="DN96" s="248"/>
      <c r="DO96" s="248"/>
      <c r="DP96" s="248"/>
      <c r="DQ96" s="248"/>
      <c r="DR96" s="248"/>
      <c r="DS96" s="248"/>
      <c r="DT96" s="248"/>
      <c r="DU96" s="248"/>
      <c r="DV96" s="248"/>
      <c r="DW96" s="248"/>
      <c r="DX96" s="248"/>
      <c r="DY96" s="248"/>
      <c r="DZ96" s="248"/>
      <c r="EA96" s="248"/>
      <c r="EB96" s="248"/>
      <c r="EC96" s="248"/>
      <c r="ED96" s="248"/>
      <c r="EE96" s="248"/>
    </row>
    <row r="97" spans="1:135" s="35" customFormat="1" ht="16.5">
      <c r="A97" s="35" t="str">
        <f t="shared" si="2"/>
        <v>SIDO_P              KS_CPR_C</v>
      </c>
      <c r="B97" s="331"/>
      <c r="C97" s="248">
        <v>150</v>
      </c>
      <c r="D97" s="283" t="s">
        <v>605</v>
      </c>
      <c r="E97" s="283"/>
      <c r="F97" s="35" t="s">
        <v>1086</v>
      </c>
      <c r="G97" s="39"/>
      <c r="O97" s="34" t="s">
        <v>1086</v>
      </c>
      <c r="P97" s="34" t="s">
        <v>1086</v>
      </c>
      <c r="Q97" s="58" t="s">
        <v>523</v>
      </c>
      <c r="R97" s="39"/>
      <c r="W97" s="39"/>
      <c r="AH97" s="279"/>
      <c r="AJ97" s="279" t="s">
        <v>1117</v>
      </c>
      <c r="AK97" s="279"/>
      <c r="AL97" s="523">
        <v>3</v>
      </c>
      <c r="AM97" s="35">
        <v>150</v>
      </c>
      <c r="AN97" s="35" t="s">
        <v>1848</v>
      </c>
      <c r="AO97" s="35" t="s">
        <v>901</v>
      </c>
      <c r="AP97" s="35" t="s">
        <v>633</v>
      </c>
      <c r="AQ97" s="34" t="s">
        <v>2257</v>
      </c>
      <c r="AR97" s="35" t="s">
        <v>271</v>
      </c>
      <c r="AS97" s="35" t="s">
        <v>1414</v>
      </c>
      <c r="AT97" s="35" t="s">
        <v>244</v>
      </c>
      <c r="AU97" s="35" t="s">
        <v>10</v>
      </c>
      <c r="AV97" s="35" t="s">
        <v>424</v>
      </c>
      <c r="AW97" s="35" t="s">
        <v>648</v>
      </c>
      <c r="AX97" s="34" t="s">
        <v>1796</v>
      </c>
      <c r="AY97" s="35">
        <v>7</v>
      </c>
      <c r="AZ97" s="35" t="s">
        <v>1808</v>
      </c>
      <c r="BA97" s="35" t="s">
        <v>72</v>
      </c>
      <c r="BB97" s="35" t="s">
        <v>10</v>
      </c>
      <c r="BC97" s="35" t="s">
        <v>187</v>
      </c>
      <c r="BD97" s="35" t="s">
        <v>1742</v>
      </c>
      <c r="BE97" s="35" t="s">
        <v>10</v>
      </c>
      <c r="BF97" s="35" t="s">
        <v>10</v>
      </c>
      <c r="BG97" s="35">
        <v>235</v>
      </c>
      <c r="BH97" s="35" t="s">
        <v>93</v>
      </c>
      <c r="BI97" s="35">
        <v>0.35</v>
      </c>
      <c r="BJ97" s="35" t="s">
        <v>1297</v>
      </c>
      <c r="BK97" s="35" t="s">
        <v>2374</v>
      </c>
      <c r="BL97" s="35" t="s">
        <v>2492</v>
      </c>
      <c r="BM97" s="35">
        <v>150</v>
      </c>
      <c r="BW97" s="248"/>
      <c r="BX97" s="248"/>
      <c r="BY97" s="248"/>
      <c r="BZ97" s="248"/>
      <c r="CA97" s="248"/>
      <c r="CB97" s="248"/>
      <c r="CC97" s="248"/>
      <c r="CD97" s="248"/>
      <c r="CE97" s="248"/>
      <c r="CF97" s="248"/>
      <c r="CG97" s="248"/>
      <c r="CH97" s="248"/>
      <c r="CI97" s="248"/>
      <c r="CJ97" s="248"/>
      <c r="CK97" s="248"/>
      <c r="CL97" s="248"/>
      <c r="CM97" s="248"/>
      <c r="CN97" s="248"/>
      <c r="CO97" s="248"/>
      <c r="CP97" s="248"/>
      <c r="CQ97" s="248"/>
      <c r="CR97" s="248"/>
      <c r="CS97" s="248"/>
      <c r="CT97" s="248"/>
      <c r="CU97" s="248"/>
      <c r="CV97" s="248"/>
      <c r="CW97" s="248"/>
      <c r="CX97" s="248"/>
      <c r="CY97" s="248"/>
      <c r="CZ97" s="248"/>
      <c r="DA97" s="248"/>
      <c r="DB97" s="248"/>
      <c r="DC97" s="248"/>
      <c r="DD97" s="248"/>
      <c r="DE97" s="248"/>
      <c r="DF97" s="248"/>
      <c r="DG97" s="248"/>
      <c r="DH97" s="248"/>
      <c r="DI97" s="248"/>
      <c r="DJ97" s="248"/>
      <c r="DK97" s="248"/>
      <c r="DL97" s="248"/>
      <c r="DM97" s="248"/>
      <c r="DN97" s="248"/>
      <c r="DO97" s="248"/>
      <c r="DP97" s="248"/>
      <c r="DQ97" s="248"/>
      <c r="DR97" s="248"/>
      <c r="DS97" s="248"/>
      <c r="DT97" s="248"/>
      <c r="DU97" s="248"/>
      <c r="DV97" s="248"/>
      <c r="DW97" s="248"/>
      <c r="DX97" s="248"/>
      <c r="DY97" s="248"/>
      <c r="DZ97" s="248"/>
      <c r="EA97" s="248"/>
      <c r="EB97" s="248"/>
      <c r="EC97" s="248"/>
      <c r="ED97" s="248"/>
      <c r="EE97" s="248"/>
    </row>
    <row r="98" spans="1:135" s="35" customFormat="1" ht="16.5">
      <c r="A98" s="35" t="str">
        <f t="shared" si="2"/>
        <v>SP_MB31_B2          SBT_B</v>
      </c>
      <c r="B98" s="331"/>
      <c r="C98" s="248">
        <v>163</v>
      </c>
      <c r="D98" s="283" t="s">
        <v>605</v>
      </c>
      <c r="F98" s="283" t="s">
        <v>1086</v>
      </c>
      <c r="G98" s="35" t="s">
        <v>2232</v>
      </c>
      <c r="H98" s="35" t="s">
        <v>609</v>
      </c>
      <c r="N98" s="35" t="s">
        <v>537</v>
      </c>
      <c r="O98" s="34" t="s">
        <v>1086</v>
      </c>
      <c r="P98" s="34" t="s">
        <v>1086</v>
      </c>
      <c r="Q98" s="58" t="s">
        <v>523</v>
      </c>
      <c r="R98" s="39"/>
      <c r="AH98" s="279"/>
      <c r="AJ98" s="279" t="s">
        <v>1117</v>
      </c>
      <c r="AK98" s="279"/>
      <c r="AL98" s="523">
        <v>3</v>
      </c>
      <c r="AM98" s="35">
        <v>163</v>
      </c>
      <c r="AN98" s="35" t="s">
        <v>1656</v>
      </c>
      <c r="AO98" s="35" t="s">
        <v>2148</v>
      </c>
      <c r="AP98" s="35" t="s">
        <v>535</v>
      </c>
      <c r="AQ98" s="34" t="s">
        <v>2232</v>
      </c>
      <c r="AR98" s="35">
        <v>1</v>
      </c>
      <c r="AS98" s="35" t="s">
        <v>1254</v>
      </c>
      <c r="AT98" s="35" t="s">
        <v>10</v>
      </c>
      <c r="AU98" s="35" t="s">
        <v>10</v>
      </c>
      <c r="AV98" s="35" t="s">
        <v>1697</v>
      </c>
      <c r="AW98" s="35" t="s">
        <v>670</v>
      </c>
      <c r="AX98" s="34" t="s">
        <v>2307</v>
      </c>
      <c r="AY98" s="35">
        <v>6</v>
      </c>
      <c r="AZ98" s="35" t="s">
        <v>485</v>
      </c>
      <c r="BA98" s="35" t="s">
        <v>87</v>
      </c>
      <c r="BB98" s="35" t="s">
        <v>10</v>
      </c>
      <c r="BC98" s="35" t="s">
        <v>71</v>
      </c>
      <c r="BD98" s="35" t="s">
        <v>1742</v>
      </c>
      <c r="BE98" s="35" t="s">
        <v>10</v>
      </c>
      <c r="BF98" s="35" t="s">
        <v>10</v>
      </c>
      <c r="BG98" s="35">
        <v>476</v>
      </c>
      <c r="BH98" s="35" t="s">
        <v>25</v>
      </c>
      <c r="BI98" s="35">
        <v>0.35</v>
      </c>
      <c r="BJ98" s="35" t="s">
        <v>1285</v>
      </c>
      <c r="BK98" s="35" t="s">
        <v>2374</v>
      </c>
      <c r="BL98" s="35" t="s">
        <v>2492</v>
      </c>
      <c r="BM98" s="35">
        <v>163</v>
      </c>
      <c r="BW98" s="248"/>
      <c r="BX98" s="248"/>
      <c r="BY98" s="248"/>
      <c r="BZ98" s="248"/>
      <c r="CA98" s="248"/>
      <c r="CB98" s="248"/>
      <c r="CC98" s="248"/>
      <c r="CD98" s="248"/>
      <c r="CE98" s="248"/>
      <c r="CF98" s="248"/>
      <c r="CG98" s="248"/>
      <c r="CH98" s="248"/>
      <c r="CI98" s="248"/>
      <c r="CJ98" s="248"/>
      <c r="CK98" s="248"/>
      <c r="CL98" s="248"/>
      <c r="CM98" s="248"/>
      <c r="CN98" s="248"/>
      <c r="CO98" s="248"/>
      <c r="CP98" s="248"/>
      <c r="CQ98" s="248"/>
      <c r="CR98" s="248"/>
      <c r="CS98" s="248"/>
      <c r="CT98" s="248"/>
      <c r="CU98" s="248"/>
      <c r="CV98" s="248"/>
      <c r="CW98" s="248"/>
      <c r="CX98" s="248"/>
      <c r="CY98" s="248"/>
      <c r="CZ98" s="248"/>
      <c r="DA98" s="248"/>
      <c r="DB98" s="248"/>
      <c r="DC98" s="248"/>
      <c r="DD98" s="248"/>
      <c r="DE98" s="248"/>
      <c r="DF98" s="248"/>
      <c r="DG98" s="248"/>
      <c r="DH98" s="248"/>
      <c r="DI98" s="248"/>
      <c r="DJ98" s="248"/>
      <c r="DK98" s="248"/>
      <c r="DL98" s="248"/>
      <c r="DM98" s="248"/>
      <c r="DN98" s="248"/>
      <c r="DO98" s="248"/>
      <c r="DP98" s="248"/>
      <c r="DQ98" s="248"/>
      <c r="DR98" s="248"/>
      <c r="DS98" s="248"/>
      <c r="DT98" s="248"/>
      <c r="DU98" s="248"/>
      <c r="DV98" s="248"/>
      <c r="DW98" s="248"/>
      <c r="DX98" s="248"/>
      <c r="DY98" s="248"/>
      <c r="DZ98" s="248"/>
      <c r="EA98" s="248"/>
      <c r="EB98" s="248"/>
      <c r="EC98" s="248"/>
      <c r="ED98" s="248"/>
      <c r="EE98" s="248"/>
    </row>
    <row r="99" spans="1:135" s="35" customFormat="1" ht="16.5">
      <c r="A99" s="35" t="str">
        <f t="shared" si="2"/>
        <v>SGKG_B              SP_ACLIN5</v>
      </c>
      <c r="B99" s="331"/>
      <c r="C99" s="248">
        <v>167</v>
      </c>
      <c r="D99" s="283" t="s">
        <v>605</v>
      </c>
      <c r="E99" s="283"/>
      <c r="F99" s="35" t="s">
        <v>1086</v>
      </c>
      <c r="G99" s="35" t="s">
        <v>2237</v>
      </c>
      <c r="H99" s="35" t="s">
        <v>609</v>
      </c>
      <c r="N99" s="35" t="s">
        <v>537</v>
      </c>
      <c r="O99" s="34" t="s">
        <v>1086</v>
      </c>
      <c r="P99" s="34" t="s">
        <v>1086</v>
      </c>
      <c r="Q99" s="58" t="s">
        <v>523</v>
      </c>
      <c r="R99" s="39"/>
      <c r="AH99" s="279"/>
      <c r="AJ99" s="279" t="s">
        <v>1117</v>
      </c>
      <c r="AK99" s="279"/>
      <c r="AL99" s="523">
        <v>3</v>
      </c>
      <c r="AM99" s="35">
        <v>167</v>
      </c>
      <c r="AN99" s="35" t="s">
        <v>1849</v>
      </c>
      <c r="AO99" s="35" t="s">
        <v>1701</v>
      </c>
      <c r="AP99" s="35" t="s">
        <v>656</v>
      </c>
      <c r="AQ99" s="34" t="s">
        <v>2262</v>
      </c>
      <c r="AR99" s="35">
        <v>17</v>
      </c>
      <c r="AS99" s="35" t="s">
        <v>464</v>
      </c>
      <c r="AT99" s="35" t="s">
        <v>218</v>
      </c>
      <c r="AU99" s="35" t="s">
        <v>10</v>
      </c>
      <c r="AV99" s="35" t="s">
        <v>1727</v>
      </c>
      <c r="AW99" s="35" t="s">
        <v>671</v>
      </c>
      <c r="AX99" s="34" t="s">
        <v>2237</v>
      </c>
      <c r="AY99" s="35">
        <v>1</v>
      </c>
      <c r="AZ99" s="35" t="s">
        <v>497</v>
      </c>
      <c r="BA99" s="35" t="s">
        <v>10</v>
      </c>
      <c r="BB99" s="35" t="s">
        <v>10</v>
      </c>
      <c r="BC99" s="35" t="s">
        <v>484</v>
      </c>
      <c r="BD99" s="35" t="s">
        <v>1742</v>
      </c>
      <c r="BE99" s="35" t="s">
        <v>10</v>
      </c>
      <c r="BF99" s="35" t="s">
        <v>10</v>
      </c>
      <c r="BG99" s="35">
        <v>788</v>
      </c>
      <c r="BH99" s="35" t="s">
        <v>80</v>
      </c>
      <c r="BI99" s="35">
        <v>0.13</v>
      </c>
      <c r="BJ99" s="35" t="s">
        <v>1851</v>
      </c>
      <c r="BK99" s="35" t="s">
        <v>2374</v>
      </c>
      <c r="BL99" s="35" t="s">
        <v>2492</v>
      </c>
      <c r="BM99" s="35">
        <v>167</v>
      </c>
      <c r="BW99" s="248"/>
      <c r="BX99" s="248"/>
      <c r="BY99" s="248"/>
      <c r="BZ99" s="248"/>
      <c r="CA99" s="248"/>
      <c r="CB99" s="248"/>
      <c r="CC99" s="248"/>
      <c r="CD99" s="248"/>
      <c r="CE99" s="248"/>
      <c r="CF99" s="248"/>
      <c r="CG99" s="248"/>
      <c r="CH99" s="248"/>
      <c r="CI99" s="248"/>
      <c r="CJ99" s="248"/>
      <c r="CK99" s="248"/>
      <c r="CL99" s="248"/>
      <c r="CM99" s="248"/>
      <c r="CN99" s="248"/>
      <c r="CO99" s="248"/>
      <c r="CP99" s="248"/>
      <c r="CQ99" s="248"/>
      <c r="CR99" s="248"/>
      <c r="CS99" s="248"/>
      <c r="CT99" s="248"/>
      <c r="CU99" s="248"/>
      <c r="CV99" s="248"/>
      <c r="CW99" s="248"/>
      <c r="CX99" s="248"/>
      <c r="CY99" s="248"/>
      <c r="CZ99" s="248"/>
      <c r="DA99" s="248"/>
      <c r="DB99" s="248"/>
      <c r="DC99" s="248"/>
      <c r="DD99" s="248"/>
      <c r="DE99" s="248"/>
      <c r="DF99" s="248"/>
      <c r="DG99" s="248"/>
      <c r="DH99" s="248"/>
      <c r="DI99" s="248"/>
      <c r="DJ99" s="248"/>
      <c r="DK99" s="248"/>
      <c r="DL99" s="248"/>
      <c r="DM99" s="248"/>
      <c r="DN99" s="248"/>
      <c r="DO99" s="248"/>
      <c r="DP99" s="248"/>
      <c r="DQ99" s="248"/>
      <c r="DR99" s="248"/>
      <c r="DS99" s="248"/>
      <c r="DT99" s="248"/>
      <c r="DU99" s="248"/>
      <c r="DV99" s="248"/>
      <c r="DW99" s="248"/>
      <c r="DX99" s="248"/>
      <c r="DY99" s="248"/>
      <c r="DZ99" s="248"/>
      <c r="EA99" s="248"/>
      <c r="EB99" s="248"/>
      <c r="EC99" s="248"/>
      <c r="ED99" s="248"/>
      <c r="EE99" s="248"/>
    </row>
    <row r="100" spans="1:135" s="35" customFormat="1" ht="16.5">
      <c r="A100" s="35" t="str">
        <f t="shared" si="2"/>
        <v>SP_ACLIN5           KS_CPR_A</v>
      </c>
      <c r="B100" s="331"/>
      <c r="C100" s="248">
        <v>168</v>
      </c>
      <c r="D100" s="283" t="s">
        <v>605</v>
      </c>
      <c r="E100" s="283"/>
      <c r="F100" s="35" t="s">
        <v>1086</v>
      </c>
      <c r="G100" s="35" t="s">
        <v>2237</v>
      </c>
      <c r="H100" s="35" t="s">
        <v>609</v>
      </c>
      <c r="N100" s="35" t="s">
        <v>537</v>
      </c>
      <c r="O100" s="34" t="s">
        <v>1086</v>
      </c>
      <c r="P100" s="34" t="s">
        <v>1086</v>
      </c>
      <c r="Q100" s="58" t="s">
        <v>523</v>
      </c>
      <c r="R100" s="39"/>
      <c r="AH100" s="279"/>
      <c r="AJ100" s="279" t="s">
        <v>1117</v>
      </c>
      <c r="AK100" s="279"/>
      <c r="AL100" s="523">
        <v>3</v>
      </c>
      <c r="AM100" s="35">
        <v>168</v>
      </c>
      <c r="AN100" s="35" t="s">
        <v>1852</v>
      </c>
      <c r="AO100" s="35" t="s">
        <v>1727</v>
      </c>
      <c r="AP100" s="35" t="s">
        <v>671</v>
      </c>
      <c r="AQ100" s="34" t="s">
        <v>2237</v>
      </c>
      <c r="AR100" s="35">
        <v>1</v>
      </c>
      <c r="AS100" s="35" t="s">
        <v>497</v>
      </c>
      <c r="AT100" s="35" t="s">
        <v>10</v>
      </c>
      <c r="AU100" s="35" t="s">
        <v>10</v>
      </c>
      <c r="AV100" s="35" t="s">
        <v>424</v>
      </c>
      <c r="AW100" s="35" t="s">
        <v>637</v>
      </c>
      <c r="AX100" s="34" t="s">
        <v>1770</v>
      </c>
      <c r="AY100" s="35">
        <v>5</v>
      </c>
      <c r="AZ100" s="35" t="s">
        <v>1771</v>
      </c>
      <c r="BA100" s="35" t="s">
        <v>492</v>
      </c>
      <c r="BB100" s="35" t="s">
        <v>10</v>
      </c>
      <c r="BC100" s="35" t="s">
        <v>484</v>
      </c>
      <c r="BD100" s="35" t="s">
        <v>1742</v>
      </c>
      <c r="BE100" s="35" t="s">
        <v>10</v>
      </c>
      <c r="BF100" s="35" t="s">
        <v>10</v>
      </c>
      <c r="BG100" s="35">
        <v>1381</v>
      </c>
      <c r="BH100" s="35" t="s">
        <v>80</v>
      </c>
      <c r="BI100" s="35">
        <v>0.13</v>
      </c>
      <c r="BJ100" s="35" t="s">
        <v>1851</v>
      </c>
      <c r="BK100" s="35" t="s">
        <v>2374</v>
      </c>
      <c r="BL100" s="35" t="s">
        <v>2492</v>
      </c>
      <c r="BM100" s="35">
        <v>168</v>
      </c>
      <c r="BW100" s="248"/>
      <c r="BX100" s="248"/>
      <c r="BY100" s="248"/>
      <c r="BZ100" s="248"/>
      <c r="CA100" s="248"/>
      <c r="CB100" s="248"/>
      <c r="CC100" s="248"/>
      <c r="CD100" s="248"/>
      <c r="CE100" s="248"/>
      <c r="CF100" s="248"/>
      <c r="CG100" s="248"/>
      <c r="CH100" s="248"/>
      <c r="CI100" s="248"/>
      <c r="CJ100" s="248"/>
      <c r="CK100" s="248"/>
      <c r="CL100" s="248"/>
      <c r="CM100" s="248"/>
      <c r="CN100" s="248"/>
      <c r="CO100" s="248"/>
      <c r="CP100" s="248"/>
      <c r="CQ100" s="248"/>
      <c r="CR100" s="248"/>
      <c r="CS100" s="248"/>
      <c r="CT100" s="248"/>
      <c r="CU100" s="248"/>
      <c r="CV100" s="248"/>
      <c r="CW100" s="248"/>
      <c r="CX100" s="248"/>
      <c r="CY100" s="248"/>
      <c r="CZ100" s="248"/>
      <c r="DA100" s="248"/>
      <c r="DB100" s="248"/>
      <c r="DC100" s="248"/>
      <c r="DD100" s="248"/>
      <c r="DE100" s="248"/>
      <c r="DF100" s="248"/>
      <c r="DG100" s="248"/>
      <c r="DH100" s="248"/>
      <c r="DI100" s="248"/>
      <c r="DJ100" s="248"/>
      <c r="DK100" s="248"/>
      <c r="DL100" s="248"/>
      <c r="DM100" s="248"/>
      <c r="DN100" s="248"/>
      <c r="DO100" s="248"/>
      <c r="DP100" s="248"/>
      <c r="DQ100" s="248"/>
      <c r="DR100" s="248"/>
      <c r="DS100" s="248"/>
      <c r="DT100" s="248"/>
      <c r="DU100" s="248"/>
      <c r="DV100" s="248"/>
      <c r="DW100" s="248"/>
      <c r="DX100" s="248"/>
      <c r="DY100" s="248"/>
      <c r="DZ100" s="248"/>
      <c r="EA100" s="248"/>
      <c r="EB100" s="248"/>
      <c r="EC100" s="248"/>
      <c r="ED100" s="248"/>
      <c r="EE100" s="248"/>
    </row>
    <row r="101" spans="1:135" s="35" customFormat="1" ht="16.5">
      <c r="A101" s="35" t="str">
        <f t="shared" ref="A101:A115" si="3" xml:space="preserve"> AQ101 &amp; REPT(" ",20-LEN(AQ101)) &amp; AX101</f>
        <v>MIB_C               KS_CPR_C</v>
      </c>
      <c r="B101" s="331"/>
      <c r="C101" s="248">
        <v>170</v>
      </c>
      <c r="D101" s="283" t="s">
        <v>605</v>
      </c>
      <c r="E101" s="283"/>
      <c r="F101" s="35" t="s">
        <v>1086</v>
      </c>
      <c r="H101" s="35" t="s">
        <v>523</v>
      </c>
      <c r="O101" s="34" t="s">
        <v>1086</v>
      </c>
      <c r="P101" s="34" t="s">
        <v>1086</v>
      </c>
      <c r="Q101" s="58" t="s">
        <v>523</v>
      </c>
      <c r="R101" s="39"/>
      <c r="AH101" s="279"/>
      <c r="AJ101" s="279" t="s">
        <v>1117</v>
      </c>
      <c r="AK101" s="35" t="s">
        <v>2557</v>
      </c>
      <c r="AL101" s="523">
        <v>3</v>
      </c>
      <c r="AM101" s="35">
        <v>170</v>
      </c>
      <c r="AN101" s="35" t="s">
        <v>1423</v>
      </c>
      <c r="AO101" s="35" t="s">
        <v>920</v>
      </c>
      <c r="AP101" s="35" t="s">
        <v>672</v>
      </c>
      <c r="AQ101" s="34" t="s">
        <v>2259</v>
      </c>
      <c r="AR101" s="35">
        <v>6</v>
      </c>
      <c r="AS101" s="35" t="s">
        <v>1768</v>
      </c>
      <c r="AT101" s="35" t="s">
        <v>218</v>
      </c>
      <c r="AU101" s="35" t="s">
        <v>10</v>
      </c>
      <c r="AV101" s="35" t="s">
        <v>424</v>
      </c>
      <c r="AW101" s="35" t="s">
        <v>648</v>
      </c>
      <c r="AX101" s="34" t="s">
        <v>1796</v>
      </c>
      <c r="AY101" s="35">
        <v>9</v>
      </c>
      <c r="AZ101" s="35" t="s">
        <v>1808</v>
      </c>
      <c r="BA101" s="35" t="s">
        <v>492</v>
      </c>
      <c r="BB101" s="35" t="s">
        <v>10</v>
      </c>
      <c r="BC101" s="35" t="s">
        <v>267</v>
      </c>
      <c r="BD101" s="35" t="s">
        <v>1742</v>
      </c>
      <c r="BE101" s="35" t="s">
        <v>673</v>
      </c>
      <c r="BF101" s="35" t="s">
        <v>173</v>
      </c>
      <c r="BG101" s="35">
        <v>1678</v>
      </c>
      <c r="BH101" s="35" t="s">
        <v>174</v>
      </c>
      <c r="BI101" s="35">
        <v>0.13</v>
      </c>
      <c r="BJ101" s="35" t="s">
        <v>1424</v>
      </c>
      <c r="BK101" s="35" t="s">
        <v>2374</v>
      </c>
      <c r="BL101" s="35" t="s">
        <v>2492</v>
      </c>
      <c r="BM101" s="35">
        <v>170</v>
      </c>
      <c r="BW101" s="248"/>
      <c r="BX101" s="248"/>
      <c r="BY101" s="248"/>
      <c r="BZ101" s="248"/>
      <c r="CA101" s="248"/>
      <c r="CB101" s="248"/>
      <c r="CC101" s="248"/>
      <c r="CD101" s="248"/>
      <c r="CE101" s="248"/>
      <c r="CF101" s="248"/>
      <c r="CG101" s="248"/>
      <c r="CH101" s="248"/>
      <c r="CI101" s="248"/>
      <c r="CJ101" s="248"/>
      <c r="CK101" s="248"/>
      <c r="CL101" s="248"/>
      <c r="CM101" s="248"/>
      <c r="CN101" s="248"/>
      <c r="CO101" s="248"/>
      <c r="CP101" s="248"/>
      <c r="CQ101" s="248"/>
      <c r="CR101" s="248"/>
      <c r="CS101" s="248"/>
      <c r="CT101" s="248"/>
      <c r="CU101" s="248"/>
      <c r="CV101" s="248"/>
      <c r="CW101" s="248"/>
      <c r="CX101" s="248"/>
      <c r="CY101" s="248"/>
      <c r="CZ101" s="248"/>
      <c r="DA101" s="248"/>
      <c r="DB101" s="248"/>
      <c r="DC101" s="248"/>
      <c r="DD101" s="248"/>
      <c r="DE101" s="248"/>
      <c r="DF101" s="248"/>
      <c r="DG101" s="248"/>
      <c r="DH101" s="248"/>
      <c r="DI101" s="248"/>
      <c r="DJ101" s="248"/>
      <c r="DK101" s="248"/>
      <c r="DL101" s="248"/>
      <c r="DM101" s="248"/>
      <c r="DN101" s="248"/>
      <c r="DO101" s="248"/>
      <c r="DP101" s="248"/>
      <c r="DQ101" s="248"/>
      <c r="DR101" s="248"/>
      <c r="DS101" s="248"/>
      <c r="DT101" s="248"/>
      <c r="DU101" s="248"/>
      <c r="DV101" s="248"/>
      <c r="DW101" s="248"/>
      <c r="DX101" s="248"/>
      <c r="DY101" s="248"/>
      <c r="DZ101" s="248"/>
      <c r="EA101" s="248"/>
      <c r="EB101" s="248"/>
      <c r="EC101" s="248"/>
      <c r="ED101" s="248"/>
      <c r="EE101" s="248"/>
    </row>
    <row r="102" spans="1:135" s="35" customFormat="1" ht="16.5">
      <c r="A102" s="35" t="str">
        <f t="shared" si="3"/>
        <v>MIB_C               KS_CPR_C</v>
      </c>
      <c r="B102" s="331"/>
      <c r="C102" s="248">
        <v>171</v>
      </c>
      <c r="D102" s="283" t="s">
        <v>605</v>
      </c>
      <c r="E102" s="283"/>
      <c r="F102" s="35" t="s">
        <v>1086</v>
      </c>
      <c r="H102" s="35" t="s">
        <v>523</v>
      </c>
      <c r="O102" s="34" t="s">
        <v>1086</v>
      </c>
      <c r="P102" s="34" t="s">
        <v>1086</v>
      </c>
      <c r="Q102" s="58" t="s">
        <v>523</v>
      </c>
      <c r="R102" s="39"/>
      <c r="AH102" s="279"/>
      <c r="AJ102" s="279" t="s">
        <v>1117</v>
      </c>
      <c r="AK102" s="35" t="s">
        <v>2557</v>
      </c>
      <c r="AL102" s="523">
        <v>3</v>
      </c>
      <c r="AM102" s="35">
        <v>171</v>
      </c>
      <c r="AN102" s="35" t="s">
        <v>1425</v>
      </c>
      <c r="AO102" s="35" t="s">
        <v>920</v>
      </c>
      <c r="AP102" s="35" t="s">
        <v>672</v>
      </c>
      <c r="AQ102" s="34" t="s">
        <v>2259</v>
      </c>
      <c r="AR102" s="35">
        <v>12</v>
      </c>
      <c r="AS102" s="35" t="s">
        <v>1768</v>
      </c>
      <c r="AT102" s="35" t="s">
        <v>218</v>
      </c>
      <c r="AU102" s="35" t="s">
        <v>10</v>
      </c>
      <c r="AV102" s="35" t="s">
        <v>424</v>
      </c>
      <c r="AW102" s="35" t="s">
        <v>648</v>
      </c>
      <c r="AX102" s="34" t="s">
        <v>1796</v>
      </c>
      <c r="AY102" s="35">
        <v>10</v>
      </c>
      <c r="AZ102" s="35" t="s">
        <v>1808</v>
      </c>
      <c r="BA102" s="35" t="s">
        <v>492</v>
      </c>
      <c r="BB102" s="35" t="s">
        <v>10</v>
      </c>
      <c r="BC102" s="35" t="s">
        <v>267</v>
      </c>
      <c r="BD102" s="35" t="s">
        <v>1742</v>
      </c>
      <c r="BE102" s="35" t="s">
        <v>673</v>
      </c>
      <c r="BF102" s="35" t="s">
        <v>149</v>
      </c>
      <c r="BG102" s="35">
        <v>1678</v>
      </c>
      <c r="BH102" s="35" t="s">
        <v>66</v>
      </c>
      <c r="BI102" s="35">
        <v>0.13</v>
      </c>
      <c r="BJ102" s="35" t="s">
        <v>1426</v>
      </c>
      <c r="BK102" s="35" t="s">
        <v>2374</v>
      </c>
      <c r="BL102" s="35" t="s">
        <v>2492</v>
      </c>
      <c r="BM102" s="35">
        <v>171</v>
      </c>
      <c r="BW102" s="248"/>
      <c r="BX102" s="248"/>
      <c r="BY102" s="248"/>
      <c r="BZ102" s="248"/>
      <c r="CA102" s="248"/>
      <c r="CB102" s="248"/>
      <c r="CC102" s="248"/>
      <c r="CD102" s="248"/>
      <c r="CE102" s="248"/>
      <c r="CF102" s="248"/>
      <c r="CG102" s="248"/>
      <c r="CH102" s="248"/>
      <c r="CI102" s="248"/>
      <c r="CJ102" s="248"/>
      <c r="CK102" s="248"/>
      <c r="CL102" s="248"/>
      <c r="CM102" s="248"/>
      <c r="CN102" s="248"/>
      <c r="CO102" s="248"/>
      <c r="CP102" s="248"/>
      <c r="CQ102" s="248"/>
      <c r="CR102" s="248"/>
      <c r="CS102" s="248"/>
      <c r="CT102" s="248"/>
      <c r="CU102" s="248"/>
      <c r="CV102" s="248"/>
      <c r="CW102" s="248"/>
      <c r="CX102" s="248"/>
      <c r="CY102" s="248"/>
      <c r="CZ102" s="248"/>
      <c r="DA102" s="248"/>
      <c r="DB102" s="248"/>
      <c r="DC102" s="248"/>
      <c r="DD102" s="248"/>
      <c r="DE102" s="248"/>
      <c r="DF102" s="248"/>
      <c r="DG102" s="248"/>
      <c r="DH102" s="248"/>
      <c r="DI102" s="248"/>
      <c r="DJ102" s="248"/>
      <c r="DK102" s="248"/>
      <c r="DL102" s="248"/>
      <c r="DM102" s="248"/>
      <c r="DN102" s="248"/>
      <c r="DO102" s="248"/>
      <c r="DP102" s="248"/>
      <c r="DQ102" s="248"/>
      <c r="DR102" s="248"/>
      <c r="DS102" s="248"/>
      <c r="DT102" s="248"/>
      <c r="DU102" s="248"/>
      <c r="DV102" s="248"/>
      <c r="DW102" s="248"/>
      <c r="DX102" s="248"/>
      <c r="DY102" s="248"/>
      <c r="DZ102" s="248"/>
      <c r="EA102" s="248"/>
      <c r="EB102" s="248"/>
      <c r="EC102" s="248"/>
      <c r="ED102" s="248"/>
      <c r="EE102" s="248"/>
    </row>
    <row r="103" spans="1:135" s="35" customFormat="1" ht="16.5">
      <c r="A103" s="35" t="str">
        <f t="shared" si="3"/>
        <v>MIB_C               KS_CPR_C</v>
      </c>
      <c r="B103" s="331"/>
      <c r="C103" s="248">
        <v>172</v>
      </c>
      <c r="D103" s="283" t="s">
        <v>605</v>
      </c>
      <c r="E103" s="283"/>
      <c r="F103" s="35" t="s">
        <v>1086</v>
      </c>
      <c r="O103" s="34" t="s">
        <v>1086</v>
      </c>
      <c r="P103" s="34" t="s">
        <v>1086</v>
      </c>
      <c r="Q103" s="58"/>
      <c r="R103" s="39"/>
      <c r="AH103" s="279"/>
      <c r="AJ103" s="279" t="s">
        <v>1117</v>
      </c>
      <c r="AK103" s="35" t="s">
        <v>2557</v>
      </c>
      <c r="AL103" s="523">
        <v>3</v>
      </c>
      <c r="AM103" s="35">
        <v>172</v>
      </c>
      <c r="AN103" s="35" t="s">
        <v>1853</v>
      </c>
      <c r="AO103" s="35" t="s">
        <v>920</v>
      </c>
      <c r="AP103" s="35" t="s">
        <v>672</v>
      </c>
      <c r="AQ103" s="34" t="s">
        <v>2259</v>
      </c>
      <c r="AR103" s="35">
        <v>1</v>
      </c>
      <c r="AS103" s="35" t="s">
        <v>1768</v>
      </c>
      <c r="AT103" s="35" t="s">
        <v>87</v>
      </c>
      <c r="AU103" s="35" t="s">
        <v>10</v>
      </c>
      <c r="AV103" s="35" t="s">
        <v>424</v>
      </c>
      <c r="AW103" s="35" t="s">
        <v>648</v>
      </c>
      <c r="AX103" s="34" t="s">
        <v>1796</v>
      </c>
      <c r="AY103" s="35">
        <v>13</v>
      </c>
      <c r="AZ103" s="35" t="s">
        <v>1808</v>
      </c>
      <c r="BA103" s="35" t="s">
        <v>72</v>
      </c>
      <c r="BB103" s="35" t="s">
        <v>10</v>
      </c>
      <c r="BC103" s="35" t="s">
        <v>147</v>
      </c>
      <c r="BD103" s="35" t="s">
        <v>1742</v>
      </c>
      <c r="BE103" s="35" t="s">
        <v>674</v>
      </c>
      <c r="BF103" s="35" t="s">
        <v>150</v>
      </c>
      <c r="BG103" s="35">
        <v>1678</v>
      </c>
      <c r="BH103" s="35" t="s">
        <v>151</v>
      </c>
      <c r="BI103" s="35">
        <v>0.35</v>
      </c>
      <c r="BJ103" s="35" t="s">
        <v>1854</v>
      </c>
      <c r="BK103" s="35" t="s">
        <v>2374</v>
      </c>
      <c r="BL103" s="35" t="s">
        <v>2492</v>
      </c>
      <c r="BM103" s="35">
        <v>172</v>
      </c>
      <c r="BW103" s="248"/>
      <c r="BX103" s="248"/>
      <c r="BY103" s="248"/>
      <c r="BZ103" s="248"/>
      <c r="CA103" s="248"/>
      <c r="CB103" s="248"/>
      <c r="CC103" s="248"/>
      <c r="CD103" s="248"/>
      <c r="CE103" s="248"/>
      <c r="CF103" s="248"/>
      <c r="CG103" s="248"/>
      <c r="CH103" s="248"/>
      <c r="CI103" s="248"/>
      <c r="CJ103" s="248"/>
      <c r="CK103" s="248"/>
      <c r="CL103" s="248"/>
      <c r="CM103" s="248"/>
      <c r="CN103" s="248"/>
      <c r="CO103" s="248"/>
      <c r="CP103" s="248"/>
      <c r="CQ103" s="248"/>
      <c r="CR103" s="248"/>
      <c r="CS103" s="248"/>
      <c r="CT103" s="248"/>
      <c r="CU103" s="248"/>
      <c r="CV103" s="248"/>
      <c r="CW103" s="248"/>
      <c r="CX103" s="248"/>
      <c r="CY103" s="248"/>
      <c r="CZ103" s="248"/>
      <c r="DA103" s="248"/>
      <c r="DB103" s="248"/>
      <c r="DC103" s="248"/>
      <c r="DD103" s="248"/>
      <c r="DE103" s="248"/>
      <c r="DF103" s="248"/>
      <c r="DG103" s="248"/>
      <c r="DH103" s="248"/>
      <c r="DI103" s="248"/>
      <c r="DJ103" s="248"/>
      <c r="DK103" s="248"/>
      <c r="DL103" s="248"/>
      <c r="DM103" s="248"/>
      <c r="DN103" s="248"/>
      <c r="DO103" s="248"/>
      <c r="DP103" s="248"/>
      <c r="DQ103" s="248"/>
      <c r="DR103" s="248"/>
      <c r="DS103" s="248"/>
      <c r="DT103" s="248"/>
      <c r="DU103" s="248"/>
      <c r="DV103" s="248"/>
      <c r="DW103" s="248"/>
      <c r="DX103" s="248"/>
      <c r="DY103" s="248"/>
      <c r="DZ103" s="248"/>
      <c r="EA103" s="248"/>
      <c r="EB103" s="248"/>
      <c r="EC103" s="248"/>
      <c r="ED103" s="248"/>
      <c r="EE103" s="248"/>
    </row>
    <row r="104" spans="1:135" s="35" customFormat="1" ht="16.5">
      <c r="A104" s="35" t="str">
        <f t="shared" si="3"/>
        <v>MIB_C               KS_CPR_C</v>
      </c>
      <c r="B104" s="331"/>
      <c r="C104" s="248">
        <v>173</v>
      </c>
      <c r="D104" s="283" t="s">
        <v>605</v>
      </c>
      <c r="E104" s="283"/>
      <c r="F104" s="35" t="s">
        <v>1086</v>
      </c>
      <c r="O104" s="34" t="s">
        <v>1086</v>
      </c>
      <c r="P104" s="34" t="s">
        <v>1086</v>
      </c>
      <c r="Q104" s="58"/>
      <c r="R104" s="39"/>
      <c r="AH104" s="279"/>
      <c r="AJ104" s="279" t="s">
        <v>1117</v>
      </c>
      <c r="AK104" s="35" t="s">
        <v>2557</v>
      </c>
      <c r="AL104" s="523">
        <v>3</v>
      </c>
      <c r="AM104" s="35">
        <v>173</v>
      </c>
      <c r="AN104" s="35" t="s">
        <v>1855</v>
      </c>
      <c r="AO104" s="35" t="s">
        <v>920</v>
      </c>
      <c r="AP104" s="35" t="s">
        <v>672</v>
      </c>
      <c r="AQ104" s="34" t="s">
        <v>2259</v>
      </c>
      <c r="AR104" s="35">
        <v>7</v>
      </c>
      <c r="AS104" s="35" t="s">
        <v>1768</v>
      </c>
      <c r="AT104" s="35" t="s">
        <v>87</v>
      </c>
      <c r="AU104" s="35" t="s">
        <v>10</v>
      </c>
      <c r="AV104" s="35" t="s">
        <v>424</v>
      </c>
      <c r="AW104" s="35" t="s">
        <v>648</v>
      </c>
      <c r="AX104" s="34" t="s">
        <v>1796</v>
      </c>
      <c r="AY104" s="35">
        <v>14</v>
      </c>
      <c r="AZ104" s="35" t="s">
        <v>1808</v>
      </c>
      <c r="BA104" s="35" t="s">
        <v>72</v>
      </c>
      <c r="BB104" s="35" t="s">
        <v>10</v>
      </c>
      <c r="BC104" s="35" t="s">
        <v>147</v>
      </c>
      <c r="BD104" s="35" t="s">
        <v>1742</v>
      </c>
      <c r="BE104" s="35" t="s">
        <v>674</v>
      </c>
      <c r="BF104" s="35" t="s">
        <v>149</v>
      </c>
      <c r="BG104" s="35">
        <v>1678</v>
      </c>
      <c r="BH104" s="35" t="s">
        <v>66</v>
      </c>
      <c r="BI104" s="35">
        <v>0.35</v>
      </c>
      <c r="BJ104" s="35" t="s">
        <v>1856</v>
      </c>
      <c r="BK104" s="35" t="s">
        <v>2374</v>
      </c>
      <c r="BL104" s="35" t="s">
        <v>2492</v>
      </c>
      <c r="BM104" s="35">
        <v>173</v>
      </c>
      <c r="BW104" s="248"/>
      <c r="BX104" s="248"/>
      <c r="BY104" s="248"/>
      <c r="BZ104" s="248"/>
      <c r="CA104" s="248"/>
      <c r="CB104" s="248"/>
      <c r="CC104" s="248"/>
      <c r="CD104" s="248"/>
      <c r="CE104" s="248"/>
      <c r="CF104" s="248"/>
      <c r="CG104" s="248"/>
      <c r="CH104" s="248"/>
      <c r="CI104" s="248"/>
      <c r="CJ104" s="248"/>
      <c r="CK104" s="248"/>
      <c r="CL104" s="248"/>
      <c r="CM104" s="248"/>
      <c r="CN104" s="248"/>
      <c r="CO104" s="248"/>
      <c r="CP104" s="248"/>
      <c r="CQ104" s="248"/>
      <c r="CR104" s="248"/>
      <c r="CS104" s="248"/>
      <c r="CT104" s="248"/>
      <c r="CU104" s="248"/>
      <c r="CV104" s="248"/>
      <c r="CW104" s="248"/>
      <c r="CX104" s="248"/>
      <c r="CY104" s="248"/>
      <c r="CZ104" s="248"/>
      <c r="DA104" s="248"/>
      <c r="DB104" s="248"/>
      <c r="DC104" s="248"/>
      <c r="DD104" s="248"/>
      <c r="DE104" s="248"/>
      <c r="DF104" s="248"/>
      <c r="DG104" s="248"/>
      <c r="DH104" s="248"/>
      <c r="DI104" s="248"/>
      <c r="DJ104" s="248"/>
      <c r="DK104" s="248"/>
      <c r="DL104" s="248"/>
      <c r="DM104" s="248"/>
      <c r="DN104" s="248"/>
      <c r="DO104" s="248"/>
      <c r="DP104" s="248"/>
      <c r="DQ104" s="248"/>
      <c r="DR104" s="248"/>
      <c r="DS104" s="248"/>
      <c r="DT104" s="248"/>
      <c r="DU104" s="248"/>
      <c r="DV104" s="248"/>
      <c r="DW104" s="248"/>
      <c r="DX104" s="248"/>
      <c r="DY104" s="248"/>
      <c r="DZ104" s="248"/>
      <c r="EA104" s="248"/>
      <c r="EB104" s="248"/>
      <c r="EC104" s="248"/>
      <c r="ED104" s="248"/>
      <c r="EE104" s="248"/>
    </row>
    <row r="105" spans="1:135" s="35" customFormat="1" ht="16.5">
      <c r="A105" s="35" t="str">
        <f t="shared" si="3"/>
        <v>SP_MB32_B1          SP_MB32_B2</v>
      </c>
      <c r="B105" s="331"/>
      <c r="C105" s="248">
        <v>174</v>
      </c>
      <c r="D105" s="283" t="s">
        <v>605</v>
      </c>
      <c r="E105" s="283"/>
      <c r="F105" s="35" t="s">
        <v>1086</v>
      </c>
      <c r="G105" s="35" t="s">
        <v>2324</v>
      </c>
      <c r="H105" s="35" t="s">
        <v>612</v>
      </c>
      <c r="N105" s="35" t="s">
        <v>537</v>
      </c>
      <c r="O105" s="34" t="s">
        <v>1097</v>
      </c>
      <c r="P105" s="34" t="s">
        <v>1086</v>
      </c>
      <c r="Q105" s="58" t="s">
        <v>523</v>
      </c>
      <c r="R105" s="39"/>
      <c r="AH105" s="279"/>
      <c r="AJ105" s="279" t="s">
        <v>1117</v>
      </c>
      <c r="AK105" s="279"/>
      <c r="AL105" s="523">
        <v>3</v>
      </c>
      <c r="AM105" s="35">
        <v>174</v>
      </c>
      <c r="AN105" s="35" t="s">
        <v>1427</v>
      </c>
      <c r="AO105" s="35" t="s">
        <v>2149</v>
      </c>
      <c r="AP105" s="35" t="s">
        <v>252</v>
      </c>
      <c r="AQ105" s="34" t="s">
        <v>2235</v>
      </c>
      <c r="AR105" s="35">
        <v>1</v>
      </c>
      <c r="AS105" s="35" t="s">
        <v>1311</v>
      </c>
      <c r="AT105" s="35" t="s">
        <v>10</v>
      </c>
      <c r="AU105" s="35" t="s">
        <v>10</v>
      </c>
      <c r="AV105" s="35" t="s">
        <v>2146</v>
      </c>
      <c r="AW105" s="35" t="s">
        <v>250</v>
      </c>
      <c r="AX105" s="34" t="s">
        <v>2228</v>
      </c>
      <c r="AY105" s="35">
        <v>1</v>
      </c>
      <c r="AZ105" s="35" t="s">
        <v>1170</v>
      </c>
      <c r="BA105" s="35" t="s">
        <v>10</v>
      </c>
      <c r="BB105" s="35" t="s">
        <v>10</v>
      </c>
      <c r="BC105" s="35" t="s">
        <v>163</v>
      </c>
      <c r="BD105" s="35" t="s">
        <v>1742</v>
      </c>
      <c r="BE105" s="35" t="s">
        <v>10</v>
      </c>
      <c r="BF105" s="35" t="s">
        <v>10</v>
      </c>
      <c r="BG105" s="35">
        <v>340</v>
      </c>
      <c r="BH105" s="35" t="s">
        <v>25</v>
      </c>
      <c r="BI105" s="35">
        <v>1.5</v>
      </c>
      <c r="BJ105" s="35" t="s">
        <v>1296</v>
      </c>
      <c r="BK105" s="35" t="s">
        <v>2374</v>
      </c>
      <c r="BL105" s="35" t="s">
        <v>2492</v>
      </c>
      <c r="BM105" s="35">
        <v>174</v>
      </c>
      <c r="BW105" s="248"/>
      <c r="BX105" s="248"/>
      <c r="BY105" s="248"/>
      <c r="BZ105" s="248"/>
      <c r="CA105" s="248"/>
      <c r="CB105" s="248"/>
      <c r="CC105" s="248"/>
      <c r="CD105" s="248"/>
      <c r="CE105" s="248"/>
      <c r="CF105" s="248"/>
      <c r="CG105" s="248"/>
      <c r="CH105" s="248"/>
      <c r="CI105" s="248"/>
      <c r="CJ105" s="248"/>
      <c r="CK105" s="248"/>
      <c r="CL105" s="248"/>
      <c r="CM105" s="248"/>
      <c r="CN105" s="248"/>
      <c r="CO105" s="248"/>
      <c r="CP105" s="248"/>
      <c r="CQ105" s="248"/>
      <c r="CR105" s="248"/>
      <c r="CS105" s="248"/>
      <c r="CT105" s="248"/>
      <c r="CU105" s="248"/>
      <c r="CV105" s="248"/>
      <c r="CW105" s="248"/>
      <c r="CX105" s="248"/>
      <c r="CY105" s="248"/>
      <c r="CZ105" s="248"/>
      <c r="DA105" s="248"/>
      <c r="DB105" s="248"/>
      <c r="DC105" s="248"/>
      <c r="DD105" s="248"/>
      <c r="DE105" s="248"/>
      <c r="DF105" s="248"/>
      <c r="DG105" s="248"/>
      <c r="DH105" s="248"/>
      <c r="DI105" s="248"/>
      <c r="DJ105" s="248"/>
      <c r="DK105" s="248"/>
      <c r="DL105" s="248"/>
      <c r="DM105" s="248"/>
      <c r="DN105" s="248"/>
      <c r="DO105" s="248"/>
      <c r="DP105" s="248"/>
      <c r="DQ105" s="248"/>
      <c r="DR105" s="248"/>
      <c r="DS105" s="248"/>
      <c r="DT105" s="248"/>
      <c r="DU105" s="248"/>
      <c r="DV105" s="248"/>
      <c r="DW105" s="248"/>
      <c r="DX105" s="248"/>
      <c r="DY105" s="248"/>
      <c r="DZ105" s="248"/>
      <c r="EA105" s="248"/>
      <c r="EB105" s="248"/>
      <c r="EC105" s="248"/>
      <c r="ED105" s="248"/>
      <c r="EE105" s="248"/>
    </row>
    <row r="106" spans="1:135" s="35" customFormat="1" ht="16.5">
      <c r="A106" s="35" t="str">
        <f t="shared" si="3"/>
        <v>KS_CPL_D            SBT_B</v>
      </c>
      <c r="B106" s="331"/>
      <c r="C106" s="248">
        <v>175</v>
      </c>
      <c r="D106" s="283" t="s">
        <v>605</v>
      </c>
      <c r="E106" s="283"/>
      <c r="F106" s="35" t="s">
        <v>1086</v>
      </c>
      <c r="H106" s="35" t="s">
        <v>523</v>
      </c>
      <c r="O106" s="34" t="s">
        <v>1086</v>
      </c>
      <c r="P106" s="34" t="s">
        <v>1086</v>
      </c>
      <c r="Q106" s="58"/>
      <c r="R106" s="39"/>
      <c r="AH106" s="279"/>
      <c r="AJ106" s="279" t="s">
        <v>1117</v>
      </c>
      <c r="AK106" s="279"/>
      <c r="AL106" s="523">
        <v>3</v>
      </c>
      <c r="AM106" s="35">
        <v>175</v>
      </c>
      <c r="AN106" s="35" t="s">
        <v>1428</v>
      </c>
      <c r="AO106" s="35" t="s">
        <v>416</v>
      </c>
      <c r="AP106" s="35" t="s">
        <v>646</v>
      </c>
      <c r="AQ106" s="34" t="s">
        <v>1784</v>
      </c>
      <c r="AR106" s="35">
        <v>5</v>
      </c>
      <c r="AS106" s="35" t="s">
        <v>1785</v>
      </c>
      <c r="AT106" s="35" t="s">
        <v>492</v>
      </c>
      <c r="AU106" s="35" t="s">
        <v>10</v>
      </c>
      <c r="AV106" s="35" t="s">
        <v>1697</v>
      </c>
      <c r="AW106" s="35" t="s">
        <v>670</v>
      </c>
      <c r="AX106" s="34" t="s">
        <v>2307</v>
      </c>
      <c r="AY106" s="35">
        <v>1</v>
      </c>
      <c r="AZ106" s="35" t="s">
        <v>485</v>
      </c>
      <c r="BA106" s="35" t="s">
        <v>218</v>
      </c>
      <c r="BB106" s="35" t="s">
        <v>10</v>
      </c>
      <c r="BC106" s="35" t="s">
        <v>675</v>
      </c>
      <c r="BD106" s="35" t="s">
        <v>1742</v>
      </c>
      <c r="BE106" s="35" t="s">
        <v>10</v>
      </c>
      <c r="BF106" s="35" t="s">
        <v>10</v>
      </c>
      <c r="BG106" s="35">
        <v>975</v>
      </c>
      <c r="BH106" s="35" t="s">
        <v>177</v>
      </c>
      <c r="BI106" s="35">
        <v>0.13</v>
      </c>
      <c r="BJ106" s="35" t="s">
        <v>1429</v>
      </c>
      <c r="BK106" s="35" t="s">
        <v>2374</v>
      </c>
      <c r="BL106" s="35" t="s">
        <v>2492</v>
      </c>
      <c r="BM106" s="35">
        <v>175</v>
      </c>
      <c r="BW106" s="248"/>
      <c r="BX106" s="248"/>
      <c r="BY106" s="248"/>
      <c r="BZ106" s="248"/>
      <c r="CA106" s="248"/>
      <c r="CB106" s="248"/>
      <c r="CC106" s="248"/>
      <c r="CD106" s="248"/>
      <c r="CE106" s="248"/>
      <c r="CF106" s="248"/>
      <c r="CG106" s="248"/>
      <c r="CH106" s="248"/>
      <c r="CI106" s="248"/>
      <c r="CJ106" s="248"/>
      <c r="CK106" s="248"/>
      <c r="CL106" s="248"/>
      <c r="CM106" s="248"/>
      <c r="CN106" s="248"/>
      <c r="CO106" s="248"/>
      <c r="CP106" s="248"/>
      <c r="CQ106" s="248"/>
      <c r="CR106" s="248"/>
      <c r="CS106" s="248"/>
      <c r="CT106" s="248"/>
      <c r="CU106" s="248"/>
      <c r="CV106" s="248"/>
      <c r="CW106" s="248"/>
      <c r="CX106" s="248"/>
      <c r="CY106" s="248"/>
      <c r="CZ106" s="248"/>
      <c r="DA106" s="248"/>
      <c r="DB106" s="248"/>
      <c r="DC106" s="248"/>
      <c r="DD106" s="248"/>
      <c r="DE106" s="248"/>
      <c r="DF106" s="248"/>
      <c r="DG106" s="248"/>
      <c r="DH106" s="248"/>
      <c r="DI106" s="248"/>
      <c r="DJ106" s="248"/>
      <c r="DK106" s="248"/>
      <c r="DL106" s="248"/>
      <c r="DM106" s="248"/>
      <c r="DN106" s="248"/>
      <c r="DO106" s="248"/>
      <c r="DP106" s="248"/>
      <c r="DQ106" s="248"/>
      <c r="DR106" s="248"/>
      <c r="DS106" s="248"/>
      <c r="DT106" s="248"/>
      <c r="DU106" s="248"/>
      <c r="DV106" s="248"/>
      <c r="DW106" s="248"/>
      <c r="DX106" s="248"/>
      <c r="DY106" s="248"/>
      <c r="DZ106" s="248"/>
      <c r="EA106" s="248"/>
      <c r="EB106" s="248"/>
      <c r="EC106" s="248"/>
      <c r="ED106" s="248"/>
      <c r="EE106" s="248"/>
    </row>
    <row r="107" spans="1:135" s="35" customFormat="1" ht="16.5">
      <c r="A107" s="35" t="str">
        <f t="shared" si="3"/>
        <v>KS_CPL_D            SBT_B</v>
      </c>
      <c r="B107" s="331"/>
      <c r="C107" s="248">
        <v>176</v>
      </c>
      <c r="D107" s="283" t="s">
        <v>605</v>
      </c>
      <c r="E107" s="283"/>
      <c r="F107" s="35" t="s">
        <v>1086</v>
      </c>
      <c r="H107" s="35" t="s">
        <v>523</v>
      </c>
      <c r="O107" s="34" t="s">
        <v>1086</v>
      </c>
      <c r="P107" s="34" t="s">
        <v>1086</v>
      </c>
      <c r="Q107" s="58"/>
      <c r="R107" s="39"/>
      <c r="AH107" s="279"/>
      <c r="AJ107" s="279" t="s">
        <v>1117</v>
      </c>
      <c r="AK107" s="279"/>
      <c r="AL107" s="523">
        <v>3</v>
      </c>
      <c r="AM107" s="35">
        <v>176</v>
      </c>
      <c r="AN107" s="35" t="s">
        <v>1430</v>
      </c>
      <c r="AO107" s="35" t="s">
        <v>416</v>
      </c>
      <c r="AP107" s="35" t="s">
        <v>646</v>
      </c>
      <c r="AQ107" s="34" t="s">
        <v>1784</v>
      </c>
      <c r="AR107" s="35">
        <v>4</v>
      </c>
      <c r="AS107" s="35" t="s">
        <v>1785</v>
      </c>
      <c r="AT107" s="35" t="s">
        <v>492</v>
      </c>
      <c r="AU107" s="35" t="s">
        <v>10</v>
      </c>
      <c r="AV107" s="35" t="s">
        <v>1697</v>
      </c>
      <c r="AW107" s="35" t="s">
        <v>670</v>
      </c>
      <c r="AX107" s="34" t="s">
        <v>2307</v>
      </c>
      <c r="AY107" s="35">
        <v>2</v>
      </c>
      <c r="AZ107" s="35" t="s">
        <v>485</v>
      </c>
      <c r="BA107" s="35" t="s">
        <v>218</v>
      </c>
      <c r="BB107" s="35" t="s">
        <v>10</v>
      </c>
      <c r="BC107" s="35" t="s">
        <v>676</v>
      </c>
      <c r="BD107" s="35" t="s">
        <v>1742</v>
      </c>
      <c r="BE107" s="35" t="s">
        <v>10</v>
      </c>
      <c r="BF107" s="35" t="s">
        <v>10</v>
      </c>
      <c r="BG107" s="35">
        <v>975</v>
      </c>
      <c r="BH107" s="35" t="s">
        <v>65</v>
      </c>
      <c r="BI107" s="35">
        <v>0.13</v>
      </c>
      <c r="BJ107" s="35" t="s">
        <v>1431</v>
      </c>
      <c r="BK107" s="35" t="s">
        <v>2374</v>
      </c>
      <c r="BL107" s="35" t="s">
        <v>2492</v>
      </c>
      <c r="BM107" s="35">
        <v>176</v>
      </c>
      <c r="BW107" s="248"/>
      <c r="BX107" s="248"/>
      <c r="BY107" s="248"/>
      <c r="BZ107" s="248"/>
      <c r="CA107" s="248"/>
      <c r="CB107" s="248"/>
      <c r="CC107" s="248"/>
      <c r="CD107" s="248"/>
      <c r="CE107" s="248"/>
      <c r="CF107" s="248"/>
      <c r="CG107" s="248"/>
      <c r="CH107" s="248"/>
      <c r="CI107" s="248"/>
      <c r="CJ107" s="248"/>
      <c r="CK107" s="248"/>
      <c r="CL107" s="248"/>
      <c r="CM107" s="248"/>
      <c r="CN107" s="248"/>
      <c r="CO107" s="248"/>
      <c r="CP107" s="248"/>
      <c r="CQ107" s="248"/>
      <c r="CR107" s="248"/>
      <c r="CS107" s="248"/>
      <c r="CT107" s="248"/>
      <c r="CU107" s="248"/>
      <c r="CV107" s="248"/>
      <c r="CW107" s="248"/>
      <c r="CX107" s="248"/>
      <c r="CY107" s="248"/>
      <c r="CZ107" s="248"/>
      <c r="DA107" s="248"/>
      <c r="DB107" s="248"/>
      <c r="DC107" s="248"/>
      <c r="DD107" s="248"/>
      <c r="DE107" s="248"/>
      <c r="DF107" s="248"/>
      <c r="DG107" s="248"/>
      <c r="DH107" s="248"/>
      <c r="DI107" s="248"/>
      <c r="DJ107" s="248"/>
      <c r="DK107" s="248"/>
      <c r="DL107" s="248"/>
      <c r="DM107" s="248"/>
      <c r="DN107" s="248"/>
      <c r="DO107" s="248"/>
      <c r="DP107" s="248"/>
      <c r="DQ107" s="248"/>
      <c r="DR107" s="248"/>
      <c r="DS107" s="248"/>
      <c r="DT107" s="248"/>
      <c r="DU107" s="248"/>
      <c r="DV107" s="248"/>
      <c r="DW107" s="248"/>
      <c r="DX107" s="248"/>
      <c r="DY107" s="248"/>
      <c r="DZ107" s="248"/>
      <c r="EA107" s="248"/>
      <c r="EB107" s="248"/>
      <c r="EC107" s="248"/>
      <c r="ED107" s="248"/>
      <c r="EE107" s="248"/>
    </row>
    <row r="108" spans="1:135" s="35" customFormat="1" ht="16.5">
      <c r="A108" s="35" t="str">
        <f t="shared" si="3"/>
        <v>KS_CPL_D            SBT_B</v>
      </c>
      <c r="B108" s="331"/>
      <c r="C108" s="248">
        <v>177</v>
      </c>
      <c r="D108" s="283" t="s">
        <v>605</v>
      </c>
      <c r="E108" s="283"/>
      <c r="F108" s="35" t="s">
        <v>1086</v>
      </c>
      <c r="H108" s="35" t="s">
        <v>523</v>
      </c>
      <c r="O108" s="34" t="s">
        <v>1086</v>
      </c>
      <c r="P108" s="34" t="s">
        <v>1086</v>
      </c>
      <c r="Q108" s="58"/>
      <c r="R108" s="39"/>
      <c r="AH108" s="279"/>
      <c r="AJ108" s="279" t="s">
        <v>1117</v>
      </c>
      <c r="AK108" s="279"/>
      <c r="AL108" s="523">
        <v>3</v>
      </c>
      <c r="AM108" s="35">
        <v>177</v>
      </c>
      <c r="AN108" s="35" t="s">
        <v>1432</v>
      </c>
      <c r="AO108" s="35" t="s">
        <v>416</v>
      </c>
      <c r="AP108" s="35" t="s">
        <v>646</v>
      </c>
      <c r="AQ108" s="34" t="s">
        <v>1784</v>
      </c>
      <c r="AR108" s="35">
        <v>3</v>
      </c>
      <c r="AS108" s="35" t="s">
        <v>1785</v>
      </c>
      <c r="AT108" s="35" t="s">
        <v>492</v>
      </c>
      <c r="AU108" s="35" t="s">
        <v>10</v>
      </c>
      <c r="AV108" s="35" t="s">
        <v>1697</v>
      </c>
      <c r="AW108" s="35" t="s">
        <v>670</v>
      </c>
      <c r="AX108" s="34" t="s">
        <v>2307</v>
      </c>
      <c r="AY108" s="35">
        <v>3</v>
      </c>
      <c r="AZ108" s="35" t="s">
        <v>485</v>
      </c>
      <c r="BA108" s="35" t="s">
        <v>218</v>
      </c>
      <c r="BB108" s="35" t="s">
        <v>10</v>
      </c>
      <c r="BC108" s="35" t="s">
        <v>677</v>
      </c>
      <c r="BD108" s="35" t="s">
        <v>1742</v>
      </c>
      <c r="BE108" s="35" t="s">
        <v>10</v>
      </c>
      <c r="BF108" s="35" t="s">
        <v>10</v>
      </c>
      <c r="BG108" s="35">
        <v>975</v>
      </c>
      <c r="BH108" s="35" t="s">
        <v>83</v>
      </c>
      <c r="BI108" s="35">
        <v>0.13</v>
      </c>
      <c r="BJ108" s="35" t="s">
        <v>1433</v>
      </c>
      <c r="BK108" s="35" t="s">
        <v>2374</v>
      </c>
      <c r="BL108" s="35" t="s">
        <v>2492</v>
      </c>
      <c r="BM108" s="35">
        <v>177</v>
      </c>
      <c r="BW108" s="248"/>
      <c r="BX108" s="248"/>
      <c r="BY108" s="248"/>
      <c r="BZ108" s="248"/>
      <c r="CA108" s="248"/>
      <c r="CB108" s="248"/>
      <c r="CC108" s="248"/>
      <c r="CD108" s="248"/>
      <c r="CE108" s="248"/>
      <c r="CF108" s="248"/>
      <c r="CG108" s="248"/>
      <c r="CH108" s="248"/>
      <c r="CI108" s="248"/>
      <c r="CJ108" s="248"/>
      <c r="CK108" s="248"/>
      <c r="CL108" s="248"/>
      <c r="CM108" s="248"/>
      <c r="CN108" s="248"/>
      <c r="CO108" s="248"/>
      <c r="CP108" s="248"/>
      <c r="CQ108" s="248"/>
      <c r="CR108" s="248"/>
      <c r="CS108" s="248"/>
      <c r="CT108" s="248"/>
      <c r="CU108" s="248"/>
      <c r="CV108" s="248"/>
      <c r="CW108" s="248"/>
      <c r="CX108" s="248"/>
      <c r="CY108" s="248"/>
      <c r="CZ108" s="248"/>
      <c r="DA108" s="248"/>
      <c r="DB108" s="248"/>
      <c r="DC108" s="248"/>
      <c r="DD108" s="248"/>
      <c r="DE108" s="248"/>
      <c r="DF108" s="248"/>
      <c r="DG108" s="248"/>
      <c r="DH108" s="248"/>
      <c r="DI108" s="248"/>
      <c r="DJ108" s="248"/>
      <c r="DK108" s="248"/>
      <c r="DL108" s="248"/>
      <c r="DM108" s="248"/>
      <c r="DN108" s="248"/>
      <c r="DO108" s="248"/>
      <c r="DP108" s="248"/>
      <c r="DQ108" s="248"/>
      <c r="DR108" s="248"/>
      <c r="DS108" s="248"/>
      <c r="DT108" s="248"/>
      <c r="DU108" s="248"/>
      <c r="DV108" s="248"/>
      <c r="DW108" s="248"/>
      <c r="DX108" s="248"/>
      <c r="DY108" s="248"/>
      <c r="DZ108" s="248"/>
      <c r="EA108" s="248"/>
      <c r="EB108" s="248"/>
      <c r="EC108" s="248"/>
      <c r="ED108" s="248"/>
      <c r="EE108" s="248"/>
    </row>
    <row r="109" spans="1:135" s="35" customFormat="1" ht="16.5">
      <c r="A109" s="35" t="str">
        <f t="shared" si="3"/>
        <v>KS_CPL_D            SBT_B</v>
      </c>
      <c r="B109" s="331"/>
      <c r="C109" s="248">
        <v>178</v>
      </c>
      <c r="D109" s="283" t="s">
        <v>605</v>
      </c>
      <c r="E109" s="283"/>
      <c r="F109" s="35" t="s">
        <v>1086</v>
      </c>
      <c r="H109" s="35" t="s">
        <v>523</v>
      </c>
      <c r="O109" s="34" t="s">
        <v>1086</v>
      </c>
      <c r="P109" s="34" t="s">
        <v>1086</v>
      </c>
      <c r="Q109" s="58"/>
      <c r="R109" s="39"/>
      <c r="AH109" s="279"/>
      <c r="AJ109" s="279" t="s">
        <v>1117</v>
      </c>
      <c r="AK109" s="279"/>
      <c r="AL109" s="523">
        <v>3</v>
      </c>
      <c r="AM109" s="35">
        <v>178</v>
      </c>
      <c r="AN109" s="35" t="s">
        <v>1434</v>
      </c>
      <c r="AO109" s="35" t="s">
        <v>416</v>
      </c>
      <c r="AP109" s="35" t="s">
        <v>646</v>
      </c>
      <c r="AQ109" s="34" t="s">
        <v>1784</v>
      </c>
      <c r="AR109" s="35">
        <v>2</v>
      </c>
      <c r="AS109" s="35" t="s">
        <v>1785</v>
      </c>
      <c r="AT109" s="35" t="s">
        <v>492</v>
      </c>
      <c r="AU109" s="35" t="s">
        <v>10</v>
      </c>
      <c r="AV109" s="35" t="s">
        <v>1697</v>
      </c>
      <c r="AW109" s="35" t="s">
        <v>670</v>
      </c>
      <c r="AX109" s="34" t="s">
        <v>2307</v>
      </c>
      <c r="AY109" s="35">
        <v>4</v>
      </c>
      <c r="AZ109" s="35" t="s">
        <v>485</v>
      </c>
      <c r="BA109" s="35" t="s">
        <v>218</v>
      </c>
      <c r="BB109" s="35" t="s">
        <v>10</v>
      </c>
      <c r="BC109" s="35" t="s">
        <v>498</v>
      </c>
      <c r="BD109" s="35" t="s">
        <v>1742</v>
      </c>
      <c r="BE109" s="35" t="s">
        <v>10</v>
      </c>
      <c r="BF109" s="35" t="s">
        <v>10</v>
      </c>
      <c r="BG109" s="35">
        <v>975</v>
      </c>
      <c r="BH109" s="35" t="s">
        <v>221</v>
      </c>
      <c r="BI109" s="35">
        <v>0.13</v>
      </c>
      <c r="BJ109" s="35" t="s">
        <v>1435</v>
      </c>
      <c r="BK109" s="35" t="s">
        <v>2374</v>
      </c>
      <c r="BL109" s="35" t="s">
        <v>2492</v>
      </c>
      <c r="BM109" s="35">
        <v>178</v>
      </c>
      <c r="BW109" s="248"/>
      <c r="BX109" s="248"/>
      <c r="BY109" s="248"/>
      <c r="BZ109" s="248"/>
      <c r="CA109" s="248"/>
      <c r="CB109" s="248"/>
      <c r="CC109" s="248"/>
      <c r="CD109" s="248"/>
      <c r="CE109" s="248"/>
      <c r="CF109" s="248"/>
      <c r="CG109" s="248"/>
      <c r="CH109" s="248"/>
      <c r="CI109" s="248"/>
      <c r="CJ109" s="248"/>
      <c r="CK109" s="248"/>
      <c r="CL109" s="248"/>
      <c r="CM109" s="248"/>
      <c r="CN109" s="248"/>
      <c r="CO109" s="248"/>
      <c r="CP109" s="248"/>
      <c r="CQ109" s="248"/>
      <c r="CR109" s="248"/>
      <c r="CS109" s="248"/>
      <c r="CT109" s="248"/>
      <c r="CU109" s="248"/>
      <c r="CV109" s="248"/>
      <c r="CW109" s="248"/>
      <c r="CX109" s="248"/>
      <c r="CY109" s="248"/>
      <c r="CZ109" s="248"/>
      <c r="DA109" s="248"/>
      <c r="DB109" s="248"/>
      <c r="DC109" s="248"/>
      <c r="DD109" s="248"/>
      <c r="DE109" s="248"/>
      <c r="DF109" s="248"/>
      <c r="DG109" s="248"/>
      <c r="DH109" s="248"/>
      <c r="DI109" s="248"/>
      <c r="DJ109" s="248"/>
      <c r="DK109" s="248"/>
      <c r="DL109" s="248"/>
      <c r="DM109" s="248"/>
      <c r="DN109" s="248"/>
      <c r="DO109" s="248"/>
      <c r="DP109" s="248"/>
      <c r="DQ109" s="248"/>
      <c r="DR109" s="248"/>
      <c r="DS109" s="248"/>
      <c r="DT109" s="248"/>
      <c r="DU109" s="248"/>
      <c r="DV109" s="248"/>
      <c r="DW109" s="248"/>
      <c r="DX109" s="248"/>
      <c r="DY109" s="248"/>
      <c r="DZ109" s="248"/>
      <c r="EA109" s="248"/>
      <c r="EB109" s="248"/>
      <c r="EC109" s="248"/>
      <c r="ED109" s="248"/>
      <c r="EE109" s="248"/>
    </row>
    <row r="110" spans="1:135" s="35" customFormat="1" ht="16.5">
      <c r="A110" s="35" t="str">
        <f t="shared" si="3"/>
        <v>MIB_B               KS_CPL_A</v>
      </c>
      <c r="B110" s="331"/>
      <c r="C110" s="35">
        <v>185</v>
      </c>
      <c r="D110" s="283" t="s">
        <v>605</v>
      </c>
      <c r="E110" s="283"/>
      <c r="F110" s="35" t="s">
        <v>1086</v>
      </c>
      <c r="O110" s="34" t="s">
        <v>1086</v>
      </c>
      <c r="P110" s="34" t="s">
        <v>1086</v>
      </c>
      <c r="Q110" s="58"/>
      <c r="R110" s="39"/>
      <c r="AH110" s="279"/>
      <c r="AJ110" s="279" t="s">
        <v>1117</v>
      </c>
      <c r="AK110" s="279"/>
      <c r="AL110" s="523">
        <v>3</v>
      </c>
      <c r="AM110" s="35">
        <v>185</v>
      </c>
      <c r="AN110" s="35" t="s">
        <v>1436</v>
      </c>
      <c r="AO110" s="35" t="s">
        <v>920</v>
      </c>
      <c r="AP110" s="35" t="s">
        <v>640</v>
      </c>
      <c r="AQ110" s="34" t="s">
        <v>2267</v>
      </c>
      <c r="AR110" s="35">
        <v>5</v>
      </c>
      <c r="AS110" s="35" t="s">
        <v>1857</v>
      </c>
      <c r="AT110" s="35" t="s">
        <v>218</v>
      </c>
      <c r="AU110" s="35" t="s">
        <v>10</v>
      </c>
      <c r="AV110" s="35" t="s">
        <v>416</v>
      </c>
      <c r="AW110" s="35" t="s">
        <v>639</v>
      </c>
      <c r="AX110" s="34" t="s">
        <v>1794</v>
      </c>
      <c r="AY110" s="35">
        <v>12</v>
      </c>
      <c r="AZ110" s="35" t="s">
        <v>876</v>
      </c>
      <c r="BA110" s="35" t="s">
        <v>492</v>
      </c>
      <c r="BB110" s="35" t="s">
        <v>10</v>
      </c>
      <c r="BC110" s="35" t="s">
        <v>479</v>
      </c>
      <c r="BD110" s="35" t="s">
        <v>1742</v>
      </c>
      <c r="BE110" s="35" t="s">
        <v>10</v>
      </c>
      <c r="BF110" s="35" t="s">
        <v>10</v>
      </c>
      <c r="BG110" s="35">
        <v>1525</v>
      </c>
      <c r="BH110" s="35" t="s">
        <v>180</v>
      </c>
      <c r="BI110" s="35">
        <v>0.13</v>
      </c>
      <c r="BJ110" s="35" t="s">
        <v>1437</v>
      </c>
      <c r="BK110" s="35" t="s">
        <v>2374</v>
      </c>
      <c r="BL110" s="35" t="s">
        <v>2492</v>
      </c>
      <c r="BM110" s="35">
        <v>185</v>
      </c>
    </row>
    <row r="111" spans="1:135" s="35" customFormat="1" ht="16.5">
      <c r="A111" s="35" t="str">
        <f t="shared" si="3"/>
        <v xml:space="preserve">                    </v>
      </c>
      <c r="B111" s="331"/>
      <c r="D111" s="283" t="s">
        <v>606</v>
      </c>
      <c r="G111" s="39"/>
      <c r="O111" s="34"/>
      <c r="P111" s="34"/>
      <c r="Q111" s="58"/>
      <c r="R111" s="39"/>
      <c r="AH111" s="279"/>
      <c r="AJ111" s="279"/>
      <c r="AK111" s="279"/>
      <c r="AL111" s="523">
        <v>1</v>
      </c>
      <c r="AM111" s="35" t="s">
        <v>282</v>
      </c>
      <c r="AQ111" s="34"/>
      <c r="AX111" s="34"/>
    </row>
    <row r="112" spans="1:135" s="35" customFormat="1" ht="16.5">
      <c r="A112" s="35" t="str">
        <f t="shared" si="3"/>
        <v xml:space="preserve">~                   </v>
      </c>
      <c r="B112" s="331"/>
      <c r="D112" s="283" t="s">
        <v>606</v>
      </c>
      <c r="G112" s="39"/>
      <c r="O112" s="34"/>
      <c r="P112" s="34"/>
      <c r="Q112" s="58"/>
      <c r="R112" s="39"/>
      <c r="AC112" s="287">
        <v>1</v>
      </c>
      <c r="AD112" s="287"/>
      <c r="AE112" s="287"/>
      <c r="AF112" s="287"/>
      <c r="AG112" s="287"/>
      <c r="AH112" s="279"/>
      <c r="AJ112" s="279"/>
      <c r="AK112" s="279"/>
      <c r="AL112" s="523">
        <v>2</v>
      </c>
      <c r="AM112" s="35" t="s">
        <v>0</v>
      </c>
      <c r="AN112" s="35" t="s">
        <v>678</v>
      </c>
      <c r="AO112" s="35" t="s">
        <v>1438</v>
      </c>
      <c r="AP112" s="35" t="s">
        <v>2523</v>
      </c>
      <c r="AQ112" s="34" t="s">
        <v>1</v>
      </c>
      <c r="AR112" s="35" t="s">
        <v>2388</v>
      </c>
      <c r="AS112" s="35" t="s">
        <v>11</v>
      </c>
      <c r="AX112" s="34"/>
    </row>
    <row r="113" spans="1:135" s="35" customFormat="1" ht="16.5">
      <c r="A113" s="35" t="str">
        <f t="shared" si="3"/>
        <v xml:space="preserve">~                   </v>
      </c>
      <c r="B113" s="331"/>
      <c r="D113" s="283" t="s">
        <v>606</v>
      </c>
      <c r="G113" s="39"/>
      <c r="O113" s="34"/>
      <c r="P113" s="34"/>
      <c r="Q113" s="58"/>
      <c r="R113" s="39"/>
      <c r="AC113" s="287">
        <v>1</v>
      </c>
      <c r="AD113" s="287"/>
      <c r="AE113" s="287"/>
      <c r="AF113" s="287"/>
      <c r="AG113" s="287"/>
      <c r="AH113" s="279"/>
      <c r="AJ113" s="279"/>
      <c r="AK113" s="279"/>
      <c r="AL113" s="523">
        <v>2</v>
      </c>
      <c r="AM113" s="35" t="s">
        <v>2</v>
      </c>
      <c r="AN113" s="35" t="s">
        <v>680</v>
      </c>
      <c r="AO113" s="35" t="s">
        <v>1255</v>
      </c>
      <c r="AP113" s="35" t="s">
        <v>2524</v>
      </c>
      <c r="AQ113" s="34" t="s">
        <v>1</v>
      </c>
      <c r="AR113" s="35" t="s">
        <v>2389</v>
      </c>
      <c r="AS113" s="35" t="s">
        <v>11</v>
      </c>
      <c r="AX113" s="34"/>
    </row>
    <row r="114" spans="1:135" s="35" customFormat="1" ht="16.5">
      <c r="A114" s="35" t="str">
        <f t="shared" si="3"/>
        <v xml:space="preserve">~                   </v>
      </c>
      <c r="B114" s="331"/>
      <c r="D114" s="283" t="s">
        <v>606</v>
      </c>
      <c r="O114" s="34"/>
      <c r="P114" s="34"/>
      <c r="Q114" s="58"/>
      <c r="R114" s="39"/>
      <c r="AC114" s="287">
        <v>1</v>
      </c>
      <c r="AD114" s="287"/>
      <c r="AE114" s="287"/>
      <c r="AF114" s="287"/>
      <c r="AG114" s="287"/>
      <c r="AH114" s="279"/>
      <c r="AJ114" s="279"/>
      <c r="AK114" s="279"/>
      <c r="AL114" s="523">
        <v>2</v>
      </c>
      <c r="AM114" s="35" t="s">
        <v>3</v>
      </c>
      <c r="AN114" s="35" t="s">
        <v>681</v>
      </c>
      <c r="AO114" s="35" t="s">
        <v>1440</v>
      </c>
      <c r="AP114" s="35" t="s">
        <v>2525</v>
      </c>
      <c r="AQ114" s="34" t="s">
        <v>1</v>
      </c>
      <c r="AR114" s="35" t="s">
        <v>2526</v>
      </c>
      <c r="AS114" s="35" t="s">
        <v>11</v>
      </c>
      <c r="AX114" s="34"/>
    </row>
    <row r="115" spans="1:135" s="35" customFormat="1" ht="16.5">
      <c r="A115" s="35" t="str">
        <f t="shared" si="3"/>
        <v xml:space="preserve">~                   </v>
      </c>
      <c r="B115" s="331"/>
      <c r="D115" s="283" t="s">
        <v>606</v>
      </c>
      <c r="O115" s="34"/>
      <c r="P115" s="34"/>
      <c r="Q115" s="58"/>
      <c r="R115" s="39"/>
      <c r="AC115" s="287">
        <v>1</v>
      </c>
      <c r="AD115" s="287"/>
      <c r="AE115" s="287"/>
      <c r="AF115" s="287"/>
      <c r="AG115" s="287"/>
      <c r="AH115" s="279"/>
      <c r="AJ115" s="279"/>
      <c r="AK115" s="279"/>
      <c r="AL115" s="523">
        <v>2</v>
      </c>
      <c r="AM115" s="35" t="s">
        <v>4</v>
      </c>
      <c r="AN115" s="35" t="s">
        <v>682</v>
      </c>
      <c r="AO115" s="35" t="s">
        <v>1256</v>
      </c>
      <c r="AP115" s="35" t="s">
        <v>2532</v>
      </c>
      <c r="AQ115" s="34" t="s">
        <v>1</v>
      </c>
      <c r="AR115" s="35" t="s">
        <v>2527</v>
      </c>
      <c r="AS115" s="35" t="s">
        <v>11</v>
      </c>
      <c r="AX115" s="34"/>
    </row>
    <row r="116" spans="1:135" s="35" customFormat="1" ht="16.5">
      <c r="B116" s="331"/>
      <c r="D116" s="283" t="s">
        <v>606</v>
      </c>
      <c r="O116" s="34"/>
      <c r="P116" s="34"/>
      <c r="Q116" s="58"/>
      <c r="R116" s="39"/>
      <c r="AC116" s="287">
        <v>1</v>
      </c>
      <c r="AD116" s="287"/>
      <c r="AE116" s="287"/>
      <c r="AF116" s="287"/>
      <c r="AG116" s="287"/>
      <c r="AH116" s="279"/>
      <c r="AJ116" s="279"/>
      <c r="AK116" s="279"/>
      <c r="AL116" s="523">
        <v>2</v>
      </c>
      <c r="AM116" s="35" t="s">
        <v>5</v>
      </c>
      <c r="AN116" s="35" t="s">
        <v>2358</v>
      </c>
      <c r="AO116" s="35" t="s">
        <v>2360</v>
      </c>
      <c r="AP116" s="35" t="s">
        <v>2531</v>
      </c>
      <c r="AQ116" s="34" t="s">
        <v>1</v>
      </c>
      <c r="AR116" s="35" t="s">
        <v>2528</v>
      </c>
      <c r="AS116" s="35" t="s">
        <v>11</v>
      </c>
      <c r="AX116" s="34"/>
    </row>
    <row r="117" spans="1:135" s="35" customFormat="1" ht="16.5">
      <c r="B117" s="331"/>
      <c r="D117" s="283" t="s">
        <v>606</v>
      </c>
      <c r="O117" s="34"/>
      <c r="P117" s="34"/>
      <c r="Q117" s="58"/>
      <c r="R117" s="39"/>
      <c r="AC117" s="287">
        <v>1</v>
      </c>
      <c r="AD117" s="287"/>
      <c r="AE117" s="287"/>
      <c r="AF117" s="287"/>
      <c r="AG117" s="287"/>
      <c r="AH117" s="279"/>
      <c r="AJ117" s="279"/>
      <c r="AK117" s="279"/>
      <c r="AL117" s="523">
        <v>2</v>
      </c>
      <c r="AM117" s="35" t="s">
        <v>6</v>
      </c>
      <c r="AN117" s="35" t="s">
        <v>2359</v>
      </c>
      <c r="AO117" s="35" t="s">
        <v>2361</v>
      </c>
      <c r="AP117" s="35" t="s">
        <v>2530</v>
      </c>
      <c r="AQ117" s="34" t="s">
        <v>1</v>
      </c>
      <c r="AR117" s="35" t="s">
        <v>2529</v>
      </c>
      <c r="AS117" s="35" t="s">
        <v>11</v>
      </c>
      <c r="AX117" s="34"/>
    </row>
    <row r="118" spans="1:135" s="35" customFormat="1" ht="16.5">
      <c r="A118" s="35" t="str">
        <f t="shared" ref="A118:A149" si="4" xml:space="preserve"> AQ118 &amp; REPT(" ",20-LEN(AQ118)) &amp; AX118</f>
        <v>Kurzname            Kurzname</v>
      </c>
      <c r="B118" s="331"/>
      <c r="D118" s="283" t="s">
        <v>606</v>
      </c>
      <c r="O118" s="34"/>
      <c r="P118" s="34"/>
      <c r="Q118" s="58"/>
      <c r="R118" s="39"/>
      <c r="AH118" s="279"/>
      <c r="AJ118" s="279"/>
      <c r="AK118" s="279"/>
      <c r="AL118" s="523">
        <v>0</v>
      </c>
      <c r="AM118" s="35" t="s">
        <v>12</v>
      </c>
      <c r="AN118" s="35" t="s">
        <v>13</v>
      </c>
      <c r="AO118" s="35" t="s">
        <v>356</v>
      </c>
      <c r="AP118" s="35" t="s">
        <v>14</v>
      </c>
      <c r="AQ118" s="34" t="s">
        <v>7</v>
      </c>
      <c r="AR118" s="35" t="s">
        <v>15</v>
      </c>
      <c r="AS118" s="35" t="s">
        <v>8</v>
      </c>
      <c r="AT118" s="35" t="s">
        <v>16</v>
      </c>
      <c r="AU118" s="35" t="s">
        <v>17</v>
      </c>
      <c r="AV118" s="35" t="s">
        <v>356</v>
      </c>
      <c r="AW118" s="35" t="s">
        <v>18</v>
      </c>
      <c r="AX118" s="34" t="s">
        <v>7</v>
      </c>
      <c r="AY118" s="35" t="s">
        <v>15</v>
      </c>
      <c r="AZ118" s="35" t="s">
        <v>8</v>
      </c>
      <c r="BA118" s="35" t="s">
        <v>16</v>
      </c>
      <c r="BB118" s="35" t="s">
        <v>17</v>
      </c>
      <c r="BC118" s="35" t="s">
        <v>19</v>
      </c>
      <c r="BD118" s="35" t="s">
        <v>1737</v>
      </c>
      <c r="BE118" s="35" t="s">
        <v>20</v>
      </c>
      <c r="BF118" s="35" t="s">
        <v>21</v>
      </c>
      <c r="BG118" s="35" t="s">
        <v>22</v>
      </c>
      <c r="BH118" s="35" t="s">
        <v>9</v>
      </c>
      <c r="BI118" s="35" t="s">
        <v>23</v>
      </c>
      <c r="BJ118" s="35" t="s">
        <v>24</v>
      </c>
      <c r="BK118" s="35" t="s">
        <v>0</v>
      </c>
      <c r="BL118" s="35" t="s">
        <v>2</v>
      </c>
      <c r="BM118" s="35" t="s">
        <v>3</v>
      </c>
      <c r="BN118" s="35" t="s">
        <v>4</v>
      </c>
      <c r="BO118" s="35" t="s">
        <v>5</v>
      </c>
      <c r="BP118" s="35" t="s">
        <v>6</v>
      </c>
      <c r="BQ118" s="35" t="s">
        <v>12</v>
      </c>
    </row>
    <row r="119" spans="1:135" s="35" customFormat="1" ht="16.5">
      <c r="A119" s="35" t="str">
        <f t="shared" si="4"/>
        <v>SGKG_B              KS_CPL_C</v>
      </c>
      <c r="B119" s="331"/>
      <c r="C119" s="35">
        <v>29001</v>
      </c>
      <c r="D119" s="283" t="s">
        <v>606</v>
      </c>
      <c r="F119" s="35" t="s">
        <v>1086</v>
      </c>
      <c r="O119" s="34" t="s">
        <v>1086</v>
      </c>
      <c r="P119" s="34" t="s">
        <v>1086</v>
      </c>
      <c r="Q119" s="58"/>
      <c r="R119" s="39"/>
      <c r="AH119" s="279"/>
      <c r="AJ119" s="279" t="s">
        <v>1117</v>
      </c>
      <c r="AK119" s="279"/>
      <c r="AL119" s="523">
        <v>3</v>
      </c>
      <c r="AM119" s="35">
        <v>29001</v>
      </c>
      <c r="AN119" s="35" t="s">
        <v>1860</v>
      </c>
      <c r="AO119" s="35" t="s">
        <v>1701</v>
      </c>
      <c r="AP119" s="35" t="s">
        <v>656</v>
      </c>
      <c r="AQ119" s="34" t="s">
        <v>2262</v>
      </c>
      <c r="AR119" s="35">
        <v>1</v>
      </c>
      <c r="AS119" s="35" t="s">
        <v>464</v>
      </c>
      <c r="AT119" s="35" t="s">
        <v>87</v>
      </c>
      <c r="AU119" s="35" t="s">
        <v>10</v>
      </c>
      <c r="AV119" s="35" t="s">
        <v>416</v>
      </c>
      <c r="AW119" s="35" t="s">
        <v>632</v>
      </c>
      <c r="AX119" s="34" t="s">
        <v>1758</v>
      </c>
      <c r="AY119" s="35">
        <v>2</v>
      </c>
      <c r="AZ119" s="35" t="s">
        <v>1759</v>
      </c>
      <c r="BA119" s="35" t="s">
        <v>72</v>
      </c>
      <c r="BB119" s="35" t="s">
        <v>10</v>
      </c>
      <c r="BC119" s="35" t="s">
        <v>2390</v>
      </c>
      <c r="BD119" s="35" t="s">
        <v>1742</v>
      </c>
      <c r="BE119" s="35" t="s">
        <v>283</v>
      </c>
      <c r="BF119" s="35" t="s">
        <v>173</v>
      </c>
      <c r="BG119" s="35">
        <v>1179</v>
      </c>
      <c r="BH119" s="35" t="s">
        <v>174</v>
      </c>
      <c r="BI119" s="35">
        <v>0.35</v>
      </c>
      <c r="BJ119" s="35" t="s">
        <v>1861</v>
      </c>
      <c r="BK119" s="35" t="s">
        <v>678</v>
      </c>
      <c r="BL119" s="35" t="s">
        <v>680</v>
      </c>
      <c r="BM119" s="35" t="s">
        <v>681</v>
      </c>
      <c r="BN119" s="35" t="s">
        <v>682</v>
      </c>
      <c r="BO119" s="35" t="s">
        <v>2358</v>
      </c>
      <c r="BP119" s="35" t="s">
        <v>2359</v>
      </c>
      <c r="BQ119" s="35">
        <v>29001</v>
      </c>
    </row>
    <row r="120" spans="1:135" s="35" customFormat="1" ht="16.5">
      <c r="A120" s="35" t="str">
        <f t="shared" si="4"/>
        <v>SGKG_B              KS_CPL_C</v>
      </c>
      <c r="B120" s="331"/>
      <c r="C120" s="35">
        <v>29002</v>
      </c>
      <c r="D120" s="283" t="s">
        <v>606</v>
      </c>
      <c r="F120" s="35" t="s">
        <v>1086</v>
      </c>
      <c r="O120" s="34" t="s">
        <v>1086</v>
      </c>
      <c r="P120" s="34" t="s">
        <v>1086</v>
      </c>
      <c r="Q120" s="58"/>
      <c r="R120" s="39"/>
      <c r="AH120" s="279"/>
      <c r="AJ120" s="279" t="s">
        <v>1117</v>
      </c>
      <c r="AK120" s="279"/>
      <c r="AL120" s="523">
        <v>3</v>
      </c>
      <c r="AM120" s="35">
        <v>29002</v>
      </c>
      <c r="AN120" s="35" t="s">
        <v>1862</v>
      </c>
      <c r="AO120" s="35" t="s">
        <v>1701</v>
      </c>
      <c r="AP120" s="35" t="s">
        <v>656</v>
      </c>
      <c r="AQ120" s="34" t="s">
        <v>2262</v>
      </c>
      <c r="AR120" s="35">
        <v>2</v>
      </c>
      <c r="AS120" s="35" t="s">
        <v>464</v>
      </c>
      <c r="AT120" s="35" t="s">
        <v>87</v>
      </c>
      <c r="AU120" s="35" t="s">
        <v>10</v>
      </c>
      <c r="AV120" s="35" t="s">
        <v>416</v>
      </c>
      <c r="AW120" s="35" t="s">
        <v>632</v>
      </c>
      <c r="AX120" s="34" t="s">
        <v>1758</v>
      </c>
      <c r="AY120" s="35">
        <v>3</v>
      </c>
      <c r="AZ120" s="35" t="s">
        <v>1759</v>
      </c>
      <c r="BA120" s="35" t="s">
        <v>72</v>
      </c>
      <c r="BB120" s="35" t="s">
        <v>10</v>
      </c>
      <c r="BC120" s="35" t="s">
        <v>2390</v>
      </c>
      <c r="BD120" s="35" t="s">
        <v>1742</v>
      </c>
      <c r="BE120" s="35" t="s">
        <v>283</v>
      </c>
      <c r="BF120" s="35" t="s">
        <v>88</v>
      </c>
      <c r="BG120" s="35">
        <v>1179</v>
      </c>
      <c r="BH120" s="35" t="s">
        <v>89</v>
      </c>
      <c r="BI120" s="35">
        <v>0.35</v>
      </c>
      <c r="BJ120" s="35" t="s">
        <v>1863</v>
      </c>
      <c r="BK120" s="35" t="s">
        <v>678</v>
      </c>
      <c r="BL120" s="35" t="s">
        <v>680</v>
      </c>
      <c r="BM120" s="35" t="s">
        <v>681</v>
      </c>
      <c r="BN120" s="35" t="s">
        <v>682</v>
      </c>
      <c r="BO120" s="35" t="s">
        <v>2358</v>
      </c>
      <c r="BP120" s="35" t="s">
        <v>2359</v>
      </c>
      <c r="BQ120" s="35">
        <v>29002</v>
      </c>
    </row>
    <row r="121" spans="1:135" s="32" customFormat="1" ht="16.5">
      <c r="A121" s="35" t="str">
        <f t="shared" si="4"/>
        <v>SGKG_B              SP_ACLIN2</v>
      </c>
      <c r="B121" s="332"/>
      <c r="C121" s="35">
        <v>29003</v>
      </c>
      <c r="D121" s="283" t="s">
        <v>606</v>
      </c>
      <c r="E121" s="35"/>
      <c r="F121" s="35" t="s">
        <v>1086</v>
      </c>
      <c r="G121" s="35" t="s">
        <v>2238</v>
      </c>
      <c r="H121" s="35" t="s">
        <v>610</v>
      </c>
      <c r="I121" s="35"/>
      <c r="N121" s="35" t="s">
        <v>537</v>
      </c>
      <c r="O121" s="34" t="s">
        <v>1086</v>
      </c>
      <c r="P121" s="285" t="s">
        <v>1097</v>
      </c>
      <c r="Q121" s="59"/>
      <c r="R121" s="62"/>
      <c r="AH121" s="279"/>
      <c r="AI121" s="35"/>
      <c r="AJ121" s="279" t="s">
        <v>1117</v>
      </c>
      <c r="AK121" s="279"/>
      <c r="AL121" s="523">
        <v>3</v>
      </c>
      <c r="AM121" s="35">
        <v>29003</v>
      </c>
      <c r="AN121" s="35" t="s">
        <v>1441</v>
      </c>
      <c r="AO121" s="35" t="s">
        <v>1701</v>
      </c>
      <c r="AP121" s="35" t="s">
        <v>656</v>
      </c>
      <c r="AQ121" s="34" t="s">
        <v>2262</v>
      </c>
      <c r="AR121" s="35">
        <v>8</v>
      </c>
      <c r="AS121" s="35" t="s">
        <v>464</v>
      </c>
      <c r="AT121" s="35" t="s">
        <v>218</v>
      </c>
      <c r="AU121" s="35" t="s">
        <v>10</v>
      </c>
      <c r="AV121" s="35" t="s">
        <v>1728</v>
      </c>
      <c r="AW121" s="35" t="s">
        <v>325</v>
      </c>
      <c r="AX121" s="34" t="s">
        <v>2238</v>
      </c>
      <c r="AY121" s="35">
        <v>1</v>
      </c>
      <c r="AZ121" s="35" t="s">
        <v>1865</v>
      </c>
      <c r="BA121" s="35" t="s">
        <v>10</v>
      </c>
      <c r="BB121" s="35" t="s">
        <v>10</v>
      </c>
      <c r="BC121" s="35" t="s">
        <v>219</v>
      </c>
      <c r="BD121" s="35" t="s">
        <v>1742</v>
      </c>
      <c r="BE121" s="35" t="s">
        <v>10</v>
      </c>
      <c r="BF121" s="35" t="s">
        <v>10</v>
      </c>
      <c r="BG121" s="35">
        <v>1187</v>
      </c>
      <c r="BH121" s="35" t="s">
        <v>108</v>
      </c>
      <c r="BI121" s="35">
        <v>0.13</v>
      </c>
      <c r="BJ121" s="35" t="s">
        <v>1443</v>
      </c>
      <c r="BK121" s="35" t="s">
        <v>678</v>
      </c>
      <c r="BL121" s="35" t="s">
        <v>680</v>
      </c>
      <c r="BM121" s="35" t="s">
        <v>681</v>
      </c>
      <c r="BN121" s="35" t="s">
        <v>682</v>
      </c>
      <c r="BO121" s="35" t="s">
        <v>2358</v>
      </c>
      <c r="BP121" s="35" t="s">
        <v>2359</v>
      </c>
      <c r="BQ121" s="35">
        <v>29003</v>
      </c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</row>
    <row r="122" spans="1:135" s="35" customFormat="1" ht="16.5">
      <c r="A122" s="35" t="str">
        <f t="shared" si="4"/>
        <v>SGKG_B              KS_CP_C</v>
      </c>
      <c r="B122" s="331"/>
      <c r="C122" s="35">
        <v>29004</v>
      </c>
      <c r="D122" s="283" t="s">
        <v>606</v>
      </c>
      <c r="F122" s="35" t="s">
        <v>1086</v>
      </c>
      <c r="O122" s="34" t="s">
        <v>1086</v>
      </c>
      <c r="P122" s="34" t="s">
        <v>1086</v>
      </c>
      <c r="Q122" s="58"/>
      <c r="R122" s="39"/>
      <c r="AH122" s="279"/>
      <c r="AJ122" s="279" t="s">
        <v>1117</v>
      </c>
      <c r="AK122" s="279"/>
      <c r="AL122" s="523">
        <v>3</v>
      </c>
      <c r="AM122" s="35">
        <v>29004</v>
      </c>
      <c r="AN122" s="35" t="s">
        <v>1866</v>
      </c>
      <c r="AO122" s="35" t="s">
        <v>1701</v>
      </c>
      <c r="AP122" s="35" t="s">
        <v>656</v>
      </c>
      <c r="AQ122" s="34" t="s">
        <v>2262</v>
      </c>
      <c r="AR122" s="35">
        <v>16</v>
      </c>
      <c r="AS122" s="35" t="s">
        <v>464</v>
      </c>
      <c r="AT122" s="35" t="s">
        <v>218</v>
      </c>
      <c r="AU122" s="35" t="s">
        <v>10</v>
      </c>
      <c r="AV122" s="35" t="s">
        <v>959</v>
      </c>
      <c r="AW122" s="35" t="s">
        <v>683</v>
      </c>
      <c r="AX122" s="34" t="s">
        <v>1867</v>
      </c>
      <c r="AY122" s="35">
        <v>11</v>
      </c>
      <c r="AZ122" s="35" t="s">
        <v>477</v>
      </c>
      <c r="BA122" s="35" t="s">
        <v>500</v>
      </c>
      <c r="BB122" s="35" t="s">
        <v>10</v>
      </c>
      <c r="BC122" s="35" t="s">
        <v>329</v>
      </c>
      <c r="BD122" s="35" t="s">
        <v>1742</v>
      </c>
      <c r="BE122" s="35" t="s">
        <v>10</v>
      </c>
      <c r="BF122" s="35" t="s">
        <v>10</v>
      </c>
      <c r="BG122" s="35">
        <v>1737</v>
      </c>
      <c r="BH122" s="35" t="s">
        <v>189</v>
      </c>
      <c r="BI122" s="35">
        <v>0.13</v>
      </c>
      <c r="BJ122" s="35" t="s">
        <v>1444</v>
      </c>
      <c r="BK122" s="35" t="s">
        <v>678</v>
      </c>
      <c r="BL122" s="35" t="s">
        <v>680</v>
      </c>
      <c r="BM122" s="35" t="s">
        <v>681</v>
      </c>
      <c r="BN122" s="35" t="s">
        <v>682</v>
      </c>
      <c r="BO122" s="35" t="s">
        <v>2358</v>
      </c>
      <c r="BP122" s="35" t="s">
        <v>2359</v>
      </c>
      <c r="BQ122" s="35">
        <v>29004</v>
      </c>
    </row>
    <row r="123" spans="1:135" s="32" customFormat="1" ht="16.5">
      <c r="A123" s="35" t="str">
        <f t="shared" si="4"/>
        <v>SP_AC31             KS_CPM_A</v>
      </c>
      <c r="B123" s="331"/>
      <c r="C123" s="35">
        <v>29005</v>
      </c>
      <c r="D123" s="283" t="s">
        <v>606</v>
      </c>
      <c r="E123" s="35"/>
      <c r="F123" s="35" t="s">
        <v>1086</v>
      </c>
      <c r="G123" s="35" t="s">
        <v>2239</v>
      </c>
      <c r="H123" s="35" t="s">
        <v>610</v>
      </c>
      <c r="I123" s="35"/>
      <c r="N123" s="35" t="s">
        <v>537</v>
      </c>
      <c r="O123" s="34" t="s">
        <v>1097</v>
      </c>
      <c r="P123" s="34" t="s">
        <v>1086</v>
      </c>
      <c r="Q123" s="59"/>
      <c r="R123" s="62"/>
      <c r="AH123" s="279"/>
      <c r="AI123" s="35"/>
      <c r="AJ123" s="279" t="s">
        <v>1117</v>
      </c>
      <c r="AK123" s="279"/>
      <c r="AL123" s="523">
        <v>3</v>
      </c>
      <c r="AM123" s="35">
        <v>29005</v>
      </c>
      <c r="AN123" s="35" t="s">
        <v>1868</v>
      </c>
      <c r="AO123" s="35" t="s">
        <v>1706</v>
      </c>
      <c r="AP123" s="35" t="s">
        <v>684</v>
      </c>
      <c r="AQ123" s="34" t="s">
        <v>2239</v>
      </c>
      <c r="AR123" s="35">
        <v>1</v>
      </c>
      <c r="AS123" s="35" t="s">
        <v>519</v>
      </c>
      <c r="AT123" s="35" t="s">
        <v>10</v>
      </c>
      <c r="AU123" s="35" t="s">
        <v>10</v>
      </c>
      <c r="AV123" s="35" t="s">
        <v>502</v>
      </c>
      <c r="AW123" s="35" t="s">
        <v>685</v>
      </c>
      <c r="AX123" s="34" t="s">
        <v>1870</v>
      </c>
      <c r="AY123" s="35">
        <v>13</v>
      </c>
      <c r="AZ123" s="35" t="s">
        <v>1392</v>
      </c>
      <c r="BA123" s="35" t="s">
        <v>241</v>
      </c>
      <c r="BB123" s="35" t="s">
        <v>10</v>
      </c>
      <c r="BC123" s="35" t="s">
        <v>2419</v>
      </c>
      <c r="BD123" s="35" t="s">
        <v>1742</v>
      </c>
      <c r="BE123" s="35" t="s">
        <v>10</v>
      </c>
      <c r="BF123" s="35" t="s">
        <v>10</v>
      </c>
      <c r="BG123" s="35">
        <v>1132</v>
      </c>
      <c r="BH123" s="35" t="s">
        <v>2420</v>
      </c>
      <c r="BI123" s="35">
        <v>0.5</v>
      </c>
      <c r="BJ123" s="35" t="s">
        <v>1445</v>
      </c>
      <c r="BK123" s="35" t="s">
        <v>678</v>
      </c>
      <c r="BL123" s="35" t="s">
        <v>680</v>
      </c>
      <c r="BM123" s="35" t="s">
        <v>681</v>
      </c>
      <c r="BN123" s="35" t="s">
        <v>682</v>
      </c>
      <c r="BO123" s="35" t="s">
        <v>2358</v>
      </c>
      <c r="BP123" s="35" t="s">
        <v>2359</v>
      </c>
      <c r="BQ123" s="35">
        <v>29005</v>
      </c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</row>
    <row r="124" spans="1:135" s="35" customFormat="1" ht="16.5">
      <c r="A124" s="35" t="str">
        <f t="shared" si="4"/>
        <v>SGKG_B              TGHR</v>
      </c>
      <c r="B124" s="331"/>
      <c r="C124" s="35">
        <v>29007</v>
      </c>
      <c r="D124" s="283" t="s">
        <v>606</v>
      </c>
      <c r="F124" s="35" t="s">
        <v>1086</v>
      </c>
      <c r="O124" s="34" t="s">
        <v>1086</v>
      </c>
      <c r="P124" s="34" t="s">
        <v>1086</v>
      </c>
      <c r="Q124" s="58"/>
      <c r="R124" s="39"/>
      <c r="AA124" s="35" t="s">
        <v>2645</v>
      </c>
      <c r="AH124" s="279"/>
      <c r="AJ124" s="279" t="s">
        <v>1117</v>
      </c>
      <c r="AK124" s="279"/>
      <c r="AL124" s="523">
        <v>3</v>
      </c>
      <c r="AM124" s="35">
        <v>29007</v>
      </c>
      <c r="AN124" s="35" t="s">
        <v>1446</v>
      </c>
      <c r="AO124" s="35" t="s">
        <v>1701</v>
      </c>
      <c r="AP124" s="35" t="s">
        <v>656</v>
      </c>
      <c r="AQ124" s="34" t="s">
        <v>2262</v>
      </c>
      <c r="AR124" s="35">
        <v>28</v>
      </c>
      <c r="AS124" s="35" t="s">
        <v>464</v>
      </c>
      <c r="AT124" s="35" t="s">
        <v>218</v>
      </c>
      <c r="AU124" s="35" t="s">
        <v>10</v>
      </c>
      <c r="AV124" s="35" t="s">
        <v>1729</v>
      </c>
      <c r="AW124" s="35" t="s">
        <v>962</v>
      </c>
      <c r="AX124" s="34" t="s">
        <v>2308</v>
      </c>
      <c r="AY124" s="35">
        <v>3</v>
      </c>
      <c r="AZ124" s="35" t="s">
        <v>1156</v>
      </c>
      <c r="BA124" s="35" t="s">
        <v>695</v>
      </c>
      <c r="BB124" s="35" t="s">
        <v>10</v>
      </c>
      <c r="BC124" s="35" t="s">
        <v>687</v>
      </c>
      <c r="BD124" s="35" t="s">
        <v>1742</v>
      </c>
      <c r="BE124" s="35" t="s">
        <v>10</v>
      </c>
      <c r="BF124" s="35" t="s">
        <v>10</v>
      </c>
      <c r="BG124" s="35">
        <v>1061</v>
      </c>
      <c r="BH124" s="35" t="s">
        <v>688</v>
      </c>
      <c r="BI124" s="35">
        <v>0.13</v>
      </c>
      <c r="BJ124" s="35" t="s">
        <v>1447</v>
      </c>
      <c r="BK124" s="35" t="s">
        <v>678</v>
      </c>
      <c r="BL124" s="35" t="s">
        <v>680</v>
      </c>
      <c r="BM124" s="35" t="s">
        <v>681</v>
      </c>
      <c r="BN124" s="35" t="s">
        <v>682</v>
      </c>
      <c r="BO124" s="35" t="s">
        <v>2358</v>
      </c>
      <c r="BP124" s="35" t="s">
        <v>2359</v>
      </c>
      <c r="BQ124" s="35">
        <v>29007</v>
      </c>
    </row>
    <row r="125" spans="1:135" s="35" customFormat="1" ht="16.5">
      <c r="A125" s="35" t="str">
        <f t="shared" si="4"/>
        <v>SGKG_B              TGHR</v>
      </c>
      <c r="B125" s="331"/>
      <c r="C125" s="35">
        <v>29008</v>
      </c>
      <c r="D125" s="283" t="s">
        <v>606</v>
      </c>
      <c r="F125" s="35" t="s">
        <v>1086</v>
      </c>
      <c r="O125" s="34" t="s">
        <v>1086</v>
      </c>
      <c r="P125" s="34" t="s">
        <v>1086</v>
      </c>
      <c r="Q125" s="58"/>
      <c r="R125" s="39"/>
      <c r="AA125" s="35" t="s">
        <v>2645</v>
      </c>
      <c r="AH125" s="279"/>
      <c r="AJ125" s="279" t="s">
        <v>1117</v>
      </c>
      <c r="AK125" s="279"/>
      <c r="AL125" s="523">
        <v>3</v>
      </c>
      <c r="AM125" s="35">
        <v>29008</v>
      </c>
      <c r="AN125" s="35" t="s">
        <v>1448</v>
      </c>
      <c r="AO125" s="35" t="s">
        <v>1701</v>
      </c>
      <c r="AP125" s="35" t="s">
        <v>656</v>
      </c>
      <c r="AQ125" s="34" t="s">
        <v>2262</v>
      </c>
      <c r="AR125" s="35">
        <v>29</v>
      </c>
      <c r="AS125" s="35" t="s">
        <v>464</v>
      </c>
      <c r="AT125" s="35" t="s">
        <v>218</v>
      </c>
      <c r="AU125" s="35" t="s">
        <v>10</v>
      </c>
      <c r="AV125" s="35" t="s">
        <v>1729</v>
      </c>
      <c r="AW125" s="35" t="s">
        <v>962</v>
      </c>
      <c r="AX125" s="34" t="s">
        <v>2308</v>
      </c>
      <c r="AY125" s="35">
        <v>4</v>
      </c>
      <c r="AZ125" s="35" t="s">
        <v>1156</v>
      </c>
      <c r="BA125" s="35" t="s">
        <v>695</v>
      </c>
      <c r="BB125" s="35" t="s">
        <v>10</v>
      </c>
      <c r="BC125" s="35" t="s">
        <v>689</v>
      </c>
      <c r="BD125" s="35" t="s">
        <v>1742</v>
      </c>
      <c r="BE125" s="35" t="s">
        <v>10</v>
      </c>
      <c r="BF125" s="35" t="s">
        <v>10</v>
      </c>
      <c r="BG125" s="35">
        <v>1061</v>
      </c>
      <c r="BH125" s="35" t="s">
        <v>134</v>
      </c>
      <c r="BI125" s="35">
        <v>0.13</v>
      </c>
      <c r="BJ125" s="35" t="s">
        <v>1449</v>
      </c>
      <c r="BK125" s="35" t="s">
        <v>678</v>
      </c>
      <c r="BL125" s="35" t="s">
        <v>680</v>
      </c>
      <c r="BM125" s="35" t="s">
        <v>681</v>
      </c>
      <c r="BN125" s="35" t="s">
        <v>682</v>
      </c>
      <c r="BO125" s="35" t="s">
        <v>2358</v>
      </c>
      <c r="BP125" s="35" t="s">
        <v>2359</v>
      </c>
      <c r="BQ125" s="35">
        <v>29008</v>
      </c>
    </row>
    <row r="126" spans="1:135" s="35" customFormat="1" ht="16.5">
      <c r="A126" s="35" t="str">
        <f t="shared" si="4"/>
        <v>SGKG_B              TGHR</v>
      </c>
      <c r="B126" s="331"/>
      <c r="C126" s="248">
        <v>29009</v>
      </c>
      <c r="D126" s="283" t="s">
        <v>606</v>
      </c>
      <c r="F126" s="35" t="s">
        <v>1086</v>
      </c>
      <c r="O126" s="34" t="s">
        <v>1086</v>
      </c>
      <c r="P126" s="34" t="s">
        <v>1086</v>
      </c>
      <c r="Q126" s="58"/>
      <c r="R126" s="39"/>
      <c r="AA126" s="35" t="s">
        <v>2645</v>
      </c>
      <c r="AH126" s="279"/>
      <c r="AJ126" s="279" t="s">
        <v>1117</v>
      </c>
      <c r="AK126" s="279"/>
      <c r="AL126" s="523">
        <v>3</v>
      </c>
      <c r="AM126" s="35">
        <v>29009</v>
      </c>
      <c r="AN126" s="35" t="s">
        <v>1450</v>
      </c>
      <c r="AO126" s="35" t="s">
        <v>1701</v>
      </c>
      <c r="AP126" s="35" t="s">
        <v>656</v>
      </c>
      <c r="AQ126" s="34" t="s">
        <v>2262</v>
      </c>
      <c r="AR126" s="35">
        <v>30</v>
      </c>
      <c r="AS126" s="35" t="s">
        <v>464</v>
      </c>
      <c r="AT126" s="35" t="s">
        <v>218</v>
      </c>
      <c r="AU126" s="35" t="s">
        <v>10</v>
      </c>
      <c r="AV126" s="35" t="s">
        <v>1729</v>
      </c>
      <c r="AW126" s="35" t="s">
        <v>962</v>
      </c>
      <c r="AX126" s="34" t="s">
        <v>2308</v>
      </c>
      <c r="AY126" s="35">
        <v>1</v>
      </c>
      <c r="AZ126" s="35" t="s">
        <v>1156</v>
      </c>
      <c r="BA126" s="35" t="s">
        <v>695</v>
      </c>
      <c r="BB126" s="35" t="s">
        <v>10</v>
      </c>
      <c r="BC126" s="35" t="s">
        <v>690</v>
      </c>
      <c r="BD126" s="35" t="s">
        <v>1742</v>
      </c>
      <c r="BE126" s="35" t="s">
        <v>10</v>
      </c>
      <c r="BF126" s="35" t="s">
        <v>10</v>
      </c>
      <c r="BG126" s="35">
        <v>1061</v>
      </c>
      <c r="BH126" s="35" t="s">
        <v>184</v>
      </c>
      <c r="BI126" s="35">
        <v>0.13</v>
      </c>
      <c r="BJ126" s="35" t="s">
        <v>1451</v>
      </c>
      <c r="BK126" s="35" t="s">
        <v>678</v>
      </c>
      <c r="BL126" s="35" t="s">
        <v>680</v>
      </c>
      <c r="BM126" s="35" t="s">
        <v>681</v>
      </c>
      <c r="BN126" s="35" t="s">
        <v>682</v>
      </c>
      <c r="BO126" s="35" t="s">
        <v>2358</v>
      </c>
      <c r="BP126" s="35" t="s">
        <v>2359</v>
      </c>
      <c r="BQ126" s="35">
        <v>29009</v>
      </c>
      <c r="BW126" s="248"/>
      <c r="BX126" s="248"/>
      <c r="BY126" s="248"/>
      <c r="BZ126" s="248"/>
      <c r="CA126" s="248"/>
      <c r="CB126" s="248"/>
      <c r="CC126" s="248"/>
      <c r="CD126" s="248"/>
      <c r="CE126" s="248"/>
      <c r="CF126" s="248"/>
      <c r="CG126" s="248"/>
      <c r="CH126" s="248"/>
      <c r="CI126" s="248"/>
      <c r="CJ126" s="248"/>
      <c r="CK126" s="248"/>
      <c r="CL126" s="248"/>
      <c r="CM126" s="248"/>
      <c r="CN126" s="248"/>
      <c r="CO126" s="248"/>
      <c r="CP126" s="248"/>
      <c r="CQ126" s="248"/>
      <c r="CR126" s="248"/>
      <c r="CS126" s="248"/>
      <c r="CT126" s="248"/>
      <c r="CU126" s="248"/>
      <c r="CV126" s="248"/>
      <c r="CW126" s="248"/>
      <c r="CX126" s="248"/>
      <c r="CY126" s="248"/>
      <c r="CZ126" s="248"/>
      <c r="DA126" s="248"/>
      <c r="DB126" s="248"/>
      <c r="DC126" s="248"/>
      <c r="DD126" s="248"/>
      <c r="DE126" s="248"/>
      <c r="DF126" s="248"/>
      <c r="DG126" s="248"/>
      <c r="DH126" s="248"/>
      <c r="DI126" s="248"/>
      <c r="DJ126" s="248"/>
      <c r="DK126" s="248"/>
      <c r="DL126" s="248"/>
      <c r="DM126" s="248"/>
      <c r="DN126" s="248"/>
      <c r="DO126" s="248"/>
      <c r="DP126" s="248"/>
      <c r="DQ126" s="248"/>
      <c r="DR126" s="248"/>
      <c r="DS126" s="248"/>
      <c r="DT126" s="248"/>
      <c r="DU126" s="248"/>
      <c r="DV126" s="248"/>
      <c r="DW126" s="248"/>
      <c r="DX126" s="248"/>
      <c r="DY126" s="248"/>
      <c r="DZ126" s="248"/>
      <c r="EA126" s="248"/>
      <c r="EB126" s="248"/>
      <c r="EC126" s="248"/>
      <c r="ED126" s="248"/>
      <c r="EE126" s="248"/>
    </row>
    <row r="127" spans="1:135" s="35" customFormat="1" ht="16.5">
      <c r="A127" s="35" t="str">
        <f t="shared" si="4"/>
        <v>SGKG_B              SP_31SM</v>
      </c>
      <c r="B127" s="331"/>
      <c r="C127" s="248">
        <v>29011</v>
      </c>
      <c r="D127" s="283" t="s">
        <v>606</v>
      </c>
      <c r="F127" s="35" t="s">
        <v>1086</v>
      </c>
      <c r="G127" s="35" t="s">
        <v>2240</v>
      </c>
      <c r="H127" s="35" t="s">
        <v>610</v>
      </c>
      <c r="N127" s="35" t="s">
        <v>537</v>
      </c>
      <c r="O127" s="34" t="s">
        <v>1086</v>
      </c>
      <c r="P127" s="285" t="s">
        <v>1097</v>
      </c>
      <c r="Q127" s="58"/>
      <c r="R127" s="39"/>
      <c r="AH127" s="279"/>
      <c r="AJ127" s="279" t="s">
        <v>1117</v>
      </c>
      <c r="AK127" s="279"/>
      <c r="AL127" s="523">
        <v>3</v>
      </c>
      <c r="AM127" s="35">
        <v>29011</v>
      </c>
      <c r="AN127" s="35" t="s">
        <v>1452</v>
      </c>
      <c r="AO127" s="35" t="s">
        <v>1701</v>
      </c>
      <c r="AP127" s="35" t="s">
        <v>656</v>
      </c>
      <c r="AQ127" s="34" t="s">
        <v>2262</v>
      </c>
      <c r="AR127" s="35">
        <v>38</v>
      </c>
      <c r="AS127" s="35" t="s">
        <v>464</v>
      </c>
      <c r="AT127" s="35" t="s">
        <v>218</v>
      </c>
      <c r="AU127" s="35" t="s">
        <v>10</v>
      </c>
      <c r="AV127" s="35" t="s">
        <v>1703</v>
      </c>
      <c r="AW127" s="35" t="s">
        <v>533</v>
      </c>
      <c r="AX127" s="34" t="s">
        <v>2240</v>
      </c>
      <c r="AY127" s="35">
        <v>1</v>
      </c>
      <c r="AZ127" s="35" t="s">
        <v>1687</v>
      </c>
      <c r="BA127" s="35" t="s">
        <v>10</v>
      </c>
      <c r="BB127" s="35" t="s">
        <v>10</v>
      </c>
      <c r="BC127" s="35" t="s">
        <v>691</v>
      </c>
      <c r="BD127" s="35" t="s">
        <v>1742</v>
      </c>
      <c r="BE127" s="35" t="s">
        <v>10</v>
      </c>
      <c r="BF127" s="35" t="s">
        <v>10</v>
      </c>
      <c r="BG127" s="35">
        <v>1130</v>
      </c>
      <c r="BH127" s="35" t="s">
        <v>61</v>
      </c>
      <c r="BI127" s="35">
        <v>0.13</v>
      </c>
      <c r="BJ127" s="35" t="s">
        <v>1453</v>
      </c>
      <c r="BK127" s="35" t="s">
        <v>678</v>
      </c>
      <c r="BL127" s="35" t="s">
        <v>680</v>
      </c>
      <c r="BM127" s="35" t="s">
        <v>681</v>
      </c>
      <c r="BN127" s="35" t="s">
        <v>682</v>
      </c>
      <c r="BO127" s="35" t="s">
        <v>2358</v>
      </c>
      <c r="BP127" s="35" t="s">
        <v>2359</v>
      </c>
      <c r="BQ127" s="35">
        <v>29011</v>
      </c>
      <c r="BW127" s="248"/>
      <c r="BX127" s="248"/>
      <c r="BY127" s="248"/>
      <c r="BZ127" s="248"/>
      <c r="CA127" s="248"/>
      <c r="CB127" s="248"/>
      <c r="CC127" s="248"/>
      <c r="CD127" s="248"/>
      <c r="CE127" s="248"/>
      <c r="CF127" s="248"/>
      <c r="CG127" s="248"/>
      <c r="CH127" s="248"/>
      <c r="CI127" s="248"/>
      <c r="CJ127" s="248"/>
      <c r="CK127" s="248"/>
      <c r="CL127" s="248"/>
      <c r="CM127" s="248"/>
      <c r="CN127" s="248"/>
      <c r="CO127" s="248"/>
      <c r="CP127" s="248"/>
      <c r="CQ127" s="248"/>
      <c r="CR127" s="248"/>
      <c r="CS127" s="248"/>
      <c r="CT127" s="248"/>
      <c r="CU127" s="248"/>
      <c r="CV127" s="248"/>
      <c r="CW127" s="248"/>
      <c r="CX127" s="248"/>
      <c r="CY127" s="248"/>
      <c r="CZ127" s="248"/>
      <c r="DA127" s="248"/>
      <c r="DB127" s="248"/>
      <c r="DC127" s="248"/>
      <c r="DD127" s="248"/>
      <c r="DE127" s="248"/>
      <c r="DF127" s="248"/>
      <c r="DG127" s="248"/>
      <c r="DH127" s="248"/>
      <c r="DI127" s="248"/>
      <c r="DJ127" s="248"/>
      <c r="DK127" s="248"/>
      <c r="DL127" s="248"/>
      <c r="DM127" s="248"/>
      <c r="DN127" s="248"/>
      <c r="DO127" s="248"/>
      <c r="DP127" s="248"/>
      <c r="DQ127" s="248"/>
      <c r="DR127" s="248"/>
      <c r="DS127" s="248"/>
      <c r="DT127" s="248"/>
      <c r="DU127" s="248"/>
      <c r="DV127" s="248"/>
      <c r="DW127" s="248"/>
      <c r="DX127" s="248"/>
      <c r="DY127" s="248"/>
      <c r="DZ127" s="248"/>
      <c r="EA127" s="248"/>
      <c r="EB127" s="248"/>
      <c r="EC127" s="248"/>
      <c r="ED127" s="248"/>
      <c r="EE127" s="248"/>
    </row>
    <row r="128" spans="1:135" s="35" customFormat="1" ht="16.5">
      <c r="A128" s="35" t="str">
        <f t="shared" si="4"/>
        <v>SP_AC30             KS_CPM_A</v>
      </c>
      <c r="B128" s="331"/>
      <c r="C128" s="248">
        <v>29012</v>
      </c>
      <c r="D128" s="283" t="s">
        <v>606</v>
      </c>
      <c r="F128" s="35" t="s">
        <v>1086</v>
      </c>
      <c r="G128" s="35" t="s">
        <v>2241</v>
      </c>
      <c r="H128" s="35" t="s">
        <v>610</v>
      </c>
      <c r="N128" s="35" t="s">
        <v>537</v>
      </c>
      <c r="O128" s="34" t="s">
        <v>1097</v>
      </c>
      <c r="P128" s="34" t="s">
        <v>1086</v>
      </c>
      <c r="Q128" s="58"/>
      <c r="R128" s="39"/>
      <c r="AH128" s="279"/>
      <c r="AJ128" s="279" t="s">
        <v>1117</v>
      </c>
      <c r="AK128" s="279"/>
      <c r="AL128" s="523">
        <v>3</v>
      </c>
      <c r="AM128" s="35">
        <v>29012</v>
      </c>
      <c r="AN128" s="35" t="s">
        <v>1872</v>
      </c>
      <c r="AO128" s="35" t="s">
        <v>1730</v>
      </c>
      <c r="AP128" s="35" t="s">
        <v>531</v>
      </c>
      <c r="AQ128" s="34" t="s">
        <v>2241</v>
      </c>
      <c r="AR128" s="35">
        <v>1</v>
      </c>
      <c r="AS128" s="35" t="s">
        <v>1310</v>
      </c>
      <c r="AT128" s="35" t="s">
        <v>10</v>
      </c>
      <c r="AU128" s="35" t="s">
        <v>10</v>
      </c>
      <c r="AV128" s="35" t="s">
        <v>502</v>
      </c>
      <c r="AW128" s="35" t="s">
        <v>685</v>
      </c>
      <c r="AX128" s="34" t="s">
        <v>1870</v>
      </c>
      <c r="AY128" s="35">
        <v>12</v>
      </c>
      <c r="AZ128" s="35" t="s">
        <v>1392</v>
      </c>
      <c r="BA128" s="35" t="s">
        <v>241</v>
      </c>
      <c r="BB128" s="35" t="s">
        <v>10</v>
      </c>
      <c r="BC128" s="35" t="s">
        <v>131</v>
      </c>
      <c r="BD128" s="35" t="s">
        <v>1742</v>
      </c>
      <c r="BE128" s="35" t="s">
        <v>10</v>
      </c>
      <c r="BF128" s="35" t="s">
        <v>10</v>
      </c>
      <c r="BG128" s="35">
        <v>1065</v>
      </c>
      <c r="BH128" s="35" t="s">
        <v>112</v>
      </c>
      <c r="BI128" s="35">
        <v>0.5</v>
      </c>
      <c r="BJ128" s="35" t="s">
        <v>1454</v>
      </c>
      <c r="BK128" s="35" t="s">
        <v>678</v>
      </c>
      <c r="BL128" s="35" t="s">
        <v>680</v>
      </c>
      <c r="BM128" s="35" t="s">
        <v>681</v>
      </c>
      <c r="BN128" s="35" t="s">
        <v>682</v>
      </c>
      <c r="BO128" s="35" t="s">
        <v>2358</v>
      </c>
      <c r="BP128" s="35" t="s">
        <v>2359</v>
      </c>
      <c r="BQ128" s="35">
        <v>29012</v>
      </c>
      <c r="BW128" s="248"/>
      <c r="BX128" s="248"/>
      <c r="BY128" s="248"/>
      <c r="BZ128" s="248"/>
      <c r="CA128" s="248"/>
      <c r="CB128" s="248"/>
      <c r="CC128" s="248"/>
      <c r="CD128" s="248"/>
      <c r="CE128" s="248"/>
      <c r="CF128" s="248"/>
      <c r="CG128" s="248"/>
      <c r="CH128" s="248"/>
      <c r="CI128" s="248"/>
      <c r="CJ128" s="248"/>
      <c r="CK128" s="248"/>
      <c r="CL128" s="248"/>
      <c r="CM128" s="248"/>
      <c r="CN128" s="248"/>
      <c r="CO128" s="248"/>
      <c r="CP128" s="248"/>
      <c r="CQ128" s="248"/>
      <c r="CR128" s="248"/>
      <c r="CS128" s="248"/>
      <c r="CT128" s="248"/>
      <c r="CU128" s="248"/>
      <c r="CV128" s="248"/>
      <c r="CW128" s="248"/>
      <c r="CX128" s="248"/>
      <c r="CY128" s="248"/>
      <c r="CZ128" s="248"/>
      <c r="DA128" s="248"/>
      <c r="DB128" s="248"/>
      <c r="DC128" s="248"/>
      <c r="DD128" s="248"/>
      <c r="DE128" s="248"/>
      <c r="DF128" s="248"/>
      <c r="DG128" s="248"/>
      <c r="DH128" s="248"/>
      <c r="DI128" s="248"/>
      <c r="DJ128" s="248"/>
      <c r="DK128" s="248"/>
      <c r="DL128" s="248"/>
      <c r="DM128" s="248"/>
      <c r="DN128" s="248"/>
      <c r="DO128" s="248"/>
      <c r="DP128" s="248"/>
      <c r="DQ128" s="248"/>
      <c r="DR128" s="248"/>
      <c r="DS128" s="248"/>
      <c r="DT128" s="248"/>
      <c r="DU128" s="248"/>
      <c r="DV128" s="248"/>
      <c r="DW128" s="248"/>
      <c r="DX128" s="248"/>
      <c r="DY128" s="248"/>
      <c r="DZ128" s="248"/>
      <c r="EA128" s="248"/>
      <c r="EB128" s="248"/>
      <c r="EC128" s="248"/>
      <c r="ED128" s="248"/>
      <c r="EE128" s="248"/>
    </row>
    <row r="129" spans="1:135" s="35" customFormat="1" ht="16.5">
      <c r="A129" s="35" t="str">
        <f t="shared" si="4"/>
        <v>SP_AC30             KS_CPR_C</v>
      </c>
      <c r="B129" s="331"/>
      <c r="C129" s="248">
        <v>29013</v>
      </c>
      <c r="D129" s="283" t="s">
        <v>606</v>
      </c>
      <c r="F129" s="35" t="s">
        <v>1086</v>
      </c>
      <c r="G129" s="35" t="s">
        <v>2241</v>
      </c>
      <c r="H129" s="35" t="s">
        <v>610</v>
      </c>
      <c r="N129" s="35" t="s">
        <v>537</v>
      </c>
      <c r="O129" s="34" t="s">
        <v>1097</v>
      </c>
      <c r="P129" s="34" t="s">
        <v>1086</v>
      </c>
      <c r="Q129" s="58"/>
      <c r="R129" s="39"/>
      <c r="AH129" s="279"/>
      <c r="AJ129" s="279" t="s">
        <v>1117</v>
      </c>
      <c r="AK129" s="279"/>
      <c r="AL129" s="523">
        <v>3</v>
      </c>
      <c r="AM129" s="35">
        <v>29013</v>
      </c>
      <c r="AN129" s="35" t="s">
        <v>1874</v>
      </c>
      <c r="AO129" s="35" t="s">
        <v>1730</v>
      </c>
      <c r="AP129" s="35" t="s">
        <v>531</v>
      </c>
      <c r="AQ129" s="34" t="s">
        <v>2241</v>
      </c>
      <c r="AR129" s="35">
        <v>1</v>
      </c>
      <c r="AS129" s="35" t="s">
        <v>1310</v>
      </c>
      <c r="AT129" s="35" t="s">
        <v>10</v>
      </c>
      <c r="AU129" s="35" t="s">
        <v>10</v>
      </c>
      <c r="AV129" s="35" t="s">
        <v>424</v>
      </c>
      <c r="AW129" s="35" t="s">
        <v>648</v>
      </c>
      <c r="AX129" s="34" t="s">
        <v>1796</v>
      </c>
      <c r="AY129" s="35">
        <v>5</v>
      </c>
      <c r="AZ129" s="35" t="s">
        <v>1808</v>
      </c>
      <c r="BA129" s="35" t="s">
        <v>72</v>
      </c>
      <c r="BB129" s="35" t="s">
        <v>10</v>
      </c>
      <c r="BC129" s="35" t="s">
        <v>220</v>
      </c>
      <c r="BD129" s="35" t="s">
        <v>1742</v>
      </c>
      <c r="BE129" s="35" t="s">
        <v>10</v>
      </c>
      <c r="BF129" s="35" t="s">
        <v>10</v>
      </c>
      <c r="BG129" s="35">
        <v>1037</v>
      </c>
      <c r="BH129" s="35" t="s">
        <v>112</v>
      </c>
      <c r="BI129" s="35">
        <v>0.35</v>
      </c>
      <c r="BJ129" s="35" t="s">
        <v>1454</v>
      </c>
      <c r="BK129" s="35" t="s">
        <v>678</v>
      </c>
      <c r="BL129" s="35" t="s">
        <v>680</v>
      </c>
      <c r="BM129" s="35" t="s">
        <v>681</v>
      </c>
      <c r="BN129" s="35" t="s">
        <v>682</v>
      </c>
      <c r="BO129" s="35" t="s">
        <v>2358</v>
      </c>
      <c r="BP129" s="35" t="s">
        <v>2359</v>
      </c>
      <c r="BQ129" s="35">
        <v>29013</v>
      </c>
      <c r="BW129" s="248"/>
      <c r="BX129" s="248"/>
      <c r="BY129" s="248"/>
      <c r="BZ129" s="248"/>
      <c r="CA129" s="248"/>
      <c r="CB129" s="248"/>
      <c r="CC129" s="248"/>
      <c r="CD129" s="248"/>
      <c r="CE129" s="248"/>
      <c r="CF129" s="248"/>
      <c r="CG129" s="248"/>
      <c r="CH129" s="248"/>
      <c r="CI129" s="248"/>
      <c r="CJ129" s="248"/>
      <c r="CK129" s="248"/>
      <c r="CL129" s="248"/>
      <c r="CM129" s="248"/>
      <c r="CN129" s="248"/>
      <c r="CO129" s="248"/>
      <c r="CP129" s="248"/>
      <c r="CQ129" s="248"/>
      <c r="CR129" s="248"/>
      <c r="CS129" s="248"/>
      <c r="CT129" s="248"/>
      <c r="CU129" s="248"/>
      <c r="CV129" s="248"/>
      <c r="CW129" s="248"/>
      <c r="CX129" s="248"/>
      <c r="CY129" s="248"/>
      <c r="CZ129" s="248"/>
      <c r="DA129" s="248"/>
      <c r="DB129" s="248"/>
      <c r="DC129" s="248"/>
      <c r="DD129" s="248"/>
      <c r="DE129" s="248"/>
      <c r="DF129" s="248"/>
      <c r="DG129" s="248"/>
      <c r="DH129" s="248"/>
      <c r="DI129" s="248"/>
      <c r="DJ129" s="248"/>
      <c r="DK129" s="248"/>
      <c r="DL129" s="248"/>
      <c r="DM129" s="248"/>
      <c r="DN129" s="248"/>
      <c r="DO129" s="248"/>
      <c r="DP129" s="248"/>
      <c r="DQ129" s="248"/>
      <c r="DR129" s="248"/>
      <c r="DS129" s="248"/>
      <c r="DT129" s="248"/>
      <c r="DU129" s="248"/>
      <c r="DV129" s="248"/>
      <c r="DW129" s="248"/>
      <c r="DX129" s="248"/>
      <c r="DY129" s="248"/>
      <c r="DZ129" s="248"/>
      <c r="EA129" s="248"/>
      <c r="EB129" s="248"/>
      <c r="EC129" s="248"/>
      <c r="ED129" s="248"/>
      <c r="EE129" s="248"/>
    </row>
    <row r="130" spans="1:135" s="35" customFormat="1" ht="16.5">
      <c r="A130" s="35" t="str">
        <f t="shared" si="4"/>
        <v>SP_AC30             KS_CP_C</v>
      </c>
      <c r="B130" s="331"/>
      <c r="C130" s="248">
        <v>29014</v>
      </c>
      <c r="D130" s="283" t="s">
        <v>606</v>
      </c>
      <c r="F130" s="35" t="s">
        <v>1086</v>
      </c>
      <c r="G130" s="35" t="s">
        <v>2241</v>
      </c>
      <c r="H130" s="35" t="s">
        <v>610</v>
      </c>
      <c r="N130" s="35" t="s">
        <v>537</v>
      </c>
      <c r="O130" s="34" t="s">
        <v>1097</v>
      </c>
      <c r="P130" s="34" t="s">
        <v>1086</v>
      </c>
      <c r="Q130" s="58"/>
      <c r="R130" s="39"/>
      <c r="AH130" s="279"/>
      <c r="AJ130" s="279" t="s">
        <v>1117</v>
      </c>
      <c r="AK130" s="279"/>
      <c r="AL130" s="523">
        <v>3</v>
      </c>
      <c r="AM130" s="35">
        <v>29014</v>
      </c>
      <c r="AN130" s="35" t="s">
        <v>1875</v>
      </c>
      <c r="AO130" s="35" t="s">
        <v>1730</v>
      </c>
      <c r="AP130" s="35" t="s">
        <v>531</v>
      </c>
      <c r="AQ130" s="34" t="s">
        <v>2241</v>
      </c>
      <c r="AR130" s="35">
        <v>1</v>
      </c>
      <c r="AS130" s="35" t="s">
        <v>1310</v>
      </c>
      <c r="AT130" s="35" t="s">
        <v>10</v>
      </c>
      <c r="AU130" s="35" t="s">
        <v>10</v>
      </c>
      <c r="AV130" s="35" t="s">
        <v>959</v>
      </c>
      <c r="AW130" s="35" t="s">
        <v>683</v>
      </c>
      <c r="AX130" s="34" t="s">
        <v>1867</v>
      </c>
      <c r="AY130" s="35">
        <v>13</v>
      </c>
      <c r="AZ130" s="35" t="s">
        <v>477</v>
      </c>
      <c r="BA130" s="35" t="s">
        <v>692</v>
      </c>
      <c r="BB130" s="35" t="s">
        <v>10</v>
      </c>
      <c r="BC130" s="35" t="s">
        <v>220</v>
      </c>
      <c r="BD130" s="35" t="s">
        <v>1742</v>
      </c>
      <c r="BE130" s="35" t="s">
        <v>10</v>
      </c>
      <c r="BF130" s="35" t="s">
        <v>10</v>
      </c>
      <c r="BG130" s="35">
        <v>935</v>
      </c>
      <c r="BH130" s="35" t="s">
        <v>112</v>
      </c>
      <c r="BI130" s="35">
        <v>0.35</v>
      </c>
      <c r="BJ130" s="35" t="s">
        <v>1454</v>
      </c>
      <c r="BK130" s="35" t="s">
        <v>678</v>
      </c>
      <c r="BL130" s="35" t="s">
        <v>680</v>
      </c>
      <c r="BM130" s="35" t="s">
        <v>681</v>
      </c>
      <c r="BN130" s="35" t="s">
        <v>682</v>
      </c>
      <c r="BO130" s="35" t="s">
        <v>2358</v>
      </c>
      <c r="BP130" s="35" t="s">
        <v>2359</v>
      </c>
      <c r="BQ130" s="35">
        <v>29014</v>
      </c>
      <c r="BW130" s="248"/>
      <c r="BX130" s="248"/>
      <c r="BY130" s="248"/>
      <c r="BZ130" s="248"/>
      <c r="CA130" s="248"/>
      <c r="CB130" s="248"/>
      <c r="CC130" s="248"/>
      <c r="CD130" s="248"/>
      <c r="CE130" s="248"/>
      <c r="CF130" s="248"/>
      <c r="CG130" s="248"/>
      <c r="CH130" s="248"/>
      <c r="CI130" s="248"/>
      <c r="CJ130" s="248"/>
      <c r="CK130" s="248"/>
      <c r="CL130" s="248"/>
      <c r="CM130" s="248"/>
      <c r="CN130" s="248"/>
      <c r="CO130" s="248"/>
      <c r="CP130" s="248"/>
      <c r="CQ130" s="248"/>
      <c r="CR130" s="248"/>
      <c r="CS130" s="248"/>
      <c r="CT130" s="248"/>
      <c r="CU130" s="248"/>
      <c r="CV130" s="248"/>
      <c r="CW130" s="248"/>
      <c r="CX130" s="248"/>
      <c r="CY130" s="248"/>
      <c r="CZ130" s="248"/>
      <c r="DA130" s="248"/>
      <c r="DB130" s="248"/>
      <c r="DC130" s="248"/>
      <c r="DD130" s="248"/>
      <c r="DE130" s="248"/>
      <c r="DF130" s="248"/>
      <c r="DG130" s="248"/>
      <c r="DH130" s="248"/>
      <c r="DI130" s="248"/>
      <c r="DJ130" s="248"/>
      <c r="DK130" s="248"/>
      <c r="DL130" s="248"/>
      <c r="DM130" s="248"/>
      <c r="DN130" s="248"/>
      <c r="DO130" s="248"/>
      <c r="DP130" s="248"/>
      <c r="DQ130" s="248"/>
      <c r="DR130" s="248"/>
      <c r="DS130" s="248"/>
      <c r="DT130" s="248"/>
      <c r="DU130" s="248"/>
      <c r="DV130" s="248"/>
      <c r="DW130" s="248"/>
      <c r="DX130" s="248"/>
      <c r="DY130" s="248"/>
      <c r="DZ130" s="248"/>
      <c r="EA130" s="248"/>
      <c r="EB130" s="248"/>
      <c r="EC130" s="248"/>
      <c r="ED130" s="248"/>
      <c r="EE130" s="248"/>
    </row>
    <row r="131" spans="1:135" s="35" customFormat="1" ht="16.5">
      <c r="A131" s="35" t="str">
        <f t="shared" si="4"/>
        <v>SGKG_B              SP_AC30</v>
      </c>
      <c r="B131" s="331"/>
      <c r="C131" s="248">
        <v>29015</v>
      </c>
      <c r="D131" s="283" t="s">
        <v>606</v>
      </c>
      <c r="F131" s="35" t="s">
        <v>1086</v>
      </c>
      <c r="G131" s="35" t="s">
        <v>2241</v>
      </c>
      <c r="H131" s="35" t="s">
        <v>610</v>
      </c>
      <c r="N131" s="35" t="s">
        <v>537</v>
      </c>
      <c r="O131" s="34" t="s">
        <v>1086</v>
      </c>
      <c r="P131" s="285" t="s">
        <v>1097</v>
      </c>
      <c r="Q131" s="58"/>
      <c r="R131" s="39"/>
      <c r="AH131" s="279"/>
      <c r="AJ131" s="279" t="s">
        <v>1117</v>
      </c>
      <c r="AK131" s="279"/>
      <c r="AL131" s="523">
        <v>3</v>
      </c>
      <c r="AM131" s="35">
        <v>29015</v>
      </c>
      <c r="AN131" s="35" t="s">
        <v>1455</v>
      </c>
      <c r="AO131" s="35" t="s">
        <v>1701</v>
      </c>
      <c r="AP131" s="35" t="s">
        <v>656</v>
      </c>
      <c r="AQ131" s="34" t="s">
        <v>2262</v>
      </c>
      <c r="AR131" s="35">
        <v>40</v>
      </c>
      <c r="AS131" s="35" t="s">
        <v>464</v>
      </c>
      <c r="AT131" s="35" t="s">
        <v>77</v>
      </c>
      <c r="AU131" s="35" t="s">
        <v>10</v>
      </c>
      <c r="AV131" s="35" t="s">
        <v>1730</v>
      </c>
      <c r="AW131" s="35" t="s">
        <v>531</v>
      </c>
      <c r="AX131" s="34" t="s">
        <v>2241</v>
      </c>
      <c r="AY131" s="35">
        <v>1</v>
      </c>
      <c r="AZ131" s="35" t="s">
        <v>1310</v>
      </c>
      <c r="BA131" s="35" t="s">
        <v>10</v>
      </c>
      <c r="BB131" s="35" t="s">
        <v>10</v>
      </c>
      <c r="BC131" s="35" t="s">
        <v>111</v>
      </c>
      <c r="BD131" s="35" t="s">
        <v>1742</v>
      </c>
      <c r="BE131" s="35" t="s">
        <v>10</v>
      </c>
      <c r="BF131" s="35" t="s">
        <v>10</v>
      </c>
      <c r="BG131" s="35">
        <v>1063</v>
      </c>
      <c r="BH131" s="35" t="s">
        <v>112</v>
      </c>
      <c r="BI131" s="35">
        <v>0.75</v>
      </c>
      <c r="BJ131" s="35" t="s">
        <v>1454</v>
      </c>
      <c r="BK131" s="35" t="s">
        <v>678</v>
      </c>
      <c r="BL131" s="35" t="s">
        <v>680</v>
      </c>
      <c r="BM131" s="35" t="s">
        <v>681</v>
      </c>
      <c r="BN131" s="35" t="s">
        <v>682</v>
      </c>
      <c r="BO131" s="35" t="s">
        <v>2358</v>
      </c>
      <c r="BP131" s="35" t="s">
        <v>2359</v>
      </c>
      <c r="BQ131" s="35">
        <v>29015</v>
      </c>
      <c r="BW131" s="248"/>
      <c r="BX131" s="248"/>
      <c r="BY131" s="248"/>
      <c r="BZ131" s="248"/>
      <c r="CA131" s="248"/>
      <c r="CB131" s="248"/>
      <c r="CC131" s="248"/>
      <c r="CD131" s="248"/>
      <c r="CE131" s="248"/>
      <c r="CF131" s="248"/>
      <c r="CG131" s="248"/>
      <c r="CH131" s="248"/>
      <c r="CI131" s="248"/>
      <c r="CJ131" s="248"/>
      <c r="CK131" s="248"/>
      <c r="CL131" s="248"/>
      <c r="CM131" s="248"/>
      <c r="CN131" s="248"/>
      <c r="CO131" s="248"/>
      <c r="CP131" s="248"/>
      <c r="CQ131" s="248"/>
      <c r="CR131" s="248"/>
      <c r="CS131" s="248"/>
      <c r="CT131" s="248"/>
      <c r="CU131" s="248"/>
      <c r="CV131" s="248"/>
      <c r="CW131" s="248"/>
      <c r="CX131" s="248"/>
      <c r="CY131" s="248"/>
      <c r="CZ131" s="248"/>
      <c r="DA131" s="248"/>
      <c r="DB131" s="248"/>
      <c r="DC131" s="248"/>
      <c r="DD131" s="248"/>
      <c r="DE131" s="248"/>
      <c r="DF131" s="248"/>
      <c r="DG131" s="248"/>
      <c r="DH131" s="248"/>
      <c r="DI131" s="248"/>
      <c r="DJ131" s="248"/>
      <c r="DK131" s="248"/>
      <c r="DL131" s="248"/>
      <c r="DM131" s="248"/>
      <c r="DN131" s="248"/>
      <c r="DO131" s="248"/>
      <c r="DP131" s="248"/>
      <c r="DQ131" s="248"/>
      <c r="DR131" s="248"/>
      <c r="DS131" s="248"/>
      <c r="DT131" s="248"/>
      <c r="DU131" s="248"/>
      <c r="DV131" s="248"/>
      <c r="DW131" s="248"/>
      <c r="DX131" s="248"/>
      <c r="DY131" s="248"/>
      <c r="DZ131" s="248"/>
      <c r="EA131" s="248"/>
      <c r="EB131" s="248"/>
      <c r="EC131" s="248"/>
      <c r="ED131" s="248"/>
      <c r="EE131" s="248"/>
    </row>
    <row r="132" spans="1:135" s="32" customFormat="1" ht="16.5">
      <c r="A132" s="35" t="str">
        <f t="shared" si="4"/>
        <v>SGION_A             SP_ACLIN2</v>
      </c>
      <c r="B132" s="332"/>
      <c r="C132" s="248">
        <v>29016</v>
      </c>
      <c r="D132" s="283" t="s">
        <v>606</v>
      </c>
      <c r="E132" s="35"/>
      <c r="F132" s="35" t="s">
        <v>1086</v>
      </c>
      <c r="G132" s="35" t="s">
        <v>2238</v>
      </c>
      <c r="H132" s="35" t="s">
        <v>610</v>
      </c>
      <c r="I132" s="35"/>
      <c r="N132" s="35" t="s">
        <v>537</v>
      </c>
      <c r="O132" s="34" t="s">
        <v>1086</v>
      </c>
      <c r="P132" s="285" t="s">
        <v>1097</v>
      </c>
      <c r="Q132" s="59"/>
      <c r="R132" s="62"/>
      <c r="Z132" s="35" t="s">
        <v>2645</v>
      </c>
      <c r="AH132" s="279"/>
      <c r="AI132" s="35"/>
      <c r="AJ132" s="279" t="s">
        <v>1117</v>
      </c>
      <c r="AK132" s="279"/>
      <c r="AL132" s="523">
        <v>3</v>
      </c>
      <c r="AM132" s="35">
        <v>29016</v>
      </c>
      <c r="AN132" s="35" t="s">
        <v>1456</v>
      </c>
      <c r="AO132" s="35" t="s">
        <v>961</v>
      </c>
      <c r="AP132" s="35" t="s">
        <v>693</v>
      </c>
      <c r="AQ132" s="34" t="s">
        <v>2268</v>
      </c>
      <c r="AR132" s="35">
        <v>2</v>
      </c>
      <c r="AS132" s="35" t="s">
        <v>410</v>
      </c>
      <c r="AT132" s="35" t="s">
        <v>695</v>
      </c>
      <c r="AU132" s="35" t="s">
        <v>10</v>
      </c>
      <c r="AV132" s="35" t="s">
        <v>1728</v>
      </c>
      <c r="AW132" s="35" t="s">
        <v>325</v>
      </c>
      <c r="AX132" s="34" t="s">
        <v>2238</v>
      </c>
      <c r="AY132" s="35">
        <v>1</v>
      </c>
      <c r="AZ132" s="35" t="s">
        <v>1865</v>
      </c>
      <c r="BA132" s="35" t="s">
        <v>10</v>
      </c>
      <c r="BB132" s="35" t="s">
        <v>10</v>
      </c>
      <c r="BC132" s="35" t="s">
        <v>219</v>
      </c>
      <c r="BD132" s="35" t="s">
        <v>1742</v>
      </c>
      <c r="BE132" s="35" t="s">
        <v>10</v>
      </c>
      <c r="BF132" s="35" t="s">
        <v>10</v>
      </c>
      <c r="BG132" s="35">
        <v>548</v>
      </c>
      <c r="BH132" s="35" t="s">
        <v>108</v>
      </c>
      <c r="BI132" s="35">
        <v>0.13</v>
      </c>
      <c r="BJ132" s="35" t="s">
        <v>1443</v>
      </c>
      <c r="BK132" s="35" t="s">
        <v>10</v>
      </c>
      <c r="BL132" s="35" t="s">
        <v>10</v>
      </c>
      <c r="BM132" s="35" t="s">
        <v>681</v>
      </c>
      <c r="BN132" s="35" t="s">
        <v>682</v>
      </c>
      <c r="BO132" s="35" t="s">
        <v>2358</v>
      </c>
      <c r="BP132" s="35" t="s">
        <v>2359</v>
      </c>
      <c r="BQ132" s="35">
        <v>29016</v>
      </c>
      <c r="BR132" s="35"/>
      <c r="BS132" s="35"/>
      <c r="BT132" s="35"/>
      <c r="BU132" s="35"/>
      <c r="BV132" s="35"/>
      <c r="BW132" s="248"/>
      <c r="BX132" s="248"/>
      <c r="BY132" s="248"/>
      <c r="BZ132" s="248"/>
      <c r="CA132" s="248"/>
      <c r="CB132" s="248"/>
      <c r="CC132" s="248"/>
      <c r="CD132" s="248"/>
      <c r="CE132" s="248"/>
      <c r="CF132" s="248"/>
      <c r="CG132" s="248"/>
      <c r="CH132" s="248"/>
      <c r="CI132" s="248"/>
      <c r="CJ132" s="248"/>
      <c r="CK132" s="248"/>
      <c r="CL132" s="248"/>
      <c r="CM132" s="248"/>
      <c r="CN132" s="248"/>
      <c r="CO132" s="248"/>
      <c r="CP132" s="248"/>
      <c r="CQ132" s="248"/>
      <c r="CR132" s="248"/>
      <c r="CS132" s="248"/>
      <c r="CT132" s="248"/>
      <c r="CU132" s="248"/>
      <c r="CV132" s="248"/>
      <c r="CW132" s="248"/>
      <c r="CX132" s="248"/>
      <c r="CY132" s="248"/>
      <c r="CZ132" s="248"/>
      <c r="DA132" s="248"/>
      <c r="DB132" s="248"/>
      <c r="DC132" s="248"/>
      <c r="DD132" s="248"/>
      <c r="DE132" s="248"/>
      <c r="DF132" s="248"/>
      <c r="DG132" s="248"/>
      <c r="DH132" s="248"/>
      <c r="DI132" s="248"/>
      <c r="DJ132" s="248"/>
      <c r="DK132" s="248"/>
      <c r="DL132" s="248"/>
      <c r="DM132" s="248"/>
      <c r="DN132" s="248"/>
      <c r="DO132" s="248"/>
      <c r="DP132" s="248"/>
      <c r="DQ132" s="248"/>
      <c r="DR132" s="248"/>
      <c r="DS132" s="248"/>
      <c r="DT132" s="248"/>
      <c r="DU132" s="248"/>
      <c r="DV132" s="248"/>
      <c r="DW132" s="248"/>
      <c r="DX132" s="248"/>
      <c r="DY132" s="248"/>
      <c r="DZ132" s="248"/>
      <c r="EA132" s="248"/>
      <c r="EB132" s="248"/>
      <c r="EC132" s="248"/>
      <c r="ED132" s="248"/>
      <c r="EE132" s="248"/>
    </row>
    <row r="133" spans="1:135" s="35" customFormat="1" ht="16.5">
      <c r="A133" s="35" t="str">
        <f t="shared" si="4"/>
        <v>SP_ACLIN2           KS_CP_C</v>
      </c>
      <c r="B133" s="331"/>
      <c r="C133" s="248">
        <v>29017</v>
      </c>
      <c r="D133" s="283" t="s">
        <v>606</v>
      </c>
      <c r="F133" s="35" t="s">
        <v>1086</v>
      </c>
      <c r="G133" s="35" t="s">
        <v>2238</v>
      </c>
      <c r="H133" s="35" t="s">
        <v>610</v>
      </c>
      <c r="N133" s="35" t="s">
        <v>537</v>
      </c>
      <c r="O133" s="34" t="s">
        <v>1097</v>
      </c>
      <c r="P133" s="34" t="s">
        <v>1086</v>
      </c>
      <c r="Q133" s="58"/>
      <c r="R133" s="39"/>
      <c r="AH133" s="279"/>
      <c r="AJ133" s="279" t="s">
        <v>1117</v>
      </c>
      <c r="AK133" s="279"/>
      <c r="AL133" s="523">
        <v>3</v>
      </c>
      <c r="AM133" s="35">
        <v>29017</v>
      </c>
      <c r="AN133" s="35" t="s">
        <v>1876</v>
      </c>
      <c r="AO133" s="35" t="s">
        <v>1728</v>
      </c>
      <c r="AP133" s="35" t="s">
        <v>325</v>
      </c>
      <c r="AQ133" s="34" t="s">
        <v>2238</v>
      </c>
      <c r="AR133" s="35">
        <v>1</v>
      </c>
      <c r="AS133" s="35" t="s">
        <v>1865</v>
      </c>
      <c r="AT133" s="35" t="s">
        <v>10</v>
      </c>
      <c r="AU133" s="35" t="s">
        <v>10</v>
      </c>
      <c r="AV133" s="35" t="s">
        <v>959</v>
      </c>
      <c r="AW133" s="35" t="s">
        <v>683</v>
      </c>
      <c r="AX133" s="34" t="s">
        <v>1867</v>
      </c>
      <c r="AY133" s="35">
        <v>15</v>
      </c>
      <c r="AZ133" s="35" t="s">
        <v>477</v>
      </c>
      <c r="BA133" s="35" t="s">
        <v>500</v>
      </c>
      <c r="BB133" s="35" t="s">
        <v>10</v>
      </c>
      <c r="BC133" s="35" t="s">
        <v>219</v>
      </c>
      <c r="BD133" s="35" t="s">
        <v>1742</v>
      </c>
      <c r="BE133" s="35" t="s">
        <v>10</v>
      </c>
      <c r="BF133" s="35" t="s">
        <v>10</v>
      </c>
      <c r="BG133" s="35">
        <v>810</v>
      </c>
      <c r="BH133" s="35" t="s">
        <v>108</v>
      </c>
      <c r="BI133" s="35">
        <v>0.13</v>
      </c>
      <c r="BJ133" s="35" t="s">
        <v>1443</v>
      </c>
      <c r="BK133" s="35" t="s">
        <v>678</v>
      </c>
      <c r="BL133" s="35" t="s">
        <v>680</v>
      </c>
      <c r="BM133" s="35" t="s">
        <v>681</v>
      </c>
      <c r="BN133" s="35" t="s">
        <v>682</v>
      </c>
      <c r="BO133" s="35" t="s">
        <v>2358</v>
      </c>
      <c r="BP133" s="35" t="s">
        <v>2359</v>
      </c>
      <c r="BQ133" s="35">
        <v>29017</v>
      </c>
      <c r="BW133" s="248"/>
      <c r="BX133" s="248"/>
      <c r="BY133" s="248"/>
      <c r="BZ133" s="248"/>
      <c r="CA133" s="248"/>
      <c r="CB133" s="248"/>
      <c r="CC133" s="248"/>
      <c r="CD133" s="248"/>
      <c r="CE133" s="248"/>
      <c r="CF133" s="248"/>
      <c r="CG133" s="248"/>
      <c r="CH133" s="248"/>
      <c r="CI133" s="248"/>
      <c r="CJ133" s="248"/>
      <c r="CK133" s="248"/>
      <c r="CL133" s="248"/>
      <c r="CM133" s="248"/>
      <c r="CN133" s="248"/>
      <c r="CO133" s="248"/>
      <c r="CP133" s="248"/>
      <c r="CQ133" s="248"/>
      <c r="CR133" s="248"/>
      <c r="CS133" s="248"/>
      <c r="CT133" s="248"/>
      <c r="CU133" s="248"/>
      <c r="CV133" s="248"/>
      <c r="CW133" s="248"/>
      <c r="CX133" s="248"/>
      <c r="CY133" s="248"/>
      <c r="CZ133" s="248"/>
      <c r="DA133" s="248"/>
      <c r="DB133" s="248"/>
      <c r="DC133" s="248"/>
      <c r="DD133" s="248"/>
      <c r="DE133" s="248"/>
      <c r="DF133" s="248"/>
      <c r="DG133" s="248"/>
      <c r="DH133" s="248"/>
      <c r="DI133" s="248"/>
      <c r="DJ133" s="248"/>
      <c r="DK133" s="248"/>
      <c r="DL133" s="248"/>
      <c r="DM133" s="248"/>
      <c r="DN133" s="248"/>
      <c r="DO133" s="248"/>
      <c r="DP133" s="248"/>
      <c r="DQ133" s="248"/>
      <c r="DR133" s="248"/>
      <c r="DS133" s="248"/>
      <c r="DT133" s="248"/>
      <c r="DU133" s="248"/>
      <c r="DV133" s="248"/>
      <c r="DW133" s="248"/>
      <c r="DX133" s="248"/>
      <c r="DY133" s="248"/>
      <c r="DZ133" s="248"/>
      <c r="EA133" s="248"/>
      <c r="EB133" s="248"/>
      <c r="EC133" s="248"/>
      <c r="ED133" s="248"/>
      <c r="EE133" s="248"/>
    </row>
    <row r="134" spans="1:135" s="35" customFormat="1" ht="16.5">
      <c r="A134" s="35" t="str">
        <f t="shared" si="4"/>
        <v>GBR                 SP_ACLIN2</v>
      </c>
      <c r="B134" s="331"/>
      <c r="C134" s="248">
        <v>29018</v>
      </c>
      <c r="D134" s="283" t="s">
        <v>606</v>
      </c>
      <c r="F134" s="35" t="s">
        <v>1086</v>
      </c>
      <c r="G134" s="35" t="s">
        <v>2238</v>
      </c>
      <c r="H134" s="35" t="s">
        <v>610</v>
      </c>
      <c r="N134" s="35" t="s">
        <v>537</v>
      </c>
      <c r="O134" s="34" t="s">
        <v>1086</v>
      </c>
      <c r="P134" s="285" t="s">
        <v>1097</v>
      </c>
      <c r="Q134" s="58"/>
      <c r="R134" s="39"/>
      <c r="AH134" s="279"/>
      <c r="AJ134" s="279" t="s">
        <v>1117</v>
      </c>
      <c r="AK134" s="279"/>
      <c r="AL134" s="523">
        <v>3</v>
      </c>
      <c r="AM134" s="35">
        <v>29018</v>
      </c>
      <c r="AN134" s="35" t="s">
        <v>1457</v>
      </c>
      <c r="AO134" s="35" t="s">
        <v>1702</v>
      </c>
      <c r="AP134" s="35" t="s">
        <v>696</v>
      </c>
      <c r="AQ134" s="34" t="s">
        <v>2269</v>
      </c>
      <c r="AR134" s="35">
        <v>4</v>
      </c>
      <c r="AS134" s="35" t="s">
        <v>345</v>
      </c>
      <c r="AT134" s="35" t="s">
        <v>94</v>
      </c>
      <c r="AU134" s="35" t="s">
        <v>10</v>
      </c>
      <c r="AV134" s="35" t="s">
        <v>1728</v>
      </c>
      <c r="AW134" s="35" t="s">
        <v>325</v>
      </c>
      <c r="AX134" s="34" t="s">
        <v>2238</v>
      </c>
      <c r="AY134" s="35">
        <v>1</v>
      </c>
      <c r="AZ134" s="35" t="s">
        <v>1865</v>
      </c>
      <c r="BA134" s="35" t="s">
        <v>10</v>
      </c>
      <c r="BB134" s="35" t="s">
        <v>10</v>
      </c>
      <c r="BC134" s="35" t="s">
        <v>154</v>
      </c>
      <c r="BD134" s="35" t="s">
        <v>1742</v>
      </c>
      <c r="BE134" s="35" t="s">
        <v>10</v>
      </c>
      <c r="BF134" s="35" t="s">
        <v>10</v>
      </c>
      <c r="BG134" s="35">
        <v>522</v>
      </c>
      <c r="BH134" s="35" t="s">
        <v>108</v>
      </c>
      <c r="BI134" s="35">
        <v>0.35</v>
      </c>
      <c r="BJ134" s="35" t="s">
        <v>1443</v>
      </c>
      <c r="BK134" s="35" t="s">
        <v>678</v>
      </c>
      <c r="BL134" s="35" t="s">
        <v>680</v>
      </c>
      <c r="BM134" s="35" t="s">
        <v>681</v>
      </c>
      <c r="BN134" s="35" t="s">
        <v>682</v>
      </c>
      <c r="BO134" s="35" t="s">
        <v>2358</v>
      </c>
      <c r="BP134" s="35" t="s">
        <v>2359</v>
      </c>
      <c r="BQ134" s="35">
        <v>29018</v>
      </c>
      <c r="BW134" s="248"/>
      <c r="BX134" s="248"/>
      <c r="BY134" s="248"/>
      <c r="BZ134" s="248"/>
      <c r="CA134" s="248"/>
      <c r="CB134" s="248"/>
      <c r="CC134" s="248"/>
      <c r="CD134" s="248"/>
      <c r="CE134" s="248"/>
      <c r="CF134" s="248"/>
      <c r="CG134" s="248"/>
      <c r="CH134" s="248"/>
      <c r="CI134" s="248"/>
      <c r="CJ134" s="248"/>
      <c r="CK134" s="248"/>
      <c r="CL134" s="248"/>
      <c r="CM134" s="248"/>
      <c r="CN134" s="248"/>
      <c r="CO134" s="248"/>
      <c r="CP134" s="248"/>
      <c r="CQ134" s="248"/>
      <c r="CR134" s="248"/>
      <c r="CS134" s="248"/>
      <c r="CT134" s="248"/>
      <c r="CU134" s="248"/>
      <c r="CV134" s="248"/>
      <c r="CW134" s="248"/>
      <c r="CX134" s="248"/>
      <c r="CY134" s="248"/>
      <c r="CZ134" s="248"/>
      <c r="DA134" s="248"/>
      <c r="DB134" s="248"/>
      <c r="DC134" s="248"/>
      <c r="DD134" s="248"/>
      <c r="DE134" s="248"/>
      <c r="DF134" s="248"/>
      <c r="DG134" s="248"/>
      <c r="DH134" s="248"/>
      <c r="DI134" s="248"/>
      <c r="DJ134" s="248"/>
      <c r="DK134" s="248"/>
      <c r="DL134" s="248"/>
      <c r="DM134" s="248"/>
      <c r="DN134" s="248"/>
      <c r="DO134" s="248"/>
      <c r="DP134" s="248"/>
      <c r="DQ134" s="248"/>
      <c r="DR134" s="248"/>
      <c r="DS134" s="248"/>
      <c r="DT134" s="248"/>
      <c r="DU134" s="248"/>
      <c r="DV134" s="248"/>
      <c r="DW134" s="248"/>
      <c r="DX134" s="248"/>
      <c r="DY134" s="248"/>
      <c r="DZ134" s="248"/>
      <c r="EA134" s="248"/>
      <c r="EB134" s="248"/>
      <c r="EC134" s="248"/>
      <c r="ED134" s="248"/>
      <c r="EE134" s="248"/>
    </row>
    <row r="135" spans="1:135" s="35" customFormat="1" ht="16.5">
      <c r="A135" s="35" t="str">
        <f t="shared" si="4"/>
        <v>SP_31SM             KS_CPR_C</v>
      </c>
      <c r="B135" s="331"/>
      <c r="C135" s="248">
        <v>29019</v>
      </c>
      <c r="D135" s="283" t="s">
        <v>606</v>
      </c>
      <c r="F135" s="35" t="s">
        <v>1086</v>
      </c>
      <c r="G135" s="35" t="s">
        <v>2240</v>
      </c>
      <c r="H135" s="35" t="s">
        <v>610</v>
      </c>
      <c r="N135" s="35" t="s">
        <v>537</v>
      </c>
      <c r="O135" s="34" t="s">
        <v>1097</v>
      </c>
      <c r="P135" s="34" t="s">
        <v>1086</v>
      </c>
      <c r="Q135" s="58"/>
      <c r="R135" s="39"/>
      <c r="AH135" s="279"/>
      <c r="AJ135" s="279" t="s">
        <v>1117</v>
      </c>
      <c r="AK135" s="279"/>
      <c r="AL135" s="523">
        <v>3</v>
      </c>
      <c r="AM135" s="35">
        <v>29019</v>
      </c>
      <c r="AN135" s="35" t="s">
        <v>1877</v>
      </c>
      <c r="AO135" s="35" t="s">
        <v>1703</v>
      </c>
      <c r="AP135" s="35" t="s">
        <v>533</v>
      </c>
      <c r="AQ135" s="34" t="s">
        <v>2240</v>
      </c>
      <c r="AR135" s="35">
        <v>1</v>
      </c>
      <c r="AS135" s="35" t="s">
        <v>1687</v>
      </c>
      <c r="AT135" s="35" t="s">
        <v>10</v>
      </c>
      <c r="AU135" s="35" t="s">
        <v>10</v>
      </c>
      <c r="AV135" s="35" t="s">
        <v>424</v>
      </c>
      <c r="AW135" s="35" t="s">
        <v>648</v>
      </c>
      <c r="AX135" s="34" t="s">
        <v>1796</v>
      </c>
      <c r="AY135" s="35">
        <v>4</v>
      </c>
      <c r="AZ135" s="35" t="s">
        <v>1808</v>
      </c>
      <c r="BA135" s="35" t="s">
        <v>492</v>
      </c>
      <c r="BB135" s="35" t="s">
        <v>10</v>
      </c>
      <c r="BC135" s="35" t="s">
        <v>691</v>
      </c>
      <c r="BD135" s="35" t="s">
        <v>1742</v>
      </c>
      <c r="BE135" s="35" t="s">
        <v>10</v>
      </c>
      <c r="BF135" s="35" t="s">
        <v>10</v>
      </c>
      <c r="BG135" s="35">
        <v>969</v>
      </c>
      <c r="BH135" s="35" t="s">
        <v>61</v>
      </c>
      <c r="BI135" s="35">
        <v>0.13</v>
      </c>
      <c r="BJ135" s="35" t="s">
        <v>1453</v>
      </c>
      <c r="BK135" s="35" t="s">
        <v>678</v>
      </c>
      <c r="BL135" s="35" t="s">
        <v>680</v>
      </c>
      <c r="BM135" s="35" t="s">
        <v>681</v>
      </c>
      <c r="BN135" s="35" t="s">
        <v>682</v>
      </c>
      <c r="BO135" s="35" t="s">
        <v>2358</v>
      </c>
      <c r="BP135" s="35" t="s">
        <v>2359</v>
      </c>
      <c r="BQ135" s="35">
        <v>29019</v>
      </c>
      <c r="BW135" s="248"/>
      <c r="BX135" s="248"/>
      <c r="BY135" s="248"/>
      <c r="BZ135" s="248"/>
      <c r="CA135" s="248"/>
      <c r="CB135" s="248"/>
      <c r="CC135" s="248"/>
      <c r="CD135" s="248"/>
      <c r="CE135" s="248"/>
      <c r="CF135" s="248"/>
      <c r="CG135" s="248"/>
      <c r="CH135" s="248"/>
      <c r="CI135" s="248"/>
      <c r="CJ135" s="248"/>
      <c r="CK135" s="248"/>
      <c r="CL135" s="248"/>
      <c r="CM135" s="248"/>
      <c r="CN135" s="248"/>
      <c r="CO135" s="248"/>
      <c r="CP135" s="248"/>
      <c r="CQ135" s="248"/>
      <c r="CR135" s="248"/>
      <c r="CS135" s="248"/>
      <c r="CT135" s="248"/>
      <c r="CU135" s="248"/>
      <c r="CV135" s="248"/>
      <c r="CW135" s="248"/>
      <c r="CX135" s="248"/>
      <c r="CY135" s="248"/>
      <c r="CZ135" s="248"/>
      <c r="DA135" s="248"/>
      <c r="DB135" s="248"/>
      <c r="DC135" s="248"/>
      <c r="DD135" s="248"/>
      <c r="DE135" s="248"/>
      <c r="DF135" s="248"/>
      <c r="DG135" s="248"/>
      <c r="DH135" s="248"/>
      <c r="DI135" s="248"/>
      <c r="DJ135" s="248"/>
      <c r="DK135" s="248"/>
      <c r="DL135" s="248"/>
      <c r="DM135" s="248"/>
      <c r="DN135" s="248"/>
      <c r="DO135" s="248"/>
      <c r="DP135" s="248"/>
      <c r="DQ135" s="248"/>
      <c r="DR135" s="248"/>
      <c r="DS135" s="248"/>
      <c r="DT135" s="248"/>
      <c r="DU135" s="248"/>
      <c r="DV135" s="248"/>
      <c r="DW135" s="248"/>
      <c r="DX135" s="248"/>
      <c r="DY135" s="248"/>
      <c r="DZ135" s="248"/>
      <c r="EA135" s="248"/>
      <c r="EB135" s="248"/>
      <c r="EC135" s="248"/>
      <c r="ED135" s="248"/>
      <c r="EE135" s="248"/>
    </row>
    <row r="136" spans="1:135" s="35" customFormat="1" ht="16.5">
      <c r="A136" s="35" t="str">
        <f t="shared" si="4"/>
        <v>SP_AC31             KS_CP_C</v>
      </c>
      <c r="B136" s="331"/>
      <c r="C136" s="248">
        <v>29020</v>
      </c>
      <c r="D136" s="283" t="s">
        <v>606</v>
      </c>
      <c r="F136" s="35" t="s">
        <v>1086</v>
      </c>
      <c r="G136" s="35" t="s">
        <v>2239</v>
      </c>
      <c r="H136" s="35" t="s">
        <v>610</v>
      </c>
      <c r="N136" s="35" t="s">
        <v>537</v>
      </c>
      <c r="O136" s="34" t="s">
        <v>1097</v>
      </c>
      <c r="P136" s="34" t="s">
        <v>1086</v>
      </c>
      <c r="Q136" s="58"/>
      <c r="R136" s="39"/>
      <c r="AH136" s="279"/>
      <c r="AJ136" s="279" t="s">
        <v>1117</v>
      </c>
      <c r="AK136" s="279"/>
      <c r="AL136" s="523">
        <v>3</v>
      </c>
      <c r="AM136" s="35">
        <v>29020</v>
      </c>
      <c r="AN136" s="35" t="s">
        <v>1878</v>
      </c>
      <c r="AO136" s="35" t="s">
        <v>1706</v>
      </c>
      <c r="AP136" s="35" t="s">
        <v>684</v>
      </c>
      <c r="AQ136" s="34" t="s">
        <v>2239</v>
      </c>
      <c r="AR136" s="35">
        <v>1</v>
      </c>
      <c r="AS136" s="35" t="s">
        <v>519</v>
      </c>
      <c r="AT136" s="35" t="s">
        <v>10</v>
      </c>
      <c r="AU136" s="35" t="s">
        <v>10</v>
      </c>
      <c r="AV136" s="35" t="s">
        <v>959</v>
      </c>
      <c r="AW136" s="35" t="s">
        <v>683</v>
      </c>
      <c r="AX136" s="34" t="s">
        <v>1867</v>
      </c>
      <c r="AY136" s="35">
        <v>14</v>
      </c>
      <c r="AZ136" s="35" t="s">
        <v>477</v>
      </c>
      <c r="BA136" s="35" t="s">
        <v>692</v>
      </c>
      <c r="BB136" s="35" t="s">
        <v>10</v>
      </c>
      <c r="BC136" s="35" t="s">
        <v>2421</v>
      </c>
      <c r="BD136" s="35" t="s">
        <v>1742</v>
      </c>
      <c r="BE136" s="35" t="s">
        <v>10</v>
      </c>
      <c r="BF136" s="35" t="s">
        <v>10</v>
      </c>
      <c r="BG136" s="35">
        <v>1077</v>
      </c>
      <c r="BH136" s="35" t="s">
        <v>2420</v>
      </c>
      <c r="BI136" s="35">
        <v>0.35</v>
      </c>
      <c r="BJ136" s="35" t="s">
        <v>1445</v>
      </c>
      <c r="BK136" s="35" t="s">
        <v>678</v>
      </c>
      <c r="BL136" s="35" t="s">
        <v>680</v>
      </c>
      <c r="BM136" s="35" t="s">
        <v>681</v>
      </c>
      <c r="BN136" s="35" t="s">
        <v>682</v>
      </c>
      <c r="BO136" s="35" t="s">
        <v>2358</v>
      </c>
      <c r="BP136" s="35" t="s">
        <v>2359</v>
      </c>
      <c r="BQ136" s="35">
        <v>29020</v>
      </c>
      <c r="BW136" s="248"/>
      <c r="BX136" s="248"/>
      <c r="BY136" s="248"/>
      <c r="BZ136" s="248"/>
      <c r="CA136" s="248"/>
      <c r="CB136" s="248"/>
      <c r="CC136" s="248"/>
      <c r="CD136" s="248"/>
      <c r="CE136" s="248"/>
      <c r="CF136" s="248"/>
      <c r="CG136" s="248"/>
      <c r="CH136" s="248"/>
      <c r="CI136" s="248"/>
      <c r="CJ136" s="248"/>
      <c r="CK136" s="248"/>
      <c r="CL136" s="248"/>
      <c r="CM136" s="248"/>
      <c r="CN136" s="248"/>
      <c r="CO136" s="248"/>
      <c r="CP136" s="248"/>
      <c r="CQ136" s="248"/>
      <c r="CR136" s="248"/>
      <c r="CS136" s="248"/>
      <c r="CT136" s="248"/>
      <c r="CU136" s="248"/>
      <c r="CV136" s="248"/>
      <c r="CW136" s="248"/>
      <c r="CX136" s="248"/>
      <c r="CY136" s="248"/>
      <c r="CZ136" s="248"/>
      <c r="DA136" s="248"/>
      <c r="DB136" s="248"/>
      <c r="DC136" s="248"/>
      <c r="DD136" s="248"/>
      <c r="DE136" s="248"/>
      <c r="DF136" s="248"/>
      <c r="DG136" s="248"/>
      <c r="DH136" s="248"/>
      <c r="DI136" s="248"/>
      <c r="DJ136" s="248"/>
      <c r="DK136" s="248"/>
      <c r="DL136" s="248"/>
      <c r="DM136" s="248"/>
      <c r="DN136" s="248"/>
      <c r="DO136" s="248"/>
      <c r="DP136" s="248"/>
      <c r="DQ136" s="248"/>
      <c r="DR136" s="248"/>
      <c r="DS136" s="248"/>
      <c r="DT136" s="248"/>
      <c r="DU136" s="248"/>
      <c r="DV136" s="248"/>
      <c r="DW136" s="248"/>
      <c r="DX136" s="248"/>
      <c r="DY136" s="248"/>
      <c r="DZ136" s="248"/>
      <c r="EA136" s="248"/>
      <c r="EB136" s="248"/>
      <c r="EC136" s="248"/>
      <c r="ED136" s="248"/>
      <c r="EE136" s="248"/>
    </row>
    <row r="137" spans="1:135" s="35" customFormat="1" ht="16.5">
      <c r="A137" s="35" t="str">
        <f t="shared" si="4"/>
        <v>SP_31SM             KS_CP_C</v>
      </c>
      <c r="B137" s="331"/>
      <c r="C137" s="248">
        <v>29021</v>
      </c>
      <c r="D137" s="283" t="s">
        <v>606</v>
      </c>
      <c r="F137" s="35" t="s">
        <v>1086</v>
      </c>
      <c r="G137" s="35" t="s">
        <v>2240</v>
      </c>
      <c r="H137" s="35" t="s">
        <v>610</v>
      </c>
      <c r="N137" s="35" t="s">
        <v>537</v>
      </c>
      <c r="O137" s="34" t="s">
        <v>1097</v>
      </c>
      <c r="P137" s="34" t="s">
        <v>1086</v>
      </c>
      <c r="Q137" s="58"/>
      <c r="R137" s="39"/>
      <c r="AH137" s="279"/>
      <c r="AJ137" s="279" t="s">
        <v>1117</v>
      </c>
      <c r="AK137" s="279"/>
      <c r="AL137" s="523">
        <v>3</v>
      </c>
      <c r="AM137" s="35">
        <v>29021</v>
      </c>
      <c r="AN137" s="35" t="s">
        <v>1458</v>
      </c>
      <c r="AO137" s="35" t="s">
        <v>1703</v>
      </c>
      <c r="AP137" s="35" t="s">
        <v>533</v>
      </c>
      <c r="AQ137" s="34" t="s">
        <v>2240</v>
      </c>
      <c r="AR137" s="35">
        <v>1</v>
      </c>
      <c r="AS137" s="35" t="s">
        <v>1687</v>
      </c>
      <c r="AT137" s="35" t="s">
        <v>10</v>
      </c>
      <c r="AU137" s="35" t="s">
        <v>10</v>
      </c>
      <c r="AV137" s="35" t="s">
        <v>959</v>
      </c>
      <c r="AW137" s="35" t="s">
        <v>683</v>
      </c>
      <c r="AX137" s="34" t="s">
        <v>1867</v>
      </c>
      <c r="AY137" s="35">
        <v>16</v>
      </c>
      <c r="AZ137" s="35" t="s">
        <v>477</v>
      </c>
      <c r="BA137" s="35" t="s">
        <v>500</v>
      </c>
      <c r="BB137" s="35" t="s">
        <v>10</v>
      </c>
      <c r="BC137" s="35" t="s">
        <v>691</v>
      </c>
      <c r="BD137" s="35" t="s">
        <v>1742</v>
      </c>
      <c r="BE137" s="35" t="s">
        <v>10</v>
      </c>
      <c r="BF137" s="35" t="s">
        <v>10</v>
      </c>
      <c r="BG137" s="35">
        <v>867</v>
      </c>
      <c r="BH137" s="35" t="s">
        <v>61</v>
      </c>
      <c r="BI137" s="35">
        <v>0.13</v>
      </c>
      <c r="BJ137" s="35" t="s">
        <v>1453</v>
      </c>
      <c r="BK137" s="35" t="s">
        <v>678</v>
      </c>
      <c r="BL137" s="35" t="s">
        <v>680</v>
      </c>
      <c r="BM137" s="35" t="s">
        <v>681</v>
      </c>
      <c r="BN137" s="35" t="s">
        <v>682</v>
      </c>
      <c r="BO137" s="35" t="s">
        <v>2358</v>
      </c>
      <c r="BP137" s="35" t="s">
        <v>2359</v>
      </c>
      <c r="BQ137" s="35">
        <v>29021</v>
      </c>
      <c r="BW137" s="248"/>
      <c r="BX137" s="248"/>
      <c r="BY137" s="248"/>
      <c r="BZ137" s="248"/>
      <c r="CA137" s="248"/>
      <c r="CB137" s="248"/>
      <c r="CC137" s="248"/>
      <c r="CD137" s="248"/>
      <c r="CE137" s="248"/>
      <c r="CF137" s="248"/>
      <c r="CG137" s="248"/>
      <c r="CH137" s="248"/>
      <c r="CI137" s="248"/>
      <c r="CJ137" s="248"/>
      <c r="CK137" s="248"/>
      <c r="CL137" s="248"/>
      <c r="CM137" s="248"/>
      <c r="CN137" s="248"/>
      <c r="CO137" s="248"/>
      <c r="CP137" s="248"/>
      <c r="CQ137" s="248"/>
      <c r="CR137" s="248"/>
      <c r="CS137" s="248"/>
      <c r="CT137" s="248"/>
      <c r="CU137" s="248"/>
      <c r="CV137" s="248"/>
      <c r="CW137" s="248"/>
      <c r="CX137" s="248"/>
      <c r="CY137" s="248"/>
      <c r="CZ137" s="248"/>
      <c r="DA137" s="248"/>
      <c r="DB137" s="248"/>
      <c r="DC137" s="248"/>
      <c r="DD137" s="248"/>
      <c r="DE137" s="248"/>
      <c r="DF137" s="248"/>
      <c r="DG137" s="248"/>
      <c r="DH137" s="248"/>
      <c r="DI137" s="248"/>
      <c r="DJ137" s="248"/>
      <c r="DK137" s="248"/>
      <c r="DL137" s="248"/>
      <c r="DM137" s="248"/>
      <c r="DN137" s="248"/>
      <c r="DO137" s="248"/>
      <c r="DP137" s="248"/>
      <c r="DQ137" s="248"/>
      <c r="DR137" s="248"/>
      <c r="DS137" s="248"/>
      <c r="DT137" s="248"/>
      <c r="DU137" s="248"/>
      <c r="DV137" s="248"/>
      <c r="DW137" s="248"/>
      <c r="DX137" s="248"/>
      <c r="DY137" s="248"/>
      <c r="DZ137" s="248"/>
      <c r="EA137" s="248"/>
      <c r="EB137" s="248"/>
      <c r="EC137" s="248"/>
      <c r="ED137" s="248"/>
      <c r="EE137" s="248"/>
    </row>
    <row r="138" spans="1:135" s="35" customFormat="1" ht="16.5">
      <c r="A138" s="35" t="str">
        <f t="shared" si="4"/>
        <v>SP_31SM             KS_CP_C</v>
      </c>
      <c r="B138" s="331"/>
      <c r="C138" s="248">
        <v>29022</v>
      </c>
      <c r="D138" s="283" t="s">
        <v>606</v>
      </c>
      <c r="F138" s="35" t="s">
        <v>1086</v>
      </c>
      <c r="G138" s="35" t="s">
        <v>2240</v>
      </c>
      <c r="H138" s="35" t="s">
        <v>610</v>
      </c>
      <c r="N138" s="35" t="s">
        <v>537</v>
      </c>
      <c r="O138" s="34" t="s">
        <v>1097</v>
      </c>
      <c r="P138" s="34" t="s">
        <v>1086</v>
      </c>
      <c r="Q138" s="58"/>
      <c r="R138" s="39"/>
      <c r="AH138" s="279"/>
      <c r="AJ138" s="279" t="s">
        <v>1117</v>
      </c>
      <c r="AK138" s="279"/>
      <c r="AL138" s="523">
        <v>3</v>
      </c>
      <c r="AM138" s="35">
        <v>29022</v>
      </c>
      <c r="AN138" s="35" t="s">
        <v>1879</v>
      </c>
      <c r="AO138" s="35" t="s">
        <v>1703</v>
      </c>
      <c r="AP138" s="35" t="s">
        <v>533</v>
      </c>
      <c r="AQ138" s="34" t="s">
        <v>2240</v>
      </c>
      <c r="AR138" s="35">
        <v>1</v>
      </c>
      <c r="AS138" s="35" t="s">
        <v>1687</v>
      </c>
      <c r="AT138" s="35" t="s">
        <v>10</v>
      </c>
      <c r="AU138" s="35" t="s">
        <v>10</v>
      </c>
      <c r="AV138" s="35" t="s">
        <v>959</v>
      </c>
      <c r="AW138" s="35" t="s">
        <v>683</v>
      </c>
      <c r="AX138" s="34" t="s">
        <v>1867</v>
      </c>
      <c r="AY138" s="35">
        <v>18</v>
      </c>
      <c r="AZ138" s="35" t="s">
        <v>477</v>
      </c>
      <c r="BA138" s="35" t="s">
        <v>500</v>
      </c>
      <c r="BB138" s="35" t="s">
        <v>10</v>
      </c>
      <c r="BC138" s="35" t="s">
        <v>691</v>
      </c>
      <c r="BD138" s="35" t="s">
        <v>1742</v>
      </c>
      <c r="BE138" s="35" t="s">
        <v>10</v>
      </c>
      <c r="BF138" s="35" t="s">
        <v>10</v>
      </c>
      <c r="BG138" s="35">
        <v>867</v>
      </c>
      <c r="BH138" s="35" t="s">
        <v>61</v>
      </c>
      <c r="BI138" s="35">
        <v>0.13</v>
      </c>
      <c r="BJ138" s="35" t="s">
        <v>1453</v>
      </c>
      <c r="BK138" s="35" t="s">
        <v>678</v>
      </c>
      <c r="BL138" s="35" t="s">
        <v>680</v>
      </c>
      <c r="BM138" s="35" t="s">
        <v>681</v>
      </c>
      <c r="BN138" s="35" t="s">
        <v>682</v>
      </c>
      <c r="BO138" s="35" t="s">
        <v>2358</v>
      </c>
      <c r="BP138" s="35" t="s">
        <v>2359</v>
      </c>
      <c r="BQ138" s="35">
        <v>29022</v>
      </c>
      <c r="BW138" s="248"/>
      <c r="BX138" s="248"/>
      <c r="BY138" s="248"/>
      <c r="BZ138" s="248"/>
      <c r="CA138" s="248"/>
      <c r="CB138" s="248"/>
      <c r="CC138" s="248"/>
      <c r="CD138" s="248"/>
      <c r="CE138" s="248"/>
      <c r="CF138" s="248"/>
      <c r="CG138" s="248"/>
      <c r="CH138" s="248"/>
      <c r="CI138" s="248"/>
      <c r="CJ138" s="248"/>
      <c r="CK138" s="248"/>
      <c r="CL138" s="248"/>
      <c r="CM138" s="248"/>
      <c r="CN138" s="248"/>
      <c r="CO138" s="248"/>
      <c r="CP138" s="248"/>
      <c r="CQ138" s="248"/>
      <c r="CR138" s="248"/>
      <c r="CS138" s="248"/>
      <c r="CT138" s="248"/>
      <c r="CU138" s="248"/>
      <c r="CV138" s="248"/>
      <c r="CW138" s="248"/>
      <c r="CX138" s="248"/>
      <c r="CY138" s="248"/>
      <c r="CZ138" s="248"/>
      <c r="DA138" s="248"/>
      <c r="DB138" s="248"/>
      <c r="DC138" s="248"/>
      <c r="DD138" s="248"/>
      <c r="DE138" s="248"/>
      <c r="DF138" s="248"/>
      <c r="DG138" s="248"/>
      <c r="DH138" s="248"/>
      <c r="DI138" s="248"/>
      <c r="DJ138" s="248"/>
      <c r="DK138" s="248"/>
      <c r="DL138" s="248"/>
      <c r="DM138" s="248"/>
      <c r="DN138" s="248"/>
      <c r="DO138" s="248"/>
      <c r="DP138" s="248"/>
      <c r="DQ138" s="248"/>
      <c r="DR138" s="248"/>
      <c r="DS138" s="248"/>
      <c r="DT138" s="248"/>
      <c r="DU138" s="248"/>
      <c r="DV138" s="248"/>
      <c r="DW138" s="248"/>
      <c r="DX138" s="248"/>
      <c r="DY138" s="248"/>
      <c r="DZ138" s="248"/>
      <c r="EA138" s="248"/>
      <c r="EB138" s="248"/>
      <c r="EC138" s="248"/>
      <c r="ED138" s="248"/>
      <c r="EE138" s="248"/>
    </row>
    <row r="139" spans="1:135" s="35" customFormat="1" ht="16.5">
      <c r="A139" s="35" t="str">
        <f t="shared" si="4"/>
        <v>SP_31SM             TGHR</v>
      </c>
      <c r="B139" s="331"/>
      <c r="C139" s="248">
        <v>29023</v>
      </c>
      <c r="D139" s="283" t="s">
        <v>606</v>
      </c>
      <c r="F139" s="35" t="s">
        <v>1086</v>
      </c>
      <c r="G139" s="35" t="s">
        <v>2240</v>
      </c>
      <c r="H139" s="35" t="s">
        <v>610</v>
      </c>
      <c r="N139" s="35" t="s">
        <v>537</v>
      </c>
      <c r="O139" s="34" t="s">
        <v>1097</v>
      </c>
      <c r="P139" s="34" t="s">
        <v>1086</v>
      </c>
      <c r="Q139" s="58"/>
      <c r="R139" s="39"/>
      <c r="AA139" s="35" t="s">
        <v>2645</v>
      </c>
      <c r="AH139" s="279"/>
      <c r="AJ139" s="279" t="s">
        <v>1117</v>
      </c>
      <c r="AK139" s="279"/>
      <c r="AL139" s="523">
        <v>3</v>
      </c>
      <c r="AM139" s="35">
        <v>29023</v>
      </c>
      <c r="AN139" s="35" t="s">
        <v>1880</v>
      </c>
      <c r="AO139" s="35" t="s">
        <v>1703</v>
      </c>
      <c r="AP139" s="35" t="s">
        <v>533</v>
      </c>
      <c r="AQ139" s="34" t="s">
        <v>2240</v>
      </c>
      <c r="AR139" s="35">
        <v>1</v>
      </c>
      <c r="AS139" s="35" t="s">
        <v>1687</v>
      </c>
      <c r="AT139" s="35" t="s">
        <v>10</v>
      </c>
      <c r="AU139" s="35" t="s">
        <v>10</v>
      </c>
      <c r="AV139" s="35" t="s">
        <v>1729</v>
      </c>
      <c r="AW139" s="35" t="s">
        <v>962</v>
      </c>
      <c r="AX139" s="34" t="s">
        <v>2308</v>
      </c>
      <c r="AY139" s="35">
        <v>2</v>
      </c>
      <c r="AZ139" s="35" t="s">
        <v>1156</v>
      </c>
      <c r="BA139" s="35" t="s">
        <v>695</v>
      </c>
      <c r="BB139" s="35" t="s">
        <v>10</v>
      </c>
      <c r="BC139" s="35" t="s">
        <v>691</v>
      </c>
      <c r="BD139" s="35" t="s">
        <v>1742</v>
      </c>
      <c r="BE139" s="35" t="s">
        <v>10</v>
      </c>
      <c r="BF139" s="35" t="s">
        <v>10</v>
      </c>
      <c r="BG139" s="35">
        <v>969</v>
      </c>
      <c r="BH139" s="35" t="s">
        <v>61</v>
      </c>
      <c r="BI139" s="35">
        <v>0.13</v>
      </c>
      <c r="BJ139" s="35" t="s">
        <v>1453</v>
      </c>
      <c r="BK139" s="35" t="s">
        <v>678</v>
      </c>
      <c r="BL139" s="35" t="s">
        <v>680</v>
      </c>
      <c r="BM139" s="35" t="s">
        <v>681</v>
      </c>
      <c r="BN139" s="35" t="s">
        <v>682</v>
      </c>
      <c r="BO139" s="35" t="s">
        <v>2358</v>
      </c>
      <c r="BP139" s="35" t="s">
        <v>2359</v>
      </c>
      <c r="BQ139" s="35">
        <v>29023</v>
      </c>
      <c r="BW139" s="248"/>
      <c r="BX139" s="248"/>
      <c r="BY139" s="248"/>
      <c r="BZ139" s="248"/>
      <c r="CA139" s="248"/>
      <c r="CB139" s="248"/>
      <c r="CC139" s="248"/>
      <c r="CD139" s="248"/>
      <c r="CE139" s="248"/>
      <c r="CF139" s="248"/>
      <c r="CG139" s="248"/>
      <c r="CH139" s="248"/>
      <c r="CI139" s="248"/>
      <c r="CJ139" s="248"/>
      <c r="CK139" s="248"/>
      <c r="CL139" s="248"/>
      <c r="CM139" s="248"/>
      <c r="CN139" s="248"/>
      <c r="CO139" s="248"/>
      <c r="CP139" s="248"/>
      <c r="CQ139" s="248"/>
      <c r="CR139" s="248"/>
      <c r="CS139" s="248"/>
      <c r="CT139" s="248"/>
      <c r="CU139" s="248"/>
      <c r="CV139" s="248"/>
      <c r="CW139" s="248"/>
      <c r="CX139" s="248"/>
      <c r="CY139" s="248"/>
      <c r="CZ139" s="248"/>
      <c r="DA139" s="248"/>
      <c r="DB139" s="248"/>
      <c r="DC139" s="248"/>
      <c r="DD139" s="248"/>
      <c r="DE139" s="248"/>
      <c r="DF139" s="248"/>
      <c r="DG139" s="248"/>
      <c r="DH139" s="248"/>
      <c r="DI139" s="248"/>
      <c r="DJ139" s="248"/>
      <c r="DK139" s="248"/>
      <c r="DL139" s="248"/>
      <c r="DM139" s="248"/>
      <c r="DN139" s="248"/>
      <c r="DO139" s="248"/>
      <c r="DP139" s="248"/>
      <c r="DQ139" s="248"/>
      <c r="DR139" s="248"/>
      <c r="DS139" s="248"/>
      <c r="DT139" s="248"/>
      <c r="DU139" s="248"/>
      <c r="DV139" s="248"/>
      <c r="DW139" s="248"/>
      <c r="DX139" s="248"/>
      <c r="DY139" s="248"/>
      <c r="DZ139" s="248"/>
      <c r="EA139" s="248"/>
      <c r="EB139" s="248"/>
      <c r="EC139" s="248"/>
      <c r="ED139" s="248"/>
      <c r="EE139" s="248"/>
    </row>
    <row r="140" spans="1:135" s="35" customFormat="1" ht="16.5">
      <c r="A140" s="35" t="str">
        <f t="shared" si="4"/>
        <v>SP_ACLIN2           KS_CPR_C</v>
      </c>
      <c r="B140" s="331"/>
      <c r="C140" s="248">
        <v>29027</v>
      </c>
      <c r="D140" s="283" t="s">
        <v>606</v>
      </c>
      <c r="F140" s="35" t="s">
        <v>1086</v>
      </c>
      <c r="G140" s="35" t="s">
        <v>2238</v>
      </c>
      <c r="H140" s="35" t="s">
        <v>610</v>
      </c>
      <c r="N140" s="35" t="s">
        <v>537</v>
      </c>
      <c r="O140" s="34" t="s">
        <v>1097</v>
      </c>
      <c r="P140" s="34" t="s">
        <v>1086</v>
      </c>
      <c r="Q140" s="58"/>
      <c r="R140" s="39"/>
      <c r="AH140" s="279"/>
      <c r="AJ140" s="279" t="s">
        <v>1117</v>
      </c>
      <c r="AK140" s="279"/>
      <c r="AL140" s="523">
        <v>3</v>
      </c>
      <c r="AM140" s="35">
        <v>29027</v>
      </c>
      <c r="AN140" s="35" t="s">
        <v>1881</v>
      </c>
      <c r="AO140" s="35" t="s">
        <v>1728</v>
      </c>
      <c r="AP140" s="35" t="s">
        <v>325</v>
      </c>
      <c r="AQ140" s="34" t="s">
        <v>2238</v>
      </c>
      <c r="AR140" s="35">
        <v>1</v>
      </c>
      <c r="AS140" s="35" t="s">
        <v>1865</v>
      </c>
      <c r="AT140" s="35" t="s">
        <v>10</v>
      </c>
      <c r="AU140" s="35" t="s">
        <v>10</v>
      </c>
      <c r="AV140" s="35" t="s">
        <v>424</v>
      </c>
      <c r="AW140" s="35" t="s">
        <v>648</v>
      </c>
      <c r="AX140" s="34" t="s">
        <v>1796</v>
      </c>
      <c r="AY140" s="35">
        <v>3</v>
      </c>
      <c r="AZ140" s="35" t="s">
        <v>1808</v>
      </c>
      <c r="BA140" s="35" t="s">
        <v>492</v>
      </c>
      <c r="BB140" s="35" t="s">
        <v>10</v>
      </c>
      <c r="BC140" s="35" t="s">
        <v>219</v>
      </c>
      <c r="BD140" s="35" t="s">
        <v>1742</v>
      </c>
      <c r="BE140" s="35" t="s">
        <v>10</v>
      </c>
      <c r="BF140" s="35" t="s">
        <v>10</v>
      </c>
      <c r="BG140" s="35">
        <v>912</v>
      </c>
      <c r="BH140" s="35" t="s">
        <v>108</v>
      </c>
      <c r="BI140" s="35">
        <v>0.13</v>
      </c>
      <c r="BJ140" s="35" t="s">
        <v>1443</v>
      </c>
      <c r="BK140" s="35" t="s">
        <v>678</v>
      </c>
      <c r="BL140" s="35" t="s">
        <v>680</v>
      </c>
      <c r="BM140" s="35" t="s">
        <v>681</v>
      </c>
      <c r="BN140" s="35" t="s">
        <v>682</v>
      </c>
      <c r="BO140" s="35" t="s">
        <v>2358</v>
      </c>
      <c r="BP140" s="35" t="s">
        <v>2359</v>
      </c>
      <c r="BQ140" s="35">
        <v>29027</v>
      </c>
      <c r="BW140" s="248"/>
      <c r="BX140" s="248"/>
      <c r="BY140" s="248"/>
      <c r="BZ140" s="248"/>
      <c r="CA140" s="248"/>
      <c r="CB140" s="248"/>
      <c r="CC140" s="248"/>
      <c r="CD140" s="248"/>
      <c r="CE140" s="248"/>
      <c r="CF140" s="248"/>
      <c r="CG140" s="248"/>
      <c r="CH140" s="248"/>
      <c r="CI140" s="248"/>
      <c r="CJ140" s="248"/>
      <c r="CK140" s="248"/>
      <c r="CL140" s="248"/>
      <c r="CM140" s="248"/>
      <c r="CN140" s="248"/>
      <c r="CO140" s="248"/>
      <c r="CP140" s="248"/>
      <c r="CQ140" s="248"/>
      <c r="CR140" s="248"/>
      <c r="CS140" s="248"/>
      <c r="CT140" s="248"/>
      <c r="CU140" s="248"/>
      <c r="CV140" s="248"/>
      <c r="CW140" s="248"/>
      <c r="CX140" s="248"/>
      <c r="CY140" s="248"/>
      <c r="CZ140" s="248"/>
      <c r="DA140" s="248"/>
      <c r="DB140" s="248"/>
      <c r="DC140" s="248"/>
      <c r="DD140" s="248"/>
      <c r="DE140" s="248"/>
      <c r="DF140" s="248"/>
      <c r="DG140" s="248"/>
      <c r="DH140" s="248"/>
      <c r="DI140" s="248"/>
      <c r="DJ140" s="248"/>
      <c r="DK140" s="248"/>
      <c r="DL140" s="248"/>
      <c r="DM140" s="248"/>
      <c r="DN140" s="248"/>
      <c r="DO140" s="248"/>
      <c r="DP140" s="248"/>
      <c r="DQ140" s="248"/>
      <c r="DR140" s="248"/>
      <c r="DS140" s="248"/>
      <c r="DT140" s="248"/>
      <c r="DU140" s="248"/>
      <c r="DV140" s="248"/>
      <c r="DW140" s="248"/>
      <c r="DX140" s="248"/>
      <c r="DY140" s="248"/>
      <c r="DZ140" s="248"/>
      <c r="EA140" s="248"/>
      <c r="EB140" s="248"/>
      <c r="EC140" s="248"/>
      <c r="ED140" s="248"/>
      <c r="EE140" s="248"/>
    </row>
    <row r="141" spans="1:135" s="35" customFormat="1" ht="16.5">
      <c r="A141" s="35" t="str">
        <f t="shared" si="4"/>
        <v>SGKG_B              KS_CP_C</v>
      </c>
      <c r="B141" s="331"/>
      <c r="C141" s="248">
        <v>29032</v>
      </c>
      <c r="D141" s="283" t="s">
        <v>606</v>
      </c>
      <c r="F141" s="35" t="s">
        <v>1086</v>
      </c>
      <c r="G141" s="39"/>
      <c r="O141" s="34" t="s">
        <v>1086</v>
      </c>
      <c r="P141" s="34" t="s">
        <v>1086</v>
      </c>
      <c r="Q141" s="58"/>
      <c r="R141" s="39"/>
      <c r="AH141" s="279"/>
      <c r="AJ141" s="279" t="s">
        <v>1117</v>
      </c>
      <c r="AK141" s="279"/>
      <c r="AL141" s="523">
        <v>3</v>
      </c>
      <c r="AM141" s="35">
        <v>29032</v>
      </c>
      <c r="AN141" s="35" t="s">
        <v>1882</v>
      </c>
      <c r="AO141" s="35" t="s">
        <v>1701</v>
      </c>
      <c r="AP141" s="35" t="s">
        <v>656</v>
      </c>
      <c r="AQ141" s="34" t="s">
        <v>2262</v>
      </c>
      <c r="AR141" s="35">
        <v>11</v>
      </c>
      <c r="AS141" s="35" t="s">
        <v>464</v>
      </c>
      <c r="AT141" s="35" t="s">
        <v>218</v>
      </c>
      <c r="AU141" s="35" t="s">
        <v>10</v>
      </c>
      <c r="AV141" s="35" t="s">
        <v>959</v>
      </c>
      <c r="AW141" s="35" t="s">
        <v>683</v>
      </c>
      <c r="AX141" s="34" t="s">
        <v>1867</v>
      </c>
      <c r="AY141" s="35">
        <v>17</v>
      </c>
      <c r="AZ141" s="35" t="s">
        <v>477</v>
      </c>
      <c r="BA141" s="35" t="s">
        <v>500</v>
      </c>
      <c r="BB141" s="35" t="s">
        <v>10</v>
      </c>
      <c r="BC141" s="35" t="s">
        <v>697</v>
      </c>
      <c r="BD141" s="35" t="s">
        <v>1742</v>
      </c>
      <c r="BE141" s="35" t="s">
        <v>10</v>
      </c>
      <c r="BF141" s="35" t="s">
        <v>10</v>
      </c>
      <c r="BG141" s="35">
        <v>1737</v>
      </c>
      <c r="BH141" s="35" t="s">
        <v>110</v>
      </c>
      <c r="BI141" s="35">
        <v>0.13</v>
      </c>
      <c r="BJ141" s="35" t="s">
        <v>1459</v>
      </c>
      <c r="BK141" s="35" t="s">
        <v>678</v>
      </c>
      <c r="BL141" s="35" t="s">
        <v>680</v>
      </c>
      <c r="BM141" s="35" t="s">
        <v>681</v>
      </c>
      <c r="BN141" s="35" t="s">
        <v>682</v>
      </c>
      <c r="BO141" s="35" t="s">
        <v>2358</v>
      </c>
      <c r="BP141" s="35" t="s">
        <v>2359</v>
      </c>
      <c r="BQ141" s="35">
        <v>29032</v>
      </c>
      <c r="BW141" s="248"/>
      <c r="BX141" s="248"/>
      <c r="BY141" s="248"/>
      <c r="BZ141" s="248"/>
      <c r="CA141" s="248"/>
      <c r="CB141" s="248"/>
      <c r="CC141" s="248"/>
      <c r="CD141" s="248"/>
      <c r="CE141" s="248"/>
      <c r="CF141" s="248"/>
      <c r="CG141" s="248"/>
      <c r="CH141" s="248"/>
      <c r="CI141" s="248"/>
      <c r="CJ141" s="248"/>
      <c r="CK141" s="248"/>
      <c r="CL141" s="248"/>
      <c r="CM141" s="248"/>
      <c r="CN141" s="248"/>
      <c r="CO141" s="248"/>
      <c r="CP141" s="248"/>
      <c r="CQ141" s="248"/>
      <c r="CR141" s="248"/>
      <c r="CS141" s="248"/>
      <c r="CT141" s="248"/>
      <c r="CU141" s="248"/>
      <c r="CV141" s="248"/>
      <c r="CW141" s="248"/>
      <c r="CX141" s="248"/>
      <c r="CY141" s="248"/>
      <c r="CZ141" s="248"/>
      <c r="DA141" s="248"/>
      <c r="DB141" s="248"/>
      <c r="DC141" s="248"/>
      <c r="DD141" s="248"/>
      <c r="DE141" s="248"/>
      <c r="DF141" s="248"/>
      <c r="DG141" s="248"/>
      <c r="DH141" s="248"/>
      <c r="DI141" s="248"/>
      <c r="DJ141" s="248"/>
      <c r="DK141" s="248"/>
      <c r="DL141" s="248"/>
      <c r="DM141" s="248"/>
      <c r="DN141" s="248"/>
      <c r="DO141" s="248"/>
      <c r="DP141" s="248"/>
      <c r="DQ141" s="248"/>
      <c r="DR141" s="248"/>
      <c r="DS141" s="248"/>
      <c r="DT141" s="248"/>
      <c r="DU141" s="248"/>
      <c r="DV141" s="248"/>
      <c r="DW141" s="248"/>
      <c r="DX141" s="248"/>
      <c r="DY141" s="248"/>
      <c r="DZ141" s="248"/>
      <c r="EA141" s="248"/>
      <c r="EB141" s="248"/>
      <c r="EC141" s="248"/>
      <c r="ED141" s="248"/>
      <c r="EE141" s="248"/>
    </row>
    <row r="142" spans="1:135" s="35" customFormat="1" ht="16.5">
      <c r="A142" s="35" t="str">
        <f t="shared" si="4"/>
        <v>SGKG_B              KS_CP_C</v>
      </c>
      <c r="B142" s="331"/>
      <c r="C142" s="248">
        <v>29033</v>
      </c>
      <c r="D142" s="283" t="s">
        <v>606</v>
      </c>
      <c r="F142" s="35" t="s">
        <v>1086</v>
      </c>
      <c r="G142" s="39"/>
      <c r="O142" s="34" t="s">
        <v>1086</v>
      </c>
      <c r="P142" s="34" t="s">
        <v>1086</v>
      </c>
      <c r="Q142" s="58"/>
      <c r="R142" s="39"/>
      <c r="AH142" s="279"/>
      <c r="AJ142" s="279" t="s">
        <v>1117</v>
      </c>
      <c r="AK142" s="279"/>
      <c r="AL142" s="523">
        <v>3</v>
      </c>
      <c r="AM142" s="35">
        <v>29033</v>
      </c>
      <c r="AN142" s="35" t="s">
        <v>1883</v>
      </c>
      <c r="AO142" s="35" t="s">
        <v>1701</v>
      </c>
      <c r="AP142" s="35" t="s">
        <v>656</v>
      </c>
      <c r="AQ142" s="34" t="s">
        <v>2262</v>
      </c>
      <c r="AR142" s="35">
        <v>12</v>
      </c>
      <c r="AS142" s="35" t="s">
        <v>464</v>
      </c>
      <c r="AT142" s="35" t="s">
        <v>218</v>
      </c>
      <c r="AU142" s="35" t="s">
        <v>10</v>
      </c>
      <c r="AV142" s="35" t="s">
        <v>959</v>
      </c>
      <c r="AW142" s="35" t="s">
        <v>683</v>
      </c>
      <c r="AX142" s="34" t="s">
        <v>1867</v>
      </c>
      <c r="AY142" s="35">
        <v>19</v>
      </c>
      <c r="AZ142" s="35" t="s">
        <v>477</v>
      </c>
      <c r="BA142" s="35" t="s">
        <v>500</v>
      </c>
      <c r="BB142" s="35" t="s">
        <v>10</v>
      </c>
      <c r="BC142" s="35" t="s">
        <v>677</v>
      </c>
      <c r="BD142" s="35" t="s">
        <v>1742</v>
      </c>
      <c r="BE142" s="35" t="s">
        <v>10</v>
      </c>
      <c r="BF142" s="35" t="s">
        <v>10</v>
      </c>
      <c r="BG142" s="35">
        <v>1737</v>
      </c>
      <c r="BH142" s="35" t="s">
        <v>83</v>
      </c>
      <c r="BI142" s="35">
        <v>0.13</v>
      </c>
      <c r="BJ142" s="35" t="s">
        <v>1460</v>
      </c>
      <c r="BK142" s="35" t="s">
        <v>678</v>
      </c>
      <c r="BL142" s="35" t="s">
        <v>680</v>
      </c>
      <c r="BM142" s="35" t="s">
        <v>681</v>
      </c>
      <c r="BN142" s="35" t="s">
        <v>682</v>
      </c>
      <c r="BO142" s="35" t="s">
        <v>2358</v>
      </c>
      <c r="BP142" s="35" t="s">
        <v>2359</v>
      </c>
      <c r="BQ142" s="35">
        <v>29033</v>
      </c>
      <c r="BW142" s="248"/>
      <c r="BX142" s="248"/>
      <c r="BY142" s="248"/>
      <c r="BZ142" s="248"/>
      <c r="CA142" s="248"/>
      <c r="CB142" s="248"/>
      <c r="CC142" s="248"/>
      <c r="CD142" s="248"/>
      <c r="CE142" s="248"/>
      <c r="CF142" s="248"/>
      <c r="CG142" s="248"/>
      <c r="CH142" s="248"/>
      <c r="CI142" s="248"/>
      <c r="CJ142" s="248"/>
      <c r="CK142" s="248"/>
      <c r="CL142" s="248"/>
      <c r="CM142" s="248"/>
      <c r="CN142" s="248"/>
      <c r="CO142" s="248"/>
      <c r="CP142" s="248"/>
      <c r="CQ142" s="248"/>
      <c r="CR142" s="248"/>
      <c r="CS142" s="248"/>
      <c r="CT142" s="248"/>
      <c r="CU142" s="248"/>
      <c r="CV142" s="248"/>
      <c r="CW142" s="248"/>
      <c r="CX142" s="248"/>
      <c r="CY142" s="248"/>
      <c r="CZ142" s="248"/>
      <c r="DA142" s="248"/>
      <c r="DB142" s="248"/>
      <c r="DC142" s="248"/>
      <c r="DD142" s="248"/>
      <c r="DE142" s="248"/>
      <c r="DF142" s="248"/>
      <c r="DG142" s="248"/>
      <c r="DH142" s="248"/>
      <c r="DI142" s="248"/>
      <c r="DJ142" s="248"/>
      <c r="DK142" s="248"/>
      <c r="DL142" s="248"/>
      <c r="DM142" s="248"/>
      <c r="DN142" s="248"/>
      <c r="DO142" s="248"/>
      <c r="DP142" s="248"/>
      <c r="DQ142" s="248"/>
      <c r="DR142" s="248"/>
      <c r="DS142" s="248"/>
      <c r="DT142" s="248"/>
      <c r="DU142" s="248"/>
      <c r="DV142" s="248"/>
      <c r="DW142" s="248"/>
      <c r="DX142" s="248"/>
      <c r="DY142" s="248"/>
      <c r="DZ142" s="248"/>
      <c r="EA142" s="248"/>
      <c r="EB142" s="248"/>
      <c r="EC142" s="248"/>
      <c r="ED142" s="248"/>
      <c r="EE142" s="248"/>
    </row>
    <row r="143" spans="1:135" s="35" customFormat="1" ht="16.5">
      <c r="A143" s="35" t="str">
        <f t="shared" si="4"/>
        <v>SP_MB32_B2          SGION_A</v>
      </c>
      <c r="B143" s="331"/>
      <c r="C143" s="248">
        <v>29036</v>
      </c>
      <c r="D143" s="283" t="s">
        <v>606</v>
      </c>
      <c r="F143" s="35" t="s">
        <v>1086</v>
      </c>
      <c r="G143" s="35" t="s">
        <v>2228</v>
      </c>
      <c r="H143" s="35" t="s">
        <v>609</v>
      </c>
      <c r="N143" s="35" t="s">
        <v>537</v>
      </c>
      <c r="O143" s="34" t="s">
        <v>1086</v>
      </c>
      <c r="P143" s="34" t="s">
        <v>1086</v>
      </c>
      <c r="Q143" s="58"/>
      <c r="R143" s="39"/>
      <c r="AA143" s="35" t="s">
        <v>2645</v>
      </c>
      <c r="AH143" s="279"/>
      <c r="AJ143" s="279" t="s">
        <v>1117</v>
      </c>
      <c r="AK143" s="279"/>
      <c r="AL143" s="523">
        <v>3</v>
      </c>
      <c r="AM143" s="35">
        <v>29036</v>
      </c>
      <c r="AN143" s="35" t="s">
        <v>1884</v>
      </c>
      <c r="AO143" s="35" t="s">
        <v>2146</v>
      </c>
      <c r="AP143" s="35" t="s">
        <v>250</v>
      </c>
      <c r="AQ143" s="34" t="s">
        <v>2228</v>
      </c>
      <c r="AR143" s="35">
        <v>1</v>
      </c>
      <c r="AS143" s="35" t="s">
        <v>1170</v>
      </c>
      <c r="AT143" s="35" t="s">
        <v>10</v>
      </c>
      <c r="AU143" s="35" t="s">
        <v>10</v>
      </c>
      <c r="AV143" s="35" t="s">
        <v>961</v>
      </c>
      <c r="AW143" s="35" t="s">
        <v>693</v>
      </c>
      <c r="AX143" s="34" t="s">
        <v>2268</v>
      </c>
      <c r="AY143" s="35">
        <v>3</v>
      </c>
      <c r="AZ143" s="35" t="s">
        <v>410</v>
      </c>
      <c r="BA143" s="35" t="s">
        <v>524</v>
      </c>
      <c r="BB143" s="35" t="s">
        <v>10</v>
      </c>
      <c r="BC143" s="35" t="s">
        <v>71</v>
      </c>
      <c r="BD143" s="35" t="s">
        <v>1742</v>
      </c>
      <c r="BE143" s="35" t="s">
        <v>10</v>
      </c>
      <c r="BF143" s="35" t="s">
        <v>10</v>
      </c>
      <c r="BG143" s="35">
        <v>671</v>
      </c>
      <c r="BH143" s="35" t="s">
        <v>25</v>
      </c>
      <c r="BI143" s="35">
        <v>0.35</v>
      </c>
      <c r="BJ143" s="35" t="s">
        <v>1296</v>
      </c>
      <c r="BK143" s="35" t="s">
        <v>10</v>
      </c>
      <c r="BL143" s="35" t="s">
        <v>10</v>
      </c>
      <c r="BM143" s="35" t="s">
        <v>681</v>
      </c>
      <c r="BN143" s="35" t="s">
        <v>682</v>
      </c>
      <c r="BO143" s="35" t="s">
        <v>2358</v>
      </c>
      <c r="BP143" s="35" t="s">
        <v>2359</v>
      </c>
      <c r="BQ143" s="35">
        <v>29036</v>
      </c>
      <c r="BW143" s="248"/>
      <c r="BX143" s="248"/>
      <c r="BY143" s="248"/>
      <c r="BZ143" s="248"/>
      <c r="CA143" s="248"/>
      <c r="CB143" s="248"/>
      <c r="CC143" s="248"/>
      <c r="CD143" s="248"/>
      <c r="CE143" s="248"/>
      <c r="CF143" s="248"/>
      <c r="CG143" s="248"/>
      <c r="CH143" s="248"/>
      <c r="CI143" s="248"/>
      <c r="CJ143" s="248"/>
      <c r="CK143" s="248"/>
      <c r="CL143" s="248"/>
      <c r="CM143" s="248"/>
      <c r="CN143" s="248"/>
      <c r="CO143" s="248"/>
      <c r="CP143" s="248"/>
      <c r="CQ143" s="248"/>
      <c r="CR143" s="248"/>
      <c r="CS143" s="248"/>
      <c r="CT143" s="248"/>
      <c r="CU143" s="248"/>
      <c r="CV143" s="248"/>
      <c r="CW143" s="248"/>
      <c r="CX143" s="248"/>
      <c r="CY143" s="248"/>
      <c r="CZ143" s="248"/>
      <c r="DA143" s="248"/>
      <c r="DB143" s="248"/>
      <c r="DC143" s="248"/>
      <c r="DD143" s="248"/>
      <c r="DE143" s="248"/>
      <c r="DF143" s="248"/>
      <c r="DG143" s="248"/>
      <c r="DH143" s="248"/>
      <c r="DI143" s="248"/>
      <c r="DJ143" s="248"/>
      <c r="DK143" s="248"/>
      <c r="DL143" s="248"/>
      <c r="DM143" s="248"/>
      <c r="DN143" s="248"/>
      <c r="DO143" s="248"/>
      <c r="DP143" s="248"/>
      <c r="DQ143" s="248"/>
      <c r="DR143" s="248"/>
      <c r="DS143" s="248"/>
      <c r="DT143" s="248"/>
      <c r="DU143" s="248"/>
      <c r="DV143" s="248"/>
      <c r="DW143" s="248"/>
      <c r="DX143" s="248"/>
      <c r="DY143" s="248"/>
      <c r="DZ143" s="248"/>
      <c r="EA143" s="248"/>
      <c r="EB143" s="248"/>
      <c r="EC143" s="248"/>
      <c r="ED143" s="248"/>
      <c r="EE143" s="248"/>
    </row>
    <row r="144" spans="1:135" s="35" customFormat="1" ht="16.5">
      <c r="A144" s="35" t="str">
        <f t="shared" si="4"/>
        <v>SP_MB32_B1          GBR</v>
      </c>
      <c r="B144" s="331"/>
      <c r="C144" s="248">
        <v>29039</v>
      </c>
      <c r="D144" s="283" t="s">
        <v>606</v>
      </c>
      <c r="F144" s="35" t="s">
        <v>1086</v>
      </c>
      <c r="G144" s="35" t="s">
        <v>2235</v>
      </c>
      <c r="H144" s="35" t="s">
        <v>610</v>
      </c>
      <c r="N144" s="35" t="s">
        <v>537</v>
      </c>
      <c r="O144" s="34" t="s">
        <v>1097</v>
      </c>
      <c r="P144" s="34" t="s">
        <v>1086</v>
      </c>
      <c r="Q144" s="58"/>
      <c r="R144" s="39"/>
      <c r="AH144" s="279"/>
      <c r="AJ144" s="279" t="s">
        <v>1117</v>
      </c>
      <c r="AK144" s="279"/>
      <c r="AL144" s="523">
        <v>3</v>
      </c>
      <c r="AM144" s="35">
        <v>29039</v>
      </c>
      <c r="AN144" s="35" t="s">
        <v>1885</v>
      </c>
      <c r="AO144" s="35" t="s">
        <v>2149</v>
      </c>
      <c r="AP144" s="35" t="s">
        <v>252</v>
      </c>
      <c r="AQ144" s="34" t="s">
        <v>2235</v>
      </c>
      <c r="AR144" s="35">
        <v>1</v>
      </c>
      <c r="AS144" s="35" t="s">
        <v>1311</v>
      </c>
      <c r="AT144" s="35" t="s">
        <v>10</v>
      </c>
      <c r="AU144" s="35" t="s">
        <v>10</v>
      </c>
      <c r="AV144" s="35" t="s">
        <v>1702</v>
      </c>
      <c r="AW144" s="35" t="s">
        <v>696</v>
      </c>
      <c r="AX144" s="34" t="s">
        <v>2269</v>
      </c>
      <c r="AY144" s="35">
        <v>1</v>
      </c>
      <c r="AZ144" s="35" t="s">
        <v>345</v>
      </c>
      <c r="BA144" s="35" t="s">
        <v>247</v>
      </c>
      <c r="BB144" s="35" t="s">
        <v>10</v>
      </c>
      <c r="BC144" s="35" t="s">
        <v>92</v>
      </c>
      <c r="BD144" s="35" t="s">
        <v>1742</v>
      </c>
      <c r="BE144" s="35" t="s">
        <v>10</v>
      </c>
      <c r="BF144" s="35" t="s">
        <v>10</v>
      </c>
      <c r="BG144" s="35">
        <v>442</v>
      </c>
      <c r="BH144" s="35" t="s">
        <v>25</v>
      </c>
      <c r="BI144" s="35">
        <v>2.5</v>
      </c>
      <c r="BJ144" s="35" t="s">
        <v>1296</v>
      </c>
      <c r="BK144" s="35" t="s">
        <v>678</v>
      </c>
      <c r="BL144" s="35" t="s">
        <v>680</v>
      </c>
      <c r="BM144" s="35" t="s">
        <v>681</v>
      </c>
      <c r="BN144" s="35" t="s">
        <v>682</v>
      </c>
      <c r="BO144" s="35" t="s">
        <v>2358</v>
      </c>
      <c r="BP144" s="35" t="s">
        <v>2359</v>
      </c>
      <c r="BQ144" s="35">
        <v>29039</v>
      </c>
      <c r="BW144" s="248"/>
      <c r="BX144" s="248"/>
      <c r="BY144" s="248"/>
      <c r="BZ144" s="248"/>
      <c r="CA144" s="248"/>
      <c r="CB144" s="248"/>
      <c r="CC144" s="248"/>
      <c r="CD144" s="248"/>
      <c r="CE144" s="248"/>
      <c r="CF144" s="248"/>
      <c r="CG144" s="248"/>
      <c r="CH144" s="248"/>
      <c r="CI144" s="248"/>
      <c r="CJ144" s="248"/>
      <c r="CK144" s="248"/>
      <c r="CL144" s="248"/>
      <c r="CM144" s="248"/>
      <c r="CN144" s="248"/>
      <c r="CO144" s="248"/>
      <c r="CP144" s="248"/>
      <c r="CQ144" s="248"/>
      <c r="CR144" s="248"/>
      <c r="CS144" s="248"/>
      <c r="CT144" s="248"/>
      <c r="CU144" s="248"/>
      <c r="CV144" s="248"/>
      <c r="CW144" s="248"/>
      <c r="CX144" s="248"/>
      <c r="CY144" s="248"/>
      <c r="CZ144" s="248"/>
      <c r="DA144" s="248"/>
      <c r="DB144" s="248"/>
      <c r="DC144" s="248"/>
      <c r="DD144" s="248"/>
      <c r="DE144" s="248"/>
      <c r="DF144" s="248"/>
      <c r="DG144" s="248"/>
      <c r="DH144" s="248"/>
      <c r="DI144" s="248"/>
      <c r="DJ144" s="248"/>
      <c r="DK144" s="248"/>
      <c r="DL144" s="248"/>
      <c r="DM144" s="248"/>
      <c r="DN144" s="248"/>
      <c r="DO144" s="248"/>
      <c r="DP144" s="248"/>
      <c r="DQ144" s="248"/>
      <c r="DR144" s="248"/>
      <c r="DS144" s="248"/>
      <c r="DT144" s="248"/>
      <c r="DU144" s="248"/>
      <c r="DV144" s="248"/>
      <c r="DW144" s="248"/>
      <c r="DX144" s="248"/>
      <c r="DY144" s="248"/>
      <c r="DZ144" s="248"/>
      <c r="EA144" s="248"/>
      <c r="EB144" s="248"/>
      <c r="EC144" s="248"/>
      <c r="ED144" s="248"/>
      <c r="EE144" s="248"/>
    </row>
    <row r="145" spans="1:135" s="35" customFormat="1" ht="16.5">
      <c r="A145" s="35" t="str">
        <f t="shared" si="4"/>
        <v>SGKG_B              KS_CPM_A</v>
      </c>
      <c r="B145" s="331"/>
      <c r="C145" s="248">
        <v>29040</v>
      </c>
      <c r="D145" s="283" t="s">
        <v>606</v>
      </c>
      <c r="F145" s="35" t="s">
        <v>1086</v>
      </c>
      <c r="G145" s="39"/>
      <c r="O145" s="34" t="s">
        <v>1086</v>
      </c>
      <c r="P145" s="34" t="s">
        <v>1086</v>
      </c>
      <c r="Q145" s="58"/>
      <c r="R145" s="39"/>
      <c r="AH145" s="279"/>
      <c r="AJ145" s="279" t="s">
        <v>1117</v>
      </c>
      <c r="AK145" s="279"/>
      <c r="AL145" s="523">
        <v>3</v>
      </c>
      <c r="AM145" s="35">
        <v>29040</v>
      </c>
      <c r="AN145" s="35" t="s">
        <v>1886</v>
      </c>
      <c r="AO145" s="35" t="s">
        <v>1701</v>
      </c>
      <c r="AP145" s="35" t="s">
        <v>656</v>
      </c>
      <c r="AQ145" s="34" t="s">
        <v>2262</v>
      </c>
      <c r="AR145" s="35">
        <v>9</v>
      </c>
      <c r="AS145" s="35" t="s">
        <v>464</v>
      </c>
      <c r="AT145" s="35" t="s">
        <v>218</v>
      </c>
      <c r="AU145" s="35" t="s">
        <v>10</v>
      </c>
      <c r="AV145" s="35" t="s">
        <v>502</v>
      </c>
      <c r="AW145" s="35" t="s">
        <v>685</v>
      </c>
      <c r="AX145" s="34" t="s">
        <v>1870</v>
      </c>
      <c r="AY145" s="35">
        <v>6</v>
      </c>
      <c r="AZ145" s="35" t="s">
        <v>1392</v>
      </c>
      <c r="BA145" s="35" t="s">
        <v>255</v>
      </c>
      <c r="BB145" s="35" t="s">
        <v>10</v>
      </c>
      <c r="BC145" s="35" t="s">
        <v>698</v>
      </c>
      <c r="BD145" s="35" t="s">
        <v>1742</v>
      </c>
      <c r="BE145" s="35" t="s">
        <v>10</v>
      </c>
      <c r="BF145" s="35" t="s">
        <v>10</v>
      </c>
      <c r="BG145" s="35">
        <v>1224</v>
      </c>
      <c r="BH145" s="35" t="s">
        <v>123</v>
      </c>
      <c r="BI145" s="35">
        <v>0.13</v>
      </c>
      <c r="BJ145" s="35" t="s">
        <v>1463</v>
      </c>
      <c r="BK145" s="35" t="s">
        <v>10</v>
      </c>
      <c r="BL145" s="35" t="s">
        <v>680</v>
      </c>
      <c r="BM145" s="35" t="s">
        <v>10</v>
      </c>
      <c r="BN145" s="35" t="s">
        <v>682</v>
      </c>
      <c r="BO145" s="35" t="s">
        <v>10</v>
      </c>
      <c r="BP145" s="35" t="s">
        <v>2359</v>
      </c>
      <c r="BQ145" s="35">
        <v>29040</v>
      </c>
      <c r="BW145" s="248"/>
      <c r="BX145" s="248"/>
      <c r="BY145" s="248"/>
      <c r="BZ145" s="248"/>
      <c r="CA145" s="248"/>
      <c r="CB145" s="248"/>
      <c r="CC145" s="248"/>
      <c r="CD145" s="248"/>
      <c r="CE145" s="248"/>
      <c r="CF145" s="248"/>
      <c r="CG145" s="248"/>
      <c r="CH145" s="248"/>
      <c r="CI145" s="248"/>
      <c r="CJ145" s="248"/>
      <c r="CK145" s="248"/>
      <c r="CL145" s="248"/>
      <c r="CM145" s="248"/>
      <c r="CN145" s="248"/>
      <c r="CO145" s="248"/>
      <c r="CP145" s="248"/>
      <c r="CQ145" s="248"/>
      <c r="CR145" s="248"/>
      <c r="CS145" s="248"/>
      <c r="CT145" s="248"/>
      <c r="CU145" s="248"/>
      <c r="CV145" s="248"/>
      <c r="CW145" s="248"/>
      <c r="CX145" s="248"/>
      <c r="CY145" s="248"/>
      <c r="CZ145" s="248"/>
      <c r="DA145" s="248"/>
      <c r="DB145" s="248"/>
      <c r="DC145" s="248"/>
      <c r="DD145" s="248"/>
      <c r="DE145" s="248"/>
      <c r="DF145" s="248"/>
      <c r="DG145" s="248"/>
      <c r="DH145" s="248"/>
      <c r="DI145" s="248"/>
      <c r="DJ145" s="248"/>
      <c r="DK145" s="248"/>
      <c r="DL145" s="248"/>
      <c r="DM145" s="248"/>
      <c r="DN145" s="248"/>
      <c r="DO145" s="248"/>
      <c r="DP145" s="248"/>
      <c r="DQ145" s="248"/>
      <c r="DR145" s="248"/>
      <c r="DS145" s="248"/>
      <c r="DT145" s="248"/>
      <c r="DU145" s="248"/>
      <c r="DV145" s="248"/>
      <c r="DW145" s="248"/>
      <c r="DX145" s="248"/>
      <c r="DY145" s="248"/>
      <c r="DZ145" s="248"/>
      <c r="EA145" s="248"/>
      <c r="EB145" s="248"/>
      <c r="EC145" s="248"/>
      <c r="ED145" s="248"/>
      <c r="EE145" s="248"/>
    </row>
    <row r="146" spans="1:135" s="35" customFormat="1" ht="16.5">
      <c r="A146" s="35" t="str">
        <f t="shared" si="4"/>
        <v>SGKG_B              KS_CPM_A</v>
      </c>
      <c r="B146" s="331"/>
      <c r="C146" s="248">
        <v>29041</v>
      </c>
      <c r="D146" s="283" t="s">
        <v>606</v>
      </c>
      <c r="F146" s="35" t="s">
        <v>1086</v>
      </c>
      <c r="G146" s="39"/>
      <c r="O146" s="34" t="s">
        <v>1086</v>
      </c>
      <c r="P146" s="34" t="s">
        <v>1086</v>
      </c>
      <c r="Q146" s="58"/>
      <c r="R146" s="39"/>
      <c r="AH146" s="279"/>
      <c r="AJ146" s="279" t="s">
        <v>1117</v>
      </c>
      <c r="AK146" s="279"/>
      <c r="AL146" s="523">
        <v>3</v>
      </c>
      <c r="AM146" s="35">
        <v>29041</v>
      </c>
      <c r="AN146" s="35" t="s">
        <v>1887</v>
      </c>
      <c r="AO146" s="35" t="s">
        <v>1701</v>
      </c>
      <c r="AP146" s="35" t="s">
        <v>656</v>
      </c>
      <c r="AQ146" s="34" t="s">
        <v>2262</v>
      </c>
      <c r="AR146" s="35">
        <v>5</v>
      </c>
      <c r="AS146" s="35" t="s">
        <v>464</v>
      </c>
      <c r="AT146" s="35" t="s">
        <v>218</v>
      </c>
      <c r="AU146" s="35" t="s">
        <v>10</v>
      </c>
      <c r="AV146" s="35" t="s">
        <v>502</v>
      </c>
      <c r="AW146" s="35" t="s">
        <v>685</v>
      </c>
      <c r="AX146" s="34" t="s">
        <v>1870</v>
      </c>
      <c r="AY146" s="35">
        <v>7</v>
      </c>
      <c r="AZ146" s="35" t="s">
        <v>1392</v>
      </c>
      <c r="BA146" s="35" t="s">
        <v>255</v>
      </c>
      <c r="BB146" s="35" t="s">
        <v>10</v>
      </c>
      <c r="BC146" s="35" t="s">
        <v>699</v>
      </c>
      <c r="BD146" s="35" t="s">
        <v>1742</v>
      </c>
      <c r="BE146" s="35" t="s">
        <v>10</v>
      </c>
      <c r="BF146" s="35" t="s">
        <v>10</v>
      </c>
      <c r="BG146" s="35">
        <v>1224</v>
      </c>
      <c r="BH146" s="35" t="s">
        <v>185</v>
      </c>
      <c r="BI146" s="35">
        <v>0.13</v>
      </c>
      <c r="BJ146" s="35" t="s">
        <v>1464</v>
      </c>
      <c r="BK146" s="35" t="s">
        <v>10</v>
      </c>
      <c r="BL146" s="35" t="s">
        <v>680</v>
      </c>
      <c r="BM146" s="35" t="s">
        <v>10</v>
      </c>
      <c r="BN146" s="35" t="s">
        <v>682</v>
      </c>
      <c r="BO146" s="35" t="s">
        <v>10</v>
      </c>
      <c r="BP146" s="35" t="s">
        <v>2359</v>
      </c>
      <c r="BQ146" s="35">
        <v>29041</v>
      </c>
      <c r="BW146" s="248"/>
      <c r="BX146" s="248"/>
      <c r="BY146" s="248"/>
      <c r="BZ146" s="248"/>
      <c r="CA146" s="248"/>
      <c r="CB146" s="248"/>
      <c r="CC146" s="248"/>
      <c r="CD146" s="248"/>
      <c r="CE146" s="248"/>
      <c r="CF146" s="248"/>
      <c r="CG146" s="248"/>
      <c r="CH146" s="248"/>
      <c r="CI146" s="248"/>
      <c r="CJ146" s="248"/>
      <c r="CK146" s="248"/>
      <c r="CL146" s="248"/>
      <c r="CM146" s="248"/>
      <c r="CN146" s="248"/>
      <c r="CO146" s="248"/>
      <c r="CP146" s="248"/>
      <c r="CQ146" s="248"/>
      <c r="CR146" s="248"/>
      <c r="CS146" s="248"/>
      <c r="CT146" s="248"/>
      <c r="CU146" s="248"/>
      <c r="CV146" s="248"/>
      <c r="CW146" s="248"/>
      <c r="CX146" s="248"/>
      <c r="CY146" s="248"/>
      <c r="CZ146" s="248"/>
      <c r="DA146" s="248"/>
      <c r="DB146" s="248"/>
      <c r="DC146" s="248"/>
      <c r="DD146" s="248"/>
      <c r="DE146" s="248"/>
      <c r="DF146" s="248"/>
      <c r="DG146" s="248"/>
      <c r="DH146" s="248"/>
      <c r="DI146" s="248"/>
      <c r="DJ146" s="248"/>
      <c r="DK146" s="248"/>
      <c r="DL146" s="248"/>
      <c r="DM146" s="248"/>
      <c r="DN146" s="248"/>
      <c r="DO146" s="248"/>
      <c r="DP146" s="248"/>
      <c r="DQ146" s="248"/>
      <c r="DR146" s="248"/>
      <c r="DS146" s="248"/>
      <c r="DT146" s="248"/>
      <c r="DU146" s="248"/>
      <c r="DV146" s="248"/>
      <c r="DW146" s="248"/>
      <c r="DX146" s="248"/>
      <c r="DY146" s="248"/>
      <c r="DZ146" s="248"/>
      <c r="EA146" s="248"/>
      <c r="EB146" s="248"/>
      <c r="EC146" s="248"/>
      <c r="ED146" s="248"/>
      <c r="EE146" s="248"/>
    </row>
    <row r="147" spans="1:135" s="35" customFormat="1" ht="16.5">
      <c r="A147" s="35" t="str">
        <f t="shared" si="4"/>
        <v>SIDO_P              GBR</v>
      </c>
      <c r="B147" s="331"/>
      <c r="C147" s="248">
        <v>29042</v>
      </c>
      <c r="D147" s="283" t="s">
        <v>606</v>
      </c>
      <c r="F147" s="35" t="s">
        <v>1086</v>
      </c>
      <c r="G147" s="39"/>
      <c r="O147" s="34" t="s">
        <v>1086</v>
      </c>
      <c r="P147" s="34" t="s">
        <v>1086</v>
      </c>
      <c r="Q147" s="58"/>
      <c r="R147" s="39"/>
      <c r="AH147" s="279"/>
      <c r="AJ147" s="279" t="s">
        <v>1117</v>
      </c>
      <c r="AK147" s="279"/>
      <c r="AL147" s="523">
        <v>3</v>
      </c>
      <c r="AM147" s="35">
        <v>29042</v>
      </c>
      <c r="AN147" s="35" t="s">
        <v>1888</v>
      </c>
      <c r="AO147" s="35" t="s">
        <v>901</v>
      </c>
      <c r="AP147" s="35" t="s">
        <v>633</v>
      </c>
      <c r="AQ147" s="34" t="s">
        <v>2257</v>
      </c>
      <c r="AR147" s="35" t="s">
        <v>258</v>
      </c>
      <c r="AS147" s="35" t="s">
        <v>1414</v>
      </c>
      <c r="AT147" s="35" t="s">
        <v>98</v>
      </c>
      <c r="AU147" s="35" t="s">
        <v>10</v>
      </c>
      <c r="AV147" s="35" t="s">
        <v>1702</v>
      </c>
      <c r="AW147" s="35" t="s">
        <v>696</v>
      </c>
      <c r="AX147" s="34" t="s">
        <v>2269</v>
      </c>
      <c r="AY147" s="35">
        <v>3</v>
      </c>
      <c r="AZ147" s="35" t="s">
        <v>345</v>
      </c>
      <c r="BA147" s="35" t="s">
        <v>247</v>
      </c>
      <c r="BB147" s="35" t="s">
        <v>10</v>
      </c>
      <c r="BC147" s="35" t="s">
        <v>2365</v>
      </c>
      <c r="BD147" s="35" t="s">
        <v>1742</v>
      </c>
      <c r="BE147" s="35" t="s">
        <v>10</v>
      </c>
      <c r="BF147" s="35" t="s">
        <v>10</v>
      </c>
      <c r="BG147" s="35">
        <v>935</v>
      </c>
      <c r="BH147" s="35" t="s">
        <v>93</v>
      </c>
      <c r="BI147" s="35">
        <v>2.5</v>
      </c>
      <c r="BJ147" s="35" t="s">
        <v>1465</v>
      </c>
      <c r="BK147" s="35" t="s">
        <v>678</v>
      </c>
      <c r="BL147" s="35" t="s">
        <v>680</v>
      </c>
      <c r="BM147" s="35" t="s">
        <v>681</v>
      </c>
      <c r="BN147" s="35" t="s">
        <v>682</v>
      </c>
      <c r="BO147" s="35" t="s">
        <v>2358</v>
      </c>
      <c r="BP147" s="35" t="s">
        <v>2359</v>
      </c>
      <c r="BQ147" s="35">
        <v>29042</v>
      </c>
      <c r="BW147" s="248"/>
      <c r="BX147" s="248"/>
      <c r="BY147" s="248"/>
      <c r="BZ147" s="248"/>
      <c r="CA147" s="248"/>
      <c r="CB147" s="248"/>
      <c r="CC147" s="248"/>
      <c r="CD147" s="248"/>
      <c r="CE147" s="248"/>
      <c r="CF147" s="248"/>
      <c r="CG147" s="248"/>
      <c r="CH147" s="248"/>
      <c r="CI147" s="248"/>
      <c r="CJ147" s="248"/>
      <c r="CK147" s="248"/>
      <c r="CL147" s="248"/>
      <c r="CM147" s="248"/>
      <c r="CN147" s="248"/>
      <c r="CO147" s="248"/>
      <c r="CP147" s="248"/>
      <c r="CQ147" s="248"/>
      <c r="CR147" s="248"/>
      <c r="CS147" s="248"/>
      <c r="CT147" s="248"/>
      <c r="CU147" s="248"/>
      <c r="CV147" s="248"/>
      <c r="CW147" s="248"/>
      <c r="CX147" s="248"/>
      <c r="CY147" s="248"/>
      <c r="CZ147" s="248"/>
      <c r="DA147" s="248"/>
      <c r="DB147" s="248"/>
      <c r="DC147" s="248"/>
      <c r="DD147" s="248"/>
      <c r="DE147" s="248"/>
      <c r="DF147" s="248"/>
      <c r="DG147" s="248"/>
      <c r="DH147" s="248"/>
      <c r="DI147" s="248"/>
      <c r="DJ147" s="248"/>
      <c r="DK147" s="248"/>
      <c r="DL147" s="248"/>
      <c r="DM147" s="248"/>
      <c r="DN147" s="248"/>
      <c r="DO147" s="248"/>
      <c r="DP147" s="248"/>
      <c r="DQ147" s="248"/>
      <c r="DR147" s="248"/>
      <c r="DS147" s="248"/>
      <c r="DT147" s="248"/>
      <c r="DU147" s="248"/>
      <c r="DV147" s="248"/>
      <c r="DW147" s="248"/>
      <c r="DX147" s="248"/>
      <c r="DY147" s="248"/>
      <c r="DZ147" s="248"/>
      <c r="EA147" s="248"/>
      <c r="EB147" s="248"/>
      <c r="EC147" s="248"/>
      <c r="ED147" s="248"/>
      <c r="EE147" s="248"/>
    </row>
    <row r="148" spans="1:135" s="35" customFormat="1" ht="16.5">
      <c r="A148" s="35" t="str">
        <f t="shared" si="4"/>
        <v>SIDO_O              KS_CPM_A</v>
      </c>
      <c r="B148" s="331"/>
      <c r="C148" s="248">
        <v>29043</v>
      </c>
      <c r="D148" s="283" t="s">
        <v>606</v>
      </c>
      <c r="F148" s="35" t="s">
        <v>1086</v>
      </c>
      <c r="G148" s="39"/>
      <c r="O148" s="34" t="s">
        <v>1086</v>
      </c>
      <c r="P148" s="34" t="s">
        <v>1086</v>
      </c>
      <c r="Q148" s="58"/>
      <c r="R148" s="39"/>
      <c r="AH148" s="279"/>
      <c r="AJ148" s="279" t="s">
        <v>1117</v>
      </c>
      <c r="AK148" s="279"/>
      <c r="AL148" s="523">
        <v>3</v>
      </c>
      <c r="AM148" s="35">
        <v>29043</v>
      </c>
      <c r="AN148" s="35" t="s">
        <v>1889</v>
      </c>
      <c r="AO148" s="35" t="s">
        <v>897</v>
      </c>
      <c r="AP148" s="35" t="s">
        <v>626</v>
      </c>
      <c r="AQ148" s="34" t="s">
        <v>2255</v>
      </c>
      <c r="AR148" s="35" t="s">
        <v>253</v>
      </c>
      <c r="AS148" s="35" t="s">
        <v>1158</v>
      </c>
      <c r="AT148" s="35" t="s">
        <v>244</v>
      </c>
      <c r="AU148" s="35" t="s">
        <v>10</v>
      </c>
      <c r="AV148" s="35" t="s">
        <v>502</v>
      </c>
      <c r="AW148" s="35" t="s">
        <v>685</v>
      </c>
      <c r="AX148" s="34" t="s">
        <v>1870</v>
      </c>
      <c r="AY148" s="35">
        <v>1</v>
      </c>
      <c r="AZ148" s="35" t="s">
        <v>1392</v>
      </c>
      <c r="BA148" s="35" t="s">
        <v>245</v>
      </c>
      <c r="BB148" s="35" t="s">
        <v>10</v>
      </c>
      <c r="BC148" s="35" t="s">
        <v>73</v>
      </c>
      <c r="BD148" s="35" t="s">
        <v>1742</v>
      </c>
      <c r="BE148" s="35" t="s">
        <v>10</v>
      </c>
      <c r="BF148" s="35" t="s">
        <v>10</v>
      </c>
      <c r="BG148" s="35">
        <v>1261</v>
      </c>
      <c r="BH148" s="35" t="s">
        <v>74</v>
      </c>
      <c r="BI148" s="35">
        <v>0.35</v>
      </c>
      <c r="BJ148" s="35" t="s">
        <v>1890</v>
      </c>
      <c r="BK148" s="35" t="s">
        <v>10</v>
      </c>
      <c r="BL148" s="35" t="s">
        <v>680</v>
      </c>
      <c r="BM148" s="35" t="s">
        <v>10</v>
      </c>
      <c r="BN148" s="35" t="s">
        <v>682</v>
      </c>
      <c r="BO148" s="35" t="s">
        <v>10</v>
      </c>
      <c r="BP148" s="35" t="s">
        <v>2359</v>
      </c>
      <c r="BQ148" s="35">
        <v>29043</v>
      </c>
      <c r="BW148" s="248"/>
      <c r="BX148" s="248"/>
      <c r="BY148" s="248"/>
      <c r="BZ148" s="248"/>
      <c r="CA148" s="248"/>
      <c r="CB148" s="248"/>
      <c r="CC148" s="248"/>
      <c r="CD148" s="248"/>
      <c r="CE148" s="248"/>
      <c r="CF148" s="248"/>
      <c r="CG148" s="248"/>
      <c r="CH148" s="248"/>
      <c r="CI148" s="248"/>
      <c r="CJ148" s="248"/>
      <c r="CK148" s="248"/>
      <c r="CL148" s="248"/>
      <c r="CM148" s="248"/>
      <c r="CN148" s="248"/>
      <c r="CO148" s="248"/>
      <c r="CP148" s="248"/>
      <c r="CQ148" s="248"/>
      <c r="CR148" s="248"/>
      <c r="CS148" s="248"/>
      <c r="CT148" s="248"/>
      <c r="CU148" s="248"/>
      <c r="CV148" s="248"/>
      <c r="CW148" s="248"/>
      <c r="CX148" s="248"/>
      <c r="CY148" s="248"/>
      <c r="CZ148" s="248"/>
      <c r="DA148" s="248"/>
      <c r="DB148" s="248"/>
      <c r="DC148" s="248"/>
      <c r="DD148" s="248"/>
      <c r="DE148" s="248"/>
      <c r="DF148" s="248"/>
      <c r="DG148" s="248"/>
      <c r="DH148" s="248"/>
      <c r="DI148" s="248"/>
      <c r="DJ148" s="248"/>
      <c r="DK148" s="248"/>
      <c r="DL148" s="248"/>
      <c r="DM148" s="248"/>
      <c r="DN148" s="248"/>
      <c r="DO148" s="248"/>
      <c r="DP148" s="248"/>
      <c r="DQ148" s="248"/>
      <c r="DR148" s="248"/>
      <c r="DS148" s="248"/>
      <c r="DT148" s="248"/>
      <c r="DU148" s="248"/>
      <c r="DV148" s="248"/>
      <c r="DW148" s="248"/>
      <c r="DX148" s="248"/>
      <c r="DY148" s="248"/>
      <c r="DZ148" s="248"/>
      <c r="EA148" s="248"/>
      <c r="EB148" s="248"/>
      <c r="EC148" s="248"/>
      <c r="ED148" s="248"/>
      <c r="EE148" s="248"/>
    </row>
    <row r="149" spans="1:135" s="35" customFormat="1" ht="16.5">
      <c r="A149" s="35" t="str">
        <f t="shared" si="4"/>
        <v>SIDO_O              SGKG_C</v>
      </c>
      <c r="B149" s="331"/>
      <c r="C149" s="248">
        <v>29044</v>
      </c>
      <c r="D149" s="283" t="s">
        <v>606</v>
      </c>
      <c r="F149" s="35" t="s">
        <v>1086</v>
      </c>
      <c r="G149" s="39"/>
      <c r="O149" s="34" t="s">
        <v>1086</v>
      </c>
      <c r="P149" s="34" t="s">
        <v>1086</v>
      </c>
      <c r="Q149" s="58"/>
      <c r="R149" s="39"/>
      <c r="AH149" s="279"/>
      <c r="AJ149" s="279" t="s">
        <v>1117</v>
      </c>
      <c r="AK149" s="279"/>
      <c r="AL149" s="523">
        <v>3</v>
      </c>
      <c r="AM149" s="35">
        <v>29044</v>
      </c>
      <c r="AN149" s="35" t="s">
        <v>1891</v>
      </c>
      <c r="AO149" s="35" t="s">
        <v>897</v>
      </c>
      <c r="AP149" s="35" t="s">
        <v>626</v>
      </c>
      <c r="AQ149" s="34" t="s">
        <v>2255</v>
      </c>
      <c r="AR149" s="35" t="s">
        <v>260</v>
      </c>
      <c r="AS149" s="35" t="s">
        <v>1158</v>
      </c>
      <c r="AT149" s="35" t="s">
        <v>98</v>
      </c>
      <c r="AU149" s="35" t="s">
        <v>10</v>
      </c>
      <c r="AV149" s="35" t="s">
        <v>1701</v>
      </c>
      <c r="AW149" s="35" t="s">
        <v>700</v>
      </c>
      <c r="AX149" s="34" t="s">
        <v>2309</v>
      </c>
      <c r="AY149" s="35">
        <v>3</v>
      </c>
      <c r="AZ149" s="35" t="s">
        <v>516</v>
      </c>
      <c r="BA149" s="35" t="s">
        <v>75</v>
      </c>
      <c r="BB149" s="35" t="s">
        <v>10</v>
      </c>
      <c r="BC149" s="35" t="s">
        <v>273</v>
      </c>
      <c r="BD149" s="35" t="s">
        <v>1742</v>
      </c>
      <c r="BE149" s="35" t="s">
        <v>10</v>
      </c>
      <c r="BF149" s="35" t="s">
        <v>10</v>
      </c>
      <c r="BG149" s="35">
        <v>1015</v>
      </c>
      <c r="BH149" s="35" t="s">
        <v>166</v>
      </c>
      <c r="BI149" s="35">
        <v>2.5</v>
      </c>
      <c r="BJ149" s="35" t="s">
        <v>1466</v>
      </c>
      <c r="BK149" s="35" t="s">
        <v>678</v>
      </c>
      <c r="BL149" s="35" t="s">
        <v>680</v>
      </c>
      <c r="BM149" s="35" t="s">
        <v>681</v>
      </c>
      <c r="BN149" s="35" t="s">
        <v>682</v>
      </c>
      <c r="BO149" s="35" t="s">
        <v>2358</v>
      </c>
      <c r="BP149" s="35" t="s">
        <v>2359</v>
      </c>
      <c r="BQ149" s="35">
        <v>29044</v>
      </c>
      <c r="BW149" s="248"/>
      <c r="BX149" s="248"/>
      <c r="BY149" s="248"/>
      <c r="BZ149" s="248"/>
      <c r="CA149" s="248"/>
      <c r="CB149" s="248"/>
      <c r="CC149" s="248"/>
      <c r="CD149" s="248"/>
      <c r="CE149" s="248"/>
      <c r="CF149" s="248"/>
      <c r="CG149" s="248"/>
      <c r="CH149" s="248"/>
      <c r="CI149" s="248"/>
      <c r="CJ149" s="248"/>
      <c r="CK149" s="248"/>
      <c r="CL149" s="248"/>
      <c r="CM149" s="248"/>
      <c r="CN149" s="248"/>
      <c r="CO149" s="248"/>
      <c r="CP149" s="248"/>
      <c r="CQ149" s="248"/>
      <c r="CR149" s="248"/>
      <c r="CS149" s="248"/>
      <c r="CT149" s="248"/>
      <c r="CU149" s="248"/>
      <c r="CV149" s="248"/>
      <c r="CW149" s="248"/>
      <c r="CX149" s="248"/>
      <c r="CY149" s="248"/>
      <c r="CZ149" s="248"/>
      <c r="DA149" s="248"/>
      <c r="DB149" s="248"/>
      <c r="DC149" s="248"/>
      <c r="DD149" s="248"/>
      <c r="DE149" s="248"/>
      <c r="DF149" s="248"/>
      <c r="DG149" s="248"/>
      <c r="DH149" s="248"/>
      <c r="DI149" s="248"/>
      <c r="DJ149" s="248"/>
      <c r="DK149" s="248"/>
      <c r="DL149" s="248"/>
      <c r="DM149" s="248"/>
      <c r="DN149" s="248"/>
      <c r="DO149" s="248"/>
      <c r="DP149" s="248"/>
      <c r="DQ149" s="248"/>
      <c r="DR149" s="248"/>
      <c r="DS149" s="248"/>
      <c r="DT149" s="248"/>
      <c r="DU149" s="248"/>
      <c r="DV149" s="248"/>
      <c r="DW149" s="248"/>
      <c r="DX149" s="248"/>
      <c r="DY149" s="248"/>
      <c r="DZ149" s="248"/>
      <c r="EA149" s="248"/>
      <c r="EB149" s="248"/>
      <c r="EC149" s="248"/>
      <c r="ED149" s="248"/>
      <c r="EE149" s="248"/>
    </row>
    <row r="150" spans="1:135" s="35" customFormat="1" ht="16.5">
      <c r="A150" s="35" t="str">
        <f t="shared" ref="A150:A181" si="5" xml:space="preserve"> AQ150 &amp; REPT(" ",20-LEN(AQ150)) &amp; AX150</f>
        <v>SGION_A             SP_15AS</v>
      </c>
      <c r="B150" s="331"/>
      <c r="C150" s="248">
        <v>29047</v>
      </c>
      <c r="D150" s="283" t="s">
        <v>606</v>
      </c>
      <c r="F150" s="35" t="s">
        <v>1086</v>
      </c>
      <c r="G150" s="35" t="s">
        <v>2242</v>
      </c>
      <c r="H150" s="35" t="s">
        <v>610</v>
      </c>
      <c r="N150" s="35" t="s">
        <v>537</v>
      </c>
      <c r="O150" s="34" t="s">
        <v>1086</v>
      </c>
      <c r="P150" s="34" t="s">
        <v>1097</v>
      </c>
      <c r="Q150" s="58"/>
      <c r="R150" s="39"/>
      <c r="Z150" s="35" t="s">
        <v>2645</v>
      </c>
      <c r="AH150" s="279"/>
      <c r="AJ150" s="279" t="s">
        <v>1117</v>
      </c>
      <c r="AK150" s="279"/>
      <c r="AL150" s="523">
        <v>3</v>
      </c>
      <c r="AM150" s="35">
        <v>29047</v>
      </c>
      <c r="AN150" s="35" t="s">
        <v>1892</v>
      </c>
      <c r="AO150" s="35" t="s">
        <v>961</v>
      </c>
      <c r="AP150" s="35" t="s">
        <v>693</v>
      </c>
      <c r="AQ150" s="34" t="s">
        <v>2268</v>
      </c>
      <c r="AR150" s="35">
        <v>1</v>
      </c>
      <c r="AS150" s="35" t="s">
        <v>410</v>
      </c>
      <c r="AT150" s="35" t="s">
        <v>524</v>
      </c>
      <c r="AU150" s="35" t="s">
        <v>10</v>
      </c>
      <c r="AV150" s="35" t="s">
        <v>1731</v>
      </c>
      <c r="AW150" s="35" t="s">
        <v>701</v>
      </c>
      <c r="AX150" s="34" t="s">
        <v>2242</v>
      </c>
      <c r="AY150" s="35">
        <v>1</v>
      </c>
      <c r="AZ150" s="35" t="s">
        <v>408</v>
      </c>
      <c r="BA150" s="35" t="s">
        <v>10</v>
      </c>
      <c r="BB150" s="35" t="s">
        <v>10</v>
      </c>
      <c r="BC150" s="35" t="s">
        <v>2533</v>
      </c>
      <c r="BD150" s="35" t="s">
        <v>1742</v>
      </c>
      <c r="BE150" s="35" t="s">
        <v>10</v>
      </c>
      <c r="BF150" s="35" t="s">
        <v>10</v>
      </c>
      <c r="BG150" s="35">
        <v>728</v>
      </c>
      <c r="BH150" s="35" t="s">
        <v>129</v>
      </c>
      <c r="BI150" s="35">
        <v>0.35</v>
      </c>
      <c r="BJ150" s="35" t="s">
        <v>1894</v>
      </c>
      <c r="BK150" s="35" t="s">
        <v>10</v>
      </c>
      <c r="BL150" s="35" t="s">
        <v>10</v>
      </c>
      <c r="BM150" s="35" t="s">
        <v>681</v>
      </c>
      <c r="BN150" s="35" t="s">
        <v>682</v>
      </c>
      <c r="BO150" s="35" t="s">
        <v>2358</v>
      </c>
      <c r="BP150" s="35" t="s">
        <v>2359</v>
      </c>
      <c r="BQ150" s="35">
        <v>29047</v>
      </c>
      <c r="BW150" s="248"/>
      <c r="BX150" s="248"/>
      <c r="BY150" s="248"/>
      <c r="BZ150" s="248"/>
      <c r="CA150" s="248"/>
      <c r="CB150" s="248"/>
      <c r="CC150" s="248"/>
      <c r="CD150" s="248"/>
      <c r="CE150" s="248"/>
      <c r="CF150" s="248"/>
      <c r="CG150" s="248"/>
      <c r="CH150" s="248"/>
      <c r="CI150" s="248"/>
      <c r="CJ150" s="248"/>
      <c r="CK150" s="248"/>
      <c r="CL150" s="248"/>
      <c r="CM150" s="248"/>
      <c r="CN150" s="248"/>
      <c r="CO150" s="248"/>
      <c r="CP150" s="248"/>
      <c r="CQ150" s="248"/>
      <c r="CR150" s="248"/>
      <c r="CS150" s="248"/>
      <c r="CT150" s="248"/>
      <c r="CU150" s="248"/>
      <c r="CV150" s="248"/>
      <c r="CW150" s="248"/>
      <c r="CX150" s="248"/>
      <c r="CY150" s="248"/>
      <c r="CZ150" s="248"/>
      <c r="DA150" s="248"/>
      <c r="DB150" s="248"/>
      <c r="DC150" s="248"/>
      <c r="DD150" s="248"/>
      <c r="DE150" s="248"/>
      <c r="DF150" s="248"/>
      <c r="DG150" s="248"/>
      <c r="DH150" s="248"/>
      <c r="DI150" s="248"/>
      <c r="DJ150" s="248"/>
      <c r="DK150" s="248"/>
      <c r="DL150" s="248"/>
      <c r="DM150" s="248"/>
      <c r="DN150" s="248"/>
      <c r="DO150" s="248"/>
      <c r="DP150" s="248"/>
      <c r="DQ150" s="248"/>
      <c r="DR150" s="248"/>
      <c r="DS150" s="248"/>
      <c r="DT150" s="248"/>
      <c r="DU150" s="248"/>
      <c r="DV150" s="248"/>
      <c r="DW150" s="248"/>
      <c r="DX150" s="248"/>
      <c r="DY150" s="248"/>
      <c r="DZ150" s="248"/>
      <c r="EA150" s="248"/>
      <c r="EB150" s="248"/>
      <c r="EC150" s="248"/>
      <c r="ED150" s="248"/>
      <c r="EE150" s="248"/>
    </row>
    <row r="151" spans="1:135" s="35" customFormat="1" ht="16.5">
      <c r="A151" s="35" t="str">
        <f t="shared" si="5"/>
        <v>SP_MB32_B1          SGKG_C</v>
      </c>
      <c r="B151" s="331"/>
      <c r="C151" s="248">
        <v>29048</v>
      </c>
      <c r="D151" s="283" t="s">
        <v>606</v>
      </c>
      <c r="F151" s="35" t="s">
        <v>1086</v>
      </c>
      <c r="G151" s="35" t="s">
        <v>2235</v>
      </c>
      <c r="H151" s="35" t="s">
        <v>610</v>
      </c>
      <c r="N151" s="35" t="s">
        <v>537</v>
      </c>
      <c r="O151" s="34" t="s">
        <v>1097</v>
      </c>
      <c r="P151" s="34" t="s">
        <v>1086</v>
      </c>
      <c r="Q151" s="58"/>
      <c r="R151" s="39"/>
      <c r="AH151" s="279"/>
      <c r="AJ151" s="279" t="s">
        <v>1117</v>
      </c>
      <c r="AK151" s="279"/>
      <c r="AL151" s="523">
        <v>3</v>
      </c>
      <c r="AM151" s="35">
        <v>29048</v>
      </c>
      <c r="AN151" s="35" t="s">
        <v>1467</v>
      </c>
      <c r="AO151" s="35" t="s">
        <v>2149</v>
      </c>
      <c r="AP151" s="35" t="s">
        <v>252</v>
      </c>
      <c r="AQ151" s="34" t="s">
        <v>2235</v>
      </c>
      <c r="AR151" s="35">
        <v>1</v>
      </c>
      <c r="AS151" s="35" t="s">
        <v>1311</v>
      </c>
      <c r="AT151" s="35" t="s">
        <v>10</v>
      </c>
      <c r="AU151" s="35" t="s">
        <v>10</v>
      </c>
      <c r="AV151" s="35" t="s">
        <v>1701</v>
      </c>
      <c r="AW151" s="35" t="s">
        <v>700</v>
      </c>
      <c r="AX151" s="34" t="s">
        <v>2309</v>
      </c>
      <c r="AY151" s="35">
        <v>6</v>
      </c>
      <c r="AZ151" s="35" t="s">
        <v>516</v>
      </c>
      <c r="BA151" s="35" t="s">
        <v>75</v>
      </c>
      <c r="BB151" s="35" t="s">
        <v>10</v>
      </c>
      <c r="BC151" s="35" t="s">
        <v>92</v>
      </c>
      <c r="BD151" s="35" t="s">
        <v>1742</v>
      </c>
      <c r="BE151" s="35" t="s">
        <v>10</v>
      </c>
      <c r="BF151" s="35" t="s">
        <v>10</v>
      </c>
      <c r="BG151" s="35">
        <v>1341</v>
      </c>
      <c r="BH151" s="35" t="s">
        <v>25</v>
      </c>
      <c r="BI151" s="35">
        <v>2.5</v>
      </c>
      <c r="BJ151" s="35" t="s">
        <v>1296</v>
      </c>
      <c r="BK151" s="35" t="s">
        <v>678</v>
      </c>
      <c r="BL151" s="35" t="s">
        <v>680</v>
      </c>
      <c r="BM151" s="35" t="s">
        <v>681</v>
      </c>
      <c r="BN151" s="35" t="s">
        <v>682</v>
      </c>
      <c r="BO151" s="35" t="s">
        <v>2358</v>
      </c>
      <c r="BP151" s="35" t="s">
        <v>2359</v>
      </c>
      <c r="BQ151" s="35">
        <v>29048</v>
      </c>
      <c r="BW151" s="248"/>
      <c r="BX151" s="248"/>
      <c r="BY151" s="248"/>
      <c r="BZ151" s="248"/>
      <c r="CA151" s="248"/>
      <c r="CB151" s="248"/>
      <c r="CC151" s="248"/>
      <c r="CD151" s="248"/>
      <c r="CE151" s="248"/>
      <c r="CF151" s="248"/>
      <c r="CG151" s="248"/>
      <c r="CH151" s="248"/>
      <c r="CI151" s="248"/>
      <c r="CJ151" s="248"/>
      <c r="CK151" s="248"/>
      <c r="CL151" s="248"/>
      <c r="CM151" s="248"/>
      <c r="CN151" s="248"/>
      <c r="CO151" s="248"/>
      <c r="CP151" s="248"/>
      <c r="CQ151" s="248"/>
      <c r="CR151" s="248"/>
      <c r="CS151" s="248"/>
      <c r="CT151" s="248"/>
      <c r="CU151" s="248"/>
      <c r="CV151" s="248"/>
      <c r="CW151" s="248"/>
      <c r="CX151" s="248"/>
      <c r="CY151" s="248"/>
      <c r="CZ151" s="248"/>
      <c r="DA151" s="248"/>
      <c r="DB151" s="248"/>
      <c r="DC151" s="248"/>
      <c r="DD151" s="248"/>
      <c r="DE151" s="248"/>
      <c r="DF151" s="248"/>
      <c r="DG151" s="248"/>
      <c r="DH151" s="248"/>
      <c r="DI151" s="248"/>
      <c r="DJ151" s="248"/>
      <c r="DK151" s="248"/>
      <c r="DL151" s="248"/>
      <c r="DM151" s="248"/>
      <c r="DN151" s="248"/>
      <c r="DO151" s="248"/>
      <c r="DP151" s="248"/>
      <c r="DQ151" s="248"/>
      <c r="DR151" s="248"/>
      <c r="DS151" s="248"/>
      <c r="DT151" s="248"/>
      <c r="DU151" s="248"/>
      <c r="DV151" s="248"/>
      <c r="DW151" s="248"/>
      <c r="DX151" s="248"/>
      <c r="DY151" s="248"/>
      <c r="DZ151" s="248"/>
      <c r="EA151" s="248"/>
      <c r="EB151" s="248"/>
      <c r="EC151" s="248"/>
      <c r="ED151" s="248"/>
      <c r="EE151" s="248"/>
    </row>
    <row r="152" spans="1:135" s="35" customFormat="1" ht="16.5">
      <c r="A152" s="35" t="str">
        <f t="shared" si="5"/>
        <v>KS_CPL_B            KS_CPM_A</v>
      </c>
      <c r="B152" s="331"/>
      <c r="C152" s="248">
        <v>29049</v>
      </c>
      <c r="D152" s="283" t="s">
        <v>606</v>
      </c>
      <c r="F152" s="35" t="s">
        <v>1086</v>
      </c>
      <c r="G152" s="39"/>
      <c r="O152" s="34" t="s">
        <v>1086</v>
      </c>
      <c r="P152" s="34" t="s">
        <v>1086</v>
      </c>
      <c r="Q152" s="58"/>
      <c r="R152" s="39"/>
      <c r="AH152" s="279"/>
      <c r="AJ152" s="279" t="s">
        <v>1117</v>
      </c>
      <c r="AK152" s="279"/>
      <c r="AL152" s="523">
        <v>3</v>
      </c>
      <c r="AM152" s="35">
        <v>29049</v>
      </c>
      <c r="AN152" s="35" t="s">
        <v>1895</v>
      </c>
      <c r="AO152" s="35" t="s">
        <v>416</v>
      </c>
      <c r="AP152" s="35" t="s">
        <v>623</v>
      </c>
      <c r="AQ152" s="34" t="s">
        <v>1741</v>
      </c>
      <c r="AR152" s="35">
        <v>9</v>
      </c>
      <c r="AS152" s="35" t="s">
        <v>1398</v>
      </c>
      <c r="AT152" s="35" t="s">
        <v>72</v>
      </c>
      <c r="AU152" s="35" t="s">
        <v>10</v>
      </c>
      <c r="AV152" s="35" t="s">
        <v>502</v>
      </c>
      <c r="AW152" s="35" t="s">
        <v>685</v>
      </c>
      <c r="AX152" s="34" t="s">
        <v>1870</v>
      </c>
      <c r="AY152" s="35">
        <v>14</v>
      </c>
      <c r="AZ152" s="35" t="s">
        <v>1392</v>
      </c>
      <c r="BA152" s="35" t="s">
        <v>245</v>
      </c>
      <c r="BB152" s="35" t="s">
        <v>10</v>
      </c>
      <c r="BC152" s="35" t="s">
        <v>71</v>
      </c>
      <c r="BD152" s="35" t="s">
        <v>1742</v>
      </c>
      <c r="BE152" s="35" t="s">
        <v>10</v>
      </c>
      <c r="BF152" s="35" t="s">
        <v>10</v>
      </c>
      <c r="BG152" s="35">
        <v>1539</v>
      </c>
      <c r="BH152" s="35" t="s">
        <v>25</v>
      </c>
      <c r="BI152" s="35">
        <v>0.35</v>
      </c>
      <c r="BJ152" s="35" t="s">
        <v>1896</v>
      </c>
      <c r="BK152" s="35" t="s">
        <v>678</v>
      </c>
      <c r="BL152" s="35" t="s">
        <v>680</v>
      </c>
      <c r="BM152" s="35" t="s">
        <v>681</v>
      </c>
      <c r="BN152" s="35" t="s">
        <v>682</v>
      </c>
      <c r="BO152" s="35" t="s">
        <v>2358</v>
      </c>
      <c r="BP152" s="35" t="s">
        <v>2359</v>
      </c>
      <c r="BQ152" s="35">
        <v>29049</v>
      </c>
      <c r="BW152" s="248"/>
      <c r="BX152" s="248"/>
      <c r="BY152" s="248"/>
      <c r="BZ152" s="248"/>
      <c r="CA152" s="248"/>
      <c r="CB152" s="248"/>
      <c r="CC152" s="248"/>
      <c r="CD152" s="248"/>
      <c r="CE152" s="248"/>
      <c r="CF152" s="248"/>
      <c r="CG152" s="248"/>
      <c r="CH152" s="248"/>
      <c r="CI152" s="248"/>
      <c r="CJ152" s="248"/>
      <c r="CK152" s="248"/>
      <c r="CL152" s="248"/>
      <c r="CM152" s="248"/>
      <c r="CN152" s="248"/>
      <c r="CO152" s="248"/>
      <c r="CP152" s="248"/>
      <c r="CQ152" s="248"/>
      <c r="CR152" s="248"/>
      <c r="CS152" s="248"/>
      <c r="CT152" s="248"/>
      <c r="CU152" s="248"/>
      <c r="CV152" s="248"/>
      <c r="CW152" s="248"/>
      <c r="CX152" s="248"/>
      <c r="CY152" s="248"/>
      <c r="CZ152" s="248"/>
      <c r="DA152" s="248"/>
      <c r="DB152" s="248"/>
      <c r="DC152" s="248"/>
      <c r="DD152" s="248"/>
      <c r="DE152" s="248"/>
      <c r="DF152" s="248"/>
      <c r="DG152" s="248"/>
      <c r="DH152" s="248"/>
      <c r="DI152" s="248"/>
      <c r="DJ152" s="248"/>
      <c r="DK152" s="248"/>
      <c r="DL152" s="248"/>
      <c r="DM152" s="248"/>
      <c r="DN152" s="248"/>
      <c r="DO152" s="248"/>
      <c r="DP152" s="248"/>
      <c r="DQ152" s="248"/>
      <c r="DR152" s="248"/>
      <c r="DS152" s="248"/>
      <c r="DT152" s="248"/>
      <c r="DU152" s="248"/>
      <c r="DV152" s="248"/>
      <c r="DW152" s="248"/>
      <c r="DX152" s="248"/>
      <c r="DY152" s="248"/>
      <c r="DZ152" s="248"/>
      <c r="EA152" s="248"/>
      <c r="EB152" s="248"/>
      <c r="EC152" s="248"/>
      <c r="ED152" s="248"/>
      <c r="EE152" s="248"/>
    </row>
    <row r="153" spans="1:135" s="35" customFormat="1" ht="16.5">
      <c r="A153" s="35" t="str">
        <f t="shared" si="5"/>
        <v>ASOM_A              KS_CP_C</v>
      </c>
      <c r="B153" s="331"/>
      <c r="C153" s="248">
        <v>29050</v>
      </c>
      <c r="D153" s="283" t="s">
        <v>606</v>
      </c>
      <c r="F153" s="35" t="s">
        <v>1086</v>
      </c>
      <c r="O153" s="34" t="s">
        <v>1086</v>
      </c>
      <c r="P153" s="34" t="s">
        <v>1086</v>
      </c>
      <c r="Q153" s="58"/>
      <c r="R153" s="39"/>
      <c r="AH153" s="279"/>
      <c r="AJ153" s="279" t="s">
        <v>1117</v>
      </c>
      <c r="AK153" s="279"/>
      <c r="AL153" s="523">
        <v>3</v>
      </c>
      <c r="AM153" s="35">
        <v>29050</v>
      </c>
      <c r="AN153" s="35" t="s">
        <v>1897</v>
      </c>
      <c r="AO153" s="35" t="s">
        <v>1704</v>
      </c>
      <c r="AP153" s="35" t="s">
        <v>702</v>
      </c>
      <c r="AQ153" s="34" t="s">
        <v>2270</v>
      </c>
      <c r="AR153" s="35">
        <v>2</v>
      </c>
      <c r="AS153" s="35" t="s">
        <v>1069</v>
      </c>
      <c r="AT153" s="35" t="s">
        <v>87</v>
      </c>
      <c r="AU153" s="35" t="s">
        <v>10</v>
      </c>
      <c r="AV153" s="35" t="s">
        <v>959</v>
      </c>
      <c r="AW153" s="35" t="s">
        <v>683</v>
      </c>
      <c r="AX153" s="34" t="s">
        <v>1867</v>
      </c>
      <c r="AY153" s="35">
        <v>12</v>
      </c>
      <c r="AZ153" s="35" t="s">
        <v>477</v>
      </c>
      <c r="BA153" s="35" t="s">
        <v>692</v>
      </c>
      <c r="BB153" s="35" t="s">
        <v>10</v>
      </c>
      <c r="BC153" s="35" t="s">
        <v>154</v>
      </c>
      <c r="BD153" s="35" t="s">
        <v>1742</v>
      </c>
      <c r="BE153" s="35" t="s">
        <v>10</v>
      </c>
      <c r="BF153" s="35" t="s">
        <v>10</v>
      </c>
      <c r="BG153" s="35">
        <v>1116</v>
      </c>
      <c r="BH153" s="35" t="s">
        <v>108</v>
      </c>
      <c r="BI153" s="35">
        <v>0.35</v>
      </c>
      <c r="BJ153" s="35" t="s">
        <v>703</v>
      </c>
      <c r="BK153" s="35" t="s">
        <v>678</v>
      </c>
      <c r="BL153" s="35" t="s">
        <v>680</v>
      </c>
      <c r="BM153" s="35" t="s">
        <v>681</v>
      </c>
      <c r="BN153" s="35" t="s">
        <v>682</v>
      </c>
      <c r="BO153" s="35" t="s">
        <v>2358</v>
      </c>
      <c r="BP153" s="35" t="s">
        <v>2359</v>
      </c>
      <c r="BQ153" s="35">
        <v>29050</v>
      </c>
      <c r="BW153" s="248"/>
      <c r="BX153" s="248"/>
      <c r="BY153" s="248"/>
      <c r="BZ153" s="248"/>
      <c r="CA153" s="248"/>
      <c r="CB153" s="248"/>
      <c r="CC153" s="248"/>
      <c r="CD153" s="248"/>
      <c r="CE153" s="248"/>
      <c r="CF153" s="248"/>
      <c r="CG153" s="248"/>
      <c r="CH153" s="248"/>
      <c r="CI153" s="248"/>
      <c r="CJ153" s="248"/>
      <c r="CK153" s="248"/>
      <c r="CL153" s="248"/>
      <c r="CM153" s="248"/>
      <c r="CN153" s="248"/>
      <c r="CO153" s="248"/>
      <c r="CP153" s="248"/>
      <c r="CQ153" s="248"/>
      <c r="CR153" s="248"/>
      <c r="CS153" s="248"/>
      <c r="CT153" s="248"/>
      <c r="CU153" s="248"/>
      <c r="CV153" s="248"/>
      <c r="CW153" s="248"/>
      <c r="CX153" s="248"/>
      <c r="CY153" s="248"/>
      <c r="CZ153" s="248"/>
      <c r="DA153" s="248"/>
      <c r="DB153" s="248"/>
      <c r="DC153" s="248"/>
      <c r="DD153" s="248"/>
      <c r="DE153" s="248"/>
      <c r="DF153" s="248"/>
      <c r="DG153" s="248"/>
      <c r="DH153" s="248"/>
      <c r="DI153" s="248"/>
      <c r="DJ153" s="248"/>
      <c r="DK153" s="248"/>
      <c r="DL153" s="248"/>
      <c r="DM153" s="248"/>
      <c r="DN153" s="248"/>
      <c r="DO153" s="248"/>
      <c r="DP153" s="248"/>
      <c r="DQ153" s="248"/>
      <c r="DR153" s="248"/>
      <c r="DS153" s="248"/>
      <c r="DT153" s="248"/>
      <c r="DU153" s="248"/>
      <c r="DV153" s="248"/>
      <c r="DW153" s="248"/>
      <c r="DX153" s="248"/>
      <c r="DY153" s="248"/>
      <c r="DZ153" s="248"/>
      <c r="EA153" s="248"/>
      <c r="EB153" s="248"/>
      <c r="EC153" s="248"/>
      <c r="ED153" s="248"/>
      <c r="EE153" s="248"/>
    </row>
    <row r="154" spans="1:135" s="35" customFormat="1" ht="16.5">
      <c r="A154" s="35" t="str">
        <f t="shared" si="5"/>
        <v>ASOM_B              ASOM_A</v>
      </c>
      <c r="B154" s="331"/>
      <c r="C154" s="248">
        <v>29051</v>
      </c>
      <c r="D154" s="283" t="s">
        <v>606</v>
      </c>
      <c r="F154" s="35" t="s">
        <v>1086</v>
      </c>
      <c r="G154" s="39"/>
      <c r="O154" s="34" t="s">
        <v>1086</v>
      </c>
      <c r="P154" s="34" t="s">
        <v>1086</v>
      </c>
      <c r="Q154" s="58"/>
      <c r="R154" s="39"/>
      <c r="AH154" s="279"/>
      <c r="AJ154" s="279" t="s">
        <v>1117</v>
      </c>
      <c r="AK154" s="279"/>
      <c r="AL154" s="523">
        <v>3</v>
      </c>
      <c r="AM154" s="35">
        <v>29051</v>
      </c>
      <c r="AN154" s="35" t="s">
        <v>704</v>
      </c>
      <c r="AO154" s="35" t="s">
        <v>1704</v>
      </c>
      <c r="AP154" s="35" t="s">
        <v>705</v>
      </c>
      <c r="AQ154" s="34" t="s">
        <v>2271</v>
      </c>
      <c r="AR154" s="35">
        <v>2</v>
      </c>
      <c r="AS154" s="35" t="s">
        <v>1898</v>
      </c>
      <c r="AT154" s="35" t="s">
        <v>87</v>
      </c>
      <c r="AU154" s="35" t="s">
        <v>10</v>
      </c>
      <c r="AV154" s="35" t="s">
        <v>1704</v>
      </c>
      <c r="AW154" s="35" t="s">
        <v>702</v>
      </c>
      <c r="AX154" s="34" t="s">
        <v>2270</v>
      </c>
      <c r="AY154" s="35">
        <v>3</v>
      </c>
      <c r="AZ154" s="35" t="s">
        <v>1069</v>
      </c>
      <c r="BA154" s="35" t="s">
        <v>87</v>
      </c>
      <c r="BB154" s="35" t="s">
        <v>10</v>
      </c>
      <c r="BC154" s="35" t="s">
        <v>179</v>
      </c>
      <c r="BD154" s="35" t="s">
        <v>1742</v>
      </c>
      <c r="BE154" s="35" t="s">
        <v>10</v>
      </c>
      <c r="BF154" s="35" t="s">
        <v>10</v>
      </c>
      <c r="BG154" s="35">
        <v>120</v>
      </c>
      <c r="BH154" s="35" t="s">
        <v>86</v>
      </c>
      <c r="BI154" s="35">
        <v>0.35</v>
      </c>
      <c r="BJ154" s="35" t="s">
        <v>706</v>
      </c>
      <c r="BK154" s="35" t="s">
        <v>678</v>
      </c>
      <c r="BL154" s="35" t="s">
        <v>680</v>
      </c>
      <c r="BM154" s="35" t="s">
        <v>681</v>
      </c>
      <c r="BN154" s="35" t="s">
        <v>682</v>
      </c>
      <c r="BO154" s="35" t="s">
        <v>2358</v>
      </c>
      <c r="BP154" s="35" t="s">
        <v>2359</v>
      </c>
      <c r="BQ154" s="35">
        <v>29051</v>
      </c>
      <c r="BW154" s="248"/>
      <c r="BX154" s="248"/>
      <c r="BY154" s="248"/>
      <c r="BZ154" s="248"/>
      <c r="CA154" s="248"/>
      <c r="CB154" s="248"/>
      <c r="CC154" s="248"/>
      <c r="CD154" s="248"/>
      <c r="CE154" s="248"/>
      <c r="CF154" s="248"/>
      <c r="CG154" s="248"/>
      <c r="CH154" s="248"/>
      <c r="CI154" s="248"/>
      <c r="CJ154" s="248"/>
      <c r="CK154" s="248"/>
      <c r="CL154" s="248"/>
      <c r="CM154" s="248"/>
      <c r="CN154" s="248"/>
      <c r="CO154" s="248"/>
      <c r="CP154" s="248"/>
      <c r="CQ154" s="248"/>
      <c r="CR154" s="248"/>
      <c r="CS154" s="248"/>
      <c r="CT154" s="248"/>
      <c r="CU154" s="248"/>
      <c r="CV154" s="248"/>
      <c r="CW154" s="248"/>
      <c r="CX154" s="248"/>
      <c r="CY154" s="248"/>
      <c r="CZ154" s="248"/>
      <c r="DA154" s="248"/>
      <c r="DB154" s="248"/>
      <c r="DC154" s="248"/>
      <c r="DD154" s="248"/>
      <c r="DE154" s="248"/>
      <c r="DF154" s="248"/>
      <c r="DG154" s="248"/>
      <c r="DH154" s="248"/>
      <c r="DI154" s="248"/>
      <c r="DJ154" s="248"/>
      <c r="DK154" s="248"/>
      <c r="DL154" s="248"/>
      <c r="DM154" s="248"/>
      <c r="DN154" s="248"/>
      <c r="DO154" s="248"/>
      <c r="DP154" s="248"/>
      <c r="DQ154" s="248"/>
      <c r="DR154" s="248"/>
      <c r="DS154" s="248"/>
      <c r="DT154" s="248"/>
      <c r="DU154" s="248"/>
      <c r="DV154" s="248"/>
      <c r="DW154" s="248"/>
      <c r="DX154" s="248"/>
      <c r="DY154" s="248"/>
      <c r="DZ154" s="248"/>
      <c r="EA154" s="248"/>
      <c r="EB154" s="248"/>
      <c r="EC154" s="248"/>
      <c r="ED154" s="248"/>
      <c r="EE154" s="248"/>
    </row>
    <row r="155" spans="1:135" s="35" customFormat="1" ht="16.5">
      <c r="A155" s="35" t="str">
        <f t="shared" si="5"/>
        <v>SP_CANHI            KS_CPM_A</v>
      </c>
      <c r="B155" s="331"/>
      <c r="C155" s="35">
        <v>29053</v>
      </c>
      <c r="D155" s="283" t="s">
        <v>606</v>
      </c>
      <c r="F155" s="286" t="s">
        <v>1093</v>
      </c>
      <c r="G155" s="35" t="s">
        <v>2233</v>
      </c>
      <c r="H155" s="35" t="s">
        <v>610</v>
      </c>
      <c r="N155" s="35" t="s">
        <v>619</v>
      </c>
      <c r="O155" s="34" t="s">
        <v>1097</v>
      </c>
      <c r="P155" s="285" t="s">
        <v>1086</v>
      </c>
      <c r="Q155" s="58"/>
      <c r="R155" s="39"/>
      <c r="AH155" s="279"/>
      <c r="AJ155" s="279" t="s">
        <v>1116</v>
      </c>
      <c r="AK155" s="279"/>
      <c r="AL155" s="523">
        <v>3</v>
      </c>
      <c r="AM155" s="35">
        <v>29053</v>
      </c>
      <c r="AN155" s="35" t="s">
        <v>1899</v>
      </c>
      <c r="AO155" s="35" t="s">
        <v>1695</v>
      </c>
      <c r="AP155" s="35" t="s">
        <v>1189</v>
      </c>
      <c r="AQ155" s="34" t="s">
        <v>2233</v>
      </c>
      <c r="AR155" s="35">
        <v>1</v>
      </c>
      <c r="AS155" s="35" t="s">
        <v>1394</v>
      </c>
      <c r="AT155" s="35" t="s">
        <v>10</v>
      </c>
      <c r="AU155" s="35" t="s">
        <v>10</v>
      </c>
      <c r="AV155" s="35" t="s">
        <v>502</v>
      </c>
      <c r="AW155" s="35" t="s">
        <v>685</v>
      </c>
      <c r="AX155" s="34" t="s">
        <v>1870</v>
      </c>
      <c r="AY155" s="35">
        <v>2</v>
      </c>
      <c r="AZ155" s="35" t="s">
        <v>1392</v>
      </c>
      <c r="BA155" s="35" t="s">
        <v>245</v>
      </c>
      <c r="BB155" s="35" t="s">
        <v>10</v>
      </c>
      <c r="BC155" s="35" t="s">
        <v>2385</v>
      </c>
      <c r="BD155" s="35" t="s">
        <v>1742</v>
      </c>
      <c r="BE155" s="35" t="s">
        <v>707</v>
      </c>
      <c r="BF155" s="35" t="s">
        <v>181</v>
      </c>
      <c r="BG155" s="35">
        <v>1070</v>
      </c>
      <c r="BH155" s="35" t="s">
        <v>79</v>
      </c>
      <c r="BI155" s="35">
        <v>0.35</v>
      </c>
      <c r="BJ155" s="35" t="s">
        <v>1789</v>
      </c>
      <c r="BK155" s="35" t="s">
        <v>10</v>
      </c>
      <c r="BL155" s="35" t="s">
        <v>680</v>
      </c>
      <c r="BM155" s="35" t="s">
        <v>10</v>
      </c>
      <c r="BN155" s="35" t="s">
        <v>682</v>
      </c>
      <c r="BO155" s="35" t="s">
        <v>10</v>
      </c>
      <c r="BP155" s="35" t="s">
        <v>2359</v>
      </c>
      <c r="BQ155" s="35">
        <v>29053</v>
      </c>
    </row>
    <row r="156" spans="1:135" s="35" customFormat="1" ht="16.5">
      <c r="A156" s="35" t="str">
        <f t="shared" si="5"/>
        <v>SP_CANLI            KS_CPM_A</v>
      </c>
      <c r="B156" s="331"/>
      <c r="C156" s="248">
        <v>29054</v>
      </c>
      <c r="D156" s="283" t="s">
        <v>606</v>
      </c>
      <c r="F156" s="286" t="s">
        <v>1093</v>
      </c>
      <c r="G156" s="35" t="s">
        <v>2234</v>
      </c>
      <c r="H156" s="35" t="s">
        <v>610</v>
      </c>
      <c r="N156" s="35" t="s">
        <v>619</v>
      </c>
      <c r="O156" s="34" t="s">
        <v>1097</v>
      </c>
      <c r="P156" s="34" t="s">
        <v>1086</v>
      </c>
      <c r="Q156" s="58"/>
      <c r="R156" s="39"/>
      <c r="AH156" s="279"/>
      <c r="AJ156" s="279" t="s">
        <v>1116</v>
      </c>
      <c r="AK156" s="279"/>
      <c r="AL156" s="523">
        <v>3</v>
      </c>
      <c r="AM156" s="35">
        <v>29054</v>
      </c>
      <c r="AN156" s="35" t="s">
        <v>1900</v>
      </c>
      <c r="AO156" s="35" t="s">
        <v>1696</v>
      </c>
      <c r="AP156" s="35" t="s">
        <v>1190</v>
      </c>
      <c r="AQ156" s="34" t="s">
        <v>2234</v>
      </c>
      <c r="AR156" s="35">
        <v>1</v>
      </c>
      <c r="AS156" s="35" t="s">
        <v>1394</v>
      </c>
      <c r="AT156" s="35" t="s">
        <v>10</v>
      </c>
      <c r="AU156" s="35" t="s">
        <v>10</v>
      </c>
      <c r="AV156" s="35" t="s">
        <v>502</v>
      </c>
      <c r="AW156" s="35" t="s">
        <v>685</v>
      </c>
      <c r="AX156" s="34" t="s">
        <v>1870</v>
      </c>
      <c r="AY156" s="35">
        <v>3</v>
      </c>
      <c r="AZ156" s="35" t="s">
        <v>1392</v>
      </c>
      <c r="BA156" s="35" t="s">
        <v>245</v>
      </c>
      <c r="BB156" s="35" t="s">
        <v>10</v>
      </c>
      <c r="BC156" s="35" t="s">
        <v>2385</v>
      </c>
      <c r="BD156" s="35" t="s">
        <v>1742</v>
      </c>
      <c r="BE156" s="35" t="s">
        <v>707</v>
      </c>
      <c r="BF156" s="35" t="s">
        <v>88</v>
      </c>
      <c r="BG156" s="35">
        <v>1070</v>
      </c>
      <c r="BH156" s="35" t="s">
        <v>89</v>
      </c>
      <c r="BI156" s="35">
        <v>0.35</v>
      </c>
      <c r="BJ156" s="35" t="s">
        <v>1792</v>
      </c>
      <c r="BK156" s="35" t="s">
        <v>10</v>
      </c>
      <c r="BL156" s="35" t="s">
        <v>680</v>
      </c>
      <c r="BM156" s="35" t="s">
        <v>10</v>
      </c>
      <c r="BN156" s="35" t="s">
        <v>682</v>
      </c>
      <c r="BO156" s="35" t="s">
        <v>10</v>
      </c>
      <c r="BP156" s="35" t="s">
        <v>2359</v>
      </c>
      <c r="BQ156" s="35">
        <v>29054</v>
      </c>
      <c r="BW156" s="248"/>
      <c r="BX156" s="248"/>
      <c r="BY156" s="248"/>
      <c r="BZ156" s="248"/>
      <c r="CA156" s="248"/>
      <c r="CB156" s="248"/>
      <c r="CC156" s="248"/>
      <c r="CD156" s="248"/>
      <c r="CE156" s="248"/>
      <c r="CF156" s="248"/>
      <c r="CG156" s="248"/>
      <c r="CH156" s="248"/>
      <c r="CI156" s="248"/>
      <c r="CJ156" s="248"/>
      <c r="CK156" s="248"/>
      <c r="CL156" s="248"/>
      <c r="CM156" s="248"/>
      <c r="CN156" s="248"/>
      <c r="CO156" s="248"/>
      <c r="CP156" s="248"/>
      <c r="CQ156" s="248"/>
      <c r="CR156" s="248"/>
      <c r="CS156" s="248"/>
      <c r="CT156" s="248"/>
      <c r="CU156" s="248"/>
      <c r="CV156" s="248"/>
      <c r="CW156" s="248"/>
      <c r="CX156" s="248"/>
      <c r="CY156" s="248"/>
      <c r="CZ156" s="248"/>
      <c r="DA156" s="248"/>
      <c r="DB156" s="248"/>
      <c r="DC156" s="248"/>
      <c r="DD156" s="248"/>
      <c r="DE156" s="248"/>
      <c r="DF156" s="248"/>
      <c r="DG156" s="248"/>
      <c r="DH156" s="248"/>
      <c r="DI156" s="248"/>
      <c r="DJ156" s="248"/>
      <c r="DK156" s="248"/>
      <c r="DL156" s="248"/>
      <c r="DM156" s="248"/>
      <c r="DN156" s="248"/>
      <c r="DO156" s="248"/>
      <c r="DP156" s="248"/>
      <c r="DQ156" s="248"/>
      <c r="DR156" s="248"/>
      <c r="DS156" s="248"/>
      <c r="DT156" s="248"/>
      <c r="DU156" s="248"/>
      <c r="DV156" s="248"/>
      <c r="DW156" s="248"/>
      <c r="DX156" s="248"/>
      <c r="DY156" s="248"/>
      <c r="DZ156" s="248"/>
      <c r="EA156" s="248"/>
      <c r="EB156" s="248"/>
      <c r="EC156" s="248"/>
      <c r="ED156" s="248"/>
      <c r="EE156" s="248"/>
    </row>
    <row r="157" spans="1:135" s="35" customFormat="1" ht="16.5">
      <c r="A157" s="35" t="str">
        <f t="shared" si="5"/>
        <v>ION_A               SGION_B</v>
      </c>
      <c r="B157" s="331"/>
      <c r="C157" s="248">
        <v>29063</v>
      </c>
      <c r="D157" s="283" t="s">
        <v>606</v>
      </c>
      <c r="F157" s="35" t="s">
        <v>1086</v>
      </c>
      <c r="G157" s="39"/>
      <c r="O157" s="34" t="s">
        <v>1086</v>
      </c>
      <c r="P157" s="34" t="s">
        <v>1086</v>
      </c>
      <c r="Q157" s="58"/>
      <c r="R157" s="39"/>
      <c r="W157" s="58">
        <v>970017244</v>
      </c>
      <c r="AB157" s="58" t="s">
        <v>977</v>
      </c>
      <c r="AH157" s="279"/>
      <c r="AJ157" s="279" t="s">
        <v>1117</v>
      </c>
      <c r="AK157" s="279"/>
      <c r="AL157" s="523">
        <v>3</v>
      </c>
      <c r="AM157" s="35">
        <v>29063</v>
      </c>
      <c r="AN157" s="35" t="s">
        <v>1468</v>
      </c>
      <c r="AO157" s="35" t="s">
        <v>1705</v>
      </c>
      <c r="AP157" s="35" t="s">
        <v>709</v>
      </c>
      <c r="AQ157" s="34" t="s">
        <v>2272</v>
      </c>
      <c r="AR157" s="35">
        <v>1</v>
      </c>
      <c r="AS157" s="35" t="s">
        <v>1901</v>
      </c>
      <c r="AT157" s="35" t="s">
        <v>10</v>
      </c>
      <c r="AU157" s="35" t="s">
        <v>10</v>
      </c>
      <c r="AV157" s="35" t="s">
        <v>961</v>
      </c>
      <c r="AW157" s="35" t="s">
        <v>708</v>
      </c>
      <c r="AX157" s="34" t="s">
        <v>2310</v>
      </c>
      <c r="AY157" s="35">
        <v>1</v>
      </c>
      <c r="AZ157" s="35" t="s">
        <v>1902</v>
      </c>
      <c r="BA157" s="35" t="s">
        <v>10</v>
      </c>
      <c r="BB157" s="35" t="s">
        <v>10</v>
      </c>
      <c r="BC157" s="35" t="s">
        <v>977</v>
      </c>
      <c r="BD157" s="35" t="s">
        <v>1742</v>
      </c>
      <c r="BE157" s="35" t="s">
        <v>10</v>
      </c>
      <c r="BF157" s="35" t="s">
        <v>10</v>
      </c>
      <c r="BG157" s="35">
        <v>946</v>
      </c>
      <c r="BH157" s="35" t="s">
        <v>174</v>
      </c>
      <c r="BI157" s="35">
        <v>0.5</v>
      </c>
      <c r="BJ157" s="35" t="s">
        <v>1469</v>
      </c>
      <c r="BK157" s="35" t="s">
        <v>10</v>
      </c>
      <c r="BL157" s="35" t="s">
        <v>10</v>
      </c>
      <c r="BM157" s="35" t="s">
        <v>681</v>
      </c>
      <c r="BN157" s="35" t="s">
        <v>682</v>
      </c>
      <c r="BO157" s="35" t="s">
        <v>2358</v>
      </c>
      <c r="BP157" s="35" t="s">
        <v>2359</v>
      </c>
      <c r="BQ157" s="35">
        <v>29063</v>
      </c>
      <c r="BW157" s="248"/>
      <c r="BX157" s="248"/>
      <c r="BY157" s="248"/>
      <c r="BZ157" s="248"/>
      <c r="CA157" s="248"/>
      <c r="CB157" s="248"/>
      <c r="CC157" s="248"/>
      <c r="CD157" s="248"/>
      <c r="CE157" s="248"/>
      <c r="CF157" s="248"/>
      <c r="CG157" s="248"/>
      <c r="CH157" s="248"/>
      <c r="CI157" s="248"/>
      <c r="CJ157" s="248"/>
      <c r="CK157" s="248"/>
      <c r="CL157" s="248"/>
      <c r="CM157" s="248"/>
      <c r="CN157" s="248"/>
      <c r="CO157" s="248"/>
      <c r="CP157" s="248"/>
      <c r="CQ157" s="248"/>
      <c r="CR157" s="248"/>
      <c r="CS157" s="248"/>
      <c r="CT157" s="248"/>
      <c r="CU157" s="248"/>
      <c r="CV157" s="248"/>
      <c r="CW157" s="248"/>
      <c r="CX157" s="248"/>
      <c r="CY157" s="248"/>
      <c r="CZ157" s="248"/>
      <c r="DA157" s="248"/>
      <c r="DB157" s="248"/>
      <c r="DC157" s="248"/>
      <c r="DD157" s="248"/>
      <c r="DE157" s="248"/>
      <c r="DF157" s="248"/>
      <c r="DG157" s="248"/>
      <c r="DH157" s="248"/>
      <c r="DI157" s="248"/>
      <c r="DJ157" s="248"/>
      <c r="DK157" s="248"/>
      <c r="DL157" s="248"/>
      <c r="DM157" s="248"/>
      <c r="DN157" s="248"/>
      <c r="DO157" s="248"/>
      <c r="DP157" s="248"/>
      <c r="DQ157" s="248"/>
      <c r="DR157" s="248"/>
      <c r="DS157" s="248"/>
      <c r="DT157" s="248"/>
      <c r="DU157" s="248"/>
      <c r="DV157" s="248"/>
      <c r="DW157" s="248"/>
      <c r="DX157" s="248"/>
      <c r="DY157" s="248"/>
      <c r="DZ157" s="248"/>
      <c r="EA157" s="248"/>
      <c r="EB157" s="248"/>
      <c r="EC157" s="248"/>
      <c r="ED157" s="248"/>
      <c r="EE157" s="248"/>
    </row>
    <row r="158" spans="1:135" s="35" customFormat="1" ht="16.5">
      <c r="A158" s="35" t="str">
        <f t="shared" si="5"/>
        <v>ION_B               SGION_C</v>
      </c>
      <c r="B158" s="331"/>
      <c r="C158" s="248">
        <v>29064</v>
      </c>
      <c r="D158" s="283" t="s">
        <v>606</v>
      </c>
      <c r="F158" s="35" t="s">
        <v>1086</v>
      </c>
      <c r="G158" s="39"/>
      <c r="O158" s="34" t="s">
        <v>1086</v>
      </c>
      <c r="P158" s="34" t="s">
        <v>1086</v>
      </c>
      <c r="Q158" s="58"/>
      <c r="R158" s="39"/>
      <c r="W158" s="58">
        <v>970017244</v>
      </c>
      <c r="AB158" s="58" t="s">
        <v>977</v>
      </c>
      <c r="AH158" s="279"/>
      <c r="AJ158" s="279" t="s">
        <v>1117</v>
      </c>
      <c r="AK158" s="279"/>
      <c r="AL158" s="523">
        <v>3</v>
      </c>
      <c r="AM158" s="35">
        <v>29064</v>
      </c>
      <c r="AN158" s="35" t="s">
        <v>1470</v>
      </c>
      <c r="AO158" s="35" t="s">
        <v>1705</v>
      </c>
      <c r="AP158" s="35" t="s">
        <v>711</v>
      </c>
      <c r="AQ158" s="34" t="s">
        <v>2273</v>
      </c>
      <c r="AR158" s="35">
        <v>2</v>
      </c>
      <c r="AS158" s="35" t="s">
        <v>833</v>
      </c>
      <c r="AT158" s="35" t="s">
        <v>10</v>
      </c>
      <c r="AU158" s="35" t="s">
        <v>10</v>
      </c>
      <c r="AV158" s="35" t="s">
        <v>961</v>
      </c>
      <c r="AW158" s="35" t="s">
        <v>710</v>
      </c>
      <c r="AX158" s="34" t="s">
        <v>2311</v>
      </c>
      <c r="AY158" s="35">
        <v>1</v>
      </c>
      <c r="AZ158" s="35" t="s">
        <v>1903</v>
      </c>
      <c r="BA158" s="35" t="s">
        <v>10</v>
      </c>
      <c r="BB158" s="35" t="s">
        <v>10</v>
      </c>
      <c r="BC158" s="35" t="s">
        <v>977</v>
      </c>
      <c r="BD158" s="35" t="s">
        <v>1742</v>
      </c>
      <c r="BE158" s="35" t="s">
        <v>10</v>
      </c>
      <c r="BF158" s="35" t="s">
        <v>10</v>
      </c>
      <c r="BG158" s="35">
        <v>757</v>
      </c>
      <c r="BH158" s="35" t="s">
        <v>25</v>
      </c>
      <c r="BI158" s="35">
        <v>0.5</v>
      </c>
      <c r="BJ158" s="35" t="s">
        <v>1471</v>
      </c>
      <c r="BK158" s="35" t="s">
        <v>10</v>
      </c>
      <c r="BL158" s="35" t="s">
        <v>10</v>
      </c>
      <c r="BM158" s="35" t="s">
        <v>681</v>
      </c>
      <c r="BN158" s="35" t="s">
        <v>682</v>
      </c>
      <c r="BO158" s="35" t="s">
        <v>2358</v>
      </c>
      <c r="BP158" s="35" t="s">
        <v>2359</v>
      </c>
      <c r="BQ158" s="35">
        <v>29064</v>
      </c>
      <c r="BW158" s="248"/>
      <c r="BX158" s="248"/>
      <c r="BY158" s="248"/>
      <c r="BZ158" s="248"/>
      <c r="CA158" s="248"/>
      <c r="CB158" s="248"/>
      <c r="CC158" s="248"/>
      <c r="CD158" s="248"/>
      <c r="CE158" s="248"/>
      <c r="CF158" s="248"/>
      <c r="CG158" s="248"/>
      <c r="CH158" s="248"/>
      <c r="CI158" s="248"/>
      <c r="CJ158" s="248"/>
      <c r="CK158" s="248"/>
      <c r="CL158" s="248"/>
      <c r="CM158" s="248"/>
      <c r="CN158" s="248"/>
      <c r="CO158" s="248"/>
      <c r="CP158" s="248"/>
      <c r="CQ158" s="248"/>
      <c r="CR158" s="248"/>
      <c r="CS158" s="248"/>
      <c r="CT158" s="248"/>
      <c r="CU158" s="248"/>
      <c r="CV158" s="248"/>
      <c r="CW158" s="248"/>
      <c r="CX158" s="248"/>
      <c r="CY158" s="248"/>
      <c r="CZ158" s="248"/>
      <c r="DA158" s="248"/>
      <c r="DB158" s="248"/>
      <c r="DC158" s="248"/>
      <c r="DD158" s="248"/>
      <c r="DE158" s="248"/>
      <c r="DF158" s="248"/>
      <c r="DG158" s="248"/>
      <c r="DH158" s="248"/>
      <c r="DI158" s="248"/>
      <c r="DJ158" s="248"/>
      <c r="DK158" s="248"/>
      <c r="DL158" s="248"/>
      <c r="DM158" s="248"/>
      <c r="DN158" s="248"/>
      <c r="DO158" s="248"/>
      <c r="DP158" s="248"/>
      <c r="DQ158" s="248"/>
      <c r="DR158" s="248"/>
      <c r="DS158" s="248"/>
      <c r="DT158" s="248"/>
      <c r="DU158" s="248"/>
      <c r="DV158" s="248"/>
      <c r="DW158" s="248"/>
      <c r="DX158" s="248"/>
      <c r="DY158" s="248"/>
      <c r="DZ158" s="248"/>
      <c r="EA158" s="248"/>
      <c r="EB158" s="248"/>
      <c r="EC158" s="248"/>
      <c r="ED158" s="248"/>
      <c r="EE158" s="248"/>
    </row>
    <row r="159" spans="1:135" s="35" customFormat="1" ht="16.5">
      <c r="A159" s="35" t="str">
        <f t="shared" si="5"/>
        <v>ION_B               SGION_B</v>
      </c>
      <c r="B159" s="331"/>
      <c r="C159" s="248">
        <v>29065</v>
      </c>
      <c r="D159" s="283" t="s">
        <v>606</v>
      </c>
      <c r="F159" s="35" t="s">
        <v>1086</v>
      </c>
      <c r="G159" s="39"/>
      <c r="O159" s="34" t="s">
        <v>1086</v>
      </c>
      <c r="P159" s="34" t="s">
        <v>1086</v>
      </c>
      <c r="Q159" s="58"/>
      <c r="R159" s="39"/>
      <c r="W159" s="58">
        <v>970017244</v>
      </c>
      <c r="AB159" s="58" t="s">
        <v>977</v>
      </c>
      <c r="AH159" s="279"/>
      <c r="AJ159" s="279" t="s">
        <v>1117</v>
      </c>
      <c r="AK159" s="279"/>
      <c r="AL159" s="523">
        <v>3</v>
      </c>
      <c r="AM159" s="35">
        <v>29065</v>
      </c>
      <c r="AN159" s="35" t="s">
        <v>1472</v>
      </c>
      <c r="AO159" s="35" t="s">
        <v>1705</v>
      </c>
      <c r="AP159" s="35" t="s">
        <v>711</v>
      </c>
      <c r="AQ159" s="34" t="s">
        <v>2273</v>
      </c>
      <c r="AR159" s="35">
        <v>1</v>
      </c>
      <c r="AS159" s="35" t="s">
        <v>833</v>
      </c>
      <c r="AT159" s="35" t="s">
        <v>10</v>
      </c>
      <c r="AU159" s="35" t="s">
        <v>10</v>
      </c>
      <c r="AV159" s="35" t="s">
        <v>961</v>
      </c>
      <c r="AW159" s="35" t="s">
        <v>708</v>
      </c>
      <c r="AX159" s="34" t="s">
        <v>2310</v>
      </c>
      <c r="AY159" s="35">
        <v>4</v>
      </c>
      <c r="AZ159" s="35" t="s">
        <v>1902</v>
      </c>
      <c r="BA159" s="35" t="s">
        <v>10</v>
      </c>
      <c r="BB159" s="35" t="s">
        <v>10</v>
      </c>
      <c r="BC159" s="35" t="s">
        <v>977</v>
      </c>
      <c r="BD159" s="35" t="s">
        <v>1742</v>
      </c>
      <c r="BE159" s="35" t="s">
        <v>10</v>
      </c>
      <c r="BF159" s="35" t="s">
        <v>10</v>
      </c>
      <c r="BG159" s="35">
        <v>787</v>
      </c>
      <c r="BH159" s="35" t="s">
        <v>66</v>
      </c>
      <c r="BI159" s="35">
        <v>0.5</v>
      </c>
      <c r="BJ159" s="35" t="s">
        <v>1473</v>
      </c>
      <c r="BK159" s="35" t="s">
        <v>10</v>
      </c>
      <c r="BL159" s="35" t="s">
        <v>10</v>
      </c>
      <c r="BM159" s="35" t="s">
        <v>681</v>
      </c>
      <c r="BN159" s="35" t="s">
        <v>682</v>
      </c>
      <c r="BO159" s="35" t="s">
        <v>2358</v>
      </c>
      <c r="BP159" s="35" t="s">
        <v>2359</v>
      </c>
      <c r="BQ159" s="35">
        <v>29065</v>
      </c>
      <c r="BW159" s="248"/>
      <c r="BX159" s="248"/>
      <c r="BY159" s="248"/>
      <c r="BZ159" s="248"/>
      <c r="CA159" s="248"/>
      <c r="CB159" s="248"/>
      <c r="CC159" s="248"/>
      <c r="CD159" s="248"/>
      <c r="CE159" s="248"/>
      <c r="CF159" s="248"/>
      <c r="CG159" s="248"/>
      <c r="CH159" s="248"/>
      <c r="CI159" s="248"/>
      <c r="CJ159" s="248"/>
      <c r="CK159" s="248"/>
      <c r="CL159" s="248"/>
      <c r="CM159" s="248"/>
      <c r="CN159" s="248"/>
      <c r="CO159" s="248"/>
      <c r="CP159" s="248"/>
      <c r="CQ159" s="248"/>
      <c r="CR159" s="248"/>
      <c r="CS159" s="248"/>
      <c r="CT159" s="248"/>
      <c r="CU159" s="248"/>
      <c r="CV159" s="248"/>
      <c r="CW159" s="248"/>
      <c r="CX159" s="248"/>
      <c r="CY159" s="248"/>
      <c r="CZ159" s="248"/>
      <c r="DA159" s="248"/>
      <c r="DB159" s="248"/>
      <c r="DC159" s="248"/>
      <c r="DD159" s="248"/>
      <c r="DE159" s="248"/>
      <c r="DF159" s="248"/>
      <c r="DG159" s="248"/>
      <c r="DH159" s="248"/>
      <c r="DI159" s="248"/>
      <c r="DJ159" s="248"/>
      <c r="DK159" s="248"/>
      <c r="DL159" s="248"/>
      <c r="DM159" s="248"/>
      <c r="DN159" s="248"/>
      <c r="DO159" s="248"/>
      <c r="DP159" s="248"/>
      <c r="DQ159" s="248"/>
      <c r="DR159" s="248"/>
      <c r="DS159" s="248"/>
      <c r="DT159" s="248"/>
      <c r="DU159" s="248"/>
      <c r="DV159" s="248"/>
      <c r="DW159" s="248"/>
      <c r="DX159" s="248"/>
      <c r="DY159" s="248"/>
      <c r="DZ159" s="248"/>
      <c r="EA159" s="248"/>
      <c r="EB159" s="248"/>
      <c r="EC159" s="248"/>
      <c r="ED159" s="248"/>
      <c r="EE159" s="248"/>
    </row>
    <row r="160" spans="1:135" s="35" customFormat="1" ht="16.5">
      <c r="A160" s="35" t="str">
        <f t="shared" si="5"/>
        <v>ION_A               SGION_C</v>
      </c>
      <c r="B160" s="331"/>
      <c r="C160" s="248">
        <v>29066</v>
      </c>
      <c r="D160" s="283" t="s">
        <v>606</v>
      </c>
      <c r="F160" s="35" t="s">
        <v>1086</v>
      </c>
      <c r="O160" s="34" t="s">
        <v>1086</v>
      </c>
      <c r="P160" s="34" t="s">
        <v>1086</v>
      </c>
      <c r="Q160" s="58"/>
      <c r="R160" s="39"/>
      <c r="W160" s="58">
        <v>970017244</v>
      </c>
      <c r="AB160" s="58" t="s">
        <v>977</v>
      </c>
      <c r="AH160" s="279"/>
      <c r="AJ160" s="279" t="s">
        <v>1117</v>
      </c>
      <c r="AK160" s="279"/>
      <c r="AL160" s="523">
        <v>3</v>
      </c>
      <c r="AM160" s="35">
        <v>29066</v>
      </c>
      <c r="AN160" s="35" t="s">
        <v>1474</v>
      </c>
      <c r="AO160" s="35" t="s">
        <v>1705</v>
      </c>
      <c r="AP160" s="35" t="s">
        <v>709</v>
      </c>
      <c r="AQ160" s="34" t="s">
        <v>2272</v>
      </c>
      <c r="AR160" s="35">
        <v>2</v>
      </c>
      <c r="AS160" s="35" t="s">
        <v>1901</v>
      </c>
      <c r="AT160" s="35" t="s">
        <v>10</v>
      </c>
      <c r="AU160" s="35" t="s">
        <v>10</v>
      </c>
      <c r="AV160" s="35" t="s">
        <v>961</v>
      </c>
      <c r="AW160" s="35" t="s">
        <v>710</v>
      </c>
      <c r="AX160" s="34" t="s">
        <v>2311</v>
      </c>
      <c r="AY160" s="35">
        <v>4</v>
      </c>
      <c r="AZ160" s="35" t="s">
        <v>1903</v>
      </c>
      <c r="BA160" s="35" t="s">
        <v>10</v>
      </c>
      <c r="BB160" s="35" t="s">
        <v>10</v>
      </c>
      <c r="BC160" s="35" t="s">
        <v>977</v>
      </c>
      <c r="BD160" s="35" t="s">
        <v>1742</v>
      </c>
      <c r="BE160" s="35" t="s">
        <v>10</v>
      </c>
      <c r="BF160" s="35" t="s">
        <v>10</v>
      </c>
      <c r="BG160" s="35">
        <v>916</v>
      </c>
      <c r="BH160" s="35" t="s">
        <v>91</v>
      </c>
      <c r="BI160" s="35">
        <v>0.5</v>
      </c>
      <c r="BJ160" s="35" t="s">
        <v>1475</v>
      </c>
      <c r="BK160" s="35" t="s">
        <v>10</v>
      </c>
      <c r="BL160" s="35" t="s">
        <v>10</v>
      </c>
      <c r="BM160" s="35" t="s">
        <v>681</v>
      </c>
      <c r="BN160" s="35" t="s">
        <v>682</v>
      </c>
      <c r="BO160" s="35" t="s">
        <v>2358</v>
      </c>
      <c r="BP160" s="35" t="s">
        <v>2359</v>
      </c>
      <c r="BQ160" s="35">
        <v>29066</v>
      </c>
      <c r="BW160" s="248"/>
      <c r="BX160" s="248"/>
      <c r="BY160" s="248"/>
      <c r="BZ160" s="248"/>
      <c r="CA160" s="248"/>
      <c r="CB160" s="248"/>
      <c r="CC160" s="248"/>
      <c r="CD160" s="248"/>
      <c r="CE160" s="248"/>
      <c r="CF160" s="248"/>
      <c r="CG160" s="248"/>
      <c r="CH160" s="248"/>
      <c r="CI160" s="248"/>
      <c r="CJ160" s="248"/>
      <c r="CK160" s="248"/>
      <c r="CL160" s="248"/>
      <c r="CM160" s="248"/>
      <c r="CN160" s="248"/>
      <c r="CO160" s="248"/>
      <c r="CP160" s="248"/>
      <c r="CQ160" s="248"/>
      <c r="CR160" s="248"/>
      <c r="CS160" s="248"/>
      <c r="CT160" s="248"/>
      <c r="CU160" s="248"/>
      <c r="CV160" s="248"/>
      <c r="CW160" s="248"/>
      <c r="CX160" s="248"/>
      <c r="CY160" s="248"/>
      <c r="CZ160" s="248"/>
      <c r="DA160" s="248"/>
      <c r="DB160" s="248"/>
      <c r="DC160" s="248"/>
      <c r="DD160" s="248"/>
      <c r="DE160" s="248"/>
      <c r="DF160" s="248"/>
      <c r="DG160" s="248"/>
      <c r="DH160" s="248"/>
      <c r="DI160" s="248"/>
      <c r="DJ160" s="248"/>
      <c r="DK160" s="248"/>
      <c r="DL160" s="248"/>
      <c r="DM160" s="248"/>
      <c r="DN160" s="248"/>
      <c r="DO160" s="248"/>
      <c r="DP160" s="248"/>
      <c r="DQ160" s="248"/>
      <c r="DR160" s="248"/>
      <c r="DS160" s="248"/>
      <c r="DT160" s="248"/>
      <c r="DU160" s="248"/>
      <c r="DV160" s="248"/>
      <c r="DW160" s="248"/>
      <c r="DX160" s="248"/>
      <c r="DY160" s="248"/>
      <c r="DZ160" s="248"/>
      <c r="EA160" s="248"/>
      <c r="EB160" s="248"/>
      <c r="EC160" s="248"/>
      <c r="ED160" s="248"/>
      <c r="EE160" s="248"/>
    </row>
    <row r="161" spans="1:135" s="35" customFormat="1" ht="16.5">
      <c r="A161" s="35" t="str">
        <f t="shared" si="5"/>
        <v>SP_AC31             SGKG_B</v>
      </c>
      <c r="B161" s="331"/>
      <c r="C161" s="248">
        <v>29067</v>
      </c>
      <c r="D161" s="283" t="s">
        <v>606</v>
      </c>
      <c r="F161" s="35" t="s">
        <v>1086</v>
      </c>
      <c r="G161" s="35" t="s">
        <v>2239</v>
      </c>
      <c r="H161" s="35" t="s">
        <v>610</v>
      </c>
      <c r="N161" s="35" t="s">
        <v>537</v>
      </c>
      <c r="O161" s="34" t="s">
        <v>1097</v>
      </c>
      <c r="P161" s="34" t="s">
        <v>1086</v>
      </c>
      <c r="Q161" s="58"/>
      <c r="R161" s="39"/>
      <c r="AH161" s="279"/>
      <c r="AJ161" s="279" t="s">
        <v>1117</v>
      </c>
      <c r="AK161" s="279"/>
      <c r="AL161" s="523">
        <v>3</v>
      </c>
      <c r="AM161" s="35">
        <v>29067</v>
      </c>
      <c r="AN161" s="35" t="s">
        <v>1476</v>
      </c>
      <c r="AO161" s="35" t="s">
        <v>1706</v>
      </c>
      <c r="AP161" s="35" t="s">
        <v>684</v>
      </c>
      <c r="AQ161" s="34" t="s">
        <v>2239</v>
      </c>
      <c r="AR161" s="35">
        <v>1</v>
      </c>
      <c r="AS161" s="35" t="s">
        <v>519</v>
      </c>
      <c r="AT161" s="35" t="s">
        <v>10</v>
      </c>
      <c r="AU161" s="35" t="s">
        <v>10</v>
      </c>
      <c r="AV161" s="35" t="s">
        <v>1701</v>
      </c>
      <c r="AW161" s="35" t="s">
        <v>656</v>
      </c>
      <c r="AX161" s="34" t="s">
        <v>2262</v>
      </c>
      <c r="AY161" s="35">
        <v>20</v>
      </c>
      <c r="AZ161" s="35" t="s">
        <v>464</v>
      </c>
      <c r="BA161" s="35" t="s">
        <v>77</v>
      </c>
      <c r="BB161" s="35" t="s">
        <v>10</v>
      </c>
      <c r="BC161" s="35" t="s">
        <v>2419</v>
      </c>
      <c r="BD161" s="35" t="s">
        <v>1742</v>
      </c>
      <c r="BE161" s="35" t="s">
        <v>10</v>
      </c>
      <c r="BF161" s="35" t="s">
        <v>10</v>
      </c>
      <c r="BG161" s="35">
        <v>1130</v>
      </c>
      <c r="BH161" s="35" t="s">
        <v>2420</v>
      </c>
      <c r="BI161" s="35">
        <v>0.5</v>
      </c>
      <c r="BJ161" s="35" t="s">
        <v>1445</v>
      </c>
      <c r="BK161" s="35" t="s">
        <v>678</v>
      </c>
      <c r="BL161" s="35" t="s">
        <v>680</v>
      </c>
      <c r="BM161" s="35" t="s">
        <v>681</v>
      </c>
      <c r="BN161" s="35" t="s">
        <v>682</v>
      </c>
      <c r="BO161" s="35" t="s">
        <v>2358</v>
      </c>
      <c r="BP161" s="35" t="s">
        <v>2359</v>
      </c>
      <c r="BQ161" s="35">
        <v>29067</v>
      </c>
      <c r="BW161" s="248"/>
      <c r="BX161" s="248"/>
      <c r="BY161" s="248"/>
      <c r="BZ161" s="248"/>
      <c r="CA161" s="248"/>
      <c r="CB161" s="248"/>
      <c r="CC161" s="248"/>
      <c r="CD161" s="248"/>
      <c r="CE161" s="248"/>
      <c r="CF161" s="248"/>
      <c r="CG161" s="248"/>
      <c r="CH161" s="248"/>
      <c r="CI161" s="248"/>
      <c r="CJ161" s="248"/>
      <c r="CK161" s="248"/>
      <c r="CL161" s="248"/>
      <c r="CM161" s="248"/>
      <c r="CN161" s="248"/>
      <c r="CO161" s="248"/>
      <c r="CP161" s="248"/>
      <c r="CQ161" s="248"/>
      <c r="CR161" s="248"/>
      <c r="CS161" s="248"/>
      <c r="CT161" s="248"/>
      <c r="CU161" s="248"/>
      <c r="CV161" s="248"/>
      <c r="CW161" s="248"/>
      <c r="CX161" s="248"/>
      <c r="CY161" s="248"/>
      <c r="CZ161" s="248"/>
      <c r="DA161" s="248"/>
      <c r="DB161" s="248"/>
      <c r="DC161" s="248"/>
      <c r="DD161" s="248"/>
      <c r="DE161" s="248"/>
      <c r="DF161" s="248"/>
      <c r="DG161" s="248"/>
      <c r="DH161" s="248"/>
      <c r="DI161" s="248"/>
      <c r="DJ161" s="248"/>
      <c r="DK161" s="248"/>
      <c r="DL161" s="248"/>
      <c r="DM161" s="248"/>
      <c r="DN161" s="248"/>
      <c r="DO161" s="248"/>
      <c r="DP161" s="248"/>
      <c r="DQ161" s="248"/>
      <c r="DR161" s="248"/>
      <c r="DS161" s="248"/>
      <c r="DT161" s="248"/>
      <c r="DU161" s="248"/>
      <c r="DV161" s="248"/>
      <c r="DW161" s="248"/>
      <c r="DX161" s="248"/>
      <c r="DY161" s="248"/>
      <c r="DZ161" s="248"/>
      <c r="EA161" s="248"/>
      <c r="EB161" s="248"/>
      <c r="EC161" s="248"/>
      <c r="ED161" s="248"/>
      <c r="EE161" s="248"/>
    </row>
    <row r="162" spans="1:135" s="35" customFormat="1" ht="16.5">
      <c r="A162" s="35" t="str">
        <f t="shared" si="5"/>
        <v>ASOM_D              SP_AC31</v>
      </c>
      <c r="B162" s="331"/>
      <c r="C162" s="248">
        <v>29068</v>
      </c>
      <c r="D162" s="283" t="s">
        <v>606</v>
      </c>
      <c r="F162" s="35" t="s">
        <v>1086</v>
      </c>
      <c r="G162" s="35" t="s">
        <v>2239</v>
      </c>
      <c r="H162" s="35" t="s">
        <v>610</v>
      </c>
      <c r="N162" s="35" t="s">
        <v>537</v>
      </c>
      <c r="O162" s="34" t="s">
        <v>1086</v>
      </c>
      <c r="P162" s="285" t="s">
        <v>1097</v>
      </c>
      <c r="Q162" s="58"/>
      <c r="R162" s="39"/>
      <c r="AH162" s="279"/>
      <c r="AJ162" s="279" t="s">
        <v>1117</v>
      </c>
      <c r="AK162" s="279"/>
      <c r="AL162" s="523">
        <v>3</v>
      </c>
      <c r="AM162" s="35">
        <v>29068</v>
      </c>
      <c r="AN162" s="35" t="s">
        <v>1477</v>
      </c>
      <c r="AO162" s="35" t="s">
        <v>1704</v>
      </c>
      <c r="AP162" s="35" t="s">
        <v>712</v>
      </c>
      <c r="AQ162" s="34" t="s">
        <v>2274</v>
      </c>
      <c r="AR162" s="35">
        <v>1</v>
      </c>
      <c r="AS162" s="35" t="s">
        <v>915</v>
      </c>
      <c r="AT162" s="35" t="s">
        <v>87</v>
      </c>
      <c r="AU162" s="35" t="s">
        <v>10</v>
      </c>
      <c r="AV162" s="35" t="s">
        <v>1706</v>
      </c>
      <c r="AW162" s="35" t="s">
        <v>684</v>
      </c>
      <c r="AX162" s="34" t="s">
        <v>2239</v>
      </c>
      <c r="AY162" s="35">
        <v>1</v>
      </c>
      <c r="AZ162" s="35" t="s">
        <v>519</v>
      </c>
      <c r="BA162" s="35" t="s">
        <v>10</v>
      </c>
      <c r="BB162" s="35" t="s">
        <v>10</v>
      </c>
      <c r="BC162" s="35" t="s">
        <v>2421</v>
      </c>
      <c r="BD162" s="35" t="s">
        <v>1742</v>
      </c>
      <c r="BE162" s="35" t="s">
        <v>10</v>
      </c>
      <c r="BF162" s="35" t="s">
        <v>10</v>
      </c>
      <c r="BG162" s="35">
        <v>1078</v>
      </c>
      <c r="BH162" s="35" t="s">
        <v>2420</v>
      </c>
      <c r="BI162" s="35">
        <v>0.35</v>
      </c>
      <c r="BJ162" s="35" t="s">
        <v>1445</v>
      </c>
      <c r="BK162" s="35" t="s">
        <v>678</v>
      </c>
      <c r="BL162" s="35" t="s">
        <v>680</v>
      </c>
      <c r="BM162" s="35" t="s">
        <v>681</v>
      </c>
      <c r="BN162" s="35" t="s">
        <v>682</v>
      </c>
      <c r="BO162" s="35" t="s">
        <v>2358</v>
      </c>
      <c r="BP162" s="35" t="s">
        <v>2359</v>
      </c>
      <c r="BQ162" s="35">
        <v>29068</v>
      </c>
      <c r="BW162" s="248"/>
      <c r="BX162" s="248"/>
      <c r="BY162" s="248"/>
      <c r="BZ162" s="248"/>
      <c r="CA162" s="248"/>
      <c r="CB162" s="248"/>
      <c r="CC162" s="248"/>
      <c r="CD162" s="248"/>
      <c r="CE162" s="248"/>
      <c r="CF162" s="248"/>
      <c r="CG162" s="248"/>
      <c r="CH162" s="248"/>
      <c r="CI162" s="248"/>
      <c r="CJ162" s="248"/>
      <c r="CK162" s="248"/>
      <c r="CL162" s="248"/>
      <c r="CM162" s="248"/>
      <c r="CN162" s="248"/>
      <c r="CO162" s="248"/>
      <c r="CP162" s="248"/>
      <c r="CQ162" s="248"/>
      <c r="CR162" s="248"/>
      <c r="CS162" s="248"/>
      <c r="CT162" s="248"/>
      <c r="CU162" s="248"/>
      <c r="CV162" s="248"/>
      <c r="CW162" s="248"/>
      <c r="CX162" s="248"/>
      <c r="CY162" s="248"/>
      <c r="CZ162" s="248"/>
      <c r="DA162" s="248"/>
      <c r="DB162" s="248"/>
      <c r="DC162" s="248"/>
      <c r="DD162" s="248"/>
      <c r="DE162" s="248"/>
      <c r="DF162" s="248"/>
      <c r="DG162" s="248"/>
      <c r="DH162" s="248"/>
      <c r="DI162" s="248"/>
      <c r="DJ162" s="248"/>
      <c r="DK162" s="248"/>
      <c r="DL162" s="248"/>
      <c r="DM162" s="248"/>
      <c r="DN162" s="248"/>
      <c r="DO162" s="248"/>
      <c r="DP162" s="248"/>
      <c r="DQ162" s="248"/>
      <c r="DR162" s="248"/>
      <c r="DS162" s="248"/>
      <c r="DT162" s="248"/>
      <c r="DU162" s="248"/>
      <c r="DV162" s="248"/>
      <c r="DW162" s="248"/>
      <c r="DX162" s="248"/>
      <c r="DY162" s="248"/>
      <c r="DZ162" s="248"/>
      <c r="EA162" s="248"/>
      <c r="EB162" s="248"/>
      <c r="EC162" s="248"/>
      <c r="ED162" s="248"/>
      <c r="EE162" s="248"/>
    </row>
    <row r="163" spans="1:135" s="35" customFormat="1" ht="16.5">
      <c r="A163" s="35" t="str">
        <f t="shared" si="5"/>
        <v>ASOM_C              SP_AC31</v>
      </c>
      <c r="B163" s="331"/>
      <c r="C163" s="248">
        <v>29069</v>
      </c>
      <c r="D163" s="283" t="s">
        <v>606</v>
      </c>
      <c r="F163" s="35" t="s">
        <v>1086</v>
      </c>
      <c r="G163" s="35" t="s">
        <v>2239</v>
      </c>
      <c r="H163" s="35" t="s">
        <v>610</v>
      </c>
      <c r="N163" s="35" t="s">
        <v>537</v>
      </c>
      <c r="O163" s="34" t="s">
        <v>1086</v>
      </c>
      <c r="P163" s="285" t="s">
        <v>1097</v>
      </c>
      <c r="Q163" s="58"/>
      <c r="R163" s="39"/>
      <c r="AH163" s="279"/>
      <c r="AJ163" s="279" t="s">
        <v>1117</v>
      </c>
      <c r="AK163" s="279"/>
      <c r="AL163" s="523">
        <v>3</v>
      </c>
      <c r="AM163" s="35">
        <v>29069</v>
      </c>
      <c r="AN163" s="35" t="s">
        <v>1478</v>
      </c>
      <c r="AO163" s="35" t="s">
        <v>1704</v>
      </c>
      <c r="AP163" s="35" t="s">
        <v>713</v>
      </c>
      <c r="AQ163" s="34" t="s">
        <v>2275</v>
      </c>
      <c r="AR163" s="35">
        <v>1</v>
      </c>
      <c r="AS163" s="35" t="s">
        <v>686</v>
      </c>
      <c r="AT163" s="35" t="s">
        <v>87</v>
      </c>
      <c r="AU163" s="35" t="s">
        <v>10</v>
      </c>
      <c r="AV163" s="35" t="s">
        <v>1706</v>
      </c>
      <c r="AW163" s="35" t="s">
        <v>684</v>
      </c>
      <c r="AX163" s="34" t="s">
        <v>2239</v>
      </c>
      <c r="AY163" s="35">
        <v>1</v>
      </c>
      <c r="AZ163" s="35" t="s">
        <v>519</v>
      </c>
      <c r="BA163" s="35" t="s">
        <v>10</v>
      </c>
      <c r="BB163" s="35" t="s">
        <v>10</v>
      </c>
      <c r="BC163" s="35" t="s">
        <v>2421</v>
      </c>
      <c r="BD163" s="35" t="s">
        <v>1742</v>
      </c>
      <c r="BE163" s="35" t="s">
        <v>10</v>
      </c>
      <c r="BF163" s="35" t="s">
        <v>10</v>
      </c>
      <c r="BG163" s="35">
        <v>1018</v>
      </c>
      <c r="BH163" s="35" t="s">
        <v>2420</v>
      </c>
      <c r="BI163" s="35">
        <v>0.35</v>
      </c>
      <c r="BJ163" s="35" t="s">
        <v>1445</v>
      </c>
      <c r="BK163" s="35" t="s">
        <v>678</v>
      </c>
      <c r="BL163" s="35" t="s">
        <v>680</v>
      </c>
      <c r="BM163" s="35" t="s">
        <v>681</v>
      </c>
      <c r="BN163" s="35" t="s">
        <v>682</v>
      </c>
      <c r="BO163" s="35" t="s">
        <v>2358</v>
      </c>
      <c r="BP163" s="35" t="s">
        <v>2359</v>
      </c>
      <c r="BQ163" s="35">
        <v>29069</v>
      </c>
      <c r="BW163" s="248"/>
      <c r="BX163" s="248"/>
      <c r="BY163" s="248"/>
      <c r="BZ163" s="248"/>
      <c r="CA163" s="248"/>
      <c r="CB163" s="248"/>
      <c r="CC163" s="248"/>
      <c r="CD163" s="248"/>
      <c r="CE163" s="248"/>
      <c r="CF163" s="248"/>
      <c r="CG163" s="248"/>
      <c r="CH163" s="248"/>
      <c r="CI163" s="248"/>
      <c r="CJ163" s="248"/>
      <c r="CK163" s="248"/>
      <c r="CL163" s="248"/>
      <c r="CM163" s="248"/>
      <c r="CN163" s="248"/>
      <c r="CO163" s="248"/>
      <c r="CP163" s="248"/>
      <c r="CQ163" s="248"/>
      <c r="CR163" s="248"/>
      <c r="CS163" s="248"/>
      <c r="CT163" s="248"/>
      <c r="CU163" s="248"/>
      <c r="CV163" s="248"/>
      <c r="CW163" s="248"/>
      <c r="CX163" s="248"/>
      <c r="CY163" s="248"/>
      <c r="CZ163" s="248"/>
      <c r="DA163" s="248"/>
      <c r="DB163" s="248"/>
      <c r="DC163" s="248"/>
      <c r="DD163" s="248"/>
      <c r="DE163" s="248"/>
      <c r="DF163" s="248"/>
      <c r="DG163" s="248"/>
      <c r="DH163" s="248"/>
      <c r="DI163" s="248"/>
      <c r="DJ163" s="248"/>
      <c r="DK163" s="248"/>
      <c r="DL163" s="248"/>
      <c r="DM163" s="248"/>
      <c r="DN163" s="248"/>
      <c r="DO163" s="248"/>
      <c r="DP163" s="248"/>
      <c r="DQ163" s="248"/>
      <c r="DR163" s="248"/>
      <c r="DS163" s="248"/>
      <c r="DT163" s="248"/>
      <c r="DU163" s="248"/>
      <c r="DV163" s="248"/>
      <c r="DW163" s="248"/>
      <c r="DX163" s="248"/>
      <c r="DY163" s="248"/>
      <c r="DZ163" s="248"/>
      <c r="EA163" s="248"/>
      <c r="EB163" s="248"/>
      <c r="EC163" s="248"/>
      <c r="ED163" s="248"/>
      <c r="EE163" s="248"/>
    </row>
    <row r="164" spans="1:135" s="35" customFormat="1" ht="16.5">
      <c r="A164" s="35" t="str">
        <f t="shared" si="5"/>
        <v>ASOM_B              SP_AC31</v>
      </c>
      <c r="B164" s="331"/>
      <c r="C164" s="248">
        <v>29070</v>
      </c>
      <c r="D164" s="283" t="s">
        <v>606</v>
      </c>
      <c r="F164" s="35" t="s">
        <v>1086</v>
      </c>
      <c r="G164" s="35" t="s">
        <v>2239</v>
      </c>
      <c r="H164" s="35" t="s">
        <v>610</v>
      </c>
      <c r="N164" s="35" t="s">
        <v>537</v>
      </c>
      <c r="O164" s="34" t="s">
        <v>1086</v>
      </c>
      <c r="P164" s="285" t="s">
        <v>1097</v>
      </c>
      <c r="Q164" s="58"/>
      <c r="R164" s="39"/>
      <c r="AH164" s="279"/>
      <c r="AJ164" s="279" t="s">
        <v>1117</v>
      </c>
      <c r="AK164" s="279"/>
      <c r="AL164" s="523">
        <v>3</v>
      </c>
      <c r="AM164" s="35">
        <v>29070</v>
      </c>
      <c r="AN164" s="35" t="s">
        <v>1479</v>
      </c>
      <c r="AO164" s="35" t="s">
        <v>1704</v>
      </c>
      <c r="AP164" s="35" t="s">
        <v>705</v>
      </c>
      <c r="AQ164" s="34" t="s">
        <v>2271</v>
      </c>
      <c r="AR164" s="35">
        <v>1</v>
      </c>
      <c r="AS164" s="35" t="s">
        <v>1898</v>
      </c>
      <c r="AT164" s="35" t="s">
        <v>87</v>
      </c>
      <c r="AU164" s="35" t="s">
        <v>10</v>
      </c>
      <c r="AV164" s="35" t="s">
        <v>1706</v>
      </c>
      <c r="AW164" s="35" t="s">
        <v>684</v>
      </c>
      <c r="AX164" s="34" t="s">
        <v>2239</v>
      </c>
      <c r="AY164" s="35">
        <v>1</v>
      </c>
      <c r="AZ164" s="35" t="s">
        <v>519</v>
      </c>
      <c r="BA164" s="35" t="s">
        <v>10</v>
      </c>
      <c r="BB164" s="35" t="s">
        <v>10</v>
      </c>
      <c r="BC164" s="35" t="s">
        <v>2421</v>
      </c>
      <c r="BD164" s="35" t="s">
        <v>1742</v>
      </c>
      <c r="BE164" s="35" t="s">
        <v>10</v>
      </c>
      <c r="BF164" s="35" t="s">
        <v>10</v>
      </c>
      <c r="BG164" s="35">
        <v>569</v>
      </c>
      <c r="BH164" s="35" t="s">
        <v>2420</v>
      </c>
      <c r="BI164" s="35">
        <v>0.35</v>
      </c>
      <c r="BJ164" s="35" t="s">
        <v>1445</v>
      </c>
      <c r="BK164" s="35" t="s">
        <v>678</v>
      </c>
      <c r="BL164" s="35" t="s">
        <v>680</v>
      </c>
      <c r="BM164" s="35" t="s">
        <v>681</v>
      </c>
      <c r="BN164" s="35" t="s">
        <v>682</v>
      </c>
      <c r="BO164" s="35" t="s">
        <v>2358</v>
      </c>
      <c r="BP164" s="35" t="s">
        <v>2359</v>
      </c>
      <c r="BQ164" s="35">
        <v>29070</v>
      </c>
      <c r="BW164" s="248"/>
      <c r="BX164" s="248"/>
      <c r="BY164" s="248"/>
      <c r="BZ164" s="248"/>
      <c r="CA164" s="248"/>
      <c r="CB164" s="248"/>
      <c r="CC164" s="248"/>
      <c r="CD164" s="248"/>
      <c r="CE164" s="248"/>
      <c r="CF164" s="248"/>
      <c r="CG164" s="248"/>
      <c r="CH164" s="248"/>
      <c r="CI164" s="248"/>
      <c r="CJ164" s="248"/>
      <c r="CK164" s="248"/>
      <c r="CL164" s="248"/>
      <c r="CM164" s="248"/>
      <c r="CN164" s="248"/>
      <c r="CO164" s="248"/>
      <c r="CP164" s="248"/>
      <c r="CQ164" s="248"/>
      <c r="CR164" s="248"/>
      <c r="CS164" s="248"/>
      <c r="CT164" s="248"/>
      <c r="CU164" s="248"/>
      <c r="CV164" s="248"/>
      <c r="CW164" s="248"/>
      <c r="CX164" s="248"/>
      <c r="CY164" s="248"/>
      <c r="CZ164" s="248"/>
      <c r="DA164" s="248"/>
      <c r="DB164" s="248"/>
      <c r="DC164" s="248"/>
      <c r="DD164" s="248"/>
      <c r="DE164" s="248"/>
      <c r="DF164" s="248"/>
      <c r="DG164" s="248"/>
      <c r="DH164" s="248"/>
      <c r="DI164" s="248"/>
      <c r="DJ164" s="248"/>
      <c r="DK164" s="248"/>
      <c r="DL164" s="248"/>
      <c r="DM164" s="248"/>
      <c r="DN164" s="248"/>
      <c r="DO164" s="248"/>
      <c r="DP164" s="248"/>
      <c r="DQ164" s="248"/>
      <c r="DR164" s="248"/>
      <c r="DS164" s="248"/>
      <c r="DT164" s="248"/>
      <c r="DU164" s="248"/>
      <c r="DV164" s="248"/>
      <c r="DW164" s="248"/>
      <c r="DX164" s="248"/>
      <c r="DY164" s="248"/>
      <c r="DZ164" s="248"/>
      <c r="EA164" s="248"/>
      <c r="EB164" s="248"/>
      <c r="EC164" s="248"/>
      <c r="ED164" s="248"/>
      <c r="EE164" s="248"/>
    </row>
    <row r="165" spans="1:135" s="35" customFormat="1" ht="16.5">
      <c r="A165" s="35" t="str">
        <f t="shared" si="5"/>
        <v>ASOM_A              SP_AC31</v>
      </c>
      <c r="B165" s="331"/>
      <c r="C165" s="248">
        <v>29071</v>
      </c>
      <c r="D165" s="283" t="s">
        <v>606</v>
      </c>
      <c r="F165" s="35" t="s">
        <v>1086</v>
      </c>
      <c r="G165" s="35" t="s">
        <v>2239</v>
      </c>
      <c r="H165" s="35" t="s">
        <v>610</v>
      </c>
      <c r="N165" s="35" t="s">
        <v>537</v>
      </c>
      <c r="O165" s="34" t="s">
        <v>1086</v>
      </c>
      <c r="P165" s="285" t="s">
        <v>1097</v>
      </c>
      <c r="Q165" s="58"/>
      <c r="R165" s="39"/>
      <c r="AH165" s="279"/>
      <c r="AJ165" s="279" t="s">
        <v>1117</v>
      </c>
      <c r="AK165" s="279"/>
      <c r="AL165" s="523">
        <v>3</v>
      </c>
      <c r="AM165" s="35">
        <v>29071</v>
      </c>
      <c r="AN165" s="35" t="s">
        <v>1480</v>
      </c>
      <c r="AO165" s="35" t="s">
        <v>1704</v>
      </c>
      <c r="AP165" s="35" t="s">
        <v>702</v>
      </c>
      <c r="AQ165" s="34" t="s">
        <v>2270</v>
      </c>
      <c r="AR165" s="35">
        <v>1</v>
      </c>
      <c r="AS165" s="35" t="s">
        <v>1069</v>
      </c>
      <c r="AT165" s="35" t="s">
        <v>87</v>
      </c>
      <c r="AU165" s="35" t="s">
        <v>10</v>
      </c>
      <c r="AV165" s="35" t="s">
        <v>1706</v>
      </c>
      <c r="AW165" s="35" t="s">
        <v>684</v>
      </c>
      <c r="AX165" s="34" t="s">
        <v>2239</v>
      </c>
      <c r="AY165" s="35">
        <v>1</v>
      </c>
      <c r="AZ165" s="35" t="s">
        <v>519</v>
      </c>
      <c r="BA165" s="35" t="s">
        <v>10</v>
      </c>
      <c r="BB165" s="35" t="s">
        <v>10</v>
      </c>
      <c r="BC165" s="35" t="s">
        <v>2421</v>
      </c>
      <c r="BD165" s="35" t="s">
        <v>1742</v>
      </c>
      <c r="BE165" s="35" t="s">
        <v>10</v>
      </c>
      <c r="BF165" s="35" t="s">
        <v>10</v>
      </c>
      <c r="BG165" s="35">
        <v>509</v>
      </c>
      <c r="BH165" s="35" t="s">
        <v>2420</v>
      </c>
      <c r="BI165" s="35">
        <v>0.35</v>
      </c>
      <c r="BJ165" s="35" t="s">
        <v>1445</v>
      </c>
      <c r="BK165" s="35" t="s">
        <v>678</v>
      </c>
      <c r="BL165" s="35" t="s">
        <v>680</v>
      </c>
      <c r="BM165" s="35" t="s">
        <v>681</v>
      </c>
      <c r="BN165" s="35" t="s">
        <v>682</v>
      </c>
      <c r="BO165" s="35" t="s">
        <v>2358</v>
      </c>
      <c r="BP165" s="35" t="s">
        <v>2359</v>
      </c>
      <c r="BQ165" s="35">
        <v>29071</v>
      </c>
      <c r="BW165" s="248"/>
      <c r="BX165" s="248"/>
      <c r="BY165" s="248"/>
      <c r="BZ165" s="248"/>
      <c r="CA165" s="248"/>
      <c r="CB165" s="248"/>
      <c r="CC165" s="248"/>
      <c r="CD165" s="248"/>
      <c r="CE165" s="248"/>
      <c r="CF165" s="248"/>
      <c r="CG165" s="248"/>
      <c r="CH165" s="248"/>
      <c r="CI165" s="248"/>
      <c r="CJ165" s="248"/>
      <c r="CK165" s="248"/>
      <c r="CL165" s="248"/>
      <c r="CM165" s="248"/>
      <c r="CN165" s="248"/>
      <c r="CO165" s="248"/>
      <c r="CP165" s="248"/>
      <c r="CQ165" s="248"/>
      <c r="CR165" s="248"/>
      <c r="CS165" s="248"/>
      <c r="CT165" s="248"/>
      <c r="CU165" s="248"/>
      <c r="CV165" s="248"/>
      <c r="CW165" s="248"/>
      <c r="CX165" s="248"/>
      <c r="CY165" s="248"/>
      <c r="CZ165" s="248"/>
      <c r="DA165" s="248"/>
      <c r="DB165" s="248"/>
      <c r="DC165" s="248"/>
      <c r="DD165" s="248"/>
      <c r="DE165" s="248"/>
      <c r="DF165" s="248"/>
      <c r="DG165" s="248"/>
      <c r="DH165" s="248"/>
      <c r="DI165" s="248"/>
      <c r="DJ165" s="248"/>
      <c r="DK165" s="248"/>
      <c r="DL165" s="248"/>
      <c r="DM165" s="248"/>
      <c r="DN165" s="248"/>
      <c r="DO165" s="248"/>
      <c r="DP165" s="248"/>
      <c r="DQ165" s="248"/>
      <c r="DR165" s="248"/>
      <c r="DS165" s="248"/>
      <c r="DT165" s="248"/>
      <c r="DU165" s="248"/>
      <c r="DV165" s="248"/>
      <c r="DW165" s="248"/>
      <c r="DX165" s="248"/>
      <c r="DY165" s="248"/>
      <c r="DZ165" s="248"/>
      <c r="EA165" s="248"/>
      <c r="EB165" s="248"/>
      <c r="EC165" s="248"/>
      <c r="ED165" s="248"/>
      <c r="EE165" s="248"/>
    </row>
    <row r="166" spans="1:135" s="35" customFormat="1" ht="16.5">
      <c r="A166" s="35" t="str">
        <f t="shared" si="5"/>
        <v>ASOM_D              SP_AC30</v>
      </c>
      <c r="B166" s="331"/>
      <c r="C166" s="248">
        <v>29072</v>
      </c>
      <c r="D166" s="283" t="s">
        <v>606</v>
      </c>
      <c r="F166" s="35" t="s">
        <v>1086</v>
      </c>
      <c r="G166" s="35" t="s">
        <v>2241</v>
      </c>
      <c r="H166" s="35" t="s">
        <v>610</v>
      </c>
      <c r="N166" s="35" t="s">
        <v>537</v>
      </c>
      <c r="O166" s="34" t="s">
        <v>1086</v>
      </c>
      <c r="P166" s="285" t="s">
        <v>1097</v>
      </c>
      <c r="Q166" s="58"/>
      <c r="R166" s="39"/>
      <c r="AH166" s="279"/>
      <c r="AJ166" s="279" t="s">
        <v>1117</v>
      </c>
      <c r="AK166" s="279"/>
      <c r="AL166" s="523">
        <v>3</v>
      </c>
      <c r="AM166" s="35">
        <v>29072</v>
      </c>
      <c r="AN166" s="35" t="s">
        <v>1481</v>
      </c>
      <c r="AO166" s="35" t="s">
        <v>1704</v>
      </c>
      <c r="AP166" s="35" t="s">
        <v>712</v>
      </c>
      <c r="AQ166" s="34" t="s">
        <v>2274</v>
      </c>
      <c r="AR166" s="35">
        <v>4</v>
      </c>
      <c r="AS166" s="35" t="s">
        <v>915</v>
      </c>
      <c r="AT166" s="35" t="s">
        <v>87</v>
      </c>
      <c r="AU166" s="35" t="s">
        <v>10</v>
      </c>
      <c r="AV166" s="35" t="s">
        <v>1730</v>
      </c>
      <c r="AW166" s="35" t="s">
        <v>531</v>
      </c>
      <c r="AX166" s="34" t="s">
        <v>2241</v>
      </c>
      <c r="AY166" s="35">
        <v>1</v>
      </c>
      <c r="AZ166" s="35" t="s">
        <v>1310</v>
      </c>
      <c r="BA166" s="35" t="s">
        <v>10</v>
      </c>
      <c r="BB166" s="35" t="s">
        <v>10</v>
      </c>
      <c r="BC166" s="35" t="s">
        <v>220</v>
      </c>
      <c r="BD166" s="35" t="s">
        <v>1742</v>
      </c>
      <c r="BE166" s="35" t="s">
        <v>10</v>
      </c>
      <c r="BF166" s="35" t="s">
        <v>10</v>
      </c>
      <c r="BG166" s="35">
        <v>1011</v>
      </c>
      <c r="BH166" s="35" t="s">
        <v>112</v>
      </c>
      <c r="BI166" s="35">
        <v>0.35</v>
      </c>
      <c r="BJ166" s="35" t="s">
        <v>1454</v>
      </c>
      <c r="BK166" s="35" t="s">
        <v>678</v>
      </c>
      <c r="BL166" s="35" t="s">
        <v>680</v>
      </c>
      <c r="BM166" s="35" t="s">
        <v>681</v>
      </c>
      <c r="BN166" s="35" t="s">
        <v>682</v>
      </c>
      <c r="BO166" s="35" t="s">
        <v>2358</v>
      </c>
      <c r="BP166" s="35" t="s">
        <v>2359</v>
      </c>
      <c r="BQ166" s="35">
        <v>29072</v>
      </c>
      <c r="BW166" s="248"/>
      <c r="BX166" s="248"/>
      <c r="BY166" s="248"/>
      <c r="BZ166" s="248"/>
      <c r="CA166" s="248"/>
      <c r="CB166" s="248"/>
      <c r="CC166" s="248"/>
      <c r="CD166" s="248"/>
      <c r="CE166" s="248"/>
      <c r="CF166" s="248"/>
      <c r="CG166" s="248"/>
      <c r="CH166" s="248"/>
      <c r="CI166" s="248"/>
      <c r="CJ166" s="248"/>
      <c r="CK166" s="248"/>
      <c r="CL166" s="248"/>
      <c r="CM166" s="248"/>
      <c r="CN166" s="248"/>
      <c r="CO166" s="248"/>
      <c r="CP166" s="248"/>
      <c r="CQ166" s="248"/>
      <c r="CR166" s="248"/>
      <c r="CS166" s="248"/>
      <c r="CT166" s="248"/>
      <c r="CU166" s="248"/>
      <c r="CV166" s="248"/>
      <c r="CW166" s="248"/>
      <c r="CX166" s="248"/>
      <c r="CY166" s="248"/>
      <c r="CZ166" s="248"/>
      <c r="DA166" s="248"/>
      <c r="DB166" s="248"/>
      <c r="DC166" s="248"/>
      <c r="DD166" s="248"/>
      <c r="DE166" s="248"/>
      <c r="DF166" s="248"/>
      <c r="DG166" s="248"/>
      <c r="DH166" s="248"/>
      <c r="DI166" s="248"/>
      <c r="DJ166" s="248"/>
      <c r="DK166" s="248"/>
      <c r="DL166" s="248"/>
      <c r="DM166" s="248"/>
      <c r="DN166" s="248"/>
      <c r="DO166" s="248"/>
      <c r="DP166" s="248"/>
      <c r="DQ166" s="248"/>
      <c r="DR166" s="248"/>
      <c r="DS166" s="248"/>
      <c r="DT166" s="248"/>
      <c r="DU166" s="248"/>
      <c r="DV166" s="248"/>
      <c r="DW166" s="248"/>
      <c r="DX166" s="248"/>
      <c r="DY166" s="248"/>
      <c r="DZ166" s="248"/>
      <c r="EA166" s="248"/>
      <c r="EB166" s="248"/>
      <c r="EC166" s="248"/>
      <c r="ED166" s="248"/>
      <c r="EE166" s="248"/>
    </row>
    <row r="167" spans="1:135" s="35" customFormat="1" ht="16.5">
      <c r="A167" s="35" t="str">
        <f t="shared" si="5"/>
        <v>ASOM_C              SP_AC30</v>
      </c>
      <c r="B167" s="331"/>
      <c r="C167" s="248">
        <v>29073</v>
      </c>
      <c r="D167" s="283" t="s">
        <v>606</v>
      </c>
      <c r="F167" s="35" t="s">
        <v>1086</v>
      </c>
      <c r="G167" s="35" t="s">
        <v>2241</v>
      </c>
      <c r="H167" s="35" t="s">
        <v>610</v>
      </c>
      <c r="N167" s="35" t="s">
        <v>537</v>
      </c>
      <c r="O167" s="34" t="s">
        <v>1086</v>
      </c>
      <c r="P167" s="285" t="s">
        <v>1097</v>
      </c>
      <c r="Q167" s="58"/>
      <c r="R167" s="39"/>
      <c r="AH167" s="279"/>
      <c r="AJ167" s="279" t="s">
        <v>1117</v>
      </c>
      <c r="AK167" s="279"/>
      <c r="AL167" s="523">
        <v>3</v>
      </c>
      <c r="AM167" s="35">
        <v>29073</v>
      </c>
      <c r="AN167" s="35" t="s">
        <v>1482</v>
      </c>
      <c r="AO167" s="35" t="s">
        <v>1704</v>
      </c>
      <c r="AP167" s="35" t="s">
        <v>713</v>
      </c>
      <c r="AQ167" s="34" t="s">
        <v>2275</v>
      </c>
      <c r="AR167" s="35">
        <v>4</v>
      </c>
      <c r="AS167" s="35" t="s">
        <v>686</v>
      </c>
      <c r="AT167" s="35" t="s">
        <v>87</v>
      </c>
      <c r="AU167" s="35" t="s">
        <v>10</v>
      </c>
      <c r="AV167" s="35" t="s">
        <v>1730</v>
      </c>
      <c r="AW167" s="35" t="s">
        <v>531</v>
      </c>
      <c r="AX167" s="34" t="s">
        <v>2241</v>
      </c>
      <c r="AY167" s="35">
        <v>1</v>
      </c>
      <c r="AZ167" s="35" t="s">
        <v>1310</v>
      </c>
      <c r="BA167" s="35" t="s">
        <v>10</v>
      </c>
      <c r="BB167" s="35" t="s">
        <v>10</v>
      </c>
      <c r="BC167" s="35" t="s">
        <v>220</v>
      </c>
      <c r="BD167" s="35" t="s">
        <v>1742</v>
      </c>
      <c r="BE167" s="35" t="s">
        <v>10</v>
      </c>
      <c r="BF167" s="35" t="s">
        <v>10</v>
      </c>
      <c r="BG167" s="35">
        <v>951</v>
      </c>
      <c r="BH167" s="35" t="s">
        <v>112</v>
      </c>
      <c r="BI167" s="35">
        <v>0.35</v>
      </c>
      <c r="BJ167" s="35" t="s">
        <v>1454</v>
      </c>
      <c r="BK167" s="35" t="s">
        <v>678</v>
      </c>
      <c r="BL167" s="35" t="s">
        <v>680</v>
      </c>
      <c r="BM167" s="35" t="s">
        <v>681</v>
      </c>
      <c r="BN167" s="35" t="s">
        <v>682</v>
      </c>
      <c r="BO167" s="35" t="s">
        <v>2358</v>
      </c>
      <c r="BP167" s="35" t="s">
        <v>2359</v>
      </c>
      <c r="BQ167" s="35">
        <v>29073</v>
      </c>
      <c r="BW167" s="248"/>
      <c r="BX167" s="248"/>
      <c r="BY167" s="248"/>
      <c r="BZ167" s="248"/>
      <c r="CA167" s="248"/>
      <c r="CB167" s="248"/>
      <c r="CC167" s="248"/>
      <c r="CD167" s="248"/>
      <c r="CE167" s="248"/>
      <c r="CF167" s="248"/>
      <c r="CG167" s="248"/>
      <c r="CH167" s="248"/>
      <c r="CI167" s="248"/>
      <c r="CJ167" s="248"/>
      <c r="CK167" s="248"/>
      <c r="CL167" s="248"/>
      <c r="CM167" s="248"/>
      <c r="CN167" s="248"/>
      <c r="CO167" s="248"/>
      <c r="CP167" s="248"/>
      <c r="CQ167" s="248"/>
      <c r="CR167" s="248"/>
      <c r="CS167" s="248"/>
      <c r="CT167" s="248"/>
      <c r="CU167" s="248"/>
      <c r="CV167" s="248"/>
      <c r="CW167" s="248"/>
      <c r="CX167" s="248"/>
      <c r="CY167" s="248"/>
      <c r="CZ167" s="248"/>
      <c r="DA167" s="248"/>
      <c r="DB167" s="248"/>
      <c r="DC167" s="248"/>
      <c r="DD167" s="248"/>
      <c r="DE167" s="248"/>
      <c r="DF167" s="248"/>
      <c r="DG167" s="248"/>
      <c r="DH167" s="248"/>
      <c r="DI167" s="248"/>
      <c r="DJ167" s="248"/>
      <c r="DK167" s="248"/>
      <c r="DL167" s="248"/>
      <c r="DM167" s="248"/>
      <c r="DN167" s="248"/>
      <c r="DO167" s="248"/>
      <c r="DP167" s="248"/>
      <c r="DQ167" s="248"/>
      <c r="DR167" s="248"/>
      <c r="DS167" s="248"/>
      <c r="DT167" s="248"/>
      <c r="DU167" s="248"/>
      <c r="DV167" s="248"/>
      <c r="DW167" s="248"/>
      <c r="DX167" s="248"/>
      <c r="DY167" s="248"/>
      <c r="DZ167" s="248"/>
      <c r="EA167" s="248"/>
      <c r="EB167" s="248"/>
      <c r="EC167" s="248"/>
      <c r="ED167" s="248"/>
      <c r="EE167" s="248"/>
    </row>
    <row r="168" spans="1:135" s="35" customFormat="1" ht="16.5">
      <c r="A168" s="35" t="str">
        <f t="shared" si="5"/>
        <v>ASOM_B              SP_AC30</v>
      </c>
      <c r="B168" s="331"/>
      <c r="C168" s="248">
        <v>29074</v>
      </c>
      <c r="D168" s="283" t="s">
        <v>606</v>
      </c>
      <c r="F168" s="35" t="s">
        <v>1086</v>
      </c>
      <c r="G168" s="35" t="s">
        <v>2241</v>
      </c>
      <c r="H168" s="35" t="s">
        <v>610</v>
      </c>
      <c r="N168" s="35" t="s">
        <v>537</v>
      </c>
      <c r="O168" s="34" t="s">
        <v>1086</v>
      </c>
      <c r="P168" s="285" t="s">
        <v>1097</v>
      </c>
      <c r="Q168" s="58"/>
      <c r="R168" s="39"/>
      <c r="AH168" s="279"/>
      <c r="AJ168" s="279" t="s">
        <v>1117</v>
      </c>
      <c r="AK168" s="279"/>
      <c r="AL168" s="523">
        <v>3</v>
      </c>
      <c r="AM168" s="35">
        <v>29074</v>
      </c>
      <c r="AN168" s="35" t="s">
        <v>1483</v>
      </c>
      <c r="AO168" s="35" t="s">
        <v>1704</v>
      </c>
      <c r="AP168" s="35" t="s">
        <v>705</v>
      </c>
      <c r="AQ168" s="34" t="s">
        <v>2271</v>
      </c>
      <c r="AR168" s="35">
        <v>4</v>
      </c>
      <c r="AS168" s="35" t="s">
        <v>1898</v>
      </c>
      <c r="AT168" s="35" t="s">
        <v>87</v>
      </c>
      <c r="AU168" s="35" t="s">
        <v>10</v>
      </c>
      <c r="AV168" s="35" t="s">
        <v>1730</v>
      </c>
      <c r="AW168" s="35" t="s">
        <v>531</v>
      </c>
      <c r="AX168" s="34" t="s">
        <v>2241</v>
      </c>
      <c r="AY168" s="35">
        <v>1</v>
      </c>
      <c r="AZ168" s="35" t="s">
        <v>1310</v>
      </c>
      <c r="BA168" s="35" t="s">
        <v>10</v>
      </c>
      <c r="BB168" s="35" t="s">
        <v>10</v>
      </c>
      <c r="BC168" s="35" t="s">
        <v>220</v>
      </c>
      <c r="BD168" s="35" t="s">
        <v>1742</v>
      </c>
      <c r="BE168" s="35" t="s">
        <v>10</v>
      </c>
      <c r="BF168" s="35" t="s">
        <v>10</v>
      </c>
      <c r="BG168" s="35">
        <v>502</v>
      </c>
      <c r="BH168" s="35" t="s">
        <v>112</v>
      </c>
      <c r="BI168" s="35">
        <v>0.35</v>
      </c>
      <c r="BJ168" s="35" t="s">
        <v>1454</v>
      </c>
      <c r="BK168" s="35" t="s">
        <v>678</v>
      </c>
      <c r="BL168" s="35" t="s">
        <v>680</v>
      </c>
      <c r="BM168" s="35" t="s">
        <v>681</v>
      </c>
      <c r="BN168" s="35" t="s">
        <v>682</v>
      </c>
      <c r="BO168" s="35" t="s">
        <v>2358</v>
      </c>
      <c r="BP168" s="35" t="s">
        <v>2359</v>
      </c>
      <c r="BQ168" s="35">
        <v>29074</v>
      </c>
      <c r="BW168" s="248"/>
      <c r="BX168" s="248"/>
      <c r="BY168" s="248"/>
      <c r="BZ168" s="248"/>
      <c r="CA168" s="248"/>
      <c r="CB168" s="248"/>
      <c r="CC168" s="248"/>
      <c r="CD168" s="248"/>
      <c r="CE168" s="248"/>
      <c r="CF168" s="248"/>
      <c r="CG168" s="248"/>
      <c r="CH168" s="248"/>
      <c r="CI168" s="248"/>
      <c r="CJ168" s="248"/>
      <c r="CK168" s="248"/>
      <c r="CL168" s="248"/>
      <c r="CM168" s="248"/>
      <c r="CN168" s="248"/>
      <c r="CO168" s="248"/>
      <c r="CP168" s="248"/>
      <c r="CQ168" s="248"/>
      <c r="CR168" s="248"/>
      <c r="CS168" s="248"/>
      <c r="CT168" s="248"/>
      <c r="CU168" s="248"/>
      <c r="CV168" s="248"/>
      <c r="CW168" s="248"/>
      <c r="CX168" s="248"/>
      <c r="CY168" s="248"/>
      <c r="CZ168" s="248"/>
      <c r="DA168" s="248"/>
      <c r="DB168" s="248"/>
      <c r="DC168" s="248"/>
      <c r="DD168" s="248"/>
      <c r="DE168" s="248"/>
      <c r="DF168" s="248"/>
      <c r="DG168" s="248"/>
      <c r="DH168" s="248"/>
      <c r="DI168" s="248"/>
      <c r="DJ168" s="248"/>
      <c r="DK168" s="248"/>
      <c r="DL168" s="248"/>
      <c r="DM168" s="248"/>
      <c r="DN168" s="248"/>
      <c r="DO168" s="248"/>
      <c r="DP168" s="248"/>
      <c r="DQ168" s="248"/>
      <c r="DR168" s="248"/>
      <c r="DS168" s="248"/>
      <c r="DT168" s="248"/>
      <c r="DU168" s="248"/>
      <c r="DV168" s="248"/>
      <c r="DW168" s="248"/>
      <c r="DX168" s="248"/>
      <c r="DY168" s="248"/>
      <c r="DZ168" s="248"/>
      <c r="EA168" s="248"/>
      <c r="EB168" s="248"/>
      <c r="EC168" s="248"/>
      <c r="ED168" s="248"/>
      <c r="EE168" s="248"/>
    </row>
    <row r="169" spans="1:135" s="35" customFormat="1" ht="16.5">
      <c r="A169" s="35" t="str">
        <f t="shared" si="5"/>
        <v>ASOM_A              SP_AC30</v>
      </c>
      <c r="B169" s="331"/>
      <c r="C169" s="248">
        <v>29075</v>
      </c>
      <c r="D169" s="283" t="s">
        <v>606</v>
      </c>
      <c r="F169" s="35" t="s">
        <v>1086</v>
      </c>
      <c r="G169" s="35" t="s">
        <v>2241</v>
      </c>
      <c r="H169" s="35" t="s">
        <v>610</v>
      </c>
      <c r="N169" s="35" t="s">
        <v>537</v>
      </c>
      <c r="O169" s="34" t="s">
        <v>1086</v>
      </c>
      <c r="P169" s="285" t="s">
        <v>1097</v>
      </c>
      <c r="Q169" s="58"/>
      <c r="R169" s="39"/>
      <c r="AH169" s="279"/>
      <c r="AJ169" s="279" t="s">
        <v>1117</v>
      </c>
      <c r="AK169" s="279"/>
      <c r="AL169" s="523">
        <v>3</v>
      </c>
      <c r="AM169" s="35">
        <v>29075</v>
      </c>
      <c r="AN169" s="35" t="s">
        <v>1484</v>
      </c>
      <c r="AO169" s="35" t="s">
        <v>1704</v>
      </c>
      <c r="AP169" s="35" t="s">
        <v>702</v>
      </c>
      <c r="AQ169" s="34" t="s">
        <v>2270</v>
      </c>
      <c r="AR169" s="35">
        <v>4</v>
      </c>
      <c r="AS169" s="35" t="s">
        <v>1069</v>
      </c>
      <c r="AT169" s="35" t="s">
        <v>87</v>
      </c>
      <c r="AU169" s="35" t="s">
        <v>10</v>
      </c>
      <c r="AV169" s="35" t="s">
        <v>1730</v>
      </c>
      <c r="AW169" s="35" t="s">
        <v>531</v>
      </c>
      <c r="AX169" s="34" t="s">
        <v>2241</v>
      </c>
      <c r="AY169" s="35">
        <v>1</v>
      </c>
      <c r="AZ169" s="35" t="s">
        <v>1310</v>
      </c>
      <c r="BA169" s="35" t="s">
        <v>10</v>
      </c>
      <c r="BB169" s="35" t="s">
        <v>10</v>
      </c>
      <c r="BC169" s="35" t="s">
        <v>220</v>
      </c>
      <c r="BD169" s="35" t="s">
        <v>1742</v>
      </c>
      <c r="BE169" s="35" t="s">
        <v>10</v>
      </c>
      <c r="BF169" s="35" t="s">
        <v>10</v>
      </c>
      <c r="BG169" s="35">
        <v>442</v>
      </c>
      <c r="BH169" s="35" t="s">
        <v>112</v>
      </c>
      <c r="BI169" s="35">
        <v>0.35</v>
      </c>
      <c r="BJ169" s="35" t="s">
        <v>1454</v>
      </c>
      <c r="BK169" s="35" t="s">
        <v>678</v>
      </c>
      <c r="BL169" s="35" t="s">
        <v>680</v>
      </c>
      <c r="BM169" s="35" t="s">
        <v>681</v>
      </c>
      <c r="BN169" s="35" t="s">
        <v>682</v>
      </c>
      <c r="BO169" s="35" t="s">
        <v>2358</v>
      </c>
      <c r="BP169" s="35" t="s">
        <v>2359</v>
      </c>
      <c r="BQ169" s="35">
        <v>29075</v>
      </c>
      <c r="BW169" s="248"/>
      <c r="BX169" s="248"/>
      <c r="BY169" s="248"/>
      <c r="BZ169" s="248"/>
      <c r="CA169" s="248"/>
      <c r="CB169" s="248"/>
      <c r="CC169" s="248"/>
      <c r="CD169" s="248"/>
      <c r="CE169" s="248"/>
      <c r="CF169" s="248"/>
      <c r="CG169" s="248"/>
      <c r="CH169" s="248"/>
      <c r="CI169" s="248"/>
      <c r="CJ169" s="248"/>
      <c r="CK169" s="248"/>
      <c r="CL169" s="248"/>
      <c r="CM169" s="248"/>
      <c r="CN169" s="248"/>
      <c r="CO169" s="248"/>
      <c r="CP169" s="248"/>
      <c r="CQ169" s="248"/>
      <c r="CR169" s="248"/>
      <c r="CS169" s="248"/>
      <c r="CT169" s="248"/>
      <c r="CU169" s="248"/>
      <c r="CV169" s="248"/>
      <c r="CW169" s="248"/>
      <c r="CX169" s="248"/>
      <c r="CY169" s="248"/>
      <c r="CZ169" s="248"/>
      <c r="DA169" s="248"/>
      <c r="DB169" s="248"/>
      <c r="DC169" s="248"/>
      <c r="DD169" s="248"/>
      <c r="DE169" s="248"/>
      <c r="DF169" s="248"/>
      <c r="DG169" s="248"/>
      <c r="DH169" s="248"/>
      <c r="DI169" s="248"/>
      <c r="DJ169" s="248"/>
      <c r="DK169" s="248"/>
      <c r="DL169" s="248"/>
      <c r="DM169" s="248"/>
      <c r="DN169" s="248"/>
      <c r="DO169" s="248"/>
      <c r="DP169" s="248"/>
      <c r="DQ169" s="248"/>
      <c r="DR169" s="248"/>
      <c r="DS169" s="248"/>
      <c r="DT169" s="248"/>
      <c r="DU169" s="248"/>
      <c r="DV169" s="248"/>
      <c r="DW169" s="248"/>
      <c r="DX169" s="248"/>
      <c r="DY169" s="248"/>
      <c r="DZ169" s="248"/>
      <c r="EA169" s="248"/>
      <c r="EB169" s="248"/>
      <c r="EC169" s="248"/>
      <c r="ED169" s="248"/>
      <c r="EE169" s="248"/>
    </row>
    <row r="170" spans="1:135" s="35" customFormat="1" ht="16.5">
      <c r="A170" s="35" t="str">
        <f t="shared" si="5"/>
        <v>ASOM_C              ASOM_B</v>
      </c>
      <c r="B170" s="331"/>
      <c r="C170" s="248">
        <v>29076</v>
      </c>
      <c r="D170" s="283" t="s">
        <v>606</v>
      </c>
      <c r="F170" s="35" t="s">
        <v>1086</v>
      </c>
      <c r="G170" s="39"/>
      <c r="O170" s="34" t="s">
        <v>1086</v>
      </c>
      <c r="P170" s="34" t="s">
        <v>1086</v>
      </c>
      <c r="Q170" s="58"/>
      <c r="R170" s="39"/>
      <c r="AH170" s="279"/>
      <c r="AJ170" s="279" t="s">
        <v>1117</v>
      </c>
      <c r="AK170" s="279"/>
      <c r="AL170" s="523">
        <v>3</v>
      </c>
      <c r="AM170" s="35">
        <v>29076</v>
      </c>
      <c r="AN170" s="35" t="s">
        <v>715</v>
      </c>
      <c r="AO170" s="35" t="s">
        <v>1704</v>
      </c>
      <c r="AP170" s="35" t="s">
        <v>713</v>
      </c>
      <c r="AQ170" s="34" t="s">
        <v>2275</v>
      </c>
      <c r="AR170" s="35">
        <v>2</v>
      </c>
      <c r="AS170" s="35" t="s">
        <v>686</v>
      </c>
      <c r="AT170" s="35" t="s">
        <v>87</v>
      </c>
      <c r="AU170" s="35" t="s">
        <v>10</v>
      </c>
      <c r="AV170" s="35" t="s">
        <v>1704</v>
      </c>
      <c r="AW170" s="35" t="s">
        <v>705</v>
      </c>
      <c r="AX170" s="34" t="s">
        <v>2271</v>
      </c>
      <c r="AY170" s="35">
        <v>3</v>
      </c>
      <c r="AZ170" s="35" t="s">
        <v>1898</v>
      </c>
      <c r="BA170" s="35" t="s">
        <v>87</v>
      </c>
      <c r="BB170" s="35" t="s">
        <v>10</v>
      </c>
      <c r="BC170" s="35" t="s">
        <v>154</v>
      </c>
      <c r="BD170" s="35" t="s">
        <v>1742</v>
      </c>
      <c r="BE170" s="35" t="s">
        <v>10</v>
      </c>
      <c r="BF170" s="35" t="s">
        <v>10</v>
      </c>
      <c r="BG170" s="35">
        <v>1117</v>
      </c>
      <c r="BH170" s="35" t="s">
        <v>108</v>
      </c>
      <c r="BI170" s="35">
        <v>0.35</v>
      </c>
      <c r="BJ170" s="35" t="s">
        <v>716</v>
      </c>
      <c r="BK170" s="35" t="s">
        <v>678</v>
      </c>
      <c r="BL170" s="35" t="s">
        <v>680</v>
      </c>
      <c r="BM170" s="35" t="s">
        <v>681</v>
      </c>
      <c r="BN170" s="35" t="s">
        <v>682</v>
      </c>
      <c r="BO170" s="35" t="s">
        <v>2358</v>
      </c>
      <c r="BP170" s="35" t="s">
        <v>2359</v>
      </c>
      <c r="BQ170" s="35">
        <v>29076</v>
      </c>
      <c r="BW170" s="248"/>
      <c r="BX170" s="248"/>
      <c r="BY170" s="248"/>
      <c r="BZ170" s="248"/>
      <c r="CA170" s="248"/>
      <c r="CB170" s="248"/>
      <c r="CC170" s="248"/>
      <c r="CD170" s="248"/>
      <c r="CE170" s="248"/>
      <c r="CF170" s="248"/>
      <c r="CG170" s="248"/>
      <c r="CH170" s="248"/>
      <c r="CI170" s="248"/>
      <c r="CJ170" s="248"/>
      <c r="CK170" s="248"/>
      <c r="CL170" s="248"/>
      <c r="CM170" s="248"/>
      <c r="CN170" s="248"/>
      <c r="CO170" s="248"/>
      <c r="CP170" s="248"/>
      <c r="CQ170" s="248"/>
      <c r="CR170" s="248"/>
      <c r="CS170" s="248"/>
      <c r="CT170" s="248"/>
      <c r="CU170" s="248"/>
      <c r="CV170" s="248"/>
      <c r="CW170" s="248"/>
      <c r="CX170" s="248"/>
      <c r="CY170" s="248"/>
      <c r="CZ170" s="248"/>
      <c r="DA170" s="248"/>
      <c r="DB170" s="248"/>
      <c r="DC170" s="248"/>
      <c r="DD170" s="248"/>
      <c r="DE170" s="248"/>
      <c r="DF170" s="248"/>
      <c r="DG170" s="248"/>
      <c r="DH170" s="248"/>
      <c r="DI170" s="248"/>
      <c r="DJ170" s="248"/>
      <c r="DK170" s="248"/>
      <c r="DL170" s="248"/>
      <c r="DM170" s="248"/>
      <c r="DN170" s="248"/>
      <c r="DO170" s="248"/>
      <c r="DP170" s="248"/>
      <c r="DQ170" s="248"/>
      <c r="DR170" s="248"/>
      <c r="DS170" s="248"/>
      <c r="DT170" s="248"/>
      <c r="DU170" s="248"/>
      <c r="DV170" s="248"/>
      <c r="DW170" s="248"/>
      <c r="DX170" s="248"/>
      <c r="DY170" s="248"/>
      <c r="DZ170" s="248"/>
      <c r="EA170" s="248"/>
      <c r="EB170" s="248"/>
      <c r="EC170" s="248"/>
      <c r="ED170" s="248"/>
      <c r="EE170" s="248"/>
    </row>
    <row r="171" spans="1:135" s="35" customFormat="1" ht="16.5">
      <c r="A171" s="35" t="str">
        <f t="shared" si="5"/>
        <v>ASOM_D              ASOM_C</v>
      </c>
      <c r="B171" s="331"/>
      <c r="C171" s="248">
        <v>29077</v>
      </c>
      <c r="D171" s="283" t="s">
        <v>606</v>
      </c>
      <c r="F171" s="35" t="s">
        <v>1086</v>
      </c>
      <c r="G171" s="39"/>
      <c r="O171" s="34" t="s">
        <v>1086</v>
      </c>
      <c r="P171" s="34" t="s">
        <v>1086</v>
      </c>
      <c r="Q171" s="58"/>
      <c r="R171" s="39"/>
      <c r="AH171" s="279"/>
      <c r="AJ171" s="279" t="s">
        <v>1117</v>
      </c>
      <c r="AK171" s="279"/>
      <c r="AL171" s="523">
        <v>3</v>
      </c>
      <c r="AM171" s="35">
        <v>29077</v>
      </c>
      <c r="AN171" s="35" t="s">
        <v>717</v>
      </c>
      <c r="AO171" s="35" t="s">
        <v>1704</v>
      </c>
      <c r="AP171" s="35" t="s">
        <v>712</v>
      </c>
      <c r="AQ171" s="34" t="s">
        <v>2274</v>
      </c>
      <c r="AR171" s="35">
        <v>2</v>
      </c>
      <c r="AS171" s="35" t="s">
        <v>915</v>
      </c>
      <c r="AT171" s="35" t="s">
        <v>87</v>
      </c>
      <c r="AU171" s="35" t="s">
        <v>10</v>
      </c>
      <c r="AV171" s="35" t="s">
        <v>1704</v>
      </c>
      <c r="AW171" s="35" t="s">
        <v>713</v>
      </c>
      <c r="AX171" s="34" t="s">
        <v>2275</v>
      </c>
      <c r="AY171" s="35">
        <v>3</v>
      </c>
      <c r="AZ171" s="35" t="s">
        <v>686</v>
      </c>
      <c r="BA171" s="35" t="s">
        <v>87</v>
      </c>
      <c r="BB171" s="35" t="s">
        <v>10</v>
      </c>
      <c r="BC171" s="35" t="s">
        <v>179</v>
      </c>
      <c r="BD171" s="35" t="s">
        <v>1742</v>
      </c>
      <c r="BE171" s="35" t="s">
        <v>10</v>
      </c>
      <c r="BF171" s="35" t="s">
        <v>10</v>
      </c>
      <c r="BG171" s="35">
        <v>120</v>
      </c>
      <c r="BH171" s="35" t="s">
        <v>86</v>
      </c>
      <c r="BI171" s="35">
        <v>0.35</v>
      </c>
      <c r="BJ171" s="35" t="s">
        <v>718</v>
      </c>
      <c r="BK171" s="35" t="s">
        <v>678</v>
      </c>
      <c r="BL171" s="35" t="s">
        <v>680</v>
      </c>
      <c r="BM171" s="35" t="s">
        <v>681</v>
      </c>
      <c r="BN171" s="35" t="s">
        <v>682</v>
      </c>
      <c r="BO171" s="35" t="s">
        <v>2358</v>
      </c>
      <c r="BP171" s="35" t="s">
        <v>2359</v>
      </c>
      <c r="BQ171" s="35">
        <v>29077</v>
      </c>
      <c r="BW171" s="248"/>
      <c r="BX171" s="248"/>
      <c r="BY171" s="248"/>
      <c r="BZ171" s="248"/>
      <c r="CA171" s="248"/>
      <c r="CB171" s="248"/>
      <c r="CC171" s="248"/>
      <c r="CD171" s="248"/>
      <c r="CE171" s="248"/>
      <c r="CF171" s="248"/>
      <c r="CG171" s="248"/>
      <c r="CH171" s="248"/>
      <c r="CI171" s="248"/>
      <c r="CJ171" s="248"/>
      <c r="CK171" s="248"/>
      <c r="CL171" s="248"/>
      <c r="CM171" s="248"/>
      <c r="CN171" s="248"/>
      <c r="CO171" s="248"/>
      <c r="CP171" s="248"/>
      <c r="CQ171" s="248"/>
      <c r="CR171" s="248"/>
      <c r="CS171" s="248"/>
      <c r="CT171" s="248"/>
      <c r="CU171" s="248"/>
      <c r="CV171" s="248"/>
      <c r="CW171" s="248"/>
      <c r="CX171" s="248"/>
      <c r="CY171" s="248"/>
      <c r="CZ171" s="248"/>
      <c r="DA171" s="248"/>
      <c r="DB171" s="248"/>
      <c r="DC171" s="248"/>
      <c r="DD171" s="248"/>
      <c r="DE171" s="248"/>
      <c r="DF171" s="248"/>
      <c r="DG171" s="248"/>
      <c r="DH171" s="248"/>
      <c r="DI171" s="248"/>
      <c r="DJ171" s="248"/>
      <c r="DK171" s="248"/>
      <c r="DL171" s="248"/>
      <c r="DM171" s="248"/>
      <c r="DN171" s="248"/>
      <c r="DO171" s="248"/>
      <c r="DP171" s="248"/>
      <c r="DQ171" s="248"/>
      <c r="DR171" s="248"/>
      <c r="DS171" s="248"/>
      <c r="DT171" s="248"/>
      <c r="DU171" s="248"/>
      <c r="DV171" s="248"/>
      <c r="DW171" s="248"/>
      <c r="DX171" s="248"/>
      <c r="DY171" s="248"/>
      <c r="DZ171" s="248"/>
      <c r="EA171" s="248"/>
      <c r="EB171" s="248"/>
      <c r="EC171" s="248"/>
      <c r="ED171" s="248"/>
      <c r="EE171" s="248"/>
    </row>
    <row r="172" spans="1:135" s="35" customFormat="1" ht="16.5">
      <c r="A172" s="35" t="str">
        <f t="shared" si="5"/>
        <v>ASOM_D              KS_CPM_A</v>
      </c>
      <c r="B172" s="331"/>
      <c r="C172" s="248">
        <v>29078</v>
      </c>
      <c r="D172" s="283" t="s">
        <v>606</v>
      </c>
      <c r="F172" s="35" t="s">
        <v>1086</v>
      </c>
      <c r="G172" s="39"/>
      <c r="O172" s="34" t="s">
        <v>1086</v>
      </c>
      <c r="P172" s="34" t="s">
        <v>1086</v>
      </c>
      <c r="Q172" s="58"/>
      <c r="R172" s="39"/>
      <c r="AH172" s="279"/>
      <c r="AJ172" s="279" t="s">
        <v>1117</v>
      </c>
      <c r="AK172" s="279"/>
      <c r="AL172" s="523">
        <v>3</v>
      </c>
      <c r="AM172" s="35">
        <v>29078</v>
      </c>
      <c r="AN172" s="35" t="s">
        <v>1904</v>
      </c>
      <c r="AO172" s="35" t="s">
        <v>1704</v>
      </c>
      <c r="AP172" s="35" t="s">
        <v>712</v>
      </c>
      <c r="AQ172" s="34" t="s">
        <v>2274</v>
      </c>
      <c r="AR172" s="35">
        <v>3</v>
      </c>
      <c r="AS172" s="35" t="s">
        <v>915</v>
      </c>
      <c r="AT172" s="35" t="s">
        <v>87</v>
      </c>
      <c r="AU172" s="35" t="s">
        <v>10</v>
      </c>
      <c r="AV172" s="35" t="s">
        <v>502</v>
      </c>
      <c r="AW172" s="35" t="s">
        <v>685</v>
      </c>
      <c r="AX172" s="34" t="s">
        <v>1870</v>
      </c>
      <c r="AY172" s="35">
        <v>11</v>
      </c>
      <c r="AZ172" s="35" t="s">
        <v>1392</v>
      </c>
      <c r="BA172" s="35" t="s">
        <v>245</v>
      </c>
      <c r="BB172" s="35" t="s">
        <v>10</v>
      </c>
      <c r="BC172" s="35" t="s">
        <v>154</v>
      </c>
      <c r="BD172" s="35" t="s">
        <v>1742</v>
      </c>
      <c r="BE172" s="35" t="s">
        <v>10</v>
      </c>
      <c r="BF172" s="35" t="s">
        <v>10</v>
      </c>
      <c r="BG172" s="35">
        <v>566</v>
      </c>
      <c r="BH172" s="35" t="s">
        <v>108</v>
      </c>
      <c r="BI172" s="35">
        <v>0.35</v>
      </c>
      <c r="BJ172" s="35" t="s">
        <v>1485</v>
      </c>
      <c r="BK172" s="35" t="s">
        <v>678</v>
      </c>
      <c r="BL172" s="35" t="s">
        <v>680</v>
      </c>
      <c r="BM172" s="35" t="s">
        <v>681</v>
      </c>
      <c r="BN172" s="35" t="s">
        <v>682</v>
      </c>
      <c r="BO172" s="35" t="s">
        <v>2358</v>
      </c>
      <c r="BP172" s="35" t="s">
        <v>2359</v>
      </c>
      <c r="BQ172" s="35">
        <v>29078</v>
      </c>
      <c r="BW172" s="248"/>
      <c r="BX172" s="248"/>
      <c r="BY172" s="248"/>
      <c r="BZ172" s="248"/>
      <c r="CA172" s="248"/>
      <c r="CB172" s="248"/>
      <c r="CC172" s="248"/>
      <c r="CD172" s="248"/>
      <c r="CE172" s="248"/>
      <c r="CF172" s="248"/>
      <c r="CG172" s="248"/>
      <c r="CH172" s="248"/>
      <c r="CI172" s="248"/>
      <c r="CJ172" s="248"/>
      <c r="CK172" s="248"/>
      <c r="CL172" s="248"/>
      <c r="CM172" s="248"/>
      <c r="CN172" s="248"/>
      <c r="CO172" s="248"/>
      <c r="CP172" s="248"/>
      <c r="CQ172" s="248"/>
      <c r="CR172" s="248"/>
      <c r="CS172" s="248"/>
      <c r="CT172" s="248"/>
      <c r="CU172" s="248"/>
      <c r="CV172" s="248"/>
      <c r="CW172" s="248"/>
      <c r="CX172" s="248"/>
      <c r="CY172" s="248"/>
      <c r="CZ172" s="248"/>
      <c r="DA172" s="248"/>
      <c r="DB172" s="248"/>
      <c r="DC172" s="248"/>
      <c r="DD172" s="248"/>
      <c r="DE172" s="248"/>
      <c r="DF172" s="248"/>
      <c r="DG172" s="248"/>
      <c r="DH172" s="248"/>
      <c r="DI172" s="248"/>
      <c r="DJ172" s="248"/>
      <c r="DK172" s="248"/>
      <c r="DL172" s="248"/>
      <c r="DM172" s="248"/>
      <c r="DN172" s="248"/>
      <c r="DO172" s="248"/>
      <c r="DP172" s="248"/>
      <c r="DQ172" s="248"/>
      <c r="DR172" s="248"/>
      <c r="DS172" s="248"/>
      <c r="DT172" s="248"/>
      <c r="DU172" s="248"/>
      <c r="DV172" s="248"/>
      <c r="DW172" s="248"/>
      <c r="DX172" s="248"/>
      <c r="DY172" s="248"/>
      <c r="DZ172" s="248"/>
      <c r="EA172" s="248"/>
      <c r="EB172" s="248"/>
      <c r="EC172" s="248"/>
      <c r="ED172" s="248"/>
      <c r="EE172" s="248"/>
    </row>
    <row r="173" spans="1:135" s="35" customFormat="1" ht="16.5">
      <c r="A173" s="35" t="str">
        <f t="shared" si="5"/>
        <v>SP_31SM             KS_CPM_A</v>
      </c>
      <c r="B173" s="331"/>
      <c r="C173" s="248">
        <v>29079</v>
      </c>
      <c r="D173" s="283" t="s">
        <v>606</v>
      </c>
      <c r="F173" s="35" t="s">
        <v>1086</v>
      </c>
      <c r="G173" s="35" t="s">
        <v>2240</v>
      </c>
      <c r="H173" s="35" t="s">
        <v>610</v>
      </c>
      <c r="N173" s="35" t="s">
        <v>537</v>
      </c>
      <c r="O173" s="34" t="s">
        <v>1097</v>
      </c>
      <c r="P173" s="285" t="s">
        <v>1086</v>
      </c>
      <c r="Q173" s="58"/>
      <c r="R173" s="39"/>
      <c r="AH173" s="279"/>
      <c r="AJ173" s="279" t="s">
        <v>1117</v>
      </c>
      <c r="AK173" s="279"/>
      <c r="AL173" s="523">
        <v>3</v>
      </c>
      <c r="AM173" s="35">
        <v>29079</v>
      </c>
      <c r="AN173" s="35" t="s">
        <v>1905</v>
      </c>
      <c r="AO173" s="35" t="s">
        <v>1703</v>
      </c>
      <c r="AP173" s="35" t="s">
        <v>533</v>
      </c>
      <c r="AQ173" s="34" t="s">
        <v>2240</v>
      </c>
      <c r="AR173" s="35">
        <v>1</v>
      </c>
      <c r="AS173" s="35" t="s">
        <v>1687</v>
      </c>
      <c r="AT173" s="35" t="s">
        <v>10</v>
      </c>
      <c r="AU173" s="35" t="s">
        <v>10</v>
      </c>
      <c r="AV173" s="35" t="s">
        <v>502</v>
      </c>
      <c r="AW173" s="35" t="s">
        <v>685</v>
      </c>
      <c r="AX173" s="34" t="s">
        <v>1870</v>
      </c>
      <c r="AY173" s="35">
        <v>5</v>
      </c>
      <c r="AZ173" s="35" t="s">
        <v>1392</v>
      </c>
      <c r="BA173" s="35" t="s">
        <v>255</v>
      </c>
      <c r="BB173" s="35" t="s">
        <v>10</v>
      </c>
      <c r="BC173" s="35" t="s">
        <v>691</v>
      </c>
      <c r="BD173" s="35" t="s">
        <v>1742</v>
      </c>
      <c r="BE173" s="35" t="s">
        <v>10</v>
      </c>
      <c r="BF173" s="35" t="s">
        <v>10</v>
      </c>
      <c r="BG173" s="35">
        <v>1132</v>
      </c>
      <c r="BH173" s="35" t="s">
        <v>61</v>
      </c>
      <c r="BI173" s="35">
        <v>0.13</v>
      </c>
      <c r="BJ173" s="35" t="s">
        <v>1453</v>
      </c>
      <c r="BK173" s="35" t="s">
        <v>10</v>
      </c>
      <c r="BL173" s="35" t="s">
        <v>680</v>
      </c>
      <c r="BM173" s="35" t="s">
        <v>10</v>
      </c>
      <c r="BN173" s="35" t="s">
        <v>682</v>
      </c>
      <c r="BO173" s="35" t="s">
        <v>10</v>
      </c>
      <c r="BP173" s="35" t="s">
        <v>2359</v>
      </c>
      <c r="BQ173" s="35">
        <v>29079</v>
      </c>
      <c r="BW173" s="248"/>
      <c r="BX173" s="248"/>
      <c r="BY173" s="248"/>
      <c r="BZ173" s="248"/>
      <c r="CA173" s="248"/>
      <c r="CB173" s="248"/>
      <c r="CC173" s="248"/>
      <c r="CD173" s="248"/>
      <c r="CE173" s="248"/>
      <c r="CF173" s="248"/>
      <c r="CG173" s="248"/>
      <c r="CH173" s="248"/>
      <c r="CI173" s="248"/>
      <c r="CJ173" s="248"/>
      <c r="CK173" s="248"/>
      <c r="CL173" s="248"/>
      <c r="CM173" s="248"/>
      <c r="CN173" s="248"/>
      <c r="CO173" s="248"/>
      <c r="CP173" s="248"/>
      <c r="CQ173" s="248"/>
      <c r="CR173" s="248"/>
      <c r="CS173" s="248"/>
      <c r="CT173" s="248"/>
      <c r="CU173" s="248"/>
      <c r="CV173" s="248"/>
      <c r="CW173" s="248"/>
      <c r="CX173" s="248"/>
      <c r="CY173" s="248"/>
      <c r="CZ173" s="248"/>
      <c r="DA173" s="248"/>
      <c r="DB173" s="248"/>
      <c r="DC173" s="248"/>
      <c r="DD173" s="248"/>
      <c r="DE173" s="248"/>
      <c r="DF173" s="248"/>
      <c r="DG173" s="248"/>
      <c r="DH173" s="248"/>
      <c r="DI173" s="248"/>
      <c r="DJ173" s="248"/>
      <c r="DK173" s="248"/>
      <c r="DL173" s="248"/>
      <c r="DM173" s="248"/>
      <c r="DN173" s="248"/>
      <c r="DO173" s="248"/>
      <c r="DP173" s="248"/>
      <c r="DQ173" s="248"/>
      <c r="DR173" s="248"/>
      <c r="DS173" s="248"/>
      <c r="DT173" s="248"/>
      <c r="DU173" s="248"/>
      <c r="DV173" s="248"/>
      <c r="DW173" s="248"/>
      <c r="DX173" s="248"/>
      <c r="DY173" s="248"/>
      <c r="DZ173" s="248"/>
      <c r="EA173" s="248"/>
      <c r="EB173" s="248"/>
      <c r="EC173" s="248"/>
      <c r="ED173" s="248"/>
      <c r="EE173" s="248"/>
    </row>
    <row r="174" spans="1:135" s="35" customFormat="1" ht="16.5">
      <c r="A174" s="35" t="str">
        <f t="shared" si="5"/>
        <v>SP_58XS             KS_CPM_A</v>
      </c>
      <c r="B174" s="331"/>
      <c r="C174" s="35">
        <v>29095</v>
      </c>
      <c r="D174" s="283" t="s">
        <v>606</v>
      </c>
      <c r="F174" s="35" t="s">
        <v>1086</v>
      </c>
      <c r="G174" s="35" t="s">
        <v>2243</v>
      </c>
      <c r="H174" s="35" t="s">
        <v>610</v>
      </c>
      <c r="N174" s="35" t="s">
        <v>537</v>
      </c>
      <c r="O174" s="34" t="s">
        <v>1097</v>
      </c>
      <c r="P174" s="34" t="s">
        <v>1086</v>
      </c>
      <c r="Q174" s="58"/>
      <c r="R174" s="39"/>
      <c r="AH174" s="279"/>
      <c r="AJ174" s="279" t="s">
        <v>1117</v>
      </c>
      <c r="AK174" s="279"/>
      <c r="AL174" s="523">
        <v>3</v>
      </c>
      <c r="AM174" s="35">
        <v>29095</v>
      </c>
      <c r="AN174" s="35" t="s">
        <v>1906</v>
      </c>
      <c r="AO174" s="35" t="s">
        <v>1707</v>
      </c>
      <c r="AP174" s="35" t="s">
        <v>602</v>
      </c>
      <c r="AQ174" s="34" t="s">
        <v>2243</v>
      </c>
      <c r="AR174" s="35">
        <v>1</v>
      </c>
      <c r="AS174" s="35" t="s">
        <v>1374</v>
      </c>
      <c r="AT174" s="35" t="s">
        <v>10</v>
      </c>
      <c r="AU174" s="35" t="s">
        <v>10</v>
      </c>
      <c r="AV174" s="35" t="s">
        <v>502</v>
      </c>
      <c r="AW174" s="35" t="s">
        <v>685</v>
      </c>
      <c r="AX174" s="34" t="s">
        <v>1870</v>
      </c>
      <c r="AY174" s="35">
        <v>4</v>
      </c>
      <c r="AZ174" s="35" t="s">
        <v>1392</v>
      </c>
      <c r="BA174" s="35" t="s">
        <v>255</v>
      </c>
      <c r="BB174" s="35" t="s">
        <v>10</v>
      </c>
      <c r="BC174" s="35" t="s">
        <v>481</v>
      </c>
      <c r="BD174" s="35" t="s">
        <v>1742</v>
      </c>
      <c r="BE174" s="35" t="s">
        <v>10</v>
      </c>
      <c r="BF174" s="35" t="s">
        <v>10</v>
      </c>
      <c r="BG174" s="35">
        <v>959</v>
      </c>
      <c r="BH174" s="35" t="s">
        <v>137</v>
      </c>
      <c r="BI174" s="35">
        <v>0.13</v>
      </c>
      <c r="BJ174" s="35" t="s">
        <v>1487</v>
      </c>
      <c r="BK174" s="35" t="s">
        <v>678</v>
      </c>
      <c r="BL174" s="35" t="s">
        <v>10</v>
      </c>
      <c r="BM174" s="35" t="s">
        <v>681</v>
      </c>
      <c r="BN174" s="35" t="s">
        <v>10</v>
      </c>
      <c r="BO174" s="35" t="s">
        <v>2358</v>
      </c>
      <c r="BP174" s="35" t="s">
        <v>10</v>
      </c>
      <c r="BQ174" s="35">
        <v>29095</v>
      </c>
    </row>
    <row r="175" spans="1:135" s="35" customFormat="1" ht="16.5">
      <c r="A175" s="35" t="str">
        <f t="shared" si="5"/>
        <v>SP_58XS             SBT_B</v>
      </c>
      <c r="B175" s="331"/>
      <c r="C175" s="35">
        <v>29096</v>
      </c>
      <c r="D175" s="283" t="s">
        <v>606</v>
      </c>
      <c r="F175" s="35" t="s">
        <v>1086</v>
      </c>
      <c r="G175" s="35" t="s">
        <v>2243</v>
      </c>
      <c r="H175" s="35" t="s">
        <v>610</v>
      </c>
      <c r="N175" s="35" t="s">
        <v>537</v>
      </c>
      <c r="O175" s="34" t="s">
        <v>1097</v>
      </c>
      <c r="P175" s="285" t="s">
        <v>1086</v>
      </c>
      <c r="Q175" s="58"/>
      <c r="R175" s="39"/>
      <c r="AH175" s="279"/>
      <c r="AJ175" s="279" t="s">
        <v>1117</v>
      </c>
      <c r="AK175" s="279"/>
      <c r="AL175" s="523">
        <v>3</v>
      </c>
      <c r="AM175" s="35">
        <v>29096</v>
      </c>
      <c r="AN175" s="35" t="s">
        <v>1486</v>
      </c>
      <c r="AO175" s="35" t="s">
        <v>1707</v>
      </c>
      <c r="AP175" s="35" t="s">
        <v>602</v>
      </c>
      <c r="AQ175" s="34" t="s">
        <v>2243</v>
      </c>
      <c r="AR175" s="35">
        <v>1</v>
      </c>
      <c r="AS175" s="35" t="s">
        <v>1374</v>
      </c>
      <c r="AT175" s="35" t="s">
        <v>10</v>
      </c>
      <c r="AU175" s="35" t="s">
        <v>10</v>
      </c>
      <c r="AV175" s="35" t="s">
        <v>1697</v>
      </c>
      <c r="AW175" s="35" t="s">
        <v>670</v>
      </c>
      <c r="AX175" s="34" t="s">
        <v>2307</v>
      </c>
      <c r="AY175" s="35">
        <v>7</v>
      </c>
      <c r="AZ175" s="35" t="s">
        <v>485</v>
      </c>
      <c r="BA175" s="35" t="s">
        <v>218</v>
      </c>
      <c r="BB175" s="35" t="s">
        <v>10</v>
      </c>
      <c r="BC175" s="35" t="s">
        <v>481</v>
      </c>
      <c r="BD175" s="35" t="s">
        <v>1742</v>
      </c>
      <c r="BE175" s="35" t="s">
        <v>10</v>
      </c>
      <c r="BF175" s="35" t="s">
        <v>10</v>
      </c>
      <c r="BG175" s="35">
        <v>559</v>
      </c>
      <c r="BH175" s="35" t="s">
        <v>137</v>
      </c>
      <c r="BI175" s="35">
        <v>0.13</v>
      </c>
      <c r="BJ175" s="35" t="s">
        <v>1487</v>
      </c>
      <c r="BK175" s="35" t="s">
        <v>678</v>
      </c>
      <c r="BL175" s="35" t="s">
        <v>10</v>
      </c>
      <c r="BM175" s="35" t="s">
        <v>681</v>
      </c>
      <c r="BN175" s="35" t="s">
        <v>10</v>
      </c>
      <c r="BO175" s="35" t="s">
        <v>2358</v>
      </c>
      <c r="BP175" s="35" t="s">
        <v>10</v>
      </c>
      <c r="BQ175" s="35">
        <v>29096</v>
      </c>
    </row>
    <row r="176" spans="1:135" s="35" customFormat="1" ht="16.5">
      <c r="A176" s="35" t="str">
        <f t="shared" si="5"/>
        <v>SP_58XS             KS_CPL_C</v>
      </c>
      <c r="B176" s="331"/>
      <c r="C176" s="35">
        <v>29097</v>
      </c>
      <c r="D176" s="283" t="s">
        <v>606</v>
      </c>
      <c r="F176" s="35" t="s">
        <v>1086</v>
      </c>
      <c r="G176" s="35" t="s">
        <v>2243</v>
      </c>
      <c r="H176" s="35" t="s">
        <v>610</v>
      </c>
      <c r="N176" s="35" t="s">
        <v>537</v>
      </c>
      <c r="O176" s="34" t="s">
        <v>1097</v>
      </c>
      <c r="P176" s="34" t="s">
        <v>1086</v>
      </c>
      <c r="Q176" s="58"/>
      <c r="R176" s="39"/>
      <c r="AH176" s="279"/>
      <c r="AJ176" s="279" t="s">
        <v>1117</v>
      </c>
      <c r="AK176" s="279"/>
      <c r="AL176" s="523">
        <v>3</v>
      </c>
      <c r="AM176" s="35">
        <v>29097</v>
      </c>
      <c r="AN176" s="35" t="s">
        <v>1488</v>
      </c>
      <c r="AO176" s="35" t="s">
        <v>1707</v>
      </c>
      <c r="AP176" s="35" t="s">
        <v>602</v>
      </c>
      <c r="AQ176" s="34" t="s">
        <v>2243</v>
      </c>
      <c r="AR176" s="35">
        <v>1</v>
      </c>
      <c r="AS176" s="35" t="s">
        <v>1374</v>
      </c>
      <c r="AT176" s="35" t="s">
        <v>10</v>
      </c>
      <c r="AU176" s="35" t="s">
        <v>10</v>
      </c>
      <c r="AV176" s="35" t="s">
        <v>416</v>
      </c>
      <c r="AW176" s="35" t="s">
        <v>632</v>
      </c>
      <c r="AX176" s="34" t="s">
        <v>1758</v>
      </c>
      <c r="AY176" s="35">
        <v>8</v>
      </c>
      <c r="AZ176" s="35" t="s">
        <v>1759</v>
      </c>
      <c r="BA176" s="35" t="s">
        <v>492</v>
      </c>
      <c r="BB176" s="35" t="s">
        <v>10</v>
      </c>
      <c r="BC176" s="35" t="s">
        <v>481</v>
      </c>
      <c r="BD176" s="35" t="s">
        <v>1742</v>
      </c>
      <c r="BE176" s="35" t="s">
        <v>10</v>
      </c>
      <c r="BF176" s="35" t="s">
        <v>10</v>
      </c>
      <c r="BG176" s="35">
        <v>676</v>
      </c>
      <c r="BH176" s="35" t="s">
        <v>137</v>
      </c>
      <c r="BI176" s="35">
        <v>0.13</v>
      </c>
      <c r="BJ176" s="35" t="s">
        <v>1487</v>
      </c>
      <c r="BK176" s="35" t="s">
        <v>678</v>
      </c>
      <c r="BL176" s="35" t="s">
        <v>10</v>
      </c>
      <c r="BM176" s="35" t="s">
        <v>681</v>
      </c>
      <c r="BN176" s="35" t="s">
        <v>10</v>
      </c>
      <c r="BO176" s="35" t="s">
        <v>2358</v>
      </c>
      <c r="BP176" s="35" t="s">
        <v>10</v>
      </c>
      <c r="BQ176" s="35">
        <v>29097</v>
      </c>
    </row>
    <row r="177" spans="1:135" s="35" customFormat="1" ht="16.5">
      <c r="A177" s="35" t="str">
        <f t="shared" si="5"/>
        <v>KS_CPL_C            SBT_B</v>
      </c>
      <c r="B177" s="331"/>
      <c r="C177" s="248">
        <v>29098</v>
      </c>
      <c r="D177" s="283" t="s">
        <v>606</v>
      </c>
      <c r="F177" s="35" t="s">
        <v>1086</v>
      </c>
      <c r="O177" s="34" t="s">
        <v>1086</v>
      </c>
      <c r="P177" s="34" t="s">
        <v>1086</v>
      </c>
      <c r="Q177" s="58"/>
      <c r="R177" s="39"/>
      <c r="AH177" s="279"/>
      <c r="AJ177" s="279" t="s">
        <v>1117</v>
      </c>
      <c r="AK177" s="279"/>
      <c r="AL177" s="523">
        <v>3</v>
      </c>
      <c r="AM177" s="35">
        <v>29098</v>
      </c>
      <c r="AN177" s="35" t="s">
        <v>1908</v>
      </c>
      <c r="AO177" s="35" t="s">
        <v>416</v>
      </c>
      <c r="AP177" s="35" t="s">
        <v>632</v>
      </c>
      <c r="AQ177" s="34" t="s">
        <v>1758</v>
      </c>
      <c r="AR177" s="35">
        <v>8</v>
      </c>
      <c r="AS177" s="35" t="s">
        <v>1759</v>
      </c>
      <c r="AT177" s="35" t="s">
        <v>492</v>
      </c>
      <c r="AU177" s="35" t="s">
        <v>10</v>
      </c>
      <c r="AV177" s="35" t="s">
        <v>1697</v>
      </c>
      <c r="AW177" s="35" t="s">
        <v>670</v>
      </c>
      <c r="AX177" s="34" t="s">
        <v>2307</v>
      </c>
      <c r="AY177" s="35">
        <v>7</v>
      </c>
      <c r="AZ177" s="35" t="s">
        <v>485</v>
      </c>
      <c r="BA177" s="35" t="s">
        <v>218</v>
      </c>
      <c r="BB177" s="35" t="s">
        <v>10</v>
      </c>
      <c r="BC177" s="35" t="s">
        <v>481</v>
      </c>
      <c r="BD177" s="35" t="s">
        <v>1742</v>
      </c>
      <c r="BE177" s="35" t="s">
        <v>10</v>
      </c>
      <c r="BF177" s="35" t="s">
        <v>10</v>
      </c>
      <c r="BG177" s="35">
        <v>975</v>
      </c>
      <c r="BH177" s="35" t="s">
        <v>137</v>
      </c>
      <c r="BI177" s="35">
        <v>0.13</v>
      </c>
      <c r="BJ177" s="35" t="s">
        <v>1487</v>
      </c>
      <c r="BK177" s="35" t="s">
        <v>10</v>
      </c>
      <c r="BL177" s="35" t="s">
        <v>680</v>
      </c>
      <c r="BM177" s="35" t="s">
        <v>10</v>
      </c>
      <c r="BN177" s="35" t="s">
        <v>682</v>
      </c>
      <c r="BO177" s="35" t="s">
        <v>10</v>
      </c>
      <c r="BP177" s="35" t="s">
        <v>2359</v>
      </c>
      <c r="BQ177" s="35">
        <v>29098</v>
      </c>
      <c r="BW177" s="248"/>
      <c r="BX177" s="248"/>
      <c r="BY177" s="248"/>
      <c r="BZ177" s="248"/>
      <c r="CA177" s="248"/>
      <c r="CB177" s="248"/>
      <c r="CC177" s="248"/>
      <c r="CD177" s="248"/>
      <c r="CE177" s="248"/>
      <c r="CF177" s="248"/>
      <c r="CG177" s="248"/>
      <c r="CH177" s="248"/>
      <c r="CI177" s="248"/>
      <c r="CJ177" s="248"/>
      <c r="CK177" s="248"/>
      <c r="CL177" s="248"/>
      <c r="CM177" s="248"/>
      <c r="CN177" s="248"/>
      <c r="CO177" s="248"/>
      <c r="CP177" s="248"/>
      <c r="CQ177" s="248"/>
      <c r="CR177" s="248"/>
      <c r="CS177" s="248"/>
      <c r="CT177" s="248"/>
      <c r="CU177" s="248"/>
      <c r="CV177" s="248"/>
      <c r="CW177" s="248"/>
      <c r="CX177" s="248"/>
      <c r="CY177" s="248"/>
      <c r="CZ177" s="248"/>
      <c r="DA177" s="248"/>
      <c r="DB177" s="248"/>
      <c r="DC177" s="248"/>
      <c r="DD177" s="248"/>
      <c r="DE177" s="248"/>
      <c r="DF177" s="248"/>
      <c r="DG177" s="248"/>
      <c r="DH177" s="248"/>
      <c r="DI177" s="248"/>
      <c r="DJ177" s="248"/>
      <c r="DK177" s="248"/>
      <c r="DL177" s="248"/>
      <c r="DM177" s="248"/>
      <c r="DN177" s="248"/>
      <c r="DO177" s="248"/>
      <c r="DP177" s="248"/>
      <c r="DQ177" s="248"/>
      <c r="DR177" s="248"/>
      <c r="DS177" s="248"/>
      <c r="DT177" s="248"/>
      <c r="DU177" s="248"/>
      <c r="DV177" s="248"/>
      <c r="DW177" s="248"/>
      <c r="DX177" s="248"/>
      <c r="DY177" s="248"/>
      <c r="DZ177" s="248"/>
      <c r="EA177" s="248"/>
      <c r="EB177" s="248"/>
      <c r="EC177" s="248"/>
      <c r="ED177" s="248"/>
      <c r="EE177" s="248"/>
    </row>
    <row r="178" spans="1:135" s="35" customFormat="1" ht="16.5">
      <c r="A178" s="35" t="str">
        <f t="shared" si="5"/>
        <v>FSS                 SP_15AS</v>
      </c>
      <c r="B178" s="331"/>
      <c r="C178" s="35">
        <v>29099</v>
      </c>
      <c r="D178" s="283" t="s">
        <v>606</v>
      </c>
      <c r="F178" s="35" t="s">
        <v>1086</v>
      </c>
      <c r="G178" s="35" t="s">
        <v>2242</v>
      </c>
      <c r="H178" s="35" t="s">
        <v>610</v>
      </c>
      <c r="N178" s="35" t="s">
        <v>537</v>
      </c>
      <c r="O178" s="34" t="s">
        <v>1086</v>
      </c>
      <c r="P178" s="285" t="s">
        <v>1097</v>
      </c>
      <c r="Q178" s="58"/>
      <c r="R178" s="39"/>
      <c r="AH178" s="279"/>
      <c r="AJ178" s="279" t="s">
        <v>1117</v>
      </c>
      <c r="AK178" s="279"/>
      <c r="AL178" s="523">
        <v>3</v>
      </c>
      <c r="AM178" s="35">
        <v>29099</v>
      </c>
      <c r="AN178" s="35" t="s">
        <v>1909</v>
      </c>
      <c r="AO178" s="35" t="s">
        <v>1708</v>
      </c>
      <c r="AP178" s="35" t="s">
        <v>720</v>
      </c>
      <c r="AQ178" s="34" t="s">
        <v>2276</v>
      </c>
      <c r="AR178" s="35">
        <v>1</v>
      </c>
      <c r="AS178" s="35" t="s">
        <v>1910</v>
      </c>
      <c r="AT178" s="35" t="s">
        <v>77</v>
      </c>
      <c r="AU178" s="35" t="s">
        <v>10</v>
      </c>
      <c r="AV178" s="35" t="s">
        <v>1731</v>
      </c>
      <c r="AW178" s="35" t="s">
        <v>701</v>
      </c>
      <c r="AX178" s="34" t="s">
        <v>2242</v>
      </c>
      <c r="AY178" s="35">
        <v>1</v>
      </c>
      <c r="AZ178" s="35" t="s">
        <v>408</v>
      </c>
      <c r="BA178" s="35" t="s">
        <v>10</v>
      </c>
      <c r="BB178" s="35" t="s">
        <v>10</v>
      </c>
      <c r="BC178" s="35" t="s">
        <v>128</v>
      </c>
      <c r="BD178" s="35" t="s">
        <v>1742</v>
      </c>
      <c r="BE178" s="35" t="s">
        <v>10</v>
      </c>
      <c r="BF178" s="35" t="s">
        <v>10</v>
      </c>
      <c r="BG178" s="35">
        <v>611</v>
      </c>
      <c r="BH178" s="35" t="s">
        <v>129</v>
      </c>
      <c r="BI178" s="35">
        <v>0.5</v>
      </c>
      <c r="BJ178" s="35" t="s">
        <v>1894</v>
      </c>
      <c r="BK178" s="35" t="s">
        <v>10</v>
      </c>
      <c r="BL178" s="35" t="s">
        <v>10</v>
      </c>
      <c r="BM178" s="35" t="s">
        <v>681</v>
      </c>
      <c r="BN178" s="35" t="s">
        <v>682</v>
      </c>
      <c r="BO178" s="35" t="s">
        <v>10</v>
      </c>
      <c r="BP178" s="35" t="s">
        <v>10</v>
      </c>
      <c r="BQ178" s="35">
        <v>29099</v>
      </c>
    </row>
    <row r="179" spans="1:135" s="35" customFormat="1" ht="16.5">
      <c r="A179" s="35" t="str">
        <f t="shared" si="5"/>
        <v>FSS                 SP_ACLIN2</v>
      </c>
      <c r="B179" s="331"/>
      <c r="C179" s="35">
        <v>29100</v>
      </c>
      <c r="D179" s="283" t="s">
        <v>606</v>
      </c>
      <c r="F179" s="35" t="s">
        <v>1086</v>
      </c>
      <c r="G179" s="35" t="s">
        <v>2238</v>
      </c>
      <c r="H179" s="35" t="s">
        <v>610</v>
      </c>
      <c r="N179" s="35" t="s">
        <v>537</v>
      </c>
      <c r="O179" s="34" t="s">
        <v>1086</v>
      </c>
      <c r="P179" s="285" t="s">
        <v>1097</v>
      </c>
      <c r="Q179" s="58"/>
      <c r="R179" s="39"/>
      <c r="AH179" s="279"/>
      <c r="AJ179" s="279" t="s">
        <v>1117</v>
      </c>
      <c r="AK179" s="279"/>
      <c r="AL179" s="523">
        <v>3</v>
      </c>
      <c r="AM179" s="35">
        <v>29100</v>
      </c>
      <c r="AN179" s="35" t="s">
        <v>1489</v>
      </c>
      <c r="AO179" s="35" t="s">
        <v>1708</v>
      </c>
      <c r="AP179" s="35" t="s">
        <v>720</v>
      </c>
      <c r="AQ179" s="34" t="s">
        <v>2276</v>
      </c>
      <c r="AR179" s="35">
        <v>2</v>
      </c>
      <c r="AS179" s="35" t="s">
        <v>1910</v>
      </c>
      <c r="AT179" s="35" t="s">
        <v>218</v>
      </c>
      <c r="AU179" s="35" t="s">
        <v>10</v>
      </c>
      <c r="AV179" s="35" t="s">
        <v>1728</v>
      </c>
      <c r="AW179" s="35" t="s">
        <v>325</v>
      </c>
      <c r="AX179" s="34" t="s">
        <v>2238</v>
      </c>
      <c r="AY179" s="35">
        <v>1</v>
      </c>
      <c r="AZ179" s="35" t="s">
        <v>1865</v>
      </c>
      <c r="BA179" s="35" t="s">
        <v>10</v>
      </c>
      <c r="BB179" s="35" t="s">
        <v>10</v>
      </c>
      <c r="BC179" s="35" t="s">
        <v>219</v>
      </c>
      <c r="BD179" s="35" t="s">
        <v>1742</v>
      </c>
      <c r="BE179" s="35" t="s">
        <v>10</v>
      </c>
      <c r="BF179" s="35" t="s">
        <v>10</v>
      </c>
      <c r="BG179" s="35">
        <v>791</v>
      </c>
      <c r="BH179" s="35" t="s">
        <v>108</v>
      </c>
      <c r="BI179" s="35">
        <v>0.13</v>
      </c>
      <c r="BJ179" s="35" t="s">
        <v>1443</v>
      </c>
      <c r="BK179" s="35" t="s">
        <v>10</v>
      </c>
      <c r="BL179" s="35" t="s">
        <v>10</v>
      </c>
      <c r="BM179" s="35" t="s">
        <v>681</v>
      </c>
      <c r="BN179" s="35" t="s">
        <v>682</v>
      </c>
      <c r="BO179" s="35" t="s">
        <v>10</v>
      </c>
      <c r="BP179" s="35" t="s">
        <v>10</v>
      </c>
      <c r="BQ179" s="35">
        <v>29100</v>
      </c>
    </row>
    <row r="180" spans="1:135" s="35" customFormat="1" ht="16.5">
      <c r="A180" s="35" t="str">
        <f t="shared" si="5"/>
        <v>SP_MB32_B2          FSS</v>
      </c>
      <c r="B180" s="331"/>
      <c r="C180" s="35">
        <v>29101</v>
      </c>
      <c r="D180" s="283" t="s">
        <v>606</v>
      </c>
      <c r="F180" s="35" t="s">
        <v>1086</v>
      </c>
      <c r="G180" s="35" t="s">
        <v>2228</v>
      </c>
      <c r="H180" s="35" t="s">
        <v>609</v>
      </c>
      <c r="N180" s="35" t="s">
        <v>537</v>
      </c>
      <c r="O180" s="34" t="s">
        <v>1086</v>
      </c>
      <c r="P180" s="34" t="s">
        <v>1086</v>
      </c>
      <c r="Q180" s="58"/>
      <c r="R180" s="39"/>
      <c r="AH180" s="279"/>
      <c r="AJ180" s="279" t="s">
        <v>1117</v>
      </c>
      <c r="AK180" s="279"/>
      <c r="AL180" s="523">
        <v>3</v>
      </c>
      <c r="AM180" s="35">
        <v>29101</v>
      </c>
      <c r="AN180" s="35" t="s">
        <v>1461</v>
      </c>
      <c r="AO180" s="35" t="s">
        <v>2146</v>
      </c>
      <c r="AP180" s="35" t="s">
        <v>250</v>
      </c>
      <c r="AQ180" s="34" t="s">
        <v>2228</v>
      </c>
      <c r="AR180" s="35">
        <v>1</v>
      </c>
      <c r="AS180" s="35" t="s">
        <v>1170</v>
      </c>
      <c r="AT180" s="35" t="s">
        <v>10</v>
      </c>
      <c r="AU180" s="35" t="s">
        <v>10</v>
      </c>
      <c r="AV180" s="35" t="s">
        <v>1708</v>
      </c>
      <c r="AW180" s="35" t="s">
        <v>720</v>
      </c>
      <c r="AX180" s="34" t="s">
        <v>2276</v>
      </c>
      <c r="AY180" s="35">
        <v>3</v>
      </c>
      <c r="AZ180" s="35" t="s">
        <v>1910</v>
      </c>
      <c r="BA180" s="35" t="s">
        <v>77</v>
      </c>
      <c r="BB180" s="35" t="s">
        <v>10</v>
      </c>
      <c r="BC180" s="35" t="s">
        <v>26</v>
      </c>
      <c r="BD180" s="35" t="s">
        <v>1742</v>
      </c>
      <c r="BE180" s="35" t="s">
        <v>10</v>
      </c>
      <c r="BF180" s="35" t="s">
        <v>10</v>
      </c>
      <c r="BG180" s="35">
        <v>667</v>
      </c>
      <c r="BH180" s="35" t="s">
        <v>25</v>
      </c>
      <c r="BI180" s="35">
        <v>0.5</v>
      </c>
      <c r="BJ180" s="35" t="s">
        <v>1296</v>
      </c>
      <c r="BK180" s="35" t="s">
        <v>10</v>
      </c>
      <c r="BL180" s="35" t="s">
        <v>10</v>
      </c>
      <c r="BM180" s="35" t="s">
        <v>681</v>
      </c>
      <c r="BN180" s="35" t="s">
        <v>682</v>
      </c>
      <c r="BO180" s="35" t="s">
        <v>10</v>
      </c>
      <c r="BP180" s="35" t="s">
        <v>10</v>
      </c>
      <c r="BQ180" s="35">
        <v>29101</v>
      </c>
    </row>
    <row r="181" spans="1:135" s="35" customFormat="1" ht="16.5">
      <c r="A181" s="35" t="str">
        <f t="shared" si="5"/>
        <v>SP_15AS             KS_CPR_A</v>
      </c>
      <c r="B181" s="331"/>
      <c r="C181" s="248">
        <v>29102</v>
      </c>
      <c r="D181" s="283" t="s">
        <v>606</v>
      </c>
      <c r="F181" s="35" t="s">
        <v>1086</v>
      </c>
      <c r="G181" s="35" t="s">
        <v>2242</v>
      </c>
      <c r="H181" s="35" t="s">
        <v>610</v>
      </c>
      <c r="N181" s="35" t="s">
        <v>537</v>
      </c>
      <c r="O181" s="34" t="s">
        <v>1097</v>
      </c>
      <c r="P181" s="34" t="s">
        <v>1086</v>
      </c>
      <c r="Q181" s="58"/>
      <c r="R181" s="39"/>
      <c r="AH181" s="279"/>
      <c r="AJ181" s="279" t="s">
        <v>1117</v>
      </c>
      <c r="AK181" s="279"/>
      <c r="AL181" s="523">
        <v>3</v>
      </c>
      <c r="AM181" s="35">
        <v>29102</v>
      </c>
      <c r="AN181" s="35" t="s">
        <v>1911</v>
      </c>
      <c r="AO181" s="35" t="s">
        <v>1731</v>
      </c>
      <c r="AP181" s="35" t="s">
        <v>701</v>
      </c>
      <c r="AQ181" s="34" t="s">
        <v>2242</v>
      </c>
      <c r="AR181" s="35">
        <v>1</v>
      </c>
      <c r="AS181" s="35" t="s">
        <v>408</v>
      </c>
      <c r="AT181" s="35" t="s">
        <v>10</v>
      </c>
      <c r="AU181" s="35" t="s">
        <v>10</v>
      </c>
      <c r="AV181" s="35" t="s">
        <v>424</v>
      </c>
      <c r="AW181" s="35" t="s">
        <v>637</v>
      </c>
      <c r="AX181" s="34" t="s">
        <v>1770</v>
      </c>
      <c r="AY181" s="35">
        <v>3</v>
      </c>
      <c r="AZ181" s="35" t="s">
        <v>1771</v>
      </c>
      <c r="BA181" s="35" t="s">
        <v>72</v>
      </c>
      <c r="BB181" s="35" t="s">
        <v>10</v>
      </c>
      <c r="BC181" s="35" t="s">
        <v>2533</v>
      </c>
      <c r="BD181" s="35" t="s">
        <v>1742</v>
      </c>
      <c r="BE181" s="35" t="s">
        <v>10</v>
      </c>
      <c r="BF181" s="35" t="s">
        <v>10</v>
      </c>
      <c r="BG181" s="35">
        <v>878</v>
      </c>
      <c r="BH181" s="35" t="s">
        <v>129</v>
      </c>
      <c r="BI181" s="35">
        <v>0.35</v>
      </c>
      <c r="BJ181" s="35" t="s">
        <v>1894</v>
      </c>
      <c r="BK181" s="35" t="s">
        <v>10</v>
      </c>
      <c r="BL181" s="35" t="s">
        <v>10</v>
      </c>
      <c r="BM181" s="35" t="s">
        <v>681</v>
      </c>
      <c r="BN181" s="35" t="s">
        <v>682</v>
      </c>
      <c r="BO181" s="35" t="s">
        <v>2358</v>
      </c>
      <c r="BP181" s="35" t="s">
        <v>2359</v>
      </c>
      <c r="BQ181" s="35">
        <v>29102</v>
      </c>
      <c r="BW181" s="248"/>
      <c r="BX181" s="248"/>
      <c r="BY181" s="248"/>
      <c r="BZ181" s="248"/>
      <c r="CA181" s="248"/>
      <c r="CB181" s="248"/>
      <c r="CC181" s="248"/>
      <c r="CD181" s="248"/>
      <c r="CE181" s="248"/>
      <c r="CF181" s="248"/>
      <c r="CG181" s="248"/>
      <c r="CH181" s="248"/>
      <c r="CI181" s="248"/>
      <c r="CJ181" s="248"/>
      <c r="CK181" s="248"/>
      <c r="CL181" s="248"/>
      <c r="CM181" s="248"/>
      <c r="CN181" s="248"/>
      <c r="CO181" s="248"/>
      <c r="CP181" s="248"/>
      <c r="CQ181" s="248"/>
      <c r="CR181" s="248"/>
      <c r="CS181" s="248"/>
      <c r="CT181" s="248"/>
      <c r="CU181" s="248"/>
      <c r="CV181" s="248"/>
      <c r="CW181" s="248"/>
      <c r="CX181" s="248"/>
      <c r="CY181" s="248"/>
      <c r="CZ181" s="248"/>
      <c r="DA181" s="248"/>
      <c r="DB181" s="248"/>
      <c r="DC181" s="248"/>
      <c r="DD181" s="248"/>
      <c r="DE181" s="248"/>
      <c r="DF181" s="248"/>
      <c r="DG181" s="248"/>
      <c r="DH181" s="248"/>
      <c r="DI181" s="248"/>
      <c r="DJ181" s="248"/>
      <c r="DK181" s="248"/>
      <c r="DL181" s="248"/>
      <c r="DM181" s="248"/>
      <c r="DN181" s="248"/>
      <c r="DO181" s="248"/>
      <c r="DP181" s="248"/>
      <c r="DQ181" s="248"/>
      <c r="DR181" s="248"/>
      <c r="DS181" s="248"/>
      <c r="DT181" s="248"/>
      <c r="DU181" s="248"/>
      <c r="DV181" s="248"/>
      <c r="DW181" s="248"/>
      <c r="DX181" s="248"/>
      <c r="DY181" s="248"/>
      <c r="DZ181" s="248"/>
      <c r="EA181" s="248"/>
      <c r="EB181" s="248"/>
      <c r="EC181" s="248"/>
      <c r="ED181" s="248"/>
      <c r="EE181" s="248"/>
    </row>
    <row r="182" spans="1:135" s="35" customFormat="1" ht="16.5">
      <c r="A182" s="35" t="str">
        <f t="shared" ref="A182:A213" si="6" xml:space="preserve"> AQ182 &amp; REPT(" ",20-LEN(AQ182)) &amp; AX182</f>
        <v xml:space="preserve">                    </v>
      </c>
      <c r="B182" s="331"/>
      <c r="D182" s="283" t="s">
        <v>607</v>
      </c>
      <c r="O182" s="34"/>
      <c r="P182" s="34"/>
      <c r="Q182" s="58"/>
      <c r="R182" s="39"/>
      <c r="AH182" s="279"/>
      <c r="AJ182" s="279"/>
      <c r="AK182" s="279"/>
      <c r="AL182" s="523">
        <v>1</v>
      </c>
      <c r="AM182" s="35" t="s">
        <v>285</v>
      </c>
      <c r="AQ182" s="34"/>
      <c r="AX182" s="34"/>
      <c r="BW182" s="248"/>
      <c r="BX182" s="248"/>
      <c r="BY182" s="248"/>
      <c r="BZ182" s="248"/>
      <c r="CA182" s="248"/>
      <c r="CB182" s="248"/>
      <c r="CC182" s="248"/>
      <c r="CD182" s="248"/>
      <c r="CE182" s="248"/>
      <c r="CF182" s="248"/>
      <c r="CG182" s="248"/>
      <c r="CH182" s="248"/>
      <c r="CI182" s="248"/>
      <c r="CJ182" s="248"/>
      <c r="CK182" s="248"/>
      <c r="CL182" s="248"/>
      <c r="CM182" s="248"/>
      <c r="CN182" s="248"/>
      <c r="CO182" s="248"/>
      <c r="CP182" s="248"/>
      <c r="CQ182" s="248"/>
      <c r="CR182" s="248"/>
      <c r="CS182" s="248"/>
      <c r="CT182" s="248"/>
      <c r="CU182" s="248"/>
      <c r="CV182" s="248"/>
      <c r="CW182" s="248"/>
      <c r="CX182" s="248"/>
      <c r="CY182" s="248"/>
      <c r="CZ182" s="248"/>
      <c r="DA182" s="248"/>
      <c r="DB182" s="248"/>
      <c r="DC182" s="248"/>
      <c r="DD182" s="248"/>
      <c r="DE182" s="248"/>
      <c r="DF182" s="248"/>
      <c r="DG182" s="248"/>
      <c r="DH182" s="248"/>
      <c r="DI182" s="248"/>
      <c r="DJ182" s="248"/>
      <c r="DK182" s="248"/>
      <c r="DL182" s="248"/>
      <c r="DM182" s="248"/>
      <c r="DN182" s="248"/>
      <c r="DO182" s="248"/>
      <c r="DP182" s="248"/>
      <c r="DQ182" s="248"/>
      <c r="DR182" s="248"/>
      <c r="DS182" s="248"/>
      <c r="DT182" s="248"/>
      <c r="DU182" s="248"/>
      <c r="DV182" s="248"/>
      <c r="DW182" s="248"/>
      <c r="DX182" s="248"/>
      <c r="DY182" s="248"/>
      <c r="DZ182" s="248"/>
      <c r="EA182" s="248"/>
      <c r="EB182" s="248"/>
      <c r="EC182" s="248"/>
      <c r="ED182" s="248"/>
      <c r="EE182" s="248"/>
    </row>
    <row r="183" spans="1:135" s="35" customFormat="1" ht="16.5">
      <c r="A183" s="35" t="str">
        <f t="shared" si="6"/>
        <v xml:space="preserve">~                   </v>
      </c>
      <c r="B183" s="331"/>
      <c r="D183" s="283" t="s">
        <v>607</v>
      </c>
      <c r="O183" s="34"/>
      <c r="P183" s="34"/>
      <c r="Q183" s="58"/>
      <c r="R183" s="39"/>
      <c r="AH183" s="279"/>
      <c r="AJ183" s="279"/>
      <c r="AK183" s="279"/>
      <c r="AL183" s="523">
        <v>2</v>
      </c>
      <c r="AM183" s="35" t="s">
        <v>0</v>
      </c>
      <c r="AN183" s="35" t="s">
        <v>722</v>
      </c>
      <c r="AO183" s="35" t="s">
        <v>599</v>
      </c>
      <c r="AP183" s="35" t="s">
        <v>1912</v>
      </c>
      <c r="AQ183" s="34" t="s">
        <v>1</v>
      </c>
      <c r="AR183" s="35" t="s">
        <v>1913</v>
      </c>
      <c r="AS183" s="35" t="s">
        <v>11</v>
      </c>
      <c r="AX183" s="34"/>
      <c r="BW183" s="248"/>
      <c r="BX183" s="248"/>
      <c r="BY183" s="248"/>
      <c r="BZ183" s="248"/>
      <c r="CA183" s="248"/>
      <c r="CB183" s="248"/>
      <c r="CC183" s="248"/>
      <c r="CD183" s="248"/>
      <c r="CE183" s="248"/>
      <c r="CF183" s="248"/>
      <c r="CG183" s="248"/>
      <c r="CH183" s="248"/>
      <c r="CI183" s="248"/>
      <c r="CJ183" s="248"/>
      <c r="CK183" s="248"/>
      <c r="CL183" s="248"/>
      <c r="CM183" s="248"/>
      <c r="CN183" s="248"/>
      <c r="CO183" s="248"/>
      <c r="CP183" s="248"/>
      <c r="CQ183" s="248"/>
      <c r="CR183" s="248"/>
      <c r="CS183" s="248"/>
      <c r="CT183" s="248"/>
      <c r="CU183" s="248"/>
      <c r="CV183" s="248"/>
      <c r="CW183" s="248"/>
      <c r="CX183" s="248"/>
      <c r="CY183" s="248"/>
      <c r="CZ183" s="248"/>
      <c r="DA183" s="248"/>
      <c r="DB183" s="248"/>
      <c r="DC183" s="248"/>
      <c r="DD183" s="248"/>
      <c r="DE183" s="248"/>
      <c r="DF183" s="248"/>
      <c r="DG183" s="248"/>
      <c r="DH183" s="248"/>
      <c r="DI183" s="248"/>
      <c r="DJ183" s="248"/>
      <c r="DK183" s="248"/>
      <c r="DL183" s="248"/>
      <c r="DM183" s="248"/>
      <c r="DN183" s="248"/>
      <c r="DO183" s="248"/>
      <c r="DP183" s="248"/>
      <c r="DQ183" s="248"/>
      <c r="DR183" s="248"/>
      <c r="DS183" s="248"/>
      <c r="DT183" s="248"/>
      <c r="DU183" s="248"/>
      <c r="DV183" s="248"/>
      <c r="DW183" s="248"/>
      <c r="DX183" s="248"/>
      <c r="DY183" s="248"/>
      <c r="DZ183" s="248"/>
      <c r="EA183" s="248"/>
      <c r="EB183" s="248"/>
      <c r="EC183" s="248"/>
      <c r="ED183" s="248"/>
      <c r="EE183" s="248"/>
    </row>
    <row r="184" spans="1:135" s="35" customFormat="1" ht="16.5">
      <c r="A184" s="35" t="str">
        <f t="shared" si="6"/>
        <v>Kurzname            Kurzname</v>
      </c>
      <c r="B184" s="331"/>
      <c r="D184" s="283" t="s">
        <v>607</v>
      </c>
      <c r="O184" s="34"/>
      <c r="P184" s="34"/>
      <c r="Q184" s="58"/>
      <c r="R184" s="39"/>
      <c r="AH184" s="279"/>
      <c r="AJ184" s="279"/>
      <c r="AK184" s="279"/>
      <c r="AL184" s="523">
        <v>0</v>
      </c>
      <c r="AM184" s="35" t="s">
        <v>12</v>
      </c>
      <c r="AN184" s="35" t="s">
        <v>13</v>
      </c>
      <c r="AO184" s="35" t="s">
        <v>356</v>
      </c>
      <c r="AP184" s="35" t="s">
        <v>14</v>
      </c>
      <c r="AQ184" s="34" t="s">
        <v>7</v>
      </c>
      <c r="AR184" s="35" t="s">
        <v>15</v>
      </c>
      <c r="AS184" s="35" t="s">
        <v>8</v>
      </c>
      <c r="AT184" s="35" t="s">
        <v>16</v>
      </c>
      <c r="AU184" s="35" t="s">
        <v>17</v>
      </c>
      <c r="AV184" s="35" t="s">
        <v>356</v>
      </c>
      <c r="AW184" s="35" t="s">
        <v>18</v>
      </c>
      <c r="AX184" s="34" t="s">
        <v>7</v>
      </c>
      <c r="AY184" s="35" t="s">
        <v>15</v>
      </c>
      <c r="AZ184" s="35" t="s">
        <v>8</v>
      </c>
      <c r="BA184" s="35" t="s">
        <v>16</v>
      </c>
      <c r="BB184" s="35" t="s">
        <v>17</v>
      </c>
      <c r="BC184" s="35" t="s">
        <v>19</v>
      </c>
      <c r="BD184" s="35" t="s">
        <v>1737</v>
      </c>
      <c r="BE184" s="35" t="s">
        <v>20</v>
      </c>
      <c r="BF184" s="35" t="s">
        <v>21</v>
      </c>
      <c r="BG184" s="35" t="s">
        <v>22</v>
      </c>
      <c r="BH184" s="35" t="s">
        <v>9</v>
      </c>
      <c r="BI184" s="35" t="s">
        <v>23</v>
      </c>
      <c r="BJ184" s="35" t="s">
        <v>24</v>
      </c>
      <c r="BK184" s="35" t="s">
        <v>0</v>
      </c>
      <c r="BL184" s="35" t="s">
        <v>12</v>
      </c>
      <c r="BW184" s="248"/>
      <c r="BX184" s="248"/>
      <c r="BY184" s="248"/>
      <c r="BZ184" s="248"/>
      <c r="CA184" s="248"/>
      <c r="CB184" s="248"/>
      <c r="CC184" s="248"/>
      <c r="CD184" s="248"/>
      <c r="CE184" s="248"/>
      <c r="CF184" s="248"/>
      <c r="CG184" s="248"/>
      <c r="CH184" s="248"/>
      <c r="CI184" s="248"/>
      <c r="CJ184" s="248"/>
      <c r="CK184" s="248"/>
      <c r="CL184" s="248"/>
      <c r="CM184" s="248"/>
      <c r="CN184" s="248"/>
      <c r="CO184" s="248"/>
      <c r="CP184" s="248"/>
      <c r="CQ184" s="248"/>
      <c r="CR184" s="248"/>
      <c r="CS184" s="248"/>
      <c r="CT184" s="248"/>
      <c r="CU184" s="248"/>
      <c r="CV184" s="248"/>
      <c r="CW184" s="248"/>
      <c r="CX184" s="248"/>
      <c r="CY184" s="248"/>
      <c r="CZ184" s="248"/>
      <c r="DA184" s="248"/>
      <c r="DB184" s="248"/>
      <c r="DC184" s="248"/>
      <c r="DD184" s="248"/>
      <c r="DE184" s="248"/>
      <c r="DF184" s="248"/>
      <c r="DG184" s="248"/>
      <c r="DH184" s="248"/>
      <c r="DI184" s="248"/>
      <c r="DJ184" s="248"/>
      <c r="DK184" s="248"/>
      <c r="DL184" s="248"/>
      <c r="DM184" s="248"/>
      <c r="DN184" s="248"/>
      <c r="DO184" s="248"/>
      <c r="DP184" s="248"/>
      <c r="DQ184" s="248"/>
      <c r="DR184" s="248"/>
      <c r="DS184" s="248"/>
      <c r="DT184" s="248"/>
      <c r="DU184" s="248"/>
      <c r="DV184" s="248"/>
      <c r="DW184" s="248"/>
      <c r="DX184" s="248"/>
      <c r="DY184" s="248"/>
      <c r="DZ184" s="248"/>
      <c r="EA184" s="248"/>
      <c r="EB184" s="248"/>
      <c r="EC184" s="248"/>
      <c r="ED184" s="248"/>
      <c r="EE184" s="248"/>
    </row>
    <row r="185" spans="1:135" s="32" customFormat="1" ht="16.5">
      <c r="A185" s="35" t="str">
        <f t="shared" si="6"/>
        <v>SG_EVLS             SLSV</v>
      </c>
      <c r="B185" s="331"/>
      <c r="C185" s="248">
        <v>72001</v>
      </c>
      <c r="D185" s="283" t="s">
        <v>607</v>
      </c>
      <c r="E185" s="35"/>
      <c r="F185" s="35" t="s">
        <v>1086</v>
      </c>
      <c r="O185" s="34" t="s">
        <v>1086</v>
      </c>
      <c r="P185" s="34" t="s">
        <v>1086</v>
      </c>
      <c r="Q185" s="59"/>
      <c r="R185" s="62"/>
      <c r="AH185" s="279"/>
      <c r="AI185" s="35"/>
      <c r="AJ185" s="279" t="s">
        <v>1117</v>
      </c>
      <c r="AK185" s="279"/>
      <c r="AL185" s="523">
        <v>3</v>
      </c>
      <c r="AM185" s="35">
        <v>72001</v>
      </c>
      <c r="AN185" s="35" t="s">
        <v>1914</v>
      </c>
      <c r="AO185" s="35" t="s">
        <v>1709</v>
      </c>
      <c r="AP185" s="35" t="s">
        <v>723</v>
      </c>
      <c r="AQ185" s="34" t="s">
        <v>2277</v>
      </c>
      <c r="AR185" s="35">
        <v>4</v>
      </c>
      <c r="AS185" s="35" t="s">
        <v>694</v>
      </c>
      <c r="AT185" s="35" t="s">
        <v>77</v>
      </c>
      <c r="AU185" s="35" t="s">
        <v>10</v>
      </c>
      <c r="AV185" s="35" t="s">
        <v>1732</v>
      </c>
      <c r="AW185" s="35" t="s">
        <v>724</v>
      </c>
      <c r="AX185" s="34" t="s">
        <v>2312</v>
      </c>
      <c r="AY185" s="35">
        <v>1</v>
      </c>
      <c r="AZ185" s="35" t="s">
        <v>540</v>
      </c>
      <c r="BA185" s="35" t="s">
        <v>77</v>
      </c>
      <c r="BB185" s="35" t="s">
        <v>10</v>
      </c>
      <c r="BC185" s="35" t="s">
        <v>113</v>
      </c>
      <c r="BD185" s="35" t="s">
        <v>1742</v>
      </c>
      <c r="BE185" s="35" t="s">
        <v>10</v>
      </c>
      <c r="BF185" s="35" t="s">
        <v>10</v>
      </c>
      <c r="BG185" s="35">
        <v>1083</v>
      </c>
      <c r="BH185" s="35" t="s">
        <v>79</v>
      </c>
      <c r="BI185" s="35">
        <v>0.5</v>
      </c>
      <c r="BJ185" s="35" t="s">
        <v>1915</v>
      </c>
      <c r="BK185" s="35" t="s">
        <v>722</v>
      </c>
      <c r="BL185" s="35">
        <v>72001</v>
      </c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248"/>
      <c r="BX185" s="248"/>
      <c r="BY185" s="248"/>
      <c r="BZ185" s="248"/>
      <c r="CA185" s="248"/>
      <c r="CB185" s="248"/>
      <c r="CC185" s="248"/>
      <c r="CD185" s="248"/>
      <c r="CE185" s="248"/>
      <c r="CF185" s="248"/>
      <c r="CG185" s="248"/>
      <c r="CH185" s="248"/>
      <c r="CI185" s="248"/>
      <c r="CJ185" s="248"/>
      <c r="CK185" s="248"/>
      <c r="CL185" s="248"/>
      <c r="CM185" s="248"/>
      <c r="CN185" s="248"/>
      <c r="CO185" s="248"/>
      <c r="CP185" s="248"/>
      <c r="CQ185" s="248"/>
      <c r="CR185" s="248"/>
      <c r="CS185" s="248"/>
      <c r="CT185" s="248"/>
      <c r="CU185" s="248"/>
      <c r="CV185" s="248"/>
      <c r="CW185" s="248"/>
      <c r="CX185" s="248"/>
      <c r="CY185" s="248"/>
      <c r="CZ185" s="248"/>
      <c r="DA185" s="248"/>
      <c r="DB185" s="248"/>
      <c r="DC185" s="248"/>
      <c r="DD185" s="248"/>
      <c r="DE185" s="248"/>
      <c r="DF185" s="248"/>
      <c r="DG185" s="248"/>
      <c r="DH185" s="248"/>
      <c r="DI185" s="248"/>
      <c r="DJ185" s="248"/>
      <c r="DK185" s="248"/>
      <c r="DL185" s="248"/>
      <c r="DM185" s="248"/>
      <c r="DN185" s="248"/>
      <c r="DO185" s="248"/>
      <c r="DP185" s="248"/>
      <c r="DQ185" s="248"/>
      <c r="DR185" s="248"/>
      <c r="DS185" s="248"/>
      <c r="DT185" s="248"/>
      <c r="DU185" s="248"/>
      <c r="DV185" s="248"/>
      <c r="DW185" s="248"/>
      <c r="DX185" s="248"/>
      <c r="DY185" s="248"/>
      <c r="DZ185" s="248"/>
      <c r="EA185" s="248"/>
      <c r="EB185" s="248"/>
      <c r="EC185" s="248"/>
      <c r="ED185" s="248"/>
      <c r="EE185" s="248"/>
    </row>
    <row r="186" spans="1:135" s="35" customFormat="1" ht="16.5">
      <c r="A186" s="35" t="str">
        <f t="shared" si="6"/>
        <v>SG_EVLS             SLSV</v>
      </c>
      <c r="B186" s="331"/>
      <c r="C186" s="248">
        <v>72002</v>
      </c>
      <c r="D186" s="283" t="s">
        <v>607</v>
      </c>
      <c r="F186" s="35" t="s">
        <v>1086</v>
      </c>
      <c r="O186" s="34" t="s">
        <v>1086</v>
      </c>
      <c r="P186" s="34" t="s">
        <v>1086</v>
      </c>
      <c r="Q186" s="58"/>
      <c r="R186" s="39"/>
      <c r="AH186" s="279"/>
      <c r="AJ186" s="279" t="s">
        <v>1117</v>
      </c>
      <c r="AK186" s="279"/>
      <c r="AL186" s="523">
        <v>3</v>
      </c>
      <c r="AM186" s="35">
        <v>72002</v>
      </c>
      <c r="AN186" s="35" t="s">
        <v>725</v>
      </c>
      <c r="AO186" s="35" t="s">
        <v>1709</v>
      </c>
      <c r="AP186" s="35" t="s">
        <v>723</v>
      </c>
      <c r="AQ186" s="34" t="s">
        <v>2277</v>
      </c>
      <c r="AR186" s="35">
        <v>1</v>
      </c>
      <c r="AS186" s="35" t="s">
        <v>694</v>
      </c>
      <c r="AT186" s="35" t="s">
        <v>77</v>
      </c>
      <c r="AU186" s="35" t="s">
        <v>10</v>
      </c>
      <c r="AV186" s="35" t="s">
        <v>1732</v>
      </c>
      <c r="AW186" s="35" t="s">
        <v>724</v>
      </c>
      <c r="AX186" s="34" t="s">
        <v>2312</v>
      </c>
      <c r="AY186" s="35">
        <v>2</v>
      </c>
      <c r="AZ186" s="35" t="s">
        <v>540</v>
      </c>
      <c r="BA186" s="35" t="s">
        <v>77</v>
      </c>
      <c r="BB186" s="35" t="s">
        <v>10</v>
      </c>
      <c r="BC186" s="35" t="s">
        <v>135</v>
      </c>
      <c r="BD186" s="35" t="s">
        <v>1742</v>
      </c>
      <c r="BE186" s="35" t="s">
        <v>10</v>
      </c>
      <c r="BF186" s="35" t="s">
        <v>10</v>
      </c>
      <c r="BG186" s="35">
        <v>1083</v>
      </c>
      <c r="BH186" s="35" t="s">
        <v>61</v>
      </c>
      <c r="BI186" s="35">
        <v>0.5</v>
      </c>
      <c r="BJ186" s="35" t="s">
        <v>726</v>
      </c>
      <c r="BK186" s="35" t="s">
        <v>722</v>
      </c>
      <c r="BL186" s="35">
        <v>72002</v>
      </c>
      <c r="BW186" s="248"/>
      <c r="BX186" s="248"/>
      <c r="BY186" s="248"/>
      <c r="BZ186" s="248"/>
      <c r="CA186" s="248"/>
      <c r="CB186" s="248"/>
      <c r="CC186" s="248"/>
      <c r="CD186" s="248"/>
      <c r="CE186" s="248"/>
      <c r="CF186" s="248"/>
      <c r="CG186" s="248"/>
      <c r="CH186" s="248"/>
      <c r="CI186" s="248"/>
      <c r="CJ186" s="248"/>
      <c r="CK186" s="248"/>
      <c r="CL186" s="248"/>
      <c r="CM186" s="248"/>
      <c r="CN186" s="248"/>
      <c r="CO186" s="248"/>
      <c r="CP186" s="248"/>
      <c r="CQ186" s="248"/>
      <c r="CR186" s="248"/>
      <c r="CS186" s="248"/>
      <c r="CT186" s="248"/>
      <c r="CU186" s="248"/>
      <c r="CV186" s="248"/>
      <c r="CW186" s="248"/>
      <c r="CX186" s="248"/>
      <c r="CY186" s="248"/>
      <c r="CZ186" s="248"/>
      <c r="DA186" s="248"/>
      <c r="DB186" s="248"/>
      <c r="DC186" s="248"/>
      <c r="DD186" s="248"/>
      <c r="DE186" s="248"/>
      <c r="DF186" s="248"/>
      <c r="DG186" s="248"/>
      <c r="DH186" s="248"/>
      <c r="DI186" s="248"/>
      <c r="DJ186" s="248"/>
      <c r="DK186" s="248"/>
      <c r="DL186" s="248"/>
      <c r="DM186" s="248"/>
      <c r="DN186" s="248"/>
      <c r="DO186" s="248"/>
      <c r="DP186" s="248"/>
      <c r="DQ186" s="248"/>
      <c r="DR186" s="248"/>
      <c r="DS186" s="248"/>
      <c r="DT186" s="248"/>
      <c r="DU186" s="248"/>
      <c r="DV186" s="248"/>
      <c r="DW186" s="248"/>
      <c r="DX186" s="248"/>
      <c r="DY186" s="248"/>
      <c r="DZ186" s="248"/>
      <c r="EA186" s="248"/>
      <c r="EB186" s="248"/>
      <c r="EC186" s="248"/>
      <c r="ED186" s="248"/>
      <c r="EE186" s="248"/>
    </row>
    <row r="187" spans="1:135" s="35" customFormat="1" ht="16.5">
      <c r="A187" s="35" t="str">
        <f t="shared" si="6"/>
        <v>SP_MB31_B1          SG_EVLS</v>
      </c>
      <c r="B187" s="331"/>
      <c r="C187" s="248">
        <v>72003</v>
      </c>
      <c r="D187" s="283" t="s">
        <v>607</v>
      </c>
      <c r="F187" s="35" t="s">
        <v>1086</v>
      </c>
      <c r="G187" s="35" t="s">
        <v>2225</v>
      </c>
      <c r="H187" s="35" t="s">
        <v>609</v>
      </c>
      <c r="N187" s="35" t="s">
        <v>537</v>
      </c>
      <c r="O187" s="34" t="s">
        <v>1086</v>
      </c>
      <c r="P187" s="34" t="s">
        <v>1086</v>
      </c>
      <c r="Q187" s="58"/>
      <c r="R187" s="39"/>
      <c r="AH187" s="279"/>
      <c r="AJ187" s="279" t="s">
        <v>1117</v>
      </c>
      <c r="AK187" s="279"/>
      <c r="AL187" s="523">
        <v>3</v>
      </c>
      <c r="AM187" s="35">
        <v>72003</v>
      </c>
      <c r="AN187" s="35" t="s">
        <v>1916</v>
      </c>
      <c r="AO187" s="35" t="s">
        <v>2145</v>
      </c>
      <c r="AP187" s="35" t="s">
        <v>532</v>
      </c>
      <c r="AQ187" s="34" t="s">
        <v>2225</v>
      </c>
      <c r="AR187" s="35">
        <v>1</v>
      </c>
      <c r="AS187" s="35" t="s">
        <v>1748</v>
      </c>
      <c r="AT187" s="35" t="s">
        <v>10</v>
      </c>
      <c r="AU187" s="35" t="s">
        <v>10</v>
      </c>
      <c r="AV187" s="35" t="s">
        <v>1709</v>
      </c>
      <c r="AW187" s="35" t="s">
        <v>723</v>
      </c>
      <c r="AX187" s="34" t="s">
        <v>2277</v>
      </c>
      <c r="AY187" s="35">
        <v>3</v>
      </c>
      <c r="AZ187" s="35" t="s">
        <v>694</v>
      </c>
      <c r="BA187" s="35" t="s">
        <v>237</v>
      </c>
      <c r="BB187" s="35" t="s">
        <v>10</v>
      </c>
      <c r="BC187" s="35" t="s">
        <v>160</v>
      </c>
      <c r="BD187" s="35" t="s">
        <v>1742</v>
      </c>
      <c r="BE187" s="35" t="s">
        <v>10</v>
      </c>
      <c r="BF187" s="35" t="s">
        <v>10</v>
      </c>
      <c r="BG187" s="35">
        <v>447</v>
      </c>
      <c r="BH187" s="35" t="s">
        <v>25</v>
      </c>
      <c r="BI187" s="35">
        <v>1</v>
      </c>
      <c r="BJ187" s="35" t="s">
        <v>1285</v>
      </c>
      <c r="BK187" s="35" t="s">
        <v>722</v>
      </c>
      <c r="BL187" s="35">
        <v>72003</v>
      </c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</row>
    <row r="188" spans="1:135" s="35" customFormat="1" ht="16.5">
      <c r="A188" s="35" t="str">
        <f t="shared" si="6"/>
        <v>KS_CPL_C            SG_EVLS</v>
      </c>
      <c r="B188" s="331"/>
      <c r="C188" s="248">
        <v>72004</v>
      </c>
      <c r="D188" s="283" t="s">
        <v>607</v>
      </c>
      <c r="F188" s="35" t="s">
        <v>1086</v>
      </c>
      <c r="O188" s="34" t="s">
        <v>1086</v>
      </c>
      <c r="P188" s="34" t="s">
        <v>1086</v>
      </c>
      <c r="Q188" s="58"/>
      <c r="R188" s="39"/>
      <c r="AH188" s="279"/>
      <c r="AJ188" s="279" t="s">
        <v>1117</v>
      </c>
      <c r="AK188" s="279"/>
      <c r="AL188" s="523">
        <v>3</v>
      </c>
      <c r="AM188" s="35">
        <v>72004</v>
      </c>
      <c r="AN188" s="35" t="s">
        <v>1917</v>
      </c>
      <c r="AO188" s="35" t="s">
        <v>416</v>
      </c>
      <c r="AP188" s="35" t="s">
        <v>632</v>
      </c>
      <c r="AQ188" s="34" t="s">
        <v>1758</v>
      </c>
      <c r="AR188" s="35">
        <v>7</v>
      </c>
      <c r="AS188" s="35" t="s">
        <v>1759</v>
      </c>
      <c r="AT188" s="35" t="s">
        <v>492</v>
      </c>
      <c r="AU188" s="35" t="s">
        <v>10</v>
      </c>
      <c r="AV188" s="35" t="s">
        <v>1709</v>
      </c>
      <c r="AW188" s="35" t="s">
        <v>723</v>
      </c>
      <c r="AX188" s="34" t="s">
        <v>2277</v>
      </c>
      <c r="AY188" s="35">
        <v>5</v>
      </c>
      <c r="AZ188" s="35" t="s">
        <v>694</v>
      </c>
      <c r="BA188" s="35" t="s">
        <v>218</v>
      </c>
      <c r="BB188" s="35" t="s">
        <v>10</v>
      </c>
      <c r="BC188" s="35" t="s">
        <v>219</v>
      </c>
      <c r="BD188" s="35" t="s">
        <v>1742</v>
      </c>
      <c r="BE188" s="35" t="s">
        <v>10</v>
      </c>
      <c r="BF188" s="35" t="s">
        <v>10</v>
      </c>
      <c r="BG188" s="35">
        <v>723</v>
      </c>
      <c r="BH188" s="35" t="s">
        <v>108</v>
      </c>
      <c r="BI188" s="35">
        <v>0.13</v>
      </c>
      <c r="BJ188" s="35" t="s">
        <v>286</v>
      </c>
      <c r="BK188" s="35" t="s">
        <v>722</v>
      </c>
      <c r="BL188" s="35">
        <v>72004</v>
      </c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</row>
    <row r="189" spans="1:135" s="35" customFormat="1" ht="16.5">
      <c r="A189" s="35" t="str">
        <f t="shared" si="6"/>
        <v>SIDO_O              SG_EVLS</v>
      </c>
      <c r="B189" s="331"/>
      <c r="C189" s="248">
        <v>72005</v>
      </c>
      <c r="D189" s="283" t="s">
        <v>607</v>
      </c>
      <c r="F189" s="35" t="s">
        <v>1086</v>
      </c>
      <c r="O189" s="34" t="s">
        <v>1086</v>
      </c>
      <c r="P189" s="34" t="s">
        <v>1086</v>
      </c>
      <c r="Q189" s="58"/>
      <c r="R189" s="39"/>
      <c r="AH189" s="279"/>
      <c r="AJ189" s="279" t="s">
        <v>1117</v>
      </c>
      <c r="AK189" s="279"/>
      <c r="AL189" s="523">
        <v>3</v>
      </c>
      <c r="AM189" s="35">
        <v>72005</v>
      </c>
      <c r="AN189" s="35" t="s">
        <v>1918</v>
      </c>
      <c r="AO189" s="35" t="s">
        <v>897</v>
      </c>
      <c r="AP189" s="35" t="s">
        <v>626</v>
      </c>
      <c r="AQ189" s="34" t="s">
        <v>2255</v>
      </c>
      <c r="AR189" s="35" t="s">
        <v>258</v>
      </c>
      <c r="AS189" s="35" t="s">
        <v>1158</v>
      </c>
      <c r="AT189" s="35" t="s">
        <v>242</v>
      </c>
      <c r="AU189" s="35" t="s">
        <v>10</v>
      </c>
      <c r="AV189" s="35" t="s">
        <v>1709</v>
      </c>
      <c r="AW189" s="35" t="s">
        <v>723</v>
      </c>
      <c r="AX189" s="34" t="s">
        <v>2277</v>
      </c>
      <c r="AY189" s="35">
        <v>6</v>
      </c>
      <c r="AZ189" s="35" t="s">
        <v>694</v>
      </c>
      <c r="BA189" s="35" t="s">
        <v>237</v>
      </c>
      <c r="BB189" s="35" t="s">
        <v>10</v>
      </c>
      <c r="BC189" s="35" t="s">
        <v>259</v>
      </c>
      <c r="BD189" s="35" t="s">
        <v>1742</v>
      </c>
      <c r="BE189" s="35" t="s">
        <v>10</v>
      </c>
      <c r="BF189" s="35" t="s">
        <v>10</v>
      </c>
      <c r="BG189" s="35">
        <v>609</v>
      </c>
      <c r="BH189" s="35" t="s">
        <v>76</v>
      </c>
      <c r="BI189" s="35">
        <v>1</v>
      </c>
      <c r="BJ189" s="35" t="s">
        <v>1492</v>
      </c>
      <c r="BK189" s="35" t="s">
        <v>722</v>
      </c>
      <c r="BL189" s="35">
        <v>72005</v>
      </c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</row>
    <row r="190" spans="1:135" s="35" customFormat="1" ht="16.5">
      <c r="A190" s="35" t="str">
        <f t="shared" si="6"/>
        <v xml:space="preserve">                    </v>
      </c>
      <c r="B190" s="331"/>
      <c r="D190" s="283" t="s">
        <v>608</v>
      </c>
      <c r="G190" s="39"/>
      <c r="O190" s="34"/>
      <c r="P190" s="34"/>
      <c r="Q190" s="58"/>
      <c r="R190" s="39"/>
      <c r="AH190" s="279"/>
      <c r="AJ190" s="279"/>
      <c r="AK190" s="279"/>
      <c r="AL190" s="523">
        <v>1</v>
      </c>
      <c r="AM190" s="35" t="s">
        <v>70</v>
      </c>
      <c r="AQ190" s="34"/>
      <c r="AX190" s="34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</row>
    <row r="191" spans="1:135" s="32" customFormat="1" ht="16.5">
      <c r="A191" s="35" t="str">
        <f t="shared" si="6"/>
        <v xml:space="preserve">                    </v>
      </c>
      <c r="B191" s="332"/>
      <c r="C191" s="35"/>
      <c r="D191" s="283" t="s">
        <v>608</v>
      </c>
      <c r="G191" s="62"/>
      <c r="O191" s="288"/>
      <c r="P191" s="288"/>
      <c r="Q191" s="59"/>
      <c r="R191" s="62"/>
      <c r="AC191" s="287">
        <v>1</v>
      </c>
      <c r="AD191" s="287"/>
      <c r="AE191" s="287"/>
      <c r="AF191" s="287"/>
      <c r="AG191" s="287"/>
      <c r="AH191" s="279"/>
      <c r="AI191" s="35"/>
      <c r="AJ191" s="279"/>
      <c r="AK191" s="279"/>
      <c r="AL191" s="523">
        <v>2</v>
      </c>
      <c r="AM191" s="35" t="s">
        <v>0</v>
      </c>
      <c r="AN191" s="35" t="s">
        <v>727</v>
      </c>
      <c r="AO191" s="35" t="s">
        <v>1493</v>
      </c>
      <c r="AP191" s="35" t="s">
        <v>1919</v>
      </c>
      <c r="AQ191" s="34"/>
      <c r="AR191" s="35" t="s">
        <v>1920</v>
      </c>
      <c r="AS191" s="35" t="s">
        <v>11</v>
      </c>
      <c r="AT191" s="35"/>
      <c r="AU191" s="35"/>
      <c r="AV191" s="35"/>
      <c r="AW191" s="35"/>
      <c r="AX191" s="34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248"/>
      <c r="BX191" s="248"/>
      <c r="BY191" s="248"/>
      <c r="BZ191" s="248"/>
      <c r="CA191" s="248"/>
      <c r="CB191" s="248"/>
      <c r="CC191" s="248"/>
      <c r="CD191" s="248"/>
      <c r="CE191" s="248"/>
      <c r="CF191" s="248"/>
      <c r="CG191" s="248"/>
      <c r="CH191" s="248"/>
      <c r="CI191" s="248"/>
      <c r="CJ191" s="248"/>
      <c r="CK191" s="248"/>
      <c r="CL191" s="248"/>
      <c r="CM191" s="248"/>
      <c r="CN191" s="248"/>
      <c r="CO191" s="248"/>
      <c r="CP191" s="248"/>
      <c r="CQ191" s="248"/>
      <c r="CR191" s="248"/>
      <c r="CS191" s="248"/>
      <c r="CT191" s="248"/>
      <c r="CU191" s="248"/>
      <c r="CV191" s="248"/>
      <c r="CW191" s="248"/>
      <c r="CX191" s="248"/>
      <c r="CY191" s="248"/>
      <c r="CZ191" s="248"/>
      <c r="DA191" s="248"/>
      <c r="DB191" s="248"/>
      <c r="DC191" s="248"/>
      <c r="DD191" s="248"/>
      <c r="DE191" s="248"/>
      <c r="DF191" s="248"/>
      <c r="DG191" s="248"/>
      <c r="DH191" s="248"/>
      <c r="DI191" s="248"/>
      <c r="DJ191" s="248"/>
      <c r="DK191" s="248"/>
      <c r="DL191" s="248"/>
      <c r="DM191" s="248"/>
      <c r="DN191" s="248"/>
      <c r="DO191" s="248"/>
      <c r="DP191" s="248"/>
      <c r="DQ191" s="248"/>
      <c r="DR191" s="248"/>
      <c r="DS191" s="248"/>
      <c r="DT191" s="248"/>
      <c r="DU191" s="248"/>
      <c r="DV191" s="248"/>
      <c r="DW191" s="248"/>
      <c r="DX191" s="248"/>
      <c r="DY191" s="248"/>
      <c r="DZ191" s="248"/>
      <c r="EA191" s="248"/>
      <c r="EB191" s="248"/>
      <c r="EC191" s="248"/>
      <c r="ED191" s="248"/>
      <c r="EE191" s="248"/>
    </row>
    <row r="192" spans="1:135" s="35" customFormat="1" ht="16.5">
      <c r="A192" s="35" t="str">
        <f t="shared" si="6"/>
        <v xml:space="preserve">                    </v>
      </c>
      <c r="B192" s="331"/>
      <c r="D192" s="283" t="s">
        <v>608</v>
      </c>
      <c r="G192" s="39"/>
      <c r="O192" s="34"/>
      <c r="P192" s="34"/>
      <c r="Q192" s="58"/>
      <c r="R192" s="39"/>
      <c r="AC192" s="287">
        <v>1</v>
      </c>
      <c r="AD192" s="287"/>
      <c r="AE192" s="287"/>
      <c r="AF192" s="287"/>
      <c r="AG192" s="287"/>
      <c r="AH192" s="279"/>
      <c r="AJ192" s="279"/>
      <c r="AK192" s="279"/>
      <c r="AL192" s="523">
        <v>2</v>
      </c>
      <c r="AM192" s="35" t="s">
        <v>2</v>
      </c>
      <c r="AN192" s="35" t="s">
        <v>728</v>
      </c>
      <c r="AO192" s="35" t="s">
        <v>1494</v>
      </c>
      <c r="AP192" s="35" t="s">
        <v>1921</v>
      </c>
      <c r="AQ192" s="34"/>
      <c r="AR192" s="35" t="s">
        <v>1495</v>
      </c>
      <c r="AS192" s="35" t="s">
        <v>11</v>
      </c>
      <c r="AX192" s="34"/>
      <c r="BW192" s="248"/>
      <c r="BX192" s="248"/>
      <c r="BY192" s="248"/>
      <c r="BZ192" s="248"/>
      <c r="CA192" s="248"/>
      <c r="CB192" s="248"/>
      <c r="CC192" s="248"/>
      <c r="CD192" s="248"/>
      <c r="CE192" s="248"/>
      <c r="CF192" s="248"/>
      <c r="CG192" s="248"/>
      <c r="CH192" s="248"/>
      <c r="CI192" s="248"/>
      <c r="CJ192" s="248"/>
      <c r="CK192" s="248"/>
      <c r="CL192" s="248"/>
      <c r="CM192" s="248"/>
      <c r="CN192" s="248"/>
      <c r="CO192" s="248"/>
      <c r="CP192" s="248"/>
      <c r="CQ192" s="248"/>
      <c r="CR192" s="248"/>
      <c r="CS192" s="248"/>
      <c r="CT192" s="248"/>
      <c r="CU192" s="248"/>
      <c r="CV192" s="248"/>
      <c r="CW192" s="248"/>
      <c r="CX192" s="248"/>
      <c r="CY192" s="248"/>
      <c r="CZ192" s="248"/>
      <c r="DA192" s="248"/>
      <c r="DB192" s="248"/>
      <c r="DC192" s="248"/>
      <c r="DD192" s="248"/>
      <c r="DE192" s="248"/>
      <c r="DF192" s="248"/>
      <c r="DG192" s="248"/>
      <c r="DH192" s="248"/>
      <c r="DI192" s="248"/>
      <c r="DJ192" s="248"/>
      <c r="DK192" s="248"/>
      <c r="DL192" s="248"/>
      <c r="DM192" s="248"/>
      <c r="DN192" s="248"/>
      <c r="DO192" s="248"/>
      <c r="DP192" s="248"/>
      <c r="DQ192" s="248"/>
      <c r="DR192" s="248"/>
      <c r="DS192" s="248"/>
      <c r="DT192" s="248"/>
      <c r="DU192" s="248"/>
      <c r="DV192" s="248"/>
      <c r="DW192" s="248"/>
      <c r="DX192" s="248"/>
      <c r="DY192" s="248"/>
      <c r="DZ192" s="248"/>
      <c r="EA192" s="248"/>
      <c r="EB192" s="248"/>
      <c r="EC192" s="248"/>
      <c r="ED192" s="248"/>
      <c r="EE192" s="248"/>
    </row>
    <row r="193" spans="1:135" s="35" customFormat="1" ht="16.5">
      <c r="A193" s="35" t="str">
        <f t="shared" si="6"/>
        <v xml:space="preserve">~                   </v>
      </c>
      <c r="B193" s="331"/>
      <c r="D193" s="283" t="s">
        <v>608</v>
      </c>
      <c r="O193" s="34"/>
      <c r="P193" s="34"/>
      <c r="Q193" s="58"/>
      <c r="R193" s="39"/>
      <c r="AC193" s="287">
        <v>1</v>
      </c>
      <c r="AD193" s="287"/>
      <c r="AE193" s="287"/>
      <c r="AF193" s="287"/>
      <c r="AG193" s="287"/>
      <c r="AH193" s="279"/>
      <c r="AJ193" s="279"/>
      <c r="AK193" s="279"/>
      <c r="AL193" s="523">
        <v>2</v>
      </c>
      <c r="AM193" s="35" t="s">
        <v>3</v>
      </c>
      <c r="AN193" s="35" t="s">
        <v>729</v>
      </c>
      <c r="AO193" s="35" t="s">
        <v>1496</v>
      </c>
      <c r="AP193" s="35" t="s">
        <v>1922</v>
      </c>
      <c r="AQ193" s="34" t="s">
        <v>1</v>
      </c>
      <c r="AR193" s="35" t="s">
        <v>1497</v>
      </c>
      <c r="AS193" s="35" t="s">
        <v>11</v>
      </c>
      <c r="AX193" s="34"/>
      <c r="BW193" s="248"/>
      <c r="BX193" s="248"/>
      <c r="BY193" s="248"/>
      <c r="BZ193" s="248"/>
      <c r="CA193" s="248"/>
      <c r="CB193" s="248"/>
      <c r="CC193" s="248"/>
      <c r="CD193" s="248"/>
      <c r="CE193" s="248"/>
      <c r="CF193" s="248"/>
      <c r="CG193" s="248"/>
      <c r="CH193" s="248"/>
      <c r="CI193" s="248"/>
      <c r="CJ193" s="248"/>
      <c r="CK193" s="248"/>
      <c r="CL193" s="248"/>
      <c r="CM193" s="248"/>
      <c r="CN193" s="248"/>
      <c r="CO193" s="248"/>
      <c r="CP193" s="248"/>
      <c r="CQ193" s="248"/>
      <c r="CR193" s="248"/>
      <c r="CS193" s="248"/>
      <c r="CT193" s="248"/>
      <c r="CU193" s="248"/>
      <c r="CV193" s="248"/>
      <c r="CW193" s="248"/>
      <c r="CX193" s="248"/>
      <c r="CY193" s="248"/>
      <c r="CZ193" s="248"/>
      <c r="DA193" s="248"/>
      <c r="DB193" s="248"/>
      <c r="DC193" s="248"/>
      <c r="DD193" s="248"/>
      <c r="DE193" s="248"/>
      <c r="DF193" s="248"/>
      <c r="DG193" s="248"/>
      <c r="DH193" s="248"/>
      <c r="DI193" s="248"/>
      <c r="DJ193" s="248"/>
      <c r="DK193" s="248"/>
      <c r="DL193" s="248"/>
      <c r="DM193" s="248"/>
      <c r="DN193" s="248"/>
      <c r="DO193" s="248"/>
      <c r="DP193" s="248"/>
      <c r="DQ193" s="248"/>
      <c r="DR193" s="248"/>
      <c r="DS193" s="248"/>
      <c r="DT193" s="248"/>
      <c r="DU193" s="248"/>
      <c r="DV193" s="248"/>
      <c r="DW193" s="248"/>
      <c r="DX193" s="248"/>
      <c r="DY193" s="248"/>
      <c r="DZ193" s="248"/>
      <c r="EA193" s="248"/>
      <c r="EB193" s="248"/>
      <c r="EC193" s="248"/>
      <c r="ED193" s="248"/>
      <c r="EE193" s="248"/>
    </row>
    <row r="194" spans="1:135" s="35" customFormat="1" ht="16.5">
      <c r="A194" s="35" t="str">
        <f t="shared" si="6"/>
        <v>Kurzname            Kurzname</v>
      </c>
      <c r="B194" s="331"/>
      <c r="D194" s="283" t="s">
        <v>608</v>
      </c>
      <c r="O194" s="34"/>
      <c r="P194" s="34"/>
      <c r="Q194" s="58"/>
      <c r="R194" s="39"/>
      <c r="AH194" s="279"/>
      <c r="AJ194" s="279"/>
      <c r="AK194" s="279"/>
      <c r="AL194" s="523">
        <v>0</v>
      </c>
      <c r="AM194" s="35" t="s">
        <v>12</v>
      </c>
      <c r="AN194" s="35" t="s">
        <v>13</v>
      </c>
      <c r="AO194" s="35" t="s">
        <v>356</v>
      </c>
      <c r="AP194" s="35" t="s">
        <v>14</v>
      </c>
      <c r="AQ194" s="34" t="s">
        <v>7</v>
      </c>
      <c r="AR194" s="35" t="s">
        <v>15</v>
      </c>
      <c r="AS194" s="35" t="s">
        <v>8</v>
      </c>
      <c r="AT194" s="35" t="s">
        <v>16</v>
      </c>
      <c r="AU194" s="35" t="s">
        <v>17</v>
      </c>
      <c r="AV194" s="35" t="s">
        <v>356</v>
      </c>
      <c r="AW194" s="35" t="s">
        <v>18</v>
      </c>
      <c r="AX194" s="34" t="s">
        <v>7</v>
      </c>
      <c r="AY194" s="35" t="s">
        <v>15</v>
      </c>
      <c r="AZ194" s="35" t="s">
        <v>8</v>
      </c>
      <c r="BA194" s="35" t="s">
        <v>16</v>
      </c>
      <c r="BB194" s="35" t="s">
        <v>17</v>
      </c>
      <c r="BC194" s="35" t="s">
        <v>19</v>
      </c>
      <c r="BD194" s="35" t="s">
        <v>1737</v>
      </c>
      <c r="BE194" s="35" t="s">
        <v>20</v>
      </c>
      <c r="BF194" s="35" t="s">
        <v>21</v>
      </c>
      <c r="BG194" s="35" t="s">
        <v>22</v>
      </c>
      <c r="BH194" s="35" t="s">
        <v>9</v>
      </c>
      <c r="BI194" s="35" t="s">
        <v>23</v>
      </c>
      <c r="BJ194" s="35" t="s">
        <v>24</v>
      </c>
      <c r="BK194" s="35" t="s">
        <v>0</v>
      </c>
      <c r="BL194" s="35" t="s">
        <v>2</v>
      </c>
      <c r="BM194" s="35" t="s">
        <v>3</v>
      </c>
      <c r="BN194" s="35" t="s">
        <v>12</v>
      </c>
      <c r="BW194" s="248"/>
      <c r="BX194" s="248"/>
      <c r="BY194" s="248"/>
      <c r="BZ194" s="248"/>
      <c r="CA194" s="248"/>
      <c r="CB194" s="248"/>
      <c r="CC194" s="248"/>
      <c r="CD194" s="248"/>
      <c r="CE194" s="248"/>
      <c r="CF194" s="248"/>
      <c r="CG194" s="248"/>
      <c r="CH194" s="248"/>
      <c r="CI194" s="248"/>
      <c r="CJ194" s="248"/>
      <c r="CK194" s="248"/>
      <c r="CL194" s="248"/>
      <c r="CM194" s="248"/>
      <c r="CN194" s="248"/>
      <c r="CO194" s="248"/>
      <c r="CP194" s="248"/>
      <c r="CQ194" s="248"/>
      <c r="CR194" s="248"/>
      <c r="CS194" s="248"/>
      <c r="CT194" s="248"/>
      <c r="CU194" s="248"/>
      <c r="CV194" s="248"/>
      <c r="CW194" s="248"/>
      <c r="CX194" s="248"/>
      <c r="CY194" s="248"/>
      <c r="CZ194" s="248"/>
      <c r="DA194" s="248"/>
      <c r="DB194" s="248"/>
      <c r="DC194" s="248"/>
      <c r="DD194" s="248"/>
      <c r="DE194" s="248"/>
      <c r="DF194" s="248"/>
      <c r="DG194" s="248"/>
      <c r="DH194" s="248"/>
      <c r="DI194" s="248"/>
      <c r="DJ194" s="248"/>
      <c r="DK194" s="248"/>
      <c r="DL194" s="248"/>
      <c r="DM194" s="248"/>
      <c r="DN194" s="248"/>
      <c r="DO194" s="248"/>
      <c r="DP194" s="248"/>
      <c r="DQ194" s="248"/>
      <c r="DR194" s="248"/>
      <c r="DS194" s="248"/>
      <c r="DT194" s="248"/>
      <c r="DU194" s="248"/>
      <c r="DV194" s="248"/>
      <c r="DW194" s="248"/>
      <c r="DX194" s="248"/>
      <c r="DY194" s="248"/>
      <c r="DZ194" s="248"/>
      <c r="EA194" s="248"/>
      <c r="EB194" s="248"/>
      <c r="EC194" s="248"/>
      <c r="ED194" s="248"/>
      <c r="EE194" s="248"/>
    </row>
    <row r="195" spans="1:135" s="35" customFormat="1" ht="16.5">
      <c r="A195" s="35" t="str">
        <f t="shared" si="6"/>
        <v>SP_MTVLP            KS_CP_C</v>
      </c>
      <c r="B195" s="331"/>
      <c r="C195" s="248">
        <v>76001</v>
      </c>
      <c r="D195" s="283" t="s">
        <v>608</v>
      </c>
      <c r="F195" s="35" t="s">
        <v>1086</v>
      </c>
      <c r="G195" s="35" t="s">
        <v>2244</v>
      </c>
      <c r="H195" s="35" t="s">
        <v>610</v>
      </c>
      <c r="N195" s="35" t="s">
        <v>537</v>
      </c>
      <c r="O195" s="34" t="s">
        <v>1097</v>
      </c>
      <c r="P195" s="34" t="s">
        <v>1086</v>
      </c>
      <c r="Q195" s="58"/>
      <c r="R195" s="39"/>
      <c r="AH195" s="279"/>
      <c r="AJ195" s="279" t="s">
        <v>1117</v>
      </c>
      <c r="AK195" s="279"/>
      <c r="AL195" s="523">
        <v>3</v>
      </c>
      <c r="AM195" s="35">
        <v>76001</v>
      </c>
      <c r="AN195" s="35" t="s">
        <v>1501</v>
      </c>
      <c r="AO195" s="35" t="s">
        <v>1710</v>
      </c>
      <c r="AP195" s="35" t="s">
        <v>529</v>
      </c>
      <c r="AQ195" s="34" t="s">
        <v>2244</v>
      </c>
      <c r="AR195" s="35">
        <v>1</v>
      </c>
      <c r="AS195" s="35" t="s">
        <v>497</v>
      </c>
      <c r="AT195" s="35" t="s">
        <v>10</v>
      </c>
      <c r="AU195" s="35" t="s">
        <v>10</v>
      </c>
      <c r="AV195" s="35" t="s">
        <v>959</v>
      </c>
      <c r="AW195" s="35" t="s">
        <v>683</v>
      </c>
      <c r="AX195" s="34" t="s">
        <v>1867</v>
      </c>
      <c r="AY195" s="35">
        <v>1</v>
      </c>
      <c r="AZ195" s="35" t="s">
        <v>477</v>
      </c>
      <c r="BA195" s="35" t="s">
        <v>238</v>
      </c>
      <c r="BB195" s="35" t="s">
        <v>10</v>
      </c>
      <c r="BC195" s="35" t="s">
        <v>102</v>
      </c>
      <c r="BD195" s="35" t="s">
        <v>1742</v>
      </c>
      <c r="BE195" s="35" t="s">
        <v>287</v>
      </c>
      <c r="BF195" s="35" t="s">
        <v>103</v>
      </c>
      <c r="BG195" s="35">
        <v>1251</v>
      </c>
      <c r="BH195" s="35" t="s">
        <v>74</v>
      </c>
      <c r="BI195" s="35">
        <v>0.75</v>
      </c>
      <c r="BJ195" s="35" t="s">
        <v>106</v>
      </c>
      <c r="BK195" s="35" t="s">
        <v>727</v>
      </c>
      <c r="BL195" s="35" t="s">
        <v>10</v>
      </c>
      <c r="BM195" s="35" t="s">
        <v>10</v>
      </c>
      <c r="BN195" s="35">
        <v>76001</v>
      </c>
      <c r="BW195" s="248"/>
      <c r="BX195" s="248"/>
      <c r="BY195" s="248"/>
      <c r="BZ195" s="248"/>
      <c r="CA195" s="248"/>
      <c r="CB195" s="248"/>
      <c r="CC195" s="248"/>
      <c r="CD195" s="248"/>
      <c r="CE195" s="248"/>
      <c r="CF195" s="248"/>
      <c r="CG195" s="248"/>
      <c r="CH195" s="248"/>
      <c r="CI195" s="248"/>
      <c r="CJ195" s="248"/>
      <c r="CK195" s="248"/>
      <c r="CL195" s="248"/>
      <c r="CM195" s="248"/>
      <c r="CN195" s="248"/>
      <c r="CO195" s="248"/>
      <c r="CP195" s="248"/>
      <c r="CQ195" s="248"/>
      <c r="CR195" s="248"/>
      <c r="CS195" s="248"/>
      <c r="CT195" s="248"/>
      <c r="CU195" s="248"/>
      <c r="CV195" s="248"/>
      <c r="CW195" s="248"/>
      <c r="CX195" s="248"/>
      <c r="CY195" s="248"/>
      <c r="CZ195" s="248"/>
      <c r="DA195" s="248"/>
      <c r="DB195" s="248"/>
      <c r="DC195" s="248"/>
      <c r="DD195" s="248"/>
      <c r="DE195" s="248"/>
      <c r="DF195" s="248"/>
      <c r="DG195" s="248"/>
      <c r="DH195" s="248"/>
      <c r="DI195" s="248"/>
      <c r="DJ195" s="248"/>
      <c r="DK195" s="248"/>
      <c r="DL195" s="248"/>
      <c r="DM195" s="248"/>
      <c r="DN195" s="248"/>
      <c r="DO195" s="248"/>
      <c r="DP195" s="248"/>
      <c r="DQ195" s="248"/>
      <c r="DR195" s="248"/>
      <c r="DS195" s="248"/>
      <c r="DT195" s="248"/>
      <c r="DU195" s="248"/>
      <c r="DV195" s="248"/>
      <c r="DW195" s="248"/>
      <c r="DX195" s="248"/>
      <c r="DY195" s="248"/>
      <c r="DZ195" s="248"/>
      <c r="EA195" s="248"/>
      <c r="EB195" s="248"/>
      <c r="EC195" s="248"/>
      <c r="ED195" s="248"/>
      <c r="EE195" s="248"/>
    </row>
    <row r="196" spans="1:135" s="35" customFormat="1" ht="16.5">
      <c r="A196" s="35" t="str">
        <f t="shared" si="6"/>
        <v>SP_MTVLM            KS_CP_C</v>
      </c>
      <c r="B196" s="331"/>
      <c r="C196" s="248">
        <v>76002</v>
      </c>
      <c r="D196" s="283" t="s">
        <v>608</v>
      </c>
      <c r="F196" s="35" t="s">
        <v>1086</v>
      </c>
      <c r="G196" s="35" t="s">
        <v>2245</v>
      </c>
      <c r="H196" s="35" t="s">
        <v>610</v>
      </c>
      <c r="N196" s="35" t="s">
        <v>537</v>
      </c>
      <c r="O196" s="34" t="s">
        <v>1097</v>
      </c>
      <c r="P196" s="34" t="s">
        <v>1086</v>
      </c>
      <c r="Q196" s="58"/>
      <c r="R196" s="39"/>
      <c r="AH196" s="279"/>
      <c r="AJ196" s="279" t="s">
        <v>1117</v>
      </c>
      <c r="AK196" s="279"/>
      <c r="AL196" s="523">
        <v>3</v>
      </c>
      <c r="AM196" s="35">
        <v>76002</v>
      </c>
      <c r="AN196" s="35" t="s">
        <v>1502</v>
      </c>
      <c r="AO196" s="35" t="s">
        <v>1711</v>
      </c>
      <c r="AP196" s="35" t="s">
        <v>542</v>
      </c>
      <c r="AQ196" s="34" t="s">
        <v>2245</v>
      </c>
      <c r="AR196" s="35">
        <v>1</v>
      </c>
      <c r="AS196" s="35" t="s">
        <v>1925</v>
      </c>
      <c r="AT196" s="35" t="s">
        <v>10</v>
      </c>
      <c r="AU196" s="35" t="s">
        <v>10</v>
      </c>
      <c r="AV196" s="35" t="s">
        <v>959</v>
      </c>
      <c r="AW196" s="35" t="s">
        <v>683</v>
      </c>
      <c r="AX196" s="34" t="s">
        <v>1867</v>
      </c>
      <c r="AY196" s="35">
        <v>2</v>
      </c>
      <c r="AZ196" s="35" t="s">
        <v>477</v>
      </c>
      <c r="BA196" s="35" t="s">
        <v>238</v>
      </c>
      <c r="BB196" s="35" t="s">
        <v>10</v>
      </c>
      <c r="BC196" s="35" t="s">
        <v>102</v>
      </c>
      <c r="BD196" s="35" t="s">
        <v>1742</v>
      </c>
      <c r="BE196" s="35" t="s">
        <v>287</v>
      </c>
      <c r="BF196" s="35" t="s">
        <v>104</v>
      </c>
      <c r="BG196" s="35">
        <v>1317</v>
      </c>
      <c r="BH196" s="35" t="s">
        <v>105</v>
      </c>
      <c r="BI196" s="35">
        <v>0.75</v>
      </c>
      <c r="BJ196" s="35" t="s">
        <v>107</v>
      </c>
      <c r="BK196" s="35" t="s">
        <v>727</v>
      </c>
      <c r="BL196" s="35" t="s">
        <v>10</v>
      </c>
      <c r="BM196" s="35" t="s">
        <v>10</v>
      </c>
      <c r="BN196" s="35">
        <v>76002</v>
      </c>
      <c r="BW196" s="248"/>
      <c r="BX196" s="248"/>
      <c r="BY196" s="248"/>
      <c r="BZ196" s="248"/>
      <c r="CA196" s="248"/>
      <c r="CB196" s="248"/>
      <c r="CC196" s="248"/>
      <c r="CD196" s="248"/>
      <c r="CE196" s="248"/>
      <c r="CF196" s="248"/>
      <c r="CG196" s="248"/>
      <c r="CH196" s="248"/>
      <c r="CI196" s="248"/>
      <c r="CJ196" s="248"/>
      <c r="CK196" s="248"/>
      <c r="CL196" s="248"/>
      <c r="CM196" s="248"/>
      <c r="CN196" s="248"/>
      <c r="CO196" s="248"/>
      <c r="CP196" s="248"/>
      <c r="CQ196" s="248"/>
      <c r="CR196" s="248"/>
      <c r="CS196" s="248"/>
      <c r="CT196" s="248"/>
      <c r="CU196" s="248"/>
      <c r="CV196" s="248"/>
      <c r="CW196" s="248"/>
      <c r="CX196" s="248"/>
      <c r="CY196" s="248"/>
      <c r="CZ196" s="248"/>
      <c r="DA196" s="248"/>
      <c r="DB196" s="248"/>
      <c r="DC196" s="248"/>
      <c r="DD196" s="248"/>
      <c r="DE196" s="248"/>
      <c r="DF196" s="248"/>
      <c r="DG196" s="248"/>
      <c r="DH196" s="248"/>
      <c r="DI196" s="248"/>
      <c r="DJ196" s="248"/>
      <c r="DK196" s="248"/>
      <c r="DL196" s="248"/>
      <c r="DM196" s="248"/>
      <c r="DN196" s="248"/>
      <c r="DO196" s="248"/>
      <c r="DP196" s="248"/>
      <c r="DQ196" s="248"/>
      <c r="DR196" s="248"/>
      <c r="DS196" s="248"/>
      <c r="DT196" s="248"/>
      <c r="DU196" s="248"/>
      <c r="DV196" s="248"/>
      <c r="DW196" s="248"/>
      <c r="DX196" s="248"/>
      <c r="DY196" s="248"/>
      <c r="DZ196" s="248"/>
      <c r="EA196" s="248"/>
      <c r="EB196" s="248"/>
      <c r="EC196" s="248"/>
      <c r="ED196" s="248"/>
      <c r="EE196" s="248"/>
    </row>
    <row r="197" spans="1:135" s="35" customFormat="1" ht="16.5">
      <c r="A197" s="35" t="str">
        <f t="shared" si="6"/>
        <v>SP_MTVRP            KS_CP_C</v>
      </c>
      <c r="B197" s="331"/>
      <c r="C197" s="248">
        <v>76003</v>
      </c>
      <c r="D197" s="283" t="s">
        <v>608</v>
      </c>
      <c r="F197" s="35" t="s">
        <v>1086</v>
      </c>
      <c r="G197" s="35" t="s">
        <v>2246</v>
      </c>
      <c r="H197" s="35" t="s">
        <v>610</v>
      </c>
      <c r="N197" s="35" t="s">
        <v>537</v>
      </c>
      <c r="O197" s="34" t="s">
        <v>1097</v>
      </c>
      <c r="P197" s="34" t="s">
        <v>1086</v>
      </c>
      <c r="Q197" s="58"/>
      <c r="R197" s="39"/>
      <c r="AH197" s="279"/>
      <c r="AJ197" s="279" t="s">
        <v>1117</v>
      </c>
      <c r="AK197" s="279"/>
      <c r="AL197" s="523">
        <v>3</v>
      </c>
      <c r="AM197" s="35">
        <v>76003</v>
      </c>
      <c r="AN197" s="35" t="s">
        <v>733</v>
      </c>
      <c r="AO197" s="35" t="s">
        <v>1712</v>
      </c>
      <c r="AP197" s="35" t="s">
        <v>732</v>
      </c>
      <c r="AQ197" s="34" t="s">
        <v>2246</v>
      </c>
      <c r="AR197" s="35">
        <v>1</v>
      </c>
      <c r="AS197" s="35" t="s">
        <v>1168</v>
      </c>
      <c r="AT197" s="35" t="s">
        <v>10</v>
      </c>
      <c r="AU197" s="35" t="s">
        <v>10</v>
      </c>
      <c r="AV197" s="35" t="s">
        <v>959</v>
      </c>
      <c r="AW197" s="35" t="s">
        <v>683</v>
      </c>
      <c r="AX197" s="34" t="s">
        <v>1867</v>
      </c>
      <c r="AY197" s="35">
        <v>3</v>
      </c>
      <c r="AZ197" s="35" t="s">
        <v>477</v>
      </c>
      <c r="BA197" s="35" t="s">
        <v>238</v>
      </c>
      <c r="BB197" s="35" t="s">
        <v>10</v>
      </c>
      <c r="BC197" s="35" t="s">
        <v>2422</v>
      </c>
      <c r="BD197" s="35" t="s">
        <v>1742</v>
      </c>
      <c r="BE197" s="35" t="s">
        <v>288</v>
      </c>
      <c r="BF197" s="35" t="s">
        <v>2423</v>
      </c>
      <c r="BG197" s="35">
        <v>473</v>
      </c>
      <c r="BH197" s="35" t="s">
        <v>168</v>
      </c>
      <c r="BI197" s="35">
        <v>0.75</v>
      </c>
      <c r="BJ197" s="35" t="s">
        <v>115</v>
      </c>
      <c r="BK197" s="35" t="s">
        <v>727</v>
      </c>
      <c r="BL197" s="35" t="s">
        <v>10</v>
      </c>
      <c r="BM197" s="35" t="s">
        <v>10</v>
      </c>
      <c r="BN197" s="35">
        <v>76003</v>
      </c>
      <c r="BW197" s="248"/>
      <c r="BX197" s="248"/>
      <c r="BY197" s="248"/>
      <c r="BZ197" s="248"/>
      <c r="CA197" s="248"/>
      <c r="CB197" s="248"/>
      <c r="CC197" s="248"/>
      <c r="CD197" s="248"/>
      <c r="CE197" s="248"/>
      <c r="CF197" s="248"/>
      <c r="CG197" s="248"/>
      <c r="CH197" s="248"/>
      <c r="CI197" s="248"/>
      <c r="CJ197" s="248"/>
      <c r="CK197" s="248"/>
      <c r="CL197" s="248"/>
      <c r="CM197" s="248"/>
      <c r="CN197" s="248"/>
      <c r="CO197" s="248"/>
      <c r="CP197" s="248"/>
      <c r="CQ197" s="248"/>
      <c r="CR197" s="248"/>
      <c r="CS197" s="248"/>
      <c r="CT197" s="248"/>
      <c r="CU197" s="248"/>
      <c r="CV197" s="248"/>
      <c r="CW197" s="248"/>
      <c r="CX197" s="248"/>
      <c r="CY197" s="248"/>
      <c r="CZ197" s="248"/>
      <c r="DA197" s="248"/>
      <c r="DB197" s="248"/>
      <c r="DC197" s="248"/>
      <c r="DD197" s="248"/>
      <c r="DE197" s="248"/>
      <c r="DF197" s="248"/>
      <c r="DG197" s="248"/>
      <c r="DH197" s="248"/>
      <c r="DI197" s="248"/>
      <c r="DJ197" s="248"/>
      <c r="DK197" s="248"/>
      <c r="DL197" s="248"/>
      <c r="DM197" s="248"/>
      <c r="DN197" s="248"/>
      <c r="DO197" s="248"/>
      <c r="DP197" s="248"/>
      <c r="DQ197" s="248"/>
      <c r="DR197" s="248"/>
      <c r="DS197" s="248"/>
      <c r="DT197" s="248"/>
      <c r="DU197" s="248"/>
      <c r="DV197" s="248"/>
      <c r="DW197" s="248"/>
      <c r="DX197" s="248"/>
      <c r="DY197" s="248"/>
      <c r="DZ197" s="248"/>
      <c r="EA197" s="248"/>
      <c r="EB197" s="248"/>
      <c r="EC197" s="248"/>
      <c r="ED197" s="248"/>
      <c r="EE197" s="248"/>
    </row>
    <row r="198" spans="1:135" s="35" customFormat="1" ht="16.5">
      <c r="A198" s="35" t="str">
        <f t="shared" si="6"/>
        <v>SP_MTVRM            KS_CP_C</v>
      </c>
      <c r="B198" s="331"/>
      <c r="C198" s="248">
        <v>76004</v>
      </c>
      <c r="D198" s="283" t="s">
        <v>608</v>
      </c>
      <c r="F198" s="35" t="s">
        <v>1086</v>
      </c>
      <c r="G198" s="35" t="s">
        <v>2247</v>
      </c>
      <c r="H198" s="35" t="s">
        <v>610</v>
      </c>
      <c r="N198" s="35" t="s">
        <v>537</v>
      </c>
      <c r="O198" s="34" t="s">
        <v>1097</v>
      </c>
      <c r="P198" s="34" t="s">
        <v>1086</v>
      </c>
      <c r="Q198" s="58"/>
      <c r="R198" s="39"/>
      <c r="AH198" s="279"/>
      <c r="AJ198" s="279" t="s">
        <v>1117</v>
      </c>
      <c r="AK198" s="279"/>
      <c r="AL198" s="523">
        <v>3</v>
      </c>
      <c r="AM198" s="35">
        <v>76004</v>
      </c>
      <c r="AN198" s="35" t="s">
        <v>734</v>
      </c>
      <c r="AO198" s="35" t="s">
        <v>1713</v>
      </c>
      <c r="AP198" s="35" t="s">
        <v>121</v>
      </c>
      <c r="AQ198" s="34" t="s">
        <v>2247</v>
      </c>
      <c r="AR198" s="35">
        <v>1</v>
      </c>
      <c r="AS198" s="35" t="s">
        <v>1168</v>
      </c>
      <c r="AT198" s="35" t="s">
        <v>10</v>
      </c>
      <c r="AU198" s="35" t="s">
        <v>10</v>
      </c>
      <c r="AV198" s="35" t="s">
        <v>959</v>
      </c>
      <c r="AW198" s="35" t="s">
        <v>683</v>
      </c>
      <c r="AX198" s="34" t="s">
        <v>1867</v>
      </c>
      <c r="AY198" s="35">
        <v>4</v>
      </c>
      <c r="AZ198" s="35" t="s">
        <v>477</v>
      </c>
      <c r="BA198" s="35" t="s">
        <v>238</v>
      </c>
      <c r="BB198" s="35" t="s">
        <v>10</v>
      </c>
      <c r="BC198" s="35" t="s">
        <v>2422</v>
      </c>
      <c r="BD198" s="35" t="s">
        <v>1742</v>
      </c>
      <c r="BE198" s="35" t="s">
        <v>288</v>
      </c>
      <c r="BF198" s="35" t="s">
        <v>319</v>
      </c>
      <c r="BG198" s="35">
        <v>515</v>
      </c>
      <c r="BH198" s="35" t="s">
        <v>117</v>
      </c>
      <c r="BI198" s="35">
        <v>0.75</v>
      </c>
      <c r="BJ198" s="35" t="s">
        <v>118</v>
      </c>
      <c r="BK198" s="35" t="s">
        <v>727</v>
      </c>
      <c r="BL198" s="35" t="s">
        <v>10</v>
      </c>
      <c r="BM198" s="35" t="s">
        <v>10</v>
      </c>
      <c r="BN198" s="35">
        <v>76004</v>
      </c>
      <c r="BW198" s="248"/>
      <c r="BX198" s="248"/>
      <c r="BY198" s="248"/>
      <c r="BZ198" s="248"/>
      <c r="CA198" s="248"/>
      <c r="CB198" s="248"/>
      <c r="CC198" s="248"/>
      <c r="CD198" s="248"/>
      <c r="CE198" s="248"/>
      <c r="CF198" s="248"/>
      <c r="CG198" s="248"/>
      <c r="CH198" s="248"/>
      <c r="CI198" s="248"/>
      <c r="CJ198" s="248"/>
      <c r="CK198" s="248"/>
      <c r="CL198" s="248"/>
      <c r="CM198" s="248"/>
      <c r="CN198" s="248"/>
      <c r="CO198" s="248"/>
      <c r="CP198" s="248"/>
      <c r="CQ198" s="248"/>
      <c r="CR198" s="248"/>
      <c r="CS198" s="248"/>
      <c r="CT198" s="248"/>
      <c r="CU198" s="248"/>
      <c r="CV198" s="248"/>
      <c r="CW198" s="248"/>
      <c r="CX198" s="248"/>
      <c r="CY198" s="248"/>
      <c r="CZ198" s="248"/>
      <c r="DA198" s="248"/>
      <c r="DB198" s="248"/>
      <c r="DC198" s="248"/>
      <c r="DD198" s="248"/>
      <c r="DE198" s="248"/>
      <c r="DF198" s="248"/>
      <c r="DG198" s="248"/>
      <c r="DH198" s="248"/>
      <c r="DI198" s="248"/>
      <c r="DJ198" s="248"/>
      <c r="DK198" s="248"/>
      <c r="DL198" s="248"/>
      <c r="DM198" s="248"/>
      <c r="DN198" s="248"/>
      <c r="DO198" s="248"/>
      <c r="DP198" s="248"/>
      <c r="DQ198" s="248"/>
      <c r="DR198" s="248"/>
      <c r="DS198" s="248"/>
      <c r="DT198" s="248"/>
      <c r="DU198" s="248"/>
      <c r="DV198" s="248"/>
      <c r="DW198" s="248"/>
      <c r="DX198" s="248"/>
      <c r="DY198" s="248"/>
      <c r="DZ198" s="248"/>
      <c r="EA198" s="248"/>
      <c r="EB198" s="248"/>
      <c r="EC198" s="248"/>
      <c r="ED198" s="248"/>
      <c r="EE198" s="248"/>
    </row>
    <row r="199" spans="1:135" s="35" customFormat="1" ht="16.5">
      <c r="A199" s="35" t="str">
        <f t="shared" si="6"/>
        <v>SP_MTVRP            KS_CPR_B</v>
      </c>
      <c r="B199" s="331"/>
      <c r="C199" s="248">
        <v>76005</v>
      </c>
      <c r="D199" s="283" t="s">
        <v>608</v>
      </c>
      <c r="F199" s="35" t="s">
        <v>1086</v>
      </c>
      <c r="G199" s="35" t="s">
        <v>2246</v>
      </c>
      <c r="H199" s="35" t="s">
        <v>610</v>
      </c>
      <c r="N199" s="35" t="s">
        <v>537</v>
      </c>
      <c r="O199" s="34" t="s">
        <v>1097</v>
      </c>
      <c r="P199" s="285" t="s">
        <v>1086</v>
      </c>
      <c r="Q199" s="58"/>
      <c r="R199" s="39"/>
      <c r="AH199" s="279"/>
      <c r="AJ199" s="279" t="s">
        <v>1117</v>
      </c>
      <c r="AK199" s="279"/>
      <c r="AL199" s="523">
        <v>3</v>
      </c>
      <c r="AM199" s="35">
        <v>76005</v>
      </c>
      <c r="AN199" s="35" t="s">
        <v>1498</v>
      </c>
      <c r="AO199" s="35" t="s">
        <v>1712</v>
      </c>
      <c r="AP199" s="35" t="s">
        <v>732</v>
      </c>
      <c r="AQ199" s="34" t="s">
        <v>2246</v>
      </c>
      <c r="AR199" s="35">
        <v>1</v>
      </c>
      <c r="AS199" s="35" t="s">
        <v>1168</v>
      </c>
      <c r="AT199" s="35" t="s">
        <v>10</v>
      </c>
      <c r="AU199" s="35" t="s">
        <v>10</v>
      </c>
      <c r="AV199" s="35" t="s">
        <v>424</v>
      </c>
      <c r="AW199" s="35" t="s">
        <v>651</v>
      </c>
      <c r="AX199" s="34" t="s">
        <v>1807</v>
      </c>
      <c r="AY199" s="35">
        <v>1</v>
      </c>
      <c r="AZ199" s="35" t="s">
        <v>1808</v>
      </c>
      <c r="BA199" s="35" t="s">
        <v>81</v>
      </c>
      <c r="BB199" s="35" t="s">
        <v>10</v>
      </c>
      <c r="BC199" s="35" t="s">
        <v>2422</v>
      </c>
      <c r="BD199" s="35" t="s">
        <v>1742</v>
      </c>
      <c r="BE199" s="35" t="s">
        <v>289</v>
      </c>
      <c r="BF199" s="35" t="s">
        <v>2423</v>
      </c>
      <c r="BG199" s="35">
        <v>659</v>
      </c>
      <c r="BH199" s="35" t="s">
        <v>168</v>
      </c>
      <c r="BI199" s="35">
        <v>0.75</v>
      </c>
      <c r="BJ199" s="35" t="s">
        <v>115</v>
      </c>
      <c r="BK199" s="35" t="s">
        <v>727</v>
      </c>
      <c r="BL199" s="35" t="s">
        <v>10</v>
      </c>
      <c r="BM199" s="35" t="s">
        <v>10</v>
      </c>
      <c r="BN199" s="35">
        <v>76005</v>
      </c>
      <c r="BW199" s="248"/>
      <c r="BX199" s="248"/>
      <c r="BY199" s="248"/>
      <c r="BZ199" s="248"/>
      <c r="CA199" s="248"/>
      <c r="CB199" s="248"/>
      <c r="CC199" s="248"/>
      <c r="CD199" s="248"/>
      <c r="CE199" s="248"/>
      <c r="CF199" s="248"/>
      <c r="CG199" s="248"/>
      <c r="CH199" s="248"/>
      <c r="CI199" s="248"/>
      <c r="CJ199" s="248"/>
      <c r="CK199" s="248"/>
      <c r="CL199" s="248"/>
      <c r="CM199" s="248"/>
      <c r="CN199" s="248"/>
      <c r="CO199" s="248"/>
      <c r="CP199" s="248"/>
      <c r="CQ199" s="248"/>
      <c r="CR199" s="248"/>
      <c r="CS199" s="248"/>
      <c r="CT199" s="248"/>
      <c r="CU199" s="248"/>
      <c r="CV199" s="248"/>
      <c r="CW199" s="248"/>
      <c r="CX199" s="248"/>
      <c r="CY199" s="248"/>
      <c r="CZ199" s="248"/>
      <c r="DA199" s="248"/>
      <c r="DB199" s="248"/>
      <c r="DC199" s="248"/>
      <c r="DD199" s="248"/>
      <c r="DE199" s="248"/>
      <c r="DF199" s="248"/>
      <c r="DG199" s="248"/>
      <c r="DH199" s="248"/>
      <c r="DI199" s="248"/>
      <c r="DJ199" s="248"/>
      <c r="DK199" s="248"/>
      <c r="DL199" s="248"/>
      <c r="DM199" s="248"/>
      <c r="DN199" s="248"/>
      <c r="DO199" s="248"/>
      <c r="DP199" s="248"/>
      <c r="DQ199" s="248"/>
      <c r="DR199" s="248"/>
      <c r="DS199" s="248"/>
      <c r="DT199" s="248"/>
      <c r="DU199" s="248"/>
      <c r="DV199" s="248"/>
      <c r="DW199" s="248"/>
      <c r="DX199" s="248"/>
      <c r="DY199" s="248"/>
      <c r="DZ199" s="248"/>
      <c r="EA199" s="248"/>
      <c r="EB199" s="248"/>
      <c r="EC199" s="248"/>
      <c r="ED199" s="248"/>
      <c r="EE199" s="248"/>
    </row>
    <row r="200" spans="1:135" s="35" customFormat="1" ht="16.5">
      <c r="A200" s="35" t="str">
        <f t="shared" si="6"/>
        <v>SP_MTVRM            KS_CPR_B</v>
      </c>
      <c r="B200" s="331"/>
      <c r="C200" s="248">
        <v>76006</v>
      </c>
      <c r="D200" s="283" t="s">
        <v>608</v>
      </c>
      <c r="F200" s="35" t="s">
        <v>1086</v>
      </c>
      <c r="G200" s="35" t="s">
        <v>2247</v>
      </c>
      <c r="H200" s="35" t="s">
        <v>610</v>
      </c>
      <c r="N200" s="35" t="s">
        <v>537</v>
      </c>
      <c r="O200" s="34" t="s">
        <v>1097</v>
      </c>
      <c r="P200" s="285" t="s">
        <v>1086</v>
      </c>
      <c r="Q200" s="58"/>
      <c r="R200" s="39"/>
      <c r="AH200" s="279"/>
      <c r="AJ200" s="279" t="s">
        <v>1117</v>
      </c>
      <c r="AK200" s="279"/>
      <c r="AL200" s="523">
        <v>3</v>
      </c>
      <c r="AM200" s="35">
        <v>76006</v>
      </c>
      <c r="AN200" s="35" t="s">
        <v>1500</v>
      </c>
      <c r="AO200" s="35" t="s">
        <v>1713</v>
      </c>
      <c r="AP200" s="35" t="s">
        <v>121</v>
      </c>
      <c r="AQ200" s="34" t="s">
        <v>2247</v>
      </c>
      <c r="AR200" s="35">
        <v>1</v>
      </c>
      <c r="AS200" s="35" t="s">
        <v>1168</v>
      </c>
      <c r="AT200" s="35" t="s">
        <v>10</v>
      </c>
      <c r="AU200" s="35" t="s">
        <v>10</v>
      </c>
      <c r="AV200" s="35" t="s">
        <v>424</v>
      </c>
      <c r="AW200" s="35" t="s">
        <v>651</v>
      </c>
      <c r="AX200" s="34" t="s">
        <v>1807</v>
      </c>
      <c r="AY200" s="35">
        <v>2</v>
      </c>
      <c r="AZ200" s="35" t="s">
        <v>1808</v>
      </c>
      <c r="BA200" s="35" t="s">
        <v>81</v>
      </c>
      <c r="BB200" s="35" t="s">
        <v>10</v>
      </c>
      <c r="BC200" s="35" t="s">
        <v>2422</v>
      </c>
      <c r="BD200" s="35" t="s">
        <v>1742</v>
      </c>
      <c r="BE200" s="35" t="s">
        <v>289</v>
      </c>
      <c r="BF200" s="35" t="s">
        <v>319</v>
      </c>
      <c r="BG200" s="35">
        <v>702</v>
      </c>
      <c r="BH200" s="35" t="s">
        <v>117</v>
      </c>
      <c r="BI200" s="35">
        <v>0.75</v>
      </c>
      <c r="BJ200" s="35" t="s">
        <v>118</v>
      </c>
      <c r="BK200" s="35" t="s">
        <v>727</v>
      </c>
      <c r="BL200" s="35" t="s">
        <v>10</v>
      </c>
      <c r="BM200" s="35" t="s">
        <v>10</v>
      </c>
      <c r="BN200" s="35">
        <v>76006</v>
      </c>
      <c r="BW200" s="248"/>
      <c r="BX200" s="248"/>
      <c r="BY200" s="248"/>
      <c r="BZ200" s="248"/>
      <c r="CA200" s="248"/>
      <c r="CB200" s="248"/>
      <c r="CC200" s="248"/>
      <c r="CD200" s="248"/>
      <c r="CE200" s="248"/>
      <c r="CF200" s="248"/>
      <c r="CG200" s="248"/>
      <c r="CH200" s="248"/>
      <c r="CI200" s="248"/>
      <c r="CJ200" s="248"/>
      <c r="CK200" s="248"/>
      <c r="CL200" s="248"/>
      <c r="CM200" s="248"/>
      <c r="CN200" s="248"/>
      <c r="CO200" s="248"/>
      <c r="CP200" s="248"/>
      <c r="CQ200" s="248"/>
      <c r="CR200" s="248"/>
      <c r="CS200" s="248"/>
      <c r="CT200" s="248"/>
      <c r="CU200" s="248"/>
      <c r="CV200" s="248"/>
      <c r="CW200" s="248"/>
      <c r="CX200" s="248"/>
      <c r="CY200" s="248"/>
      <c r="CZ200" s="248"/>
      <c r="DA200" s="248"/>
      <c r="DB200" s="248"/>
      <c r="DC200" s="248"/>
      <c r="DD200" s="248"/>
      <c r="DE200" s="248"/>
      <c r="DF200" s="248"/>
      <c r="DG200" s="248"/>
      <c r="DH200" s="248"/>
      <c r="DI200" s="248"/>
      <c r="DJ200" s="248"/>
      <c r="DK200" s="248"/>
      <c r="DL200" s="248"/>
      <c r="DM200" s="248"/>
      <c r="DN200" s="248"/>
      <c r="DO200" s="248"/>
      <c r="DP200" s="248"/>
      <c r="DQ200" s="248"/>
      <c r="DR200" s="248"/>
      <c r="DS200" s="248"/>
      <c r="DT200" s="248"/>
      <c r="DU200" s="248"/>
      <c r="DV200" s="248"/>
      <c r="DW200" s="248"/>
      <c r="DX200" s="248"/>
      <c r="DY200" s="248"/>
      <c r="DZ200" s="248"/>
      <c r="EA200" s="248"/>
      <c r="EB200" s="248"/>
      <c r="EC200" s="248"/>
      <c r="ED200" s="248"/>
      <c r="EE200" s="248"/>
    </row>
    <row r="201" spans="1:135" s="35" customFormat="1" ht="16.5">
      <c r="A201" s="35" t="str">
        <f t="shared" si="6"/>
        <v>SP_MTVLP            KS_CPL_A</v>
      </c>
      <c r="B201" s="331"/>
      <c r="C201" s="248">
        <v>76007</v>
      </c>
      <c r="D201" s="283" t="s">
        <v>608</v>
      </c>
      <c r="F201" s="35" t="s">
        <v>1086</v>
      </c>
      <c r="G201" s="39" t="s">
        <v>2244</v>
      </c>
      <c r="H201" s="35" t="s">
        <v>610</v>
      </c>
      <c r="N201" s="35" t="s">
        <v>537</v>
      </c>
      <c r="O201" s="34" t="s">
        <v>1097</v>
      </c>
      <c r="P201" s="285" t="s">
        <v>1086</v>
      </c>
      <c r="Q201" s="58"/>
      <c r="R201" s="39"/>
      <c r="AH201" s="279"/>
      <c r="AJ201" s="279" t="s">
        <v>1117</v>
      </c>
      <c r="AK201" s="279"/>
      <c r="AL201" s="523">
        <v>3</v>
      </c>
      <c r="AM201" s="35">
        <v>76007</v>
      </c>
      <c r="AN201" s="35" t="s">
        <v>730</v>
      </c>
      <c r="AO201" s="35" t="s">
        <v>1710</v>
      </c>
      <c r="AP201" s="35" t="s">
        <v>529</v>
      </c>
      <c r="AQ201" s="34" t="s">
        <v>2244</v>
      </c>
      <c r="AR201" s="35">
        <v>1</v>
      </c>
      <c r="AS201" s="35" t="s">
        <v>497</v>
      </c>
      <c r="AT201" s="35" t="s">
        <v>10</v>
      </c>
      <c r="AU201" s="35" t="s">
        <v>10</v>
      </c>
      <c r="AV201" s="35" t="s">
        <v>416</v>
      </c>
      <c r="AW201" s="35" t="s">
        <v>639</v>
      </c>
      <c r="AX201" s="34" t="s">
        <v>1794</v>
      </c>
      <c r="AY201" s="35">
        <v>1</v>
      </c>
      <c r="AZ201" s="35" t="s">
        <v>876</v>
      </c>
      <c r="BA201" s="35" t="s">
        <v>81</v>
      </c>
      <c r="BB201" s="35" t="s">
        <v>10</v>
      </c>
      <c r="BC201" s="35" t="s">
        <v>102</v>
      </c>
      <c r="BD201" s="35" t="s">
        <v>1742</v>
      </c>
      <c r="BE201" s="35" t="s">
        <v>291</v>
      </c>
      <c r="BF201" s="35" t="s">
        <v>103</v>
      </c>
      <c r="BG201" s="35">
        <v>1179</v>
      </c>
      <c r="BH201" s="35" t="s">
        <v>74</v>
      </c>
      <c r="BI201" s="35">
        <v>0.75</v>
      </c>
      <c r="BJ201" s="35" t="s">
        <v>106</v>
      </c>
      <c r="BK201" s="35" t="s">
        <v>727</v>
      </c>
      <c r="BL201" s="35" t="s">
        <v>10</v>
      </c>
      <c r="BM201" s="35" t="s">
        <v>10</v>
      </c>
      <c r="BN201" s="35">
        <v>76007</v>
      </c>
      <c r="BW201" s="248"/>
      <c r="BX201" s="248"/>
      <c r="BY201" s="248"/>
      <c r="BZ201" s="248"/>
      <c r="CA201" s="248"/>
      <c r="CB201" s="248"/>
      <c r="CC201" s="248"/>
      <c r="CD201" s="248"/>
      <c r="CE201" s="248"/>
      <c r="CF201" s="248"/>
      <c r="CG201" s="248"/>
      <c r="CH201" s="248"/>
      <c r="CI201" s="248"/>
      <c r="CJ201" s="248"/>
      <c r="CK201" s="248"/>
      <c r="CL201" s="248"/>
      <c r="CM201" s="248"/>
      <c r="CN201" s="248"/>
      <c r="CO201" s="248"/>
      <c r="CP201" s="248"/>
      <c r="CQ201" s="248"/>
      <c r="CR201" s="248"/>
      <c r="CS201" s="248"/>
      <c r="CT201" s="248"/>
      <c r="CU201" s="248"/>
      <c r="CV201" s="248"/>
      <c r="CW201" s="248"/>
      <c r="CX201" s="248"/>
      <c r="CY201" s="248"/>
      <c r="CZ201" s="248"/>
      <c r="DA201" s="248"/>
      <c r="DB201" s="248"/>
      <c r="DC201" s="248"/>
      <c r="DD201" s="248"/>
      <c r="DE201" s="248"/>
      <c r="DF201" s="248"/>
      <c r="DG201" s="248"/>
      <c r="DH201" s="248"/>
      <c r="DI201" s="248"/>
      <c r="DJ201" s="248"/>
      <c r="DK201" s="248"/>
      <c r="DL201" s="248"/>
      <c r="DM201" s="248"/>
      <c r="DN201" s="248"/>
      <c r="DO201" s="248"/>
      <c r="DP201" s="248"/>
      <c r="DQ201" s="248"/>
      <c r="DR201" s="248"/>
      <c r="DS201" s="248"/>
      <c r="DT201" s="248"/>
      <c r="DU201" s="248"/>
      <c r="DV201" s="248"/>
      <c r="DW201" s="248"/>
      <c r="DX201" s="248"/>
      <c r="DY201" s="248"/>
      <c r="DZ201" s="248"/>
      <c r="EA201" s="248"/>
      <c r="EB201" s="248"/>
      <c r="EC201" s="248"/>
      <c r="ED201" s="248"/>
      <c r="EE201" s="248"/>
    </row>
    <row r="202" spans="1:135" s="35" customFormat="1" ht="16.5">
      <c r="A202" s="35" t="str">
        <f t="shared" si="6"/>
        <v>SP_MTVLM            KS_CPL_A</v>
      </c>
      <c r="B202" s="331"/>
      <c r="C202" s="248">
        <v>76008</v>
      </c>
      <c r="D202" s="283" t="s">
        <v>608</v>
      </c>
      <c r="F202" s="35" t="s">
        <v>1086</v>
      </c>
      <c r="G202" s="39" t="s">
        <v>2245</v>
      </c>
      <c r="H202" s="35" t="s">
        <v>610</v>
      </c>
      <c r="N202" s="35" t="s">
        <v>537</v>
      </c>
      <c r="O202" s="34" t="s">
        <v>1097</v>
      </c>
      <c r="P202" s="285" t="s">
        <v>1086</v>
      </c>
      <c r="Q202" s="58"/>
      <c r="R202" s="39"/>
      <c r="AH202" s="279"/>
      <c r="AJ202" s="279" t="s">
        <v>1117</v>
      </c>
      <c r="AK202" s="279"/>
      <c r="AL202" s="523">
        <v>3</v>
      </c>
      <c r="AM202" s="35">
        <v>76008</v>
      </c>
      <c r="AN202" s="35" t="s">
        <v>731</v>
      </c>
      <c r="AO202" s="35" t="s">
        <v>1711</v>
      </c>
      <c r="AP202" s="35" t="s">
        <v>542</v>
      </c>
      <c r="AQ202" s="34" t="s">
        <v>2245</v>
      </c>
      <c r="AR202" s="35">
        <v>1</v>
      </c>
      <c r="AS202" s="35" t="s">
        <v>1925</v>
      </c>
      <c r="AT202" s="35" t="s">
        <v>10</v>
      </c>
      <c r="AU202" s="35" t="s">
        <v>10</v>
      </c>
      <c r="AV202" s="35" t="s">
        <v>416</v>
      </c>
      <c r="AW202" s="35" t="s">
        <v>639</v>
      </c>
      <c r="AX202" s="34" t="s">
        <v>1794</v>
      </c>
      <c r="AY202" s="35">
        <v>2</v>
      </c>
      <c r="AZ202" s="35" t="s">
        <v>876</v>
      </c>
      <c r="BA202" s="35" t="s">
        <v>81</v>
      </c>
      <c r="BB202" s="35" t="s">
        <v>10</v>
      </c>
      <c r="BC202" s="35" t="s">
        <v>102</v>
      </c>
      <c r="BD202" s="35" t="s">
        <v>1742</v>
      </c>
      <c r="BE202" s="35" t="s">
        <v>291</v>
      </c>
      <c r="BF202" s="35" t="s">
        <v>104</v>
      </c>
      <c r="BG202" s="35">
        <v>1246</v>
      </c>
      <c r="BH202" s="35" t="s">
        <v>105</v>
      </c>
      <c r="BI202" s="35">
        <v>0.75</v>
      </c>
      <c r="BJ202" s="35" t="s">
        <v>107</v>
      </c>
      <c r="BK202" s="35" t="s">
        <v>727</v>
      </c>
      <c r="BL202" s="35" t="s">
        <v>10</v>
      </c>
      <c r="BM202" s="35" t="s">
        <v>10</v>
      </c>
      <c r="BN202" s="35">
        <v>76008</v>
      </c>
      <c r="BW202" s="248"/>
      <c r="BX202" s="248"/>
      <c r="BY202" s="248"/>
      <c r="BZ202" s="248"/>
      <c r="CA202" s="248"/>
      <c r="CB202" s="248"/>
      <c r="CC202" s="248"/>
      <c r="CD202" s="248"/>
      <c r="CE202" s="248"/>
      <c r="CF202" s="248"/>
      <c r="CG202" s="248"/>
      <c r="CH202" s="248"/>
      <c r="CI202" s="248"/>
      <c r="CJ202" s="248"/>
      <c r="CK202" s="248"/>
      <c r="CL202" s="248"/>
      <c r="CM202" s="248"/>
      <c r="CN202" s="248"/>
      <c r="CO202" s="248"/>
      <c r="CP202" s="248"/>
      <c r="CQ202" s="248"/>
      <c r="CR202" s="248"/>
      <c r="CS202" s="248"/>
      <c r="CT202" s="248"/>
      <c r="CU202" s="248"/>
      <c r="CV202" s="248"/>
      <c r="CW202" s="248"/>
      <c r="CX202" s="248"/>
      <c r="CY202" s="248"/>
      <c r="CZ202" s="248"/>
      <c r="DA202" s="248"/>
      <c r="DB202" s="248"/>
      <c r="DC202" s="248"/>
      <c r="DD202" s="248"/>
      <c r="DE202" s="248"/>
      <c r="DF202" s="248"/>
      <c r="DG202" s="248"/>
      <c r="DH202" s="248"/>
      <c r="DI202" s="248"/>
      <c r="DJ202" s="248"/>
      <c r="DK202" s="248"/>
      <c r="DL202" s="248"/>
      <c r="DM202" s="248"/>
      <c r="DN202" s="248"/>
      <c r="DO202" s="248"/>
      <c r="DP202" s="248"/>
      <c r="DQ202" s="248"/>
      <c r="DR202" s="248"/>
      <c r="DS202" s="248"/>
      <c r="DT202" s="248"/>
      <c r="DU202" s="248"/>
      <c r="DV202" s="248"/>
      <c r="DW202" s="248"/>
      <c r="DX202" s="248"/>
      <c r="DY202" s="248"/>
      <c r="DZ202" s="248"/>
      <c r="EA202" s="248"/>
      <c r="EB202" s="248"/>
      <c r="EC202" s="248"/>
      <c r="ED202" s="248"/>
      <c r="EE202" s="248"/>
    </row>
    <row r="203" spans="1:135" s="35" customFormat="1" ht="16.5">
      <c r="A203" s="35" t="str">
        <f t="shared" si="6"/>
        <v>MIB_A               SP_MTVRP</v>
      </c>
      <c r="B203" s="331"/>
      <c r="C203" s="248">
        <v>76009</v>
      </c>
      <c r="D203" s="283" t="s">
        <v>608</v>
      </c>
      <c r="F203" s="35" t="s">
        <v>1086</v>
      </c>
      <c r="G203" s="39" t="s">
        <v>2246</v>
      </c>
      <c r="H203" s="35" t="s">
        <v>610</v>
      </c>
      <c r="N203" s="35" t="s">
        <v>537</v>
      </c>
      <c r="O203" s="34" t="s">
        <v>1086</v>
      </c>
      <c r="P203" s="285" t="s">
        <v>1097</v>
      </c>
      <c r="Q203" s="58"/>
      <c r="R203" s="39"/>
      <c r="AH203" s="279"/>
      <c r="AJ203" s="279" t="s">
        <v>1117</v>
      </c>
      <c r="AK203" s="279"/>
      <c r="AL203" s="523">
        <v>3</v>
      </c>
      <c r="AM203" s="35">
        <v>76009</v>
      </c>
      <c r="AN203" s="35" t="s">
        <v>1503</v>
      </c>
      <c r="AO203" s="35" t="s">
        <v>920</v>
      </c>
      <c r="AP203" s="35" t="s">
        <v>735</v>
      </c>
      <c r="AQ203" s="34" t="s">
        <v>2278</v>
      </c>
      <c r="AR203" s="35">
        <v>2</v>
      </c>
      <c r="AS203" s="35" t="s">
        <v>879</v>
      </c>
      <c r="AT203" s="35" t="s">
        <v>736</v>
      </c>
      <c r="AU203" s="35" t="s">
        <v>10</v>
      </c>
      <c r="AV203" s="35" t="s">
        <v>1712</v>
      </c>
      <c r="AW203" s="35" t="s">
        <v>732</v>
      </c>
      <c r="AX203" s="34" t="s">
        <v>2246</v>
      </c>
      <c r="AY203" s="35">
        <v>1</v>
      </c>
      <c r="AZ203" s="35" t="s">
        <v>1168</v>
      </c>
      <c r="BA203" s="35" t="s">
        <v>10</v>
      </c>
      <c r="BB203" s="35" t="s">
        <v>10</v>
      </c>
      <c r="BC203" s="35" t="s">
        <v>2424</v>
      </c>
      <c r="BD203" s="35" t="s">
        <v>1742</v>
      </c>
      <c r="BE203" s="35" t="s">
        <v>296</v>
      </c>
      <c r="BF203" s="35" t="s">
        <v>2423</v>
      </c>
      <c r="BG203" s="35">
        <v>1363</v>
      </c>
      <c r="BH203" s="35" t="s">
        <v>168</v>
      </c>
      <c r="BI203" s="35">
        <v>1.5</v>
      </c>
      <c r="BJ203" s="35" t="s">
        <v>115</v>
      </c>
      <c r="BK203" s="35" t="s">
        <v>727</v>
      </c>
      <c r="BL203" s="35" t="s">
        <v>10</v>
      </c>
      <c r="BM203" s="35" t="s">
        <v>10</v>
      </c>
      <c r="BN203" s="35">
        <v>76009</v>
      </c>
      <c r="BW203" s="248"/>
      <c r="BX203" s="248"/>
      <c r="BY203" s="248"/>
      <c r="BZ203" s="248"/>
      <c r="CA203" s="248"/>
      <c r="CB203" s="248"/>
      <c r="CC203" s="248"/>
      <c r="CD203" s="248"/>
      <c r="CE203" s="248"/>
      <c r="CF203" s="248"/>
      <c r="CG203" s="248"/>
      <c r="CH203" s="248"/>
      <c r="CI203" s="248"/>
      <c r="CJ203" s="248"/>
      <c r="CK203" s="248"/>
      <c r="CL203" s="248"/>
      <c r="CM203" s="248"/>
      <c r="CN203" s="248"/>
      <c r="CO203" s="248"/>
      <c r="CP203" s="248"/>
      <c r="CQ203" s="248"/>
      <c r="CR203" s="248"/>
      <c r="CS203" s="248"/>
      <c r="CT203" s="248"/>
      <c r="CU203" s="248"/>
      <c r="CV203" s="248"/>
      <c r="CW203" s="248"/>
      <c r="CX203" s="248"/>
      <c r="CY203" s="248"/>
      <c r="CZ203" s="248"/>
      <c r="DA203" s="248"/>
      <c r="DB203" s="248"/>
      <c r="DC203" s="248"/>
      <c r="DD203" s="248"/>
      <c r="DE203" s="248"/>
      <c r="DF203" s="248"/>
      <c r="DG203" s="248"/>
      <c r="DH203" s="248"/>
      <c r="DI203" s="248"/>
      <c r="DJ203" s="248"/>
      <c r="DK203" s="248"/>
      <c r="DL203" s="248"/>
      <c r="DM203" s="248"/>
      <c r="DN203" s="248"/>
      <c r="DO203" s="248"/>
      <c r="DP203" s="248"/>
      <c r="DQ203" s="248"/>
      <c r="DR203" s="248"/>
      <c r="DS203" s="248"/>
      <c r="DT203" s="248"/>
      <c r="DU203" s="248"/>
      <c r="DV203" s="248"/>
      <c r="DW203" s="248"/>
      <c r="DX203" s="248"/>
      <c r="DY203" s="248"/>
      <c r="DZ203" s="248"/>
      <c r="EA203" s="248"/>
      <c r="EB203" s="248"/>
      <c r="EC203" s="248"/>
      <c r="ED203" s="248"/>
      <c r="EE203" s="248"/>
    </row>
    <row r="204" spans="1:135" s="35" customFormat="1" ht="16.5">
      <c r="A204" s="35" t="str">
        <f t="shared" si="6"/>
        <v>MIB_A               SP_MTVLP</v>
      </c>
      <c r="B204" s="331"/>
      <c r="C204" s="248">
        <v>76010</v>
      </c>
      <c r="D204" s="283" t="s">
        <v>608</v>
      </c>
      <c r="F204" s="35" t="s">
        <v>1086</v>
      </c>
      <c r="G204" s="35" t="s">
        <v>2244</v>
      </c>
      <c r="H204" s="35" t="s">
        <v>610</v>
      </c>
      <c r="N204" s="35" t="s">
        <v>537</v>
      </c>
      <c r="O204" s="34" t="s">
        <v>1086</v>
      </c>
      <c r="P204" s="285" t="s">
        <v>1097</v>
      </c>
      <c r="Q204" s="58"/>
      <c r="R204" s="39"/>
      <c r="AH204" s="279"/>
      <c r="AJ204" s="279" t="s">
        <v>1117</v>
      </c>
      <c r="AK204" s="279"/>
      <c r="AL204" s="523">
        <v>3</v>
      </c>
      <c r="AM204" s="35">
        <v>76010</v>
      </c>
      <c r="AN204" s="35" t="s">
        <v>1504</v>
      </c>
      <c r="AO204" s="35" t="s">
        <v>920</v>
      </c>
      <c r="AP204" s="35" t="s">
        <v>735</v>
      </c>
      <c r="AQ204" s="34" t="s">
        <v>2278</v>
      </c>
      <c r="AR204" s="35">
        <v>3</v>
      </c>
      <c r="AS204" s="35" t="s">
        <v>879</v>
      </c>
      <c r="AT204" s="35" t="s">
        <v>736</v>
      </c>
      <c r="AU204" s="35" t="s">
        <v>10</v>
      </c>
      <c r="AV204" s="35" t="s">
        <v>1710</v>
      </c>
      <c r="AW204" s="35" t="s">
        <v>529</v>
      </c>
      <c r="AX204" s="34" t="s">
        <v>2244</v>
      </c>
      <c r="AY204" s="35">
        <v>1</v>
      </c>
      <c r="AZ204" s="35" t="s">
        <v>497</v>
      </c>
      <c r="BA204" s="35" t="s">
        <v>10</v>
      </c>
      <c r="BB204" s="35" t="s">
        <v>10</v>
      </c>
      <c r="BC204" s="35" t="s">
        <v>737</v>
      </c>
      <c r="BD204" s="35" t="s">
        <v>1742</v>
      </c>
      <c r="BE204" s="35" t="s">
        <v>738</v>
      </c>
      <c r="BF204" s="35" t="s">
        <v>114</v>
      </c>
      <c r="BG204" s="35">
        <v>585</v>
      </c>
      <c r="BH204" s="35" t="s">
        <v>74</v>
      </c>
      <c r="BI204" s="35">
        <v>1.5</v>
      </c>
      <c r="BJ204" s="35" t="s">
        <v>106</v>
      </c>
      <c r="BK204" s="35" t="s">
        <v>727</v>
      </c>
      <c r="BL204" s="35" t="s">
        <v>10</v>
      </c>
      <c r="BM204" s="35" t="s">
        <v>10</v>
      </c>
      <c r="BN204" s="35">
        <v>76010</v>
      </c>
      <c r="BW204" s="248"/>
      <c r="BX204" s="248"/>
      <c r="BY204" s="248"/>
      <c r="BZ204" s="248"/>
      <c r="CA204" s="248"/>
      <c r="CB204" s="248"/>
      <c r="CC204" s="248"/>
      <c r="CD204" s="248"/>
      <c r="CE204" s="248"/>
      <c r="CF204" s="248"/>
      <c r="CG204" s="248"/>
      <c r="CH204" s="248"/>
      <c r="CI204" s="248"/>
      <c r="CJ204" s="248"/>
      <c r="CK204" s="248"/>
      <c r="CL204" s="248"/>
      <c r="CM204" s="248"/>
      <c r="CN204" s="248"/>
      <c r="CO204" s="248"/>
      <c r="CP204" s="248"/>
      <c r="CQ204" s="248"/>
      <c r="CR204" s="248"/>
      <c r="CS204" s="248"/>
      <c r="CT204" s="248"/>
      <c r="CU204" s="248"/>
      <c r="CV204" s="248"/>
      <c r="CW204" s="248"/>
      <c r="CX204" s="248"/>
      <c r="CY204" s="248"/>
      <c r="CZ204" s="248"/>
      <c r="DA204" s="248"/>
      <c r="DB204" s="248"/>
      <c r="DC204" s="248"/>
      <c r="DD204" s="248"/>
      <c r="DE204" s="248"/>
      <c r="DF204" s="248"/>
      <c r="DG204" s="248"/>
      <c r="DH204" s="248"/>
      <c r="DI204" s="248"/>
      <c r="DJ204" s="248"/>
      <c r="DK204" s="248"/>
      <c r="DL204" s="248"/>
      <c r="DM204" s="248"/>
      <c r="DN204" s="248"/>
      <c r="DO204" s="248"/>
      <c r="DP204" s="248"/>
      <c r="DQ204" s="248"/>
      <c r="DR204" s="248"/>
      <c r="DS204" s="248"/>
      <c r="DT204" s="248"/>
      <c r="DU204" s="248"/>
      <c r="DV204" s="248"/>
      <c r="DW204" s="248"/>
      <c r="DX204" s="248"/>
      <c r="DY204" s="248"/>
      <c r="DZ204" s="248"/>
      <c r="EA204" s="248"/>
      <c r="EB204" s="248"/>
      <c r="EC204" s="248"/>
      <c r="ED204" s="248"/>
      <c r="EE204" s="248"/>
    </row>
    <row r="205" spans="1:135" s="35" customFormat="1" ht="16.5">
      <c r="A205" s="35" t="str">
        <f t="shared" si="6"/>
        <v>MIB_A               SP_MTVRM</v>
      </c>
      <c r="B205" s="331"/>
      <c r="C205" s="248">
        <v>76011</v>
      </c>
      <c r="D205" s="283" t="s">
        <v>608</v>
      </c>
      <c r="F205" s="35" t="s">
        <v>1086</v>
      </c>
      <c r="G205" s="35" t="s">
        <v>2247</v>
      </c>
      <c r="H205" s="35" t="s">
        <v>610</v>
      </c>
      <c r="N205" s="35" t="s">
        <v>537</v>
      </c>
      <c r="O205" s="34" t="s">
        <v>1086</v>
      </c>
      <c r="P205" s="285" t="s">
        <v>1097</v>
      </c>
      <c r="Q205" s="58"/>
      <c r="R205" s="39"/>
      <c r="AH205" s="279"/>
      <c r="AJ205" s="279" t="s">
        <v>1117</v>
      </c>
      <c r="AK205" s="279"/>
      <c r="AL205" s="523">
        <v>3</v>
      </c>
      <c r="AM205" s="35">
        <v>76011</v>
      </c>
      <c r="AN205" s="35" t="s">
        <v>1505</v>
      </c>
      <c r="AO205" s="35" t="s">
        <v>920</v>
      </c>
      <c r="AP205" s="35" t="s">
        <v>735</v>
      </c>
      <c r="AQ205" s="34" t="s">
        <v>2278</v>
      </c>
      <c r="AR205" s="35">
        <v>6</v>
      </c>
      <c r="AS205" s="35" t="s">
        <v>879</v>
      </c>
      <c r="AT205" s="35" t="s">
        <v>736</v>
      </c>
      <c r="AU205" s="35" t="s">
        <v>10</v>
      </c>
      <c r="AV205" s="35" t="s">
        <v>1713</v>
      </c>
      <c r="AW205" s="35" t="s">
        <v>121</v>
      </c>
      <c r="AX205" s="34" t="s">
        <v>2247</v>
      </c>
      <c r="AY205" s="35">
        <v>1</v>
      </c>
      <c r="AZ205" s="35" t="s">
        <v>1168</v>
      </c>
      <c r="BA205" s="35" t="s">
        <v>10</v>
      </c>
      <c r="BB205" s="35" t="s">
        <v>10</v>
      </c>
      <c r="BC205" s="35" t="s">
        <v>2424</v>
      </c>
      <c r="BD205" s="35" t="s">
        <v>1742</v>
      </c>
      <c r="BE205" s="35" t="s">
        <v>296</v>
      </c>
      <c r="BF205" s="35" t="s">
        <v>319</v>
      </c>
      <c r="BG205" s="35">
        <v>1321</v>
      </c>
      <c r="BH205" s="35" t="s">
        <v>117</v>
      </c>
      <c r="BI205" s="35">
        <v>1.5</v>
      </c>
      <c r="BJ205" s="35" t="s">
        <v>118</v>
      </c>
      <c r="BK205" s="35" t="s">
        <v>727</v>
      </c>
      <c r="BL205" s="35" t="s">
        <v>10</v>
      </c>
      <c r="BM205" s="35" t="s">
        <v>10</v>
      </c>
      <c r="BN205" s="35">
        <v>76011</v>
      </c>
      <c r="BW205" s="248"/>
      <c r="BX205" s="248"/>
      <c r="BY205" s="248"/>
      <c r="BZ205" s="248"/>
      <c r="CA205" s="248"/>
      <c r="CB205" s="248"/>
      <c r="CC205" s="248"/>
      <c r="CD205" s="248"/>
      <c r="CE205" s="248"/>
      <c r="CF205" s="248"/>
      <c r="CG205" s="248"/>
      <c r="CH205" s="248"/>
      <c r="CI205" s="248"/>
      <c r="CJ205" s="248"/>
      <c r="CK205" s="248"/>
      <c r="CL205" s="248"/>
      <c r="CM205" s="248"/>
      <c r="CN205" s="248"/>
      <c r="CO205" s="248"/>
      <c r="CP205" s="248"/>
      <c r="CQ205" s="248"/>
      <c r="CR205" s="248"/>
      <c r="CS205" s="248"/>
      <c r="CT205" s="248"/>
      <c r="CU205" s="248"/>
      <c r="CV205" s="248"/>
      <c r="CW205" s="248"/>
      <c r="CX205" s="248"/>
      <c r="CY205" s="248"/>
      <c r="CZ205" s="248"/>
      <c r="DA205" s="248"/>
      <c r="DB205" s="248"/>
      <c r="DC205" s="248"/>
      <c r="DD205" s="248"/>
      <c r="DE205" s="248"/>
      <c r="DF205" s="248"/>
      <c r="DG205" s="248"/>
      <c r="DH205" s="248"/>
      <c r="DI205" s="248"/>
      <c r="DJ205" s="248"/>
      <c r="DK205" s="248"/>
      <c r="DL205" s="248"/>
      <c r="DM205" s="248"/>
      <c r="DN205" s="248"/>
      <c r="DO205" s="248"/>
      <c r="DP205" s="248"/>
      <c r="DQ205" s="248"/>
      <c r="DR205" s="248"/>
      <c r="DS205" s="248"/>
      <c r="DT205" s="248"/>
      <c r="DU205" s="248"/>
      <c r="DV205" s="248"/>
      <c r="DW205" s="248"/>
      <c r="DX205" s="248"/>
      <c r="DY205" s="248"/>
      <c r="DZ205" s="248"/>
      <c r="EA205" s="248"/>
      <c r="EB205" s="248"/>
      <c r="EC205" s="248"/>
      <c r="ED205" s="248"/>
      <c r="EE205" s="248"/>
    </row>
    <row r="206" spans="1:135" s="35" customFormat="1" ht="16.5">
      <c r="A206" s="35" t="str">
        <f t="shared" si="6"/>
        <v>MIB_A               SP_MTVLM</v>
      </c>
      <c r="B206" s="331"/>
      <c r="C206" s="248">
        <v>76012</v>
      </c>
      <c r="D206" s="283" t="s">
        <v>608</v>
      </c>
      <c r="F206" s="35" t="s">
        <v>1086</v>
      </c>
      <c r="G206" s="35" t="s">
        <v>2245</v>
      </c>
      <c r="H206" s="35" t="s">
        <v>610</v>
      </c>
      <c r="N206" s="35" t="s">
        <v>537</v>
      </c>
      <c r="O206" s="34" t="s">
        <v>1086</v>
      </c>
      <c r="P206" s="285" t="s">
        <v>1097</v>
      </c>
      <c r="Q206" s="58"/>
      <c r="R206" s="39"/>
      <c r="AH206" s="279"/>
      <c r="AJ206" s="279" t="s">
        <v>1117</v>
      </c>
      <c r="AK206" s="279"/>
      <c r="AL206" s="523">
        <v>3</v>
      </c>
      <c r="AM206" s="35">
        <v>76012</v>
      </c>
      <c r="AN206" s="35" t="s">
        <v>1506</v>
      </c>
      <c r="AO206" s="35" t="s">
        <v>920</v>
      </c>
      <c r="AP206" s="35" t="s">
        <v>735</v>
      </c>
      <c r="AQ206" s="34" t="s">
        <v>2278</v>
      </c>
      <c r="AR206" s="35">
        <v>7</v>
      </c>
      <c r="AS206" s="35" t="s">
        <v>879</v>
      </c>
      <c r="AT206" s="35" t="s">
        <v>736</v>
      </c>
      <c r="AU206" s="35" t="s">
        <v>10</v>
      </c>
      <c r="AV206" s="35" t="s">
        <v>1711</v>
      </c>
      <c r="AW206" s="35" t="s">
        <v>542</v>
      </c>
      <c r="AX206" s="34" t="s">
        <v>2245</v>
      </c>
      <c r="AY206" s="35">
        <v>1</v>
      </c>
      <c r="AZ206" s="35" t="s">
        <v>1925</v>
      </c>
      <c r="BA206" s="35" t="s">
        <v>10</v>
      </c>
      <c r="BB206" s="35" t="s">
        <v>10</v>
      </c>
      <c r="BC206" s="35" t="s">
        <v>737</v>
      </c>
      <c r="BD206" s="35" t="s">
        <v>1742</v>
      </c>
      <c r="BE206" s="35" t="s">
        <v>738</v>
      </c>
      <c r="BF206" s="35" t="s">
        <v>739</v>
      </c>
      <c r="BG206" s="35">
        <v>519</v>
      </c>
      <c r="BH206" s="35" t="s">
        <v>105</v>
      </c>
      <c r="BI206" s="35">
        <v>1.5</v>
      </c>
      <c r="BJ206" s="35" t="s">
        <v>107</v>
      </c>
      <c r="BK206" s="35" t="s">
        <v>727</v>
      </c>
      <c r="BL206" s="35" t="s">
        <v>10</v>
      </c>
      <c r="BM206" s="35" t="s">
        <v>10</v>
      </c>
      <c r="BN206" s="35">
        <v>76012</v>
      </c>
      <c r="BW206" s="248"/>
      <c r="BX206" s="248"/>
      <c r="BY206" s="248"/>
      <c r="BZ206" s="248"/>
      <c r="CA206" s="248"/>
      <c r="CB206" s="248"/>
      <c r="CC206" s="248"/>
      <c r="CD206" s="248"/>
      <c r="CE206" s="248"/>
      <c r="CF206" s="248"/>
      <c r="CG206" s="248"/>
      <c r="CH206" s="248"/>
      <c r="CI206" s="248"/>
      <c r="CJ206" s="248"/>
      <c r="CK206" s="248"/>
      <c r="CL206" s="248"/>
      <c r="CM206" s="248"/>
      <c r="CN206" s="248"/>
      <c r="CO206" s="248"/>
      <c r="CP206" s="248"/>
      <c r="CQ206" s="248"/>
      <c r="CR206" s="248"/>
      <c r="CS206" s="248"/>
      <c r="CT206" s="248"/>
      <c r="CU206" s="248"/>
      <c r="CV206" s="248"/>
      <c r="CW206" s="248"/>
      <c r="CX206" s="248"/>
      <c r="CY206" s="248"/>
      <c r="CZ206" s="248"/>
      <c r="DA206" s="248"/>
      <c r="DB206" s="248"/>
      <c r="DC206" s="248"/>
      <c r="DD206" s="248"/>
      <c r="DE206" s="248"/>
      <c r="DF206" s="248"/>
      <c r="DG206" s="248"/>
      <c r="DH206" s="248"/>
      <c r="DI206" s="248"/>
      <c r="DJ206" s="248"/>
      <c r="DK206" s="248"/>
      <c r="DL206" s="248"/>
      <c r="DM206" s="248"/>
      <c r="DN206" s="248"/>
      <c r="DO206" s="248"/>
      <c r="DP206" s="248"/>
      <c r="DQ206" s="248"/>
      <c r="DR206" s="248"/>
      <c r="DS206" s="248"/>
      <c r="DT206" s="248"/>
      <c r="DU206" s="248"/>
      <c r="DV206" s="248"/>
      <c r="DW206" s="248"/>
      <c r="DX206" s="248"/>
      <c r="DY206" s="248"/>
      <c r="DZ206" s="248"/>
      <c r="EA206" s="248"/>
      <c r="EB206" s="248"/>
      <c r="EC206" s="248"/>
      <c r="ED206" s="248"/>
      <c r="EE206" s="248"/>
    </row>
    <row r="207" spans="1:135" s="35" customFormat="1" ht="16.5">
      <c r="A207" s="35" t="str">
        <f t="shared" si="6"/>
        <v>MIB_A               KS_CPR_B</v>
      </c>
      <c r="B207" s="331"/>
      <c r="C207" s="248">
        <v>76013</v>
      </c>
      <c r="D207" s="283" t="s">
        <v>608</v>
      </c>
      <c r="F207" s="35" t="s">
        <v>1086</v>
      </c>
      <c r="G207" s="39"/>
      <c r="O207" s="34" t="s">
        <v>1086</v>
      </c>
      <c r="P207" s="34" t="s">
        <v>1086</v>
      </c>
      <c r="Q207" s="58"/>
      <c r="R207" s="39"/>
      <c r="AH207" s="279"/>
      <c r="AJ207" s="279" t="s">
        <v>1117</v>
      </c>
      <c r="AK207" s="279"/>
      <c r="AL207" s="523">
        <v>3</v>
      </c>
      <c r="AM207" s="35">
        <v>76013</v>
      </c>
      <c r="AN207" s="35" t="s">
        <v>1507</v>
      </c>
      <c r="AO207" s="35" t="s">
        <v>920</v>
      </c>
      <c r="AP207" s="35" t="s">
        <v>735</v>
      </c>
      <c r="AQ207" s="34" t="s">
        <v>2278</v>
      </c>
      <c r="AR207" s="35">
        <v>1</v>
      </c>
      <c r="AS207" s="35" t="s">
        <v>879</v>
      </c>
      <c r="AT207" s="35" t="s">
        <v>736</v>
      </c>
      <c r="AU207" s="35" t="s">
        <v>10</v>
      </c>
      <c r="AV207" s="35" t="s">
        <v>424</v>
      </c>
      <c r="AW207" s="35" t="s">
        <v>651</v>
      </c>
      <c r="AX207" s="34" t="s">
        <v>1807</v>
      </c>
      <c r="AY207" s="35">
        <v>3</v>
      </c>
      <c r="AZ207" s="35" t="s">
        <v>1808</v>
      </c>
      <c r="BA207" s="35" t="s">
        <v>740</v>
      </c>
      <c r="BB207" s="35" t="s">
        <v>10</v>
      </c>
      <c r="BC207" s="35" t="s">
        <v>300</v>
      </c>
      <c r="BD207" s="35" t="s">
        <v>1742</v>
      </c>
      <c r="BE207" s="35" t="s">
        <v>297</v>
      </c>
      <c r="BF207" s="35" t="s">
        <v>234</v>
      </c>
      <c r="BG207" s="35">
        <v>1763</v>
      </c>
      <c r="BH207" s="35" t="s">
        <v>167</v>
      </c>
      <c r="BI207" s="35">
        <v>1.5</v>
      </c>
      <c r="BJ207" s="35" t="s">
        <v>302</v>
      </c>
      <c r="BK207" s="35" t="s">
        <v>727</v>
      </c>
      <c r="BL207" s="35" t="s">
        <v>10</v>
      </c>
      <c r="BM207" s="35" t="s">
        <v>10</v>
      </c>
      <c r="BN207" s="35">
        <v>76013</v>
      </c>
      <c r="BW207" s="248"/>
      <c r="BX207" s="248"/>
      <c r="BY207" s="248"/>
      <c r="BZ207" s="248"/>
      <c r="CA207" s="248"/>
      <c r="CB207" s="248"/>
      <c r="CC207" s="248"/>
      <c r="CD207" s="248"/>
      <c r="CE207" s="248"/>
      <c r="CF207" s="248"/>
      <c r="CG207" s="248"/>
      <c r="CH207" s="248"/>
      <c r="CI207" s="248"/>
      <c r="CJ207" s="248"/>
      <c r="CK207" s="248"/>
      <c r="CL207" s="248"/>
      <c r="CM207" s="248"/>
      <c r="CN207" s="248"/>
      <c r="CO207" s="248"/>
      <c r="CP207" s="248"/>
      <c r="CQ207" s="248"/>
      <c r="CR207" s="248"/>
      <c r="CS207" s="248"/>
      <c r="CT207" s="248"/>
      <c r="CU207" s="248"/>
      <c r="CV207" s="248"/>
      <c r="CW207" s="248"/>
      <c r="CX207" s="248"/>
      <c r="CY207" s="248"/>
      <c r="CZ207" s="248"/>
      <c r="DA207" s="248"/>
      <c r="DB207" s="248"/>
      <c r="DC207" s="248"/>
      <c r="DD207" s="248"/>
      <c r="DE207" s="248"/>
      <c r="DF207" s="248"/>
      <c r="DG207" s="248"/>
      <c r="DH207" s="248"/>
      <c r="DI207" s="248"/>
      <c r="DJ207" s="248"/>
      <c r="DK207" s="248"/>
      <c r="DL207" s="248"/>
      <c r="DM207" s="248"/>
      <c r="DN207" s="248"/>
      <c r="DO207" s="248"/>
      <c r="DP207" s="248"/>
      <c r="DQ207" s="248"/>
      <c r="DR207" s="248"/>
      <c r="DS207" s="248"/>
      <c r="DT207" s="248"/>
      <c r="DU207" s="248"/>
      <c r="DV207" s="248"/>
      <c r="DW207" s="248"/>
      <c r="DX207" s="248"/>
      <c r="DY207" s="248"/>
      <c r="DZ207" s="248"/>
      <c r="EA207" s="248"/>
      <c r="EB207" s="248"/>
      <c r="EC207" s="248"/>
      <c r="ED207" s="248"/>
      <c r="EE207" s="248"/>
    </row>
    <row r="208" spans="1:135" s="35" customFormat="1" ht="16.5">
      <c r="A208" s="35" t="str">
        <f t="shared" si="6"/>
        <v>MIB_A               KS_CPL_A</v>
      </c>
      <c r="B208" s="331"/>
      <c r="C208" s="248">
        <v>76014</v>
      </c>
      <c r="D208" s="283" t="s">
        <v>608</v>
      </c>
      <c r="F208" s="35" t="s">
        <v>1086</v>
      </c>
      <c r="G208" s="39"/>
      <c r="O208" s="34" t="s">
        <v>1086</v>
      </c>
      <c r="P208" s="34" t="s">
        <v>1086</v>
      </c>
      <c r="Q208" s="58"/>
      <c r="R208" s="39"/>
      <c r="AH208" s="279"/>
      <c r="AJ208" s="279" t="s">
        <v>1117</v>
      </c>
      <c r="AK208" s="279"/>
      <c r="AL208" s="523">
        <v>3</v>
      </c>
      <c r="AM208" s="35">
        <v>76014</v>
      </c>
      <c r="AN208" s="35" t="s">
        <v>1508</v>
      </c>
      <c r="AO208" s="35" t="s">
        <v>920</v>
      </c>
      <c r="AP208" s="35" t="s">
        <v>735</v>
      </c>
      <c r="AQ208" s="34" t="s">
        <v>2278</v>
      </c>
      <c r="AR208" s="35">
        <v>4</v>
      </c>
      <c r="AS208" s="35" t="s">
        <v>879</v>
      </c>
      <c r="AT208" s="35" t="s">
        <v>736</v>
      </c>
      <c r="AU208" s="35" t="s">
        <v>10</v>
      </c>
      <c r="AV208" s="35" t="s">
        <v>416</v>
      </c>
      <c r="AW208" s="35" t="s">
        <v>639</v>
      </c>
      <c r="AX208" s="34" t="s">
        <v>1794</v>
      </c>
      <c r="AY208" s="35">
        <v>3</v>
      </c>
      <c r="AZ208" s="35" t="s">
        <v>876</v>
      </c>
      <c r="BA208" s="35" t="s">
        <v>740</v>
      </c>
      <c r="BB208" s="35" t="s">
        <v>10</v>
      </c>
      <c r="BC208" s="35" t="s">
        <v>233</v>
      </c>
      <c r="BD208" s="35" t="s">
        <v>1742</v>
      </c>
      <c r="BE208" s="35" t="s">
        <v>741</v>
      </c>
      <c r="BF208" s="35" t="s">
        <v>234</v>
      </c>
      <c r="BG208" s="35">
        <v>1505</v>
      </c>
      <c r="BH208" s="35" t="s">
        <v>167</v>
      </c>
      <c r="BI208" s="35">
        <v>1.5</v>
      </c>
      <c r="BJ208" s="35" t="s">
        <v>235</v>
      </c>
      <c r="BK208" s="35" t="s">
        <v>727</v>
      </c>
      <c r="BL208" s="35" t="s">
        <v>10</v>
      </c>
      <c r="BM208" s="35" t="s">
        <v>10</v>
      </c>
      <c r="BN208" s="35">
        <v>76014</v>
      </c>
      <c r="BW208" s="248"/>
      <c r="BX208" s="248"/>
      <c r="BY208" s="248"/>
      <c r="BZ208" s="248"/>
      <c r="CA208" s="248"/>
      <c r="CB208" s="248"/>
      <c r="CC208" s="248"/>
      <c r="CD208" s="248"/>
      <c r="CE208" s="248"/>
      <c r="CF208" s="248"/>
      <c r="CG208" s="248"/>
      <c r="CH208" s="248"/>
      <c r="CI208" s="248"/>
      <c r="CJ208" s="248"/>
      <c r="CK208" s="248"/>
      <c r="CL208" s="248"/>
      <c r="CM208" s="248"/>
      <c r="CN208" s="248"/>
      <c r="CO208" s="248"/>
      <c r="CP208" s="248"/>
      <c r="CQ208" s="248"/>
      <c r="CR208" s="248"/>
      <c r="CS208" s="248"/>
      <c r="CT208" s="248"/>
      <c r="CU208" s="248"/>
      <c r="CV208" s="248"/>
      <c r="CW208" s="248"/>
      <c r="CX208" s="248"/>
      <c r="CY208" s="248"/>
      <c r="CZ208" s="248"/>
      <c r="DA208" s="248"/>
      <c r="DB208" s="248"/>
      <c r="DC208" s="248"/>
      <c r="DD208" s="248"/>
      <c r="DE208" s="248"/>
      <c r="DF208" s="248"/>
      <c r="DG208" s="248"/>
      <c r="DH208" s="248"/>
      <c r="DI208" s="248"/>
      <c r="DJ208" s="248"/>
      <c r="DK208" s="248"/>
      <c r="DL208" s="248"/>
      <c r="DM208" s="248"/>
      <c r="DN208" s="248"/>
      <c r="DO208" s="248"/>
      <c r="DP208" s="248"/>
      <c r="DQ208" s="248"/>
      <c r="DR208" s="248"/>
      <c r="DS208" s="248"/>
      <c r="DT208" s="248"/>
      <c r="DU208" s="248"/>
      <c r="DV208" s="248"/>
      <c r="DW208" s="248"/>
      <c r="DX208" s="248"/>
      <c r="DY208" s="248"/>
      <c r="DZ208" s="248"/>
      <c r="EA208" s="248"/>
      <c r="EB208" s="248"/>
      <c r="EC208" s="248"/>
      <c r="ED208" s="248"/>
      <c r="EE208" s="248"/>
    </row>
    <row r="209" spans="1:135" s="35" customFormat="1" ht="16.5">
      <c r="A209" s="35" t="str">
        <f t="shared" si="6"/>
        <v>MIB_A               KS_CPR_B</v>
      </c>
      <c r="B209" s="331"/>
      <c r="C209" s="248">
        <v>76015</v>
      </c>
      <c r="D209" s="283" t="s">
        <v>608</v>
      </c>
      <c r="F209" s="35" t="s">
        <v>1086</v>
      </c>
      <c r="G209" s="39"/>
      <c r="O209" s="34" t="s">
        <v>1086</v>
      </c>
      <c r="P209" s="34" t="s">
        <v>1086</v>
      </c>
      <c r="Q209" s="58"/>
      <c r="R209" s="39"/>
      <c r="AH209" s="279"/>
      <c r="AJ209" s="279" t="s">
        <v>1117</v>
      </c>
      <c r="AK209" s="279"/>
      <c r="AL209" s="523">
        <v>3</v>
      </c>
      <c r="AM209" s="35">
        <v>76015</v>
      </c>
      <c r="AN209" s="35" t="s">
        <v>1509</v>
      </c>
      <c r="AO209" s="35" t="s">
        <v>920</v>
      </c>
      <c r="AP209" s="35" t="s">
        <v>735</v>
      </c>
      <c r="AQ209" s="34" t="s">
        <v>2278</v>
      </c>
      <c r="AR209" s="35">
        <v>5</v>
      </c>
      <c r="AS209" s="35" t="s">
        <v>879</v>
      </c>
      <c r="AT209" s="35" t="s">
        <v>736</v>
      </c>
      <c r="AU209" s="35" t="s">
        <v>10</v>
      </c>
      <c r="AV209" s="35" t="s">
        <v>424</v>
      </c>
      <c r="AW209" s="35" t="s">
        <v>651</v>
      </c>
      <c r="AX209" s="34" t="s">
        <v>1807</v>
      </c>
      <c r="AY209" s="35">
        <v>4</v>
      </c>
      <c r="AZ209" s="35" t="s">
        <v>1808</v>
      </c>
      <c r="BA209" s="35" t="s">
        <v>740</v>
      </c>
      <c r="BB209" s="35" t="s">
        <v>10</v>
      </c>
      <c r="BC209" s="35" t="s">
        <v>300</v>
      </c>
      <c r="BD209" s="35" t="s">
        <v>1742</v>
      </c>
      <c r="BE209" s="35" t="s">
        <v>297</v>
      </c>
      <c r="BF209" s="35" t="s">
        <v>248</v>
      </c>
      <c r="BG209" s="35">
        <v>1763</v>
      </c>
      <c r="BH209" s="35" t="s">
        <v>61</v>
      </c>
      <c r="BI209" s="35">
        <v>1.5</v>
      </c>
      <c r="BJ209" s="35" t="s">
        <v>303</v>
      </c>
      <c r="BK209" s="35" t="s">
        <v>727</v>
      </c>
      <c r="BL209" s="35" t="s">
        <v>10</v>
      </c>
      <c r="BM209" s="35" t="s">
        <v>10</v>
      </c>
      <c r="BN209" s="35">
        <v>76015</v>
      </c>
      <c r="BW209" s="248"/>
      <c r="BX209" s="248"/>
      <c r="BY209" s="248"/>
      <c r="BZ209" s="248"/>
      <c r="CA209" s="248"/>
      <c r="CB209" s="248"/>
      <c r="CC209" s="248"/>
      <c r="CD209" s="248"/>
      <c r="CE209" s="248"/>
      <c r="CF209" s="248"/>
      <c r="CG209" s="248"/>
      <c r="CH209" s="248"/>
      <c r="CI209" s="248"/>
      <c r="CJ209" s="248"/>
      <c r="CK209" s="248"/>
      <c r="CL209" s="248"/>
      <c r="CM209" s="248"/>
      <c r="CN209" s="248"/>
      <c r="CO209" s="248"/>
      <c r="CP209" s="248"/>
      <c r="CQ209" s="248"/>
      <c r="CR209" s="248"/>
      <c r="CS209" s="248"/>
      <c r="CT209" s="248"/>
      <c r="CU209" s="248"/>
      <c r="CV209" s="248"/>
      <c r="CW209" s="248"/>
      <c r="CX209" s="248"/>
      <c r="CY209" s="248"/>
      <c r="CZ209" s="248"/>
      <c r="DA209" s="248"/>
      <c r="DB209" s="248"/>
      <c r="DC209" s="248"/>
      <c r="DD209" s="248"/>
      <c r="DE209" s="248"/>
      <c r="DF209" s="248"/>
      <c r="DG209" s="248"/>
      <c r="DH209" s="248"/>
      <c r="DI209" s="248"/>
      <c r="DJ209" s="248"/>
      <c r="DK209" s="248"/>
      <c r="DL209" s="248"/>
      <c r="DM209" s="248"/>
      <c r="DN209" s="248"/>
      <c r="DO209" s="248"/>
      <c r="DP209" s="248"/>
      <c r="DQ209" s="248"/>
      <c r="DR209" s="248"/>
      <c r="DS209" s="248"/>
      <c r="DT209" s="248"/>
      <c r="DU209" s="248"/>
      <c r="DV209" s="248"/>
      <c r="DW209" s="248"/>
      <c r="DX209" s="248"/>
      <c r="DY209" s="248"/>
      <c r="DZ209" s="248"/>
      <c r="EA209" s="248"/>
      <c r="EB209" s="248"/>
      <c r="EC209" s="248"/>
      <c r="ED209" s="248"/>
      <c r="EE209" s="248"/>
    </row>
    <row r="210" spans="1:135" s="35" customFormat="1" ht="16.5">
      <c r="A210" s="35" t="str">
        <f t="shared" si="6"/>
        <v>MIB_A               KS_CPL_A</v>
      </c>
      <c r="B210" s="331"/>
      <c r="C210" s="248">
        <v>76016</v>
      </c>
      <c r="D210" s="283" t="s">
        <v>608</v>
      </c>
      <c r="F210" s="35" t="s">
        <v>1086</v>
      </c>
      <c r="G210" s="39"/>
      <c r="O210" s="34" t="s">
        <v>1086</v>
      </c>
      <c r="P210" s="34" t="s">
        <v>1086</v>
      </c>
      <c r="Q210" s="58"/>
      <c r="R210" s="39"/>
      <c r="AH210" s="279"/>
      <c r="AJ210" s="279" t="s">
        <v>1117</v>
      </c>
      <c r="AK210" s="279"/>
      <c r="AL210" s="523">
        <v>3</v>
      </c>
      <c r="AM210" s="35">
        <v>76016</v>
      </c>
      <c r="AN210" s="35" t="s">
        <v>1510</v>
      </c>
      <c r="AO210" s="35" t="s">
        <v>920</v>
      </c>
      <c r="AP210" s="35" t="s">
        <v>735</v>
      </c>
      <c r="AQ210" s="34" t="s">
        <v>2278</v>
      </c>
      <c r="AR210" s="35">
        <v>8</v>
      </c>
      <c r="AS210" s="35" t="s">
        <v>879</v>
      </c>
      <c r="AT210" s="35" t="s">
        <v>736</v>
      </c>
      <c r="AU210" s="35" t="s">
        <v>10</v>
      </c>
      <c r="AV210" s="35" t="s">
        <v>416</v>
      </c>
      <c r="AW210" s="35" t="s">
        <v>639</v>
      </c>
      <c r="AX210" s="34" t="s">
        <v>1794</v>
      </c>
      <c r="AY210" s="35">
        <v>4</v>
      </c>
      <c r="AZ210" s="35" t="s">
        <v>876</v>
      </c>
      <c r="BA210" s="35" t="s">
        <v>740</v>
      </c>
      <c r="BB210" s="35" t="s">
        <v>10</v>
      </c>
      <c r="BC210" s="35" t="s">
        <v>233</v>
      </c>
      <c r="BD210" s="35" t="s">
        <v>1742</v>
      </c>
      <c r="BE210" s="35" t="s">
        <v>741</v>
      </c>
      <c r="BF210" s="35" t="s">
        <v>67</v>
      </c>
      <c r="BG210" s="35">
        <v>1505</v>
      </c>
      <c r="BH210" s="35" t="s">
        <v>68</v>
      </c>
      <c r="BI210" s="35">
        <v>1.5</v>
      </c>
      <c r="BJ210" s="35" t="s">
        <v>236</v>
      </c>
      <c r="BK210" s="35" t="s">
        <v>727</v>
      </c>
      <c r="BL210" s="35" t="s">
        <v>10</v>
      </c>
      <c r="BM210" s="35" t="s">
        <v>10</v>
      </c>
      <c r="BN210" s="35">
        <v>76016</v>
      </c>
      <c r="BW210" s="248"/>
      <c r="BX210" s="248"/>
      <c r="BY210" s="248"/>
      <c r="BZ210" s="248"/>
      <c r="CA210" s="248"/>
      <c r="CB210" s="248"/>
      <c r="CC210" s="248"/>
      <c r="CD210" s="248"/>
      <c r="CE210" s="248"/>
      <c r="CF210" s="248"/>
      <c r="CG210" s="248"/>
      <c r="CH210" s="248"/>
      <c r="CI210" s="248"/>
      <c r="CJ210" s="248"/>
      <c r="CK210" s="248"/>
      <c r="CL210" s="248"/>
      <c r="CM210" s="248"/>
      <c r="CN210" s="248"/>
      <c r="CO210" s="248"/>
      <c r="CP210" s="248"/>
      <c r="CQ210" s="248"/>
      <c r="CR210" s="248"/>
      <c r="CS210" s="248"/>
      <c r="CT210" s="248"/>
      <c r="CU210" s="248"/>
      <c r="CV210" s="248"/>
      <c r="CW210" s="248"/>
      <c r="CX210" s="248"/>
      <c r="CY210" s="248"/>
      <c r="CZ210" s="248"/>
      <c r="DA210" s="248"/>
      <c r="DB210" s="248"/>
      <c r="DC210" s="248"/>
      <c r="DD210" s="248"/>
      <c r="DE210" s="248"/>
      <c r="DF210" s="248"/>
      <c r="DG210" s="248"/>
      <c r="DH210" s="248"/>
      <c r="DI210" s="248"/>
      <c r="DJ210" s="248"/>
      <c r="DK210" s="248"/>
      <c r="DL210" s="248"/>
      <c r="DM210" s="248"/>
      <c r="DN210" s="248"/>
      <c r="DO210" s="248"/>
      <c r="DP210" s="248"/>
      <c r="DQ210" s="248"/>
      <c r="DR210" s="248"/>
      <c r="DS210" s="248"/>
      <c r="DT210" s="248"/>
      <c r="DU210" s="248"/>
      <c r="DV210" s="248"/>
      <c r="DW210" s="248"/>
      <c r="DX210" s="248"/>
      <c r="DY210" s="248"/>
      <c r="DZ210" s="248"/>
      <c r="EA210" s="248"/>
      <c r="EB210" s="248"/>
      <c r="EC210" s="248"/>
      <c r="ED210" s="248"/>
      <c r="EE210" s="248"/>
    </row>
    <row r="211" spans="1:135" s="35" customFormat="1" ht="16.5">
      <c r="A211" s="35" t="str">
        <f t="shared" si="6"/>
        <v>KS_CP_C             KS_CPR_B</v>
      </c>
      <c r="B211" s="331"/>
      <c r="C211" s="248">
        <v>76017</v>
      </c>
      <c r="D211" s="283" t="s">
        <v>608</v>
      </c>
      <c r="F211" s="35" t="s">
        <v>1086</v>
      </c>
      <c r="G211" s="39"/>
      <c r="O211" s="34" t="s">
        <v>1086</v>
      </c>
      <c r="P211" s="34" t="s">
        <v>1086</v>
      </c>
      <c r="Q211" s="58"/>
      <c r="R211" s="39"/>
      <c r="AH211" s="279"/>
      <c r="AJ211" s="279" t="s">
        <v>1117</v>
      </c>
      <c r="AK211" s="279"/>
      <c r="AL211" s="523">
        <v>3</v>
      </c>
      <c r="AM211" s="35">
        <v>76017</v>
      </c>
      <c r="AN211" s="35" t="s">
        <v>742</v>
      </c>
      <c r="AO211" s="35" t="s">
        <v>959</v>
      </c>
      <c r="AP211" s="35" t="s">
        <v>683</v>
      </c>
      <c r="AQ211" s="34" t="s">
        <v>1867</v>
      </c>
      <c r="AR211" s="35">
        <v>1</v>
      </c>
      <c r="AS211" s="35" t="s">
        <v>477</v>
      </c>
      <c r="AT211" s="35" t="s">
        <v>238</v>
      </c>
      <c r="AU211" s="35" t="s">
        <v>10</v>
      </c>
      <c r="AV211" s="35" t="s">
        <v>424</v>
      </c>
      <c r="AW211" s="35" t="s">
        <v>651</v>
      </c>
      <c r="AX211" s="34" t="s">
        <v>1807</v>
      </c>
      <c r="AY211" s="35">
        <v>1</v>
      </c>
      <c r="AZ211" s="35" t="s">
        <v>1808</v>
      </c>
      <c r="BA211" s="35" t="s">
        <v>81</v>
      </c>
      <c r="BB211" s="35" t="s">
        <v>10</v>
      </c>
      <c r="BC211" s="35" t="s">
        <v>290</v>
      </c>
      <c r="BD211" s="35" t="s">
        <v>1742</v>
      </c>
      <c r="BE211" s="35" t="s">
        <v>301</v>
      </c>
      <c r="BF211" s="35" t="s">
        <v>292</v>
      </c>
      <c r="BG211" s="35">
        <v>427</v>
      </c>
      <c r="BH211" s="35" t="s">
        <v>91</v>
      </c>
      <c r="BI211" s="35">
        <v>0.75</v>
      </c>
      <c r="BJ211" s="35" t="s">
        <v>293</v>
      </c>
      <c r="BK211" s="35" t="s">
        <v>10</v>
      </c>
      <c r="BL211" s="35" t="s">
        <v>728</v>
      </c>
      <c r="BM211" s="35" t="s">
        <v>729</v>
      </c>
      <c r="BN211" s="35">
        <v>76017</v>
      </c>
      <c r="BW211" s="248"/>
      <c r="BX211" s="248"/>
      <c r="BY211" s="248"/>
      <c r="BZ211" s="248"/>
      <c r="CA211" s="248"/>
      <c r="CB211" s="248"/>
      <c r="CC211" s="248"/>
      <c r="CD211" s="248"/>
      <c r="CE211" s="248"/>
      <c r="CF211" s="248"/>
      <c r="CG211" s="248"/>
      <c r="CH211" s="248"/>
      <c r="CI211" s="248"/>
      <c r="CJ211" s="248"/>
      <c r="CK211" s="248"/>
      <c r="CL211" s="248"/>
      <c r="CM211" s="248"/>
      <c r="CN211" s="248"/>
      <c r="CO211" s="248"/>
      <c r="CP211" s="248"/>
      <c r="CQ211" s="248"/>
      <c r="CR211" s="248"/>
      <c r="CS211" s="248"/>
      <c r="CT211" s="248"/>
      <c r="CU211" s="248"/>
      <c r="CV211" s="248"/>
      <c r="CW211" s="248"/>
      <c r="CX211" s="248"/>
      <c r="CY211" s="248"/>
      <c r="CZ211" s="248"/>
      <c r="DA211" s="248"/>
      <c r="DB211" s="248"/>
      <c r="DC211" s="248"/>
      <c r="DD211" s="248"/>
      <c r="DE211" s="248"/>
      <c r="DF211" s="248"/>
      <c r="DG211" s="248"/>
      <c r="DH211" s="248"/>
      <c r="DI211" s="248"/>
      <c r="DJ211" s="248"/>
      <c r="DK211" s="248"/>
      <c r="DL211" s="248"/>
      <c r="DM211" s="248"/>
      <c r="DN211" s="248"/>
      <c r="DO211" s="248"/>
      <c r="DP211" s="248"/>
      <c r="DQ211" s="248"/>
      <c r="DR211" s="248"/>
      <c r="DS211" s="248"/>
      <c r="DT211" s="248"/>
      <c r="DU211" s="248"/>
      <c r="DV211" s="248"/>
      <c r="DW211" s="248"/>
      <c r="DX211" s="248"/>
      <c r="DY211" s="248"/>
      <c r="DZ211" s="248"/>
      <c r="EA211" s="248"/>
      <c r="EB211" s="248"/>
      <c r="EC211" s="248"/>
      <c r="ED211" s="248"/>
      <c r="EE211" s="248"/>
    </row>
    <row r="212" spans="1:135" s="35" customFormat="1" ht="16.5">
      <c r="A212" s="35" t="str">
        <f t="shared" si="6"/>
        <v>KS_CP_C             KS_CPR_B</v>
      </c>
      <c r="B212" s="331"/>
      <c r="C212" s="248">
        <v>76018</v>
      </c>
      <c r="D212" s="283" t="s">
        <v>608</v>
      </c>
      <c r="F212" s="35" t="s">
        <v>1086</v>
      </c>
      <c r="G212" s="39"/>
      <c r="O212" s="34" t="s">
        <v>1086</v>
      </c>
      <c r="P212" s="34" t="s">
        <v>1086</v>
      </c>
      <c r="Q212" s="58"/>
      <c r="R212" s="39"/>
      <c r="AH212" s="279"/>
      <c r="AJ212" s="279" t="s">
        <v>1117</v>
      </c>
      <c r="AK212" s="279"/>
      <c r="AL212" s="523">
        <v>3</v>
      </c>
      <c r="AM212" s="35">
        <v>76018</v>
      </c>
      <c r="AN212" s="35" t="s">
        <v>743</v>
      </c>
      <c r="AO212" s="35" t="s">
        <v>959</v>
      </c>
      <c r="AP212" s="35" t="s">
        <v>683</v>
      </c>
      <c r="AQ212" s="34" t="s">
        <v>1867</v>
      </c>
      <c r="AR212" s="35">
        <v>2</v>
      </c>
      <c r="AS212" s="35" t="s">
        <v>477</v>
      </c>
      <c r="AT212" s="35" t="s">
        <v>238</v>
      </c>
      <c r="AU212" s="35" t="s">
        <v>10</v>
      </c>
      <c r="AV212" s="35" t="s">
        <v>424</v>
      </c>
      <c r="AW212" s="35" t="s">
        <v>651</v>
      </c>
      <c r="AX212" s="34" t="s">
        <v>1807</v>
      </c>
      <c r="AY212" s="35">
        <v>2</v>
      </c>
      <c r="AZ212" s="35" t="s">
        <v>1808</v>
      </c>
      <c r="BA212" s="35" t="s">
        <v>81</v>
      </c>
      <c r="BB212" s="35" t="s">
        <v>10</v>
      </c>
      <c r="BC212" s="35" t="s">
        <v>290</v>
      </c>
      <c r="BD212" s="35" t="s">
        <v>1742</v>
      </c>
      <c r="BE212" s="35" t="s">
        <v>301</v>
      </c>
      <c r="BF212" s="35" t="s">
        <v>294</v>
      </c>
      <c r="BG212" s="35">
        <v>427</v>
      </c>
      <c r="BH212" s="35" t="s">
        <v>132</v>
      </c>
      <c r="BI212" s="35">
        <v>0.75</v>
      </c>
      <c r="BJ212" s="35" t="s">
        <v>295</v>
      </c>
      <c r="BK212" s="35" t="s">
        <v>10</v>
      </c>
      <c r="BL212" s="35" t="s">
        <v>728</v>
      </c>
      <c r="BM212" s="35" t="s">
        <v>729</v>
      </c>
      <c r="BN212" s="35">
        <v>76018</v>
      </c>
      <c r="BW212" s="248"/>
      <c r="BX212" s="248"/>
      <c r="BY212" s="248"/>
      <c r="BZ212" s="248"/>
      <c r="CA212" s="248"/>
      <c r="CB212" s="248"/>
      <c r="CC212" s="248"/>
      <c r="CD212" s="248"/>
      <c r="CE212" s="248"/>
      <c r="CF212" s="248"/>
      <c r="CG212" s="248"/>
      <c r="CH212" s="248"/>
      <c r="CI212" s="248"/>
      <c r="CJ212" s="248"/>
      <c r="CK212" s="248"/>
      <c r="CL212" s="248"/>
      <c r="CM212" s="248"/>
      <c r="CN212" s="248"/>
      <c r="CO212" s="248"/>
      <c r="CP212" s="248"/>
      <c r="CQ212" s="248"/>
      <c r="CR212" s="248"/>
      <c r="CS212" s="248"/>
      <c r="CT212" s="248"/>
      <c r="CU212" s="248"/>
      <c r="CV212" s="248"/>
      <c r="CW212" s="248"/>
      <c r="CX212" s="248"/>
      <c r="CY212" s="248"/>
      <c r="CZ212" s="248"/>
      <c r="DA212" s="248"/>
      <c r="DB212" s="248"/>
      <c r="DC212" s="248"/>
      <c r="DD212" s="248"/>
      <c r="DE212" s="248"/>
      <c r="DF212" s="248"/>
      <c r="DG212" s="248"/>
      <c r="DH212" s="248"/>
      <c r="DI212" s="248"/>
      <c r="DJ212" s="248"/>
      <c r="DK212" s="248"/>
      <c r="DL212" s="248"/>
      <c r="DM212" s="248"/>
      <c r="DN212" s="248"/>
      <c r="DO212" s="248"/>
      <c r="DP212" s="248"/>
      <c r="DQ212" s="248"/>
      <c r="DR212" s="248"/>
      <c r="DS212" s="248"/>
      <c r="DT212" s="248"/>
      <c r="DU212" s="248"/>
      <c r="DV212" s="248"/>
      <c r="DW212" s="248"/>
      <c r="DX212" s="248"/>
      <c r="DY212" s="248"/>
      <c r="DZ212" s="248"/>
      <c r="EA212" s="248"/>
      <c r="EB212" s="248"/>
      <c r="EC212" s="248"/>
      <c r="ED212" s="248"/>
      <c r="EE212" s="248"/>
    </row>
    <row r="213" spans="1:135" s="35" customFormat="1" ht="16.5">
      <c r="A213" s="35" t="str">
        <f t="shared" si="6"/>
        <v>KS_CP_C             KS_CPR_B</v>
      </c>
      <c r="B213" s="331"/>
      <c r="C213" s="248">
        <v>76019</v>
      </c>
      <c r="D213" s="283" t="s">
        <v>608</v>
      </c>
      <c r="F213" s="35" t="s">
        <v>1086</v>
      </c>
      <c r="G213" s="39"/>
      <c r="O213" s="34" t="s">
        <v>1086</v>
      </c>
      <c r="P213" s="34" t="s">
        <v>1086</v>
      </c>
      <c r="Q213" s="58"/>
      <c r="R213" s="39"/>
      <c r="AH213" s="279"/>
      <c r="AJ213" s="279" t="s">
        <v>1117</v>
      </c>
      <c r="AK213" s="279"/>
      <c r="AL213" s="523">
        <v>3</v>
      </c>
      <c r="AM213" s="35">
        <v>76019</v>
      </c>
      <c r="AN213" s="35" t="s">
        <v>744</v>
      </c>
      <c r="AO213" s="35" t="s">
        <v>959</v>
      </c>
      <c r="AP213" s="35" t="s">
        <v>683</v>
      </c>
      <c r="AQ213" s="34" t="s">
        <v>1867</v>
      </c>
      <c r="AR213" s="35">
        <v>3</v>
      </c>
      <c r="AS213" s="35" t="s">
        <v>477</v>
      </c>
      <c r="AT213" s="35" t="s">
        <v>238</v>
      </c>
      <c r="AU213" s="35" t="s">
        <v>10</v>
      </c>
      <c r="AV213" s="35" t="s">
        <v>424</v>
      </c>
      <c r="AW213" s="35" t="s">
        <v>651</v>
      </c>
      <c r="AX213" s="34" t="s">
        <v>1807</v>
      </c>
      <c r="AY213" s="35">
        <v>3</v>
      </c>
      <c r="AZ213" s="35" t="s">
        <v>1808</v>
      </c>
      <c r="BA213" s="35" t="s">
        <v>81</v>
      </c>
      <c r="BB213" s="35" t="s">
        <v>10</v>
      </c>
      <c r="BC213" s="35" t="s">
        <v>2425</v>
      </c>
      <c r="BD213" s="35" t="s">
        <v>1742</v>
      </c>
      <c r="BE213" s="35" t="s">
        <v>305</v>
      </c>
      <c r="BF213" s="35" t="s">
        <v>2426</v>
      </c>
      <c r="BG213" s="35">
        <v>427</v>
      </c>
      <c r="BH213" s="35" t="s">
        <v>93</v>
      </c>
      <c r="BI213" s="35">
        <v>0.75</v>
      </c>
      <c r="BJ213" s="35" t="s">
        <v>298</v>
      </c>
      <c r="BK213" s="35" t="s">
        <v>10</v>
      </c>
      <c r="BL213" s="35" t="s">
        <v>728</v>
      </c>
      <c r="BM213" s="35" t="s">
        <v>729</v>
      </c>
      <c r="BN213" s="35">
        <v>76019</v>
      </c>
      <c r="BW213" s="248"/>
      <c r="BX213" s="248"/>
      <c r="BY213" s="248"/>
      <c r="BZ213" s="248"/>
      <c r="CA213" s="248"/>
      <c r="CB213" s="248"/>
      <c r="CC213" s="248"/>
      <c r="CD213" s="248"/>
      <c r="CE213" s="248"/>
      <c r="CF213" s="248"/>
      <c r="CG213" s="248"/>
      <c r="CH213" s="248"/>
      <c r="CI213" s="248"/>
      <c r="CJ213" s="248"/>
      <c r="CK213" s="248"/>
      <c r="CL213" s="248"/>
      <c r="CM213" s="248"/>
      <c r="CN213" s="248"/>
      <c r="CO213" s="248"/>
      <c r="CP213" s="248"/>
      <c r="CQ213" s="248"/>
      <c r="CR213" s="248"/>
      <c r="CS213" s="248"/>
      <c r="CT213" s="248"/>
      <c r="CU213" s="248"/>
      <c r="CV213" s="248"/>
      <c r="CW213" s="248"/>
      <c r="CX213" s="248"/>
      <c r="CY213" s="248"/>
      <c r="CZ213" s="248"/>
      <c r="DA213" s="248"/>
      <c r="DB213" s="248"/>
      <c r="DC213" s="248"/>
      <c r="DD213" s="248"/>
      <c r="DE213" s="248"/>
      <c r="DF213" s="248"/>
      <c r="DG213" s="248"/>
      <c r="DH213" s="248"/>
      <c r="DI213" s="248"/>
      <c r="DJ213" s="248"/>
      <c r="DK213" s="248"/>
      <c r="DL213" s="248"/>
      <c r="DM213" s="248"/>
      <c r="DN213" s="248"/>
      <c r="DO213" s="248"/>
      <c r="DP213" s="248"/>
      <c r="DQ213" s="248"/>
      <c r="DR213" s="248"/>
      <c r="DS213" s="248"/>
      <c r="DT213" s="248"/>
      <c r="DU213" s="248"/>
      <c r="DV213" s="248"/>
      <c r="DW213" s="248"/>
      <c r="DX213" s="248"/>
      <c r="DY213" s="248"/>
      <c r="DZ213" s="248"/>
      <c r="EA213" s="248"/>
      <c r="EB213" s="248"/>
      <c r="EC213" s="248"/>
      <c r="ED213" s="248"/>
      <c r="EE213" s="248"/>
    </row>
    <row r="214" spans="1:135" s="35" customFormat="1" ht="16.5">
      <c r="A214" s="35" t="str">
        <f t="shared" ref="A214:A226" si="7" xml:space="preserve"> AQ214 &amp; REPT(" ",20-LEN(AQ214)) &amp; AX214</f>
        <v>KS_CP_C             KS_CPR_B</v>
      </c>
      <c r="B214" s="331"/>
      <c r="C214" s="248">
        <v>76020</v>
      </c>
      <c r="D214" s="283" t="s">
        <v>608</v>
      </c>
      <c r="F214" s="35" t="s">
        <v>1086</v>
      </c>
      <c r="G214" s="39"/>
      <c r="O214" s="34" t="s">
        <v>1086</v>
      </c>
      <c r="P214" s="34" t="s">
        <v>1086</v>
      </c>
      <c r="Q214" s="58"/>
      <c r="R214" s="39"/>
      <c r="AH214" s="279"/>
      <c r="AJ214" s="279" t="s">
        <v>1117</v>
      </c>
      <c r="AK214" s="279"/>
      <c r="AL214" s="523">
        <v>3</v>
      </c>
      <c r="AM214" s="35">
        <v>76020</v>
      </c>
      <c r="AN214" s="35" t="s">
        <v>745</v>
      </c>
      <c r="AO214" s="35" t="s">
        <v>959</v>
      </c>
      <c r="AP214" s="35" t="s">
        <v>683</v>
      </c>
      <c r="AQ214" s="34" t="s">
        <v>1867</v>
      </c>
      <c r="AR214" s="35">
        <v>4</v>
      </c>
      <c r="AS214" s="35" t="s">
        <v>477</v>
      </c>
      <c r="AT214" s="35" t="s">
        <v>238</v>
      </c>
      <c r="AU214" s="35" t="s">
        <v>10</v>
      </c>
      <c r="AV214" s="35" t="s">
        <v>424</v>
      </c>
      <c r="AW214" s="35" t="s">
        <v>651</v>
      </c>
      <c r="AX214" s="34" t="s">
        <v>1807</v>
      </c>
      <c r="AY214" s="35">
        <v>4</v>
      </c>
      <c r="AZ214" s="35" t="s">
        <v>1808</v>
      </c>
      <c r="BA214" s="35" t="s">
        <v>81</v>
      </c>
      <c r="BB214" s="35" t="s">
        <v>10</v>
      </c>
      <c r="BC214" s="35" t="s">
        <v>2425</v>
      </c>
      <c r="BD214" s="35" t="s">
        <v>1742</v>
      </c>
      <c r="BE214" s="35" t="s">
        <v>305</v>
      </c>
      <c r="BF214" s="35" t="s">
        <v>2427</v>
      </c>
      <c r="BG214" s="35">
        <v>427</v>
      </c>
      <c r="BH214" s="35" t="s">
        <v>65</v>
      </c>
      <c r="BI214" s="35">
        <v>0.75</v>
      </c>
      <c r="BJ214" s="35" t="s">
        <v>299</v>
      </c>
      <c r="BK214" s="35" t="s">
        <v>10</v>
      </c>
      <c r="BL214" s="35" t="s">
        <v>728</v>
      </c>
      <c r="BM214" s="35" t="s">
        <v>729</v>
      </c>
      <c r="BN214" s="35">
        <v>76020</v>
      </c>
      <c r="BW214" s="248"/>
      <c r="BX214" s="248"/>
      <c r="BY214" s="248"/>
      <c r="BZ214" s="248"/>
      <c r="CA214" s="248"/>
      <c r="CB214" s="248"/>
      <c r="CC214" s="248"/>
      <c r="CD214" s="248"/>
      <c r="CE214" s="248"/>
      <c r="CF214" s="248"/>
      <c r="CG214" s="248"/>
      <c r="CH214" s="248"/>
      <c r="CI214" s="248"/>
      <c r="CJ214" s="248"/>
      <c r="CK214" s="248"/>
      <c r="CL214" s="248"/>
      <c r="CM214" s="248"/>
      <c r="CN214" s="248"/>
      <c r="CO214" s="248"/>
      <c r="CP214" s="248"/>
      <c r="CQ214" s="248"/>
      <c r="CR214" s="248"/>
      <c r="CS214" s="248"/>
      <c r="CT214" s="248"/>
      <c r="CU214" s="248"/>
      <c r="CV214" s="248"/>
      <c r="CW214" s="248"/>
      <c r="CX214" s="248"/>
      <c r="CY214" s="248"/>
      <c r="CZ214" s="248"/>
      <c r="DA214" s="248"/>
      <c r="DB214" s="248"/>
      <c r="DC214" s="248"/>
      <c r="DD214" s="248"/>
      <c r="DE214" s="248"/>
      <c r="DF214" s="248"/>
      <c r="DG214" s="248"/>
      <c r="DH214" s="248"/>
      <c r="DI214" s="248"/>
      <c r="DJ214" s="248"/>
      <c r="DK214" s="248"/>
      <c r="DL214" s="248"/>
      <c r="DM214" s="248"/>
      <c r="DN214" s="248"/>
      <c r="DO214" s="248"/>
      <c r="DP214" s="248"/>
      <c r="DQ214" s="248"/>
      <c r="DR214" s="248"/>
      <c r="DS214" s="248"/>
      <c r="DT214" s="248"/>
      <c r="DU214" s="248"/>
      <c r="DV214" s="248"/>
      <c r="DW214" s="248"/>
      <c r="DX214" s="248"/>
      <c r="DY214" s="248"/>
      <c r="DZ214" s="248"/>
      <c r="EA214" s="248"/>
      <c r="EB214" s="248"/>
      <c r="EC214" s="248"/>
      <c r="ED214" s="248"/>
      <c r="EE214" s="248"/>
    </row>
    <row r="215" spans="1:135" s="35" customFormat="1" ht="16.5">
      <c r="A215" s="35" t="str">
        <f t="shared" si="7"/>
        <v>KS_CP_C             KS_CPR_B</v>
      </c>
      <c r="B215" s="331"/>
      <c r="C215" s="248">
        <v>76021</v>
      </c>
      <c r="D215" s="283" t="s">
        <v>608</v>
      </c>
      <c r="F215" s="35" t="s">
        <v>1086</v>
      </c>
      <c r="G215" s="39"/>
      <c r="O215" s="34" t="s">
        <v>1086</v>
      </c>
      <c r="P215" s="34" t="s">
        <v>1086</v>
      </c>
      <c r="Q215" s="58"/>
      <c r="R215" s="39"/>
      <c r="AH215" s="279"/>
      <c r="AJ215" s="279" t="s">
        <v>1117</v>
      </c>
      <c r="AK215" s="279"/>
      <c r="AL215" s="523">
        <v>3</v>
      </c>
      <c r="AM215" s="35">
        <v>76021</v>
      </c>
      <c r="AN215" s="35" t="s">
        <v>1511</v>
      </c>
      <c r="AO215" s="35" t="s">
        <v>959</v>
      </c>
      <c r="AP215" s="35" t="s">
        <v>683</v>
      </c>
      <c r="AQ215" s="34" t="s">
        <v>1867</v>
      </c>
      <c r="AR215" s="35">
        <v>5</v>
      </c>
      <c r="AS215" s="35" t="s">
        <v>477</v>
      </c>
      <c r="AT215" s="35" t="s">
        <v>238</v>
      </c>
      <c r="AU215" s="35" t="s">
        <v>10</v>
      </c>
      <c r="AV215" s="35" t="s">
        <v>424</v>
      </c>
      <c r="AW215" s="35" t="s">
        <v>651</v>
      </c>
      <c r="AX215" s="34" t="s">
        <v>1807</v>
      </c>
      <c r="AY215" s="35">
        <v>5</v>
      </c>
      <c r="AZ215" s="35" t="s">
        <v>1808</v>
      </c>
      <c r="BA215" s="35" t="s">
        <v>81</v>
      </c>
      <c r="BB215" s="35" t="s">
        <v>10</v>
      </c>
      <c r="BC215" s="35" t="s">
        <v>304</v>
      </c>
      <c r="BD215" s="35" t="s">
        <v>1742</v>
      </c>
      <c r="BE215" s="35" t="s">
        <v>307</v>
      </c>
      <c r="BF215" s="35" t="s">
        <v>109</v>
      </c>
      <c r="BG215" s="35">
        <v>427</v>
      </c>
      <c r="BH215" s="35" t="s">
        <v>110</v>
      </c>
      <c r="BI215" s="35">
        <v>0.75</v>
      </c>
      <c r="BJ215" s="35" t="s">
        <v>1512</v>
      </c>
      <c r="BK215" s="35" t="s">
        <v>10</v>
      </c>
      <c r="BL215" s="35" t="s">
        <v>728</v>
      </c>
      <c r="BM215" s="35" t="s">
        <v>729</v>
      </c>
      <c r="BN215" s="35">
        <v>76021</v>
      </c>
      <c r="BW215" s="248"/>
      <c r="BX215" s="248"/>
      <c r="BY215" s="248"/>
      <c r="BZ215" s="248"/>
      <c r="CA215" s="248"/>
      <c r="CB215" s="248"/>
      <c r="CC215" s="248"/>
      <c r="CD215" s="248"/>
      <c r="CE215" s="248"/>
      <c r="CF215" s="248"/>
      <c r="CG215" s="248"/>
      <c r="CH215" s="248"/>
      <c r="CI215" s="248"/>
      <c r="CJ215" s="248"/>
      <c r="CK215" s="248"/>
      <c r="CL215" s="248"/>
      <c r="CM215" s="248"/>
      <c r="CN215" s="248"/>
      <c r="CO215" s="248"/>
      <c r="CP215" s="248"/>
      <c r="CQ215" s="248"/>
      <c r="CR215" s="248"/>
      <c r="CS215" s="248"/>
      <c r="CT215" s="248"/>
      <c r="CU215" s="248"/>
      <c r="CV215" s="248"/>
      <c r="CW215" s="248"/>
      <c r="CX215" s="248"/>
      <c r="CY215" s="248"/>
      <c r="CZ215" s="248"/>
      <c r="DA215" s="248"/>
      <c r="DB215" s="248"/>
      <c r="DC215" s="248"/>
      <c r="DD215" s="248"/>
      <c r="DE215" s="248"/>
      <c r="DF215" s="248"/>
      <c r="DG215" s="248"/>
      <c r="DH215" s="248"/>
      <c r="DI215" s="248"/>
      <c r="DJ215" s="248"/>
      <c r="DK215" s="248"/>
      <c r="DL215" s="248"/>
      <c r="DM215" s="248"/>
      <c r="DN215" s="248"/>
      <c r="DO215" s="248"/>
      <c r="DP215" s="248"/>
      <c r="DQ215" s="248"/>
      <c r="DR215" s="248"/>
      <c r="DS215" s="248"/>
      <c r="DT215" s="248"/>
      <c r="DU215" s="248"/>
      <c r="DV215" s="248"/>
      <c r="DW215" s="248"/>
      <c r="DX215" s="248"/>
      <c r="DY215" s="248"/>
      <c r="DZ215" s="248"/>
      <c r="EA215" s="248"/>
      <c r="EB215" s="248"/>
      <c r="EC215" s="248"/>
      <c r="ED215" s="248"/>
      <c r="EE215" s="248"/>
    </row>
    <row r="216" spans="1:135" s="35" customFormat="1" ht="16.5">
      <c r="A216" s="35" t="str">
        <f t="shared" si="7"/>
        <v>KS_CP_C             KS_CPR_B</v>
      </c>
      <c r="B216" s="331"/>
      <c r="C216" s="248">
        <v>76022</v>
      </c>
      <c r="D216" s="283" t="s">
        <v>608</v>
      </c>
      <c r="F216" s="35" t="s">
        <v>1086</v>
      </c>
      <c r="G216" s="39"/>
      <c r="O216" s="34" t="s">
        <v>1086</v>
      </c>
      <c r="P216" s="34" t="s">
        <v>1086</v>
      </c>
      <c r="Q216" s="58"/>
      <c r="R216" s="39"/>
      <c r="AH216" s="279"/>
      <c r="AJ216" s="279" t="s">
        <v>1117</v>
      </c>
      <c r="AK216" s="279"/>
      <c r="AL216" s="523">
        <v>3</v>
      </c>
      <c r="AM216" s="35">
        <v>76022</v>
      </c>
      <c r="AN216" s="35" t="s">
        <v>1513</v>
      </c>
      <c r="AO216" s="35" t="s">
        <v>959</v>
      </c>
      <c r="AP216" s="35" t="s">
        <v>683</v>
      </c>
      <c r="AQ216" s="34" t="s">
        <v>1867</v>
      </c>
      <c r="AR216" s="35">
        <v>6</v>
      </c>
      <c r="AS216" s="35" t="s">
        <v>477</v>
      </c>
      <c r="AT216" s="35" t="s">
        <v>238</v>
      </c>
      <c r="AU216" s="35" t="s">
        <v>10</v>
      </c>
      <c r="AV216" s="35" t="s">
        <v>424</v>
      </c>
      <c r="AW216" s="35" t="s">
        <v>651</v>
      </c>
      <c r="AX216" s="34" t="s">
        <v>1807</v>
      </c>
      <c r="AY216" s="35">
        <v>6</v>
      </c>
      <c r="AZ216" s="35" t="s">
        <v>1808</v>
      </c>
      <c r="BA216" s="35" t="s">
        <v>81</v>
      </c>
      <c r="BB216" s="35" t="s">
        <v>10</v>
      </c>
      <c r="BC216" s="35" t="s">
        <v>304</v>
      </c>
      <c r="BD216" s="35" t="s">
        <v>1742</v>
      </c>
      <c r="BE216" s="35" t="s">
        <v>307</v>
      </c>
      <c r="BF216" s="35" t="s">
        <v>306</v>
      </c>
      <c r="BG216" s="35">
        <v>427</v>
      </c>
      <c r="BH216" s="35" t="s">
        <v>185</v>
      </c>
      <c r="BI216" s="35">
        <v>0.75</v>
      </c>
      <c r="BJ216" s="35" t="s">
        <v>1514</v>
      </c>
      <c r="BK216" s="35" t="s">
        <v>10</v>
      </c>
      <c r="BL216" s="35" t="s">
        <v>728</v>
      </c>
      <c r="BM216" s="35" t="s">
        <v>729</v>
      </c>
      <c r="BN216" s="35">
        <v>76022</v>
      </c>
      <c r="BW216" s="248"/>
      <c r="BX216" s="248"/>
      <c r="BY216" s="248"/>
      <c r="BZ216" s="248"/>
      <c r="CA216" s="248"/>
      <c r="CB216" s="248"/>
      <c r="CC216" s="248"/>
      <c r="CD216" s="248"/>
      <c r="CE216" s="248"/>
      <c r="CF216" s="248"/>
      <c r="CG216" s="248"/>
      <c r="CH216" s="248"/>
      <c r="CI216" s="248"/>
      <c r="CJ216" s="248"/>
      <c r="CK216" s="248"/>
      <c r="CL216" s="248"/>
      <c r="CM216" s="248"/>
      <c r="CN216" s="248"/>
      <c r="CO216" s="248"/>
      <c r="CP216" s="248"/>
      <c r="CQ216" s="248"/>
      <c r="CR216" s="248"/>
      <c r="CS216" s="248"/>
      <c r="CT216" s="248"/>
      <c r="CU216" s="248"/>
      <c r="CV216" s="248"/>
      <c r="CW216" s="248"/>
      <c r="CX216" s="248"/>
      <c r="CY216" s="248"/>
      <c r="CZ216" s="248"/>
      <c r="DA216" s="248"/>
      <c r="DB216" s="248"/>
      <c r="DC216" s="248"/>
      <c r="DD216" s="248"/>
      <c r="DE216" s="248"/>
      <c r="DF216" s="248"/>
      <c r="DG216" s="248"/>
      <c r="DH216" s="248"/>
      <c r="DI216" s="248"/>
      <c r="DJ216" s="248"/>
      <c r="DK216" s="248"/>
      <c r="DL216" s="248"/>
      <c r="DM216" s="248"/>
      <c r="DN216" s="248"/>
      <c r="DO216" s="248"/>
      <c r="DP216" s="248"/>
      <c r="DQ216" s="248"/>
      <c r="DR216" s="248"/>
      <c r="DS216" s="248"/>
      <c r="DT216" s="248"/>
      <c r="DU216" s="248"/>
      <c r="DV216" s="248"/>
      <c r="DW216" s="248"/>
      <c r="DX216" s="248"/>
      <c r="DY216" s="248"/>
      <c r="DZ216" s="248"/>
      <c r="EA216" s="248"/>
      <c r="EB216" s="248"/>
      <c r="EC216" s="248"/>
      <c r="ED216" s="248"/>
      <c r="EE216" s="248"/>
    </row>
    <row r="217" spans="1:135" s="35" customFormat="1" ht="16.5">
      <c r="A217" s="35" t="str">
        <f t="shared" si="7"/>
        <v>KS_CPR_B            KS_CP_C</v>
      </c>
      <c r="B217" s="331"/>
      <c r="C217" s="248">
        <v>76027</v>
      </c>
      <c r="D217" s="283" t="s">
        <v>608</v>
      </c>
      <c r="F217" s="35" t="s">
        <v>1086</v>
      </c>
      <c r="O217" s="34" t="s">
        <v>1086</v>
      </c>
      <c r="P217" s="34" t="s">
        <v>1086</v>
      </c>
      <c r="Q217" s="58"/>
      <c r="R217" s="39"/>
      <c r="AH217" s="279"/>
      <c r="AJ217" s="279" t="s">
        <v>1117</v>
      </c>
      <c r="AK217" s="279"/>
      <c r="AL217" s="523">
        <v>3</v>
      </c>
      <c r="AM217" s="35">
        <v>76027</v>
      </c>
      <c r="AN217" s="35" t="s">
        <v>1515</v>
      </c>
      <c r="AO217" s="35" t="s">
        <v>424</v>
      </c>
      <c r="AP217" s="35" t="s">
        <v>651</v>
      </c>
      <c r="AQ217" s="34" t="s">
        <v>1807</v>
      </c>
      <c r="AR217" s="35">
        <v>7</v>
      </c>
      <c r="AS217" s="35" t="s">
        <v>1808</v>
      </c>
      <c r="AT217" s="35" t="s">
        <v>81</v>
      </c>
      <c r="AU217" s="35" t="s">
        <v>10</v>
      </c>
      <c r="AV217" s="35" t="s">
        <v>959</v>
      </c>
      <c r="AW217" s="35" t="s">
        <v>683</v>
      </c>
      <c r="AX217" s="34" t="s">
        <v>1867</v>
      </c>
      <c r="AY217" s="35">
        <v>7</v>
      </c>
      <c r="AZ217" s="35" t="s">
        <v>477</v>
      </c>
      <c r="BA217" s="35" t="s">
        <v>238</v>
      </c>
      <c r="BB217" s="35" t="s">
        <v>10</v>
      </c>
      <c r="BC217" s="35" t="s">
        <v>2434</v>
      </c>
      <c r="BD217" s="35" t="s">
        <v>1742</v>
      </c>
      <c r="BE217" s="35" t="s">
        <v>312</v>
      </c>
      <c r="BF217" s="35" t="s">
        <v>308</v>
      </c>
      <c r="BG217" s="35">
        <v>427</v>
      </c>
      <c r="BH217" s="35" t="s">
        <v>125</v>
      </c>
      <c r="BI217" s="35">
        <v>0.75</v>
      </c>
      <c r="BJ217" s="35" t="s">
        <v>309</v>
      </c>
      <c r="BK217" s="35" t="s">
        <v>10</v>
      </c>
      <c r="BL217" s="35" t="s">
        <v>10</v>
      </c>
      <c r="BM217" s="35" t="s">
        <v>729</v>
      </c>
      <c r="BN217" s="35">
        <v>76027</v>
      </c>
      <c r="BW217" s="248"/>
      <c r="BX217" s="248"/>
      <c r="BY217" s="248"/>
      <c r="BZ217" s="248"/>
      <c r="CA217" s="248"/>
      <c r="CB217" s="248"/>
      <c r="CC217" s="248"/>
      <c r="CD217" s="248"/>
      <c r="CE217" s="248"/>
      <c r="CF217" s="248"/>
      <c r="CG217" s="248"/>
      <c r="CH217" s="248"/>
      <c r="CI217" s="248"/>
      <c r="CJ217" s="248"/>
      <c r="CK217" s="248"/>
      <c r="CL217" s="248"/>
      <c r="CM217" s="248"/>
      <c r="CN217" s="248"/>
      <c r="CO217" s="248"/>
      <c r="CP217" s="248"/>
      <c r="CQ217" s="248"/>
      <c r="CR217" s="248"/>
      <c r="CS217" s="248"/>
      <c r="CT217" s="248"/>
      <c r="CU217" s="248"/>
      <c r="CV217" s="248"/>
      <c r="CW217" s="248"/>
      <c r="CX217" s="248"/>
      <c r="CY217" s="248"/>
      <c r="CZ217" s="248"/>
      <c r="DA217" s="248"/>
      <c r="DB217" s="248"/>
      <c r="DC217" s="248"/>
      <c r="DD217" s="248"/>
      <c r="DE217" s="248"/>
      <c r="DF217" s="248"/>
      <c r="DG217" s="248"/>
      <c r="DH217" s="248"/>
      <c r="DI217" s="248"/>
      <c r="DJ217" s="248"/>
      <c r="DK217" s="248"/>
      <c r="DL217" s="248"/>
      <c r="DM217" s="248"/>
      <c r="DN217" s="248"/>
      <c r="DO217" s="248"/>
      <c r="DP217" s="248"/>
      <c r="DQ217" s="248"/>
      <c r="DR217" s="248"/>
      <c r="DS217" s="248"/>
      <c r="DT217" s="248"/>
      <c r="DU217" s="248"/>
      <c r="DV217" s="248"/>
      <c r="DW217" s="248"/>
      <c r="DX217" s="248"/>
      <c r="DY217" s="248"/>
      <c r="DZ217" s="248"/>
      <c r="EA217" s="248"/>
      <c r="EB217" s="248"/>
      <c r="EC217" s="248"/>
      <c r="ED217" s="248"/>
      <c r="EE217" s="248"/>
    </row>
    <row r="218" spans="1:135" s="35" customFormat="1" ht="16.5">
      <c r="A218" s="35" t="str">
        <f t="shared" si="7"/>
        <v>KS_CPR_B            KS_CP_C</v>
      </c>
      <c r="B218" s="331"/>
      <c r="C218" s="248">
        <v>76028</v>
      </c>
      <c r="D218" s="283" t="s">
        <v>608</v>
      </c>
      <c r="F218" s="35" t="s">
        <v>1086</v>
      </c>
      <c r="O218" s="34" t="s">
        <v>1086</v>
      </c>
      <c r="P218" s="34" t="s">
        <v>1086</v>
      </c>
      <c r="Q218" s="58"/>
      <c r="R218" s="39"/>
      <c r="AH218" s="279"/>
      <c r="AJ218" s="279" t="s">
        <v>1117</v>
      </c>
      <c r="AK218" s="279"/>
      <c r="AL218" s="523">
        <v>3</v>
      </c>
      <c r="AM218" s="35">
        <v>76028</v>
      </c>
      <c r="AN218" s="35" t="s">
        <v>1516</v>
      </c>
      <c r="AO218" s="35" t="s">
        <v>424</v>
      </c>
      <c r="AP218" s="35" t="s">
        <v>651</v>
      </c>
      <c r="AQ218" s="34" t="s">
        <v>1807</v>
      </c>
      <c r="AR218" s="35">
        <v>8</v>
      </c>
      <c r="AS218" s="35" t="s">
        <v>1808</v>
      </c>
      <c r="AT218" s="35" t="s">
        <v>81</v>
      </c>
      <c r="AU218" s="35" t="s">
        <v>10</v>
      </c>
      <c r="AV218" s="35" t="s">
        <v>959</v>
      </c>
      <c r="AW218" s="35" t="s">
        <v>683</v>
      </c>
      <c r="AX218" s="34" t="s">
        <v>1867</v>
      </c>
      <c r="AY218" s="35">
        <v>8</v>
      </c>
      <c r="AZ218" s="35" t="s">
        <v>477</v>
      </c>
      <c r="BA218" s="35" t="s">
        <v>238</v>
      </c>
      <c r="BB218" s="35" t="s">
        <v>10</v>
      </c>
      <c r="BC218" s="35" t="s">
        <v>2434</v>
      </c>
      <c r="BD218" s="35" t="s">
        <v>1742</v>
      </c>
      <c r="BE218" s="35" t="s">
        <v>312</v>
      </c>
      <c r="BF218" s="35" t="s">
        <v>153</v>
      </c>
      <c r="BG218" s="35">
        <v>427</v>
      </c>
      <c r="BH218" s="35" t="s">
        <v>132</v>
      </c>
      <c r="BI218" s="35">
        <v>0.75</v>
      </c>
      <c r="BJ218" s="35" t="s">
        <v>310</v>
      </c>
      <c r="BK218" s="35" t="s">
        <v>10</v>
      </c>
      <c r="BL218" s="35" t="s">
        <v>10</v>
      </c>
      <c r="BM218" s="35" t="s">
        <v>729</v>
      </c>
      <c r="BN218" s="35">
        <v>76028</v>
      </c>
      <c r="BW218" s="248"/>
      <c r="BX218" s="248"/>
      <c r="BY218" s="248"/>
      <c r="BZ218" s="248"/>
      <c r="CA218" s="248"/>
      <c r="CB218" s="248"/>
      <c r="CC218" s="248"/>
      <c r="CD218" s="248"/>
      <c r="CE218" s="248"/>
      <c r="CF218" s="248"/>
      <c r="CG218" s="248"/>
      <c r="CH218" s="248"/>
      <c r="CI218" s="248"/>
      <c r="CJ218" s="248"/>
      <c r="CK218" s="248"/>
      <c r="CL218" s="248"/>
      <c r="CM218" s="248"/>
      <c r="CN218" s="248"/>
      <c r="CO218" s="248"/>
      <c r="CP218" s="248"/>
      <c r="CQ218" s="248"/>
      <c r="CR218" s="248"/>
      <c r="CS218" s="248"/>
      <c r="CT218" s="248"/>
      <c r="CU218" s="248"/>
      <c r="CV218" s="248"/>
      <c r="CW218" s="248"/>
      <c r="CX218" s="248"/>
      <c r="CY218" s="248"/>
      <c r="CZ218" s="248"/>
      <c r="DA218" s="248"/>
      <c r="DB218" s="248"/>
      <c r="DC218" s="248"/>
      <c r="DD218" s="248"/>
      <c r="DE218" s="248"/>
      <c r="DF218" s="248"/>
      <c r="DG218" s="248"/>
      <c r="DH218" s="248"/>
      <c r="DI218" s="248"/>
      <c r="DJ218" s="248"/>
      <c r="DK218" s="248"/>
      <c r="DL218" s="248"/>
      <c r="DM218" s="248"/>
      <c r="DN218" s="248"/>
      <c r="DO218" s="248"/>
      <c r="DP218" s="248"/>
      <c r="DQ218" s="248"/>
      <c r="DR218" s="248"/>
      <c r="DS218" s="248"/>
      <c r="DT218" s="248"/>
      <c r="DU218" s="248"/>
      <c r="DV218" s="248"/>
      <c r="DW218" s="248"/>
      <c r="DX218" s="248"/>
      <c r="DY218" s="248"/>
      <c r="DZ218" s="248"/>
      <c r="EA218" s="248"/>
      <c r="EB218" s="248"/>
      <c r="EC218" s="248"/>
      <c r="ED218" s="248"/>
      <c r="EE218" s="248"/>
    </row>
    <row r="219" spans="1:135" s="35" customFormat="1" ht="16.5">
      <c r="A219" s="35" t="str">
        <f t="shared" si="7"/>
        <v>LSB_VR              KS_CPR_B</v>
      </c>
      <c r="B219" s="331"/>
      <c r="C219" s="248">
        <v>76035</v>
      </c>
      <c r="D219" s="283" t="s">
        <v>608</v>
      </c>
      <c r="F219" s="35" t="s">
        <v>1086</v>
      </c>
      <c r="O219" s="34" t="s">
        <v>1086</v>
      </c>
      <c r="P219" s="34" t="s">
        <v>1086</v>
      </c>
      <c r="Q219" s="58"/>
      <c r="R219" s="39"/>
      <c r="AH219" s="279"/>
      <c r="AJ219" s="279" t="s">
        <v>1117</v>
      </c>
      <c r="AK219" s="279"/>
      <c r="AL219" s="523">
        <v>3</v>
      </c>
      <c r="AM219" s="35">
        <v>76035</v>
      </c>
      <c r="AN219" s="35" t="s">
        <v>746</v>
      </c>
      <c r="AO219" s="35" t="s">
        <v>1714</v>
      </c>
      <c r="AP219" s="35" t="s">
        <v>747</v>
      </c>
      <c r="AQ219" s="34" t="s">
        <v>2279</v>
      </c>
      <c r="AR219" s="35">
        <v>1</v>
      </c>
      <c r="AS219" s="35" t="s">
        <v>517</v>
      </c>
      <c r="AT219" s="35" t="s">
        <v>77</v>
      </c>
      <c r="AU219" s="35" t="s">
        <v>10</v>
      </c>
      <c r="AV219" s="35" t="s">
        <v>424</v>
      </c>
      <c r="AW219" s="35" t="s">
        <v>651</v>
      </c>
      <c r="AX219" s="34" t="s">
        <v>1807</v>
      </c>
      <c r="AY219" s="35">
        <v>9</v>
      </c>
      <c r="AZ219" s="35" t="s">
        <v>1808</v>
      </c>
      <c r="BA219" s="35" t="s">
        <v>81</v>
      </c>
      <c r="BB219" s="35" t="s">
        <v>10</v>
      </c>
      <c r="BC219" s="35" t="s">
        <v>311</v>
      </c>
      <c r="BD219" s="35" t="s">
        <v>1742</v>
      </c>
      <c r="BE219" s="35" t="s">
        <v>316</v>
      </c>
      <c r="BF219" s="35" t="s">
        <v>169</v>
      </c>
      <c r="BG219" s="35">
        <v>936</v>
      </c>
      <c r="BH219" s="35" t="s">
        <v>112</v>
      </c>
      <c r="BI219" s="35">
        <v>0.5</v>
      </c>
      <c r="BJ219" s="35" t="s">
        <v>313</v>
      </c>
      <c r="BK219" s="35" t="s">
        <v>10</v>
      </c>
      <c r="BL219" s="35" t="s">
        <v>10</v>
      </c>
      <c r="BM219" s="35" t="s">
        <v>729</v>
      </c>
      <c r="BN219" s="35">
        <v>76035</v>
      </c>
      <c r="BW219" s="248"/>
      <c r="BX219" s="248"/>
      <c r="BY219" s="248"/>
      <c r="BZ219" s="248"/>
      <c r="CA219" s="248"/>
      <c r="CB219" s="248"/>
      <c r="CC219" s="248"/>
      <c r="CD219" s="248"/>
      <c r="CE219" s="248"/>
      <c r="CF219" s="248"/>
      <c r="CG219" s="248"/>
      <c r="CH219" s="248"/>
      <c r="CI219" s="248"/>
      <c r="CJ219" s="248"/>
      <c r="CK219" s="248"/>
      <c r="CL219" s="248"/>
      <c r="CM219" s="248"/>
      <c r="CN219" s="248"/>
      <c r="CO219" s="248"/>
      <c r="CP219" s="248"/>
      <c r="CQ219" s="248"/>
      <c r="CR219" s="248"/>
      <c r="CS219" s="248"/>
      <c r="CT219" s="248"/>
      <c r="CU219" s="248"/>
      <c r="CV219" s="248"/>
      <c r="CW219" s="248"/>
      <c r="CX219" s="248"/>
      <c r="CY219" s="248"/>
      <c r="CZ219" s="248"/>
      <c r="DA219" s="248"/>
      <c r="DB219" s="248"/>
      <c r="DC219" s="248"/>
      <c r="DD219" s="248"/>
      <c r="DE219" s="248"/>
      <c r="DF219" s="248"/>
      <c r="DG219" s="248"/>
      <c r="DH219" s="248"/>
      <c r="DI219" s="248"/>
      <c r="DJ219" s="248"/>
      <c r="DK219" s="248"/>
      <c r="DL219" s="248"/>
      <c r="DM219" s="248"/>
      <c r="DN219" s="248"/>
      <c r="DO219" s="248"/>
      <c r="DP219" s="248"/>
      <c r="DQ219" s="248"/>
      <c r="DR219" s="248"/>
      <c r="DS219" s="248"/>
      <c r="DT219" s="248"/>
      <c r="DU219" s="248"/>
      <c r="DV219" s="248"/>
      <c r="DW219" s="248"/>
      <c r="DX219" s="248"/>
      <c r="DY219" s="248"/>
      <c r="DZ219" s="248"/>
      <c r="EA219" s="248"/>
      <c r="EB219" s="248"/>
      <c r="EC219" s="248"/>
      <c r="ED219" s="248"/>
      <c r="EE219" s="248"/>
    </row>
    <row r="220" spans="1:135" s="35" customFormat="1" ht="16.5">
      <c r="A220" s="35" t="str">
        <f t="shared" si="7"/>
        <v>LSB_VR              KS_CPR_B</v>
      </c>
      <c r="B220" s="331"/>
      <c r="C220" s="248">
        <v>76036</v>
      </c>
      <c r="D220" s="283" t="s">
        <v>608</v>
      </c>
      <c r="F220" s="35" t="s">
        <v>1086</v>
      </c>
      <c r="O220" s="34" t="s">
        <v>1086</v>
      </c>
      <c r="P220" s="34" t="s">
        <v>1086</v>
      </c>
      <c r="Q220" s="58"/>
      <c r="R220" s="39"/>
      <c r="AH220" s="279"/>
      <c r="AJ220" s="279" t="s">
        <v>1117</v>
      </c>
      <c r="AK220" s="279"/>
      <c r="AL220" s="523">
        <v>3</v>
      </c>
      <c r="AM220" s="35">
        <v>76036</v>
      </c>
      <c r="AN220" s="35" t="s">
        <v>748</v>
      </c>
      <c r="AO220" s="35" t="s">
        <v>1714</v>
      </c>
      <c r="AP220" s="35" t="s">
        <v>747</v>
      </c>
      <c r="AQ220" s="34" t="s">
        <v>2279</v>
      </c>
      <c r="AR220" s="35">
        <v>2</v>
      </c>
      <c r="AS220" s="35" t="s">
        <v>517</v>
      </c>
      <c r="AT220" s="35" t="s">
        <v>77</v>
      </c>
      <c r="AU220" s="35" t="s">
        <v>10</v>
      </c>
      <c r="AV220" s="35" t="s">
        <v>424</v>
      </c>
      <c r="AW220" s="35" t="s">
        <v>651</v>
      </c>
      <c r="AX220" s="34" t="s">
        <v>1807</v>
      </c>
      <c r="AY220" s="35">
        <v>10</v>
      </c>
      <c r="AZ220" s="35" t="s">
        <v>1808</v>
      </c>
      <c r="BA220" s="35" t="s">
        <v>81</v>
      </c>
      <c r="BB220" s="35" t="s">
        <v>10</v>
      </c>
      <c r="BC220" s="35" t="s">
        <v>311</v>
      </c>
      <c r="BD220" s="35" t="s">
        <v>1742</v>
      </c>
      <c r="BE220" s="35" t="s">
        <v>316</v>
      </c>
      <c r="BF220" s="35" t="s">
        <v>314</v>
      </c>
      <c r="BG220" s="35">
        <v>936</v>
      </c>
      <c r="BH220" s="35" t="s">
        <v>78</v>
      </c>
      <c r="BI220" s="35">
        <v>0.5</v>
      </c>
      <c r="BJ220" s="35" t="s">
        <v>315</v>
      </c>
      <c r="BK220" s="35" t="s">
        <v>10</v>
      </c>
      <c r="BL220" s="35" t="s">
        <v>10</v>
      </c>
      <c r="BM220" s="35" t="s">
        <v>729</v>
      </c>
      <c r="BN220" s="35">
        <v>76036</v>
      </c>
      <c r="BW220" s="248"/>
      <c r="BX220" s="248"/>
      <c r="BY220" s="248"/>
      <c r="BZ220" s="248"/>
      <c r="CA220" s="248"/>
      <c r="CB220" s="248"/>
      <c r="CC220" s="248"/>
      <c r="CD220" s="248"/>
      <c r="CE220" s="248"/>
      <c r="CF220" s="248"/>
      <c r="CG220" s="248"/>
      <c r="CH220" s="248"/>
      <c r="CI220" s="248"/>
      <c r="CJ220" s="248"/>
      <c r="CK220" s="248"/>
      <c r="CL220" s="248"/>
      <c r="CM220" s="248"/>
      <c r="CN220" s="248"/>
      <c r="CO220" s="248"/>
      <c r="CP220" s="248"/>
      <c r="CQ220" s="248"/>
      <c r="CR220" s="248"/>
      <c r="CS220" s="248"/>
      <c r="CT220" s="248"/>
      <c r="CU220" s="248"/>
      <c r="CV220" s="248"/>
      <c r="CW220" s="248"/>
      <c r="CX220" s="248"/>
      <c r="CY220" s="248"/>
      <c r="CZ220" s="248"/>
      <c r="DA220" s="248"/>
      <c r="DB220" s="248"/>
      <c r="DC220" s="248"/>
      <c r="DD220" s="248"/>
      <c r="DE220" s="248"/>
      <c r="DF220" s="248"/>
      <c r="DG220" s="248"/>
      <c r="DH220" s="248"/>
      <c r="DI220" s="248"/>
      <c r="DJ220" s="248"/>
      <c r="DK220" s="248"/>
      <c r="DL220" s="248"/>
      <c r="DM220" s="248"/>
      <c r="DN220" s="248"/>
      <c r="DO220" s="248"/>
      <c r="DP220" s="248"/>
      <c r="DQ220" s="248"/>
      <c r="DR220" s="248"/>
      <c r="DS220" s="248"/>
      <c r="DT220" s="248"/>
      <c r="DU220" s="248"/>
      <c r="DV220" s="248"/>
      <c r="DW220" s="248"/>
      <c r="DX220" s="248"/>
      <c r="DY220" s="248"/>
      <c r="DZ220" s="248"/>
      <c r="EA220" s="248"/>
      <c r="EB220" s="248"/>
      <c r="EC220" s="248"/>
      <c r="ED220" s="248"/>
      <c r="EE220" s="248"/>
    </row>
    <row r="221" spans="1:135" s="35" customFormat="1" ht="16.5">
      <c r="A221" s="35" t="str">
        <f t="shared" si="7"/>
        <v>MIB_D               KS_CPR_B</v>
      </c>
      <c r="B221" s="331"/>
      <c r="C221" s="248">
        <v>76039</v>
      </c>
      <c r="D221" s="283" t="s">
        <v>608</v>
      </c>
      <c r="F221" s="35" t="s">
        <v>1086</v>
      </c>
      <c r="O221" s="34" t="s">
        <v>1086</v>
      </c>
      <c r="P221" s="34" t="s">
        <v>1086</v>
      </c>
      <c r="Q221" s="58"/>
      <c r="R221" s="39"/>
      <c r="AH221" s="279"/>
      <c r="AJ221" s="279" t="s">
        <v>1117</v>
      </c>
      <c r="AK221" s="279"/>
      <c r="AL221" s="523">
        <v>3</v>
      </c>
      <c r="AM221" s="35">
        <v>76039</v>
      </c>
      <c r="AN221" s="35" t="s">
        <v>1517</v>
      </c>
      <c r="AO221" s="35" t="s">
        <v>920</v>
      </c>
      <c r="AP221" s="35" t="s">
        <v>634</v>
      </c>
      <c r="AQ221" s="34" t="s">
        <v>2280</v>
      </c>
      <c r="AR221" s="35">
        <v>11</v>
      </c>
      <c r="AS221" s="35" t="s">
        <v>1768</v>
      </c>
      <c r="AT221" s="35" t="s">
        <v>598</v>
      </c>
      <c r="AU221" s="35" t="s">
        <v>10</v>
      </c>
      <c r="AV221" s="35" t="s">
        <v>424</v>
      </c>
      <c r="AW221" s="35" t="s">
        <v>651</v>
      </c>
      <c r="AX221" s="34" t="s">
        <v>1807</v>
      </c>
      <c r="AY221" s="35">
        <v>5</v>
      </c>
      <c r="AZ221" s="35" t="s">
        <v>1808</v>
      </c>
      <c r="BA221" s="35" t="s">
        <v>81</v>
      </c>
      <c r="BB221" s="35" t="s">
        <v>10</v>
      </c>
      <c r="BC221" s="35" t="s">
        <v>601</v>
      </c>
      <c r="BD221" s="35" t="s">
        <v>1742</v>
      </c>
      <c r="BE221" s="35" t="s">
        <v>317</v>
      </c>
      <c r="BF221" s="35" t="s">
        <v>99</v>
      </c>
      <c r="BG221" s="35">
        <v>1763</v>
      </c>
      <c r="BH221" s="35" t="s">
        <v>63</v>
      </c>
      <c r="BI221" s="35">
        <v>0.75</v>
      </c>
      <c r="BJ221" s="35" t="s">
        <v>119</v>
      </c>
      <c r="BK221" s="35" t="s">
        <v>727</v>
      </c>
      <c r="BL221" s="35" t="s">
        <v>10</v>
      </c>
      <c r="BM221" s="35" t="s">
        <v>10</v>
      </c>
      <c r="BN221" s="35">
        <v>76039</v>
      </c>
      <c r="BW221" s="248"/>
      <c r="BX221" s="248"/>
      <c r="BY221" s="248"/>
      <c r="BZ221" s="248"/>
      <c r="CA221" s="248"/>
      <c r="CB221" s="248"/>
      <c r="CC221" s="248"/>
      <c r="CD221" s="248"/>
      <c r="CE221" s="248"/>
      <c r="CF221" s="248"/>
      <c r="CG221" s="248"/>
      <c r="CH221" s="248"/>
      <c r="CI221" s="248"/>
      <c r="CJ221" s="248"/>
      <c r="CK221" s="248"/>
      <c r="CL221" s="248"/>
      <c r="CM221" s="248"/>
      <c r="CN221" s="248"/>
      <c r="CO221" s="248"/>
      <c r="CP221" s="248"/>
      <c r="CQ221" s="248"/>
      <c r="CR221" s="248"/>
      <c r="CS221" s="248"/>
      <c r="CT221" s="248"/>
      <c r="CU221" s="248"/>
      <c r="CV221" s="248"/>
      <c r="CW221" s="248"/>
      <c r="CX221" s="248"/>
      <c r="CY221" s="248"/>
      <c r="CZ221" s="248"/>
      <c r="DA221" s="248"/>
      <c r="DB221" s="248"/>
      <c r="DC221" s="248"/>
      <c r="DD221" s="248"/>
      <c r="DE221" s="248"/>
      <c r="DF221" s="248"/>
      <c r="DG221" s="248"/>
      <c r="DH221" s="248"/>
      <c r="DI221" s="248"/>
      <c r="DJ221" s="248"/>
      <c r="DK221" s="248"/>
      <c r="DL221" s="248"/>
      <c r="DM221" s="248"/>
      <c r="DN221" s="248"/>
      <c r="DO221" s="248"/>
      <c r="DP221" s="248"/>
      <c r="DQ221" s="248"/>
      <c r="DR221" s="248"/>
      <c r="DS221" s="248"/>
      <c r="DT221" s="248"/>
      <c r="DU221" s="248"/>
      <c r="DV221" s="248"/>
      <c r="DW221" s="248"/>
      <c r="DX221" s="248"/>
      <c r="DY221" s="248"/>
      <c r="DZ221" s="248"/>
      <c r="EA221" s="248"/>
      <c r="EB221" s="248"/>
      <c r="EC221" s="248"/>
      <c r="ED221" s="248"/>
      <c r="EE221" s="248"/>
    </row>
    <row r="222" spans="1:135" s="35" customFormat="1" ht="16.5">
      <c r="A222" s="35" t="str">
        <f t="shared" si="7"/>
        <v>MIB_D               KS_CPR_B</v>
      </c>
      <c r="B222" s="331"/>
      <c r="C222" s="248">
        <v>76040</v>
      </c>
      <c r="D222" s="283" t="s">
        <v>608</v>
      </c>
      <c r="F222" s="35" t="s">
        <v>1086</v>
      </c>
      <c r="O222" s="34" t="s">
        <v>1086</v>
      </c>
      <c r="P222" s="34" t="s">
        <v>1086</v>
      </c>
      <c r="Q222" s="58"/>
      <c r="R222" s="39"/>
      <c r="AH222" s="279"/>
      <c r="AJ222" s="279" t="s">
        <v>1117</v>
      </c>
      <c r="AK222" s="279"/>
      <c r="AL222" s="523">
        <v>3</v>
      </c>
      <c r="AM222" s="35">
        <v>76040</v>
      </c>
      <c r="AN222" s="35" t="s">
        <v>1518</v>
      </c>
      <c r="AO222" s="35" t="s">
        <v>920</v>
      </c>
      <c r="AP222" s="35" t="s">
        <v>634</v>
      </c>
      <c r="AQ222" s="34" t="s">
        <v>2280</v>
      </c>
      <c r="AR222" s="35">
        <v>12</v>
      </c>
      <c r="AS222" s="35" t="s">
        <v>1768</v>
      </c>
      <c r="AT222" s="35" t="s">
        <v>598</v>
      </c>
      <c r="AU222" s="35" t="s">
        <v>10</v>
      </c>
      <c r="AV222" s="35" t="s">
        <v>424</v>
      </c>
      <c r="AW222" s="35" t="s">
        <v>651</v>
      </c>
      <c r="AX222" s="34" t="s">
        <v>1807</v>
      </c>
      <c r="AY222" s="35">
        <v>6</v>
      </c>
      <c r="AZ222" s="35" t="s">
        <v>1808</v>
      </c>
      <c r="BA222" s="35" t="s">
        <v>81</v>
      </c>
      <c r="BB222" s="35" t="s">
        <v>10</v>
      </c>
      <c r="BC222" s="35" t="s">
        <v>601</v>
      </c>
      <c r="BD222" s="35" t="s">
        <v>1742</v>
      </c>
      <c r="BE222" s="35" t="s">
        <v>317</v>
      </c>
      <c r="BF222" s="35" t="s">
        <v>248</v>
      </c>
      <c r="BG222" s="35">
        <v>1763</v>
      </c>
      <c r="BH222" s="35" t="s">
        <v>61</v>
      </c>
      <c r="BI222" s="35">
        <v>0.75</v>
      </c>
      <c r="BJ222" s="35" t="s">
        <v>120</v>
      </c>
      <c r="BK222" s="35" t="s">
        <v>727</v>
      </c>
      <c r="BL222" s="35" t="s">
        <v>10</v>
      </c>
      <c r="BM222" s="35" t="s">
        <v>10</v>
      </c>
      <c r="BN222" s="35">
        <v>76040</v>
      </c>
      <c r="BW222" s="248"/>
      <c r="BX222" s="248"/>
      <c r="BY222" s="248"/>
      <c r="BZ222" s="248"/>
      <c r="CA222" s="248"/>
      <c r="CB222" s="248"/>
      <c r="CC222" s="248"/>
      <c r="CD222" s="248"/>
      <c r="CE222" s="248"/>
      <c r="CF222" s="248"/>
      <c r="CG222" s="248"/>
      <c r="CH222" s="248"/>
      <c r="CI222" s="248"/>
      <c r="CJ222" s="248"/>
      <c r="CK222" s="248"/>
      <c r="CL222" s="248"/>
      <c r="CM222" s="248"/>
      <c r="CN222" s="248"/>
      <c r="CO222" s="248"/>
      <c r="CP222" s="248"/>
      <c r="CQ222" s="248"/>
      <c r="CR222" s="248"/>
      <c r="CS222" s="248"/>
      <c r="CT222" s="248"/>
      <c r="CU222" s="248"/>
      <c r="CV222" s="248"/>
      <c r="CW222" s="248"/>
      <c r="CX222" s="248"/>
      <c r="CY222" s="248"/>
      <c r="CZ222" s="248"/>
      <c r="DA222" s="248"/>
      <c r="DB222" s="248"/>
      <c r="DC222" s="248"/>
      <c r="DD222" s="248"/>
      <c r="DE222" s="248"/>
      <c r="DF222" s="248"/>
      <c r="DG222" s="248"/>
      <c r="DH222" s="248"/>
      <c r="DI222" s="248"/>
      <c r="DJ222" s="248"/>
      <c r="DK222" s="248"/>
      <c r="DL222" s="248"/>
      <c r="DM222" s="248"/>
      <c r="DN222" s="248"/>
      <c r="DO222" s="248"/>
      <c r="DP222" s="248"/>
      <c r="DQ222" s="248"/>
      <c r="DR222" s="248"/>
      <c r="DS222" s="248"/>
      <c r="DT222" s="248"/>
      <c r="DU222" s="248"/>
      <c r="DV222" s="248"/>
      <c r="DW222" s="248"/>
      <c r="DX222" s="248"/>
      <c r="DY222" s="248"/>
      <c r="DZ222" s="248"/>
      <c r="EA222" s="248"/>
      <c r="EB222" s="248"/>
      <c r="EC222" s="248"/>
      <c r="ED222" s="248"/>
      <c r="EE222" s="248"/>
    </row>
    <row r="223" spans="1:135" s="35" customFormat="1" ht="16.5">
      <c r="A223" s="35" t="str">
        <f t="shared" si="7"/>
        <v>MIB_D               KS_CPL_B</v>
      </c>
      <c r="B223" s="331"/>
      <c r="C223" s="248">
        <v>76041</v>
      </c>
      <c r="D223" s="283" t="s">
        <v>608</v>
      </c>
      <c r="F223" s="35" t="s">
        <v>1086</v>
      </c>
      <c r="O223" s="34" t="s">
        <v>1086</v>
      </c>
      <c r="P223" s="34" t="s">
        <v>1086</v>
      </c>
      <c r="Q223" s="58"/>
      <c r="R223" s="39"/>
      <c r="AH223" s="279"/>
      <c r="AJ223" s="279" t="s">
        <v>1117</v>
      </c>
      <c r="AK223" s="279"/>
      <c r="AL223" s="523">
        <v>3</v>
      </c>
      <c r="AM223" s="35">
        <v>76041</v>
      </c>
      <c r="AN223" s="35" t="s">
        <v>1519</v>
      </c>
      <c r="AO223" s="35" t="s">
        <v>920</v>
      </c>
      <c r="AP223" s="35" t="s">
        <v>634</v>
      </c>
      <c r="AQ223" s="34" t="s">
        <v>2280</v>
      </c>
      <c r="AR223" s="35">
        <v>9</v>
      </c>
      <c r="AS223" s="35" t="s">
        <v>1768</v>
      </c>
      <c r="AT223" s="35" t="s">
        <v>598</v>
      </c>
      <c r="AU223" s="35" t="s">
        <v>10</v>
      </c>
      <c r="AV223" s="35" t="s">
        <v>416</v>
      </c>
      <c r="AW223" s="35" t="s">
        <v>623</v>
      </c>
      <c r="AX223" s="34" t="s">
        <v>1741</v>
      </c>
      <c r="AY223" s="35">
        <v>15</v>
      </c>
      <c r="AZ223" s="35" t="s">
        <v>1398</v>
      </c>
      <c r="BA223" s="35" t="s">
        <v>237</v>
      </c>
      <c r="BB223" s="35" t="s">
        <v>10</v>
      </c>
      <c r="BC223" s="35" t="s">
        <v>600</v>
      </c>
      <c r="BD223" s="35" t="s">
        <v>1742</v>
      </c>
      <c r="BE223" s="35" t="s">
        <v>318</v>
      </c>
      <c r="BF223" s="35" t="s">
        <v>99</v>
      </c>
      <c r="BG223" s="35">
        <v>1505</v>
      </c>
      <c r="BH223" s="35" t="s">
        <v>63</v>
      </c>
      <c r="BI223" s="35">
        <v>0.75</v>
      </c>
      <c r="BJ223" s="35" t="s">
        <v>100</v>
      </c>
      <c r="BK223" s="35" t="s">
        <v>727</v>
      </c>
      <c r="BL223" s="35" t="s">
        <v>10</v>
      </c>
      <c r="BM223" s="35" t="s">
        <v>10</v>
      </c>
      <c r="BN223" s="35">
        <v>76041</v>
      </c>
      <c r="BW223" s="248"/>
      <c r="BX223" s="248"/>
      <c r="BY223" s="248"/>
      <c r="BZ223" s="248"/>
      <c r="CA223" s="248"/>
      <c r="CB223" s="248"/>
      <c r="CC223" s="248"/>
      <c r="CD223" s="248"/>
      <c r="CE223" s="248"/>
      <c r="CF223" s="248"/>
      <c r="CG223" s="248"/>
      <c r="CH223" s="248"/>
      <c r="CI223" s="248"/>
      <c r="CJ223" s="248"/>
      <c r="CK223" s="248"/>
      <c r="CL223" s="248"/>
      <c r="CM223" s="248"/>
      <c r="CN223" s="248"/>
      <c r="CO223" s="248"/>
      <c r="CP223" s="248"/>
      <c r="CQ223" s="248"/>
      <c r="CR223" s="248"/>
      <c r="CS223" s="248"/>
      <c r="CT223" s="248"/>
      <c r="CU223" s="248"/>
      <c r="CV223" s="248"/>
      <c r="CW223" s="248"/>
      <c r="CX223" s="248"/>
      <c r="CY223" s="248"/>
      <c r="CZ223" s="248"/>
      <c r="DA223" s="248"/>
      <c r="DB223" s="248"/>
      <c r="DC223" s="248"/>
      <c r="DD223" s="248"/>
      <c r="DE223" s="248"/>
      <c r="DF223" s="248"/>
      <c r="DG223" s="248"/>
      <c r="DH223" s="248"/>
      <c r="DI223" s="248"/>
      <c r="DJ223" s="248"/>
      <c r="DK223" s="248"/>
      <c r="DL223" s="248"/>
      <c r="DM223" s="248"/>
      <c r="DN223" s="248"/>
      <c r="DO223" s="248"/>
      <c r="DP223" s="248"/>
      <c r="DQ223" s="248"/>
      <c r="DR223" s="248"/>
      <c r="DS223" s="248"/>
      <c r="DT223" s="248"/>
      <c r="DU223" s="248"/>
      <c r="DV223" s="248"/>
      <c r="DW223" s="248"/>
      <c r="DX223" s="248"/>
      <c r="DY223" s="248"/>
      <c r="DZ223" s="248"/>
      <c r="EA223" s="248"/>
      <c r="EB223" s="248"/>
      <c r="EC223" s="248"/>
      <c r="ED223" s="248"/>
      <c r="EE223" s="248"/>
    </row>
    <row r="224" spans="1:135" s="35" customFormat="1" ht="16.5">
      <c r="A224" s="35" t="str">
        <f t="shared" si="7"/>
        <v>MIB_D               KS_CPL_B</v>
      </c>
      <c r="B224" s="331"/>
      <c r="C224" s="248">
        <v>76042</v>
      </c>
      <c r="D224" s="283" t="s">
        <v>608</v>
      </c>
      <c r="F224" s="35" t="s">
        <v>1086</v>
      </c>
      <c r="O224" s="34" t="s">
        <v>1086</v>
      </c>
      <c r="P224" s="34" t="s">
        <v>1086</v>
      </c>
      <c r="Q224" s="58"/>
      <c r="R224" s="39"/>
      <c r="AH224" s="279"/>
      <c r="AJ224" s="279" t="s">
        <v>1117</v>
      </c>
      <c r="AK224" s="279"/>
      <c r="AL224" s="523">
        <v>3</v>
      </c>
      <c r="AM224" s="35">
        <v>76042</v>
      </c>
      <c r="AN224" s="35" t="s">
        <v>1520</v>
      </c>
      <c r="AO224" s="35" t="s">
        <v>920</v>
      </c>
      <c r="AP224" s="35" t="s">
        <v>634</v>
      </c>
      <c r="AQ224" s="34" t="s">
        <v>2280</v>
      </c>
      <c r="AR224" s="35">
        <v>13</v>
      </c>
      <c r="AS224" s="35" t="s">
        <v>1768</v>
      </c>
      <c r="AT224" s="35" t="s">
        <v>598</v>
      </c>
      <c r="AU224" s="35" t="s">
        <v>10</v>
      </c>
      <c r="AV224" s="35" t="s">
        <v>416</v>
      </c>
      <c r="AW224" s="35" t="s">
        <v>623</v>
      </c>
      <c r="AX224" s="34" t="s">
        <v>1741</v>
      </c>
      <c r="AY224" s="35">
        <v>17</v>
      </c>
      <c r="AZ224" s="35" t="s">
        <v>1398</v>
      </c>
      <c r="BA224" s="35" t="s">
        <v>237</v>
      </c>
      <c r="BB224" s="35" t="s">
        <v>10</v>
      </c>
      <c r="BC224" s="35" t="s">
        <v>600</v>
      </c>
      <c r="BD224" s="35" t="s">
        <v>1742</v>
      </c>
      <c r="BE224" s="35" t="s">
        <v>318</v>
      </c>
      <c r="BF224" s="35" t="s">
        <v>67</v>
      </c>
      <c r="BG224" s="35">
        <v>1505</v>
      </c>
      <c r="BH224" s="35" t="s">
        <v>68</v>
      </c>
      <c r="BI224" s="35">
        <v>0.75</v>
      </c>
      <c r="BJ224" s="35" t="s">
        <v>101</v>
      </c>
      <c r="BK224" s="35" t="s">
        <v>727</v>
      </c>
      <c r="BL224" s="35" t="s">
        <v>10</v>
      </c>
      <c r="BM224" s="35" t="s">
        <v>10</v>
      </c>
      <c r="BN224" s="35">
        <v>76042</v>
      </c>
      <c r="BW224" s="248"/>
      <c r="BX224" s="248"/>
      <c r="BY224" s="248"/>
      <c r="BZ224" s="248"/>
      <c r="CA224" s="248"/>
      <c r="CB224" s="248"/>
      <c r="CC224" s="248"/>
      <c r="CD224" s="248"/>
      <c r="CE224" s="248"/>
      <c r="CF224" s="248"/>
      <c r="CG224" s="248"/>
      <c r="CH224" s="248"/>
      <c r="CI224" s="248"/>
      <c r="CJ224" s="248"/>
      <c r="CK224" s="248"/>
      <c r="CL224" s="248"/>
      <c r="CM224" s="248"/>
      <c r="CN224" s="248"/>
      <c r="CO224" s="248"/>
      <c r="CP224" s="248"/>
      <c r="CQ224" s="248"/>
      <c r="CR224" s="248"/>
      <c r="CS224" s="248"/>
      <c r="CT224" s="248"/>
      <c r="CU224" s="248"/>
      <c r="CV224" s="248"/>
      <c r="CW224" s="248"/>
      <c r="CX224" s="248"/>
      <c r="CY224" s="248"/>
      <c r="CZ224" s="248"/>
      <c r="DA224" s="248"/>
      <c r="DB224" s="248"/>
      <c r="DC224" s="248"/>
      <c r="DD224" s="248"/>
      <c r="DE224" s="248"/>
      <c r="DF224" s="248"/>
      <c r="DG224" s="248"/>
      <c r="DH224" s="248"/>
      <c r="DI224" s="248"/>
      <c r="DJ224" s="248"/>
      <c r="DK224" s="248"/>
      <c r="DL224" s="248"/>
      <c r="DM224" s="248"/>
      <c r="DN224" s="248"/>
      <c r="DO224" s="248"/>
      <c r="DP224" s="248"/>
      <c r="DQ224" s="248"/>
      <c r="DR224" s="248"/>
      <c r="DS224" s="248"/>
      <c r="DT224" s="248"/>
      <c r="DU224" s="248"/>
      <c r="DV224" s="248"/>
      <c r="DW224" s="248"/>
      <c r="DX224" s="248"/>
      <c r="DY224" s="248"/>
      <c r="DZ224" s="248"/>
      <c r="EA224" s="248"/>
      <c r="EB224" s="248"/>
      <c r="EC224" s="248"/>
      <c r="ED224" s="248"/>
      <c r="EE224" s="248"/>
    </row>
    <row r="225" spans="1:135" s="35" customFormat="1" ht="16.5">
      <c r="A225" s="35" t="str">
        <f t="shared" si="7"/>
        <v xml:space="preserve">                    </v>
      </c>
      <c r="B225" s="331"/>
      <c r="D225" s="283" t="s">
        <v>749</v>
      </c>
      <c r="O225" s="34"/>
      <c r="P225" s="34"/>
      <c r="Q225" s="58"/>
      <c r="R225" s="39"/>
      <c r="AH225" s="279"/>
      <c r="AJ225" s="279"/>
      <c r="AK225" s="279"/>
      <c r="AL225" s="523">
        <v>1</v>
      </c>
      <c r="AM225" s="35" t="s">
        <v>750</v>
      </c>
      <c r="AQ225" s="34"/>
      <c r="AX225" s="34"/>
      <c r="BW225" s="248"/>
      <c r="BX225" s="248"/>
      <c r="BY225" s="248"/>
      <c r="BZ225" s="248"/>
      <c r="CA225" s="248"/>
      <c r="CB225" s="248"/>
      <c r="CC225" s="248"/>
      <c r="CD225" s="248"/>
      <c r="CE225" s="248"/>
      <c r="CF225" s="248"/>
      <c r="CG225" s="248"/>
      <c r="CH225" s="248"/>
      <c r="CI225" s="248"/>
      <c r="CJ225" s="248"/>
      <c r="CK225" s="248"/>
      <c r="CL225" s="248"/>
      <c r="CM225" s="248"/>
      <c r="CN225" s="248"/>
      <c r="CO225" s="248"/>
      <c r="CP225" s="248"/>
      <c r="CQ225" s="248"/>
      <c r="CR225" s="248"/>
      <c r="CS225" s="248"/>
      <c r="CT225" s="248"/>
      <c r="CU225" s="248"/>
      <c r="CV225" s="248"/>
      <c r="CW225" s="248"/>
      <c r="CX225" s="248"/>
      <c r="CY225" s="248"/>
      <c r="CZ225" s="248"/>
      <c r="DA225" s="248"/>
      <c r="DB225" s="248"/>
      <c r="DC225" s="248"/>
      <c r="DD225" s="248"/>
      <c r="DE225" s="248"/>
      <c r="DF225" s="248"/>
      <c r="DG225" s="248"/>
      <c r="DH225" s="248"/>
      <c r="DI225" s="248"/>
      <c r="DJ225" s="248"/>
      <c r="DK225" s="248"/>
      <c r="DL225" s="248"/>
      <c r="DM225" s="248"/>
      <c r="DN225" s="248"/>
      <c r="DO225" s="248"/>
      <c r="DP225" s="248"/>
      <c r="DQ225" s="248"/>
      <c r="DR225" s="248"/>
      <c r="DS225" s="248"/>
      <c r="DT225" s="248"/>
      <c r="DU225" s="248"/>
      <c r="DV225" s="248"/>
      <c r="DW225" s="248"/>
      <c r="DX225" s="248"/>
      <c r="DY225" s="248"/>
      <c r="DZ225" s="248"/>
      <c r="EA225" s="248"/>
      <c r="EB225" s="248"/>
      <c r="EC225" s="248"/>
      <c r="ED225" s="248"/>
      <c r="EE225" s="248"/>
    </row>
    <row r="226" spans="1:135" s="35" customFormat="1" ht="16.5">
      <c r="A226" s="35" t="str">
        <f t="shared" si="7"/>
        <v xml:space="preserve">                    </v>
      </c>
      <c r="B226" s="331"/>
      <c r="D226" s="283" t="s">
        <v>749</v>
      </c>
      <c r="O226" s="34"/>
      <c r="P226" s="34"/>
      <c r="Q226" s="58"/>
      <c r="R226" s="39"/>
      <c r="AH226" s="279"/>
      <c r="AJ226" s="279"/>
      <c r="AK226" s="279"/>
      <c r="AL226" s="523">
        <v>2</v>
      </c>
      <c r="AM226" s="35" t="s">
        <v>0</v>
      </c>
      <c r="AN226" s="35" t="s">
        <v>1681</v>
      </c>
      <c r="AO226" s="35" t="s">
        <v>2521</v>
      </c>
      <c r="AP226" s="35" t="s">
        <v>2473</v>
      </c>
      <c r="AQ226" s="34"/>
      <c r="AR226" s="35" t="s">
        <v>2391</v>
      </c>
      <c r="AS226" s="35" t="s">
        <v>11</v>
      </c>
      <c r="AX226" s="34"/>
    </row>
    <row r="227" spans="1:135" s="35" customFormat="1" ht="16.5">
      <c r="B227" s="331"/>
      <c r="D227" s="283" t="s">
        <v>749</v>
      </c>
      <c r="O227" s="34"/>
      <c r="P227" s="34"/>
      <c r="Q227" s="58"/>
      <c r="R227" s="39"/>
      <c r="AH227" s="279"/>
      <c r="AJ227" s="279"/>
      <c r="AK227" s="279"/>
      <c r="AL227" s="523">
        <v>2</v>
      </c>
      <c r="AM227" s="35" t="s">
        <v>2</v>
      </c>
      <c r="AN227" s="35" t="s">
        <v>2459</v>
      </c>
      <c r="AO227" s="35" t="s">
        <v>2460</v>
      </c>
      <c r="AP227" s="35" t="s">
        <v>2473</v>
      </c>
      <c r="AQ227" s="34"/>
      <c r="AR227" s="35" t="s">
        <v>2391</v>
      </c>
      <c r="AS227" s="35" t="s">
        <v>11</v>
      </c>
      <c r="AX227" s="34"/>
      <c r="BW227" s="248"/>
      <c r="BX227" s="248"/>
      <c r="BY227" s="248"/>
      <c r="BZ227" s="248"/>
      <c r="CA227" s="248"/>
      <c r="CB227" s="248"/>
      <c r="CC227" s="248"/>
      <c r="CD227" s="248"/>
      <c r="CE227" s="248"/>
      <c r="CF227" s="248"/>
      <c r="CG227" s="248"/>
      <c r="CH227" s="248"/>
      <c r="CI227" s="248"/>
      <c r="CJ227" s="248"/>
      <c r="CK227" s="248"/>
      <c r="CL227" s="248"/>
      <c r="CM227" s="248"/>
      <c r="CN227" s="248"/>
      <c r="CO227" s="248"/>
      <c r="CP227" s="248"/>
      <c r="CQ227" s="248"/>
      <c r="CR227" s="248"/>
      <c r="CS227" s="248"/>
      <c r="CT227" s="248"/>
      <c r="CU227" s="248"/>
      <c r="CV227" s="248"/>
      <c r="CW227" s="248"/>
      <c r="CX227" s="248"/>
      <c r="CY227" s="248"/>
      <c r="CZ227" s="248"/>
      <c r="DA227" s="248"/>
      <c r="DB227" s="248"/>
      <c r="DC227" s="248"/>
      <c r="DD227" s="248"/>
      <c r="DE227" s="248"/>
      <c r="DF227" s="248"/>
      <c r="DG227" s="248"/>
      <c r="DH227" s="248"/>
      <c r="DI227" s="248"/>
      <c r="DJ227" s="248"/>
      <c r="DK227" s="248"/>
      <c r="DL227" s="248"/>
      <c r="DM227" s="248"/>
      <c r="DN227" s="248"/>
      <c r="DO227" s="248"/>
      <c r="DP227" s="248"/>
      <c r="DQ227" s="248"/>
      <c r="DR227" s="248"/>
      <c r="DS227" s="248"/>
      <c r="DT227" s="248"/>
      <c r="DU227" s="248"/>
      <c r="DV227" s="248"/>
      <c r="DW227" s="248"/>
      <c r="DX227" s="248"/>
      <c r="DY227" s="248"/>
      <c r="DZ227" s="248"/>
      <c r="EA227" s="248"/>
      <c r="EB227" s="248"/>
      <c r="EC227" s="248"/>
      <c r="ED227" s="248"/>
      <c r="EE227" s="248"/>
    </row>
    <row r="228" spans="1:135" s="35" customFormat="1" ht="16.5">
      <c r="A228" s="35" t="str">
        <f t="shared" ref="A228:A258" si="8" xml:space="preserve"> AQ228 &amp; REPT(" ",20-LEN(AQ228)) &amp; AX228</f>
        <v>Kurzname            Kurzname</v>
      </c>
      <c r="B228" s="331"/>
      <c r="D228" s="283" t="s">
        <v>749</v>
      </c>
      <c r="O228" s="34"/>
      <c r="P228" s="34"/>
      <c r="Q228" s="58"/>
      <c r="R228" s="39"/>
      <c r="AH228" s="279"/>
      <c r="AJ228" s="279"/>
      <c r="AK228" s="279"/>
      <c r="AL228" s="523">
        <v>0</v>
      </c>
      <c r="AM228" s="35" t="s">
        <v>12</v>
      </c>
      <c r="AN228" s="35" t="s">
        <v>13</v>
      </c>
      <c r="AO228" s="35" t="s">
        <v>356</v>
      </c>
      <c r="AP228" s="35" t="s">
        <v>14</v>
      </c>
      <c r="AQ228" s="34" t="s">
        <v>7</v>
      </c>
      <c r="AR228" s="35" t="s">
        <v>15</v>
      </c>
      <c r="AS228" s="35" t="s">
        <v>8</v>
      </c>
      <c r="AT228" s="35" t="s">
        <v>16</v>
      </c>
      <c r="AU228" s="35" t="s">
        <v>17</v>
      </c>
      <c r="AV228" s="35" t="s">
        <v>356</v>
      </c>
      <c r="AW228" s="35" t="s">
        <v>18</v>
      </c>
      <c r="AX228" s="34" t="s">
        <v>7</v>
      </c>
      <c r="AY228" s="35" t="s">
        <v>15</v>
      </c>
      <c r="AZ228" s="35" t="s">
        <v>8</v>
      </c>
      <c r="BA228" s="35" t="s">
        <v>16</v>
      </c>
      <c r="BB228" s="35" t="s">
        <v>17</v>
      </c>
      <c r="BC228" s="35" t="s">
        <v>19</v>
      </c>
      <c r="BD228" s="35" t="s">
        <v>1737</v>
      </c>
      <c r="BE228" s="35" t="s">
        <v>20</v>
      </c>
      <c r="BF228" s="35" t="s">
        <v>21</v>
      </c>
      <c r="BG228" s="35" t="s">
        <v>22</v>
      </c>
      <c r="BH228" s="35" t="s">
        <v>9</v>
      </c>
      <c r="BI228" s="35" t="s">
        <v>23</v>
      </c>
      <c r="BJ228" s="35" t="s">
        <v>24</v>
      </c>
      <c r="BK228" s="35" t="s">
        <v>0</v>
      </c>
      <c r="BL228" s="35" t="s">
        <v>2</v>
      </c>
      <c r="BM228" s="35" t="s">
        <v>12</v>
      </c>
      <c r="BW228" s="248"/>
      <c r="BX228" s="248"/>
      <c r="BY228" s="248"/>
      <c r="BZ228" s="248"/>
      <c r="CA228" s="248"/>
      <c r="CB228" s="248"/>
      <c r="CC228" s="248"/>
      <c r="CD228" s="248"/>
      <c r="CE228" s="248"/>
      <c r="CF228" s="248"/>
      <c r="CG228" s="248"/>
      <c r="CH228" s="248"/>
      <c r="CI228" s="248"/>
      <c r="CJ228" s="248"/>
      <c r="CK228" s="248"/>
      <c r="CL228" s="248"/>
      <c r="CM228" s="248"/>
      <c r="CN228" s="248"/>
      <c r="CO228" s="248"/>
      <c r="CP228" s="248"/>
      <c r="CQ228" s="248"/>
      <c r="CR228" s="248"/>
      <c r="CS228" s="248"/>
      <c r="CT228" s="248"/>
      <c r="CU228" s="248"/>
      <c r="CV228" s="248"/>
      <c r="CW228" s="248"/>
      <c r="CX228" s="248"/>
      <c r="CY228" s="248"/>
      <c r="CZ228" s="248"/>
      <c r="DA228" s="248"/>
      <c r="DB228" s="248"/>
      <c r="DC228" s="248"/>
      <c r="DD228" s="248"/>
      <c r="DE228" s="248"/>
      <c r="DF228" s="248"/>
      <c r="DG228" s="248"/>
      <c r="DH228" s="248"/>
      <c r="DI228" s="248"/>
      <c r="DJ228" s="248"/>
      <c r="DK228" s="248"/>
      <c r="DL228" s="248"/>
      <c r="DM228" s="248"/>
      <c r="DN228" s="248"/>
      <c r="DO228" s="248"/>
      <c r="DP228" s="248"/>
      <c r="DQ228" s="248"/>
      <c r="DR228" s="248"/>
      <c r="DS228" s="248"/>
      <c r="DT228" s="248"/>
      <c r="DU228" s="248"/>
      <c r="DV228" s="248"/>
      <c r="DW228" s="248"/>
      <c r="DX228" s="248"/>
      <c r="DY228" s="248"/>
      <c r="DZ228" s="248"/>
      <c r="EA228" s="248"/>
      <c r="EB228" s="248"/>
      <c r="EC228" s="248"/>
      <c r="ED228" s="248"/>
      <c r="EE228" s="248"/>
    </row>
    <row r="229" spans="1:135" s="35" customFormat="1" ht="16.5">
      <c r="A229" s="35" t="str">
        <f t="shared" si="8"/>
        <v>KS_CPM_E            SP_CANL_MIB</v>
      </c>
      <c r="B229" s="331"/>
      <c r="C229" s="35">
        <v>77001</v>
      </c>
      <c r="D229" s="283" t="s">
        <v>749</v>
      </c>
      <c r="F229" s="35" t="s">
        <v>1094</v>
      </c>
      <c r="G229" s="35" t="s">
        <v>2248</v>
      </c>
      <c r="H229" s="35" t="s">
        <v>610</v>
      </c>
      <c r="N229" s="35" t="s">
        <v>619</v>
      </c>
      <c r="O229" s="34" t="s">
        <v>1086</v>
      </c>
      <c r="P229" s="34" t="s">
        <v>1097</v>
      </c>
      <c r="Q229" s="58"/>
      <c r="R229" s="39" t="s">
        <v>2551</v>
      </c>
      <c r="AH229" s="279"/>
      <c r="AJ229" s="279" t="s">
        <v>1116</v>
      </c>
      <c r="AK229" s="279"/>
      <c r="AL229" s="523">
        <v>3</v>
      </c>
      <c r="AM229" s="35">
        <v>77001</v>
      </c>
      <c r="AN229" s="35" t="s">
        <v>1928</v>
      </c>
      <c r="AO229" s="35" t="s">
        <v>502</v>
      </c>
      <c r="AP229" s="35" t="s">
        <v>647</v>
      </c>
      <c r="AQ229" s="34" t="s">
        <v>1786</v>
      </c>
      <c r="AR229" s="35">
        <v>2</v>
      </c>
      <c r="AS229" s="35" t="s">
        <v>1392</v>
      </c>
      <c r="AT229" s="35" t="s">
        <v>245</v>
      </c>
      <c r="AU229" s="35" t="s">
        <v>10</v>
      </c>
      <c r="AV229" s="35" t="s">
        <v>1715</v>
      </c>
      <c r="AW229" s="35" t="s">
        <v>1192</v>
      </c>
      <c r="AX229" s="34" t="s">
        <v>2248</v>
      </c>
      <c r="AY229" s="35">
        <v>1</v>
      </c>
      <c r="AZ229" s="35" t="s">
        <v>1930</v>
      </c>
      <c r="BA229" s="35" t="s">
        <v>10</v>
      </c>
      <c r="BB229" s="35" t="s">
        <v>10</v>
      </c>
      <c r="BC229" s="35" t="s">
        <v>2392</v>
      </c>
      <c r="BD229" s="35" t="s">
        <v>1742</v>
      </c>
      <c r="BE229" s="35" t="s">
        <v>1521</v>
      </c>
      <c r="BF229" s="35" t="s">
        <v>88</v>
      </c>
      <c r="BG229" s="35">
        <v>818</v>
      </c>
      <c r="BH229" s="35" t="s">
        <v>89</v>
      </c>
      <c r="BI229" s="35">
        <v>0.35</v>
      </c>
      <c r="BJ229" s="35" t="s">
        <v>1931</v>
      </c>
      <c r="BK229" s="35" t="s">
        <v>1681</v>
      </c>
      <c r="BL229" s="35" t="s">
        <v>2459</v>
      </c>
      <c r="BM229" s="35">
        <v>77001</v>
      </c>
    </row>
    <row r="230" spans="1:135" s="35" customFormat="1" ht="16.5">
      <c r="A230" s="35" t="str">
        <f t="shared" si="8"/>
        <v>KS_CPM_E            SP_CANH_MIB</v>
      </c>
      <c r="B230" s="331"/>
      <c r="C230" s="35">
        <v>77004</v>
      </c>
      <c r="D230" s="283" t="s">
        <v>749</v>
      </c>
      <c r="F230" s="35" t="s">
        <v>1094</v>
      </c>
      <c r="G230" s="35" t="s">
        <v>2249</v>
      </c>
      <c r="H230" s="35" t="s">
        <v>610</v>
      </c>
      <c r="N230" s="35" t="s">
        <v>619</v>
      </c>
      <c r="O230" s="34" t="s">
        <v>1086</v>
      </c>
      <c r="P230" s="34" t="s">
        <v>1097</v>
      </c>
      <c r="Q230" s="58"/>
      <c r="R230" s="39" t="s">
        <v>2551</v>
      </c>
      <c r="W230" s="39"/>
      <c r="AH230" s="279"/>
      <c r="AJ230" s="279" t="s">
        <v>1116</v>
      </c>
      <c r="AK230" s="279"/>
      <c r="AL230" s="523">
        <v>3</v>
      </c>
      <c r="AM230" s="35">
        <v>77004</v>
      </c>
      <c r="AN230" s="35" t="s">
        <v>1932</v>
      </c>
      <c r="AO230" s="35" t="s">
        <v>502</v>
      </c>
      <c r="AP230" s="35" t="s">
        <v>647</v>
      </c>
      <c r="AQ230" s="34" t="s">
        <v>1786</v>
      </c>
      <c r="AR230" s="35">
        <v>1</v>
      </c>
      <c r="AS230" s="35" t="s">
        <v>1392</v>
      </c>
      <c r="AT230" s="35" t="s">
        <v>245</v>
      </c>
      <c r="AU230" s="35" t="s">
        <v>10</v>
      </c>
      <c r="AV230" s="35" t="s">
        <v>1717</v>
      </c>
      <c r="AW230" s="35" t="s">
        <v>1191</v>
      </c>
      <c r="AX230" s="34" t="s">
        <v>2249</v>
      </c>
      <c r="AY230" s="35">
        <v>1</v>
      </c>
      <c r="AZ230" s="35" t="s">
        <v>1930</v>
      </c>
      <c r="BA230" s="35" t="s">
        <v>10</v>
      </c>
      <c r="BB230" s="35" t="s">
        <v>10</v>
      </c>
      <c r="BC230" s="35" t="s">
        <v>2392</v>
      </c>
      <c r="BD230" s="35" t="s">
        <v>1742</v>
      </c>
      <c r="BE230" s="35" t="s">
        <v>1521</v>
      </c>
      <c r="BF230" s="35" t="s">
        <v>95</v>
      </c>
      <c r="BG230" s="35">
        <v>805</v>
      </c>
      <c r="BH230" s="35" t="s">
        <v>96</v>
      </c>
      <c r="BI230" s="35">
        <v>0.35</v>
      </c>
      <c r="BJ230" s="35" t="s">
        <v>1934</v>
      </c>
      <c r="BK230" s="35" t="s">
        <v>1681</v>
      </c>
      <c r="BL230" s="35" t="s">
        <v>2459</v>
      </c>
      <c r="BM230" s="35">
        <v>77004</v>
      </c>
    </row>
    <row r="231" spans="1:135" s="35" customFormat="1" ht="16.5">
      <c r="A231" s="35" t="str">
        <f t="shared" si="8"/>
        <v>KS_CPM_C            KS_CPR_H</v>
      </c>
      <c r="B231" s="367"/>
      <c r="C231" s="248">
        <v>77005</v>
      </c>
      <c r="D231" s="283" t="s">
        <v>749</v>
      </c>
      <c r="F231" s="35" t="s">
        <v>1086</v>
      </c>
      <c r="O231" s="34" t="s">
        <v>1086</v>
      </c>
      <c r="P231" s="34" t="s">
        <v>1086</v>
      </c>
      <c r="Q231" s="58"/>
      <c r="R231" s="104"/>
      <c r="W231" s="104" t="s">
        <v>2556</v>
      </c>
      <c r="Z231" s="35" t="s">
        <v>2645</v>
      </c>
      <c r="AA231" s="35" t="s">
        <v>2645</v>
      </c>
      <c r="AB231" s="58" t="s">
        <v>1114</v>
      </c>
      <c r="AH231" s="279"/>
      <c r="AJ231" s="279" t="s">
        <v>1117</v>
      </c>
      <c r="AK231" s="279"/>
      <c r="AL231" s="523">
        <v>3</v>
      </c>
      <c r="AM231" s="35">
        <v>77005</v>
      </c>
      <c r="AN231" s="35" t="s">
        <v>1523</v>
      </c>
      <c r="AO231" s="35" t="s">
        <v>502</v>
      </c>
      <c r="AP231" s="35" t="s">
        <v>751</v>
      </c>
      <c r="AQ231" s="34" t="s">
        <v>1935</v>
      </c>
      <c r="AR231" s="35">
        <v>1</v>
      </c>
      <c r="AS231" s="35" t="s">
        <v>1936</v>
      </c>
      <c r="AT231" s="35" t="s">
        <v>1074</v>
      </c>
      <c r="AU231" s="35" t="s">
        <v>10</v>
      </c>
      <c r="AV231" s="35" t="s">
        <v>994</v>
      </c>
      <c r="AW231" s="35" t="s">
        <v>752</v>
      </c>
      <c r="AX231" s="34" t="s">
        <v>1937</v>
      </c>
      <c r="AY231" s="35">
        <v>1</v>
      </c>
      <c r="AZ231" s="35" t="s">
        <v>938</v>
      </c>
      <c r="BA231" s="35" t="s">
        <v>1074</v>
      </c>
      <c r="BB231" s="35" t="s">
        <v>10</v>
      </c>
      <c r="BC231" s="35" t="s">
        <v>142</v>
      </c>
      <c r="BD231" s="35" t="s">
        <v>1846</v>
      </c>
      <c r="BE231" s="35" t="s">
        <v>753</v>
      </c>
      <c r="BF231" s="35" t="s">
        <v>143</v>
      </c>
      <c r="BG231" s="35">
        <v>1722</v>
      </c>
      <c r="BH231" s="35" t="s">
        <v>1415</v>
      </c>
      <c r="BI231" s="35">
        <v>0.35</v>
      </c>
      <c r="BJ231" s="35" t="s">
        <v>1524</v>
      </c>
      <c r="BK231" s="35" t="s">
        <v>1681</v>
      </c>
      <c r="BL231" s="35" t="s">
        <v>10</v>
      </c>
      <c r="BM231" s="35">
        <v>77005</v>
      </c>
      <c r="BW231" s="248"/>
      <c r="BX231" s="248"/>
      <c r="BY231" s="248"/>
      <c r="BZ231" s="248"/>
      <c r="CA231" s="248"/>
      <c r="CB231" s="248"/>
      <c r="CC231" s="248"/>
      <c r="CD231" s="248"/>
      <c r="CE231" s="248"/>
      <c r="CF231" s="248"/>
      <c r="CG231" s="248"/>
      <c r="CH231" s="248"/>
      <c r="CI231" s="248"/>
      <c r="CJ231" s="248"/>
      <c r="CK231" s="248"/>
      <c r="CL231" s="248"/>
      <c r="CM231" s="248"/>
      <c r="CN231" s="248"/>
      <c r="CO231" s="248"/>
      <c r="CP231" s="248"/>
      <c r="CQ231" s="248"/>
      <c r="CR231" s="248"/>
      <c r="CS231" s="248"/>
      <c r="CT231" s="248"/>
      <c r="CU231" s="248"/>
      <c r="CV231" s="248"/>
      <c r="CW231" s="248"/>
      <c r="CX231" s="248"/>
      <c r="CY231" s="248"/>
      <c r="CZ231" s="248"/>
      <c r="DA231" s="248"/>
      <c r="DB231" s="248"/>
      <c r="DC231" s="248"/>
      <c r="DD231" s="248"/>
      <c r="DE231" s="248"/>
      <c r="DF231" s="248"/>
      <c r="DG231" s="248"/>
      <c r="DH231" s="248"/>
      <c r="DI231" s="248"/>
      <c r="DJ231" s="248"/>
      <c r="DK231" s="248"/>
      <c r="DL231" s="248"/>
      <c r="DM231" s="248"/>
      <c r="DN231" s="248"/>
      <c r="DO231" s="248"/>
      <c r="DP231" s="248"/>
      <c r="DQ231" s="248"/>
      <c r="DR231" s="248"/>
      <c r="DS231" s="248"/>
      <c r="DT231" s="248"/>
      <c r="DU231" s="248"/>
      <c r="DV231" s="248"/>
      <c r="DW231" s="248"/>
      <c r="DX231" s="248"/>
      <c r="DY231" s="248"/>
      <c r="DZ231" s="248"/>
      <c r="EA231" s="248"/>
      <c r="EB231" s="248"/>
      <c r="EC231" s="248"/>
      <c r="ED231" s="248"/>
      <c r="EE231" s="248"/>
    </row>
    <row r="232" spans="1:135" s="35" customFormat="1" ht="16.5">
      <c r="A232" s="35" t="str">
        <f t="shared" si="8"/>
        <v>KS_CPM_C            KS_CPR_H</v>
      </c>
      <c r="B232" s="367"/>
      <c r="C232" s="248">
        <v>77006</v>
      </c>
      <c r="D232" s="283" t="s">
        <v>749</v>
      </c>
      <c r="F232" s="35" t="s">
        <v>1086</v>
      </c>
      <c r="O232" s="34" t="s">
        <v>1086</v>
      </c>
      <c r="P232" s="34" t="s">
        <v>1086</v>
      </c>
      <c r="Q232" s="58"/>
      <c r="R232" s="104"/>
      <c r="W232" s="104" t="s">
        <v>2556</v>
      </c>
      <c r="AB232" s="58" t="s">
        <v>1114</v>
      </c>
      <c r="AH232" s="279"/>
      <c r="AJ232" s="279" t="s">
        <v>1117</v>
      </c>
      <c r="AK232" s="279"/>
      <c r="AL232" s="523">
        <v>3</v>
      </c>
      <c r="AM232" s="35">
        <v>77006</v>
      </c>
      <c r="AN232" s="35" t="s">
        <v>1525</v>
      </c>
      <c r="AO232" s="35" t="s">
        <v>502</v>
      </c>
      <c r="AP232" s="35" t="s">
        <v>751</v>
      </c>
      <c r="AQ232" s="34" t="s">
        <v>1935</v>
      </c>
      <c r="AR232" s="35">
        <v>2</v>
      </c>
      <c r="AS232" s="35" t="s">
        <v>1936</v>
      </c>
      <c r="AT232" s="35" t="s">
        <v>157</v>
      </c>
      <c r="AU232" s="35" t="s">
        <v>10</v>
      </c>
      <c r="AV232" s="35" t="s">
        <v>994</v>
      </c>
      <c r="AW232" s="35" t="s">
        <v>752</v>
      </c>
      <c r="AX232" s="34" t="s">
        <v>1937</v>
      </c>
      <c r="AY232" s="35">
        <v>2</v>
      </c>
      <c r="AZ232" s="35" t="s">
        <v>938</v>
      </c>
      <c r="BA232" s="35" t="s">
        <v>157</v>
      </c>
      <c r="BB232" s="35" t="s">
        <v>10</v>
      </c>
      <c r="BC232" s="35" t="s">
        <v>142</v>
      </c>
      <c r="BD232" s="35" t="s">
        <v>157</v>
      </c>
      <c r="BE232" s="35" t="s">
        <v>753</v>
      </c>
      <c r="BF232" s="35" t="s">
        <v>145</v>
      </c>
      <c r="BG232" s="35">
        <v>1722</v>
      </c>
      <c r="BH232" s="35" t="s">
        <v>139</v>
      </c>
      <c r="BI232" s="35">
        <v>0.5</v>
      </c>
      <c r="BJ232" s="35" t="s">
        <v>1526</v>
      </c>
      <c r="BK232" s="35" t="s">
        <v>1681</v>
      </c>
      <c r="BL232" s="35" t="s">
        <v>10</v>
      </c>
      <c r="BM232" s="35">
        <v>77006</v>
      </c>
      <c r="BW232" s="248"/>
      <c r="BX232" s="248"/>
      <c r="BY232" s="248"/>
      <c r="BZ232" s="248"/>
      <c r="CA232" s="248"/>
      <c r="CB232" s="248"/>
      <c r="CC232" s="248"/>
      <c r="CD232" s="248"/>
      <c r="CE232" s="248"/>
      <c r="CF232" s="248"/>
      <c r="CG232" s="248"/>
      <c r="CH232" s="248"/>
      <c r="CI232" s="248"/>
      <c r="CJ232" s="248"/>
      <c r="CK232" s="248"/>
      <c r="CL232" s="248"/>
      <c r="CM232" s="248"/>
      <c r="CN232" s="248"/>
      <c r="CO232" s="248"/>
      <c r="CP232" s="248"/>
      <c r="CQ232" s="248"/>
      <c r="CR232" s="248"/>
      <c r="CS232" s="248"/>
      <c r="CT232" s="248"/>
      <c r="CU232" s="248"/>
      <c r="CV232" s="248"/>
      <c r="CW232" s="248"/>
      <c r="CX232" s="248"/>
      <c r="CY232" s="248"/>
      <c r="CZ232" s="248"/>
      <c r="DA232" s="248"/>
      <c r="DB232" s="248"/>
      <c r="DC232" s="248"/>
      <c r="DD232" s="248"/>
      <c r="DE232" s="248"/>
      <c r="DF232" s="248"/>
      <c r="DG232" s="248"/>
      <c r="DH232" s="248"/>
      <c r="DI232" s="248"/>
      <c r="DJ232" s="248"/>
      <c r="DK232" s="248"/>
      <c r="DL232" s="248"/>
      <c r="DM232" s="248"/>
      <c r="DN232" s="248"/>
      <c r="DO232" s="248"/>
      <c r="DP232" s="248"/>
      <c r="DQ232" s="248"/>
      <c r="DR232" s="248"/>
      <c r="DS232" s="248"/>
      <c r="DT232" s="248"/>
      <c r="DU232" s="248"/>
      <c r="DV232" s="248"/>
      <c r="DW232" s="248"/>
      <c r="DX232" s="248"/>
      <c r="DY232" s="248"/>
      <c r="DZ232" s="248"/>
      <c r="EA232" s="248"/>
      <c r="EB232" s="248"/>
      <c r="EC232" s="248"/>
      <c r="ED232" s="248"/>
      <c r="EE232" s="248"/>
    </row>
    <row r="233" spans="1:135" s="35" customFormat="1" ht="16.5">
      <c r="A233" s="35" t="str">
        <f t="shared" si="8"/>
        <v>SP_30A              KS_CPM_E</v>
      </c>
      <c r="B233" s="331"/>
      <c r="C233" s="248">
        <v>77007</v>
      </c>
      <c r="D233" s="283" t="s">
        <v>749</v>
      </c>
      <c r="F233" s="35" t="s">
        <v>1086</v>
      </c>
      <c r="G233" s="35" t="s">
        <v>2250</v>
      </c>
      <c r="H233" s="35" t="s">
        <v>610</v>
      </c>
      <c r="N233" s="35" t="s">
        <v>537</v>
      </c>
      <c r="O233" s="34" t="s">
        <v>1097</v>
      </c>
      <c r="P233" s="34" t="s">
        <v>1086</v>
      </c>
      <c r="Q233" s="58"/>
      <c r="R233" s="39"/>
      <c r="W233" s="39"/>
      <c r="AH233" s="279"/>
      <c r="AJ233" s="279" t="s">
        <v>1117</v>
      </c>
      <c r="AK233" s="279"/>
      <c r="AL233" s="523">
        <v>3</v>
      </c>
      <c r="AM233" s="35">
        <v>77007</v>
      </c>
      <c r="AN233" s="35" t="s">
        <v>1939</v>
      </c>
      <c r="AO233" s="35" t="s">
        <v>1733</v>
      </c>
      <c r="AP233" s="35" t="s">
        <v>249</v>
      </c>
      <c r="AQ233" s="34" t="s">
        <v>2250</v>
      </c>
      <c r="AR233" s="35">
        <v>1</v>
      </c>
      <c r="AS233" s="35" t="s">
        <v>477</v>
      </c>
      <c r="AT233" s="35" t="s">
        <v>10</v>
      </c>
      <c r="AU233" s="35" t="s">
        <v>10</v>
      </c>
      <c r="AV233" s="35" t="s">
        <v>502</v>
      </c>
      <c r="AW233" s="35" t="s">
        <v>647</v>
      </c>
      <c r="AX233" s="34" t="s">
        <v>1786</v>
      </c>
      <c r="AY233" s="35">
        <v>3</v>
      </c>
      <c r="AZ233" s="35" t="s">
        <v>1392</v>
      </c>
      <c r="BA233" s="35" t="s">
        <v>245</v>
      </c>
      <c r="BB233" s="35" t="s">
        <v>10</v>
      </c>
      <c r="BC233" s="35" t="s">
        <v>527</v>
      </c>
      <c r="BD233" s="35" t="s">
        <v>1742</v>
      </c>
      <c r="BE233" s="35" t="s">
        <v>10</v>
      </c>
      <c r="BF233" s="35" t="s">
        <v>10</v>
      </c>
      <c r="BG233" s="35">
        <v>1775</v>
      </c>
      <c r="BH233" s="35" t="s">
        <v>165</v>
      </c>
      <c r="BI233" s="35">
        <v>0.35</v>
      </c>
      <c r="BJ233" s="35" t="s">
        <v>1527</v>
      </c>
      <c r="BK233" s="35" t="s">
        <v>1681</v>
      </c>
      <c r="BL233" s="35" t="s">
        <v>2459</v>
      </c>
      <c r="BM233" s="35">
        <v>77007</v>
      </c>
      <c r="BW233" s="248"/>
      <c r="BX233" s="248"/>
      <c r="BY233" s="248"/>
      <c r="BZ233" s="248"/>
      <c r="CA233" s="248"/>
      <c r="CB233" s="248"/>
      <c r="CC233" s="248"/>
      <c r="CD233" s="248"/>
      <c r="CE233" s="248"/>
      <c r="CF233" s="248"/>
      <c r="CG233" s="248"/>
      <c r="CH233" s="248"/>
      <c r="CI233" s="248"/>
      <c r="CJ233" s="248"/>
      <c r="CK233" s="248"/>
      <c r="CL233" s="248"/>
      <c r="CM233" s="248"/>
      <c r="CN233" s="248"/>
      <c r="CO233" s="248"/>
      <c r="CP233" s="248"/>
      <c r="CQ233" s="248"/>
      <c r="CR233" s="248"/>
      <c r="CS233" s="248"/>
      <c r="CT233" s="248"/>
      <c r="CU233" s="248"/>
      <c r="CV233" s="248"/>
      <c r="CW233" s="248"/>
      <c r="CX233" s="248"/>
      <c r="CY233" s="248"/>
      <c r="CZ233" s="248"/>
      <c r="DA233" s="248"/>
      <c r="DB233" s="248"/>
      <c r="DC233" s="248"/>
      <c r="DD233" s="248"/>
      <c r="DE233" s="248"/>
      <c r="DF233" s="248"/>
      <c r="DG233" s="248"/>
      <c r="DH233" s="248"/>
      <c r="DI233" s="248"/>
      <c r="DJ233" s="248"/>
      <c r="DK233" s="248"/>
      <c r="DL233" s="248"/>
      <c r="DM233" s="248"/>
      <c r="DN233" s="248"/>
      <c r="DO233" s="248"/>
      <c r="DP233" s="248"/>
      <c r="DQ233" s="248"/>
      <c r="DR233" s="248"/>
      <c r="DS233" s="248"/>
      <c r="DT233" s="248"/>
      <c r="DU233" s="248"/>
      <c r="DV233" s="248"/>
      <c r="DW233" s="248"/>
      <c r="DX233" s="248"/>
      <c r="DY233" s="248"/>
      <c r="DZ233" s="248"/>
      <c r="EA233" s="248"/>
      <c r="EB233" s="248"/>
      <c r="EC233" s="248"/>
      <c r="ED233" s="248"/>
      <c r="EE233" s="248"/>
    </row>
    <row r="234" spans="1:135" s="35" customFormat="1" ht="16.5">
      <c r="A234" s="35" t="str">
        <f t="shared" si="8"/>
        <v>SIDO_P              SP_30A</v>
      </c>
      <c r="B234" s="331"/>
      <c r="C234" s="248">
        <v>77008</v>
      </c>
      <c r="D234" s="283" t="s">
        <v>749</v>
      </c>
      <c r="F234" s="35" t="s">
        <v>1086</v>
      </c>
      <c r="G234" s="35" t="s">
        <v>2250</v>
      </c>
      <c r="H234" s="35" t="s">
        <v>610</v>
      </c>
      <c r="N234" s="35" t="s">
        <v>537</v>
      </c>
      <c r="O234" s="34" t="s">
        <v>1086</v>
      </c>
      <c r="P234" s="34" t="s">
        <v>1097</v>
      </c>
      <c r="Q234" s="58"/>
      <c r="R234" s="39"/>
      <c r="W234" s="39"/>
      <c r="AH234" s="279"/>
      <c r="AJ234" s="279" t="s">
        <v>1117</v>
      </c>
      <c r="AK234" s="279"/>
      <c r="AL234" s="523">
        <v>3</v>
      </c>
      <c r="AM234" s="35">
        <v>77008</v>
      </c>
      <c r="AN234" s="35" t="s">
        <v>1528</v>
      </c>
      <c r="AO234" s="35" t="s">
        <v>901</v>
      </c>
      <c r="AP234" s="35" t="s">
        <v>633</v>
      </c>
      <c r="AQ234" s="34" t="s">
        <v>2257</v>
      </c>
      <c r="AR234" s="35" t="s">
        <v>240</v>
      </c>
      <c r="AS234" s="35" t="s">
        <v>1414</v>
      </c>
      <c r="AT234" s="35" t="s">
        <v>244</v>
      </c>
      <c r="AU234" s="35" t="s">
        <v>10</v>
      </c>
      <c r="AV234" s="35" t="s">
        <v>1733</v>
      </c>
      <c r="AW234" s="35" t="s">
        <v>249</v>
      </c>
      <c r="AX234" s="34" t="s">
        <v>2250</v>
      </c>
      <c r="AY234" s="35">
        <v>1</v>
      </c>
      <c r="AZ234" s="35" t="s">
        <v>477</v>
      </c>
      <c r="BA234" s="35" t="s">
        <v>10</v>
      </c>
      <c r="BB234" s="35" t="s">
        <v>10</v>
      </c>
      <c r="BC234" s="35" t="s">
        <v>527</v>
      </c>
      <c r="BD234" s="35" t="s">
        <v>1742</v>
      </c>
      <c r="BE234" s="35" t="s">
        <v>10</v>
      </c>
      <c r="BF234" s="35" t="s">
        <v>10</v>
      </c>
      <c r="BG234" s="35">
        <v>352</v>
      </c>
      <c r="BH234" s="35" t="s">
        <v>165</v>
      </c>
      <c r="BI234" s="35">
        <v>0.35</v>
      </c>
      <c r="BJ234" s="35" t="s">
        <v>1527</v>
      </c>
      <c r="BK234" s="35" t="s">
        <v>1681</v>
      </c>
      <c r="BL234" s="35" t="s">
        <v>2459</v>
      </c>
      <c r="BM234" s="35">
        <v>77008</v>
      </c>
      <c r="BW234" s="248"/>
      <c r="BX234" s="248"/>
      <c r="BY234" s="248"/>
      <c r="BZ234" s="248"/>
      <c r="CA234" s="248"/>
      <c r="CB234" s="248"/>
      <c r="CC234" s="248"/>
      <c r="CD234" s="248"/>
      <c r="CE234" s="248"/>
      <c r="CF234" s="248"/>
      <c r="CG234" s="248"/>
      <c r="CH234" s="248"/>
      <c r="CI234" s="248"/>
      <c r="CJ234" s="248"/>
      <c r="CK234" s="248"/>
      <c r="CL234" s="248"/>
      <c r="CM234" s="248"/>
      <c r="CN234" s="248"/>
      <c r="CO234" s="248"/>
      <c r="CP234" s="248"/>
      <c r="CQ234" s="248"/>
      <c r="CR234" s="248"/>
      <c r="CS234" s="248"/>
      <c r="CT234" s="248"/>
      <c r="CU234" s="248"/>
      <c r="CV234" s="248"/>
      <c r="CW234" s="248"/>
      <c r="CX234" s="248"/>
      <c r="CY234" s="248"/>
      <c r="CZ234" s="248"/>
      <c r="DA234" s="248"/>
      <c r="DB234" s="248"/>
      <c r="DC234" s="248"/>
      <c r="DD234" s="248"/>
      <c r="DE234" s="248"/>
      <c r="DF234" s="248"/>
      <c r="DG234" s="248"/>
      <c r="DH234" s="248"/>
      <c r="DI234" s="248"/>
      <c r="DJ234" s="248"/>
      <c r="DK234" s="248"/>
      <c r="DL234" s="248"/>
      <c r="DM234" s="248"/>
      <c r="DN234" s="248"/>
      <c r="DO234" s="248"/>
      <c r="DP234" s="248"/>
      <c r="DQ234" s="248"/>
      <c r="DR234" s="248"/>
      <c r="DS234" s="248"/>
      <c r="DT234" s="248"/>
      <c r="DU234" s="248"/>
      <c r="DV234" s="248"/>
      <c r="DW234" s="248"/>
      <c r="DX234" s="248"/>
      <c r="DY234" s="248"/>
      <c r="DZ234" s="248"/>
      <c r="EA234" s="248"/>
      <c r="EB234" s="248"/>
      <c r="EC234" s="248"/>
      <c r="ED234" s="248"/>
      <c r="EE234" s="248"/>
    </row>
    <row r="235" spans="1:135" s="35" customFormat="1" ht="16.5">
      <c r="A235" s="35" t="str">
        <f t="shared" si="8"/>
        <v>SP_30A              KS_CPR_C</v>
      </c>
      <c r="B235" s="331"/>
      <c r="C235" s="248">
        <v>77009</v>
      </c>
      <c r="D235" s="283" t="s">
        <v>749</v>
      </c>
      <c r="F235" s="35" t="s">
        <v>1086</v>
      </c>
      <c r="G235" s="35" t="s">
        <v>2250</v>
      </c>
      <c r="H235" s="35" t="s">
        <v>610</v>
      </c>
      <c r="N235" s="35" t="s">
        <v>537</v>
      </c>
      <c r="O235" s="34" t="s">
        <v>1097</v>
      </c>
      <c r="P235" s="34" t="s">
        <v>1086</v>
      </c>
      <c r="Q235" s="58"/>
      <c r="R235" s="39"/>
      <c r="AH235" s="279"/>
      <c r="AJ235" s="279" t="s">
        <v>1117</v>
      </c>
      <c r="AK235" s="279"/>
      <c r="AL235" s="523">
        <v>3</v>
      </c>
      <c r="AM235" s="35">
        <v>77009</v>
      </c>
      <c r="AN235" s="35" t="s">
        <v>1941</v>
      </c>
      <c r="AO235" s="35" t="s">
        <v>1733</v>
      </c>
      <c r="AP235" s="35" t="s">
        <v>249</v>
      </c>
      <c r="AQ235" s="34" t="s">
        <v>2250</v>
      </c>
      <c r="AR235" s="35">
        <v>1</v>
      </c>
      <c r="AS235" s="35" t="s">
        <v>477</v>
      </c>
      <c r="AT235" s="35" t="s">
        <v>10</v>
      </c>
      <c r="AU235" s="35" t="s">
        <v>10</v>
      </c>
      <c r="AV235" s="35" t="s">
        <v>424</v>
      </c>
      <c r="AW235" s="35" t="s">
        <v>648</v>
      </c>
      <c r="AX235" s="34" t="s">
        <v>1796</v>
      </c>
      <c r="AY235" s="35">
        <v>11</v>
      </c>
      <c r="AZ235" s="35" t="s">
        <v>1808</v>
      </c>
      <c r="BA235" s="35" t="s">
        <v>72</v>
      </c>
      <c r="BB235" s="35" t="s">
        <v>10</v>
      </c>
      <c r="BC235" s="35" t="s">
        <v>527</v>
      </c>
      <c r="BD235" s="35" t="s">
        <v>1742</v>
      </c>
      <c r="BE235" s="35" t="s">
        <v>10</v>
      </c>
      <c r="BF235" s="35" t="s">
        <v>10</v>
      </c>
      <c r="BG235" s="35">
        <v>307</v>
      </c>
      <c r="BH235" s="35" t="s">
        <v>165</v>
      </c>
      <c r="BI235" s="35">
        <v>0.35</v>
      </c>
      <c r="BJ235" s="35" t="s">
        <v>1527</v>
      </c>
      <c r="BK235" s="35" t="s">
        <v>1681</v>
      </c>
      <c r="BL235" s="35" t="s">
        <v>2459</v>
      </c>
      <c r="BM235" s="35">
        <v>77009</v>
      </c>
      <c r="BW235" s="248"/>
      <c r="BX235" s="248"/>
      <c r="BY235" s="248"/>
      <c r="BZ235" s="248"/>
      <c r="CA235" s="248"/>
      <c r="CB235" s="248"/>
      <c r="CC235" s="248"/>
      <c r="CD235" s="248"/>
      <c r="CE235" s="248"/>
      <c r="CF235" s="248"/>
      <c r="CG235" s="248"/>
      <c r="CH235" s="248"/>
      <c r="CI235" s="248"/>
      <c r="CJ235" s="248"/>
      <c r="CK235" s="248"/>
      <c r="CL235" s="248"/>
      <c r="CM235" s="248"/>
      <c r="CN235" s="248"/>
      <c r="CO235" s="248"/>
      <c r="CP235" s="248"/>
      <c r="CQ235" s="248"/>
      <c r="CR235" s="248"/>
      <c r="CS235" s="248"/>
      <c r="CT235" s="248"/>
      <c r="CU235" s="248"/>
      <c r="CV235" s="248"/>
      <c r="CW235" s="248"/>
      <c r="CX235" s="248"/>
      <c r="CY235" s="248"/>
      <c r="CZ235" s="248"/>
      <c r="DA235" s="248"/>
      <c r="DB235" s="248"/>
      <c r="DC235" s="248"/>
      <c r="DD235" s="248"/>
      <c r="DE235" s="248"/>
      <c r="DF235" s="248"/>
      <c r="DG235" s="248"/>
      <c r="DH235" s="248"/>
      <c r="DI235" s="248"/>
      <c r="DJ235" s="248"/>
      <c r="DK235" s="248"/>
      <c r="DL235" s="248"/>
      <c r="DM235" s="248"/>
      <c r="DN235" s="248"/>
      <c r="DO235" s="248"/>
      <c r="DP235" s="248"/>
      <c r="DQ235" s="248"/>
      <c r="DR235" s="248"/>
      <c r="DS235" s="248"/>
      <c r="DT235" s="248"/>
      <c r="DU235" s="248"/>
      <c r="DV235" s="248"/>
      <c r="DW235" s="248"/>
      <c r="DX235" s="248"/>
      <c r="DY235" s="248"/>
      <c r="DZ235" s="248"/>
      <c r="EA235" s="248"/>
      <c r="EB235" s="248"/>
      <c r="EC235" s="248"/>
      <c r="ED235" s="248"/>
      <c r="EE235" s="248"/>
    </row>
    <row r="236" spans="1:135" s="35" customFormat="1" ht="16.5">
      <c r="A236" s="35" t="str">
        <f t="shared" si="8"/>
        <v>MIB_E               KS_CPR_C</v>
      </c>
      <c r="B236" s="331"/>
      <c r="C236" s="248">
        <v>77010</v>
      </c>
      <c r="D236" s="283" t="s">
        <v>749</v>
      </c>
      <c r="F236" s="35" t="s">
        <v>1086</v>
      </c>
      <c r="O236" s="34" t="s">
        <v>1086</v>
      </c>
      <c r="P236" s="34" t="s">
        <v>1086</v>
      </c>
      <c r="Q236" s="58"/>
      <c r="R236" s="39"/>
      <c r="AH236" s="279"/>
      <c r="AJ236" s="279" t="s">
        <v>1117</v>
      </c>
      <c r="AK236" s="279"/>
      <c r="AL236" s="523">
        <v>3</v>
      </c>
      <c r="AM236" s="35">
        <v>77010</v>
      </c>
      <c r="AN236" s="35">
        <v>77010</v>
      </c>
      <c r="AO236" s="35" t="s">
        <v>920</v>
      </c>
      <c r="AP236" s="35" t="s">
        <v>664</v>
      </c>
      <c r="AQ236" s="34" t="s">
        <v>2264</v>
      </c>
      <c r="AR236" s="35">
        <v>5</v>
      </c>
      <c r="AS236" s="35" t="s">
        <v>1257</v>
      </c>
      <c r="AT236" s="35" t="s">
        <v>218</v>
      </c>
      <c r="AU236" s="35" t="s">
        <v>10</v>
      </c>
      <c r="AV236" s="35" t="s">
        <v>424</v>
      </c>
      <c r="AW236" s="35" t="s">
        <v>648</v>
      </c>
      <c r="AX236" s="34" t="s">
        <v>1796</v>
      </c>
      <c r="AY236" s="35">
        <v>6</v>
      </c>
      <c r="AZ236" s="35" t="s">
        <v>1808</v>
      </c>
      <c r="BA236" s="35" t="s">
        <v>492</v>
      </c>
      <c r="BB236" s="35" t="s">
        <v>10</v>
      </c>
      <c r="BC236" s="35" t="s">
        <v>498</v>
      </c>
      <c r="BD236" s="35" t="s">
        <v>1742</v>
      </c>
      <c r="BE236" s="35" t="s">
        <v>10</v>
      </c>
      <c r="BF236" s="35" t="s">
        <v>10</v>
      </c>
      <c r="BG236" s="35">
        <v>1678</v>
      </c>
      <c r="BH236" s="35" t="s">
        <v>221</v>
      </c>
      <c r="BI236" s="35">
        <v>0.13</v>
      </c>
      <c r="BJ236" s="35" t="s">
        <v>1522</v>
      </c>
      <c r="BK236" s="35" t="s">
        <v>1681</v>
      </c>
      <c r="BL236" s="35" t="s">
        <v>2459</v>
      </c>
      <c r="BM236" s="35">
        <v>77010</v>
      </c>
      <c r="BW236" s="248"/>
      <c r="BX236" s="248"/>
      <c r="BY236" s="248"/>
      <c r="BZ236" s="248"/>
      <c r="CA236" s="248"/>
      <c r="CB236" s="248"/>
      <c r="CC236" s="248"/>
      <c r="CD236" s="248"/>
      <c r="CE236" s="248"/>
      <c r="CF236" s="248"/>
      <c r="CG236" s="248"/>
      <c r="CH236" s="248"/>
      <c r="CI236" s="248"/>
      <c r="CJ236" s="248"/>
      <c r="CK236" s="248"/>
      <c r="CL236" s="248"/>
      <c r="CM236" s="248"/>
      <c r="CN236" s="248"/>
      <c r="CO236" s="248"/>
      <c r="CP236" s="248"/>
      <c r="CQ236" s="248"/>
      <c r="CR236" s="248"/>
      <c r="CS236" s="248"/>
      <c r="CT236" s="248"/>
      <c r="CU236" s="248"/>
      <c r="CV236" s="248"/>
      <c r="CW236" s="248"/>
      <c r="CX236" s="248"/>
      <c r="CY236" s="248"/>
      <c r="CZ236" s="248"/>
      <c r="DA236" s="248"/>
      <c r="DB236" s="248"/>
      <c r="DC236" s="248"/>
      <c r="DD236" s="248"/>
      <c r="DE236" s="248"/>
      <c r="DF236" s="248"/>
      <c r="DG236" s="248"/>
      <c r="DH236" s="248"/>
      <c r="DI236" s="248"/>
      <c r="DJ236" s="248"/>
      <c r="DK236" s="248"/>
      <c r="DL236" s="248"/>
      <c r="DM236" s="248"/>
      <c r="DN236" s="248"/>
      <c r="DO236" s="248"/>
      <c r="DP236" s="248"/>
      <c r="DQ236" s="248"/>
      <c r="DR236" s="248"/>
      <c r="DS236" s="248"/>
      <c r="DT236" s="248"/>
      <c r="DU236" s="248"/>
      <c r="DV236" s="248"/>
      <c r="DW236" s="248"/>
      <c r="DX236" s="248"/>
      <c r="DY236" s="248"/>
      <c r="DZ236" s="248"/>
      <c r="EA236" s="248"/>
      <c r="EB236" s="248"/>
      <c r="EC236" s="248"/>
      <c r="ED236" s="248"/>
      <c r="EE236" s="248"/>
    </row>
    <row r="237" spans="1:135" s="35" customFormat="1" ht="16.5">
      <c r="A237" s="35" t="str">
        <f t="shared" si="8"/>
        <v>KS_CPM_C            KS_CPR_H_GB0</v>
      </c>
      <c r="B237" s="367"/>
      <c r="C237" s="248">
        <v>77011</v>
      </c>
      <c r="D237" s="283" t="s">
        <v>749</v>
      </c>
      <c r="F237" s="35" t="s">
        <v>1086</v>
      </c>
      <c r="O237" s="34" t="s">
        <v>1086</v>
      </c>
      <c r="P237" s="34" t="s">
        <v>1086</v>
      </c>
      <c r="Q237" s="58"/>
      <c r="R237" s="104"/>
      <c r="W237" s="104" t="s">
        <v>2556</v>
      </c>
      <c r="Z237" s="35" t="s">
        <v>2645</v>
      </c>
      <c r="AA237" s="35" t="s">
        <v>2645</v>
      </c>
      <c r="AB237" s="58" t="s">
        <v>1114</v>
      </c>
      <c r="AH237" s="279"/>
      <c r="AJ237" s="279" t="s">
        <v>1117</v>
      </c>
      <c r="AK237" s="279"/>
      <c r="AL237" s="523">
        <v>3</v>
      </c>
      <c r="AM237" s="35">
        <v>77011</v>
      </c>
      <c r="AN237" s="35" t="s">
        <v>2461</v>
      </c>
      <c r="AO237" s="35" t="s">
        <v>502</v>
      </c>
      <c r="AP237" s="35" t="s">
        <v>751</v>
      </c>
      <c r="AQ237" s="34" t="s">
        <v>1935</v>
      </c>
      <c r="AR237" s="35">
        <v>1</v>
      </c>
      <c r="AS237" s="35" t="s">
        <v>1936</v>
      </c>
      <c r="AT237" s="35" t="s">
        <v>1074</v>
      </c>
      <c r="AU237" s="35" t="s">
        <v>10</v>
      </c>
      <c r="AV237" s="35" t="s">
        <v>2463</v>
      </c>
      <c r="AW237" s="35" t="s">
        <v>2464</v>
      </c>
      <c r="AX237" s="34" t="s">
        <v>2465</v>
      </c>
      <c r="AY237" s="35">
        <v>1</v>
      </c>
      <c r="AZ237" s="35" t="s">
        <v>1938</v>
      </c>
      <c r="BA237" s="35" t="s">
        <v>1074</v>
      </c>
      <c r="BB237" s="35" t="s">
        <v>10</v>
      </c>
      <c r="BC237" s="35" t="s">
        <v>142</v>
      </c>
      <c r="BD237" s="35" t="s">
        <v>1846</v>
      </c>
      <c r="BE237" s="35" t="s">
        <v>2466</v>
      </c>
      <c r="BF237" s="35" t="s">
        <v>143</v>
      </c>
      <c r="BG237" s="35">
        <v>1722</v>
      </c>
      <c r="BH237" s="35" t="s">
        <v>1415</v>
      </c>
      <c r="BI237" s="35">
        <v>0.35</v>
      </c>
      <c r="BJ237" s="35" t="s">
        <v>2467</v>
      </c>
      <c r="BK237" s="35" t="s">
        <v>10</v>
      </c>
      <c r="BL237" s="35" t="s">
        <v>2459</v>
      </c>
      <c r="BM237" s="35">
        <v>77011</v>
      </c>
      <c r="BW237" s="248"/>
      <c r="BX237" s="248"/>
      <c r="BY237" s="248"/>
      <c r="BZ237" s="248"/>
      <c r="CA237" s="248"/>
      <c r="CB237" s="248"/>
      <c r="CC237" s="248"/>
      <c r="CD237" s="248"/>
      <c r="CE237" s="248"/>
      <c r="CF237" s="248"/>
      <c r="CG237" s="248"/>
      <c r="CH237" s="248"/>
      <c r="CI237" s="248"/>
      <c r="CJ237" s="248"/>
      <c r="CK237" s="248"/>
      <c r="CL237" s="248"/>
      <c r="CM237" s="248"/>
      <c r="CN237" s="248"/>
      <c r="CO237" s="248"/>
      <c r="CP237" s="248"/>
      <c r="CQ237" s="248"/>
      <c r="CR237" s="248"/>
      <c r="CS237" s="248"/>
      <c r="CT237" s="248"/>
      <c r="CU237" s="248"/>
      <c r="CV237" s="248"/>
      <c r="CW237" s="248"/>
      <c r="CX237" s="248"/>
      <c r="CY237" s="248"/>
      <c r="CZ237" s="248"/>
      <c r="DA237" s="248"/>
      <c r="DB237" s="248"/>
      <c r="DC237" s="248"/>
      <c r="DD237" s="248"/>
      <c r="DE237" s="248"/>
      <c r="DF237" s="248"/>
      <c r="DG237" s="248"/>
      <c r="DH237" s="248"/>
      <c r="DI237" s="248"/>
      <c r="DJ237" s="248"/>
      <c r="DK237" s="248"/>
      <c r="DL237" s="248"/>
      <c r="DM237" s="248"/>
      <c r="DN237" s="248"/>
      <c r="DO237" s="248"/>
      <c r="DP237" s="248"/>
      <c r="DQ237" s="248"/>
      <c r="DR237" s="248"/>
      <c r="DS237" s="248"/>
      <c r="DT237" s="248"/>
      <c r="DU237" s="248"/>
      <c r="DV237" s="248"/>
      <c r="DW237" s="248"/>
      <c r="DX237" s="248"/>
      <c r="DY237" s="248"/>
      <c r="DZ237" s="248"/>
      <c r="EA237" s="248"/>
      <c r="EB237" s="248"/>
      <c r="EC237" s="248"/>
      <c r="ED237" s="248"/>
      <c r="EE237" s="248"/>
    </row>
    <row r="238" spans="1:135" s="35" customFormat="1" ht="16.5">
      <c r="A238" s="35" t="str">
        <f t="shared" si="8"/>
        <v>KS_CPM_C            KS_CPR_H_GB0</v>
      </c>
      <c r="B238" s="367"/>
      <c r="C238" s="248">
        <v>77012</v>
      </c>
      <c r="D238" s="283" t="s">
        <v>749</v>
      </c>
      <c r="F238" s="35" t="s">
        <v>1086</v>
      </c>
      <c r="O238" s="34" t="s">
        <v>1086</v>
      </c>
      <c r="P238" s="34" t="s">
        <v>1086</v>
      </c>
      <c r="Q238" s="58"/>
      <c r="R238" s="104"/>
      <c r="W238" s="104" t="s">
        <v>2556</v>
      </c>
      <c r="AB238" s="58" t="s">
        <v>1114</v>
      </c>
      <c r="AH238" s="279"/>
      <c r="AJ238" s="279" t="s">
        <v>1117</v>
      </c>
      <c r="AK238" s="279"/>
      <c r="AL238" s="523">
        <v>3</v>
      </c>
      <c r="AM238" s="35">
        <v>77012</v>
      </c>
      <c r="AN238" s="35" t="s">
        <v>2462</v>
      </c>
      <c r="AO238" s="35" t="s">
        <v>502</v>
      </c>
      <c r="AP238" s="35" t="s">
        <v>751</v>
      </c>
      <c r="AQ238" s="34" t="s">
        <v>1935</v>
      </c>
      <c r="AR238" s="35">
        <v>2</v>
      </c>
      <c r="AS238" s="35" t="s">
        <v>1936</v>
      </c>
      <c r="AT238" s="35" t="s">
        <v>157</v>
      </c>
      <c r="AU238" s="35" t="s">
        <v>10</v>
      </c>
      <c r="AV238" s="35" t="s">
        <v>2463</v>
      </c>
      <c r="AW238" s="35" t="s">
        <v>2464</v>
      </c>
      <c r="AX238" s="34" t="s">
        <v>2465</v>
      </c>
      <c r="AY238" s="35">
        <v>2</v>
      </c>
      <c r="AZ238" s="35" t="s">
        <v>1938</v>
      </c>
      <c r="BA238" s="35" t="s">
        <v>157</v>
      </c>
      <c r="BB238" s="35" t="s">
        <v>10</v>
      </c>
      <c r="BC238" s="35" t="s">
        <v>142</v>
      </c>
      <c r="BD238" s="35" t="s">
        <v>157</v>
      </c>
      <c r="BE238" s="35" t="s">
        <v>2466</v>
      </c>
      <c r="BF238" s="35" t="s">
        <v>145</v>
      </c>
      <c r="BG238" s="35">
        <v>1722</v>
      </c>
      <c r="BH238" s="35" t="s">
        <v>139</v>
      </c>
      <c r="BI238" s="35">
        <v>0.5</v>
      </c>
      <c r="BJ238" s="35" t="s">
        <v>2468</v>
      </c>
      <c r="BK238" s="35" t="s">
        <v>10</v>
      </c>
      <c r="BL238" s="35" t="s">
        <v>2459</v>
      </c>
      <c r="BM238" s="35">
        <v>77012</v>
      </c>
      <c r="BW238" s="248"/>
      <c r="BX238" s="248"/>
      <c r="BY238" s="248"/>
      <c r="BZ238" s="248"/>
      <c r="CA238" s="248"/>
      <c r="CB238" s="248"/>
      <c r="CC238" s="248"/>
      <c r="CD238" s="248"/>
      <c r="CE238" s="248"/>
      <c r="CF238" s="248"/>
      <c r="CG238" s="248"/>
      <c r="CH238" s="248"/>
      <c r="CI238" s="248"/>
      <c r="CJ238" s="248"/>
      <c r="CK238" s="248"/>
      <c r="CL238" s="248"/>
      <c r="CM238" s="248"/>
      <c r="CN238" s="248"/>
      <c r="CO238" s="248"/>
      <c r="CP238" s="248"/>
      <c r="CQ238" s="248"/>
      <c r="CR238" s="248"/>
      <c r="CS238" s="248"/>
      <c r="CT238" s="248"/>
      <c r="CU238" s="248"/>
      <c r="CV238" s="248"/>
      <c r="CW238" s="248"/>
      <c r="CX238" s="248"/>
      <c r="CY238" s="248"/>
      <c r="CZ238" s="248"/>
      <c r="DA238" s="248"/>
      <c r="DB238" s="248"/>
      <c r="DC238" s="248"/>
      <c r="DD238" s="248"/>
      <c r="DE238" s="248"/>
      <c r="DF238" s="248"/>
      <c r="DG238" s="248"/>
      <c r="DH238" s="248"/>
      <c r="DI238" s="248"/>
      <c r="DJ238" s="248"/>
      <c r="DK238" s="248"/>
      <c r="DL238" s="248"/>
      <c r="DM238" s="248"/>
      <c r="DN238" s="248"/>
      <c r="DO238" s="248"/>
      <c r="DP238" s="248"/>
      <c r="DQ238" s="248"/>
      <c r="DR238" s="248"/>
      <c r="DS238" s="248"/>
      <c r="DT238" s="248"/>
      <c r="DU238" s="248"/>
      <c r="DV238" s="248"/>
      <c r="DW238" s="248"/>
      <c r="DX238" s="248"/>
      <c r="DY238" s="248"/>
      <c r="DZ238" s="248"/>
      <c r="EA238" s="248"/>
      <c r="EB238" s="248"/>
      <c r="EC238" s="248"/>
      <c r="ED238" s="248"/>
      <c r="EE238" s="248"/>
    </row>
    <row r="239" spans="1:135" s="35" customFormat="1" ht="16.5">
      <c r="A239" s="35" t="str">
        <f t="shared" si="8"/>
        <v xml:space="preserve">                    </v>
      </c>
      <c r="B239" s="331"/>
      <c r="D239" s="283" t="s">
        <v>754</v>
      </c>
      <c r="O239" s="34"/>
      <c r="P239" s="34"/>
      <c r="Q239" s="58"/>
      <c r="R239" s="39"/>
      <c r="AH239" s="279"/>
      <c r="AJ239" s="279"/>
      <c r="AK239" s="279"/>
      <c r="AL239" s="523">
        <v>1</v>
      </c>
      <c r="AM239" s="35" t="s">
        <v>755</v>
      </c>
      <c r="AQ239" s="34"/>
      <c r="AX239" s="34"/>
      <c r="BW239" s="248"/>
      <c r="BX239" s="248"/>
      <c r="BY239" s="248"/>
      <c r="BZ239" s="248"/>
      <c r="CA239" s="248"/>
      <c r="CB239" s="248"/>
      <c r="CC239" s="248"/>
      <c r="CD239" s="248"/>
      <c r="CE239" s="248"/>
      <c r="CF239" s="248"/>
      <c r="CG239" s="248"/>
      <c r="CH239" s="248"/>
      <c r="CI239" s="248"/>
      <c r="CJ239" s="248"/>
      <c r="CK239" s="248"/>
      <c r="CL239" s="248"/>
      <c r="CM239" s="248"/>
      <c r="CN239" s="248"/>
      <c r="CO239" s="248"/>
      <c r="CP239" s="248"/>
      <c r="CQ239" s="248"/>
      <c r="CR239" s="248"/>
      <c r="CS239" s="248"/>
      <c r="CT239" s="248"/>
      <c r="CU239" s="248"/>
      <c r="CV239" s="248"/>
      <c r="CW239" s="248"/>
      <c r="CX239" s="248"/>
      <c r="CY239" s="248"/>
      <c r="CZ239" s="248"/>
      <c r="DA239" s="248"/>
      <c r="DB239" s="248"/>
      <c r="DC239" s="248"/>
      <c r="DD239" s="248"/>
      <c r="DE239" s="248"/>
      <c r="DF239" s="248"/>
      <c r="DG239" s="248"/>
      <c r="DH239" s="248"/>
      <c r="DI239" s="248"/>
      <c r="DJ239" s="248"/>
      <c r="DK239" s="248"/>
      <c r="DL239" s="248"/>
      <c r="DM239" s="248"/>
      <c r="DN239" s="248"/>
      <c r="DO239" s="248"/>
      <c r="DP239" s="248"/>
      <c r="DQ239" s="248"/>
      <c r="DR239" s="248"/>
      <c r="DS239" s="248"/>
      <c r="DT239" s="248"/>
      <c r="DU239" s="248"/>
      <c r="DV239" s="248"/>
      <c r="DW239" s="248"/>
      <c r="DX239" s="248"/>
      <c r="DY239" s="248"/>
      <c r="DZ239" s="248"/>
      <c r="EA239" s="248"/>
      <c r="EB239" s="248"/>
      <c r="EC239" s="248"/>
      <c r="ED239" s="248"/>
      <c r="EE239" s="248"/>
    </row>
    <row r="240" spans="1:135" s="186" customFormat="1" ht="16.5">
      <c r="A240" s="186" t="str">
        <f t="shared" si="8"/>
        <v xml:space="preserve">                    </v>
      </c>
      <c r="B240" s="378"/>
      <c r="D240" s="492" t="s">
        <v>754</v>
      </c>
      <c r="O240" s="191"/>
      <c r="P240" s="191"/>
      <c r="Q240" s="188"/>
      <c r="R240" s="189"/>
      <c r="AH240" s="380"/>
      <c r="AJ240" s="380"/>
      <c r="AK240" s="380"/>
      <c r="AL240" s="525">
        <v>2</v>
      </c>
      <c r="AM240" s="484" t="s">
        <v>0</v>
      </c>
      <c r="AN240" s="484" t="s">
        <v>756</v>
      </c>
      <c r="AO240" s="484" t="s">
        <v>2564</v>
      </c>
      <c r="AP240" s="484" t="s">
        <v>1942</v>
      </c>
      <c r="AQ240" s="257"/>
      <c r="AR240" s="484" t="s">
        <v>1529</v>
      </c>
      <c r="AS240" s="484" t="s">
        <v>11</v>
      </c>
      <c r="AT240" s="484"/>
      <c r="AX240" s="191"/>
    </row>
    <row r="241" spans="1:135" s="35" customFormat="1" ht="16.5">
      <c r="A241" s="35" t="str">
        <f t="shared" si="8"/>
        <v>Kurzname            Kurzname</v>
      </c>
      <c r="B241" s="331"/>
      <c r="D241" s="283" t="s">
        <v>754</v>
      </c>
      <c r="O241" s="34"/>
      <c r="P241" s="34"/>
      <c r="Q241" s="58"/>
      <c r="R241" s="39"/>
      <c r="AH241" s="279"/>
      <c r="AJ241" s="279"/>
      <c r="AK241" s="279"/>
      <c r="AL241" s="523">
        <v>0</v>
      </c>
      <c r="AM241" s="35" t="s">
        <v>12</v>
      </c>
      <c r="AN241" s="35" t="s">
        <v>13</v>
      </c>
      <c r="AO241" s="35" t="s">
        <v>356</v>
      </c>
      <c r="AP241" s="35" t="s">
        <v>14</v>
      </c>
      <c r="AQ241" s="34" t="s">
        <v>7</v>
      </c>
      <c r="AR241" s="35" t="s">
        <v>15</v>
      </c>
      <c r="AS241" s="35" t="s">
        <v>8</v>
      </c>
      <c r="AT241" s="35" t="s">
        <v>16</v>
      </c>
      <c r="AU241" s="35" t="s">
        <v>17</v>
      </c>
      <c r="AV241" s="35" t="s">
        <v>356</v>
      </c>
      <c r="AW241" s="35" t="s">
        <v>18</v>
      </c>
      <c r="AX241" s="34" t="s">
        <v>7</v>
      </c>
      <c r="AY241" s="35" t="s">
        <v>15</v>
      </c>
      <c r="AZ241" s="35" t="s">
        <v>8</v>
      </c>
      <c r="BA241" s="35" t="s">
        <v>16</v>
      </c>
      <c r="BB241" s="35" t="s">
        <v>17</v>
      </c>
      <c r="BC241" s="35" t="s">
        <v>19</v>
      </c>
      <c r="BD241" s="35" t="s">
        <v>1737</v>
      </c>
      <c r="BE241" s="35" t="s">
        <v>20</v>
      </c>
      <c r="BF241" s="35" t="s">
        <v>21</v>
      </c>
      <c r="BG241" s="35" t="s">
        <v>22</v>
      </c>
      <c r="BH241" s="35" t="s">
        <v>9</v>
      </c>
      <c r="BI241" s="35" t="s">
        <v>23</v>
      </c>
      <c r="BJ241" s="35" t="s">
        <v>24</v>
      </c>
      <c r="BK241" s="35" t="s">
        <v>0</v>
      </c>
      <c r="BL241" s="35" t="s">
        <v>12</v>
      </c>
      <c r="BW241" s="248"/>
      <c r="BX241" s="248"/>
      <c r="BY241" s="248"/>
      <c r="BZ241" s="248"/>
      <c r="CA241" s="248"/>
      <c r="CB241" s="248"/>
      <c r="CC241" s="248"/>
      <c r="CD241" s="248"/>
      <c r="CE241" s="248"/>
      <c r="CF241" s="248"/>
      <c r="CG241" s="248"/>
      <c r="CH241" s="248"/>
      <c r="CI241" s="248"/>
      <c r="CJ241" s="248"/>
      <c r="CK241" s="248"/>
      <c r="CL241" s="248"/>
      <c r="CM241" s="248"/>
      <c r="CN241" s="248"/>
      <c r="CO241" s="248"/>
      <c r="CP241" s="248"/>
      <c r="CQ241" s="248"/>
      <c r="CR241" s="248"/>
      <c r="CS241" s="248"/>
      <c r="CT241" s="248"/>
      <c r="CU241" s="248"/>
      <c r="CV241" s="248"/>
      <c r="CW241" s="248"/>
      <c r="CX241" s="248"/>
      <c r="CY241" s="248"/>
      <c r="CZ241" s="248"/>
      <c r="DA241" s="248"/>
      <c r="DB241" s="248"/>
      <c r="DC241" s="248"/>
      <c r="DD241" s="248"/>
      <c r="DE241" s="248"/>
      <c r="DF241" s="248"/>
      <c r="DG241" s="248"/>
      <c r="DH241" s="248"/>
      <c r="DI241" s="248"/>
      <c r="DJ241" s="248"/>
      <c r="DK241" s="248"/>
      <c r="DL241" s="248"/>
      <c r="DM241" s="248"/>
      <c r="DN241" s="248"/>
      <c r="DO241" s="248"/>
      <c r="DP241" s="248"/>
      <c r="DQ241" s="248"/>
      <c r="DR241" s="248"/>
      <c r="DS241" s="248"/>
      <c r="DT241" s="248"/>
      <c r="DU241" s="248"/>
      <c r="DV241" s="248"/>
      <c r="DW241" s="248"/>
      <c r="DX241" s="248"/>
      <c r="DY241" s="248"/>
      <c r="DZ241" s="248"/>
      <c r="EA241" s="248"/>
      <c r="EB241" s="248"/>
      <c r="EC241" s="248"/>
      <c r="ED241" s="248"/>
      <c r="EE241" s="248"/>
    </row>
    <row r="242" spans="1:135" s="35" customFormat="1" ht="16.5">
      <c r="A242" s="35" t="str">
        <f t="shared" si="8"/>
        <v>SIDO_O              SGMLS</v>
      </c>
      <c r="B242" s="331"/>
      <c r="C242" s="248">
        <v>89001</v>
      </c>
      <c r="D242" s="283" t="s">
        <v>754</v>
      </c>
      <c r="F242" s="35" t="s">
        <v>1086</v>
      </c>
      <c r="O242" s="34" t="s">
        <v>1086</v>
      </c>
      <c r="P242" s="34" t="s">
        <v>1086</v>
      </c>
      <c r="Q242" s="58"/>
      <c r="R242" s="39"/>
      <c r="AH242" s="279"/>
      <c r="AJ242" s="279" t="s">
        <v>1117</v>
      </c>
      <c r="AK242" s="279"/>
      <c r="AL242" s="523">
        <v>3</v>
      </c>
      <c r="AM242" s="35">
        <v>89001</v>
      </c>
      <c r="AN242" s="35" t="s">
        <v>1943</v>
      </c>
      <c r="AO242" s="35" t="s">
        <v>897</v>
      </c>
      <c r="AP242" s="35" t="s">
        <v>626</v>
      </c>
      <c r="AQ242" s="34" t="s">
        <v>2255</v>
      </c>
      <c r="AR242" s="35" t="s">
        <v>279</v>
      </c>
      <c r="AS242" s="35" t="s">
        <v>1158</v>
      </c>
      <c r="AT242" s="35" t="s">
        <v>242</v>
      </c>
      <c r="AU242" s="35" t="s">
        <v>10</v>
      </c>
      <c r="AV242" s="35" t="s">
        <v>1694</v>
      </c>
      <c r="AW242" s="35" t="s">
        <v>643</v>
      </c>
      <c r="AX242" s="34" t="s">
        <v>2305</v>
      </c>
      <c r="AY242" s="35">
        <v>15</v>
      </c>
      <c r="AZ242" s="35" t="s">
        <v>478</v>
      </c>
      <c r="BA242" s="35" t="s">
        <v>237</v>
      </c>
      <c r="BB242" s="35" t="s">
        <v>10</v>
      </c>
      <c r="BC242" s="35" t="s">
        <v>604</v>
      </c>
      <c r="BD242" s="35" t="s">
        <v>1742</v>
      </c>
      <c r="BE242" s="35" t="s">
        <v>10</v>
      </c>
      <c r="BF242" s="35" t="s">
        <v>10</v>
      </c>
      <c r="BG242" s="35">
        <v>1089</v>
      </c>
      <c r="BH242" s="35" t="s">
        <v>93</v>
      </c>
      <c r="BI242" s="35">
        <v>0.75</v>
      </c>
      <c r="BJ242" s="35" t="s">
        <v>1530</v>
      </c>
      <c r="BK242" s="35" t="s">
        <v>756</v>
      </c>
      <c r="BL242" s="35">
        <v>89001</v>
      </c>
      <c r="BW242" s="248"/>
      <c r="BX242" s="248"/>
      <c r="BY242" s="248"/>
      <c r="BZ242" s="248"/>
      <c r="CA242" s="248"/>
      <c r="CB242" s="248"/>
      <c r="CC242" s="248"/>
      <c r="CD242" s="248"/>
      <c r="CE242" s="248"/>
      <c r="CF242" s="248"/>
      <c r="CG242" s="248"/>
      <c r="CH242" s="248"/>
      <c r="CI242" s="248"/>
      <c r="CJ242" s="248"/>
      <c r="CK242" s="248"/>
      <c r="CL242" s="248"/>
      <c r="CM242" s="248"/>
      <c r="CN242" s="248"/>
      <c r="CO242" s="248"/>
      <c r="CP242" s="248"/>
      <c r="CQ242" s="248"/>
      <c r="CR242" s="248"/>
      <c r="CS242" s="248"/>
      <c r="CT242" s="248"/>
      <c r="CU242" s="248"/>
      <c r="CV242" s="248"/>
      <c r="CW242" s="248"/>
      <c r="CX242" s="248"/>
      <c r="CY242" s="248"/>
      <c r="CZ242" s="248"/>
      <c r="DA242" s="248"/>
      <c r="DB242" s="248"/>
      <c r="DC242" s="248"/>
      <c r="DD242" s="248"/>
      <c r="DE242" s="248"/>
      <c r="DF242" s="248"/>
      <c r="DG242" s="248"/>
      <c r="DH242" s="248"/>
      <c r="DI242" s="248"/>
      <c r="DJ242" s="248"/>
      <c r="DK242" s="248"/>
      <c r="DL242" s="248"/>
      <c r="DM242" s="248"/>
      <c r="DN242" s="248"/>
      <c r="DO242" s="248"/>
      <c r="DP242" s="248"/>
      <c r="DQ242" s="248"/>
      <c r="DR242" s="248"/>
      <c r="DS242" s="248"/>
      <c r="DT242" s="248"/>
      <c r="DU242" s="248"/>
      <c r="DV242" s="248"/>
      <c r="DW242" s="248"/>
      <c r="DX242" s="248"/>
      <c r="DY242" s="248"/>
      <c r="DZ242" s="248"/>
      <c r="EA242" s="248"/>
      <c r="EB242" s="248"/>
      <c r="EC242" s="248"/>
      <c r="ED242" s="248"/>
      <c r="EE242" s="248"/>
    </row>
    <row r="243" spans="1:135" s="35" customFormat="1" ht="16.5">
      <c r="A243" s="35" t="str">
        <f t="shared" si="8"/>
        <v xml:space="preserve">                    </v>
      </c>
      <c r="B243" s="331"/>
      <c r="D243" s="283" t="s">
        <v>758</v>
      </c>
      <c r="O243" s="34"/>
      <c r="P243" s="34"/>
      <c r="Q243" s="58"/>
      <c r="R243" s="39"/>
      <c r="AH243" s="279"/>
      <c r="AJ243" s="279"/>
      <c r="AK243" s="279"/>
      <c r="AL243" s="523">
        <v>1</v>
      </c>
      <c r="AM243" s="35" t="s">
        <v>328</v>
      </c>
      <c r="AQ243" s="34"/>
      <c r="AX243" s="34"/>
      <c r="BW243" s="248"/>
      <c r="BX243" s="248"/>
      <c r="BY243" s="248"/>
      <c r="BZ243" s="248"/>
      <c r="CA243" s="248"/>
      <c r="CB243" s="248"/>
      <c r="CC243" s="248"/>
      <c r="CD243" s="248"/>
      <c r="CE243" s="248"/>
      <c r="CF243" s="248"/>
      <c r="CG243" s="248"/>
      <c r="CH243" s="248"/>
      <c r="CI243" s="248"/>
      <c r="CJ243" s="248"/>
      <c r="CK243" s="248"/>
      <c r="CL243" s="248"/>
      <c r="CM243" s="248"/>
      <c r="CN243" s="248"/>
      <c r="CO243" s="248"/>
      <c r="CP243" s="248"/>
      <c r="CQ243" s="248"/>
      <c r="CR243" s="248"/>
      <c r="CS243" s="248"/>
      <c r="CT243" s="248"/>
      <c r="CU243" s="248"/>
      <c r="CV243" s="248"/>
      <c r="CW243" s="248"/>
      <c r="CX243" s="248"/>
      <c r="CY243" s="248"/>
      <c r="CZ243" s="248"/>
      <c r="DA243" s="248"/>
      <c r="DB243" s="248"/>
      <c r="DC243" s="248"/>
      <c r="DD243" s="248"/>
      <c r="DE243" s="248"/>
      <c r="DF243" s="248"/>
      <c r="DG243" s="248"/>
      <c r="DH243" s="248"/>
      <c r="DI243" s="248"/>
      <c r="DJ243" s="248"/>
      <c r="DK243" s="248"/>
      <c r="DL243" s="248"/>
      <c r="DM243" s="248"/>
      <c r="DN243" s="248"/>
      <c r="DO243" s="248"/>
      <c r="DP243" s="248"/>
      <c r="DQ243" s="248"/>
      <c r="DR243" s="248"/>
      <c r="DS243" s="248"/>
      <c r="DT243" s="248"/>
      <c r="DU243" s="248"/>
      <c r="DV243" s="248"/>
      <c r="DW243" s="248"/>
      <c r="DX243" s="248"/>
      <c r="DY243" s="248"/>
      <c r="DZ243" s="248"/>
      <c r="EA243" s="248"/>
      <c r="EB243" s="248"/>
      <c r="EC243" s="248"/>
      <c r="ED243" s="248"/>
      <c r="EE243" s="248"/>
    </row>
    <row r="244" spans="1:135" s="35" customFormat="1" ht="16.5">
      <c r="A244" s="35" t="str">
        <f t="shared" si="8"/>
        <v xml:space="preserve">~                   </v>
      </c>
      <c r="B244" s="331"/>
      <c r="D244" s="283" t="s">
        <v>758</v>
      </c>
      <c r="O244" s="34"/>
      <c r="P244" s="34"/>
      <c r="Q244" s="58"/>
      <c r="R244" s="39"/>
      <c r="AH244" s="279"/>
      <c r="AJ244" s="279"/>
      <c r="AK244" s="279"/>
      <c r="AL244" s="523">
        <v>2</v>
      </c>
      <c r="AM244" s="35" t="s">
        <v>0</v>
      </c>
      <c r="AN244" s="35" t="s">
        <v>759</v>
      </c>
      <c r="AO244" s="35" t="s">
        <v>1317</v>
      </c>
      <c r="AP244" s="35" t="s">
        <v>1944</v>
      </c>
      <c r="AQ244" s="34" t="s">
        <v>1</v>
      </c>
      <c r="AR244" s="35" t="s">
        <v>1531</v>
      </c>
      <c r="AS244" s="35" t="s">
        <v>11</v>
      </c>
      <c r="AX244" s="34"/>
      <c r="BW244" s="248"/>
      <c r="BX244" s="248"/>
      <c r="BY244" s="248"/>
      <c r="BZ244" s="248"/>
      <c r="CA244" s="248"/>
      <c r="CB244" s="248"/>
      <c r="CC244" s="248"/>
      <c r="CD244" s="248"/>
      <c r="CE244" s="248"/>
      <c r="CF244" s="248"/>
      <c r="CG244" s="248"/>
      <c r="CH244" s="248"/>
      <c r="CI244" s="248"/>
      <c r="CJ244" s="248"/>
      <c r="CK244" s="248"/>
      <c r="CL244" s="248"/>
      <c r="CM244" s="248"/>
      <c r="CN244" s="248"/>
      <c r="CO244" s="248"/>
      <c r="CP244" s="248"/>
      <c r="CQ244" s="248"/>
      <c r="CR244" s="248"/>
      <c r="CS244" s="248"/>
      <c r="CT244" s="248"/>
      <c r="CU244" s="248"/>
      <c r="CV244" s="248"/>
      <c r="CW244" s="248"/>
      <c r="CX244" s="248"/>
      <c r="CY244" s="248"/>
      <c r="CZ244" s="248"/>
      <c r="DA244" s="248"/>
      <c r="DB244" s="248"/>
      <c r="DC244" s="248"/>
      <c r="DD244" s="248"/>
      <c r="DE244" s="248"/>
      <c r="DF244" s="248"/>
      <c r="DG244" s="248"/>
      <c r="DH244" s="248"/>
      <c r="DI244" s="248"/>
      <c r="DJ244" s="248"/>
      <c r="DK244" s="248"/>
      <c r="DL244" s="248"/>
      <c r="DM244" s="248"/>
      <c r="DN244" s="248"/>
      <c r="DO244" s="248"/>
      <c r="DP244" s="248"/>
      <c r="DQ244" s="248"/>
      <c r="DR244" s="248"/>
      <c r="DS244" s="248"/>
      <c r="DT244" s="248"/>
      <c r="DU244" s="248"/>
      <c r="DV244" s="248"/>
      <c r="DW244" s="248"/>
      <c r="DX244" s="248"/>
      <c r="DY244" s="248"/>
      <c r="DZ244" s="248"/>
      <c r="EA244" s="248"/>
      <c r="EB244" s="248"/>
      <c r="EC244" s="248"/>
      <c r="ED244" s="248"/>
      <c r="EE244" s="248"/>
    </row>
    <row r="245" spans="1:135" s="35" customFormat="1" ht="16.5">
      <c r="A245" s="35" t="str">
        <f t="shared" si="8"/>
        <v>Kurzname            Kurzname</v>
      </c>
      <c r="B245" s="331"/>
      <c r="D245" s="283" t="s">
        <v>758</v>
      </c>
      <c r="G245" s="39"/>
      <c r="O245" s="34"/>
      <c r="P245" s="34"/>
      <c r="Q245" s="58"/>
      <c r="R245" s="39"/>
      <c r="AH245" s="279"/>
      <c r="AJ245" s="279"/>
      <c r="AK245" s="279"/>
      <c r="AL245" s="523">
        <v>0</v>
      </c>
      <c r="AM245" s="35" t="s">
        <v>12</v>
      </c>
      <c r="AN245" s="35" t="s">
        <v>13</v>
      </c>
      <c r="AO245" s="35" t="s">
        <v>356</v>
      </c>
      <c r="AP245" s="35" t="s">
        <v>14</v>
      </c>
      <c r="AQ245" s="34" t="s">
        <v>7</v>
      </c>
      <c r="AR245" s="35" t="s">
        <v>15</v>
      </c>
      <c r="AS245" s="35" t="s">
        <v>8</v>
      </c>
      <c r="AT245" s="35" t="s">
        <v>16</v>
      </c>
      <c r="AU245" s="35" t="s">
        <v>17</v>
      </c>
      <c r="AV245" s="35" t="s">
        <v>356</v>
      </c>
      <c r="AW245" s="35" t="s">
        <v>18</v>
      </c>
      <c r="AX245" s="34" t="s">
        <v>7</v>
      </c>
      <c r="AY245" s="35" t="s">
        <v>15</v>
      </c>
      <c r="AZ245" s="35" t="s">
        <v>8</v>
      </c>
      <c r="BA245" s="35" t="s">
        <v>16</v>
      </c>
      <c r="BB245" s="35" t="s">
        <v>17</v>
      </c>
      <c r="BC245" s="35" t="s">
        <v>19</v>
      </c>
      <c r="BD245" s="35" t="s">
        <v>1737</v>
      </c>
      <c r="BE245" s="35" t="s">
        <v>20</v>
      </c>
      <c r="BF245" s="35" t="s">
        <v>21</v>
      </c>
      <c r="BG245" s="35" t="s">
        <v>22</v>
      </c>
      <c r="BH245" s="35" t="s">
        <v>9</v>
      </c>
      <c r="BI245" s="35" t="s">
        <v>23</v>
      </c>
      <c r="BJ245" s="35" t="s">
        <v>24</v>
      </c>
      <c r="BK245" s="35" t="s">
        <v>0</v>
      </c>
      <c r="BL245" s="35" t="s">
        <v>12</v>
      </c>
      <c r="BW245" s="248"/>
      <c r="BX245" s="248"/>
      <c r="BY245" s="248"/>
      <c r="BZ245" s="248"/>
      <c r="CA245" s="248"/>
      <c r="CB245" s="248"/>
      <c r="CC245" s="248"/>
      <c r="CD245" s="248"/>
      <c r="CE245" s="248"/>
      <c r="CF245" s="248"/>
      <c r="CG245" s="248"/>
      <c r="CH245" s="248"/>
      <c r="CI245" s="248"/>
      <c r="CJ245" s="248"/>
      <c r="CK245" s="248"/>
      <c r="CL245" s="248"/>
      <c r="CM245" s="248"/>
      <c r="CN245" s="248"/>
      <c r="CO245" s="248"/>
      <c r="CP245" s="248"/>
      <c r="CQ245" s="248"/>
      <c r="CR245" s="248"/>
      <c r="CS245" s="248"/>
      <c r="CT245" s="248"/>
      <c r="CU245" s="248"/>
      <c r="CV245" s="248"/>
      <c r="CW245" s="248"/>
      <c r="CX245" s="248"/>
      <c r="CY245" s="248"/>
      <c r="CZ245" s="248"/>
      <c r="DA245" s="248"/>
      <c r="DB245" s="248"/>
      <c r="DC245" s="248"/>
      <c r="DD245" s="248"/>
      <c r="DE245" s="248"/>
      <c r="DF245" s="248"/>
      <c r="DG245" s="248"/>
      <c r="DH245" s="248"/>
      <c r="DI245" s="248"/>
      <c r="DJ245" s="248"/>
      <c r="DK245" s="248"/>
      <c r="DL245" s="248"/>
      <c r="DM245" s="248"/>
      <c r="DN245" s="248"/>
      <c r="DO245" s="248"/>
      <c r="DP245" s="248"/>
      <c r="DQ245" s="248"/>
      <c r="DR245" s="248"/>
      <c r="DS245" s="248"/>
      <c r="DT245" s="248"/>
      <c r="DU245" s="248"/>
      <c r="DV245" s="248"/>
      <c r="DW245" s="248"/>
      <c r="DX245" s="248"/>
      <c r="DY245" s="248"/>
      <c r="DZ245" s="248"/>
      <c r="EA245" s="248"/>
      <c r="EB245" s="248"/>
      <c r="EC245" s="248"/>
      <c r="ED245" s="248"/>
      <c r="EE245" s="248"/>
    </row>
    <row r="246" spans="1:135" s="35" customFormat="1" ht="16.5">
      <c r="A246" s="35" t="str">
        <f t="shared" si="8"/>
        <v>LSNOT               KS_CPL_B</v>
      </c>
      <c r="B246" s="331"/>
      <c r="C246" s="248">
        <v>128001</v>
      </c>
      <c r="D246" s="283" t="s">
        <v>758</v>
      </c>
      <c r="F246" s="35" t="s">
        <v>1086</v>
      </c>
      <c r="G246" s="39"/>
      <c r="O246" s="34" t="s">
        <v>1086</v>
      </c>
      <c r="P246" s="34" t="s">
        <v>1086</v>
      </c>
      <c r="Q246" s="58"/>
      <c r="R246" s="39"/>
      <c r="AH246" s="279"/>
      <c r="AJ246" s="279" t="s">
        <v>1117</v>
      </c>
      <c r="AK246" s="279"/>
      <c r="AL246" s="523">
        <v>3</v>
      </c>
      <c r="AM246" s="35">
        <v>128001</v>
      </c>
      <c r="AN246" s="35" t="s">
        <v>1532</v>
      </c>
      <c r="AO246" s="35" t="s">
        <v>2553</v>
      </c>
      <c r="AP246" s="35" t="s">
        <v>2554</v>
      </c>
      <c r="AQ246" s="34" t="s">
        <v>2281</v>
      </c>
      <c r="AR246" s="35">
        <v>1</v>
      </c>
      <c r="AS246" s="35" t="s">
        <v>482</v>
      </c>
      <c r="AT246" s="35" t="s">
        <v>94</v>
      </c>
      <c r="AU246" s="35" t="s">
        <v>10</v>
      </c>
      <c r="AV246" s="35" t="s">
        <v>416</v>
      </c>
      <c r="AW246" s="35" t="s">
        <v>623</v>
      </c>
      <c r="AX246" s="34" t="s">
        <v>1741</v>
      </c>
      <c r="AY246" s="35">
        <v>13</v>
      </c>
      <c r="AZ246" s="35" t="s">
        <v>1398</v>
      </c>
      <c r="BA246" s="35" t="s">
        <v>72</v>
      </c>
      <c r="BB246" s="35" t="s">
        <v>10</v>
      </c>
      <c r="BC246" s="35" t="s">
        <v>1350</v>
      </c>
      <c r="BD246" s="35" t="s">
        <v>1742</v>
      </c>
      <c r="BE246" s="35" t="s">
        <v>760</v>
      </c>
      <c r="BF246" s="35" t="s">
        <v>114</v>
      </c>
      <c r="BG246" s="35">
        <v>642</v>
      </c>
      <c r="BH246" s="35" t="s">
        <v>74</v>
      </c>
      <c r="BI246" s="35">
        <v>0.35</v>
      </c>
      <c r="BJ246" s="35" t="s">
        <v>2555</v>
      </c>
      <c r="BK246" s="35" t="s">
        <v>759</v>
      </c>
      <c r="BL246" s="35">
        <v>128001</v>
      </c>
      <c r="BW246" s="248"/>
      <c r="BX246" s="248"/>
      <c r="BY246" s="248"/>
      <c r="BZ246" s="248"/>
      <c r="CA246" s="248"/>
      <c r="CB246" s="248"/>
      <c r="CC246" s="248"/>
      <c r="CD246" s="248"/>
      <c r="CE246" s="248"/>
      <c r="CF246" s="248"/>
      <c r="CG246" s="248"/>
      <c r="CH246" s="248"/>
      <c r="CI246" s="248"/>
      <c r="CJ246" s="248"/>
      <c r="CK246" s="248"/>
      <c r="CL246" s="248"/>
      <c r="CM246" s="248"/>
      <c r="CN246" s="248"/>
      <c r="CO246" s="248"/>
      <c r="CP246" s="248"/>
      <c r="CQ246" s="248"/>
      <c r="CR246" s="248"/>
      <c r="CS246" s="248"/>
      <c r="CT246" s="248"/>
      <c r="CU246" s="248"/>
      <c r="CV246" s="248"/>
      <c r="CW246" s="248"/>
      <c r="CX246" s="248"/>
      <c r="CY246" s="248"/>
      <c r="CZ246" s="248"/>
      <c r="DA246" s="248"/>
      <c r="DB246" s="248"/>
      <c r="DC246" s="248"/>
      <c r="DD246" s="248"/>
      <c r="DE246" s="248"/>
      <c r="DF246" s="248"/>
      <c r="DG246" s="248"/>
      <c r="DH246" s="248"/>
      <c r="DI246" s="248"/>
      <c r="DJ246" s="248"/>
      <c r="DK246" s="248"/>
      <c r="DL246" s="248"/>
      <c r="DM246" s="248"/>
      <c r="DN246" s="248"/>
      <c r="DO246" s="248"/>
      <c r="DP246" s="248"/>
      <c r="DQ246" s="248"/>
      <c r="DR246" s="248"/>
      <c r="DS246" s="248"/>
      <c r="DT246" s="248"/>
      <c r="DU246" s="248"/>
      <c r="DV246" s="248"/>
      <c r="DW246" s="248"/>
      <c r="DX246" s="248"/>
      <c r="DY246" s="248"/>
      <c r="DZ246" s="248"/>
      <c r="EA246" s="248"/>
      <c r="EB246" s="248"/>
      <c r="EC246" s="248"/>
      <c r="ED246" s="248"/>
      <c r="EE246" s="248"/>
    </row>
    <row r="247" spans="1:135" s="35" customFormat="1" ht="16.5">
      <c r="A247" s="35" t="str">
        <f t="shared" si="8"/>
        <v>LSNOT               KS_CPL_B</v>
      </c>
      <c r="B247" s="331"/>
      <c r="C247" s="248">
        <v>128002</v>
      </c>
      <c r="D247" s="283" t="s">
        <v>758</v>
      </c>
      <c r="F247" s="35" t="s">
        <v>1086</v>
      </c>
      <c r="G247" s="39"/>
      <c r="O247" s="34" t="s">
        <v>1086</v>
      </c>
      <c r="P247" s="34" t="s">
        <v>1086</v>
      </c>
      <c r="Q247" s="58"/>
      <c r="R247" s="39"/>
      <c r="AH247" s="279"/>
      <c r="AJ247" s="279" t="s">
        <v>1117</v>
      </c>
      <c r="AK247" s="279"/>
      <c r="AL247" s="523">
        <v>3</v>
      </c>
      <c r="AM247" s="35">
        <v>128002</v>
      </c>
      <c r="AN247" s="35" t="s">
        <v>1533</v>
      </c>
      <c r="AO247" s="35" t="s">
        <v>2553</v>
      </c>
      <c r="AP247" s="35" t="s">
        <v>2554</v>
      </c>
      <c r="AQ247" s="34" t="s">
        <v>2281</v>
      </c>
      <c r="AR247" s="35">
        <v>2</v>
      </c>
      <c r="AS247" s="35" t="s">
        <v>482</v>
      </c>
      <c r="AT247" s="35" t="s">
        <v>94</v>
      </c>
      <c r="AU247" s="35" t="s">
        <v>10</v>
      </c>
      <c r="AV247" s="35" t="s">
        <v>416</v>
      </c>
      <c r="AW247" s="35" t="s">
        <v>623</v>
      </c>
      <c r="AX247" s="34" t="s">
        <v>1741</v>
      </c>
      <c r="AY247" s="35">
        <v>14</v>
      </c>
      <c r="AZ247" s="35" t="s">
        <v>1398</v>
      </c>
      <c r="BA247" s="35" t="s">
        <v>72</v>
      </c>
      <c r="BB247" s="35" t="s">
        <v>10</v>
      </c>
      <c r="BC247" s="35" t="s">
        <v>1350</v>
      </c>
      <c r="BD247" s="35" t="s">
        <v>1742</v>
      </c>
      <c r="BE247" s="35" t="s">
        <v>760</v>
      </c>
      <c r="BF247" s="35" t="s">
        <v>116</v>
      </c>
      <c r="BG247" s="35">
        <v>642</v>
      </c>
      <c r="BH247" s="35" t="s">
        <v>117</v>
      </c>
      <c r="BI247" s="35">
        <v>0.35</v>
      </c>
      <c r="BJ247" s="35" t="s">
        <v>2555</v>
      </c>
      <c r="BK247" s="35" t="s">
        <v>759</v>
      </c>
      <c r="BL247" s="35">
        <v>128002</v>
      </c>
      <c r="BW247" s="248"/>
      <c r="BX247" s="248"/>
      <c r="BY247" s="248"/>
      <c r="BZ247" s="248"/>
      <c r="CA247" s="248"/>
      <c r="CB247" s="248"/>
      <c r="CC247" s="248"/>
      <c r="CD247" s="248"/>
      <c r="CE247" s="248"/>
      <c r="CF247" s="248"/>
      <c r="CG247" s="248"/>
      <c r="CH247" s="248"/>
      <c r="CI247" s="248"/>
      <c r="CJ247" s="248"/>
      <c r="CK247" s="248"/>
      <c r="CL247" s="248"/>
      <c r="CM247" s="248"/>
      <c r="CN247" s="248"/>
      <c r="CO247" s="248"/>
      <c r="CP247" s="248"/>
      <c r="CQ247" s="248"/>
      <c r="CR247" s="248"/>
      <c r="CS247" s="248"/>
      <c r="CT247" s="248"/>
      <c r="CU247" s="248"/>
      <c r="CV247" s="248"/>
      <c r="CW247" s="248"/>
      <c r="CX247" s="248"/>
      <c r="CY247" s="248"/>
      <c r="CZ247" s="248"/>
      <c r="DA247" s="248"/>
      <c r="DB247" s="248"/>
      <c r="DC247" s="248"/>
      <c r="DD247" s="248"/>
      <c r="DE247" s="248"/>
      <c r="DF247" s="248"/>
      <c r="DG247" s="248"/>
      <c r="DH247" s="248"/>
      <c r="DI247" s="248"/>
      <c r="DJ247" s="248"/>
      <c r="DK247" s="248"/>
      <c r="DL247" s="248"/>
      <c r="DM247" s="248"/>
      <c r="DN247" s="248"/>
      <c r="DO247" s="248"/>
      <c r="DP247" s="248"/>
      <c r="DQ247" s="248"/>
      <c r="DR247" s="248"/>
      <c r="DS247" s="248"/>
      <c r="DT247" s="248"/>
      <c r="DU247" s="248"/>
      <c r="DV247" s="248"/>
      <c r="DW247" s="248"/>
      <c r="DX247" s="248"/>
      <c r="DY247" s="248"/>
      <c r="DZ247" s="248"/>
      <c r="EA247" s="248"/>
      <c r="EB247" s="248"/>
      <c r="EC247" s="248"/>
      <c r="ED247" s="248"/>
      <c r="EE247" s="248"/>
    </row>
    <row r="248" spans="1:135" s="35" customFormat="1" ht="16.5">
      <c r="A248" s="35" t="str">
        <f t="shared" si="8"/>
        <v xml:space="preserve">                    </v>
      </c>
      <c r="B248" s="331"/>
      <c r="D248" s="283">
        <v>136</v>
      </c>
      <c r="G248" s="39"/>
      <c r="O248" s="34"/>
      <c r="P248" s="34"/>
      <c r="Q248" s="58"/>
      <c r="R248" s="39"/>
      <c r="AH248" s="279"/>
      <c r="AJ248" s="279"/>
      <c r="AK248" s="279"/>
      <c r="AL248" s="523">
        <v>1</v>
      </c>
      <c r="AM248" s="35" t="s">
        <v>284</v>
      </c>
      <c r="AQ248" s="34"/>
      <c r="AX248" s="34"/>
      <c r="BW248" s="248"/>
      <c r="BX248" s="248"/>
      <c r="BY248" s="248"/>
      <c r="BZ248" s="248"/>
      <c r="CA248" s="248"/>
      <c r="CB248" s="248"/>
      <c r="CC248" s="248"/>
      <c r="CD248" s="248"/>
      <c r="CE248" s="248"/>
      <c r="CF248" s="248"/>
      <c r="CG248" s="248"/>
      <c r="CH248" s="248"/>
      <c r="CI248" s="248"/>
      <c r="CJ248" s="248"/>
      <c r="CK248" s="248"/>
      <c r="CL248" s="248"/>
      <c r="CM248" s="248"/>
      <c r="CN248" s="248"/>
      <c r="CO248" s="248"/>
      <c r="CP248" s="248"/>
      <c r="CQ248" s="248"/>
      <c r="CR248" s="248"/>
      <c r="CS248" s="248"/>
      <c r="CT248" s="248"/>
      <c r="CU248" s="248"/>
      <c r="CV248" s="248"/>
      <c r="CW248" s="248"/>
      <c r="CX248" s="248"/>
      <c r="CY248" s="248"/>
      <c r="CZ248" s="248"/>
      <c r="DA248" s="248"/>
      <c r="DB248" s="248"/>
      <c r="DC248" s="248"/>
      <c r="DD248" s="248"/>
      <c r="DE248" s="248"/>
      <c r="DF248" s="248"/>
      <c r="DG248" s="248"/>
      <c r="DH248" s="248"/>
      <c r="DI248" s="248"/>
      <c r="DJ248" s="248"/>
      <c r="DK248" s="248"/>
      <c r="DL248" s="248"/>
      <c r="DM248" s="248"/>
      <c r="DN248" s="248"/>
      <c r="DO248" s="248"/>
      <c r="DP248" s="248"/>
      <c r="DQ248" s="248"/>
      <c r="DR248" s="248"/>
      <c r="DS248" s="248"/>
      <c r="DT248" s="248"/>
      <c r="DU248" s="248"/>
      <c r="DV248" s="248"/>
      <c r="DW248" s="248"/>
      <c r="DX248" s="248"/>
      <c r="DY248" s="248"/>
      <c r="DZ248" s="248"/>
      <c r="EA248" s="248"/>
      <c r="EB248" s="248"/>
      <c r="EC248" s="248"/>
      <c r="ED248" s="248"/>
      <c r="EE248" s="248"/>
    </row>
    <row r="249" spans="1:135" s="35" customFormat="1" ht="16.5">
      <c r="A249" s="35" t="str">
        <f t="shared" si="8"/>
        <v xml:space="preserve">                    </v>
      </c>
      <c r="B249" s="331"/>
      <c r="D249" s="283">
        <v>136</v>
      </c>
      <c r="G249" s="39"/>
      <c r="O249" s="34"/>
      <c r="P249" s="34"/>
      <c r="Q249" s="58"/>
      <c r="R249" s="39"/>
      <c r="AH249" s="279"/>
      <c r="AJ249" s="279"/>
      <c r="AK249" s="279"/>
      <c r="AL249" s="523">
        <v>2</v>
      </c>
      <c r="AM249" s="35" t="s">
        <v>0</v>
      </c>
      <c r="AN249" s="35" t="s">
        <v>761</v>
      </c>
      <c r="AO249" s="35" t="s">
        <v>762</v>
      </c>
      <c r="AP249" s="35" t="s">
        <v>1944</v>
      </c>
      <c r="AQ249" s="34"/>
      <c r="AR249" s="35" t="s">
        <v>763</v>
      </c>
      <c r="AS249" s="35" t="s">
        <v>11</v>
      </c>
      <c r="AX249" s="34"/>
      <c r="BW249" s="248"/>
      <c r="BX249" s="248"/>
      <c r="BY249" s="248"/>
      <c r="BZ249" s="248"/>
      <c r="CA249" s="248"/>
      <c r="CB249" s="248"/>
      <c r="CC249" s="248"/>
      <c r="CD249" s="248"/>
      <c r="CE249" s="248"/>
      <c r="CF249" s="248"/>
      <c r="CG249" s="248"/>
      <c r="CH249" s="248"/>
      <c r="CI249" s="248"/>
      <c r="CJ249" s="248"/>
      <c r="CK249" s="248"/>
      <c r="CL249" s="248"/>
      <c r="CM249" s="248"/>
      <c r="CN249" s="248"/>
      <c r="CO249" s="248"/>
      <c r="CP249" s="248"/>
      <c r="CQ249" s="248"/>
      <c r="CR249" s="248"/>
      <c r="CS249" s="248"/>
      <c r="CT249" s="248"/>
      <c r="CU249" s="248"/>
      <c r="CV249" s="248"/>
      <c r="CW249" s="248"/>
      <c r="CX249" s="248"/>
      <c r="CY249" s="248"/>
      <c r="CZ249" s="248"/>
      <c r="DA249" s="248"/>
      <c r="DB249" s="248"/>
      <c r="DC249" s="248"/>
      <c r="DD249" s="248"/>
      <c r="DE249" s="248"/>
      <c r="DF249" s="248"/>
      <c r="DG249" s="248"/>
      <c r="DH249" s="248"/>
      <c r="DI249" s="248"/>
      <c r="DJ249" s="248"/>
      <c r="DK249" s="248"/>
      <c r="DL249" s="248"/>
      <c r="DM249" s="248"/>
      <c r="DN249" s="248"/>
      <c r="DO249" s="248"/>
      <c r="DP249" s="248"/>
      <c r="DQ249" s="248"/>
      <c r="DR249" s="248"/>
      <c r="DS249" s="248"/>
      <c r="DT249" s="248"/>
      <c r="DU249" s="248"/>
      <c r="DV249" s="248"/>
      <c r="DW249" s="248"/>
      <c r="DX249" s="248"/>
      <c r="DY249" s="248"/>
      <c r="DZ249" s="248"/>
      <c r="EA249" s="248"/>
      <c r="EB249" s="248"/>
      <c r="EC249" s="248"/>
      <c r="ED249" s="248"/>
      <c r="EE249" s="248"/>
    </row>
    <row r="250" spans="1:135" s="35" customFormat="1" ht="16.5">
      <c r="A250" s="35" t="str">
        <f t="shared" si="8"/>
        <v>Kurzname            Kurzname</v>
      </c>
      <c r="B250" s="331"/>
      <c r="D250" s="283">
        <v>136</v>
      </c>
      <c r="G250" s="39"/>
      <c r="O250" s="34"/>
      <c r="P250" s="34"/>
      <c r="Q250" s="58"/>
      <c r="R250" s="39"/>
      <c r="AH250" s="279"/>
      <c r="AJ250" s="279"/>
      <c r="AK250" s="279"/>
      <c r="AL250" s="523">
        <v>0</v>
      </c>
      <c r="AM250" s="35" t="s">
        <v>12</v>
      </c>
      <c r="AN250" s="35" t="s">
        <v>13</v>
      </c>
      <c r="AO250" s="35" t="s">
        <v>356</v>
      </c>
      <c r="AP250" s="35" t="s">
        <v>14</v>
      </c>
      <c r="AQ250" s="34" t="s">
        <v>7</v>
      </c>
      <c r="AR250" s="35" t="s">
        <v>15</v>
      </c>
      <c r="AS250" s="35" t="s">
        <v>8</v>
      </c>
      <c r="AT250" s="35" t="s">
        <v>16</v>
      </c>
      <c r="AU250" s="35" t="s">
        <v>17</v>
      </c>
      <c r="AV250" s="35" t="s">
        <v>356</v>
      </c>
      <c r="AW250" s="35" t="s">
        <v>18</v>
      </c>
      <c r="AX250" s="34" t="s">
        <v>7</v>
      </c>
      <c r="AY250" s="35" t="s">
        <v>15</v>
      </c>
      <c r="AZ250" s="35" t="s">
        <v>8</v>
      </c>
      <c r="BA250" s="35" t="s">
        <v>16</v>
      </c>
      <c r="BB250" s="35" t="s">
        <v>17</v>
      </c>
      <c r="BC250" s="35" t="s">
        <v>19</v>
      </c>
      <c r="BD250" s="35" t="s">
        <v>1737</v>
      </c>
      <c r="BE250" s="35" t="s">
        <v>20</v>
      </c>
      <c r="BF250" s="35" t="s">
        <v>21</v>
      </c>
      <c r="BG250" s="35" t="s">
        <v>22</v>
      </c>
      <c r="BH250" s="35" t="s">
        <v>9</v>
      </c>
      <c r="BI250" s="35" t="s">
        <v>23</v>
      </c>
      <c r="BJ250" s="35" t="s">
        <v>24</v>
      </c>
      <c r="BK250" s="35" t="s">
        <v>0</v>
      </c>
      <c r="BL250" s="35" t="s">
        <v>12</v>
      </c>
      <c r="BW250" s="248"/>
      <c r="BX250" s="248"/>
      <c r="BY250" s="248"/>
      <c r="BZ250" s="248"/>
      <c r="CA250" s="248"/>
      <c r="CB250" s="248"/>
      <c r="CC250" s="248"/>
      <c r="CD250" s="248"/>
      <c r="CE250" s="248"/>
      <c r="CF250" s="248"/>
      <c r="CG250" s="248"/>
      <c r="CH250" s="248"/>
      <c r="CI250" s="248"/>
      <c r="CJ250" s="248"/>
      <c r="CK250" s="248"/>
      <c r="CL250" s="248"/>
      <c r="CM250" s="248"/>
      <c r="CN250" s="248"/>
      <c r="CO250" s="248"/>
      <c r="CP250" s="248"/>
      <c r="CQ250" s="248"/>
      <c r="CR250" s="248"/>
      <c r="CS250" s="248"/>
      <c r="CT250" s="248"/>
      <c r="CU250" s="248"/>
      <c r="CV250" s="248"/>
      <c r="CW250" s="248"/>
      <c r="CX250" s="248"/>
      <c r="CY250" s="248"/>
      <c r="CZ250" s="248"/>
      <c r="DA250" s="248"/>
      <c r="DB250" s="248"/>
      <c r="DC250" s="248"/>
      <c r="DD250" s="248"/>
      <c r="DE250" s="248"/>
      <c r="DF250" s="248"/>
      <c r="DG250" s="248"/>
      <c r="DH250" s="248"/>
      <c r="DI250" s="248"/>
      <c r="DJ250" s="248"/>
      <c r="DK250" s="248"/>
      <c r="DL250" s="248"/>
      <c r="DM250" s="248"/>
      <c r="DN250" s="248"/>
      <c r="DO250" s="248"/>
      <c r="DP250" s="248"/>
      <c r="DQ250" s="248"/>
      <c r="DR250" s="248"/>
      <c r="DS250" s="248"/>
      <c r="DT250" s="248"/>
      <c r="DU250" s="248"/>
      <c r="DV250" s="248"/>
      <c r="DW250" s="248"/>
      <c r="DX250" s="248"/>
      <c r="DY250" s="248"/>
      <c r="DZ250" s="248"/>
      <c r="EA250" s="248"/>
      <c r="EB250" s="248"/>
      <c r="EC250" s="248"/>
      <c r="ED250" s="248"/>
      <c r="EE250" s="248"/>
    </row>
    <row r="251" spans="1:135" s="35" customFormat="1" ht="16.5">
      <c r="A251" s="35" t="str">
        <f t="shared" si="8"/>
        <v>SP_ACLIN5           KS_CPM_A</v>
      </c>
      <c r="B251" s="331"/>
      <c r="C251" s="248">
        <v>136002</v>
      </c>
      <c r="D251" s="283">
        <v>136</v>
      </c>
      <c r="F251" s="35" t="s">
        <v>1086</v>
      </c>
      <c r="G251" s="35" t="s">
        <v>2237</v>
      </c>
      <c r="H251" s="35" t="s">
        <v>609</v>
      </c>
      <c r="N251" s="35" t="s">
        <v>537</v>
      </c>
      <c r="O251" s="34" t="s">
        <v>1086</v>
      </c>
      <c r="P251" s="34" t="s">
        <v>1086</v>
      </c>
      <c r="Q251" s="58"/>
      <c r="R251" s="39"/>
      <c r="AH251" s="279"/>
      <c r="AJ251" s="279" t="s">
        <v>1117</v>
      </c>
      <c r="AK251" s="279"/>
      <c r="AL251" s="523">
        <v>3</v>
      </c>
      <c r="AM251" s="35">
        <v>136002</v>
      </c>
      <c r="AN251" s="35" t="s">
        <v>1945</v>
      </c>
      <c r="AO251" s="35" t="s">
        <v>1727</v>
      </c>
      <c r="AP251" s="35" t="s">
        <v>671</v>
      </c>
      <c r="AQ251" s="34" t="s">
        <v>2237</v>
      </c>
      <c r="AR251" s="35">
        <v>1</v>
      </c>
      <c r="AS251" s="35" t="s">
        <v>497</v>
      </c>
      <c r="AT251" s="35" t="s">
        <v>10</v>
      </c>
      <c r="AU251" s="35" t="s">
        <v>10</v>
      </c>
      <c r="AV251" s="35" t="s">
        <v>502</v>
      </c>
      <c r="AW251" s="35" t="s">
        <v>685</v>
      </c>
      <c r="AX251" s="34" t="s">
        <v>1870</v>
      </c>
      <c r="AY251" s="35">
        <v>2</v>
      </c>
      <c r="AZ251" s="35" t="s">
        <v>1392</v>
      </c>
      <c r="BA251" s="35" t="s">
        <v>255</v>
      </c>
      <c r="BB251" s="35" t="s">
        <v>10</v>
      </c>
      <c r="BC251" s="35" t="s">
        <v>484</v>
      </c>
      <c r="BD251" s="35" t="s">
        <v>1742</v>
      </c>
      <c r="BE251" s="35" t="s">
        <v>10</v>
      </c>
      <c r="BF251" s="35" t="s">
        <v>10</v>
      </c>
      <c r="BG251" s="35">
        <v>790</v>
      </c>
      <c r="BH251" s="35" t="s">
        <v>80</v>
      </c>
      <c r="BI251" s="35">
        <v>0.13</v>
      </c>
      <c r="BJ251" s="35" t="s">
        <v>1851</v>
      </c>
      <c r="BK251" s="35" t="s">
        <v>761</v>
      </c>
      <c r="BL251" s="35">
        <v>136002</v>
      </c>
      <c r="BW251" s="248"/>
      <c r="BX251" s="248"/>
      <c r="BY251" s="248"/>
      <c r="BZ251" s="248"/>
      <c r="CA251" s="248"/>
      <c r="CB251" s="248"/>
      <c r="CC251" s="248"/>
      <c r="CD251" s="248"/>
      <c r="CE251" s="248"/>
      <c r="CF251" s="248"/>
      <c r="CG251" s="248"/>
      <c r="CH251" s="248"/>
      <c r="CI251" s="248"/>
      <c r="CJ251" s="248"/>
      <c r="CK251" s="248"/>
      <c r="CL251" s="248"/>
      <c r="CM251" s="248"/>
      <c r="CN251" s="248"/>
      <c r="CO251" s="248"/>
      <c r="CP251" s="248"/>
      <c r="CQ251" s="248"/>
      <c r="CR251" s="248"/>
      <c r="CS251" s="248"/>
      <c r="CT251" s="248"/>
      <c r="CU251" s="248"/>
      <c r="CV251" s="248"/>
      <c r="CW251" s="248"/>
      <c r="CX251" s="248"/>
      <c r="CY251" s="248"/>
      <c r="CZ251" s="248"/>
      <c r="DA251" s="248"/>
      <c r="DB251" s="248"/>
      <c r="DC251" s="248"/>
      <c r="DD251" s="248"/>
      <c r="DE251" s="248"/>
      <c r="DF251" s="248"/>
      <c r="DG251" s="248"/>
      <c r="DH251" s="248"/>
      <c r="DI251" s="248"/>
      <c r="DJ251" s="248"/>
      <c r="DK251" s="248"/>
      <c r="DL251" s="248"/>
      <c r="DM251" s="248"/>
      <c r="DN251" s="248"/>
      <c r="DO251" s="248"/>
      <c r="DP251" s="248"/>
      <c r="DQ251" s="248"/>
      <c r="DR251" s="248"/>
      <c r="DS251" s="248"/>
      <c r="DT251" s="248"/>
      <c r="DU251" s="248"/>
      <c r="DV251" s="248"/>
      <c r="DW251" s="248"/>
      <c r="DX251" s="248"/>
      <c r="DY251" s="248"/>
      <c r="DZ251" s="248"/>
      <c r="EA251" s="248"/>
      <c r="EB251" s="248"/>
      <c r="EC251" s="248"/>
      <c r="ED251" s="248"/>
      <c r="EE251" s="248"/>
    </row>
    <row r="252" spans="1:135" s="35" customFormat="1" ht="16.5">
      <c r="A252" s="35" t="str">
        <f t="shared" si="8"/>
        <v>SIDO_O              KS_CPM_A</v>
      </c>
      <c r="B252" s="331"/>
      <c r="C252" s="248">
        <v>136003</v>
      </c>
      <c r="D252" s="283">
        <v>136</v>
      </c>
      <c r="F252" s="35" t="s">
        <v>1086</v>
      </c>
      <c r="O252" s="34" t="s">
        <v>1086</v>
      </c>
      <c r="P252" s="34" t="s">
        <v>1086</v>
      </c>
      <c r="Q252" s="58"/>
      <c r="R252" s="39"/>
      <c r="AH252" s="279"/>
      <c r="AJ252" s="279" t="s">
        <v>1117</v>
      </c>
      <c r="AK252" s="279"/>
      <c r="AL252" s="523">
        <v>3</v>
      </c>
      <c r="AM252" s="35">
        <v>136003</v>
      </c>
      <c r="AN252" s="35" t="s">
        <v>1946</v>
      </c>
      <c r="AO252" s="35" t="s">
        <v>897</v>
      </c>
      <c r="AP252" s="35" t="s">
        <v>626</v>
      </c>
      <c r="AQ252" s="34" t="s">
        <v>2255</v>
      </c>
      <c r="AR252" s="35" t="s">
        <v>253</v>
      </c>
      <c r="AS252" s="35" t="s">
        <v>1158</v>
      </c>
      <c r="AT252" s="35" t="s">
        <v>244</v>
      </c>
      <c r="AU252" s="35" t="s">
        <v>10</v>
      </c>
      <c r="AV252" s="35" t="s">
        <v>502</v>
      </c>
      <c r="AW252" s="35" t="s">
        <v>685</v>
      </c>
      <c r="AX252" s="34" t="s">
        <v>1870</v>
      </c>
      <c r="AY252" s="35">
        <v>1</v>
      </c>
      <c r="AZ252" s="35" t="s">
        <v>1392</v>
      </c>
      <c r="BA252" s="35" t="s">
        <v>245</v>
      </c>
      <c r="BB252" s="35" t="s">
        <v>10</v>
      </c>
      <c r="BC252" s="35" t="s">
        <v>73</v>
      </c>
      <c r="BD252" s="35" t="s">
        <v>1742</v>
      </c>
      <c r="BE252" s="35" t="s">
        <v>10</v>
      </c>
      <c r="BF252" s="35" t="s">
        <v>10</v>
      </c>
      <c r="BG252" s="35">
        <v>1261</v>
      </c>
      <c r="BH252" s="35" t="s">
        <v>74</v>
      </c>
      <c r="BI252" s="35">
        <v>0.35</v>
      </c>
      <c r="BJ252" s="35" t="s">
        <v>1947</v>
      </c>
      <c r="BK252" s="35" t="s">
        <v>761</v>
      </c>
      <c r="BL252" s="35">
        <v>136003</v>
      </c>
      <c r="BW252" s="248"/>
      <c r="BX252" s="248"/>
      <c r="BY252" s="248"/>
      <c r="BZ252" s="248"/>
      <c r="CA252" s="248"/>
      <c r="CB252" s="248"/>
      <c r="CC252" s="248"/>
      <c r="CD252" s="248"/>
      <c r="CE252" s="248"/>
      <c r="CF252" s="248"/>
      <c r="CG252" s="248"/>
      <c r="CH252" s="248"/>
      <c r="CI252" s="248"/>
      <c r="CJ252" s="248"/>
      <c r="CK252" s="248"/>
      <c r="CL252" s="248"/>
      <c r="CM252" s="248"/>
      <c r="CN252" s="248"/>
      <c r="CO252" s="248"/>
      <c r="CP252" s="248"/>
      <c r="CQ252" s="248"/>
      <c r="CR252" s="248"/>
      <c r="CS252" s="248"/>
      <c r="CT252" s="248"/>
      <c r="CU252" s="248"/>
      <c r="CV252" s="248"/>
      <c r="CW252" s="248"/>
      <c r="CX252" s="248"/>
      <c r="CY252" s="248"/>
      <c r="CZ252" s="248"/>
      <c r="DA252" s="248"/>
      <c r="DB252" s="248"/>
      <c r="DC252" s="248"/>
      <c r="DD252" s="248"/>
      <c r="DE252" s="248"/>
      <c r="DF252" s="248"/>
      <c r="DG252" s="248"/>
      <c r="DH252" s="248"/>
      <c r="DI252" s="248"/>
      <c r="DJ252" s="248"/>
      <c r="DK252" s="248"/>
      <c r="DL252" s="248"/>
      <c r="DM252" s="248"/>
      <c r="DN252" s="248"/>
      <c r="DO252" s="248"/>
      <c r="DP252" s="248"/>
      <c r="DQ252" s="248"/>
      <c r="DR252" s="248"/>
      <c r="DS252" s="248"/>
      <c r="DT252" s="248"/>
      <c r="DU252" s="248"/>
      <c r="DV252" s="248"/>
      <c r="DW252" s="248"/>
      <c r="DX252" s="248"/>
      <c r="DY252" s="248"/>
      <c r="DZ252" s="248"/>
      <c r="EA252" s="248"/>
      <c r="EB252" s="248"/>
      <c r="EC252" s="248"/>
      <c r="ED252" s="248"/>
      <c r="EE252" s="248"/>
    </row>
    <row r="253" spans="1:135" s="35" customFormat="1" ht="16.5">
      <c r="A253" s="35" t="str">
        <f t="shared" si="8"/>
        <v xml:space="preserve">                    </v>
      </c>
      <c r="B253" s="331"/>
      <c r="D253" s="283">
        <v>216</v>
      </c>
      <c r="O253" s="34"/>
      <c r="P253" s="34"/>
      <c r="Q253" s="58"/>
      <c r="R253" s="39"/>
      <c r="W253" s="39"/>
      <c r="AH253" s="279"/>
      <c r="AJ253" s="279"/>
      <c r="AK253" s="279"/>
      <c r="AL253" s="523">
        <v>1</v>
      </c>
      <c r="AM253" s="35" t="s">
        <v>773</v>
      </c>
      <c r="AQ253" s="34"/>
      <c r="AX253" s="34"/>
      <c r="BW253" s="248"/>
      <c r="BX253" s="248"/>
      <c r="BY253" s="248"/>
      <c r="BZ253" s="248"/>
      <c r="CA253" s="248"/>
      <c r="CB253" s="248"/>
      <c r="CC253" s="248"/>
      <c r="CD253" s="248"/>
      <c r="CE253" s="248"/>
      <c r="CF253" s="248"/>
      <c r="CG253" s="248"/>
      <c r="CH253" s="248"/>
      <c r="CI253" s="248"/>
      <c r="CJ253" s="248"/>
      <c r="CK253" s="248"/>
      <c r="CL253" s="248"/>
      <c r="CM253" s="248"/>
      <c r="CN253" s="248"/>
      <c r="CO253" s="248"/>
      <c r="CP253" s="248"/>
      <c r="CQ253" s="248"/>
      <c r="CR253" s="248"/>
      <c r="CS253" s="248"/>
      <c r="CT253" s="248"/>
      <c r="CU253" s="248"/>
      <c r="CV253" s="248"/>
      <c r="CW253" s="248"/>
      <c r="CX253" s="248"/>
      <c r="CY253" s="248"/>
      <c r="CZ253" s="248"/>
      <c r="DA253" s="248"/>
      <c r="DB253" s="248"/>
      <c r="DC253" s="248"/>
      <c r="DD253" s="248"/>
      <c r="DE253" s="248"/>
      <c r="DF253" s="248"/>
      <c r="DG253" s="248"/>
      <c r="DH253" s="248"/>
      <c r="DI253" s="248"/>
      <c r="DJ253" s="248"/>
      <c r="DK253" s="248"/>
      <c r="DL253" s="248"/>
      <c r="DM253" s="248"/>
      <c r="DN253" s="248"/>
      <c r="DO253" s="248"/>
      <c r="DP253" s="248"/>
      <c r="DQ253" s="248"/>
      <c r="DR253" s="248"/>
      <c r="DS253" s="248"/>
      <c r="DT253" s="248"/>
      <c r="DU253" s="248"/>
      <c r="DV253" s="248"/>
      <c r="DW253" s="248"/>
      <c r="DX253" s="248"/>
      <c r="DY253" s="248"/>
      <c r="DZ253" s="248"/>
      <c r="EA253" s="248"/>
      <c r="EB253" s="248"/>
      <c r="EC253" s="248"/>
      <c r="ED253" s="248"/>
      <c r="EE253" s="248"/>
    </row>
    <row r="254" spans="1:135" s="35" customFormat="1" ht="16.5">
      <c r="A254" s="35" t="str">
        <f t="shared" si="8"/>
        <v xml:space="preserve">~                   </v>
      </c>
      <c r="B254" s="331"/>
      <c r="D254" s="283">
        <v>216</v>
      </c>
      <c r="O254" s="34"/>
      <c r="P254" s="34"/>
      <c r="Q254" s="58"/>
      <c r="R254" s="39"/>
      <c r="W254" s="39"/>
      <c r="AC254" s="287">
        <v>1</v>
      </c>
      <c r="AD254" s="287"/>
      <c r="AE254" s="287"/>
      <c r="AF254" s="287"/>
      <c r="AG254" s="287"/>
      <c r="AH254" s="279"/>
      <c r="AJ254" s="279"/>
      <c r="AK254" s="279"/>
      <c r="AL254" s="523">
        <v>2</v>
      </c>
      <c r="AM254" s="35" t="s">
        <v>0</v>
      </c>
      <c r="AN254" s="35" t="s">
        <v>774</v>
      </c>
      <c r="AO254" s="35" t="s">
        <v>2165</v>
      </c>
      <c r="AP254" s="35" t="s">
        <v>1948</v>
      </c>
      <c r="AQ254" s="34" t="s">
        <v>1</v>
      </c>
      <c r="AR254" s="35" t="s">
        <v>2393</v>
      </c>
      <c r="AS254" s="35" t="s">
        <v>11</v>
      </c>
      <c r="AX254" s="34"/>
      <c r="BW254" s="248"/>
      <c r="BX254" s="248"/>
      <c r="BY254" s="248"/>
      <c r="BZ254" s="248"/>
      <c r="CA254" s="248"/>
      <c r="CB254" s="248"/>
      <c r="CC254" s="248"/>
      <c r="CD254" s="248"/>
      <c r="CE254" s="248"/>
      <c r="CF254" s="248"/>
      <c r="CG254" s="248"/>
      <c r="CH254" s="248"/>
      <c r="CI254" s="248"/>
      <c r="CJ254" s="248"/>
      <c r="CK254" s="248"/>
      <c r="CL254" s="248"/>
      <c r="CM254" s="248"/>
      <c r="CN254" s="248"/>
      <c r="CO254" s="248"/>
      <c r="CP254" s="248"/>
      <c r="CQ254" s="248"/>
      <c r="CR254" s="248"/>
      <c r="CS254" s="248"/>
      <c r="CT254" s="248"/>
      <c r="CU254" s="248"/>
      <c r="CV254" s="248"/>
      <c r="CW254" s="248"/>
      <c r="CX254" s="248"/>
      <c r="CY254" s="248"/>
      <c r="CZ254" s="248"/>
      <c r="DA254" s="248"/>
      <c r="DB254" s="248"/>
      <c r="DC254" s="248"/>
      <c r="DD254" s="248"/>
      <c r="DE254" s="248"/>
      <c r="DF254" s="248"/>
      <c r="DG254" s="248"/>
      <c r="DH254" s="248"/>
      <c r="DI254" s="248"/>
      <c r="DJ254" s="248"/>
      <c r="DK254" s="248"/>
      <c r="DL254" s="248"/>
      <c r="DM254" s="248"/>
      <c r="DN254" s="248"/>
      <c r="DO254" s="248"/>
      <c r="DP254" s="248"/>
      <c r="DQ254" s="248"/>
      <c r="DR254" s="248"/>
      <c r="DS254" s="248"/>
      <c r="DT254" s="248"/>
      <c r="DU254" s="248"/>
      <c r="DV254" s="248"/>
      <c r="DW254" s="248"/>
      <c r="DX254" s="248"/>
      <c r="DY254" s="248"/>
      <c r="DZ254" s="248"/>
      <c r="EA254" s="248"/>
      <c r="EB254" s="248"/>
      <c r="EC254" s="248"/>
      <c r="ED254" s="248"/>
      <c r="EE254" s="248"/>
    </row>
    <row r="255" spans="1:135" s="35" customFormat="1" ht="16.5">
      <c r="A255" s="35" t="str">
        <f t="shared" si="8"/>
        <v xml:space="preserve">~                   </v>
      </c>
      <c r="B255" s="331"/>
      <c r="D255" s="283">
        <v>216</v>
      </c>
      <c r="O255" s="34"/>
      <c r="P255" s="34"/>
      <c r="Q255" s="58"/>
      <c r="R255" s="39"/>
      <c r="W255" s="39"/>
      <c r="AC255" s="287"/>
      <c r="AD255" s="287"/>
      <c r="AE255" s="287"/>
      <c r="AF255" s="287"/>
      <c r="AG255" s="287"/>
      <c r="AH255" s="279"/>
      <c r="AJ255" s="279"/>
      <c r="AK255" s="279"/>
      <c r="AL255" s="523">
        <v>2</v>
      </c>
      <c r="AM255" s="35" t="s">
        <v>2</v>
      </c>
      <c r="AN255" s="35" t="s">
        <v>2166</v>
      </c>
      <c r="AO255" s="35" t="s">
        <v>2167</v>
      </c>
      <c r="AP255" s="35" t="s">
        <v>1948</v>
      </c>
      <c r="AQ255" s="34" t="s">
        <v>1</v>
      </c>
      <c r="AR255" s="35" t="s">
        <v>2394</v>
      </c>
      <c r="AS255" s="35" t="s">
        <v>11</v>
      </c>
      <c r="AX255" s="34"/>
    </row>
    <row r="256" spans="1:135" s="35" customFormat="1" ht="16.5">
      <c r="A256" s="35" t="str">
        <f t="shared" si="8"/>
        <v>Kurzname            Kurzname</v>
      </c>
      <c r="B256" s="331"/>
      <c r="D256" s="283">
        <v>216</v>
      </c>
      <c r="O256" s="34"/>
      <c r="P256" s="34"/>
      <c r="Q256" s="58"/>
      <c r="R256" s="39"/>
      <c r="W256" s="39"/>
      <c r="AH256" s="279"/>
      <c r="AJ256" s="279"/>
      <c r="AK256" s="279"/>
      <c r="AL256" s="523">
        <v>0</v>
      </c>
      <c r="AM256" s="35" t="s">
        <v>12</v>
      </c>
      <c r="AN256" s="35" t="s">
        <v>13</v>
      </c>
      <c r="AO256" s="35" t="s">
        <v>356</v>
      </c>
      <c r="AP256" s="35" t="s">
        <v>14</v>
      </c>
      <c r="AQ256" s="34" t="s">
        <v>7</v>
      </c>
      <c r="AR256" s="35" t="s">
        <v>15</v>
      </c>
      <c r="AS256" s="35" t="s">
        <v>8</v>
      </c>
      <c r="AT256" s="35" t="s">
        <v>16</v>
      </c>
      <c r="AU256" s="35" t="s">
        <v>17</v>
      </c>
      <c r="AV256" s="35" t="s">
        <v>356</v>
      </c>
      <c r="AW256" s="35" t="s">
        <v>18</v>
      </c>
      <c r="AX256" s="34" t="s">
        <v>7</v>
      </c>
      <c r="AY256" s="35" t="s">
        <v>15</v>
      </c>
      <c r="AZ256" s="35" t="s">
        <v>8</v>
      </c>
      <c r="BA256" s="35" t="s">
        <v>16</v>
      </c>
      <c r="BB256" s="35" t="s">
        <v>17</v>
      </c>
      <c r="BC256" s="35" t="s">
        <v>19</v>
      </c>
      <c r="BD256" s="35" t="s">
        <v>1737</v>
      </c>
      <c r="BE256" s="35" t="s">
        <v>20</v>
      </c>
      <c r="BF256" s="35" t="s">
        <v>21</v>
      </c>
      <c r="BG256" s="35" t="s">
        <v>22</v>
      </c>
      <c r="BH256" s="35" t="s">
        <v>9</v>
      </c>
      <c r="BI256" s="35" t="s">
        <v>23</v>
      </c>
      <c r="BJ256" s="35" t="s">
        <v>24</v>
      </c>
      <c r="BK256" s="35" t="s">
        <v>0</v>
      </c>
      <c r="BL256" s="35" t="s">
        <v>2</v>
      </c>
      <c r="BM256" s="35" t="s">
        <v>12</v>
      </c>
      <c r="BW256" s="248"/>
      <c r="BX256" s="248"/>
      <c r="BY256" s="248"/>
      <c r="BZ256" s="248"/>
      <c r="CA256" s="248"/>
      <c r="CB256" s="248"/>
      <c r="CC256" s="248"/>
      <c r="CD256" s="248"/>
      <c r="CE256" s="248"/>
      <c r="CF256" s="248"/>
      <c r="CG256" s="248"/>
      <c r="CH256" s="248"/>
      <c r="CI256" s="248"/>
      <c r="CJ256" s="248"/>
      <c r="CK256" s="248"/>
      <c r="CL256" s="248"/>
      <c r="CM256" s="248"/>
      <c r="CN256" s="248"/>
      <c r="CO256" s="248"/>
      <c r="CP256" s="248"/>
      <c r="CQ256" s="248"/>
      <c r="CR256" s="248"/>
      <c r="CS256" s="248"/>
      <c r="CT256" s="248"/>
      <c r="CU256" s="248"/>
      <c r="CV256" s="248"/>
      <c r="CW256" s="248"/>
      <c r="CX256" s="248"/>
      <c r="CY256" s="248"/>
      <c r="CZ256" s="248"/>
      <c r="DA256" s="248"/>
      <c r="DB256" s="248"/>
      <c r="DC256" s="248"/>
      <c r="DD256" s="248"/>
      <c r="DE256" s="248"/>
      <c r="DF256" s="248"/>
      <c r="DG256" s="248"/>
      <c r="DH256" s="248"/>
      <c r="DI256" s="248"/>
      <c r="DJ256" s="248"/>
      <c r="DK256" s="248"/>
      <c r="DL256" s="248"/>
      <c r="DM256" s="248"/>
      <c r="DN256" s="248"/>
      <c r="DO256" s="248"/>
      <c r="DP256" s="248"/>
      <c r="DQ256" s="248"/>
      <c r="DR256" s="248"/>
      <c r="DS256" s="248"/>
      <c r="DT256" s="248"/>
      <c r="DU256" s="248"/>
      <c r="DV256" s="248"/>
      <c r="DW256" s="248"/>
      <c r="DX256" s="248"/>
      <c r="DY256" s="248"/>
      <c r="DZ256" s="248"/>
      <c r="EA256" s="248"/>
      <c r="EB256" s="248"/>
      <c r="EC256" s="248"/>
      <c r="ED256" s="248"/>
      <c r="EE256" s="248"/>
    </row>
    <row r="257" spans="1:135" s="35" customFormat="1" ht="16.5">
      <c r="A257" s="35" t="str">
        <f t="shared" si="8"/>
        <v>DISM_A              SP_CANH_MIB</v>
      </c>
      <c r="B257" s="331"/>
      <c r="C257" s="248">
        <v>216003</v>
      </c>
      <c r="D257" s="283">
        <v>216</v>
      </c>
      <c r="F257" s="177" t="s">
        <v>1094</v>
      </c>
      <c r="G257" s="35" t="s">
        <v>2249</v>
      </c>
      <c r="H257" s="35" t="s">
        <v>610</v>
      </c>
      <c r="N257" s="35" t="s">
        <v>619</v>
      </c>
      <c r="O257" s="34" t="s">
        <v>1086</v>
      </c>
      <c r="P257" s="285" t="s">
        <v>1097</v>
      </c>
      <c r="Q257" s="58"/>
      <c r="R257" s="39" t="s">
        <v>2551</v>
      </c>
      <c r="S257" s="35" t="s">
        <v>1348</v>
      </c>
      <c r="Z257" s="35" t="s">
        <v>2645</v>
      </c>
      <c r="AH257" s="279"/>
      <c r="AJ257" s="279" t="s">
        <v>1116</v>
      </c>
      <c r="AK257" s="279"/>
      <c r="AL257" s="523">
        <v>3</v>
      </c>
      <c r="AM257" s="35">
        <v>216003</v>
      </c>
      <c r="AN257" s="35" t="s">
        <v>1949</v>
      </c>
      <c r="AO257" s="35" t="s">
        <v>1716</v>
      </c>
      <c r="AP257" s="35" t="s">
        <v>775</v>
      </c>
      <c r="AQ257" s="34" t="s">
        <v>2282</v>
      </c>
      <c r="AR257" s="35">
        <v>1</v>
      </c>
      <c r="AS257" s="35" t="s">
        <v>1312</v>
      </c>
      <c r="AT257" s="35" t="s">
        <v>524</v>
      </c>
      <c r="AU257" s="35" t="s">
        <v>10</v>
      </c>
      <c r="AV257" s="35" t="s">
        <v>1717</v>
      </c>
      <c r="AW257" s="35" t="s">
        <v>1191</v>
      </c>
      <c r="AX257" s="34" t="s">
        <v>2249</v>
      </c>
      <c r="AY257" s="35">
        <v>1</v>
      </c>
      <c r="AZ257" s="35" t="s">
        <v>1930</v>
      </c>
      <c r="BA257" s="35" t="s">
        <v>10</v>
      </c>
      <c r="BB257" s="35" t="s">
        <v>10</v>
      </c>
      <c r="BC257" s="35" t="s">
        <v>2392</v>
      </c>
      <c r="BD257" s="35" t="s">
        <v>1742</v>
      </c>
      <c r="BE257" s="35" t="s">
        <v>776</v>
      </c>
      <c r="BF257" s="35" t="s">
        <v>95</v>
      </c>
      <c r="BG257" s="35">
        <v>453</v>
      </c>
      <c r="BH257" s="35" t="s">
        <v>96</v>
      </c>
      <c r="BI257" s="35">
        <v>0.35</v>
      </c>
      <c r="BJ257" s="35" t="s">
        <v>1934</v>
      </c>
      <c r="BK257" s="35" t="s">
        <v>774</v>
      </c>
      <c r="BL257" s="35" t="s">
        <v>2166</v>
      </c>
      <c r="BM257" s="35">
        <v>216003</v>
      </c>
      <c r="BW257" s="248"/>
      <c r="BX257" s="248"/>
      <c r="BY257" s="248"/>
      <c r="BZ257" s="248"/>
      <c r="CA257" s="248"/>
      <c r="CB257" s="248"/>
      <c r="CC257" s="248"/>
      <c r="CD257" s="248"/>
      <c r="CE257" s="248"/>
      <c r="CF257" s="248"/>
      <c r="CG257" s="248"/>
      <c r="CH257" s="248"/>
      <c r="CI257" s="248"/>
      <c r="CJ257" s="248"/>
      <c r="CK257" s="248"/>
      <c r="CL257" s="248"/>
      <c r="CM257" s="248"/>
      <c r="CN257" s="248"/>
      <c r="CO257" s="248"/>
      <c r="CP257" s="248"/>
      <c r="CQ257" s="248"/>
      <c r="CR257" s="248"/>
      <c r="CS257" s="248"/>
      <c r="CT257" s="248"/>
      <c r="CU257" s="248"/>
      <c r="CV257" s="248"/>
      <c r="CW257" s="248"/>
      <c r="CX257" s="248"/>
      <c r="CY257" s="248"/>
      <c r="CZ257" s="248"/>
      <c r="DA257" s="248"/>
      <c r="DB257" s="248"/>
      <c r="DC257" s="248"/>
      <c r="DD257" s="248"/>
      <c r="DE257" s="248"/>
      <c r="DF257" s="248"/>
      <c r="DG257" s="248"/>
      <c r="DH257" s="248"/>
      <c r="DI257" s="248"/>
      <c r="DJ257" s="248"/>
      <c r="DK257" s="248"/>
      <c r="DL257" s="248"/>
      <c r="DM257" s="248"/>
      <c r="DN257" s="248"/>
      <c r="DO257" s="248"/>
      <c r="DP257" s="248"/>
      <c r="DQ257" s="248"/>
      <c r="DR257" s="248"/>
      <c r="DS257" s="248"/>
      <c r="DT257" s="248"/>
      <c r="DU257" s="248"/>
      <c r="DV257" s="248"/>
      <c r="DW257" s="248"/>
      <c r="DX257" s="248"/>
      <c r="DY257" s="248"/>
      <c r="DZ257" s="248"/>
      <c r="EA257" s="248"/>
      <c r="EB257" s="248"/>
      <c r="EC257" s="248"/>
      <c r="ED257" s="248"/>
      <c r="EE257" s="248"/>
    </row>
    <row r="258" spans="1:135" s="35" customFormat="1" ht="16.5">
      <c r="A258" s="35" t="str">
        <f t="shared" si="8"/>
        <v>DISM_A              SP_CANL_MIB</v>
      </c>
      <c r="B258" s="331"/>
      <c r="C258" s="248">
        <v>216004</v>
      </c>
      <c r="D258" s="283">
        <v>216</v>
      </c>
      <c r="F258" s="177" t="s">
        <v>1094</v>
      </c>
      <c r="G258" s="35" t="s">
        <v>2248</v>
      </c>
      <c r="H258" s="35" t="s">
        <v>610</v>
      </c>
      <c r="N258" s="35" t="s">
        <v>619</v>
      </c>
      <c r="O258" s="34" t="s">
        <v>1086</v>
      </c>
      <c r="P258" s="285" t="s">
        <v>1097</v>
      </c>
      <c r="Q258" s="58"/>
      <c r="R258" s="39" t="s">
        <v>2551</v>
      </c>
      <c r="S258" s="35" t="s">
        <v>1348</v>
      </c>
      <c r="Z258" s="35" t="s">
        <v>2645</v>
      </c>
      <c r="AH258" s="279"/>
      <c r="AJ258" s="279" t="s">
        <v>1116</v>
      </c>
      <c r="AK258" s="279"/>
      <c r="AL258" s="523">
        <v>3</v>
      </c>
      <c r="AM258" s="35">
        <v>216004</v>
      </c>
      <c r="AN258" s="35" t="s">
        <v>1950</v>
      </c>
      <c r="AO258" s="35" t="s">
        <v>1716</v>
      </c>
      <c r="AP258" s="35" t="s">
        <v>775</v>
      </c>
      <c r="AQ258" s="34" t="s">
        <v>2282</v>
      </c>
      <c r="AR258" s="35">
        <v>5</v>
      </c>
      <c r="AS258" s="35" t="s">
        <v>1312</v>
      </c>
      <c r="AT258" s="35" t="s">
        <v>524</v>
      </c>
      <c r="AU258" s="35" t="s">
        <v>10</v>
      </c>
      <c r="AV258" s="35" t="s">
        <v>1715</v>
      </c>
      <c r="AW258" s="35" t="s">
        <v>1192</v>
      </c>
      <c r="AX258" s="34" t="s">
        <v>2248</v>
      </c>
      <c r="AY258" s="35">
        <v>1</v>
      </c>
      <c r="AZ258" s="35" t="s">
        <v>1930</v>
      </c>
      <c r="BA258" s="35" t="s">
        <v>10</v>
      </c>
      <c r="BB258" s="35" t="s">
        <v>10</v>
      </c>
      <c r="BC258" s="35" t="s">
        <v>2392</v>
      </c>
      <c r="BD258" s="35" t="s">
        <v>1742</v>
      </c>
      <c r="BE258" s="35" t="s">
        <v>776</v>
      </c>
      <c r="BF258" s="35" t="s">
        <v>88</v>
      </c>
      <c r="BG258" s="35">
        <v>439</v>
      </c>
      <c r="BH258" s="35" t="s">
        <v>89</v>
      </c>
      <c r="BI258" s="35">
        <v>0.35</v>
      </c>
      <c r="BJ258" s="35" t="s">
        <v>1931</v>
      </c>
      <c r="BK258" s="35" t="s">
        <v>774</v>
      </c>
      <c r="BL258" s="35" t="s">
        <v>2166</v>
      </c>
      <c r="BM258" s="35">
        <v>216004</v>
      </c>
      <c r="BW258" s="248"/>
      <c r="BX258" s="248"/>
      <c r="BY258" s="248"/>
      <c r="BZ258" s="248"/>
      <c r="CA258" s="248"/>
      <c r="CB258" s="248"/>
      <c r="CC258" s="248"/>
      <c r="CD258" s="248"/>
      <c r="CE258" s="248"/>
      <c r="CF258" s="248"/>
      <c r="CG258" s="248"/>
      <c r="CH258" s="248"/>
      <c r="CI258" s="248"/>
      <c r="CJ258" s="248"/>
      <c r="CK258" s="248"/>
      <c r="CL258" s="248"/>
      <c r="CM258" s="248"/>
      <c r="CN258" s="248"/>
      <c r="CO258" s="248"/>
      <c r="CP258" s="248"/>
      <c r="CQ258" s="248"/>
      <c r="CR258" s="248"/>
      <c r="CS258" s="248"/>
      <c r="CT258" s="248"/>
      <c r="CU258" s="248"/>
      <c r="CV258" s="248"/>
      <c r="CW258" s="248"/>
      <c r="CX258" s="248"/>
      <c r="CY258" s="248"/>
      <c r="CZ258" s="248"/>
      <c r="DA258" s="248"/>
      <c r="DB258" s="248"/>
      <c r="DC258" s="248"/>
      <c r="DD258" s="248"/>
      <c r="DE258" s="248"/>
      <c r="DF258" s="248"/>
      <c r="DG258" s="248"/>
      <c r="DH258" s="248"/>
      <c r="DI258" s="248"/>
      <c r="DJ258" s="248"/>
      <c r="DK258" s="248"/>
      <c r="DL258" s="248"/>
      <c r="DM258" s="248"/>
      <c r="DN258" s="248"/>
      <c r="DO258" s="248"/>
      <c r="DP258" s="248"/>
      <c r="DQ258" s="248"/>
      <c r="DR258" s="248"/>
      <c r="DS258" s="248"/>
      <c r="DT258" s="248"/>
      <c r="DU258" s="248"/>
      <c r="DV258" s="248"/>
      <c r="DW258" s="248"/>
      <c r="DX258" s="248"/>
      <c r="DY258" s="248"/>
      <c r="DZ258" s="248"/>
      <c r="EA258" s="248"/>
      <c r="EB258" s="248"/>
      <c r="EC258" s="248"/>
      <c r="ED258" s="248"/>
      <c r="EE258" s="248"/>
    </row>
    <row r="259" spans="1:135" s="35" customFormat="1" ht="16.5">
      <c r="A259" s="35" t="str">
        <f t="shared" ref="A259:A292" si="9" xml:space="preserve"> AQ259 &amp; REPT(" ",20-LEN(AQ259)) &amp; AX259</f>
        <v>MIB_E               SP_CANH_MIB</v>
      </c>
      <c r="B259" s="331"/>
      <c r="C259" s="248">
        <v>216005</v>
      </c>
      <c r="D259" s="283">
        <v>216</v>
      </c>
      <c r="F259" s="177" t="s">
        <v>1094</v>
      </c>
      <c r="G259" s="35" t="s">
        <v>2249</v>
      </c>
      <c r="H259" s="35" t="s">
        <v>610</v>
      </c>
      <c r="N259" s="35" t="s">
        <v>619</v>
      </c>
      <c r="O259" s="34" t="s">
        <v>1086</v>
      </c>
      <c r="P259" s="285" t="s">
        <v>1097</v>
      </c>
      <c r="Q259" s="58"/>
      <c r="R259" s="39" t="s">
        <v>2551</v>
      </c>
      <c r="AH259" s="279"/>
      <c r="AJ259" s="279" t="s">
        <v>1116</v>
      </c>
      <c r="AK259" s="279"/>
      <c r="AL259" s="523">
        <v>3</v>
      </c>
      <c r="AM259" s="35">
        <v>216005</v>
      </c>
      <c r="AN259" s="35" t="s">
        <v>1951</v>
      </c>
      <c r="AO259" s="35" t="s">
        <v>920</v>
      </c>
      <c r="AP259" s="35" t="s">
        <v>664</v>
      </c>
      <c r="AQ259" s="34" t="s">
        <v>2264</v>
      </c>
      <c r="AR259" s="35">
        <v>1</v>
      </c>
      <c r="AS259" s="35" t="s">
        <v>1257</v>
      </c>
      <c r="AT259" s="35" t="s">
        <v>87</v>
      </c>
      <c r="AU259" s="35" t="s">
        <v>10</v>
      </c>
      <c r="AV259" s="35" t="s">
        <v>1717</v>
      </c>
      <c r="AW259" s="35" t="s">
        <v>1191</v>
      </c>
      <c r="AX259" s="34" t="s">
        <v>2249</v>
      </c>
      <c r="AY259" s="35">
        <v>1</v>
      </c>
      <c r="AZ259" s="35" t="s">
        <v>1930</v>
      </c>
      <c r="BA259" s="35" t="s">
        <v>10</v>
      </c>
      <c r="BB259" s="35" t="s">
        <v>10</v>
      </c>
      <c r="BC259" s="35" t="s">
        <v>2392</v>
      </c>
      <c r="BD259" s="35" t="s">
        <v>1742</v>
      </c>
      <c r="BE259" s="35" t="s">
        <v>777</v>
      </c>
      <c r="BF259" s="35" t="s">
        <v>95</v>
      </c>
      <c r="BG259" s="35">
        <v>661</v>
      </c>
      <c r="BH259" s="35" t="s">
        <v>96</v>
      </c>
      <c r="BI259" s="35">
        <v>0.35</v>
      </c>
      <c r="BJ259" s="35" t="s">
        <v>1934</v>
      </c>
      <c r="BK259" s="35" t="s">
        <v>774</v>
      </c>
      <c r="BL259" s="35" t="s">
        <v>2166</v>
      </c>
      <c r="BM259" s="35">
        <v>216005</v>
      </c>
      <c r="BW259" s="248"/>
      <c r="BX259" s="248"/>
      <c r="BY259" s="248"/>
      <c r="BZ259" s="248"/>
      <c r="CA259" s="248"/>
      <c r="CB259" s="248"/>
      <c r="CC259" s="248"/>
      <c r="CD259" s="248"/>
      <c r="CE259" s="248"/>
      <c r="CF259" s="248"/>
      <c r="CG259" s="248"/>
      <c r="CH259" s="248"/>
      <c r="CI259" s="248"/>
      <c r="CJ259" s="248"/>
      <c r="CK259" s="248"/>
      <c r="CL259" s="248"/>
      <c r="CM259" s="248"/>
      <c r="CN259" s="248"/>
      <c r="CO259" s="248"/>
      <c r="CP259" s="248"/>
      <c r="CQ259" s="248"/>
      <c r="CR259" s="248"/>
      <c r="CS259" s="248"/>
      <c r="CT259" s="248"/>
      <c r="CU259" s="248"/>
      <c r="CV259" s="248"/>
      <c r="CW259" s="248"/>
      <c r="CX259" s="248"/>
      <c r="CY259" s="248"/>
      <c r="CZ259" s="248"/>
      <c r="DA259" s="248"/>
      <c r="DB259" s="248"/>
      <c r="DC259" s="248"/>
      <c r="DD259" s="248"/>
      <c r="DE259" s="248"/>
      <c r="DF259" s="248"/>
      <c r="DG259" s="248"/>
      <c r="DH259" s="248"/>
      <c r="DI259" s="248"/>
      <c r="DJ259" s="248"/>
      <c r="DK259" s="248"/>
      <c r="DL259" s="248"/>
      <c r="DM259" s="248"/>
      <c r="DN259" s="248"/>
      <c r="DO259" s="248"/>
      <c r="DP259" s="248"/>
      <c r="DQ259" s="248"/>
      <c r="DR259" s="248"/>
      <c r="DS259" s="248"/>
      <c r="DT259" s="248"/>
      <c r="DU259" s="248"/>
      <c r="DV259" s="248"/>
      <c r="DW259" s="248"/>
      <c r="DX259" s="248"/>
      <c r="DY259" s="248"/>
      <c r="DZ259" s="248"/>
      <c r="EA259" s="248"/>
      <c r="EB259" s="248"/>
      <c r="EC259" s="248"/>
      <c r="ED259" s="248"/>
      <c r="EE259" s="248"/>
    </row>
    <row r="260" spans="1:135" s="35" customFormat="1" ht="16.5">
      <c r="A260" s="35" t="str">
        <f t="shared" si="9"/>
        <v>MIB_E               SP_CANL_MIB</v>
      </c>
      <c r="B260" s="331"/>
      <c r="C260" s="248">
        <v>216006</v>
      </c>
      <c r="D260" s="283">
        <v>216</v>
      </c>
      <c r="F260" s="177" t="s">
        <v>1094</v>
      </c>
      <c r="G260" s="35" t="s">
        <v>2248</v>
      </c>
      <c r="H260" s="35" t="s">
        <v>610</v>
      </c>
      <c r="N260" s="35" t="s">
        <v>619</v>
      </c>
      <c r="O260" s="34" t="s">
        <v>1086</v>
      </c>
      <c r="P260" s="285" t="s">
        <v>1097</v>
      </c>
      <c r="Q260" s="58"/>
      <c r="R260" s="39" t="s">
        <v>2551</v>
      </c>
      <c r="AH260" s="279"/>
      <c r="AJ260" s="279" t="s">
        <v>1116</v>
      </c>
      <c r="AK260" s="279"/>
      <c r="AL260" s="523">
        <v>3</v>
      </c>
      <c r="AM260" s="35">
        <v>216006</v>
      </c>
      <c r="AN260" s="35" t="s">
        <v>1952</v>
      </c>
      <c r="AO260" s="35" t="s">
        <v>920</v>
      </c>
      <c r="AP260" s="35" t="s">
        <v>664</v>
      </c>
      <c r="AQ260" s="34" t="s">
        <v>2264</v>
      </c>
      <c r="AR260" s="35">
        <v>7</v>
      </c>
      <c r="AS260" s="35" t="s">
        <v>1257</v>
      </c>
      <c r="AT260" s="35" t="s">
        <v>87</v>
      </c>
      <c r="AU260" s="35" t="s">
        <v>10</v>
      </c>
      <c r="AV260" s="35" t="s">
        <v>1715</v>
      </c>
      <c r="AW260" s="35" t="s">
        <v>1192</v>
      </c>
      <c r="AX260" s="34" t="s">
        <v>2248</v>
      </c>
      <c r="AY260" s="35">
        <v>1</v>
      </c>
      <c r="AZ260" s="35" t="s">
        <v>1930</v>
      </c>
      <c r="BA260" s="35" t="s">
        <v>10</v>
      </c>
      <c r="BB260" s="35" t="s">
        <v>10</v>
      </c>
      <c r="BC260" s="35" t="s">
        <v>2392</v>
      </c>
      <c r="BD260" s="35" t="s">
        <v>1742</v>
      </c>
      <c r="BE260" s="35" t="s">
        <v>777</v>
      </c>
      <c r="BF260" s="35" t="s">
        <v>88</v>
      </c>
      <c r="BG260" s="35">
        <v>675</v>
      </c>
      <c r="BH260" s="35" t="s">
        <v>89</v>
      </c>
      <c r="BI260" s="35">
        <v>0.35</v>
      </c>
      <c r="BJ260" s="35" t="s">
        <v>1931</v>
      </c>
      <c r="BK260" s="35" t="s">
        <v>774</v>
      </c>
      <c r="BL260" s="35" t="s">
        <v>2166</v>
      </c>
      <c r="BM260" s="35">
        <v>216006</v>
      </c>
      <c r="BW260" s="248"/>
      <c r="BX260" s="248"/>
      <c r="BY260" s="248"/>
      <c r="BZ260" s="248"/>
      <c r="CA260" s="248"/>
      <c r="CB260" s="248"/>
      <c r="CC260" s="248"/>
      <c r="CD260" s="248"/>
      <c r="CE260" s="248"/>
      <c r="CF260" s="248"/>
      <c r="CG260" s="248"/>
      <c r="CH260" s="248"/>
      <c r="CI260" s="248"/>
      <c r="CJ260" s="248"/>
      <c r="CK260" s="248"/>
      <c r="CL260" s="248"/>
      <c r="CM260" s="248"/>
      <c r="CN260" s="248"/>
      <c r="CO260" s="248"/>
      <c r="CP260" s="248"/>
      <c r="CQ260" s="248"/>
      <c r="CR260" s="248"/>
      <c r="CS260" s="248"/>
      <c r="CT260" s="248"/>
      <c r="CU260" s="248"/>
      <c r="CV260" s="248"/>
      <c r="CW260" s="248"/>
      <c r="CX260" s="248"/>
      <c r="CY260" s="248"/>
      <c r="CZ260" s="248"/>
      <c r="DA260" s="248"/>
      <c r="DB260" s="248"/>
      <c r="DC260" s="248"/>
      <c r="DD260" s="248"/>
      <c r="DE260" s="248"/>
      <c r="DF260" s="248"/>
      <c r="DG260" s="248"/>
      <c r="DH260" s="248"/>
      <c r="DI260" s="248"/>
      <c r="DJ260" s="248"/>
      <c r="DK260" s="248"/>
      <c r="DL260" s="248"/>
      <c r="DM260" s="248"/>
      <c r="DN260" s="248"/>
      <c r="DO260" s="248"/>
      <c r="DP260" s="248"/>
      <c r="DQ260" s="248"/>
      <c r="DR260" s="248"/>
      <c r="DS260" s="248"/>
      <c r="DT260" s="248"/>
      <c r="DU260" s="248"/>
      <c r="DV260" s="248"/>
      <c r="DW260" s="248"/>
      <c r="DX260" s="248"/>
      <c r="DY260" s="248"/>
      <c r="DZ260" s="248"/>
      <c r="EA260" s="248"/>
      <c r="EB260" s="248"/>
      <c r="EC260" s="248"/>
      <c r="ED260" s="248"/>
      <c r="EE260" s="248"/>
    </row>
    <row r="261" spans="1:135" s="35" customFormat="1" ht="16.5">
      <c r="A261" s="35" t="str">
        <f t="shared" si="9"/>
        <v>SP_CANH_MIB         KS_CPR_B</v>
      </c>
      <c r="B261" s="331"/>
      <c r="C261" s="248">
        <v>216007</v>
      </c>
      <c r="D261" s="283">
        <v>216</v>
      </c>
      <c r="F261" s="177" t="s">
        <v>1094</v>
      </c>
      <c r="G261" s="35" t="s">
        <v>2249</v>
      </c>
      <c r="H261" s="35" t="s">
        <v>610</v>
      </c>
      <c r="N261" s="35" t="s">
        <v>619</v>
      </c>
      <c r="O261" s="34" t="s">
        <v>1097</v>
      </c>
      <c r="P261" s="285" t="s">
        <v>1086</v>
      </c>
      <c r="Q261" s="58"/>
      <c r="R261" s="39" t="s">
        <v>2551</v>
      </c>
      <c r="AH261" s="279"/>
      <c r="AJ261" s="279" t="s">
        <v>1116</v>
      </c>
      <c r="AK261" s="279"/>
      <c r="AL261" s="523">
        <v>3</v>
      </c>
      <c r="AM261" s="35">
        <v>216007</v>
      </c>
      <c r="AN261" s="35" t="s">
        <v>1953</v>
      </c>
      <c r="AO261" s="35" t="s">
        <v>1717</v>
      </c>
      <c r="AP261" s="35" t="s">
        <v>1191</v>
      </c>
      <c r="AQ261" s="34" t="s">
        <v>2249</v>
      </c>
      <c r="AR261" s="35">
        <v>1</v>
      </c>
      <c r="AS261" s="35" t="s">
        <v>1930</v>
      </c>
      <c r="AT261" s="35" t="s">
        <v>10</v>
      </c>
      <c r="AU261" s="35" t="s">
        <v>10</v>
      </c>
      <c r="AV261" s="35" t="s">
        <v>424</v>
      </c>
      <c r="AW261" s="35" t="s">
        <v>651</v>
      </c>
      <c r="AX261" s="34" t="s">
        <v>1807</v>
      </c>
      <c r="AY261" s="35">
        <v>13</v>
      </c>
      <c r="AZ261" s="35" t="s">
        <v>1808</v>
      </c>
      <c r="BA261" s="35" t="s">
        <v>72</v>
      </c>
      <c r="BB261" s="35" t="s">
        <v>10</v>
      </c>
      <c r="BC261" s="35" t="s">
        <v>2392</v>
      </c>
      <c r="BD261" s="35" t="s">
        <v>1742</v>
      </c>
      <c r="BE261" s="35" t="s">
        <v>778</v>
      </c>
      <c r="BF261" s="35" t="s">
        <v>95</v>
      </c>
      <c r="BG261" s="35">
        <v>1395</v>
      </c>
      <c r="BH261" s="35" t="s">
        <v>96</v>
      </c>
      <c r="BI261" s="35">
        <v>0.35</v>
      </c>
      <c r="BJ261" s="35" t="s">
        <v>1934</v>
      </c>
      <c r="BK261" s="35" t="s">
        <v>774</v>
      </c>
      <c r="BL261" s="58" t="s">
        <v>10</v>
      </c>
      <c r="BM261" s="35">
        <v>216007</v>
      </c>
      <c r="BW261" s="248"/>
      <c r="BX261" s="248"/>
      <c r="BY261" s="248"/>
      <c r="BZ261" s="248"/>
      <c r="CA261" s="248"/>
      <c r="CB261" s="248"/>
      <c r="CC261" s="248"/>
      <c r="CD261" s="248"/>
      <c r="CE261" s="248"/>
      <c r="CF261" s="248"/>
      <c r="CG261" s="248"/>
      <c r="CH261" s="248"/>
      <c r="CI261" s="248"/>
      <c r="CJ261" s="248"/>
      <c r="CK261" s="248"/>
      <c r="CL261" s="248"/>
      <c r="CM261" s="248"/>
      <c r="CN261" s="248"/>
      <c r="CO261" s="248"/>
      <c r="CP261" s="248"/>
      <c r="CQ261" s="248"/>
      <c r="CR261" s="248"/>
      <c r="CS261" s="248"/>
      <c r="CT261" s="248"/>
      <c r="CU261" s="248"/>
      <c r="CV261" s="248"/>
      <c r="CW261" s="248"/>
      <c r="CX261" s="248"/>
      <c r="CY261" s="248"/>
      <c r="CZ261" s="248"/>
      <c r="DA261" s="248"/>
      <c r="DB261" s="248"/>
      <c r="DC261" s="248"/>
      <c r="DD261" s="248"/>
      <c r="DE261" s="248"/>
      <c r="DF261" s="248"/>
      <c r="DG261" s="248"/>
      <c r="DH261" s="248"/>
      <c r="DI261" s="248"/>
      <c r="DJ261" s="248"/>
      <c r="DK261" s="248"/>
      <c r="DL261" s="248"/>
      <c r="DM261" s="248"/>
      <c r="DN261" s="248"/>
      <c r="DO261" s="248"/>
      <c r="DP261" s="248"/>
      <c r="DQ261" s="248"/>
      <c r="DR261" s="248"/>
      <c r="DS261" s="248"/>
      <c r="DT261" s="248"/>
      <c r="DU261" s="248"/>
      <c r="DV261" s="248"/>
      <c r="DW261" s="248"/>
      <c r="DX261" s="248"/>
      <c r="DY261" s="248"/>
      <c r="DZ261" s="248"/>
      <c r="EA261" s="248"/>
      <c r="EB261" s="248"/>
      <c r="EC261" s="248"/>
      <c r="ED261" s="248"/>
      <c r="EE261" s="248"/>
    </row>
    <row r="262" spans="1:135" s="35" customFormat="1" ht="16.5">
      <c r="A262" s="35" t="str">
        <f t="shared" si="9"/>
        <v>SP_CANL_MIB         KS_CPR_B</v>
      </c>
      <c r="B262" s="331"/>
      <c r="C262" s="248">
        <v>216008</v>
      </c>
      <c r="D262" s="283">
        <v>216</v>
      </c>
      <c r="F262" s="177" t="s">
        <v>1094</v>
      </c>
      <c r="G262" s="35" t="s">
        <v>2248</v>
      </c>
      <c r="H262" s="35" t="s">
        <v>610</v>
      </c>
      <c r="N262" s="35" t="s">
        <v>619</v>
      </c>
      <c r="O262" s="34" t="s">
        <v>1097</v>
      </c>
      <c r="P262" s="285" t="s">
        <v>1086</v>
      </c>
      <c r="Q262" s="58"/>
      <c r="R262" s="39" t="s">
        <v>2551</v>
      </c>
      <c r="W262" s="39"/>
      <c r="AH262" s="279"/>
      <c r="AJ262" s="279" t="s">
        <v>1116</v>
      </c>
      <c r="AK262" s="279"/>
      <c r="AL262" s="523">
        <v>3</v>
      </c>
      <c r="AM262" s="35">
        <v>216008</v>
      </c>
      <c r="AN262" s="35" t="s">
        <v>1954</v>
      </c>
      <c r="AO262" s="35" t="s">
        <v>1715</v>
      </c>
      <c r="AP262" s="35" t="s">
        <v>1192</v>
      </c>
      <c r="AQ262" s="34" t="s">
        <v>2248</v>
      </c>
      <c r="AR262" s="35">
        <v>1</v>
      </c>
      <c r="AS262" s="35" t="s">
        <v>1930</v>
      </c>
      <c r="AT262" s="35" t="s">
        <v>10</v>
      </c>
      <c r="AU262" s="35" t="s">
        <v>10</v>
      </c>
      <c r="AV262" s="35" t="s">
        <v>424</v>
      </c>
      <c r="AW262" s="35" t="s">
        <v>651</v>
      </c>
      <c r="AX262" s="34" t="s">
        <v>1807</v>
      </c>
      <c r="AY262" s="35">
        <v>14</v>
      </c>
      <c r="AZ262" s="35" t="s">
        <v>1808</v>
      </c>
      <c r="BA262" s="35" t="s">
        <v>72</v>
      </c>
      <c r="BB262" s="35" t="s">
        <v>10</v>
      </c>
      <c r="BC262" s="35" t="s">
        <v>2392</v>
      </c>
      <c r="BD262" s="35" t="s">
        <v>1742</v>
      </c>
      <c r="BE262" s="35" t="s">
        <v>778</v>
      </c>
      <c r="BF262" s="35" t="s">
        <v>88</v>
      </c>
      <c r="BG262" s="35">
        <v>1409</v>
      </c>
      <c r="BH262" s="35" t="s">
        <v>89</v>
      </c>
      <c r="BI262" s="35">
        <v>0.35</v>
      </c>
      <c r="BJ262" s="35" t="s">
        <v>1931</v>
      </c>
      <c r="BK262" s="35" t="s">
        <v>774</v>
      </c>
      <c r="BL262" s="58" t="s">
        <v>10</v>
      </c>
      <c r="BM262" s="35">
        <v>216008</v>
      </c>
      <c r="BW262" s="248"/>
      <c r="BX262" s="248"/>
      <c r="BY262" s="248"/>
      <c r="BZ262" s="248"/>
      <c r="CA262" s="248"/>
      <c r="CB262" s="248"/>
      <c r="CC262" s="248"/>
      <c r="CD262" s="248"/>
      <c r="CE262" s="248"/>
      <c r="CF262" s="248"/>
      <c r="CG262" s="248"/>
      <c r="CH262" s="248"/>
      <c r="CI262" s="248"/>
      <c r="CJ262" s="248"/>
      <c r="CK262" s="248"/>
      <c r="CL262" s="248"/>
      <c r="CM262" s="248"/>
      <c r="CN262" s="248"/>
      <c r="CO262" s="248"/>
      <c r="CP262" s="248"/>
      <c r="CQ262" s="248"/>
      <c r="CR262" s="248"/>
      <c r="CS262" s="248"/>
      <c r="CT262" s="248"/>
      <c r="CU262" s="248"/>
      <c r="CV262" s="248"/>
      <c r="CW262" s="248"/>
      <c r="CX262" s="248"/>
      <c r="CY262" s="248"/>
      <c r="CZ262" s="248"/>
      <c r="DA262" s="248"/>
      <c r="DB262" s="248"/>
      <c r="DC262" s="248"/>
      <c r="DD262" s="248"/>
      <c r="DE262" s="248"/>
      <c r="DF262" s="248"/>
      <c r="DG262" s="248"/>
      <c r="DH262" s="248"/>
      <c r="DI262" s="248"/>
      <c r="DJ262" s="248"/>
      <c r="DK262" s="248"/>
      <c r="DL262" s="248"/>
      <c r="DM262" s="248"/>
      <c r="DN262" s="248"/>
      <c r="DO262" s="248"/>
      <c r="DP262" s="248"/>
      <c r="DQ262" s="248"/>
      <c r="DR262" s="248"/>
      <c r="DS262" s="248"/>
      <c r="DT262" s="248"/>
      <c r="DU262" s="248"/>
      <c r="DV262" s="248"/>
      <c r="DW262" s="248"/>
      <c r="DX262" s="248"/>
      <c r="DY262" s="248"/>
      <c r="DZ262" s="248"/>
      <c r="EA262" s="248"/>
      <c r="EB262" s="248"/>
      <c r="EC262" s="248"/>
      <c r="ED262" s="248"/>
      <c r="EE262" s="248"/>
    </row>
    <row r="263" spans="1:135" s="35" customFormat="1" ht="16.5">
      <c r="A263" s="35" t="str">
        <f t="shared" si="9"/>
        <v>SP_MB34_B1          DISM_A</v>
      </c>
      <c r="B263" s="331"/>
      <c r="C263" s="248">
        <v>216011</v>
      </c>
      <c r="D263" s="283">
        <v>216</v>
      </c>
      <c r="F263" s="35" t="s">
        <v>1086</v>
      </c>
      <c r="G263" s="35" t="s">
        <v>2231</v>
      </c>
      <c r="H263" s="35" t="s">
        <v>609</v>
      </c>
      <c r="N263" s="35" t="s">
        <v>537</v>
      </c>
      <c r="O263" s="34" t="s">
        <v>1086</v>
      </c>
      <c r="P263" s="34" t="s">
        <v>1086</v>
      </c>
      <c r="Q263" s="58"/>
      <c r="R263" s="39"/>
      <c r="T263" s="35" t="s">
        <v>1348</v>
      </c>
      <c r="W263" s="39"/>
      <c r="AA263" s="35" t="s">
        <v>2645</v>
      </c>
      <c r="AH263" s="279"/>
      <c r="AJ263" s="279" t="s">
        <v>1117</v>
      </c>
      <c r="AK263" s="279"/>
      <c r="AL263" s="523">
        <v>3</v>
      </c>
      <c r="AM263" s="35">
        <v>216011</v>
      </c>
      <c r="AN263" s="35" t="s">
        <v>1955</v>
      </c>
      <c r="AO263" s="35" t="s">
        <v>2147</v>
      </c>
      <c r="AP263" s="35" t="s">
        <v>534</v>
      </c>
      <c r="AQ263" s="34" t="s">
        <v>2231</v>
      </c>
      <c r="AR263" s="35">
        <v>1</v>
      </c>
      <c r="AS263" s="35" t="s">
        <v>411</v>
      </c>
      <c r="AT263" s="35" t="s">
        <v>10</v>
      </c>
      <c r="AU263" s="35" t="s">
        <v>10</v>
      </c>
      <c r="AV263" s="35" t="s">
        <v>1716</v>
      </c>
      <c r="AW263" s="35" t="s">
        <v>775</v>
      </c>
      <c r="AX263" s="34" t="s">
        <v>2282</v>
      </c>
      <c r="AY263" s="35">
        <v>8</v>
      </c>
      <c r="AZ263" s="35" t="s">
        <v>1312</v>
      </c>
      <c r="BA263" s="35" t="s">
        <v>2190</v>
      </c>
      <c r="BB263" s="35" t="s">
        <v>10</v>
      </c>
      <c r="BC263" s="35" t="s">
        <v>26</v>
      </c>
      <c r="BD263" s="35" t="s">
        <v>1742</v>
      </c>
      <c r="BE263" s="35" t="s">
        <v>10</v>
      </c>
      <c r="BF263" s="35" t="s">
        <v>10</v>
      </c>
      <c r="BG263" s="35">
        <v>654</v>
      </c>
      <c r="BH263" s="35" t="s">
        <v>25</v>
      </c>
      <c r="BI263" s="35">
        <v>0.5</v>
      </c>
      <c r="BJ263" s="35" t="s">
        <v>1355</v>
      </c>
      <c r="BK263" s="35" t="s">
        <v>774</v>
      </c>
      <c r="BL263" s="35" t="s">
        <v>2166</v>
      </c>
      <c r="BM263" s="35">
        <v>216011</v>
      </c>
      <c r="BW263" s="248"/>
      <c r="BX263" s="248"/>
      <c r="BY263" s="248"/>
      <c r="BZ263" s="248"/>
      <c r="CA263" s="248"/>
      <c r="CB263" s="248"/>
      <c r="CC263" s="248"/>
      <c r="CD263" s="248"/>
      <c r="CE263" s="248"/>
      <c r="CF263" s="248"/>
      <c r="CG263" s="248"/>
      <c r="CH263" s="248"/>
      <c r="CI263" s="248"/>
      <c r="CJ263" s="248"/>
      <c r="CK263" s="248"/>
      <c r="CL263" s="248"/>
      <c r="CM263" s="248"/>
      <c r="CN263" s="248"/>
      <c r="CO263" s="248"/>
      <c r="CP263" s="248"/>
      <c r="CQ263" s="248"/>
      <c r="CR263" s="248"/>
      <c r="CS263" s="248"/>
      <c r="CT263" s="248"/>
      <c r="CU263" s="248"/>
      <c r="CV263" s="248"/>
      <c r="CW263" s="248"/>
      <c r="CX263" s="248"/>
      <c r="CY263" s="248"/>
      <c r="CZ263" s="248"/>
      <c r="DA263" s="248"/>
      <c r="DB263" s="248"/>
      <c r="DC263" s="248"/>
      <c r="DD263" s="248"/>
      <c r="DE263" s="248"/>
      <c r="DF263" s="248"/>
      <c r="DG263" s="248"/>
      <c r="DH263" s="248"/>
      <c r="DI263" s="248"/>
      <c r="DJ263" s="248"/>
      <c r="DK263" s="248"/>
      <c r="DL263" s="248"/>
      <c r="DM263" s="248"/>
      <c r="DN263" s="248"/>
      <c r="DO263" s="248"/>
      <c r="DP263" s="248"/>
      <c r="DQ263" s="248"/>
      <c r="DR263" s="248"/>
      <c r="DS263" s="248"/>
      <c r="DT263" s="248"/>
      <c r="DU263" s="248"/>
      <c r="DV263" s="248"/>
      <c r="DW263" s="248"/>
      <c r="DX263" s="248"/>
      <c r="DY263" s="248"/>
      <c r="DZ263" s="248"/>
      <c r="EA263" s="248"/>
      <c r="EB263" s="248"/>
      <c r="EC263" s="248"/>
      <c r="ED263" s="248"/>
      <c r="EE263" s="248"/>
    </row>
    <row r="264" spans="1:135" s="35" customFormat="1" ht="16.5">
      <c r="A264" s="35" t="str">
        <f t="shared" si="9"/>
        <v>SIDO_P              DISM_A</v>
      </c>
      <c r="B264" s="331"/>
      <c r="C264" s="248">
        <v>216012</v>
      </c>
      <c r="D264" s="283">
        <v>216</v>
      </c>
      <c r="F264" s="35" t="s">
        <v>1086</v>
      </c>
      <c r="O264" s="34" t="s">
        <v>1086</v>
      </c>
      <c r="P264" s="34" t="s">
        <v>1086</v>
      </c>
      <c r="Q264" s="58"/>
      <c r="R264" s="39"/>
      <c r="T264" s="35" t="s">
        <v>1348</v>
      </c>
      <c r="W264" s="39"/>
      <c r="AA264" s="35" t="s">
        <v>2645</v>
      </c>
      <c r="AH264" s="279"/>
      <c r="AJ264" s="279" t="s">
        <v>1117</v>
      </c>
      <c r="AK264" s="279"/>
      <c r="AL264" s="523">
        <v>3</v>
      </c>
      <c r="AM264" s="35">
        <v>216012</v>
      </c>
      <c r="AN264" s="35" t="s">
        <v>1956</v>
      </c>
      <c r="AO264" s="35" t="s">
        <v>901</v>
      </c>
      <c r="AP264" s="35" t="s">
        <v>633</v>
      </c>
      <c r="AQ264" s="34" t="s">
        <v>2257</v>
      </c>
      <c r="AR264" s="35" t="s">
        <v>260</v>
      </c>
      <c r="AS264" s="35" t="s">
        <v>1414</v>
      </c>
      <c r="AT264" s="35" t="s">
        <v>244</v>
      </c>
      <c r="AU264" s="35" t="s">
        <v>10</v>
      </c>
      <c r="AV264" s="35" t="s">
        <v>1716</v>
      </c>
      <c r="AW264" s="35" t="s">
        <v>775</v>
      </c>
      <c r="AX264" s="34" t="s">
        <v>2282</v>
      </c>
      <c r="AY264" s="35">
        <v>4</v>
      </c>
      <c r="AZ264" s="35" t="s">
        <v>1312</v>
      </c>
      <c r="BA264" s="35" t="s">
        <v>1322</v>
      </c>
      <c r="BB264" s="35" t="s">
        <v>10</v>
      </c>
      <c r="BC264" s="35" t="s">
        <v>220</v>
      </c>
      <c r="BD264" s="35" t="s">
        <v>1742</v>
      </c>
      <c r="BE264" s="35" t="s">
        <v>10</v>
      </c>
      <c r="BF264" s="35" t="s">
        <v>10</v>
      </c>
      <c r="BG264" s="35">
        <v>1549</v>
      </c>
      <c r="BH264" s="35" t="s">
        <v>112</v>
      </c>
      <c r="BI264" s="35">
        <v>0.35</v>
      </c>
      <c r="BJ264" s="35" t="s">
        <v>1534</v>
      </c>
      <c r="BK264" s="35" t="s">
        <v>774</v>
      </c>
      <c r="BL264" s="35" t="s">
        <v>2166</v>
      </c>
      <c r="BM264" s="35">
        <v>216012</v>
      </c>
      <c r="BW264" s="248"/>
      <c r="BX264" s="248"/>
      <c r="BY264" s="248"/>
      <c r="BZ264" s="248"/>
      <c r="CA264" s="248"/>
      <c r="CB264" s="248"/>
      <c r="CC264" s="248"/>
      <c r="CD264" s="248"/>
      <c r="CE264" s="248"/>
      <c r="CF264" s="248"/>
      <c r="CG264" s="248"/>
      <c r="CH264" s="248"/>
      <c r="CI264" s="248"/>
      <c r="CJ264" s="248"/>
      <c r="CK264" s="248"/>
      <c r="CL264" s="248"/>
      <c r="CM264" s="248"/>
      <c r="CN264" s="248"/>
      <c r="CO264" s="248"/>
      <c r="CP264" s="248"/>
      <c r="CQ264" s="248"/>
      <c r="CR264" s="248"/>
      <c r="CS264" s="248"/>
      <c r="CT264" s="248"/>
      <c r="CU264" s="248"/>
      <c r="CV264" s="248"/>
      <c r="CW264" s="248"/>
      <c r="CX264" s="248"/>
      <c r="CY264" s="248"/>
      <c r="CZ264" s="248"/>
      <c r="DA264" s="248"/>
      <c r="DB264" s="248"/>
      <c r="DC264" s="248"/>
      <c r="DD264" s="248"/>
      <c r="DE264" s="248"/>
      <c r="DF264" s="248"/>
      <c r="DG264" s="248"/>
      <c r="DH264" s="248"/>
      <c r="DI264" s="248"/>
      <c r="DJ264" s="248"/>
      <c r="DK264" s="248"/>
      <c r="DL264" s="248"/>
      <c r="DM264" s="248"/>
      <c r="DN264" s="248"/>
      <c r="DO264" s="248"/>
      <c r="DP264" s="248"/>
      <c r="DQ264" s="248"/>
      <c r="DR264" s="248"/>
      <c r="DS264" s="248"/>
      <c r="DT264" s="248"/>
      <c r="DU264" s="248"/>
      <c r="DV264" s="248"/>
      <c r="DW264" s="248"/>
      <c r="DX264" s="248"/>
      <c r="DY264" s="248"/>
      <c r="DZ264" s="248"/>
      <c r="EA264" s="248"/>
      <c r="EB264" s="248"/>
      <c r="EC264" s="248"/>
      <c r="ED264" s="248"/>
      <c r="EE264" s="248"/>
    </row>
    <row r="265" spans="1:135" s="35" customFormat="1" ht="16.5">
      <c r="A265" s="35" t="str">
        <f t="shared" si="9"/>
        <v>MIB_Q               DISM_B</v>
      </c>
      <c r="B265" s="331"/>
      <c r="C265" s="248">
        <v>216013</v>
      </c>
      <c r="D265" s="283">
        <v>216</v>
      </c>
      <c r="F265" s="35" t="s">
        <v>1086</v>
      </c>
      <c r="O265" s="34" t="s">
        <v>1086</v>
      </c>
      <c r="P265" s="34" t="s">
        <v>1086</v>
      </c>
      <c r="Q265" s="279"/>
      <c r="R265" s="104"/>
      <c r="W265" s="58">
        <v>980017000</v>
      </c>
      <c r="AB265" s="58" t="s">
        <v>1114</v>
      </c>
      <c r="AH265" s="279"/>
      <c r="AJ265" s="279" t="s">
        <v>1117</v>
      </c>
      <c r="AK265" s="279"/>
      <c r="AL265" s="523">
        <v>3</v>
      </c>
      <c r="AM265" s="35">
        <v>216013</v>
      </c>
      <c r="AN265" s="35" t="s">
        <v>1957</v>
      </c>
      <c r="AO265" s="35" t="s">
        <v>920</v>
      </c>
      <c r="AP265" s="35" t="s">
        <v>827</v>
      </c>
      <c r="AQ265" s="34" t="s">
        <v>2283</v>
      </c>
      <c r="AR265" s="35">
        <v>4</v>
      </c>
      <c r="AS265" s="35" t="s">
        <v>955</v>
      </c>
      <c r="AT265" s="35" t="s">
        <v>1358</v>
      </c>
      <c r="AU265" s="35" t="s">
        <v>10</v>
      </c>
      <c r="AV265" s="35" t="s">
        <v>1716</v>
      </c>
      <c r="AW265" s="35" t="s">
        <v>780</v>
      </c>
      <c r="AX265" s="34" t="s">
        <v>2313</v>
      </c>
      <c r="AY265" s="35">
        <v>1</v>
      </c>
      <c r="AZ265" s="35" t="s">
        <v>1958</v>
      </c>
      <c r="BA265" s="35" t="s">
        <v>1358</v>
      </c>
      <c r="BB265" s="35" t="s">
        <v>10</v>
      </c>
      <c r="BC265" s="35" t="s">
        <v>770</v>
      </c>
      <c r="BD265" s="35" t="s">
        <v>1739</v>
      </c>
      <c r="BE265" s="35" t="s">
        <v>781</v>
      </c>
      <c r="BF265" s="35" t="s">
        <v>152</v>
      </c>
      <c r="BG265" s="35">
        <v>954</v>
      </c>
      <c r="BH265" s="35" t="s">
        <v>25</v>
      </c>
      <c r="BI265" s="35">
        <v>0.14000000000000001</v>
      </c>
      <c r="BJ265" s="35" t="s">
        <v>1535</v>
      </c>
      <c r="BK265" s="35" t="s">
        <v>774</v>
      </c>
      <c r="BL265" s="35" t="s">
        <v>2166</v>
      </c>
      <c r="BM265" s="35">
        <v>216013</v>
      </c>
      <c r="BW265" s="248"/>
      <c r="BX265" s="248"/>
      <c r="BY265" s="248"/>
      <c r="BZ265" s="248"/>
      <c r="CA265" s="248"/>
      <c r="CB265" s="248"/>
      <c r="CC265" s="248"/>
      <c r="CD265" s="248"/>
      <c r="CE265" s="248"/>
      <c r="CF265" s="248"/>
      <c r="CG265" s="248"/>
      <c r="CH265" s="248"/>
      <c r="CI265" s="248"/>
      <c r="CJ265" s="248"/>
      <c r="CK265" s="248"/>
      <c r="CL265" s="248"/>
      <c r="CM265" s="248"/>
      <c r="CN265" s="248"/>
      <c r="CO265" s="248"/>
      <c r="CP265" s="248"/>
      <c r="CQ265" s="248"/>
      <c r="CR265" s="248"/>
      <c r="CS265" s="248"/>
      <c r="CT265" s="248"/>
      <c r="CU265" s="248"/>
      <c r="CV265" s="248"/>
      <c r="CW265" s="248"/>
      <c r="CX265" s="248"/>
      <c r="CY265" s="248"/>
      <c r="CZ265" s="248"/>
      <c r="DA265" s="248"/>
      <c r="DB265" s="248"/>
      <c r="DC265" s="248"/>
      <c r="DD265" s="248"/>
      <c r="DE265" s="248"/>
      <c r="DF265" s="248"/>
      <c r="DG265" s="248"/>
      <c r="DH265" s="248"/>
      <c r="DI265" s="248"/>
      <c r="DJ265" s="248"/>
      <c r="DK265" s="248"/>
      <c r="DL265" s="248"/>
      <c r="DM265" s="248"/>
      <c r="DN265" s="248"/>
      <c r="DO265" s="248"/>
      <c r="DP265" s="248"/>
      <c r="DQ265" s="248"/>
      <c r="DR265" s="248"/>
      <c r="DS265" s="248"/>
      <c r="DT265" s="248"/>
      <c r="DU265" s="248"/>
      <c r="DV265" s="248"/>
      <c r="DW265" s="248"/>
      <c r="DX265" s="248"/>
      <c r="DY265" s="248"/>
      <c r="DZ265" s="248"/>
      <c r="EA265" s="248"/>
      <c r="EB265" s="248"/>
      <c r="EC265" s="248"/>
      <c r="ED265" s="248"/>
      <c r="EE265" s="248"/>
    </row>
    <row r="266" spans="1:135" s="35" customFormat="1" ht="16.5">
      <c r="A266" s="35" t="str">
        <f t="shared" si="9"/>
        <v>MIB_Q               DISM_B</v>
      </c>
      <c r="B266" s="331"/>
      <c r="C266" s="248">
        <v>216014</v>
      </c>
      <c r="D266" s="283">
        <v>216</v>
      </c>
      <c r="F266" s="35" t="s">
        <v>1086</v>
      </c>
      <c r="O266" s="34" t="s">
        <v>1086</v>
      </c>
      <c r="P266" s="34" t="s">
        <v>1086</v>
      </c>
      <c r="Q266" s="279"/>
      <c r="R266" s="104"/>
      <c r="W266" s="58">
        <v>980017000</v>
      </c>
      <c r="AB266" s="58" t="s">
        <v>1114</v>
      </c>
      <c r="AH266" s="279"/>
      <c r="AJ266" s="279" t="s">
        <v>1117</v>
      </c>
      <c r="AK266" s="279"/>
      <c r="AL266" s="523">
        <v>3</v>
      </c>
      <c r="AM266" s="35">
        <v>216014</v>
      </c>
      <c r="AN266" s="35" t="s">
        <v>1959</v>
      </c>
      <c r="AO266" s="35" t="s">
        <v>920</v>
      </c>
      <c r="AP266" s="35" t="s">
        <v>827</v>
      </c>
      <c r="AQ266" s="34" t="s">
        <v>2283</v>
      </c>
      <c r="AR266" s="35">
        <v>3</v>
      </c>
      <c r="AS266" s="35" t="s">
        <v>955</v>
      </c>
      <c r="AT266" s="35" t="s">
        <v>1358</v>
      </c>
      <c r="AU266" s="35" t="s">
        <v>10</v>
      </c>
      <c r="AV266" s="35" t="s">
        <v>1716</v>
      </c>
      <c r="AW266" s="35" t="s">
        <v>780</v>
      </c>
      <c r="AX266" s="34" t="s">
        <v>2313</v>
      </c>
      <c r="AY266" s="35">
        <v>2</v>
      </c>
      <c r="AZ266" s="35" t="s">
        <v>1958</v>
      </c>
      <c r="BA266" s="35" t="s">
        <v>1358</v>
      </c>
      <c r="BB266" s="35" t="s">
        <v>10</v>
      </c>
      <c r="BC266" s="35" t="s">
        <v>770</v>
      </c>
      <c r="BD266" s="35" t="s">
        <v>1739</v>
      </c>
      <c r="BE266" s="35" t="s">
        <v>781</v>
      </c>
      <c r="BF266" s="35" t="s">
        <v>149</v>
      </c>
      <c r="BG266" s="35">
        <v>954</v>
      </c>
      <c r="BH266" s="35" t="s">
        <v>66</v>
      </c>
      <c r="BI266" s="35">
        <v>0.14000000000000001</v>
      </c>
      <c r="BJ266" s="35" t="s">
        <v>1536</v>
      </c>
      <c r="BK266" s="35" t="s">
        <v>774</v>
      </c>
      <c r="BL266" s="35" t="s">
        <v>2166</v>
      </c>
      <c r="BM266" s="35">
        <v>216014</v>
      </c>
      <c r="BW266" s="248"/>
      <c r="BX266" s="248"/>
      <c r="BY266" s="248"/>
      <c r="BZ266" s="248"/>
      <c r="CA266" s="248"/>
      <c r="CB266" s="248"/>
      <c r="CC266" s="248"/>
      <c r="CD266" s="248"/>
      <c r="CE266" s="248"/>
      <c r="CF266" s="248"/>
      <c r="CG266" s="248"/>
      <c r="CH266" s="248"/>
      <c r="CI266" s="248"/>
      <c r="CJ266" s="248"/>
      <c r="CK266" s="248"/>
      <c r="CL266" s="248"/>
      <c r="CM266" s="248"/>
      <c r="CN266" s="248"/>
      <c r="CO266" s="248"/>
      <c r="CP266" s="248"/>
      <c r="CQ266" s="248"/>
      <c r="CR266" s="248"/>
      <c r="CS266" s="248"/>
      <c r="CT266" s="248"/>
      <c r="CU266" s="248"/>
      <c r="CV266" s="248"/>
      <c r="CW266" s="248"/>
      <c r="CX266" s="248"/>
      <c r="CY266" s="248"/>
      <c r="CZ266" s="248"/>
      <c r="DA266" s="248"/>
      <c r="DB266" s="248"/>
      <c r="DC266" s="248"/>
      <c r="DD266" s="248"/>
      <c r="DE266" s="248"/>
      <c r="DF266" s="248"/>
      <c r="DG266" s="248"/>
      <c r="DH266" s="248"/>
      <c r="DI266" s="248"/>
      <c r="DJ266" s="248"/>
      <c r="DK266" s="248"/>
      <c r="DL266" s="248"/>
      <c r="DM266" s="248"/>
      <c r="DN266" s="248"/>
      <c r="DO266" s="248"/>
      <c r="DP266" s="248"/>
      <c r="DQ266" s="248"/>
      <c r="DR266" s="248"/>
      <c r="DS266" s="248"/>
      <c r="DT266" s="248"/>
      <c r="DU266" s="248"/>
      <c r="DV266" s="248"/>
      <c r="DW266" s="248"/>
      <c r="DX266" s="248"/>
      <c r="DY266" s="248"/>
      <c r="DZ266" s="248"/>
      <c r="EA266" s="248"/>
      <c r="EB266" s="248"/>
      <c r="EC266" s="248"/>
      <c r="ED266" s="248"/>
      <c r="EE266" s="248"/>
    </row>
    <row r="267" spans="1:135" s="35" customFormat="1" ht="16.5">
      <c r="A267" s="35" t="str">
        <f t="shared" si="9"/>
        <v>MIB_Q               DISM_B</v>
      </c>
      <c r="B267" s="331"/>
      <c r="C267" s="248">
        <v>216015</v>
      </c>
      <c r="D267" s="283">
        <v>216</v>
      </c>
      <c r="F267" s="35" t="s">
        <v>1086</v>
      </c>
      <c r="O267" s="34" t="s">
        <v>1086</v>
      </c>
      <c r="P267" s="34" t="s">
        <v>1086</v>
      </c>
      <c r="Q267" s="279"/>
      <c r="R267" s="104"/>
      <c r="W267" s="58">
        <v>980017000</v>
      </c>
      <c r="AB267" s="58" t="s">
        <v>1114</v>
      </c>
      <c r="AH267" s="279"/>
      <c r="AJ267" s="279" t="s">
        <v>1117</v>
      </c>
      <c r="AK267" s="279"/>
      <c r="AL267" s="523">
        <v>3</v>
      </c>
      <c r="AM267" s="35">
        <v>216015</v>
      </c>
      <c r="AN267" s="35" t="s">
        <v>1960</v>
      </c>
      <c r="AO267" s="35" t="s">
        <v>920</v>
      </c>
      <c r="AP267" s="35" t="s">
        <v>827</v>
      </c>
      <c r="AQ267" s="34" t="s">
        <v>2283</v>
      </c>
      <c r="AR267" s="35">
        <v>2</v>
      </c>
      <c r="AS267" s="35" t="s">
        <v>955</v>
      </c>
      <c r="AT267" s="35" t="s">
        <v>1358</v>
      </c>
      <c r="AU267" s="35" t="s">
        <v>10</v>
      </c>
      <c r="AV267" s="35" t="s">
        <v>1716</v>
      </c>
      <c r="AW267" s="35" t="s">
        <v>780</v>
      </c>
      <c r="AX267" s="34" t="s">
        <v>2313</v>
      </c>
      <c r="AY267" s="35">
        <v>3</v>
      </c>
      <c r="AZ267" s="35" t="s">
        <v>1958</v>
      </c>
      <c r="BA267" s="35" t="s">
        <v>1358</v>
      </c>
      <c r="BB267" s="35" t="s">
        <v>10</v>
      </c>
      <c r="BC267" s="35" t="s">
        <v>770</v>
      </c>
      <c r="BD267" s="35" t="s">
        <v>1739</v>
      </c>
      <c r="BE267" s="35" t="s">
        <v>781</v>
      </c>
      <c r="BF267" s="35" t="s">
        <v>227</v>
      </c>
      <c r="BG267" s="35">
        <v>954</v>
      </c>
      <c r="BH267" s="35" t="s">
        <v>96</v>
      </c>
      <c r="BI267" s="35">
        <v>0.14000000000000001</v>
      </c>
      <c r="BJ267" s="35" t="s">
        <v>1537</v>
      </c>
      <c r="BK267" s="35" t="s">
        <v>774</v>
      </c>
      <c r="BL267" s="35" t="s">
        <v>2166</v>
      </c>
      <c r="BM267" s="35">
        <v>216015</v>
      </c>
      <c r="BW267" s="248"/>
      <c r="BX267" s="248"/>
      <c r="BY267" s="248"/>
      <c r="BZ267" s="248"/>
      <c r="CA267" s="248"/>
      <c r="CB267" s="248"/>
      <c r="CC267" s="248"/>
      <c r="CD267" s="248"/>
      <c r="CE267" s="248"/>
      <c r="CF267" s="248"/>
      <c r="CG267" s="248"/>
      <c r="CH267" s="248"/>
      <c r="CI267" s="248"/>
      <c r="CJ267" s="248"/>
      <c r="CK267" s="248"/>
      <c r="CL267" s="248"/>
      <c r="CM267" s="248"/>
      <c r="CN267" s="248"/>
      <c r="CO267" s="248"/>
      <c r="CP267" s="248"/>
      <c r="CQ267" s="248"/>
      <c r="CR267" s="248"/>
      <c r="CS267" s="248"/>
      <c r="CT267" s="248"/>
      <c r="CU267" s="248"/>
      <c r="CV267" s="248"/>
      <c r="CW267" s="248"/>
      <c r="CX267" s="248"/>
      <c r="CY267" s="248"/>
      <c r="CZ267" s="248"/>
      <c r="DA267" s="248"/>
      <c r="DB267" s="248"/>
      <c r="DC267" s="248"/>
      <c r="DD267" s="248"/>
      <c r="DE267" s="248"/>
      <c r="DF267" s="248"/>
      <c r="DG267" s="248"/>
      <c r="DH267" s="248"/>
      <c r="DI267" s="248"/>
      <c r="DJ267" s="248"/>
      <c r="DK267" s="248"/>
      <c r="DL267" s="248"/>
      <c r="DM267" s="248"/>
      <c r="DN267" s="248"/>
      <c r="DO267" s="248"/>
      <c r="DP267" s="248"/>
      <c r="DQ267" s="248"/>
      <c r="DR267" s="248"/>
      <c r="DS267" s="248"/>
      <c r="DT267" s="248"/>
      <c r="DU267" s="248"/>
      <c r="DV267" s="248"/>
      <c r="DW267" s="248"/>
      <c r="DX267" s="248"/>
      <c r="DY267" s="248"/>
      <c r="DZ267" s="248"/>
      <c r="EA267" s="248"/>
      <c r="EB267" s="248"/>
      <c r="EC267" s="248"/>
      <c r="ED267" s="248"/>
      <c r="EE267" s="248"/>
    </row>
    <row r="268" spans="1:135" s="35" customFormat="1" ht="16.5">
      <c r="A268" s="35" t="str">
        <f t="shared" si="9"/>
        <v>MIB_Q               DISM_B</v>
      </c>
      <c r="B268" s="331"/>
      <c r="C268" s="248">
        <v>216016</v>
      </c>
      <c r="D268" s="283">
        <v>216</v>
      </c>
      <c r="F268" s="35" t="s">
        <v>1086</v>
      </c>
      <c r="O268" s="34" t="s">
        <v>1086</v>
      </c>
      <c r="P268" s="34" t="s">
        <v>1086</v>
      </c>
      <c r="Q268" s="279"/>
      <c r="R268" s="104"/>
      <c r="W268" s="58">
        <v>980017000</v>
      </c>
      <c r="AB268" s="58" t="s">
        <v>1114</v>
      </c>
      <c r="AH268" s="279"/>
      <c r="AJ268" s="279" t="s">
        <v>1117</v>
      </c>
      <c r="AK268" s="279"/>
      <c r="AL268" s="523">
        <v>3</v>
      </c>
      <c r="AM268" s="35">
        <v>216016</v>
      </c>
      <c r="AN268" s="35" t="s">
        <v>1961</v>
      </c>
      <c r="AO268" s="35" t="s">
        <v>920</v>
      </c>
      <c r="AP268" s="35" t="s">
        <v>827</v>
      </c>
      <c r="AQ268" s="34" t="s">
        <v>2283</v>
      </c>
      <c r="AR268" s="35">
        <v>1</v>
      </c>
      <c r="AS268" s="35" t="s">
        <v>955</v>
      </c>
      <c r="AT268" s="35" t="s">
        <v>1358</v>
      </c>
      <c r="AU268" s="35" t="s">
        <v>10</v>
      </c>
      <c r="AV268" s="35" t="s">
        <v>1716</v>
      </c>
      <c r="AW268" s="35" t="s">
        <v>780</v>
      </c>
      <c r="AX268" s="34" t="s">
        <v>2313</v>
      </c>
      <c r="AY268" s="35">
        <v>4</v>
      </c>
      <c r="AZ268" s="35" t="s">
        <v>1958</v>
      </c>
      <c r="BA268" s="35" t="s">
        <v>1358</v>
      </c>
      <c r="BB268" s="35" t="s">
        <v>10</v>
      </c>
      <c r="BC268" s="35" t="s">
        <v>770</v>
      </c>
      <c r="BD268" s="35" t="s">
        <v>1739</v>
      </c>
      <c r="BE268" s="35" t="s">
        <v>781</v>
      </c>
      <c r="BF268" s="35" t="s">
        <v>228</v>
      </c>
      <c r="BG268" s="35">
        <v>954</v>
      </c>
      <c r="BH268" s="35" t="s">
        <v>110</v>
      </c>
      <c r="BI268" s="35">
        <v>0.14000000000000001</v>
      </c>
      <c r="BJ268" s="35" t="s">
        <v>1538</v>
      </c>
      <c r="BK268" s="35" t="s">
        <v>774</v>
      </c>
      <c r="BL268" s="35" t="s">
        <v>2166</v>
      </c>
      <c r="BM268" s="35">
        <v>216016</v>
      </c>
      <c r="BW268" s="248"/>
      <c r="BX268" s="248"/>
      <c r="BY268" s="248"/>
      <c r="BZ268" s="248"/>
      <c r="CA268" s="248"/>
      <c r="CB268" s="248"/>
      <c r="CC268" s="248"/>
      <c r="CD268" s="248"/>
      <c r="CE268" s="248"/>
      <c r="CF268" s="248"/>
      <c r="CG268" s="248"/>
      <c r="CH268" s="248"/>
      <c r="CI268" s="248"/>
      <c r="CJ268" s="248"/>
      <c r="CK268" s="248"/>
      <c r="CL268" s="248"/>
      <c r="CM268" s="248"/>
      <c r="CN268" s="248"/>
      <c r="CO268" s="248"/>
      <c r="CP268" s="248"/>
      <c r="CQ268" s="248"/>
      <c r="CR268" s="248"/>
      <c r="CS268" s="248"/>
      <c r="CT268" s="248"/>
      <c r="CU268" s="248"/>
      <c r="CV268" s="248"/>
      <c r="CW268" s="248"/>
      <c r="CX268" s="248"/>
      <c r="CY268" s="248"/>
      <c r="CZ268" s="248"/>
      <c r="DA268" s="248"/>
      <c r="DB268" s="248"/>
      <c r="DC268" s="248"/>
      <c r="DD268" s="248"/>
      <c r="DE268" s="248"/>
      <c r="DF268" s="248"/>
      <c r="DG268" s="248"/>
      <c r="DH268" s="248"/>
      <c r="DI268" s="248"/>
      <c r="DJ268" s="248"/>
      <c r="DK268" s="248"/>
      <c r="DL268" s="248"/>
      <c r="DM268" s="248"/>
      <c r="DN268" s="248"/>
      <c r="DO268" s="248"/>
      <c r="DP268" s="248"/>
      <c r="DQ268" s="248"/>
      <c r="DR268" s="248"/>
      <c r="DS268" s="248"/>
      <c r="DT268" s="248"/>
      <c r="DU268" s="248"/>
      <c r="DV268" s="248"/>
      <c r="DW268" s="248"/>
      <c r="DX268" s="248"/>
      <c r="DY268" s="248"/>
      <c r="DZ268" s="248"/>
      <c r="EA268" s="248"/>
      <c r="EB268" s="248"/>
      <c r="EC268" s="248"/>
      <c r="ED268" s="248"/>
      <c r="EE268" s="248"/>
    </row>
    <row r="269" spans="1:135" s="35" customFormat="1" ht="16.5">
      <c r="A269" s="35" t="str">
        <f t="shared" si="9"/>
        <v>MIB_Q               DISM_B</v>
      </c>
      <c r="B269" s="331"/>
      <c r="C269" s="248">
        <v>216017</v>
      </c>
      <c r="D269" s="283">
        <v>216</v>
      </c>
      <c r="F269" s="35" t="s">
        <v>1086</v>
      </c>
      <c r="O269" s="34" t="s">
        <v>1086</v>
      </c>
      <c r="P269" s="34" t="s">
        <v>1086</v>
      </c>
      <c r="Q269" s="279"/>
      <c r="R269" s="104"/>
      <c r="W269" s="58">
        <v>980017000</v>
      </c>
      <c r="Z269" s="35" t="s">
        <v>2645</v>
      </c>
      <c r="AA269" s="35" t="s">
        <v>2645</v>
      </c>
      <c r="AB269" s="58" t="s">
        <v>1114</v>
      </c>
      <c r="AH269" s="279"/>
      <c r="AJ269" s="279" t="s">
        <v>1117</v>
      </c>
      <c r="AK269" s="279"/>
      <c r="AL269" s="523">
        <v>3</v>
      </c>
      <c r="AM269" s="35">
        <v>216017</v>
      </c>
      <c r="AN269" s="35" t="s">
        <v>1962</v>
      </c>
      <c r="AO269" s="35" t="s">
        <v>920</v>
      </c>
      <c r="AP269" s="35" t="s">
        <v>827</v>
      </c>
      <c r="AQ269" s="34" t="s">
        <v>2283</v>
      </c>
      <c r="AR269" s="35" t="s">
        <v>229</v>
      </c>
      <c r="AS269" s="35" t="s">
        <v>955</v>
      </c>
      <c r="AT269" s="35" t="s">
        <v>230</v>
      </c>
      <c r="AU269" s="35" t="s">
        <v>10</v>
      </c>
      <c r="AV269" s="35" t="s">
        <v>1716</v>
      </c>
      <c r="AW269" s="35" t="s">
        <v>780</v>
      </c>
      <c r="AX269" s="34" t="s">
        <v>2313</v>
      </c>
      <c r="AY269" s="35" t="s">
        <v>229</v>
      </c>
      <c r="AZ269" s="35" t="s">
        <v>1958</v>
      </c>
      <c r="BA269" s="35" t="s">
        <v>230</v>
      </c>
      <c r="BB269" s="35" t="s">
        <v>10</v>
      </c>
      <c r="BC269" s="35" t="s">
        <v>770</v>
      </c>
      <c r="BD269" s="35" t="s">
        <v>157</v>
      </c>
      <c r="BE269" s="35" t="s">
        <v>781</v>
      </c>
      <c r="BF269" s="35" t="s">
        <v>771</v>
      </c>
      <c r="BG269" s="35">
        <v>954</v>
      </c>
      <c r="BH269" s="35" t="s">
        <v>144</v>
      </c>
      <c r="BI269" s="35">
        <v>4.8499999999999996</v>
      </c>
      <c r="BJ269" s="35" t="s">
        <v>785</v>
      </c>
      <c r="BK269" s="35" t="s">
        <v>774</v>
      </c>
      <c r="BL269" s="35" t="s">
        <v>2166</v>
      </c>
      <c r="BM269" s="35">
        <v>216017</v>
      </c>
      <c r="BW269" s="248"/>
      <c r="BX269" s="248"/>
      <c r="BY269" s="248"/>
      <c r="BZ269" s="248"/>
      <c r="CA269" s="248"/>
      <c r="CB269" s="248"/>
      <c r="CC269" s="248"/>
      <c r="CD269" s="248"/>
      <c r="CE269" s="248"/>
      <c r="CF269" s="248"/>
      <c r="CG269" s="248"/>
      <c r="CH269" s="248"/>
      <c r="CI269" s="248"/>
      <c r="CJ269" s="248"/>
      <c r="CK269" s="248"/>
      <c r="CL269" s="248"/>
      <c r="CM269" s="248"/>
      <c r="CN269" s="248"/>
      <c r="CO269" s="248"/>
      <c r="CP269" s="248"/>
      <c r="CQ269" s="248"/>
      <c r="CR269" s="248"/>
      <c r="CS269" s="248"/>
      <c r="CT269" s="248"/>
      <c r="CU269" s="248"/>
      <c r="CV269" s="248"/>
      <c r="CW269" s="248"/>
      <c r="CX269" s="248"/>
      <c r="CY269" s="248"/>
      <c r="CZ269" s="248"/>
      <c r="DA269" s="248"/>
      <c r="DB269" s="248"/>
      <c r="DC269" s="248"/>
      <c r="DD269" s="248"/>
      <c r="DE269" s="248"/>
      <c r="DF269" s="248"/>
      <c r="DG269" s="248"/>
      <c r="DH269" s="248"/>
      <c r="DI269" s="248"/>
      <c r="DJ269" s="248"/>
      <c r="DK269" s="248"/>
      <c r="DL269" s="248"/>
      <c r="DM269" s="248"/>
      <c r="DN269" s="248"/>
      <c r="DO269" s="248"/>
      <c r="DP269" s="248"/>
      <c r="DQ269" s="248"/>
      <c r="DR269" s="248"/>
      <c r="DS269" s="248"/>
      <c r="DT269" s="248"/>
      <c r="DU269" s="248"/>
      <c r="DV269" s="248"/>
      <c r="DW269" s="248"/>
      <c r="DX269" s="248"/>
      <c r="DY269" s="248"/>
      <c r="DZ269" s="248"/>
      <c r="EA269" s="248"/>
      <c r="EB269" s="248"/>
      <c r="EC269" s="248"/>
      <c r="ED269" s="248"/>
      <c r="EE269" s="248"/>
    </row>
    <row r="270" spans="1:135" s="35" customFormat="1" ht="16.5">
      <c r="A270" s="35" t="str">
        <f t="shared" si="9"/>
        <v>BTMK_A              SP_CANH_MIB</v>
      </c>
      <c r="B270" s="331"/>
      <c r="C270" s="248">
        <v>216018</v>
      </c>
      <c r="D270" s="283">
        <v>216</v>
      </c>
      <c r="F270" s="177" t="s">
        <v>1094</v>
      </c>
      <c r="G270" s="35" t="s">
        <v>2249</v>
      </c>
      <c r="H270" s="35" t="s">
        <v>610</v>
      </c>
      <c r="N270" s="35" t="s">
        <v>619</v>
      </c>
      <c r="O270" s="34" t="s">
        <v>1086</v>
      </c>
      <c r="P270" s="34" t="s">
        <v>1097</v>
      </c>
      <c r="Q270" s="58"/>
      <c r="R270" s="39" t="s">
        <v>2551</v>
      </c>
      <c r="W270" s="39"/>
      <c r="AH270" s="279"/>
      <c r="AJ270" s="279" t="s">
        <v>1116</v>
      </c>
      <c r="AK270" s="279"/>
      <c r="AL270" s="523">
        <v>3</v>
      </c>
      <c r="AM270" s="35">
        <v>216018</v>
      </c>
      <c r="AN270" s="35" t="s">
        <v>1963</v>
      </c>
      <c r="AO270" s="35" t="s">
        <v>1698</v>
      </c>
      <c r="AP270" s="35" t="s">
        <v>657</v>
      </c>
      <c r="AQ270" s="34" t="s">
        <v>2263</v>
      </c>
      <c r="AR270" s="35">
        <v>2</v>
      </c>
      <c r="AS270" s="35" t="s">
        <v>642</v>
      </c>
      <c r="AT270" s="35" t="s">
        <v>87</v>
      </c>
      <c r="AU270" s="35" t="s">
        <v>10</v>
      </c>
      <c r="AV270" s="35" t="s">
        <v>1717</v>
      </c>
      <c r="AW270" s="35" t="s">
        <v>1191</v>
      </c>
      <c r="AX270" s="34" t="s">
        <v>2249</v>
      </c>
      <c r="AY270" s="35">
        <v>1</v>
      </c>
      <c r="AZ270" s="35" t="s">
        <v>1930</v>
      </c>
      <c r="BA270" s="35" t="s">
        <v>10</v>
      </c>
      <c r="BB270" s="35" t="s">
        <v>10</v>
      </c>
      <c r="BC270" s="35" t="s">
        <v>2392</v>
      </c>
      <c r="BD270" s="35" t="s">
        <v>1742</v>
      </c>
      <c r="BE270" s="35" t="s">
        <v>782</v>
      </c>
      <c r="BF270" s="35" t="s">
        <v>95</v>
      </c>
      <c r="BG270" s="35">
        <v>1036</v>
      </c>
      <c r="BH270" s="35" t="s">
        <v>96</v>
      </c>
      <c r="BI270" s="35">
        <v>0.35</v>
      </c>
      <c r="BJ270" s="35" t="s">
        <v>1934</v>
      </c>
      <c r="BK270" s="35" t="s">
        <v>774</v>
      </c>
      <c r="BL270" s="35" t="s">
        <v>2166</v>
      </c>
      <c r="BM270" s="35">
        <v>216018</v>
      </c>
      <c r="BW270" s="248"/>
      <c r="BX270" s="248"/>
      <c r="BY270" s="248"/>
      <c r="BZ270" s="248"/>
      <c r="CA270" s="248"/>
      <c r="CB270" s="248"/>
      <c r="CC270" s="248"/>
      <c r="CD270" s="248"/>
      <c r="CE270" s="248"/>
      <c r="CF270" s="248"/>
      <c r="CG270" s="248"/>
      <c r="CH270" s="248"/>
      <c r="CI270" s="248"/>
      <c r="CJ270" s="248"/>
      <c r="CK270" s="248"/>
      <c r="CL270" s="248"/>
      <c r="CM270" s="248"/>
      <c r="CN270" s="248"/>
      <c r="CO270" s="248"/>
      <c r="CP270" s="248"/>
      <c r="CQ270" s="248"/>
      <c r="CR270" s="248"/>
      <c r="CS270" s="248"/>
      <c r="CT270" s="248"/>
      <c r="CU270" s="248"/>
      <c r="CV270" s="248"/>
      <c r="CW270" s="248"/>
      <c r="CX270" s="248"/>
      <c r="CY270" s="248"/>
      <c r="CZ270" s="248"/>
      <c r="DA270" s="248"/>
      <c r="DB270" s="248"/>
      <c r="DC270" s="248"/>
      <c r="DD270" s="248"/>
      <c r="DE270" s="248"/>
      <c r="DF270" s="248"/>
      <c r="DG270" s="248"/>
      <c r="DH270" s="248"/>
      <c r="DI270" s="248"/>
      <c r="DJ270" s="248"/>
      <c r="DK270" s="248"/>
      <c r="DL270" s="248"/>
      <c r="DM270" s="248"/>
      <c r="DN270" s="248"/>
      <c r="DO270" s="248"/>
      <c r="DP270" s="248"/>
      <c r="DQ270" s="248"/>
      <c r="DR270" s="248"/>
      <c r="DS270" s="248"/>
      <c r="DT270" s="248"/>
      <c r="DU270" s="248"/>
      <c r="DV270" s="248"/>
      <c r="DW270" s="248"/>
      <c r="DX270" s="248"/>
      <c r="DY270" s="248"/>
      <c r="DZ270" s="248"/>
      <c r="EA270" s="248"/>
      <c r="EB270" s="248"/>
      <c r="EC270" s="248"/>
      <c r="ED270" s="248"/>
      <c r="EE270" s="248"/>
    </row>
    <row r="271" spans="1:135" s="35" customFormat="1" ht="16.5">
      <c r="A271" s="35" t="str">
        <f t="shared" si="9"/>
        <v>BTMK_A              SP_CANL_MIB</v>
      </c>
      <c r="B271" s="331"/>
      <c r="C271" s="248">
        <v>216019</v>
      </c>
      <c r="D271" s="283">
        <v>216</v>
      </c>
      <c r="F271" s="177" t="s">
        <v>1094</v>
      </c>
      <c r="G271" s="35" t="s">
        <v>2248</v>
      </c>
      <c r="H271" s="35" t="s">
        <v>610</v>
      </c>
      <c r="N271" s="35" t="s">
        <v>619</v>
      </c>
      <c r="O271" s="34" t="s">
        <v>1086</v>
      </c>
      <c r="P271" s="34" t="s">
        <v>1097</v>
      </c>
      <c r="Q271" s="58"/>
      <c r="R271" s="39" t="s">
        <v>2551</v>
      </c>
      <c r="W271" s="39"/>
      <c r="AH271" s="279"/>
      <c r="AJ271" s="279" t="s">
        <v>1116</v>
      </c>
      <c r="AK271" s="279"/>
      <c r="AL271" s="523">
        <v>3</v>
      </c>
      <c r="AM271" s="35">
        <v>216019</v>
      </c>
      <c r="AN271" s="35" t="s">
        <v>1964</v>
      </c>
      <c r="AO271" s="35" t="s">
        <v>1698</v>
      </c>
      <c r="AP271" s="35" t="s">
        <v>657</v>
      </c>
      <c r="AQ271" s="34" t="s">
        <v>2263</v>
      </c>
      <c r="AR271" s="35">
        <v>4</v>
      </c>
      <c r="AS271" s="35" t="s">
        <v>642</v>
      </c>
      <c r="AT271" s="35" t="s">
        <v>87</v>
      </c>
      <c r="AU271" s="35" t="s">
        <v>10</v>
      </c>
      <c r="AV271" s="35" t="s">
        <v>1715</v>
      </c>
      <c r="AW271" s="35" t="s">
        <v>1192</v>
      </c>
      <c r="AX271" s="34" t="s">
        <v>2248</v>
      </c>
      <c r="AY271" s="35">
        <v>1</v>
      </c>
      <c r="AZ271" s="35" t="s">
        <v>1930</v>
      </c>
      <c r="BA271" s="35" t="s">
        <v>10</v>
      </c>
      <c r="BB271" s="35" t="s">
        <v>10</v>
      </c>
      <c r="BC271" s="35" t="s">
        <v>2392</v>
      </c>
      <c r="BD271" s="35" t="s">
        <v>1742</v>
      </c>
      <c r="BE271" s="35" t="s">
        <v>782</v>
      </c>
      <c r="BF271" s="35" t="s">
        <v>88</v>
      </c>
      <c r="BG271" s="35">
        <v>1050</v>
      </c>
      <c r="BH271" s="35" t="s">
        <v>89</v>
      </c>
      <c r="BI271" s="35">
        <v>0.35</v>
      </c>
      <c r="BJ271" s="35" t="s">
        <v>1931</v>
      </c>
      <c r="BK271" s="35" t="s">
        <v>774</v>
      </c>
      <c r="BL271" s="35" t="s">
        <v>2166</v>
      </c>
      <c r="BM271" s="35">
        <v>216019</v>
      </c>
      <c r="BW271" s="248"/>
      <c r="BX271" s="248"/>
      <c r="BY271" s="248"/>
      <c r="BZ271" s="248"/>
      <c r="CA271" s="248"/>
      <c r="CB271" s="248"/>
      <c r="CC271" s="248"/>
      <c r="CD271" s="248"/>
      <c r="CE271" s="248"/>
      <c r="CF271" s="248"/>
      <c r="CG271" s="248"/>
      <c r="CH271" s="248"/>
      <c r="CI271" s="248"/>
      <c r="CJ271" s="248"/>
      <c r="CK271" s="248"/>
      <c r="CL271" s="248"/>
      <c r="CM271" s="248"/>
      <c r="CN271" s="248"/>
      <c r="CO271" s="248"/>
      <c r="CP271" s="248"/>
      <c r="CQ271" s="248"/>
      <c r="CR271" s="248"/>
      <c r="CS271" s="248"/>
      <c r="CT271" s="248"/>
      <c r="CU271" s="248"/>
      <c r="CV271" s="248"/>
      <c r="CW271" s="248"/>
      <c r="CX271" s="248"/>
      <c r="CY271" s="248"/>
      <c r="CZ271" s="248"/>
      <c r="DA271" s="248"/>
      <c r="DB271" s="248"/>
      <c r="DC271" s="248"/>
      <c r="DD271" s="248"/>
      <c r="DE271" s="248"/>
      <c r="DF271" s="248"/>
      <c r="DG271" s="248"/>
      <c r="DH271" s="248"/>
      <c r="DI271" s="248"/>
      <c r="DJ271" s="248"/>
      <c r="DK271" s="248"/>
      <c r="DL271" s="248"/>
      <c r="DM271" s="248"/>
      <c r="DN271" s="248"/>
      <c r="DO271" s="248"/>
      <c r="DP271" s="248"/>
      <c r="DQ271" s="248"/>
      <c r="DR271" s="248"/>
      <c r="DS271" s="248"/>
      <c r="DT271" s="248"/>
      <c r="DU271" s="248"/>
      <c r="DV271" s="248"/>
      <c r="DW271" s="248"/>
      <c r="DX271" s="248"/>
      <c r="DY271" s="248"/>
      <c r="DZ271" s="248"/>
      <c r="EA271" s="248"/>
      <c r="EB271" s="248"/>
      <c r="EC271" s="248"/>
      <c r="ED271" s="248"/>
      <c r="EE271" s="248"/>
    </row>
    <row r="272" spans="1:135" s="35" customFormat="1" ht="16.5">
      <c r="A272" s="35" t="str">
        <f t="shared" si="9"/>
        <v>MIB_G               BTMK_B</v>
      </c>
      <c r="B272" s="331"/>
      <c r="C272" s="248">
        <v>216024</v>
      </c>
      <c r="D272" s="283">
        <v>216</v>
      </c>
      <c r="F272" s="35" t="s">
        <v>1086</v>
      </c>
      <c r="G272" s="39"/>
      <c r="O272" s="34" t="s">
        <v>1086</v>
      </c>
      <c r="P272" s="34" t="s">
        <v>1086</v>
      </c>
      <c r="Q272" s="279"/>
      <c r="R272" s="104"/>
      <c r="W272" s="104">
        <v>980015856</v>
      </c>
      <c r="AB272" s="58" t="s">
        <v>1114</v>
      </c>
      <c r="AH272" s="279"/>
      <c r="AJ272" s="279" t="s">
        <v>1117</v>
      </c>
      <c r="AK272" s="279"/>
      <c r="AL272" s="523">
        <v>3</v>
      </c>
      <c r="AM272" s="35">
        <v>216024</v>
      </c>
      <c r="AN272" s="35" t="s">
        <v>1965</v>
      </c>
      <c r="AO272" s="35" t="s">
        <v>920</v>
      </c>
      <c r="AP272" s="35" t="s">
        <v>779</v>
      </c>
      <c r="AQ272" s="34" t="s">
        <v>2284</v>
      </c>
      <c r="AR272" s="35">
        <v>4</v>
      </c>
      <c r="AS272" s="35" t="s">
        <v>1307</v>
      </c>
      <c r="AT272" s="35" t="s">
        <v>1358</v>
      </c>
      <c r="AU272" s="35" t="s">
        <v>10</v>
      </c>
      <c r="AV272" s="35" t="s">
        <v>1698</v>
      </c>
      <c r="AW272" s="35" t="s">
        <v>783</v>
      </c>
      <c r="AX272" s="34" t="s">
        <v>2314</v>
      </c>
      <c r="AY272" s="35">
        <v>1</v>
      </c>
      <c r="AZ272" s="35" t="s">
        <v>714</v>
      </c>
      <c r="BA272" s="35" t="s">
        <v>1539</v>
      </c>
      <c r="BB272" s="35" t="s">
        <v>10</v>
      </c>
      <c r="BC272" s="35" t="s">
        <v>770</v>
      </c>
      <c r="BD272" s="35" t="s">
        <v>1739</v>
      </c>
      <c r="BE272" s="35" t="s">
        <v>784</v>
      </c>
      <c r="BF272" s="35" t="s">
        <v>152</v>
      </c>
      <c r="BG272" s="35">
        <v>1672</v>
      </c>
      <c r="BH272" s="35" t="s">
        <v>25</v>
      </c>
      <c r="BI272" s="35">
        <v>0.14000000000000001</v>
      </c>
      <c r="BJ272" s="35" t="s">
        <v>1541</v>
      </c>
      <c r="BK272" s="35" t="s">
        <v>774</v>
      </c>
      <c r="BL272" s="35" t="s">
        <v>2166</v>
      </c>
      <c r="BM272" s="35">
        <v>216024</v>
      </c>
      <c r="BW272" s="248"/>
      <c r="BX272" s="248"/>
      <c r="BY272" s="248"/>
      <c r="BZ272" s="248"/>
      <c r="CA272" s="248"/>
      <c r="CB272" s="248"/>
      <c r="CC272" s="248"/>
      <c r="CD272" s="248"/>
      <c r="CE272" s="248"/>
      <c r="CF272" s="248"/>
      <c r="CG272" s="248"/>
      <c r="CH272" s="248"/>
      <c r="CI272" s="248"/>
      <c r="CJ272" s="248"/>
      <c r="CK272" s="248"/>
      <c r="CL272" s="248"/>
      <c r="CM272" s="248"/>
      <c r="CN272" s="248"/>
      <c r="CO272" s="248"/>
      <c r="CP272" s="248"/>
      <c r="CQ272" s="248"/>
      <c r="CR272" s="248"/>
      <c r="CS272" s="248"/>
      <c r="CT272" s="248"/>
      <c r="CU272" s="248"/>
      <c r="CV272" s="248"/>
      <c r="CW272" s="248"/>
      <c r="CX272" s="248"/>
      <c r="CY272" s="248"/>
      <c r="CZ272" s="248"/>
      <c r="DA272" s="248"/>
      <c r="DB272" s="248"/>
      <c r="DC272" s="248"/>
      <c r="DD272" s="248"/>
      <c r="DE272" s="248"/>
      <c r="DF272" s="248"/>
      <c r="DG272" s="248"/>
      <c r="DH272" s="248"/>
      <c r="DI272" s="248"/>
      <c r="DJ272" s="248"/>
      <c r="DK272" s="248"/>
      <c r="DL272" s="248"/>
      <c r="DM272" s="248"/>
      <c r="DN272" s="248"/>
      <c r="DO272" s="248"/>
      <c r="DP272" s="248"/>
      <c r="DQ272" s="248"/>
      <c r="DR272" s="248"/>
      <c r="DS272" s="248"/>
      <c r="DT272" s="248"/>
      <c r="DU272" s="248"/>
      <c r="DV272" s="248"/>
      <c r="DW272" s="248"/>
      <c r="DX272" s="248"/>
      <c r="DY272" s="248"/>
      <c r="DZ272" s="248"/>
      <c r="EA272" s="248"/>
      <c r="EB272" s="248"/>
      <c r="EC272" s="248"/>
      <c r="ED272" s="248"/>
      <c r="EE272" s="248"/>
    </row>
    <row r="273" spans="1:135" s="35" customFormat="1" ht="16.5">
      <c r="A273" s="35" t="str">
        <f t="shared" si="9"/>
        <v>MIB_G               BTMK_B</v>
      </c>
      <c r="B273" s="331"/>
      <c r="C273" s="248">
        <v>216025</v>
      </c>
      <c r="D273" s="283">
        <v>216</v>
      </c>
      <c r="F273" s="35" t="s">
        <v>1086</v>
      </c>
      <c r="G273" s="39"/>
      <c r="O273" s="34" t="s">
        <v>1086</v>
      </c>
      <c r="P273" s="34" t="s">
        <v>1086</v>
      </c>
      <c r="Q273" s="279"/>
      <c r="R273" s="104"/>
      <c r="W273" s="104">
        <v>980015856</v>
      </c>
      <c r="AB273" s="58" t="s">
        <v>1114</v>
      </c>
      <c r="AH273" s="279"/>
      <c r="AJ273" s="279" t="s">
        <v>1117</v>
      </c>
      <c r="AK273" s="279"/>
      <c r="AL273" s="523">
        <v>3</v>
      </c>
      <c r="AM273" s="35">
        <v>216025</v>
      </c>
      <c r="AN273" s="35" t="s">
        <v>1966</v>
      </c>
      <c r="AO273" s="35" t="s">
        <v>920</v>
      </c>
      <c r="AP273" s="35" t="s">
        <v>779</v>
      </c>
      <c r="AQ273" s="34" t="s">
        <v>2284</v>
      </c>
      <c r="AR273" s="35">
        <v>3</v>
      </c>
      <c r="AS273" s="35" t="s">
        <v>1307</v>
      </c>
      <c r="AT273" s="35" t="s">
        <v>1358</v>
      </c>
      <c r="AU273" s="35" t="s">
        <v>10</v>
      </c>
      <c r="AV273" s="35" t="s">
        <v>1698</v>
      </c>
      <c r="AW273" s="35" t="s">
        <v>783</v>
      </c>
      <c r="AX273" s="34" t="s">
        <v>2314</v>
      </c>
      <c r="AY273" s="35">
        <v>2</v>
      </c>
      <c r="AZ273" s="35" t="s">
        <v>714</v>
      </c>
      <c r="BA273" s="35" t="s">
        <v>1539</v>
      </c>
      <c r="BB273" s="35" t="s">
        <v>10</v>
      </c>
      <c r="BC273" s="35" t="s">
        <v>770</v>
      </c>
      <c r="BD273" s="35" t="s">
        <v>1739</v>
      </c>
      <c r="BE273" s="35" t="s">
        <v>784</v>
      </c>
      <c r="BF273" s="35" t="s">
        <v>149</v>
      </c>
      <c r="BG273" s="35">
        <v>1672</v>
      </c>
      <c r="BH273" s="35" t="s">
        <v>66</v>
      </c>
      <c r="BI273" s="35">
        <v>0.14000000000000001</v>
      </c>
      <c r="BJ273" s="35" t="s">
        <v>1542</v>
      </c>
      <c r="BK273" s="35" t="s">
        <v>774</v>
      </c>
      <c r="BL273" s="35" t="s">
        <v>2166</v>
      </c>
      <c r="BM273" s="35">
        <v>216025</v>
      </c>
      <c r="BW273" s="248"/>
      <c r="BX273" s="248"/>
      <c r="BY273" s="248"/>
      <c r="BZ273" s="248"/>
      <c r="CA273" s="248"/>
      <c r="CB273" s="248"/>
      <c r="CC273" s="248"/>
      <c r="CD273" s="248"/>
      <c r="CE273" s="248"/>
      <c r="CF273" s="248"/>
      <c r="CG273" s="248"/>
      <c r="CH273" s="248"/>
      <c r="CI273" s="248"/>
      <c r="CJ273" s="248"/>
      <c r="CK273" s="248"/>
      <c r="CL273" s="248"/>
      <c r="CM273" s="248"/>
      <c r="CN273" s="248"/>
      <c r="CO273" s="248"/>
      <c r="CP273" s="248"/>
      <c r="CQ273" s="248"/>
      <c r="CR273" s="248"/>
      <c r="CS273" s="248"/>
      <c r="CT273" s="248"/>
      <c r="CU273" s="248"/>
      <c r="CV273" s="248"/>
      <c r="CW273" s="248"/>
      <c r="CX273" s="248"/>
      <c r="CY273" s="248"/>
      <c r="CZ273" s="248"/>
      <c r="DA273" s="248"/>
      <c r="DB273" s="248"/>
      <c r="DC273" s="248"/>
      <c r="DD273" s="248"/>
      <c r="DE273" s="248"/>
      <c r="DF273" s="248"/>
      <c r="DG273" s="248"/>
      <c r="DH273" s="248"/>
      <c r="DI273" s="248"/>
      <c r="DJ273" s="248"/>
      <c r="DK273" s="248"/>
      <c r="DL273" s="248"/>
      <c r="DM273" s="248"/>
      <c r="DN273" s="248"/>
      <c r="DO273" s="248"/>
      <c r="DP273" s="248"/>
      <c r="DQ273" s="248"/>
      <c r="DR273" s="248"/>
      <c r="DS273" s="248"/>
      <c r="DT273" s="248"/>
      <c r="DU273" s="248"/>
      <c r="DV273" s="248"/>
      <c r="DW273" s="248"/>
      <c r="DX273" s="248"/>
      <c r="DY273" s="248"/>
      <c r="DZ273" s="248"/>
      <c r="EA273" s="248"/>
      <c r="EB273" s="248"/>
      <c r="EC273" s="248"/>
      <c r="ED273" s="248"/>
      <c r="EE273" s="248"/>
    </row>
    <row r="274" spans="1:135" s="35" customFormat="1" ht="16.5">
      <c r="A274" s="35" t="str">
        <f t="shared" si="9"/>
        <v>MIB_G               BTMK_B</v>
      </c>
      <c r="B274" s="331"/>
      <c r="C274" s="248">
        <v>216026</v>
      </c>
      <c r="D274" s="283">
        <v>216</v>
      </c>
      <c r="F274" s="35" t="s">
        <v>1086</v>
      </c>
      <c r="G274" s="39"/>
      <c r="O274" s="34" t="s">
        <v>1086</v>
      </c>
      <c r="P274" s="34" t="s">
        <v>1086</v>
      </c>
      <c r="Q274" s="279"/>
      <c r="R274" s="104"/>
      <c r="W274" s="104">
        <v>980015856</v>
      </c>
      <c r="AB274" s="58" t="s">
        <v>1114</v>
      </c>
      <c r="AH274" s="279"/>
      <c r="AJ274" s="279" t="s">
        <v>1117</v>
      </c>
      <c r="AK274" s="279"/>
      <c r="AL274" s="523">
        <v>3</v>
      </c>
      <c r="AM274" s="35">
        <v>216026</v>
      </c>
      <c r="AN274" s="35" t="s">
        <v>1967</v>
      </c>
      <c r="AO274" s="35" t="s">
        <v>920</v>
      </c>
      <c r="AP274" s="35" t="s">
        <v>779</v>
      </c>
      <c r="AQ274" s="34" t="s">
        <v>2284</v>
      </c>
      <c r="AR274" s="35">
        <v>2</v>
      </c>
      <c r="AS274" s="35" t="s">
        <v>1307</v>
      </c>
      <c r="AT274" s="35" t="s">
        <v>1358</v>
      </c>
      <c r="AU274" s="35" t="s">
        <v>10</v>
      </c>
      <c r="AV274" s="35" t="s">
        <v>1698</v>
      </c>
      <c r="AW274" s="35" t="s">
        <v>783</v>
      </c>
      <c r="AX274" s="34" t="s">
        <v>2314</v>
      </c>
      <c r="AY274" s="35">
        <v>3</v>
      </c>
      <c r="AZ274" s="35" t="s">
        <v>714</v>
      </c>
      <c r="BA274" s="35" t="s">
        <v>1539</v>
      </c>
      <c r="BB274" s="35" t="s">
        <v>10</v>
      </c>
      <c r="BC274" s="35" t="s">
        <v>770</v>
      </c>
      <c r="BD274" s="35" t="s">
        <v>1739</v>
      </c>
      <c r="BE274" s="35" t="s">
        <v>784</v>
      </c>
      <c r="BF274" s="35" t="s">
        <v>227</v>
      </c>
      <c r="BG274" s="35">
        <v>1672</v>
      </c>
      <c r="BH274" s="35" t="s">
        <v>96</v>
      </c>
      <c r="BI274" s="35">
        <v>0.14000000000000001</v>
      </c>
      <c r="BJ274" s="35" t="s">
        <v>1543</v>
      </c>
      <c r="BK274" s="35" t="s">
        <v>774</v>
      </c>
      <c r="BL274" s="35" t="s">
        <v>2166</v>
      </c>
      <c r="BM274" s="35">
        <v>216026</v>
      </c>
      <c r="BW274" s="248"/>
      <c r="BX274" s="248"/>
      <c r="BY274" s="248"/>
      <c r="BZ274" s="248"/>
      <c r="CA274" s="248"/>
      <c r="CB274" s="248"/>
      <c r="CC274" s="248"/>
      <c r="CD274" s="248"/>
      <c r="CE274" s="248"/>
      <c r="CF274" s="248"/>
      <c r="CG274" s="248"/>
      <c r="CH274" s="248"/>
      <c r="CI274" s="248"/>
      <c r="CJ274" s="248"/>
      <c r="CK274" s="248"/>
      <c r="CL274" s="248"/>
      <c r="CM274" s="248"/>
      <c r="CN274" s="248"/>
      <c r="CO274" s="248"/>
      <c r="CP274" s="248"/>
      <c r="CQ274" s="248"/>
      <c r="CR274" s="248"/>
      <c r="CS274" s="248"/>
      <c r="CT274" s="248"/>
      <c r="CU274" s="248"/>
      <c r="CV274" s="248"/>
      <c r="CW274" s="248"/>
      <c r="CX274" s="248"/>
      <c r="CY274" s="248"/>
      <c r="CZ274" s="248"/>
      <c r="DA274" s="248"/>
      <c r="DB274" s="248"/>
      <c r="DC274" s="248"/>
      <c r="DD274" s="248"/>
      <c r="DE274" s="248"/>
      <c r="DF274" s="248"/>
      <c r="DG274" s="248"/>
      <c r="DH274" s="248"/>
      <c r="DI274" s="248"/>
      <c r="DJ274" s="248"/>
      <c r="DK274" s="248"/>
      <c r="DL274" s="248"/>
      <c r="DM274" s="248"/>
      <c r="DN274" s="248"/>
      <c r="DO274" s="248"/>
      <c r="DP274" s="248"/>
      <c r="DQ274" s="248"/>
      <c r="DR274" s="248"/>
      <c r="DS274" s="248"/>
      <c r="DT274" s="248"/>
      <c r="DU274" s="248"/>
      <c r="DV274" s="248"/>
      <c r="DW274" s="248"/>
      <c r="DX274" s="248"/>
      <c r="DY274" s="248"/>
      <c r="DZ274" s="248"/>
      <c r="EA274" s="248"/>
      <c r="EB274" s="248"/>
      <c r="EC274" s="248"/>
      <c r="ED274" s="248"/>
      <c r="EE274" s="248"/>
    </row>
    <row r="275" spans="1:135" s="35" customFormat="1" ht="16.5">
      <c r="A275" s="35" t="str">
        <f t="shared" si="9"/>
        <v>MIB_G               BTMK_B</v>
      </c>
      <c r="B275" s="331"/>
      <c r="C275" s="248">
        <v>216027</v>
      </c>
      <c r="D275" s="283">
        <v>216</v>
      </c>
      <c r="F275" s="35" t="s">
        <v>1086</v>
      </c>
      <c r="G275" s="39"/>
      <c r="O275" s="34" t="s">
        <v>1086</v>
      </c>
      <c r="P275" s="34" t="s">
        <v>1086</v>
      </c>
      <c r="Q275" s="279"/>
      <c r="R275" s="104"/>
      <c r="W275" s="104">
        <v>980015856</v>
      </c>
      <c r="AB275" s="58" t="s">
        <v>1114</v>
      </c>
      <c r="AH275" s="279"/>
      <c r="AJ275" s="279" t="s">
        <v>1117</v>
      </c>
      <c r="AK275" s="279"/>
      <c r="AL275" s="523">
        <v>3</v>
      </c>
      <c r="AM275" s="35">
        <v>216027</v>
      </c>
      <c r="AN275" s="35" t="s">
        <v>1968</v>
      </c>
      <c r="AO275" s="35" t="s">
        <v>920</v>
      </c>
      <c r="AP275" s="35" t="s">
        <v>779</v>
      </c>
      <c r="AQ275" s="34" t="s">
        <v>2284</v>
      </c>
      <c r="AR275" s="35">
        <v>1</v>
      </c>
      <c r="AS275" s="35" t="s">
        <v>1307</v>
      </c>
      <c r="AT275" s="35" t="s">
        <v>1358</v>
      </c>
      <c r="AU275" s="35" t="s">
        <v>10</v>
      </c>
      <c r="AV275" s="35" t="s">
        <v>1698</v>
      </c>
      <c r="AW275" s="35" t="s">
        <v>783</v>
      </c>
      <c r="AX275" s="34" t="s">
        <v>2314</v>
      </c>
      <c r="AY275" s="35">
        <v>4</v>
      </c>
      <c r="AZ275" s="35" t="s">
        <v>714</v>
      </c>
      <c r="BA275" s="35" t="s">
        <v>1539</v>
      </c>
      <c r="BB275" s="35" t="s">
        <v>10</v>
      </c>
      <c r="BC275" s="35" t="s">
        <v>770</v>
      </c>
      <c r="BD275" s="35" t="s">
        <v>1739</v>
      </c>
      <c r="BE275" s="35" t="s">
        <v>784</v>
      </c>
      <c r="BF275" s="35" t="s">
        <v>228</v>
      </c>
      <c r="BG275" s="35">
        <v>1672</v>
      </c>
      <c r="BH275" s="35" t="s">
        <v>110</v>
      </c>
      <c r="BI275" s="35">
        <v>0.14000000000000001</v>
      </c>
      <c r="BJ275" s="35" t="s">
        <v>1544</v>
      </c>
      <c r="BK275" s="35" t="s">
        <v>774</v>
      </c>
      <c r="BL275" s="35" t="s">
        <v>2166</v>
      </c>
      <c r="BM275" s="35">
        <v>216027</v>
      </c>
      <c r="BW275" s="248"/>
      <c r="BX275" s="248"/>
      <c r="BY275" s="248"/>
      <c r="BZ275" s="248"/>
      <c r="CA275" s="248"/>
      <c r="CB275" s="248"/>
      <c r="CC275" s="248"/>
      <c r="CD275" s="248"/>
      <c r="CE275" s="248"/>
      <c r="CF275" s="248"/>
      <c r="CG275" s="248"/>
      <c r="CH275" s="248"/>
      <c r="CI275" s="248"/>
      <c r="CJ275" s="248"/>
      <c r="CK275" s="248"/>
      <c r="CL275" s="248"/>
      <c r="CM275" s="248"/>
      <c r="CN275" s="248"/>
      <c r="CO275" s="248"/>
      <c r="CP275" s="248"/>
      <c r="CQ275" s="248"/>
      <c r="CR275" s="248"/>
      <c r="CS275" s="248"/>
      <c r="CT275" s="248"/>
      <c r="CU275" s="248"/>
      <c r="CV275" s="248"/>
      <c r="CW275" s="248"/>
      <c r="CX275" s="248"/>
      <c r="CY275" s="248"/>
      <c r="CZ275" s="248"/>
      <c r="DA275" s="248"/>
      <c r="DB275" s="248"/>
      <c r="DC275" s="248"/>
      <c r="DD275" s="248"/>
      <c r="DE275" s="248"/>
      <c r="DF275" s="248"/>
      <c r="DG275" s="248"/>
      <c r="DH275" s="248"/>
      <c r="DI275" s="248"/>
      <c r="DJ275" s="248"/>
      <c r="DK275" s="248"/>
      <c r="DL275" s="248"/>
      <c r="DM275" s="248"/>
      <c r="DN275" s="248"/>
      <c r="DO275" s="248"/>
      <c r="DP275" s="248"/>
      <c r="DQ275" s="248"/>
      <c r="DR275" s="248"/>
      <c r="DS275" s="248"/>
      <c r="DT275" s="248"/>
      <c r="DU275" s="248"/>
      <c r="DV275" s="248"/>
      <c r="DW275" s="248"/>
      <c r="DX275" s="248"/>
      <c r="DY275" s="248"/>
      <c r="DZ275" s="248"/>
      <c r="EA275" s="248"/>
      <c r="EB275" s="248"/>
      <c r="EC275" s="248"/>
      <c r="ED275" s="248"/>
      <c r="EE275" s="248"/>
    </row>
    <row r="276" spans="1:135" s="35" customFormat="1" ht="16.5">
      <c r="A276" s="35" t="str">
        <f t="shared" si="9"/>
        <v>MIB_G               BTMK_B</v>
      </c>
      <c r="B276" s="331"/>
      <c r="C276" s="248">
        <v>216028</v>
      </c>
      <c r="D276" s="283">
        <v>216</v>
      </c>
      <c r="F276" s="35" t="s">
        <v>1086</v>
      </c>
      <c r="G276" s="39"/>
      <c r="O276" s="34" t="s">
        <v>1086</v>
      </c>
      <c r="P276" s="34" t="s">
        <v>1086</v>
      </c>
      <c r="Q276" s="279"/>
      <c r="R276" s="104"/>
      <c r="W276" s="104">
        <v>980015856</v>
      </c>
      <c r="Z276" s="35" t="s">
        <v>2645</v>
      </c>
      <c r="AB276" s="58" t="s">
        <v>1114</v>
      </c>
      <c r="AH276" s="279"/>
      <c r="AJ276" s="279" t="s">
        <v>1117</v>
      </c>
      <c r="AK276" s="279"/>
      <c r="AL276" s="523">
        <v>3</v>
      </c>
      <c r="AM276" s="35">
        <v>216028</v>
      </c>
      <c r="AN276" s="35" t="s">
        <v>1969</v>
      </c>
      <c r="AO276" s="35" t="s">
        <v>920</v>
      </c>
      <c r="AP276" s="35" t="s">
        <v>779</v>
      </c>
      <c r="AQ276" s="34" t="s">
        <v>2284</v>
      </c>
      <c r="AR276" s="35" t="s">
        <v>229</v>
      </c>
      <c r="AS276" s="35" t="s">
        <v>1307</v>
      </c>
      <c r="AT276" s="35" t="s">
        <v>230</v>
      </c>
      <c r="AU276" s="35" t="s">
        <v>10</v>
      </c>
      <c r="AV276" s="35" t="s">
        <v>1698</v>
      </c>
      <c r="AW276" s="35" t="s">
        <v>783</v>
      </c>
      <c r="AX276" s="34" t="s">
        <v>2314</v>
      </c>
      <c r="AY276" s="35" t="s">
        <v>229</v>
      </c>
      <c r="AZ276" s="35" t="s">
        <v>714</v>
      </c>
      <c r="BA276" s="35" t="s">
        <v>1545</v>
      </c>
      <c r="BB276" s="35" t="s">
        <v>10</v>
      </c>
      <c r="BC276" s="35" t="s">
        <v>770</v>
      </c>
      <c r="BD276" s="35" t="s">
        <v>157</v>
      </c>
      <c r="BE276" s="35" t="s">
        <v>784</v>
      </c>
      <c r="BF276" s="35" t="s">
        <v>771</v>
      </c>
      <c r="BG276" s="35">
        <v>1672</v>
      </c>
      <c r="BH276" s="35" t="s">
        <v>144</v>
      </c>
      <c r="BI276" s="35">
        <v>4.8499999999999996</v>
      </c>
      <c r="BJ276" s="35" t="s">
        <v>772</v>
      </c>
      <c r="BK276" s="35" t="s">
        <v>774</v>
      </c>
      <c r="BL276" s="35" t="s">
        <v>2166</v>
      </c>
      <c r="BM276" s="35">
        <v>216028</v>
      </c>
      <c r="BW276" s="248"/>
      <c r="BX276" s="248"/>
      <c r="BY276" s="248"/>
      <c r="BZ276" s="248"/>
      <c r="CA276" s="248"/>
      <c r="CB276" s="248"/>
      <c r="CC276" s="248"/>
      <c r="CD276" s="248"/>
      <c r="CE276" s="248"/>
      <c r="CF276" s="248"/>
      <c r="CG276" s="248"/>
      <c r="CH276" s="248"/>
      <c r="CI276" s="248"/>
      <c r="CJ276" s="248"/>
      <c r="CK276" s="248"/>
      <c r="CL276" s="248"/>
      <c r="CM276" s="248"/>
      <c r="CN276" s="248"/>
      <c r="CO276" s="248"/>
      <c r="CP276" s="248"/>
      <c r="CQ276" s="248"/>
      <c r="CR276" s="248"/>
      <c r="CS276" s="248"/>
      <c r="CT276" s="248"/>
      <c r="CU276" s="248"/>
      <c r="CV276" s="248"/>
      <c r="CW276" s="248"/>
      <c r="CX276" s="248"/>
      <c r="CY276" s="248"/>
      <c r="CZ276" s="248"/>
      <c r="DA276" s="248"/>
      <c r="DB276" s="248"/>
      <c r="DC276" s="248"/>
      <c r="DD276" s="248"/>
      <c r="DE276" s="248"/>
      <c r="DF276" s="248"/>
      <c r="DG276" s="248"/>
      <c r="DH276" s="248"/>
      <c r="DI276" s="248"/>
      <c r="DJ276" s="248"/>
      <c r="DK276" s="248"/>
      <c r="DL276" s="248"/>
      <c r="DM276" s="248"/>
      <c r="DN276" s="248"/>
      <c r="DO276" s="248"/>
      <c r="DP276" s="248"/>
      <c r="DQ276" s="248"/>
      <c r="DR276" s="248"/>
      <c r="DS276" s="248"/>
      <c r="DT276" s="248"/>
      <c r="DU276" s="248"/>
      <c r="DV276" s="248"/>
      <c r="DW276" s="248"/>
      <c r="DX276" s="248"/>
      <c r="DY276" s="248"/>
      <c r="DZ276" s="248"/>
      <c r="EA276" s="248"/>
      <c r="EB276" s="248"/>
      <c r="EC276" s="248"/>
      <c r="ED276" s="248"/>
      <c r="EE276" s="248"/>
    </row>
    <row r="277" spans="1:135" s="302" customFormat="1" ht="16.5">
      <c r="A277" s="35" t="str">
        <f t="shared" si="9"/>
        <v xml:space="preserve">                    </v>
      </c>
      <c r="B277" s="331"/>
      <c r="C277" s="35"/>
      <c r="D277" s="283">
        <v>218</v>
      </c>
      <c r="E277" s="32"/>
      <c r="F277" s="32"/>
      <c r="G277" s="32"/>
      <c r="H277" s="32"/>
      <c r="I277" s="32"/>
      <c r="K277" s="32"/>
      <c r="L277" s="32"/>
      <c r="M277" s="32"/>
      <c r="N277" s="32"/>
      <c r="O277" s="288"/>
      <c r="P277" s="288"/>
      <c r="Q277" s="59"/>
      <c r="R277" s="6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279"/>
      <c r="AI277" s="35"/>
      <c r="AJ277" s="279"/>
      <c r="AK277" s="279"/>
      <c r="AL277" s="523">
        <v>1</v>
      </c>
      <c r="AM277" s="35" t="s">
        <v>765</v>
      </c>
      <c r="AN277" s="35"/>
      <c r="AO277" s="35"/>
      <c r="AP277" s="35"/>
      <c r="AQ277" s="34"/>
      <c r="AR277" s="35"/>
      <c r="AS277" s="35"/>
      <c r="AT277" s="35"/>
      <c r="AU277" s="35"/>
      <c r="AV277" s="35"/>
      <c r="AW277" s="35"/>
      <c r="AX277" s="34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248"/>
      <c r="BX277" s="248"/>
      <c r="BY277" s="248"/>
      <c r="BZ277" s="248"/>
      <c r="CA277" s="248"/>
      <c r="CB277" s="248"/>
      <c r="CC277" s="248"/>
      <c r="CD277" s="248"/>
      <c r="CE277" s="248"/>
      <c r="CF277" s="248"/>
      <c r="CG277" s="248"/>
      <c r="CH277" s="248"/>
      <c r="CI277" s="248"/>
      <c r="CJ277" s="248"/>
      <c r="CK277" s="248"/>
      <c r="CL277" s="248"/>
      <c r="CM277" s="248"/>
      <c r="CN277" s="248"/>
      <c r="CO277" s="248"/>
      <c r="CP277" s="248"/>
      <c r="CQ277" s="248"/>
      <c r="CR277" s="248"/>
      <c r="CS277" s="248"/>
      <c r="CT277" s="248"/>
      <c r="CU277" s="248"/>
      <c r="CV277" s="248"/>
      <c r="CW277" s="248"/>
      <c r="CX277" s="248"/>
      <c r="CY277" s="248"/>
      <c r="CZ277" s="248"/>
      <c r="DA277" s="248"/>
      <c r="DB277" s="248"/>
      <c r="DC277" s="248"/>
      <c r="DD277" s="248"/>
      <c r="DE277" s="248"/>
      <c r="DF277" s="248"/>
      <c r="DG277" s="248"/>
      <c r="DH277" s="248"/>
      <c r="DI277" s="248"/>
      <c r="DJ277" s="248"/>
      <c r="DK277" s="248"/>
      <c r="DL277" s="248"/>
      <c r="DM277" s="248"/>
      <c r="DN277" s="248"/>
      <c r="DO277" s="248"/>
      <c r="DP277" s="248"/>
      <c r="DQ277" s="248"/>
      <c r="DR277" s="248"/>
      <c r="DS277" s="248"/>
      <c r="DT277" s="248"/>
      <c r="DU277" s="248"/>
      <c r="DV277" s="248"/>
      <c r="DW277" s="248"/>
      <c r="DX277" s="248"/>
      <c r="DY277" s="248"/>
      <c r="DZ277" s="248"/>
      <c r="EA277" s="248"/>
      <c r="EB277" s="248"/>
      <c r="EC277" s="248"/>
      <c r="ED277" s="248"/>
      <c r="EE277" s="248"/>
    </row>
    <row r="278" spans="1:135" s="35" customFormat="1" ht="16.5">
      <c r="A278" s="35" t="str">
        <f t="shared" si="9"/>
        <v xml:space="preserve">~                   </v>
      </c>
      <c r="B278" s="331"/>
      <c r="D278" s="283">
        <v>218</v>
      </c>
      <c r="O278" s="34"/>
      <c r="P278" s="34"/>
      <c r="Q278" s="58"/>
      <c r="R278" s="39"/>
      <c r="AH278" s="279"/>
      <c r="AJ278" s="279"/>
      <c r="AK278" s="279"/>
      <c r="AL278" s="523">
        <v>2</v>
      </c>
      <c r="AM278" s="35" t="s">
        <v>0</v>
      </c>
      <c r="AN278" s="35" t="s">
        <v>2373</v>
      </c>
      <c r="AO278" s="35" t="s">
        <v>766</v>
      </c>
      <c r="AP278" s="35" t="s">
        <v>1970</v>
      </c>
      <c r="AQ278" s="34" t="s">
        <v>1</v>
      </c>
      <c r="AR278" s="35" t="s">
        <v>2395</v>
      </c>
      <c r="AS278" s="35" t="s">
        <v>11</v>
      </c>
      <c r="AX278" s="34"/>
    </row>
    <row r="279" spans="1:135" s="302" customFormat="1" ht="16.5">
      <c r="A279" s="35" t="str">
        <f t="shared" si="9"/>
        <v>Kurzname            Kurzname</v>
      </c>
      <c r="B279" s="331"/>
      <c r="C279" s="35"/>
      <c r="D279" s="283">
        <v>218</v>
      </c>
      <c r="E279" s="32"/>
      <c r="F279" s="32"/>
      <c r="G279" s="32"/>
      <c r="H279" s="32"/>
      <c r="I279" s="32"/>
      <c r="K279" s="32"/>
      <c r="L279" s="32"/>
      <c r="M279" s="32"/>
      <c r="N279" s="32"/>
      <c r="O279" s="288"/>
      <c r="P279" s="288"/>
      <c r="Q279" s="59"/>
      <c r="R279" s="6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279"/>
      <c r="AI279" s="35"/>
      <c r="AJ279" s="279"/>
      <c r="AK279" s="279"/>
      <c r="AL279" s="523">
        <v>0</v>
      </c>
      <c r="AM279" s="35" t="s">
        <v>12</v>
      </c>
      <c r="AN279" s="35" t="s">
        <v>13</v>
      </c>
      <c r="AO279" s="35" t="s">
        <v>356</v>
      </c>
      <c r="AP279" s="35" t="s">
        <v>14</v>
      </c>
      <c r="AQ279" s="34" t="s">
        <v>7</v>
      </c>
      <c r="AR279" s="35" t="s">
        <v>15</v>
      </c>
      <c r="AS279" s="35" t="s">
        <v>8</v>
      </c>
      <c r="AT279" s="35" t="s">
        <v>16</v>
      </c>
      <c r="AU279" s="35" t="s">
        <v>17</v>
      </c>
      <c r="AV279" s="35" t="s">
        <v>356</v>
      </c>
      <c r="AW279" s="35" t="s">
        <v>18</v>
      </c>
      <c r="AX279" s="34" t="s">
        <v>7</v>
      </c>
      <c r="AY279" s="35" t="s">
        <v>15</v>
      </c>
      <c r="AZ279" s="35" t="s">
        <v>8</v>
      </c>
      <c r="BA279" s="35" t="s">
        <v>16</v>
      </c>
      <c r="BB279" s="35" t="s">
        <v>17</v>
      </c>
      <c r="BC279" s="35" t="s">
        <v>19</v>
      </c>
      <c r="BD279" s="35" t="s">
        <v>1737</v>
      </c>
      <c r="BE279" s="35" t="s">
        <v>20</v>
      </c>
      <c r="BF279" s="35" t="s">
        <v>21</v>
      </c>
      <c r="BG279" s="35" t="s">
        <v>22</v>
      </c>
      <c r="BH279" s="35" t="s">
        <v>9</v>
      </c>
      <c r="BI279" s="35" t="s">
        <v>23</v>
      </c>
      <c r="BJ279" s="35" t="s">
        <v>24</v>
      </c>
      <c r="BK279" s="35" t="s">
        <v>0</v>
      </c>
      <c r="BL279" s="35" t="s">
        <v>12</v>
      </c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248"/>
      <c r="BX279" s="248"/>
      <c r="BY279" s="248"/>
      <c r="BZ279" s="248"/>
      <c r="CA279" s="248"/>
      <c r="CB279" s="248"/>
      <c r="CC279" s="248"/>
      <c r="CD279" s="248"/>
      <c r="CE279" s="248"/>
      <c r="CF279" s="248"/>
      <c r="CG279" s="248"/>
      <c r="CH279" s="248"/>
      <c r="CI279" s="248"/>
      <c r="CJ279" s="248"/>
      <c r="CK279" s="248"/>
      <c r="CL279" s="248"/>
      <c r="CM279" s="248"/>
      <c r="CN279" s="248"/>
      <c r="CO279" s="248"/>
      <c r="CP279" s="248"/>
      <c r="CQ279" s="248"/>
      <c r="CR279" s="248"/>
      <c r="CS279" s="248"/>
      <c r="CT279" s="248"/>
      <c r="CU279" s="248"/>
      <c r="CV279" s="248"/>
      <c r="CW279" s="248"/>
      <c r="CX279" s="248"/>
      <c r="CY279" s="248"/>
      <c r="CZ279" s="248"/>
      <c r="DA279" s="248"/>
      <c r="DB279" s="248"/>
      <c r="DC279" s="248"/>
      <c r="DD279" s="248"/>
      <c r="DE279" s="248"/>
      <c r="DF279" s="248"/>
      <c r="DG279" s="248"/>
      <c r="DH279" s="248"/>
      <c r="DI279" s="248"/>
      <c r="DJ279" s="248"/>
      <c r="DK279" s="248"/>
      <c r="DL279" s="248"/>
      <c r="DM279" s="248"/>
      <c r="DN279" s="248"/>
      <c r="DO279" s="248"/>
      <c r="DP279" s="248"/>
      <c r="DQ279" s="248"/>
      <c r="DR279" s="248"/>
      <c r="DS279" s="248"/>
      <c r="DT279" s="248"/>
      <c r="DU279" s="248"/>
      <c r="DV279" s="248"/>
      <c r="DW279" s="248"/>
      <c r="DX279" s="248"/>
      <c r="DY279" s="248"/>
      <c r="DZ279" s="248"/>
      <c r="EA279" s="248"/>
      <c r="EB279" s="248"/>
      <c r="EC279" s="248"/>
      <c r="ED279" s="248"/>
      <c r="EE279" s="248"/>
    </row>
    <row r="280" spans="1:135" s="302" customFormat="1" ht="16.5">
      <c r="A280" s="35" t="str">
        <f t="shared" si="9"/>
        <v>DISA_A              SP_CANH_MIB</v>
      </c>
      <c r="B280" s="331"/>
      <c r="C280" s="248">
        <v>218001</v>
      </c>
      <c r="D280" s="283">
        <v>218</v>
      </c>
      <c r="E280" s="32"/>
      <c r="F280" s="177" t="s">
        <v>1094</v>
      </c>
      <c r="G280" s="35" t="s">
        <v>2249</v>
      </c>
      <c r="H280" s="35" t="s">
        <v>610</v>
      </c>
      <c r="I280" s="35"/>
      <c r="K280" s="32"/>
      <c r="L280" s="32"/>
      <c r="M280" s="32"/>
      <c r="N280" s="35" t="s">
        <v>619</v>
      </c>
      <c r="O280" s="34" t="s">
        <v>1086</v>
      </c>
      <c r="P280" s="285" t="s">
        <v>1097</v>
      </c>
      <c r="Q280" s="59"/>
      <c r="R280" s="39" t="s">
        <v>2551</v>
      </c>
      <c r="S280" s="32"/>
      <c r="T280" s="32"/>
      <c r="U280" s="32"/>
      <c r="V280" s="32"/>
      <c r="W280" s="32"/>
      <c r="X280" s="32"/>
      <c r="Y280" s="32"/>
      <c r="Z280" s="35" t="s">
        <v>2645</v>
      </c>
      <c r="AA280" s="32"/>
      <c r="AB280" s="32"/>
      <c r="AC280" s="32"/>
      <c r="AD280" s="32"/>
      <c r="AE280" s="32"/>
      <c r="AF280" s="32"/>
      <c r="AG280" s="32"/>
      <c r="AH280" s="279"/>
      <c r="AI280" s="35"/>
      <c r="AJ280" s="279" t="s">
        <v>1116</v>
      </c>
      <c r="AK280" s="279"/>
      <c r="AL280" s="523">
        <v>3</v>
      </c>
      <c r="AM280" s="35">
        <v>218001</v>
      </c>
      <c r="AN280" s="35" t="s">
        <v>1971</v>
      </c>
      <c r="AO280" s="35" t="s">
        <v>1003</v>
      </c>
      <c r="AP280" s="35" t="s">
        <v>767</v>
      </c>
      <c r="AQ280" s="34" t="s">
        <v>2285</v>
      </c>
      <c r="AR280" s="35">
        <v>1</v>
      </c>
      <c r="AS280" s="35" t="s">
        <v>521</v>
      </c>
      <c r="AT280" s="35" t="s">
        <v>524</v>
      </c>
      <c r="AU280" s="35" t="s">
        <v>10</v>
      </c>
      <c r="AV280" s="35" t="s">
        <v>1717</v>
      </c>
      <c r="AW280" s="35" t="s">
        <v>1191</v>
      </c>
      <c r="AX280" s="34" t="s">
        <v>2249</v>
      </c>
      <c r="AY280" s="35">
        <v>1</v>
      </c>
      <c r="AZ280" s="35" t="s">
        <v>1930</v>
      </c>
      <c r="BA280" s="35" t="s">
        <v>10</v>
      </c>
      <c r="BB280" s="35" t="s">
        <v>10</v>
      </c>
      <c r="BC280" s="35" t="s">
        <v>2392</v>
      </c>
      <c r="BD280" s="35" t="s">
        <v>1742</v>
      </c>
      <c r="BE280" s="35" t="s">
        <v>1252</v>
      </c>
      <c r="BF280" s="35" t="s">
        <v>95</v>
      </c>
      <c r="BG280" s="35">
        <v>902</v>
      </c>
      <c r="BH280" s="35" t="s">
        <v>96</v>
      </c>
      <c r="BI280" s="35">
        <v>0.35</v>
      </c>
      <c r="BJ280" s="35" t="s">
        <v>1934</v>
      </c>
      <c r="BK280" s="35" t="s">
        <v>2373</v>
      </c>
      <c r="BL280" s="35">
        <v>218001</v>
      </c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248"/>
      <c r="BX280" s="248"/>
      <c r="BY280" s="248"/>
      <c r="BZ280" s="248"/>
      <c r="CA280" s="248"/>
      <c r="CB280" s="248"/>
      <c r="CC280" s="248"/>
      <c r="CD280" s="248"/>
      <c r="CE280" s="248"/>
      <c r="CF280" s="248"/>
      <c r="CG280" s="248"/>
      <c r="CH280" s="248"/>
      <c r="CI280" s="248"/>
      <c r="CJ280" s="248"/>
      <c r="CK280" s="248"/>
      <c r="CL280" s="248"/>
      <c r="CM280" s="248"/>
      <c r="CN280" s="248"/>
      <c r="CO280" s="248"/>
      <c r="CP280" s="248"/>
      <c r="CQ280" s="248"/>
      <c r="CR280" s="248"/>
      <c r="CS280" s="248"/>
      <c r="CT280" s="248"/>
      <c r="CU280" s="248"/>
      <c r="CV280" s="248"/>
      <c r="CW280" s="248"/>
      <c r="CX280" s="248"/>
      <c r="CY280" s="248"/>
      <c r="CZ280" s="248"/>
      <c r="DA280" s="248"/>
      <c r="DB280" s="248"/>
      <c r="DC280" s="248"/>
      <c r="DD280" s="248"/>
      <c r="DE280" s="248"/>
      <c r="DF280" s="248"/>
      <c r="DG280" s="248"/>
      <c r="DH280" s="248"/>
      <c r="DI280" s="248"/>
      <c r="DJ280" s="248"/>
      <c r="DK280" s="248"/>
      <c r="DL280" s="248"/>
      <c r="DM280" s="248"/>
      <c r="DN280" s="248"/>
      <c r="DO280" s="248"/>
      <c r="DP280" s="248"/>
      <c r="DQ280" s="248"/>
      <c r="DR280" s="248"/>
      <c r="DS280" s="248"/>
      <c r="DT280" s="248"/>
      <c r="DU280" s="248"/>
      <c r="DV280" s="248"/>
      <c r="DW280" s="248"/>
      <c r="DX280" s="248"/>
      <c r="DY280" s="248"/>
      <c r="DZ280" s="248"/>
      <c r="EA280" s="248"/>
      <c r="EB280" s="248"/>
      <c r="EC280" s="248"/>
      <c r="ED280" s="248"/>
      <c r="EE280" s="248"/>
    </row>
    <row r="281" spans="1:135" s="302" customFormat="1" ht="16.5">
      <c r="A281" s="35" t="str">
        <f t="shared" si="9"/>
        <v>DISA_A              SP_CANL_MIB</v>
      </c>
      <c r="B281" s="331"/>
      <c r="C281" s="248">
        <v>218002</v>
      </c>
      <c r="D281" s="283">
        <v>218</v>
      </c>
      <c r="E281" s="32"/>
      <c r="F281" s="177" t="s">
        <v>1094</v>
      </c>
      <c r="G281" s="35" t="s">
        <v>2248</v>
      </c>
      <c r="H281" s="35" t="s">
        <v>610</v>
      </c>
      <c r="I281" s="35"/>
      <c r="K281" s="32"/>
      <c r="L281" s="32"/>
      <c r="M281" s="32"/>
      <c r="N281" s="35" t="s">
        <v>619</v>
      </c>
      <c r="O281" s="34" t="s">
        <v>1086</v>
      </c>
      <c r="P281" s="285" t="s">
        <v>1097</v>
      </c>
      <c r="Q281" s="59"/>
      <c r="R281" s="39" t="s">
        <v>2551</v>
      </c>
      <c r="S281" s="32"/>
      <c r="T281" s="32"/>
      <c r="U281" s="32"/>
      <c r="V281" s="32"/>
      <c r="W281" s="32"/>
      <c r="X281" s="32"/>
      <c r="Y281" s="32"/>
      <c r="Z281" s="35" t="s">
        <v>2645</v>
      </c>
      <c r="AA281" s="32"/>
      <c r="AB281" s="32"/>
      <c r="AC281" s="32"/>
      <c r="AD281" s="32"/>
      <c r="AE281" s="32"/>
      <c r="AF281" s="32"/>
      <c r="AG281" s="32"/>
      <c r="AH281" s="279"/>
      <c r="AI281" s="35"/>
      <c r="AJ281" s="279" t="s">
        <v>1116</v>
      </c>
      <c r="AK281" s="279"/>
      <c r="AL281" s="523">
        <v>3</v>
      </c>
      <c r="AM281" s="35">
        <v>218002</v>
      </c>
      <c r="AN281" s="35" t="s">
        <v>1972</v>
      </c>
      <c r="AO281" s="35" t="s">
        <v>1003</v>
      </c>
      <c r="AP281" s="35" t="s">
        <v>767</v>
      </c>
      <c r="AQ281" s="34" t="s">
        <v>2285</v>
      </c>
      <c r="AR281" s="35">
        <v>5</v>
      </c>
      <c r="AS281" s="35" t="s">
        <v>521</v>
      </c>
      <c r="AT281" s="35" t="s">
        <v>524</v>
      </c>
      <c r="AU281" s="35" t="s">
        <v>10</v>
      </c>
      <c r="AV281" s="35" t="s">
        <v>1715</v>
      </c>
      <c r="AW281" s="35" t="s">
        <v>1192</v>
      </c>
      <c r="AX281" s="34" t="s">
        <v>2248</v>
      </c>
      <c r="AY281" s="35">
        <v>1</v>
      </c>
      <c r="AZ281" s="35" t="s">
        <v>1930</v>
      </c>
      <c r="BA281" s="35" t="s">
        <v>10</v>
      </c>
      <c r="BB281" s="35" t="s">
        <v>10</v>
      </c>
      <c r="BC281" s="35" t="s">
        <v>2392</v>
      </c>
      <c r="BD281" s="35" t="s">
        <v>1742</v>
      </c>
      <c r="BE281" s="35" t="s">
        <v>1252</v>
      </c>
      <c r="BF281" s="35" t="s">
        <v>88</v>
      </c>
      <c r="BG281" s="35">
        <v>916</v>
      </c>
      <c r="BH281" s="35" t="s">
        <v>89</v>
      </c>
      <c r="BI281" s="35">
        <v>0.35</v>
      </c>
      <c r="BJ281" s="35" t="s">
        <v>1931</v>
      </c>
      <c r="BK281" s="35" t="s">
        <v>2373</v>
      </c>
      <c r="BL281" s="35">
        <v>218002</v>
      </c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248"/>
      <c r="BX281" s="248"/>
      <c r="BY281" s="248"/>
      <c r="BZ281" s="248"/>
      <c r="CA281" s="248"/>
      <c r="CB281" s="248"/>
      <c r="CC281" s="248"/>
      <c r="CD281" s="248"/>
      <c r="CE281" s="248"/>
      <c r="CF281" s="248"/>
      <c r="CG281" s="248"/>
      <c r="CH281" s="248"/>
      <c r="CI281" s="248"/>
      <c r="CJ281" s="248"/>
      <c r="CK281" s="248"/>
      <c r="CL281" s="248"/>
      <c r="CM281" s="248"/>
      <c r="CN281" s="248"/>
      <c r="CO281" s="248"/>
      <c r="CP281" s="248"/>
      <c r="CQ281" s="248"/>
      <c r="CR281" s="248"/>
      <c r="CS281" s="248"/>
      <c r="CT281" s="248"/>
      <c r="CU281" s="248"/>
      <c r="CV281" s="248"/>
      <c r="CW281" s="248"/>
      <c r="CX281" s="248"/>
      <c r="CY281" s="248"/>
      <c r="CZ281" s="248"/>
      <c r="DA281" s="248"/>
      <c r="DB281" s="248"/>
      <c r="DC281" s="248"/>
      <c r="DD281" s="248"/>
      <c r="DE281" s="248"/>
      <c r="DF281" s="248"/>
      <c r="DG281" s="248"/>
      <c r="DH281" s="248"/>
      <c r="DI281" s="248"/>
      <c r="DJ281" s="248"/>
      <c r="DK281" s="248"/>
      <c r="DL281" s="248"/>
      <c r="DM281" s="248"/>
      <c r="DN281" s="248"/>
      <c r="DO281" s="248"/>
      <c r="DP281" s="248"/>
      <c r="DQ281" s="248"/>
      <c r="DR281" s="248"/>
      <c r="DS281" s="248"/>
      <c r="DT281" s="248"/>
      <c r="DU281" s="248"/>
      <c r="DV281" s="248"/>
      <c r="DW281" s="248"/>
      <c r="DX281" s="248"/>
      <c r="DY281" s="248"/>
      <c r="DZ281" s="248"/>
      <c r="EA281" s="248"/>
      <c r="EB281" s="248"/>
      <c r="EC281" s="248"/>
      <c r="ED281" s="248"/>
      <c r="EE281" s="248"/>
    </row>
    <row r="282" spans="1:135" s="302" customFormat="1" ht="16.5">
      <c r="A282" s="35" t="str">
        <f t="shared" si="9"/>
        <v>SIDO_P              DISA_A</v>
      </c>
      <c r="B282" s="331"/>
      <c r="C282" s="248">
        <v>218003</v>
      </c>
      <c r="D282" s="283">
        <v>218</v>
      </c>
      <c r="E282" s="35"/>
      <c r="F282" s="35" t="s">
        <v>1086</v>
      </c>
      <c r="G282" s="32"/>
      <c r="H282" s="32"/>
      <c r="I282" s="32"/>
      <c r="K282" s="32"/>
      <c r="L282" s="32"/>
      <c r="M282" s="32"/>
      <c r="N282" s="32"/>
      <c r="O282" s="34" t="s">
        <v>1086</v>
      </c>
      <c r="P282" s="34" t="s">
        <v>1086</v>
      </c>
      <c r="Q282" s="59"/>
      <c r="R282" s="35" t="s">
        <v>1348</v>
      </c>
      <c r="S282" s="32"/>
      <c r="T282" s="32"/>
      <c r="U282" s="32"/>
      <c r="V282" s="32"/>
      <c r="W282" s="62"/>
      <c r="X282" s="32"/>
      <c r="Y282" s="32"/>
      <c r="Z282" s="32"/>
      <c r="AA282" s="35" t="s">
        <v>2645</v>
      </c>
      <c r="AB282" s="32"/>
      <c r="AC282" s="32"/>
      <c r="AD282" s="32"/>
      <c r="AE282" s="32"/>
      <c r="AF282" s="32"/>
      <c r="AG282" s="32"/>
      <c r="AH282" s="279"/>
      <c r="AI282" s="35"/>
      <c r="AJ282" s="279" t="s">
        <v>1117</v>
      </c>
      <c r="AK282" s="279"/>
      <c r="AL282" s="523">
        <v>3</v>
      </c>
      <c r="AM282" s="35">
        <v>218003</v>
      </c>
      <c r="AN282" s="35" t="s">
        <v>1973</v>
      </c>
      <c r="AO282" s="35" t="s">
        <v>901</v>
      </c>
      <c r="AP282" s="35" t="s">
        <v>633</v>
      </c>
      <c r="AQ282" s="34" t="s">
        <v>2257</v>
      </c>
      <c r="AR282" s="35" t="s">
        <v>246</v>
      </c>
      <c r="AS282" s="35" t="s">
        <v>1414</v>
      </c>
      <c r="AT282" s="35" t="s">
        <v>244</v>
      </c>
      <c r="AU282" s="35" t="s">
        <v>10</v>
      </c>
      <c r="AV282" s="35" t="s">
        <v>1003</v>
      </c>
      <c r="AW282" s="35" t="s">
        <v>767</v>
      </c>
      <c r="AX282" s="34" t="s">
        <v>2285</v>
      </c>
      <c r="AY282" s="35">
        <v>4</v>
      </c>
      <c r="AZ282" s="35" t="s">
        <v>521</v>
      </c>
      <c r="BA282" s="35" t="s">
        <v>1322</v>
      </c>
      <c r="BB282" s="35" t="s">
        <v>10</v>
      </c>
      <c r="BC282" s="35" t="s">
        <v>73</v>
      </c>
      <c r="BD282" s="35" t="s">
        <v>1742</v>
      </c>
      <c r="BE282" s="35" t="s">
        <v>10</v>
      </c>
      <c r="BF282" s="35" t="s">
        <v>10</v>
      </c>
      <c r="BG282" s="35">
        <v>1114</v>
      </c>
      <c r="BH282" s="35" t="s">
        <v>74</v>
      </c>
      <c r="BI282" s="35">
        <v>0.35</v>
      </c>
      <c r="BJ282" s="35" t="s">
        <v>1546</v>
      </c>
      <c r="BK282" s="35" t="s">
        <v>2373</v>
      </c>
      <c r="BL282" s="35">
        <v>218003</v>
      </c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248"/>
      <c r="BX282" s="248"/>
      <c r="BY282" s="248"/>
      <c r="BZ282" s="248"/>
      <c r="CA282" s="248"/>
      <c r="CB282" s="248"/>
      <c r="CC282" s="248"/>
      <c r="CD282" s="248"/>
      <c r="CE282" s="248"/>
      <c r="CF282" s="248"/>
      <c r="CG282" s="248"/>
      <c r="CH282" s="248"/>
      <c r="CI282" s="248"/>
      <c r="CJ282" s="248"/>
      <c r="CK282" s="248"/>
      <c r="CL282" s="248"/>
      <c r="CM282" s="248"/>
      <c r="CN282" s="248"/>
      <c r="CO282" s="248"/>
      <c r="CP282" s="248"/>
      <c r="CQ282" s="248"/>
      <c r="CR282" s="248"/>
      <c r="CS282" s="248"/>
      <c r="CT282" s="248"/>
      <c r="CU282" s="248"/>
      <c r="CV282" s="248"/>
      <c r="CW282" s="248"/>
      <c r="CX282" s="248"/>
      <c r="CY282" s="248"/>
      <c r="CZ282" s="248"/>
      <c r="DA282" s="248"/>
      <c r="DB282" s="248"/>
      <c r="DC282" s="248"/>
      <c r="DD282" s="248"/>
      <c r="DE282" s="248"/>
      <c r="DF282" s="248"/>
      <c r="DG282" s="248"/>
      <c r="DH282" s="248"/>
      <c r="DI282" s="248"/>
      <c r="DJ282" s="248"/>
      <c r="DK282" s="248"/>
      <c r="DL282" s="248"/>
      <c r="DM282" s="248"/>
      <c r="DN282" s="248"/>
      <c r="DO282" s="248"/>
      <c r="DP282" s="248"/>
      <c r="DQ282" s="248"/>
      <c r="DR282" s="248"/>
      <c r="DS282" s="248"/>
      <c r="DT282" s="248"/>
      <c r="DU282" s="248"/>
      <c r="DV282" s="248"/>
      <c r="DW282" s="248"/>
      <c r="DX282" s="248"/>
      <c r="DY282" s="248"/>
      <c r="DZ282" s="248"/>
      <c r="EA282" s="248"/>
      <c r="EB282" s="248"/>
      <c r="EC282" s="248"/>
      <c r="ED282" s="248"/>
      <c r="EE282" s="248"/>
    </row>
    <row r="283" spans="1:135" s="302" customFormat="1" ht="16.5">
      <c r="A283" s="35" t="str">
        <f t="shared" si="9"/>
        <v>SP_MB34_B1          DISA_A</v>
      </c>
      <c r="B283" s="331"/>
      <c r="C283" s="248">
        <v>218004</v>
      </c>
      <c r="D283" s="283">
        <v>218</v>
      </c>
      <c r="E283" s="35"/>
      <c r="F283" s="35" t="s">
        <v>1086</v>
      </c>
      <c r="G283" s="35" t="s">
        <v>2231</v>
      </c>
      <c r="H283" s="35" t="s">
        <v>609</v>
      </c>
      <c r="I283" s="35"/>
      <c r="K283" s="32"/>
      <c r="L283" s="32"/>
      <c r="M283" s="32"/>
      <c r="N283" s="35" t="s">
        <v>537</v>
      </c>
      <c r="O283" s="34" t="s">
        <v>1086</v>
      </c>
      <c r="P283" s="34" t="s">
        <v>1086</v>
      </c>
      <c r="Q283" s="59"/>
      <c r="R283" s="35" t="s">
        <v>1348</v>
      </c>
      <c r="S283" s="32"/>
      <c r="T283" s="32"/>
      <c r="U283" s="32"/>
      <c r="V283" s="32"/>
      <c r="W283" s="62"/>
      <c r="X283" s="32"/>
      <c r="Y283" s="32"/>
      <c r="Z283" s="32"/>
      <c r="AA283" s="35" t="s">
        <v>2645</v>
      </c>
      <c r="AB283" s="32"/>
      <c r="AC283" s="32"/>
      <c r="AD283" s="32"/>
      <c r="AE283" s="32"/>
      <c r="AF283" s="32"/>
      <c r="AG283" s="32"/>
      <c r="AH283" s="279"/>
      <c r="AI283" s="35"/>
      <c r="AJ283" s="279" t="s">
        <v>1117</v>
      </c>
      <c r="AK283" s="279"/>
      <c r="AL283" s="523">
        <v>3</v>
      </c>
      <c r="AM283" s="35">
        <v>218004</v>
      </c>
      <c r="AN283" s="35" t="s">
        <v>1974</v>
      </c>
      <c r="AO283" s="35" t="s">
        <v>2147</v>
      </c>
      <c r="AP283" s="35" t="s">
        <v>534</v>
      </c>
      <c r="AQ283" s="34" t="s">
        <v>2231</v>
      </c>
      <c r="AR283" s="35">
        <v>1</v>
      </c>
      <c r="AS283" s="35" t="s">
        <v>411</v>
      </c>
      <c r="AT283" s="35" t="s">
        <v>10</v>
      </c>
      <c r="AU283" s="35" t="s">
        <v>10</v>
      </c>
      <c r="AV283" s="35" t="s">
        <v>1003</v>
      </c>
      <c r="AW283" s="35" t="s">
        <v>767</v>
      </c>
      <c r="AX283" s="34" t="s">
        <v>2285</v>
      </c>
      <c r="AY283" s="35">
        <v>8</v>
      </c>
      <c r="AZ283" s="35" t="s">
        <v>521</v>
      </c>
      <c r="BA283" s="35" t="s">
        <v>2190</v>
      </c>
      <c r="BB283" s="35" t="s">
        <v>10</v>
      </c>
      <c r="BC283" s="35" t="s">
        <v>26</v>
      </c>
      <c r="BD283" s="35" t="s">
        <v>1742</v>
      </c>
      <c r="BE283" s="35" t="s">
        <v>10</v>
      </c>
      <c r="BF283" s="35" t="s">
        <v>10</v>
      </c>
      <c r="BG283" s="35">
        <v>1069</v>
      </c>
      <c r="BH283" s="35" t="s">
        <v>25</v>
      </c>
      <c r="BI283" s="35">
        <v>0.5</v>
      </c>
      <c r="BJ283" s="35" t="s">
        <v>1355</v>
      </c>
      <c r="BK283" s="35" t="s">
        <v>2373</v>
      </c>
      <c r="BL283" s="35">
        <v>218004</v>
      </c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248"/>
      <c r="BX283" s="248"/>
      <c r="BY283" s="248"/>
      <c r="BZ283" s="248"/>
      <c r="CA283" s="248"/>
      <c r="CB283" s="248"/>
      <c r="CC283" s="248"/>
      <c r="CD283" s="248"/>
      <c r="CE283" s="248"/>
      <c r="CF283" s="248"/>
      <c r="CG283" s="248"/>
      <c r="CH283" s="248"/>
      <c r="CI283" s="248"/>
      <c r="CJ283" s="248"/>
      <c r="CK283" s="248"/>
      <c r="CL283" s="248"/>
      <c r="CM283" s="248"/>
      <c r="CN283" s="248"/>
      <c r="CO283" s="248"/>
      <c r="CP283" s="248"/>
      <c r="CQ283" s="248"/>
      <c r="CR283" s="248"/>
      <c r="CS283" s="248"/>
      <c r="CT283" s="248"/>
      <c r="CU283" s="248"/>
      <c r="CV283" s="248"/>
      <c r="CW283" s="248"/>
      <c r="CX283" s="248"/>
      <c r="CY283" s="248"/>
      <c r="CZ283" s="248"/>
      <c r="DA283" s="248"/>
      <c r="DB283" s="248"/>
      <c r="DC283" s="248"/>
      <c r="DD283" s="248"/>
      <c r="DE283" s="248"/>
      <c r="DF283" s="248"/>
      <c r="DG283" s="248"/>
      <c r="DH283" s="248"/>
      <c r="DI283" s="248"/>
      <c r="DJ283" s="248"/>
      <c r="DK283" s="248"/>
      <c r="DL283" s="248"/>
      <c r="DM283" s="248"/>
      <c r="DN283" s="248"/>
      <c r="DO283" s="248"/>
      <c r="DP283" s="248"/>
      <c r="DQ283" s="248"/>
      <c r="DR283" s="248"/>
      <c r="DS283" s="248"/>
      <c r="DT283" s="248"/>
      <c r="DU283" s="248"/>
      <c r="DV283" s="248"/>
      <c r="DW283" s="248"/>
      <c r="DX283" s="248"/>
      <c r="DY283" s="248"/>
      <c r="DZ283" s="248"/>
      <c r="EA283" s="248"/>
      <c r="EB283" s="248"/>
      <c r="EC283" s="248"/>
      <c r="ED283" s="248"/>
      <c r="EE283" s="248"/>
    </row>
    <row r="284" spans="1:135" s="302" customFormat="1" ht="16.5">
      <c r="A284" s="35" t="str">
        <f t="shared" si="9"/>
        <v>DISA_B              BTMK_C</v>
      </c>
      <c r="B284" s="331"/>
      <c r="C284" s="248">
        <v>218005</v>
      </c>
      <c r="D284" s="283">
        <v>218</v>
      </c>
      <c r="E284" s="283"/>
      <c r="F284" s="35" t="s">
        <v>1086</v>
      </c>
      <c r="G284" s="32"/>
      <c r="H284" s="32"/>
      <c r="I284" s="32"/>
      <c r="K284" s="32"/>
      <c r="L284" s="32"/>
      <c r="M284" s="32"/>
      <c r="N284" s="32"/>
      <c r="O284" s="34" t="s">
        <v>1086</v>
      </c>
      <c r="P284" s="34" t="s">
        <v>1086</v>
      </c>
      <c r="Q284" s="58"/>
      <c r="R284" s="104"/>
      <c r="S284" s="32"/>
      <c r="T284" s="32"/>
      <c r="U284" s="32"/>
      <c r="V284" s="32"/>
      <c r="W284" s="104">
        <v>980015375</v>
      </c>
      <c r="X284" s="32"/>
      <c r="Y284" s="32"/>
      <c r="Z284" s="32"/>
      <c r="AA284" s="32"/>
      <c r="AB284" s="58" t="s">
        <v>1114</v>
      </c>
      <c r="AC284" s="35"/>
      <c r="AD284" s="35"/>
      <c r="AE284" s="35"/>
      <c r="AF284" s="35"/>
      <c r="AG284" s="35"/>
      <c r="AH284" s="279"/>
      <c r="AI284" s="35"/>
      <c r="AJ284" s="279" t="s">
        <v>1117</v>
      </c>
      <c r="AK284" s="279"/>
      <c r="AL284" s="523">
        <v>3</v>
      </c>
      <c r="AM284" s="35">
        <v>218005</v>
      </c>
      <c r="AN284" s="35" t="s">
        <v>1547</v>
      </c>
      <c r="AO284" s="35" t="s">
        <v>1003</v>
      </c>
      <c r="AP284" s="35" t="s">
        <v>769</v>
      </c>
      <c r="AQ284" s="34" t="s">
        <v>2286</v>
      </c>
      <c r="AR284" s="35">
        <v>1</v>
      </c>
      <c r="AS284" s="35" t="s">
        <v>521</v>
      </c>
      <c r="AT284" s="35" t="s">
        <v>1358</v>
      </c>
      <c r="AU284" s="35" t="s">
        <v>10</v>
      </c>
      <c r="AV284" s="35" t="s">
        <v>1698</v>
      </c>
      <c r="AW284" s="35" t="s">
        <v>768</v>
      </c>
      <c r="AX284" s="34" t="s">
        <v>2315</v>
      </c>
      <c r="AY284" s="35">
        <v>4</v>
      </c>
      <c r="AZ284" s="35" t="s">
        <v>1174</v>
      </c>
      <c r="BA284" s="35" t="s">
        <v>1539</v>
      </c>
      <c r="BB284" s="35" t="s">
        <v>10</v>
      </c>
      <c r="BC284" s="35" t="s">
        <v>770</v>
      </c>
      <c r="BD284" s="35" t="s">
        <v>1739</v>
      </c>
      <c r="BE284" s="35" t="s">
        <v>1253</v>
      </c>
      <c r="BF284" s="35" t="s">
        <v>152</v>
      </c>
      <c r="BG284" s="35">
        <v>1767</v>
      </c>
      <c r="BH284" s="35" t="s">
        <v>25</v>
      </c>
      <c r="BI284" s="35">
        <v>0.14000000000000001</v>
      </c>
      <c r="BJ284" s="35" t="s">
        <v>1548</v>
      </c>
      <c r="BK284" s="35" t="s">
        <v>2373</v>
      </c>
      <c r="BL284" s="35">
        <v>218005</v>
      </c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248"/>
      <c r="BX284" s="248"/>
      <c r="BY284" s="248"/>
      <c r="BZ284" s="248"/>
      <c r="CA284" s="248"/>
      <c r="CB284" s="248"/>
      <c r="CC284" s="248"/>
      <c r="CD284" s="248"/>
      <c r="CE284" s="248"/>
      <c r="CF284" s="248"/>
      <c r="CG284" s="248"/>
      <c r="CH284" s="248"/>
      <c r="CI284" s="248"/>
      <c r="CJ284" s="248"/>
      <c r="CK284" s="248"/>
      <c r="CL284" s="248"/>
      <c r="CM284" s="248"/>
      <c r="CN284" s="248"/>
      <c r="CO284" s="248"/>
      <c r="CP284" s="248"/>
      <c r="CQ284" s="248"/>
      <c r="CR284" s="248"/>
      <c r="CS284" s="248"/>
      <c r="CT284" s="248"/>
      <c r="CU284" s="248"/>
      <c r="CV284" s="248"/>
      <c r="CW284" s="248"/>
      <c r="CX284" s="248"/>
      <c r="CY284" s="248"/>
      <c r="CZ284" s="248"/>
      <c r="DA284" s="248"/>
      <c r="DB284" s="248"/>
      <c r="DC284" s="248"/>
      <c r="DD284" s="248"/>
      <c r="DE284" s="248"/>
      <c r="DF284" s="248"/>
      <c r="DG284" s="248"/>
      <c r="DH284" s="248"/>
      <c r="DI284" s="248"/>
      <c r="DJ284" s="248"/>
      <c r="DK284" s="248"/>
      <c r="DL284" s="248"/>
      <c r="DM284" s="248"/>
      <c r="DN284" s="248"/>
      <c r="DO284" s="248"/>
      <c r="DP284" s="248"/>
      <c r="DQ284" s="248"/>
      <c r="DR284" s="248"/>
      <c r="DS284" s="248"/>
      <c r="DT284" s="248"/>
      <c r="DU284" s="248"/>
      <c r="DV284" s="248"/>
      <c r="DW284" s="248"/>
      <c r="DX284" s="248"/>
      <c r="DY284" s="248"/>
      <c r="DZ284" s="248"/>
      <c r="EA284" s="248"/>
      <c r="EB284" s="248"/>
      <c r="EC284" s="248"/>
      <c r="ED284" s="248"/>
      <c r="EE284" s="248"/>
    </row>
    <row r="285" spans="1:135" s="302" customFormat="1" ht="16.5">
      <c r="A285" s="35" t="str">
        <f t="shared" si="9"/>
        <v>DISA_B              BTMK_C</v>
      </c>
      <c r="B285" s="331"/>
      <c r="C285" s="248">
        <v>218006</v>
      </c>
      <c r="D285" s="283">
        <v>218</v>
      </c>
      <c r="E285" s="283"/>
      <c r="F285" s="35" t="s">
        <v>1086</v>
      </c>
      <c r="G285" s="32"/>
      <c r="H285" s="32"/>
      <c r="I285" s="32"/>
      <c r="K285" s="32"/>
      <c r="L285" s="32"/>
      <c r="M285" s="32"/>
      <c r="N285" s="32"/>
      <c r="O285" s="34" t="s">
        <v>1086</v>
      </c>
      <c r="P285" s="34" t="s">
        <v>1086</v>
      </c>
      <c r="Q285" s="58"/>
      <c r="R285" s="104"/>
      <c r="S285" s="32"/>
      <c r="T285" s="32"/>
      <c r="U285" s="32"/>
      <c r="V285" s="32"/>
      <c r="W285" s="104">
        <v>980015375</v>
      </c>
      <c r="X285" s="32"/>
      <c r="Y285" s="32"/>
      <c r="Z285" s="32"/>
      <c r="AA285" s="32"/>
      <c r="AB285" s="58" t="s">
        <v>1114</v>
      </c>
      <c r="AC285" s="35"/>
      <c r="AD285" s="35"/>
      <c r="AE285" s="35"/>
      <c r="AF285" s="35"/>
      <c r="AG285" s="35"/>
      <c r="AH285" s="279"/>
      <c r="AI285" s="35"/>
      <c r="AJ285" s="279" t="s">
        <v>1117</v>
      </c>
      <c r="AK285" s="279"/>
      <c r="AL285" s="523">
        <v>3</v>
      </c>
      <c r="AM285" s="35">
        <v>218006</v>
      </c>
      <c r="AN285" s="35" t="s">
        <v>1549</v>
      </c>
      <c r="AO285" s="35" t="s">
        <v>1003</v>
      </c>
      <c r="AP285" s="35" t="s">
        <v>769</v>
      </c>
      <c r="AQ285" s="34" t="s">
        <v>2286</v>
      </c>
      <c r="AR285" s="35">
        <v>2</v>
      </c>
      <c r="AS285" s="35" t="s">
        <v>521</v>
      </c>
      <c r="AT285" s="35" t="s">
        <v>1358</v>
      </c>
      <c r="AU285" s="35" t="s">
        <v>10</v>
      </c>
      <c r="AV285" s="35" t="s">
        <v>1698</v>
      </c>
      <c r="AW285" s="35" t="s">
        <v>768</v>
      </c>
      <c r="AX285" s="34" t="s">
        <v>2315</v>
      </c>
      <c r="AY285" s="35">
        <v>3</v>
      </c>
      <c r="AZ285" s="35" t="s">
        <v>1174</v>
      </c>
      <c r="BA285" s="35" t="s">
        <v>1539</v>
      </c>
      <c r="BB285" s="35" t="s">
        <v>10</v>
      </c>
      <c r="BC285" s="35" t="s">
        <v>770</v>
      </c>
      <c r="BD285" s="35" t="s">
        <v>1739</v>
      </c>
      <c r="BE285" s="35" t="s">
        <v>1253</v>
      </c>
      <c r="BF285" s="35" t="s">
        <v>149</v>
      </c>
      <c r="BG285" s="35">
        <v>1767</v>
      </c>
      <c r="BH285" s="35" t="s">
        <v>66</v>
      </c>
      <c r="BI285" s="35">
        <v>0.14000000000000001</v>
      </c>
      <c r="BJ285" s="35" t="s">
        <v>1550</v>
      </c>
      <c r="BK285" s="35" t="s">
        <v>2373</v>
      </c>
      <c r="BL285" s="35">
        <v>218006</v>
      </c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248"/>
      <c r="BX285" s="248"/>
      <c r="BY285" s="248"/>
      <c r="BZ285" s="248"/>
      <c r="CA285" s="248"/>
      <c r="CB285" s="248"/>
      <c r="CC285" s="248"/>
      <c r="CD285" s="248"/>
      <c r="CE285" s="248"/>
      <c r="CF285" s="248"/>
      <c r="CG285" s="248"/>
      <c r="CH285" s="248"/>
      <c r="CI285" s="248"/>
      <c r="CJ285" s="248"/>
      <c r="CK285" s="248"/>
      <c r="CL285" s="248"/>
      <c r="CM285" s="248"/>
      <c r="CN285" s="248"/>
      <c r="CO285" s="248"/>
      <c r="CP285" s="248"/>
      <c r="CQ285" s="248"/>
      <c r="CR285" s="248"/>
      <c r="CS285" s="248"/>
      <c r="CT285" s="248"/>
      <c r="CU285" s="248"/>
      <c r="CV285" s="248"/>
      <c r="CW285" s="248"/>
      <c r="CX285" s="248"/>
      <c r="CY285" s="248"/>
      <c r="CZ285" s="248"/>
      <c r="DA285" s="248"/>
      <c r="DB285" s="248"/>
      <c r="DC285" s="248"/>
      <c r="DD285" s="248"/>
      <c r="DE285" s="248"/>
      <c r="DF285" s="248"/>
      <c r="DG285" s="248"/>
      <c r="DH285" s="248"/>
      <c r="DI285" s="248"/>
      <c r="DJ285" s="248"/>
      <c r="DK285" s="248"/>
      <c r="DL285" s="248"/>
      <c r="DM285" s="248"/>
      <c r="DN285" s="248"/>
      <c r="DO285" s="248"/>
      <c r="DP285" s="248"/>
      <c r="DQ285" s="248"/>
      <c r="DR285" s="248"/>
      <c r="DS285" s="248"/>
      <c r="DT285" s="248"/>
      <c r="DU285" s="248"/>
      <c r="DV285" s="248"/>
      <c r="DW285" s="248"/>
      <c r="DX285" s="248"/>
      <c r="DY285" s="248"/>
      <c r="DZ285" s="248"/>
      <c r="EA285" s="248"/>
      <c r="EB285" s="248"/>
      <c r="EC285" s="248"/>
      <c r="ED285" s="248"/>
      <c r="EE285" s="248"/>
    </row>
    <row r="286" spans="1:135" s="302" customFormat="1" ht="16.5">
      <c r="A286" s="35" t="str">
        <f t="shared" si="9"/>
        <v>DISA_B              BTMK_C</v>
      </c>
      <c r="B286" s="331"/>
      <c r="C286" s="248">
        <v>218007</v>
      </c>
      <c r="D286" s="283">
        <v>218</v>
      </c>
      <c r="E286" s="283"/>
      <c r="F286" s="35" t="s">
        <v>1086</v>
      </c>
      <c r="G286" s="32"/>
      <c r="H286" s="32"/>
      <c r="I286" s="32"/>
      <c r="K286" s="32"/>
      <c r="L286" s="32"/>
      <c r="M286" s="32"/>
      <c r="N286" s="32"/>
      <c r="O286" s="34" t="s">
        <v>1086</v>
      </c>
      <c r="P286" s="34" t="s">
        <v>1086</v>
      </c>
      <c r="Q286" s="58"/>
      <c r="R286" s="104"/>
      <c r="S286" s="32"/>
      <c r="T286" s="32"/>
      <c r="U286" s="32"/>
      <c r="V286" s="32"/>
      <c r="W286" s="104">
        <v>980015375</v>
      </c>
      <c r="X286" s="32"/>
      <c r="Y286" s="32"/>
      <c r="Z286" s="32"/>
      <c r="AA286" s="32"/>
      <c r="AB286" s="58" t="s">
        <v>1114</v>
      </c>
      <c r="AC286" s="35"/>
      <c r="AD286" s="35"/>
      <c r="AE286" s="35"/>
      <c r="AF286" s="35"/>
      <c r="AG286" s="35"/>
      <c r="AH286" s="279"/>
      <c r="AI286" s="35"/>
      <c r="AJ286" s="279" t="s">
        <v>1117</v>
      </c>
      <c r="AK286" s="279"/>
      <c r="AL286" s="523">
        <v>3</v>
      </c>
      <c r="AM286" s="35">
        <v>218007</v>
      </c>
      <c r="AN286" s="35" t="s">
        <v>1551</v>
      </c>
      <c r="AO286" s="35" t="s">
        <v>1003</v>
      </c>
      <c r="AP286" s="35" t="s">
        <v>769</v>
      </c>
      <c r="AQ286" s="34" t="s">
        <v>2286</v>
      </c>
      <c r="AR286" s="35">
        <v>3</v>
      </c>
      <c r="AS286" s="35" t="s">
        <v>521</v>
      </c>
      <c r="AT286" s="35" t="s">
        <v>1358</v>
      </c>
      <c r="AU286" s="35" t="s">
        <v>10</v>
      </c>
      <c r="AV286" s="35" t="s">
        <v>1698</v>
      </c>
      <c r="AW286" s="35" t="s">
        <v>768</v>
      </c>
      <c r="AX286" s="34" t="s">
        <v>2315</v>
      </c>
      <c r="AY286" s="35">
        <v>2</v>
      </c>
      <c r="AZ286" s="35" t="s">
        <v>1174</v>
      </c>
      <c r="BA286" s="35" t="s">
        <v>1539</v>
      </c>
      <c r="BB286" s="35" t="s">
        <v>10</v>
      </c>
      <c r="BC286" s="35" t="s">
        <v>770</v>
      </c>
      <c r="BD286" s="35" t="s">
        <v>1739</v>
      </c>
      <c r="BE286" s="35" t="s">
        <v>1253</v>
      </c>
      <c r="BF286" s="35" t="s">
        <v>227</v>
      </c>
      <c r="BG286" s="35">
        <v>1767</v>
      </c>
      <c r="BH286" s="35" t="s">
        <v>96</v>
      </c>
      <c r="BI286" s="35">
        <v>0.14000000000000001</v>
      </c>
      <c r="BJ286" s="35" t="s">
        <v>1552</v>
      </c>
      <c r="BK286" s="35" t="s">
        <v>2373</v>
      </c>
      <c r="BL286" s="35">
        <v>218007</v>
      </c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248"/>
      <c r="BX286" s="248"/>
      <c r="BY286" s="248"/>
      <c r="BZ286" s="248"/>
      <c r="CA286" s="248"/>
      <c r="CB286" s="248"/>
      <c r="CC286" s="248"/>
      <c r="CD286" s="248"/>
      <c r="CE286" s="248"/>
      <c r="CF286" s="248"/>
      <c r="CG286" s="248"/>
      <c r="CH286" s="248"/>
      <c r="CI286" s="248"/>
      <c r="CJ286" s="248"/>
      <c r="CK286" s="248"/>
      <c r="CL286" s="248"/>
      <c r="CM286" s="248"/>
      <c r="CN286" s="248"/>
      <c r="CO286" s="248"/>
      <c r="CP286" s="248"/>
      <c r="CQ286" s="248"/>
      <c r="CR286" s="248"/>
      <c r="CS286" s="248"/>
      <c r="CT286" s="248"/>
      <c r="CU286" s="248"/>
      <c r="CV286" s="248"/>
      <c r="CW286" s="248"/>
      <c r="CX286" s="248"/>
      <c r="CY286" s="248"/>
      <c r="CZ286" s="248"/>
      <c r="DA286" s="248"/>
      <c r="DB286" s="248"/>
      <c r="DC286" s="248"/>
      <c r="DD286" s="248"/>
      <c r="DE286" s="248"/>
      <c r="DF286" s="248"/>
      <c r="DG286" s="248"/>
      <c r="DH286" s="248"/>
      <c r="DI286" s="248"/>
      <c r="DJ286" s="248"/>
      <c r="DK286" s="248"/>
      <c r="DL286" s="248"/>
      <c r="DM286" s="248"/>
      <c r="DN286" s="248"/>
      <c r="DO286" s="248"/>
      <c r="DP286" s="248"/>
      <c r="DQ286" s="248"/>
      <c r="DR286" s="248"/>
      <c r="DS286" s="248"/>
      <c r="DT286" s="248"/>
      <c r="DU286" s="248"/>
      <c r="DV286" s="248"/>
      <c r="DW286" s="248"/>
      <c r="DX286" s="248"/>
      <c r="DY286" s="248"/>
      <c r="DZ286" s="248"/>
      <c r="EA286" s="248"/>
      <c r="EB286" s="248"/>
      <c r="EC286" s="248"/>
      <c r="ED286" s="248"/>
      <c r="EE286" s="248"/>
    </row>
    <row r="287" spans="1:135" s="302" customFormat="1" ht="16.5">
      <c r="A287" s="35" t="str">
        <f t="shared" si="9"/>
        <v>DISA_B              BTMK_C</v>
      </c>
      <c r="B287" s="331"/>
      <c r="C287" s="248">
        <v>218008</v>
      </c>
      <c r="D287" s="283">
        <v>218</v>
      </c>
      <c r="E287" s="283"/>
      <c r="F287" s="35" t="s">
        <v>1086</v>
      </c>
      <c r="G287" s="32"/>
      <c r="H287" s="32"/>
      <c r="I287" s="32"/>
      <c r="K287" s="32"/>
      <c r="L287" s="32"/>
      <c r="M287" s="32"/>
      <c r="N287" s="32"/>
      <c r="O287" s="34" t="s">
        <v>1086</v>
      </c>
      <c r="P287" s="34" t="s">
        <v>1086</v>
      </c>
      <c r="Q287" s="58"/>
      <c r="R287" s="104"/>
      <c r="S287" s="32"/>
      <c r="T287" s="32"/>
      <c r="U287" s="32"/>
      <c r="V287" s="32"/>
      <c r="W287" s="104">
        <v>980015375</v>
      </c>
      <c r="X287" s="32"/>
      <c r="Y287" s="32"/>
      <c r="Z287" s="32"/>
      <c r="AA287" s="32"/>
      <c r="AB287" s="58" t="s">
        <v>1114</v>
      </c>
      <c r="AC287" s="35"/>
      <c r="AD287" s="35"/>
      <c r="AE287" s="35"/>
      <c r="AF287" s="35"/>
      <c r="AG287" s="35"/>
      <c r="AH287" s="279"/>
      <c r="AI287" s="35"/>
      <c r="AJ287" s="279" t="s">
        <v>1117</v>
      </c>
      <c r="AK287" s="279"/>
      <c r="AL287" s="523">
        <v>3</v>
      </c>
      <c r="AM287" s="35">
        <v>218008</v>
      </c>
      <c r="AN287" s="35" t="s">
        <v>1553</v>
      </c>
      <c r="AO287" s="35" t="s">
        <v>1003</v>
      </c>
      <c r="AP287" s="35" t="s">
        <v>769</v>
      </c>
      <c r="AQ287" s="34" t="s">
        <v>2286</v>
      </c>
      <c r="AR287" s="35">
        <v>4</v>
      </c>
      <c r="AS287" s="35" t="s">
        <v>521</v>
      </c>
      <c r="AT287" s="35" t="s">
        <v>1358</v>
      </c>
      <c r="AU287" s="35" t="s">
        <v>10</v>
      </c>
      <c r="AV287" s="35" t="s">
        <v>1698</v>
      </c>
      <c r="AW287" s="35" t="s">
        <v>768</v>
      </c>
      <c r="AX287" s="34" t="s">
        <v>2315</v>
      </c>
      <c r="AY287" s="35">
        <v>1</v>
      </c>
      <c r="AZ287" s="35" t="s">
        <v>1174</v>
      </c>
      <c r="BA287" s="35" t="s">
        <v>1539</v>
      </c>
      <c r="BB287" s="35" t="s">
        <v>10</v>
      </c>
      <c r="BC287" s="35" t="s">
        <v>770</v>
      </c>
      <c r="BD287" s="35" t="s">
        <v>1739</v>
      </c>
      <c r="BE287" s="35" t="s">
        <v>1253</v>
      </c>
      <c r="BF287" s="35" t="s">
        <v>228</v>
      </c>
      <c r="BG287" s="35">
        <v>1767</v>
      </c>
      <c r="BH287" s="35" t="s">
        <v>110</v>
      </c>
      <c r="BI287" s="35">
        <v>0.14000000000000001</v>
      </c>
      <c r="BJ287" s="35" t="s">
        <v>1554</v>
      </c>
      <c r="BK287" s="35" t="s">
        <v>2373</v>
      </c>
      <c r="BL287" s="35">
        <v>218008</v>
      </c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248"/>
      <c r="BX287" s="248"/>
      <c r="BY287" s="248"/>
      <c r="BZ287" s="248"/>
      <c r="CA287" s="248"/>
      <c r="CB287" s="248"/>
      <c r="CC287" s="248"/>
      <c r="CD287" s="248"/>
      <c r="CE287" s="248"/>
      <c r="CF287" s="248"/>
      <c r="CG287" s="248"/>
      <c r="CH287" s="248"/>
      <c r="CI287" s="248"/>
      <c r="CJ287" s="248"/>
      <c r="CK287" s="248"/>
      <c r="CL287" s="248"/>
      <c r="CM287" s="248"/>
      <c r="CN287" s="248"/>
      <c r="CO287" s="248"/>
      <c r="CP287" s="248"/>
      <c r="CQ287" s="248"/>
      <c r="CR287" s="248"/>
      <c r="CS287" s="248"/>
      <c r="CT287" s="248"/>
      <c r="CU287" s="248"/>
      <c r="CV287" s="248"/>
      <c r="CW287" s="248"/>
      <c r="CX287" s="248"/>
      <c r="CY287" s="248"/>
      <c r="CZ287" s="248"/>
      <c r="DA287" s="248"/>
      <c r="DB287" s="248"/>
      <c r="DC287" s="248"/>
      <c r="DD287" s="248"/>
      <c r="DE287" s="248"/>
      <c r="DF287" s="248"/>
      <c r="DG287" s="248"/>
      <c r="DH287" s="248"/>
      <c r="DI287" s="248"/>
      <c r="DJ287" s="248"/>
      <c r="DK287" s="248"/>
      <c r="DL287" s="248"/>
      <c r="DM287" s="248"/>
      <c r="DN287" s="248"/>
      <c r="DO287" s="248"/>
      <c r="DP287" s="248"/>
      <c r="DQ287" s="248"/>
      <c r="DR287" s="248"/>
      <c r="DS287" s="248"/>
      <c r="DT287" s="248"/>
      <c r="DU287" s="248"/>
      <c r="DV287" s="248"/>
      <c r="DW287" s="248"/>
      <c r="DX287" s="248"/>
      <c r="DY287" s="248"/>
      <c r="DZ287" s="248"/>
      <c r="EA287" s="248"/>
      <c r="EB287" s="248"/>
      <c r="EC287" s="248"/>
      <c r="ED287" s="248"/>
      <c r="EE287" s="248"/>
    </row>
    <row r="288" spans="1:135" s="302" customFormat="1" ht="16.5">
      <c r="A288" s="35" t="str">
        <f t="shared" si="9"/>
        <v>DISA_B              BTMK_C</v>
      </c>
      <c r="B288" s="331"/>
      <c r="C288" s="248">
        <v>218009</v>
      </c>
      <c r="D288" s="283">
        <v>218</v>
      </c>
      <c r="E288" s="283"/>
      <c r="F288" s="35" t="s">
        <v>1086</v>
      </c>
      <c r="G288" s="32"/>
      <c r="H288" s="32"/>
      <c r="I288" s="32"/>
      <c r="K288" s="32"/>
      <c r="L288" s="32"/>
      <c r="M288" s="32"/>
      <c r="N288" s="32"/>
      <c r="O288" s="34" t="s">
        <v>1086</v>
      </c>
      <c r="P288" s="34" t="s">
        <v>1086</v>
      </c>
      <c r="Q288" s="58"/>
      <c r="R288" s="104"/>
      <c r="S288" s="32"/>
      <c r="T288" s="32"/>
      <c r="U288" s="32"/>
      <c r="V288" s="32"/>
      <c r="W288" s="104">
        <v>980015375</v>
      </c>
      <c r="X288" s="32"/>
      <c r="Y288" s="32"/>
      <c r="Z288" s="35" t="s">
        <v>2645</v>
      </c>
      <c r="AA288" s="32"/>
      <c r="AB288" s="58" t="s">
        <v>1114</v>
      </c>
      <c r="AC288" s="35"/>
      <c r="AD288" s="35"/>
      <c r="AE288" s="35"/>
      <c r="AF288" s="35"/>
      <c r="AG288" s="35"/>
      <c r="AH288" s="279"/>
      <c r="AI288" s="35"/>
      <c r="AJ288" s="279" t="s">
        <v>1117</v>
      </c>
      <c r="AK288" s="279"/>
      <c r="AL288" s="523">
        <v>3</v>
      </c>
      <c r="AM288" s="35">
        <v>218009</v>
      </c>
      <c r="AN288" s="35" t="s">
        <v>1555</v>
      </c>
      <c r="AO288" s="35" t="s">
        <v>1003</v>
      </c>
      <c r="AP288" s="35" t="s">
        <v>769</v>
      </c>
      <c r="AQ288" s="34" t="s">
        <v>2286</v>
      </c>
      <c r="AR288" s="35" t="s">
        <v>229</v>
      </c>
      <c r="AS288" s="35" t="s">
        <v>521</v>
      </c>
      <c r="AT288" s="35" t="s">
        <v>230</v>
      </c>
      <c r="AU288" s="35" t="s">
        <v>10</v>
      </c>
      <c r="AV288" s="35" t="s">
        <v>1698</v>
      </c>
      <c r="AW288" s="35" t="s">
        <v>768</v>
      </c>
      <c r="AX288" s="34" t="s">
        <v>2315</v>
      </c>
      <c r="AY288" s="35" t="s">
        <v>229</v>
      </c>
      <c r="AZ288" s="35" t="s">
        <v>1174</v>
      </c>
      <c r="BA288" s="35" t="s">
        <v>1545</v>
      </c>
      <c r="BB288" s="35" t="s">
        <v>10</v>
      </c>
      <c r="BC288" s="35" t="s">
        <v>770</v>
      </c>
      <c r="BD288" s="35" t="s">
        <v>157</v>
      </c>
      <c r="BE288" s="35" t="s">
        <v>1253</v>
      </c>
      <c r="BF288" s="35" t="s">
        <v>771</v>
      </c>
      <c r="BG288" s="35">
        <v>1767</v>
      </c>
      <c r="BH288" s="35" t="s">
        <v>144</v>
      </c>
      <c r="BI288" s="35">
        <v>4.8499999999999996</v>
      </c>
      <c r="BJ288" s="35" t="s">
        <v>1556</v>
      </c>
      <c r="BK288" s="35" t="s">
        <v>2373</v>
      </c>
      <c r="BL288" s="35">
        <v>218009</v>
      </c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248"/>
      <c r="BX288" s="248"/>
      <c r="BY288" s="248"/>
      <c r="BZ288" s="248"/>
      <c r="CA288" s="248"/>
      <c r="CB288" s="248"/>
      <c r="CC288" s="248"/>
      <c r="CD288" s="248"/>
      <c r="CE288" s="248"/>
      <c r="CF288" s="248"/>
      <c r="CG288" s="248"/>
      <c r="CH288" s="248"/>
      <c r="CI288" s="248"/>
      <c r="CJ288" s="248"/>
      <c r="CK288" s="248"/>
      <c r="CL288" s="248"/>
      <c r="CM288" s="248"/>
      <c r="CN288" s="248"/>
      <c r="CO288" s="248"/>
      <c r="CP288" s="248"/>
      <c r="CQ288" s="248"/>
      <c r="CR288" s="248"/>
      <c r="CS288" s="248"/>
      <c r="CT288" s="248"/>
      <c r="CU288" s="248"/>
      <c r="CV288" s="248"/>
      <c r="CW288" s="248"/>
      <c r="CX288" s="248"/>
      <c r="CY288" s="248"/>
      <c r="CZ288" s="248"/>
      <c r="DA288" s="248"/>
      <c r="DB288" s="248"/>
      <c r="DC288" s="248"/>
      <c r="DD288" s="248"/>
      <c r="DE288" s="248"/>
      <c r="DF288" s="248"/>
      <c r="DG288" s="248"/>
      <c r="DH288" s="248"/>
      <c r="DI288" s="248"/>
      <c r="DJ288" s="248"/>
      <c r="DK288" s="248"/>
      <c r="DL288" s="248"/>
      <c r="DM288" s="248"/>
      <c r="DN288" s="248"/>
      <c r="DO288" s="248"/>
      <c r="DP288" s="248"/>
      <c r="DQ288" s="248"/>
      <c r="DR288" s="248"/>
      <c r="DS288" s="248"/>
      <c r="DT288" s="248"/>
      <c r="DU288" s="248"/>
      <c r="DV288" s="248"/>
      <c r="DW288" s="248"/>
      <c r="DX288" s="248"/>
      <c r="DY288" s="248"/>
      <c r="DZ288" s="248"/>
      <c r="EA288" s="248"/>
      <c r="EB288" s="248"/>
      <c r="EC288" s="248"/>
      <c r="ED288" s="248"/>
      <c r="EE288" s="248"/>
    </row>
    <row r="289" spans="1:135" s="35" customFormat="1" ht="16.5">
      <c r="A289" s="35" t="str">
        <f t="shared" si="9"/>
        <v xml:space="preserve">                    </v>
      </c>
      <c r="B289" s="331"/>
      <c r="D289" s="283">
        <v>219</v>
      </c>
      <c r="G289" s="39"/>
      <c r="O289" s="34"/>
      <c r="P289" s="34"/>
      <c r="Q289" s="58"/>
      <c r="R289" s="39"/>
      <c r="W289" s="39"/>
      <c r="AH289" s="279"/>
      <c r="AJ289" s="279"/>
      <c r="AK289" s="279"/>
      <c r="AL289" s="523">
        <v>1</v>
      </c>
      <c r="AM289" s="35" t="s">
        <v>1975</v>
      </c>
      <c r="AQ289" s="34"/>
      <c r="AX289" s="34"/>
      <c r="BW289" s="248"/>
      <c r="BX289" s="248"/>
      <c r="BY289" s="248"/>
      <c r="BZ289" s="248"/>
      <c r="CA289" s="248"/>
      <c r="CB289" s="248"/>
      <c r="CC289" s="248"/>
      <c r="CD289" s="248"/>
      <c r="CE289" s="248"/>
      <c r="CF289" s="248"/>
      <c r="CG289" s="248"/>
      <c r="CH289" s="248"/>
      <c r="CI289" s="248"/>
      <c r="CJ289" s="248"/>
      <c r="CK289" s="248"/>
      <c r="CL289" s="248"/>
      <c r="CM289" s="248"/>
      <c r="CN289" s="248"/>
      <c r="CO289" s="248"/>
      <c r="CP289" s="248"/>
      <c r="CQ289" s="248"/>
      <c r="CR289" s="248"/>
      <c r="CS289" s="248"/>
      <c r="CT289" s="248"/>
      <c r="CU289" s="248"/>
      <c r="CV289" s="248"/>
      <c r="CW289" s="248"/>
      <c r="CX289" s="248"/>
      <c r="CY289" s="248"/>
      <c r="CZ289" s="248"/>
      <c r="DA289" s="248"/>
      <c r="DB289" s="248"/>
      <c r="DC289" s="248"/>
      <c r="DD289" s="248"/>
      <c r="DE289" s="248"/>
      <c r="DF289" s="248"/>
      <c r="DG289" s="248"/>
      <c r="DH289" s="248"/>
      <c r="DI289" s="248"/>
      <c r="DJ289" s="248"/>
      <c r="DK289" s="248"/>
      <c r="DL289" s="248"/>
      <c r="DM289" s="248"/>
      <c r="DN289" s="248"/>
      <c r="DO289" s="248"/>
      <c r="DP289" s="248"/>
      <c r="DQ289" s="248"/>
      <c r="DR289" s="248"/>
      <c r="DS289" s="248"/>
      <c r="DT289" s="248"/>
      <c r="DU289" s="248"/>
      <c r="DV289" s="248"/>
      <c r="DW289" s="248"/>
      <c r="DX289" s="248"/>
      <c r="DY289" s="248"/>
      <c r="DZ289" s="248"/>
      <c r="EA289" s="248"/>
      <c r="EB289" s="248"/>
      <c r="EC289" s="248"/>
      <c r="ED289" s="248"/>
      <c r="EE289" s="248"/>
    </row>
    <row r="290" spans="1:135" s="35" customFormat="1" ht="16.5">
      <c r="A290" s="35" t="str">
        <f t="shared" si="9"/>
        <v xml:space="preserve">~                   </v>
      </c>
      <c r="B290" s="331"/>
      <c r="D290" s="283">
        <v>219</v>
      </c>
      <c r="O290" s="34"/>
      <c r="P290" s="34"/>
      <c r="Q290" s="58"/>
      <c r="R290" s="39"/>
      <c r="W290" s="39"/>
      <c r="AC290" s="287">
        <v>1</v>
      </c>
      <c r="AD290" s="287"/>
      <c r="AE290" s="287"/>
      <c r="AF290" s="287"/>
      <c r="AG290" s="287"/>
      <c r="AH290" s="279"/>
      <c r="AJ290" s="279"/>
      <c r="AK290" s="279"/>
      <c r="AL290" s="523">
        <v>2</v>
      </c>
      <c r="AM290" s="35" t="s">
        <v>0</v>
      </c>
      <c r="AN290" s="35" t="s">
        <v>786</v>
      </c>
      <c r="AO290" s="35" t="s">
        <v>2440</v>
      </c>
      <c r="AP290" s="35" t="s">
        <v>2379</v>
      </c>
      <c r="AQ290" s="34" t="s">
        <v>1</v>
      </c>
      <c r="AR290" s="35" t="s">
        <v>1557</v>
      </c>
      <c r="AS290" s="35" t="s">
        <v>11</v>
      </c>
      <c r="AX290" s="34"/>
      <c r="BW290" s="248"/>
      <c r="BX290" s="248"/>
      <c r="BY290" s="248"/>
      <c r="BZ290" s="248"/>
      <c r="CA290" s="248"/>
      <c r="CB290" s="248"/>
      <c r="CC290" s="248"/>
      <c r="CD290" s="248"/>
      <c r="CE290" s="248"/>
      <c r="CF290" s="248"/>
      <c r="CG290" s="248"/>
      <c r="CH290" s="248"/>
      <c r="CI290" s="248"/>
      <c r="CJ290" s="248"/>
      <c r="CK290" s="248"/>
      <c r="CL290" s="248"/>
      <c r="CM290" s="248"/>
      <c r="CN290" s="248"/>
      <c r="CO290" s="248"/>
      <c r="CP290" s="248"/>
      <c r="CQ290" s="248"/>
      <c r="CR290" s="248"/>
      <c r="CS290" s="248"/>
      <c r="CT290" s="248"/>
      <c r="CU290" s="248"/>
      <c r="CV290" s="248"/>
      <c r="CW290" s="248"/>
      <c r="CX290" s="248"/>
      <c r="CY290" s="248"/>
      <c r="CZ290" s="248"/>
      <c r="DA290" s="248"/>
      <c r="DB290" s="248"/>
      <c r="DC290" s="248"/>
      <c r="DD290" s="248"/>
      <c r="DE290" s="248"/>
      <c r="DF290" s="248"/>
      <c r="DG290" s="248"/>
      <c r="DH290" s="248"/>
      <c r="DI290" s="248"/>
      <c r="DJ290" s="248"/>
      <c r="DK290" s="248"/>
      <c r="DL290" s="248"/>
      <c r="DM290" s="248"/>
      <c r="DN290" s="248"/>
      <c r="DO290" s="248"/>
      <c r="DP290" s="248"/>
      <c r="DQ290" s="248"/>
      <c r="DR290" s="248"/>
      <c r="DS290" s="248"/>
      <c r="DT290" s="248"/>
      <c r="DU290" s="248"/>
      <c r="DV290" s="248"/>
      <c r="DW290" s="248"/>
      <c r="DX290" s="248"/>
      <c r="DY290" s="248"/>
      <c r="DZ290" s="248"/>
      <c r="EA290" s="248"/>
      <c r="EB290" s="248"/>
      <c r="EC290" s="248"/>
      <c r="ED290" s="248"/>
      <c r="EE290" s="248"/>
    </row>
    <row r="291" spans="1:135" s="35" customFormat="1" ht="16.5">
      <c r="A291" s="35" t="str">
        <f t="shared" si="9"/>
        <v xml:space="preserve">~                   </v>
      </c>
      <c r="B291" s="331"/>
      <c r="D291" s="283">
        <v>219</v>
      </c>
      <c r="G291" s="39"/>
      <c r="O291" s="34"/>
      <c r="P291" s="34"/>
      <c r="Q291" s="58"/>
      <c r="R291" s="39"/>
      <c r="AC291" s="287">
        <v>1</v>
      </c>
      <c r="AD291" s="287"/>
      <c r="AE291" s="287"/>
      <c r="AF291" s="287"/>
      <c r="AG291" s="287"/>
      <c r="AH291" s="279"/>
      <c r="AJ291" s="279"/>
      <c r="AK291" s="279"/>
      <c r="AL291" s="523">
        <v>2</v>
      </c>
      <c r="AM291" s="35" t="s">
        <v>2</v>
      </c>
      <c r="AN291" s="35" t="s">
        <v>787</v>
      </c>
      <c r="AO291" s="35" t="s">
        <v>2441</v>
      </c>
      <c r="AP291" s="35" t="s">
        <v>2380</v>
      </c>
      <c r="AQ291" s="34" t="s">
        <v>1</v>
      </c>
      <c r="AR291" s="35" t="s">
        <v>1558</v>
      </c>
      <c r="AS291" s="35" t="s">
        <v>11</v>
      </c>
      <c r="AX291" s="34"/>
      <c r="BW291" s="248"/>
      <c r="BX291" s="248"/>
      <c r="BY291" s="248"/>
      <c r="BZ291" s="248"/>
      <c r="CA291" s="248"/>
      <c r="CB291" s="248"/>
      <c r="CC291" s="248"/>
      <c r="CD291" s="248"/>
      <c r="CE291" s="248"/>
      <c r="CF291" s="248"/>
      <c r="CG291" s="248"/>
      <c r="CH291" s="248"/>
      <c r="CI291" s="248"/>
      <c r="CJ291" s="248"/>
      <c r="CK291" s="248"/>
      <c r="CL291" s="248"/>
      <c r="CM291" s="248"/>
      <c r="CN291" s="248"/>
      <c r="CO291" s="248"/>
      <c r="CP291" s="248"/>
      <c r="CQ291" s="248"/>
      <c r="CR291" s="248"/>
      <c r="CS291" s="248"/>
      <c r="CT291" s="248"/>
      <c r="CU291" s="248"/>
      <c r="CV291" s="248"/>
      <c r="CW291" s="248"/>
      <c r="CX291" s="248"/>
      <c r="CY291" s="248"/>
      <c r="CZ291" s="248"/>
      <c r="DA291" s="248"/>
      <c r="DB291" s="248"/>
      <c r="DC291" s="248"/>
      <c r="DD291" s="248"/>
      <c r="DE291" s="248"/>
      <c r="DF291" s="248"/>
      <c r="DG291" s="248"/>
      <c r="DH291" s="248"/>
      <c r="DI291" s="248"/>
      <c r="DJ291" s="248"/>
      <c r="DK291" s="248"/>
      <c r="DL291" s="248"/>
      <c r="DM291" s="248"/>
      <c r="DN291" s="248"/>
      <c r="DO291" s="248"/>
      <c r="DP291" s="248"/>
      <c r="DQ291" s="248"/>
      <c r="DR291" s="248"/>
      <c r="DS291" s="248"/>
      <c r="DT291" s="248"/>
      <c r="DU291" s="248"/>
      <c r="DV291" s="248"/>
      <c r="DW291" s="248"/>
      <c r="DX291" s="248"/>
      <c r="DY291" s="248"/>
      <c r="DZ291" s="248"/>
      <c r="EA291" s="248"/>
      <c r="EB291" s="248"/>
      <c r="EC291" s="248"/>
      <c r="ED291" s="248"/>
      <c r="EE291" s="248"/>
    </row>
    <row r="292" spans="1:135" s="35" customFormat="1" ht="16.5">
      <c r="A292" s="35" t="str">
        <f t="shared" si="9"/>
        <v xml:space="preserve">~                   </v>
      </c>
      <c r="B292" s="331"/>
      <c r="D292" s="283">
        <v>219</v>
      </c>
      <c r="G292" s="39"/>
      <c r="O292" s="34"/>
      <c r="P292" s="34"/>
      <c r="Q292" s="58"/>
      <c r="R292" s="39"/>
      <c r="AC292" s="287">
        <v>1</v>
      </c>
      <c r="AD292" s="287"/>
      <c r="AE292" s="287"/>
      <c r="AF292" s="287"/>
      <c r="AG292" s="287"/>
      <c r="AH292" s="279"/>
      <c r="AJ292" s="279"/>
      <c r="AK292" s="279"/>
      <c r="AL292" s="523">
        <v>2</v>
      </c>
      <c r="AM292" s="35" t="s">
        <v>3</v>
      </c>
      <c r="AN292" s="35" t="s">
        <v>788</v>
      </c>
      <c r="AO292" s="35" t="s">
        <v>1980</v>
      </c>
      <c r="AP292" s="35" t="s">
        <v>2381</v>
      </c>
      <c r="AQ292" s="34" t="s">
        <v>1</v>
      </c>
      <c r="AR292" s="35" t="s">
        <v>1559</v>
      </c>
      <c r="AS292" s="35" t="s">
        <v>11</v>
      </c>
      <c r="AX292" s="34"/>
      <c r="BW292" s="248"/>
      <c r="BX292" s="248"/>
      <c r="BY292" s="248"/>
      <c r="BZ292" s="248"/>
      <c r="CA292" s="248"/>
      <c r="CB292" s="248"/>
      <c r="CC292" s="248"/>
      <c r="CD292" s="248"/>
      <c r="CE292" s="248"/>
      <c r="CF292" s="248"/>
      <c r="CG292" s="248"/>
      <c r="CH292" s="248"/>
      <c r="CI292" s="248"/>
      <c r="CJ292" s="248"/>
      <c r="CK292" s="248"/>
      <c r="CL292" s="248"/>
      <c r="CM292" s="248"/>
      <c r="CN292" s="248"/>
      <c r="CO292" s="248"/>
      <c r="CP292" s="248"/>
      <c r="CQ292" s="248"/>
      <c r="CR292" s="248"/>
      <c r="CS292" s="248"/>
      <c r="CT292" s="248"/>
      <c r="CU292" s="248"/>
      <c r="CV292" s="248"/>
      <c r="CW292" s="248"/>
      <c r="CX292" s="248"/>
      <c r="CY292" s="248"/>
      <c r="CZ292" s="248"/>
      <c r="DA292" s="248"/>
      <c r="DB292" s="248"/>
      <c r="DC292" s="248"/>
      <c r="DD292" s="248"/>
      <c r="DE292" s="248"/>
      <c r="DF292" s="248"/>
      <c r="DG292" s="248"/>
      <c r="DH292" s="248"/>
      <c r="DI292" s="248"/>
      <c r="DJ292" s="248"/>
      <c r="DK292" s="248"/>
      <c r="DL292" s="248"/>
      <c r="DM292" s="248"/>
      <c r="DN292" s="248"/>
      <c r="DO292" s="248"/>
      <c r="DP292" s="248"/>
      <c r="DQ292" s="248"/>
      <c r="DR292" s="248"/>
      <c r="DS292" s="248"/>
      <c r="DT292" s="248"/>
      <c r="DU292" s="248"/>
      <c r="DV292" s="248"/>
      <c r="DW292" s="248"/>
      <c r="DX292" s="248"/>
      <c r="DY292" s="248"/>
      <c r="DZ292" s="248"/>
      <c r="EA292" s="248"/>
      <c r="EB292" s="248"/>
      <c r="EC292" s="248"/>
      <c r="ED292" s="248"/>
      <c r="EE292" s="248"/>
    </row>
    <row r="293" spans="1:135" s="35" customFormat="1" ht="16.5">
      <c r="B293" s="331"/>
      <c r="D293" s="283">
        <v>219</v>
      </c>
      <c r="G293" s="39"/>
      <c r="O293" s="34"/>
      <c r="P293" s="34"/>
      <c r="Q293" s="58"/>
      <c r="R293" s="39"/>
      <c r="AC293" s="287">
        <v>1</v>
      </c>
      <c r="AD293" s="287"/>
      <c r="AE293" s="287"/>
      <c r="AF293" s="287"/>
      <c r="AG293" s="287"/>
      <c r="AH293" s="279"/>
      <c r="AJ293" s="279"/>
      <c r="AK293" s="279"/>
      <c r="AL293" s="523">
        <v>2</v>
      </c>
      <c r="AM293" s="35" t="s">
        <v>4</v>
      </c>
      <c r="AN293" s="35" t="s">
        <v>2442</v>
      </c>
      <c r="AO293" s="35" t="s">
        <v>2443</v>
      </c>
      <c r="AP293" s="35" t="s">
        <v>2497</v>
      </c>
      <c r="AQ293" s="34" t="s">
        <v>1</v>
      </c>
      <c r="AR293" s="35" t="s">
        <v>1558</v>
      </c>
      <c r="AS293" s="35" t="s">
        <v>11</v>
      </c>
      <c r="AX293" s="34"/>
      <c r="BW293" s="248"/>
      <c r="BX293" s="248"/>
      <c r="BY293" s="248"/>
      <c r="BZ293" s="248"/>
      <c r="CA293" s="248"/>
      <c r="CB293" s="248"/>
      <c r="CC293" s="248"/>
      <c r="CD293" s="248"/>
      <c r="CE293" s="248"/>
      <c r="CF293" s="248"/>
      <c r="CG293" s="248"/>
      <c r="CH293" s="248"/>
      <c r="CI293" s="248"/>
      <c r="CJ293" s="248"/>
      <c r="CK293" s="248"/>
      <c r="CL293" s="248"/>
      <c r="CM293" s="248"/>
      <c r="CN293" s="248"/>
      <c r="CO293" s="248"/>
      <c r="CP293" s="248"/>
      <c r="CQ293" s="248"/>
      <c r="CR293" s="248"/>
      <c r="CS293" s="248"/>
      <c r="CT293" s="248"/>
      <c r="CU293" s="248"/>
      <c r="CV293" s="248"/>
      <c r="CW293" s="248"/>
      <c r="CX293" s="248"/>
      <c r="CY293" s="248"/>
      <c r="CZ293" s="248"/>
      <c r="DA293" s="248"/>
      <c r="DB293" s="248"/>
      <c r="DC293" s="248"/>
      <c r="DD293" s="248"/>
      <c r="DE293" s="248"/>
      <c r="DF293" s="248"/>
      <c r="DG293" s="248"/>
      <c r="DH293" s="248"/>
      <c r="DI293" s="248"/>
      <c r="DJ293" s="248"/>
      <c r="DK293" s="248"/>
      <c r="DL293" s="248"/>
      <c r="DM293" s="248"/>
      <c r="DN293" s="248"/>
      <c r="DO293" s="248"/>
      <c r="DP293" s="248"/>
      <c r="DQ293" s="248"/>
      <c r="DR293" s="248"/>
      <c r="DS293" s="248"/>
      <c r="DT293" s="248"/>
      <c r="DU293" s="248"/>
      <c r="DV293" s="248"/>
      <c r="DW293" s="248"/>
      <c r="DX293" s="248"/>
      <c r="DY293" s="248"/>
      <c r="DZ293" s="248"/>
      <c r="EA293" s="248"/>
      <c r="EB293" s="248"/>
      <c r="EC293" s="248"/>
      <c r="ED293" s="248"/>
      <c r="EE293" s="248"/>
    </row>
    <row r="294" spans="1:135" s="35" customFormat="1" ht="16.5">
      <c r="B294" s="378" t="s">
        <v>2621</v>
      </c>
      <c r="D294" s="283">
        <v>219</v>
      </c>
      <c r="G294" s="39"/>
      <c r="O294" s="34"/>
      <c r="P294" s="34"/>
      <c r="Q294" s="58"/>
      <c r="R294" s="39"/>
      <c r="AC294" s="287">
        <v>1</v>
      </c>
      <c r="AD294" s="287"/>
      <c r="AE294" s="287"/>
      <c r="AF294" s="287"/>
      <c r="AG294" s="287"/>
      <c r="AH294" s="279"/>
      <c r="AJ294" s="279"/>
      <c r="AK294" s="279"/>
      <c r="AL294" s="523">
        <v>2</v>
      </c>
      <c r="AM294" s="185" t="s">
        <v>5</v>
      </c>
      <c r="AN294" s="35" t="s">
        <v>2494</v>
      </c>
      <c r="AO294" s="35" t="s">
        <v>2495</v>
      </c>
      <c r="AP294" s="35" t="s">
        <v>2496</v>
      </c>
      <c r="AQ294" s="34" t="s">
        <v>1</v>
      </c>
      <c r="AR294" s="35" t="s">
        <v>1557</v>
      </c>
      <c r="AS294" s="35" t="s">
        <v>11</v>
      </c>
      <c r="AX294" s="34"/>
      <c r="BW294" s="248"/>
      <c r="BX294" s="248"/>
      <c r="BY294" s="248"/>
      <c r="BZ294" s="248"/>
      <c r="CA294" s="248"/>
      <c r="CB294" s="248"/>
      <c r="CC294" s="248"/>
      <c r="CD294" s="248"/>
      <c r="CE294" s="248"/>
      <c r="CF294" s="248"/>
      <c r="CG294" s="248"/>
      <c r="CH294" s="248"/>
      <c r="CI294" s="248"/>
      <c r="CJ294" s="248"/>
      <c r="CK294" s="248"/>
      <c r="CL294" s="248"/>
      <c r="CM294" s="248"/>
      <c r="CN294" s="248"/>
      <c r="CO294" s="248"/>
      <c r="CP294" s="248"/>
      <c r="CQ294" s="248"/>
      <c r="CR294" s="248"/>
      <c r="CS294" s="248"/>
      <c r="CT294" s="248"/>
      <c r="CU294" s="248"/>
      <c r="CV294" s="248"/>
      <c r="CW294" s="248"/>
      <c r="CX294" s="248"/>
      <c r="CY294" s="248"/>
      <c r="CZ294" s="248"/>
      <c r="DA294" s="248"/>
      <c r="DB294" s="248"/>
      <c r="DC294" s="248"/>
      <c r="DD294" s="248"/>
      <c r="DE294" s="248"/>
      <c r="DF294" s="248"/>
      <c r="DG294" s="248"/>
      <c r="DH294" s="248"/>
      <c r="DI294" s="248"/>
      <c r="DJ294" s="248"/>
      <c r="DK294" s="248"/>
      <c r="DL294" s="248"/>
      <c r="DM294" s="248"/>
      <c r="DN294" s="248"/>
      <c r="DO294" s="248"/>
      <c r="DP294" s="248"/>
      <c r="DQ294" s="248"/>
      <c r="DR294" s="248"/>
      <c r="DS294" s="248"/>
      <c r="DT294" s="248"/>
      <c r="DU294" s="248"/>
      <c r="DV294" s="248"/>
      <c r="DW294" s="248"/>
      <c r="DX294" s="248"/>
      <c r="DY294" s="248"/>
      <c r="DZ294" s="248"/>
      <c r="EA294" s="248"/>
      <c r="EB294" s="248"/>
      <c r="EC294" s="248"/>
      <c r="ED294" s="248"/>
      <c r="EE294" s="248"/>
    </row>
    <row r="295" spans="1:135" s="35" customFormat="1" ht="16.5">
      <c r="A295" s="35" t="str">
        <f t="shared" ref="A295:A315" si="10" xml:space="preserve"> AQ295 &amp; REPT(" ",20-LEN(AQ295)) &amp; AX295</f>
        <v>Kurzname            Kurzname</v>
      </c>
      <c r="B295" s="331"/>
      <c r="D295" s="283">
        <v>219</v>
      </c>
      <c r="G295" s="39"/>
      <c r="O295" s="34"/>
      <c r="P295" s="34"/>
      <c r="Q295" s="58"/>
      <c r="R295" s="39"/>
      <c r="AH295" s="279"/>
      <c r="AJ295" s="279"/>
      <c r="AK295" s="279"/>
      <c r="AL295" s="523">
        <v>0</v>
      </c>
      <c r="AM295" s="35" t="s">
        <v>12</v>
      </c>
      <c r="AN295" s="35" t="s">
        <v>13</v>
      </c>
      <c r="AO295" s="35" t="s">
        <v>356</v>
      </c>
      <c r="AP295" s="35" t="s">
        <v>14</v>
      </c>
      <c r="AQ295" s="34" t="s">
        <v>7</v>
      </c>
      <c r="AR295" s="35" t="s">
        <v>15</v>
      </c>
      <c r="AS295" s="35" t="s">
        <v>8</v>
      </c>
      <c r="AT295" s="35" t="s">
        <v>16</v>
      </c>
      <c r="AU295" s="35" t="s">
        <v>17</v>
      </c>
      <c r="AV295" s="35" t="s">
        <v>356</v>
      </c>
      <c r="AW295" s="35" t="s">
        <v>18</v>
      </c>
      <c r="AX295" s="34" t="s">
        <v>7</v>
      </c>
      <c r="AY295" s="35" t="s">
        <v>15</v>
      </c>
      <c r="AZ295" s="35" t="s">
        <v>8</v>
      </c>
      <c r="BA295" s="35" t="s">
        <v>16</v>
      </c>
      <c r="BB295" s="35" t="s">
        <v>17</v>
      </c>
      <c r="BC295" s="35" t="s">
        <v>19</v>
      </c>
      <c r="BD295" s="35" t="s">
        <v>1737</v>
      </c>
      <c r="BE295" s="35" t="s">
        <v>20</v>
      </c>
      <c r="BF295" s="35" t="s">
        <v>21</v>
      </c>
      <c r="BG295" s="35" t="s">
        <v>22</v>
      </c>
      <c r="BH295" s="35" t="s">
        <v>9</v>
      </c>
      <c r="BI295" s="35" t="s">
        <v>23</v>
      </c>
      <c r="BJ295" s="35" t="s">
        <v>24</v>
      </c>
      <c r="BK295" s="35" t="s">
        <v>0</v>
      </c>
      <c r="BL295" s="35" t="s">
        <v>2</v>
      </c>
      <c r="BM295" s="35" t="s">
        <v>3</v>
      </c>
      <c r="BN295" s="35" t="s">
        <v>4</v>
      </c>
      <c r="BO295" s="35" t="s">
        <v>5</v>
      </c>
      <c r="BP295" s="35" t="s">
        <v>12</v>
      </c>
      <c r="BW295" s="248"/>
      <c r="BX295" s="248"/>
      <c r="BY295" s="248"/>
      <c r="BZ295" s="248"/>
      <c r="CA295" s="248"/>
      <c r="CB295" s="248"/>
      <c r="CC295" s="248"/>
      <c r="CD295" s="248"/>
      <c r="CE295" s="248"/>
      <c r="CF295" s="248"/>
      <c r="CG295" s="248"/>
      <c r="CH295" s="248"/>
      <c r="CI295" s="248"/>
      <c r="CJ295" s="248"/>
      <c r="CK295" s="248"/>
      <c r="CL295" s="248"/>
      <c r="CM295" s="248"/>
      <c r="CN295" s="248"/>
      <c r="CO295" s="248"/>
      <c r="CP295" s="248"/>
      <c r="CQ295" s="248"/>
      <c r="CR295" s="248"/>
      <c r="CS295" s="248"/>
      <c r="CT295" s="248"/>
      <c r="CU295" s="248"/>
      <c r="CV295" s="248"/>
      <c r="CW295" s="248"/>
      <c r="CX295" s="248"/>
      <c r="CY295" s="248"/>
      <c r="CZ295" s="248"/>
      <c r="DA295" s="248"/>
      <c r="DB295" s="248"/>
      <c r="DC295" s="248"/>
      <c r="DD295" s="248"/>
      <c r="DE295" s="248"/>
      <c r="DF295" s="248"/>
      <c r="DG295" s="248"/>
      <c r="DH295" s="248"/>
      <c r="DI295" s="248"/>
      <c r="DJ295" s="248"/>
      <c r="DK295" s="248"/>
      <c r="DL295" s="248"/>
      <c r="DM295" s="248"/>
      <c r="DN295" s="248"/>
      <c r="DO295" s="248"/>
      <c r="DP295" s="248"/>
      <c r="DQ295" s="248"/>
      <c r="DR295" s="248"/>
      <c r="DS295" s="248"/>
      <c r="DT295" s="248"/>
      <c r="DU295" s="248"/>
      <c r="DV295" s="248"/>
      <c r="DW295" s="248"/>
      <c r="DX295" s="248"/>
      <c r="DY295" s="248"/>
      <c r="DZ295" s="248"/>
      <c r="EA295" s="248"/>
      <c r="EB295" s="248"/>
      <c r="EC295" s="248"/>
      <c r="ED295" s="248"/>
    </row>
    <row r="296" spans="1:135" s="35" customFormat="1" ht="16.5">
      <c r="A296" s="35" t="str">
        <f t="shared" si="10"/>
        <v>ANT_DAB             MIB_F</v>
      </c>
      <c r="B296" s="331"/>
      <c r="C296" s="248">
        <v>219001</v>
      </c>
      <c r="D296" s="283">
        <v>219</v>
      </c>
      <c r="F296" s="35" t="s">
        <v>1118</v>
      </c>
      <c r="G296" s="39"/>
      <c r="O296" s="289" t="s">
        <v>1091</v>
      </c>
      <c r="P296" s="289" t="s">
        <v>1091</v>
      </c>
      <c r="Q296" s="58"/>
      <c r="R296" s="39"/>
      <c r="W296" s="104">
        <v>980015365</v>
      </c>
      <c r="Z296" s="35" t="s">
        <v>2645</v>
      </c>
      <c r="AB296" s="104" t="s">
        <v>1114</v>
      </c>
      <c r="AC296" s="58"/>
      <c r="AD296" s="58"/>
      <c r="AE296" s="58"/>
      <c r="AF296" s="58"/>
      <c r="AG296" s="58"/>
      <c r="AH296" s="279"/>
      <c r="AJ296" s="279" t="s">
        <v>1119</v>
      </c>
      <c r="AK296" s="279"/>
      <c r="AL296" s="523">
        <v>3</v>
      </c>
      <c r="AM296" s="35">
        <v>219001</v>
      </c>
      <c r="AN296" s="35" t="s">
        <v>1982</v>
      </c>
      <c r="AO296" s="35" t="s">
        <v>1028</v>
      </c>
      <c r="AP296" s="35" t="s">
        <v>790</v>
      </c>
      <c r="AQ296" s="34" t="s">
        <v>2287</v>
      </c>
      <c r="AR296" s="35">
        <v>1</v>
      </c>
      <c r="AS296" s="35" t="s">
        <v>1983</v>
      </c>
      <c r="AT296" s="35" t="s">
        <v>1074</v>
      </c>
      <c r="AU296" s="35" t="s">
        <v>10</v>
      </c>
      <c r="AV296" s="35" t="s">
        <v>1267</v>
      </c>
      <c r="AW296" s="35" t="s">
        <v>789</v>
      </c>
      <c r="AX296" s="34" t="s">
        <v>2290</v>
      </c>
      <c r="AY296" s="35">
        <v>3</v>
      </c>
      <c r="AZ296" s="35" t="s">
        <v>488</v>
      </c>
      <c r="BA296" s="35" t="s">
        <v>490</v>
      </c>
      <c r="BB296" s="35" t="s">
        <v>10</v>
      </c>
      <c r="BC296" s="35" t="s">
        <v>142</v>
      </c>
      <c r="BD296" s="35" t="s">
        <v>1846</v>
      </c>
      <c r="BE296" s="35" t="s">
        <v>791</v>
      </c>
      <c r="BF296" s="35" t="s">
        <v>143</v>
      </c>
      <c r="BG296" s="35">
        <v>5027</v>
      </c>
      <c r="BH296" s="35" t="s">
        <v>1415</v>
      </c>
      <c r="BI296" s="35">
        <v>0.35</v>
      </c>
      <c r="BJ296" s="35" t="s">
        <v>792</v>
      </c>
      <c r="BK296" s="35" t="s">
        <v>786</v>
      </c>
      <c r="BL296" s="35" t="s">
        <v>10</v>
      </c>
      <c r="BM296" s="35" t="s">
        <v>10</v>
      </c>
      <c r="BN296" s="35" t="s">
        <v>10</v>
      </c>
      <c r="BO296" s="35" t="s">
        <v>10</v>
      </c>
      <c r="BP296" s="35">
        <v>219001</v>
      </c>
      <c r="BW296" s="248"/>
      <c r="BX296" s="248"/>
      <c r="BY296" s="248"/>
      <c r="BZ296" s="248"/>
      <c r="CA296" s="248"/>
      <c r="CB296" s="248"/>
      <c r="CC296" s="248"/>
      <c r="CD296" s="248"/>
      <c r="CE296" s="248"/>
      <c r="CF296" s="248"/>
      <c r="CG296" s="248"/>
      <c r="CH296" s="248"/>
      <c r="CI296" s="248"/>
      <c r="CJ296" s="248"/>
      <c r="CK296" s="248"/>
      <c r="CL296" s="248"/>
      <c r="CM296" s="248"/>
      <c r="CN296" s="248"/>
      <c r="CO296" s="248"/>
      <c r="CP296" s="248"/>
      <c r="CQ296" s="248"/>
      <c r="CR296" s="248"/>
      <c r="CS296" s="248"/>
      <c r="CT296" s="248"/>
      <c r="CU296" s="248"/>
      <c r="CV296" s="248"/>
      <c r="CW296" s="248"/>
      <c r="CX296" s="248"/>
      <c r="CY296" s="248"/>
      <c r="CZ296" s="248"/>
      <c r="DA296" s="248"/>
      <c r="DB296" s="248"/>
      <c r="DC296" s="248"/>
      <c r="DD296" s="248"/>
      <c r="DE296" s="248"/>
      <c r="DF296" s="248"/>
      <c r="DG296" s="248"/>
      <c r="DH296" s="248"/>
      <c r="DI296" s="248"/>
      <c r="DJ296" s="248"/>
      <c r="DK296" s="248"/>
      <c r="DL296" s="248"/>
      <c r="DM296" s="248"/>
      <c r="DN296" s="248"/>
      <c r="DO296" s="248"/>
      <c r="DP296" s="248"/>
      <c r="DQ296" s="248"/>
      <c r="DR296" s="248"/>
      <c r="DS296" s="248"/>
      <c r="DT296" s="248"/>
      <c r="DU296" s="248"/>
      <c r="DV296" s="248"/>
      <c r="DW296" s="248"/>
      <c r="DX296" s="248"/>
      <c r="DY296" s="248"/>
      <c r="DZ296" s="248"/>
      <c r="EA296" s="248"/>
      <c r="EB296" s="248"/>
      <c r="EC296" s="248"/>
      <c r="ED296" s="248"/>
    </row>
    <row r="297" spans="1:135" s="35" customFormat="1" ht="16.5">
      <c r="A297" s="35" t="str">
        <f t="shared" si="10"/>
        <v>ANT_DAB             MIB_F</v>
      </c>
      <c r="B297" s="331"/>
      <c r="C297" s="248">
        <v>219002</v>
      </c>
      <c r="D297" s="283">
        <v>219</v>
      </c>
      <c r="F297" s="35" t="s">
        <v>1118</v>
      </c>
      <c r="G297" s="39"/>
      <c r="O297" s="289" t="s">
        <v>1091</v>
      </c>
      <c r="P297" s="289" t="s">
        <v>1091</v>
      </c>
      <c r="Q297" s="58"/>
      <c r="R297" s="39"/>
      <c r="W297" s="104">
        <v>980015365</v>
      </c>
      <c r="AB297" s="104" t="s">
        <v>1114</v>
      </c>
      <c r="AC297" s="58"/>
      <c r="AD297" s="58"/>
      <c r="AE297" s="58"/>
      <c r="AF297" s="58"/>
      <c r="AG297" s="58"/>
      <c r="AH297" s="279"/>
      <c r="AJ297" s="279" t="s">
        <v>1119</v>
      </c>
      <c r="AK297" s="279"/>
      <c r="AL297" s="523">
        <v>3</v>
      </c>
      <c r="AM297" s="35">
        <v>219002</v>
      </c>
      <c r="AN297" s="35" t="s">
        <v>1984</v>
      </c>
      <c r="AO297" s="35" t="s">
        <v>1028</v>
      </c>
      <c r="AP297" s="35" t="s">
        <v>790</v>
      </c>
      <c r="AQ297" s="34" t="s">
        <v>2287</v>
      </c>
      <c r="AR297" s="35">
        <v>2</v>
      </c>
      <c r="AS297" s="35" t="s">
        <v>1983</v>
      </c>
      <c r="AT297" s="35" t="s">
        <v>157</v>
      </c>
      <c r="AU297" s="35" t="s">
        <v>10</v>
      </c>
      <c r="AV297" s="35" t="s">
        <v>1267</v>
      </c>
      <c r="AW297" s="35" t="s">
        <v>789</v>
      </c>
      <c r="AX297" s="34" t="s">
        <v>2290</v>
      </c>
      <c r="AY297" s="35" t="s">
        <v>494</v>
      </c>
      <c r="AZ297" s="35" t="s">
        <v>488</v>
      </c>
      <c r="BA297" s="35" t="s">
        <v>1262</v>
      </c>
      <c r="BB297" s="35" t="s">
        <v>10</v>
      </c>
      <c r="BC297" s="35" t="s">
        <v>142</v>
      </c>
      <c r="BD297" s="35" t="s">
        <v>157</v>
      </c>
      <c r="BE297" s="35" t="s">
        <v>791</v>
      </c>
      <c r="BF297" s="35" t="s">
        <v>145</v>
      </c>
      <c r="BG297" s="35">
        <v>5027</v>
      </c>
      <c r="BH297" s="35" t="s">
        <v>139</v>
      </c>
      <c r="BI297" s="35">
        <v>0.5</v>
      </c>
      <c r="BJ297" s="35" t="s">
        <v>1560</v>
      </c>
      <c r="BK297" s="35" t="s">
        <v>786</v>
      </c>
      <c r="BL297" s="35" t="s">
        <v>10</v>
      </c>
      <c r="BM297" s="35" t="s">
        <v>10</v>
      </c>
      <c r="BN297" s="35" t="s">
        <v>10</v>
      </c>
      <c r="BO297" s="35" t="s">
        <v>10</v>
      </c>
      <c r="BP297" s="35">
        <v>219002</v>
      </c>
      <c r="BW297" s="248"/>
      <c r="BX297" s="248"/>
      <c r="BY297" s="248"/>
      <c r="BZ297" s="248"/>
      <c r="CA297" s="248"/>
      <c r="CB297" s="248"/>
      <c r="CC297" s="248"/>
      <c r="CD297" s="248"/>
      <c r="CE297" s="248"/>
      <c r="CF297" s="248"/>
      <c r="CG297" s="248"/>
      <c r="CH297" s="248"/>
      <c r="CI297" s="248"/>
      <c r="CJ297" s="248"/>
      <c r="CK297" s="248"/>
      <c r="CL297" s="248"/>
      <c r="CM297" s="248"/>
      <c r="CN297" s="248"/>
      <c r="CO297" s="248"/>
      <c r="CP297" s="248"/>
      <c r="CQ297" s="248"/>
      <c r="CR297" s="248"/>
      <c r="CS297" s="248"/>
      <c r="CT297" s="248"/>
      <c r="CU297" s="248"/>
      <c r="CV297" s="248"/>
      <c r="CW297" s="248"/>
      <c r="CX297" s="248"/>
      <c r="CY297" s="248"/>
      <c r="CZ297" s="248"/>
      <c r="DA297" s="248"/>
      <c r="DB297" s="248"/>
      <c r="DC297" s="248"/>
      <c r="DD297" s="248"/>
      <c r="DE297" s="248"/>
      <c r="DF297" s="248"/>
      <c r="DG297" s="248"/>
      <c r="DH297" s="248"/>
      <c r="DI297" s="248"/>
      <c r="DJ297" s="248"/>
      <c r="DK297" s="248"/>
      <c r="DL297" s="248"/>
      <c r="DM297" s="248"/>
      <c r="DN297" s="248"/>
      <c r="DO297" s="248"/>
      <c r="DP297" s="248"/>
      <c r="DQ297" s="248"/>
      <c r="DR297" s="248"/>
      <c r="DS297" s="248"/>
      <c r="DT297" s="248"/>
      <c r="DU297" s="248"/>
      <c r="DV297" s="248"/>
      <c r="DW297" s="248"/>
      <c r="DX297" s="248"/>
      <c r="DY297" s="248"/>
      <c r="DZ297" s="248"/>
      <c r="EA297" s="248"/>
      <c r="EB297" s="248"/>
      <c r="EC297" s="248"/>
      <c r="ED297" s="248"/>
    </row>
    <row r="298" spans="1:135" s="35" customFormat="1" ht="16.5">
      <c r="A298" s="35" t="str">
        <f t="shared" si="10"/>
        <v>KS_CPR_I            MIB_F_NAR</v>
      </c>
      <c r="B298" s="331"/>
      <c r="C298" s="248">
        <v>219003</v>
      </c>
      <c r="D298" s="283">
        <v>219</v>
      </c>
      <c r="F298" s="35" t="s">
        <v>1118</v>
      </c>
      <c r="O298" s="289" t="s">
        <v>1091</v>
      </c>
      <c r="P298" s="289" t="s">
        <v>1091</v>
      </c>
      <c r="Q298" s="58"/>
      <c r="R298" s="39"/>
      <c r="W298" s="304">
        <v>980017591</v>
      </c>
      <c r="Z298" s="35" t="s">
        <v>2645</v>
      </c>
      <c r="AB298" s="104" t="s">
        <v>1114</v>
      </c>
      <c r="AC298" s="58"/>
      <c r="AD298" s="58"/>
      <c r="AE298" s="58"/>
      <c r="AF298" s="58"/>
      <c r="AG298" s="58"/>
      <c r="AH298" s="279"/>
      <c r="AJ298" s="279" t="s">
        <v>1119</v>
      </c>
      <c r="AK298" s="279"/>
      <c r="AL298" s="523">
        <v>3</v>
      </c>
      <c r="AM298" s="35">
        <v>219003</v>
      </c>
      <c r="AN298" s="35" t="s">
        <v>1985</v>
      </c>
      <c r="AO298" s="35" t="s">
        <v>424</v>
      </c>
      <c r="AP298" s="35" t="s">
        <v>793</v>
      </c>
      <c r="AQ298" s="34" t="s">
        <v>1986</v>
      </c>
      <c r="AR298" s="35">
        <v>1</v>
      </c>
      <c r="AS298" s="35" t="s">
        <v>2474</v>
      </c>
      <c r="AT298" s="35" t="s">
        <v>1074</v>
      </c>
      <c r="AU298" s="35" t="s">
        <v>10</v>
      </c>
      <c r="AV298" s="35" t="s">
        <v>1718</v>
      </c>
      <c r="AW298" s="35" t="s">
        <v>1260</v>
      </c>
      <c r="AX298" s="34" t="s">
        <v>2292</v>
      </c>
      <c r="AY298" s="35">
        <v>3</v>
      </c>
      <c r="AZ298" s="35" t="s">
        <v>1540</v>
      </c>
      <c r="BA298" s="35" t="s">
        <v>490</v>
      </c>
      <c r="BB298" s="35" t="s">
        <v>10</v>
      </c>
      <c r="BC298" s="35" t="s">
        <v>142</v>
      </c>
      <c r="BD298" s="35" t="s">
        <v>1846</v>
      </c>
      <c r="BE298" s="35" t="s">
        <v>794</v>
      </c>
      <c r="BF298" s="35" t="s">
        <v>143</v>
      </c>
      <c r="BG298" s="35">
        <v>1823</v>
      </c>
      <c r="BH298" s="35" t="s">
        <v>1415</v>
      </c>
      <c r="BI298" s="35">
        <v>0.35</v>
      </c>
      <c r="BJ298" s="35" t="s">
        <v>1563</v>
      </c>
      <c r="BK298" s="35" t="s">
        <v>10</v>
      </c>
      <c r="BL298" s="35" t="s">
        <v>10</v>
      </c>
      <c r="BM298" s="35" t="s">
        <v>788</v>
      </c>
      <c r="BN298" s="35" t="s">
        <v>10</v>
      </c>
      <c r="BO298" s="35" t="s">
        <v>10</v>
      </c>
      <c r="BP298" s="35">
        <v>219003</v>
      </c>
      <c r="BW298" s="248"/>
      <c r="BX298" s="248"/>
      <c r="BY298" s="248"/>
      <c r="BZ298" s="248"/>
      <c r="CA298" s="248"/>
      <c r="CB298" s="248"/>
      <c r="CC298" s="248"/>
      <c r="CD298" s="248"/>
      <c r="CE298" s="248"/>
      <c r="CF298" s="248"/>
      <c r="CG298" s="248"/>
      <c r="CH298" s="248"/>
      <c r="CI298" s="248"/>
      <c r="CJ298" s="248"/>
      <c r="CK298" s="248"/>
      <c r="CL298" s="248"/>
      <c r="CM298" s="248"/>
      <c r="CN298" s="248"/>
      <c r="CO298" s="248"/>
      <c r="CP298" s="248"/>
      <c r="CQ298" s="248"/>
      <c r="CR298" s="248"/>
      <c r="CS298" s="248"/>
      <c r="CT298" s="248"/>
      <c r="CU298" s="248"/>
      <c r="CV298" s="248"/>
      <c r="CW298" s="248"/>
      <c r="CX298" s="248"/>
      <c r="CY298" s="248"/>
      <c r="CZ298" s="248"/>
      <c r="DA298" s="248"/>
      <c r="DB298" s="248"/>
      <c r="DC298" s="248"/>
      <c r="DD298" s="248"/>
      <c r="DE298" s="248"/>
      <c r="DF298" s="248"/>
      <c r="DG298" s="248"/>
      <c r="DH298" s="248"/>
      <c r="DI298" s="248"/>
      <c r="DJ298" s="248"/>
      <c r="DK298" s="248"/>
      <c r="DL298" s="248"/>
      <c r="DM298" s="248"/>
      <c r="DN298" s="248"/>
      <c r="DO298" s="248"/>
      <c r="DP298" s="248"/>
      <c r="DQ298" s="248"/>
      <c r="DR298" s="248"/>
      <c r="DS298" s="248"/>
      <c r="DT298" s="248"/>
      <c r="DU298" s="248"/>
      <c r="DV298" s="248"/>
      <c r="DW298" s="248"/>
      <c r="DX298" s="248"/>
      <c r="DY298" s="248"/>
      <c r="DZ298" s="248"/>
      <c r="EA298" s="248"/>
      <c r="EB298" s="248"/>
      <c r="EC298" s="248"/>
      <c r="ED298" s="248"/>
    </row>
    <row r="299" spans="1:135" s="35" customFormat="1" ht="16.5">
      <c r="A299" s="35" t="str">
        <f t="shared" si="10"/>
        <v>KS_CPR_I            MIB_F_NAR</v>
      </c>
      <c r="B299" s="331"/>
      <c r="C299" s="248">
        <v>219004</v>
      </c>
      <c r="D299" s="283">
        <v>219</v>
      </c>
      <c r="F299" s="35" t="s">
        <v>1118</v>
      </c>
      <c r="G299" s="39"/>
      <c r="O299" s="289" t="s">
        <v>1091</v>
      </c>
      <c r="P299" s="289" t="s">
        <v>1091</v>
      </c>
      <c r="Q299" s="58"/>
      <c r="R299" s="39"/>
      <c r="W299" s="304">
        <v>980017591</v>
      </c>
      <c r="AB299" s="104" t="s">
        <v>1114</v>
      </c>
      <c r="AC299" s="58"/>
      <c r="AD299" s="58"/>
      <c r="AE299" s="58"/>
      <c r="AF299" s="58"/>
      <c r="AG299" s="58"/>
      <c r="AH299" s="279"/>
      <c r="AJ299" s="279" t="s">
        <v>1119</v>
      </c>
      <c r="AK299" s="279"/>
      <c r="AL299" s="523">
        <v>3</v>
      </c>
      <c r="AM299" s="35">
        <v>219004</v>
      </c>
      <c r="AN299" s="35" t="s">
        <v>1987</v>
      </c>
      <c r="AO299" s="35" t="s">
        <v>424</v>
      </c>
      <c r="AP299" s="35" t="s">
        <v>793</v>
      </c>
      <c r="AQ299" s="34" t="s">
        <v>1986</v>
      </c>
      <c r="AR299" s="35">
        <v>2</v>
      </c>
      <c r="AS299" s="35" t="s">
        <v>2474</v>
      </c>
      <c r="AT299" s="35" t="s">
        <v>157</v>
      </c>
      <c r="AU299" s="35" t="s">
        <v>10</v>
      </c>
      <c r="AV299" s="35" t="s">
        <v>1718</v>
      </c>
      <c r="AW299" s="35" t="s">
        <v>1260</v>
      </c>
      <c r="AX299" s="34" t="s">
        <v>2292</v>
      </c>
      <c r="AY299" s="35" t="s">
        <v>494</v>
      </c>
      <c r="AZ299" s="35" t="s">
        <v>1540</v>
      </c>
      <c r="BA299" s="35" t="s">
        <v>1262</v>
      </c>
      <c r="BB299" s="35" t="s">
        <v>10</v>
      </c>
      <c r="BC299" s="35" t="s">
        <v>142</v>
      </c>
      <c r="BD299" s="35" t="s">
        <v>157</v>
      </c>
      <c r="BE299" s="35" t="s">
        <v>794</v>
      </c>
      <c r="BF299" s="35" t="s">
        <v>145</v>
      </c>
      <c r="BG299" s="35">
        <v>1823</v>
      </c>
      <c r="BH299" s="35" t="s">
        <v>139</v>
      </c>
      <c r="BI299" s="35">
        <v>0.5</v>
      </c>
      <c r="BJ299" s="35" t="s">
        <v>1565</v>
      </c>
      <c r="BK299" s="35" t="s">
        <v>10</v>
      </c>
      <c r="BL299" s="35" t="s">
        <v>10</v>
      </c>
      <c r="BM299" s="35" t="s">
        <v>788</v>
      </c>
      <c r="BN299" s="35" t="s">
        <v>10</v>
      </c>
      <c r="BO299" s="35" t="s">
        <v>10</v>
      </c>
      <c r="BP299" s="35">
        <v>219004</v>
      </c>
      <c r="BW299" s="248"/>
      <c r="BX299" s="248"/>
      <c r="BY299" s="248"/>
      <c r="BZ299" s="248"/>
      <c r="CA299" s="248"/>
      <c r="CB299" s="248"/>
      <c r="CC299" s="248"/>
      <c r="CD299" s="248"/>
      <c r="CE299" s="248"/>
      <c r="CF299" s="248"/>
      <c r="CG299" s="248"/>
      <c r="CH299" s="248"/>
      <c r="CI299" s="248"/>
      <c r="CJ299" s="248"/>
      <c r="CK299" s="248"/>
      <c r="CL299" s="248"/>
      <c r="CM299" s="248"/>
      <c r="CN299" s="248"/>
      <c r="CO299" s="248"/>
      <c r="CP299" s="248"/>
      <c r="CQ299" s="248"/>
      <c r="CR299" s="248"/>
      <c r="CS299" s="248"/>
      <c r="CT299" s="248"/>
      <c r="CU299" s="248"/>
      <c r="CV299" s="248"/>
      <c r="CW299" s="248"/>
      <c r="CX299" s="248"/>
      <c r="CY299" s="248"/>
      <c r="CZ299" s="248"/>
      <c r="DA299" s="248"/>
      <c r="DB299" s="248"/>
      <c r="DC299" s="248"/>
      <c r="DD299" s="248"/>
      <c r="DE299" s="248"/>
      <c r="DF299" s="248"/>
      <c r="DG299" s="248"/>
      <c r="DH299" s="248"/>
      <c r="DI299" s="248"/>
      <c r="DJ299" s="248"/>
      <c r="DK299" s="248"/>
      <c r="DL299" s="248"/>
      <c r="DM299" s="248"/>
      <c r="DN299" s="248"/>
      <c r="DO299" s="248"/>
      <c r="DP299" s="248"/>
      <c r="DQ299" s="248"/>
      <c r="DR299" s="248"/>
      <c r="DS299" s="248"/>
      <c r="DT299" s="248"/>
      <c r="DU299" s="248"/>
      <c r="DV299" s="248"/>
      <c r="DW299" s="248"/>
      <c r="DX299" s="248"/>
      <c r="DY299" s="248"/>
      <c r="DZ299" s="248"/>
      <c r="EA299" s="248"/>
      <c r="EB299" s="248"/>
      <c r="EC299" s="248"/>
      <c r="ED299" s="248"/>
    </row>
    <row r="300" spans="1:135" s="35" customFormat="1" ht="16.5">
      <c r="A300" s="35" t="str">
        <f t="shared" si="10"/>
        <v>ANT_HSR_RDW         MIB_F</v>
      </c>
      <c r="B300" s="331"/>
      <c r="C300" s="248">
        <v>219005</v>
      </c>
      <c r="D300" s="283">
        <v>219</v>
      </c>
      <c r="F300" s="35" t="s">
        <v>1118</v>
      </c>
      <c r="O300" s="289" t="s">
        <v>1091</v>
      </c>
      <c r="P300" s="289" t="s">
        <v>1091</v>
      </c>
      <c r="Q300" s="58"/>
      <c r="R300" s="39"/>
      <c r="W300" s="104">
        <v>980017590</v>
      </c>
      <c r="Z300" s="35" t="s">
        <v>2645</v>
      </c>
      <c r="AB300" s="104" t="s">
        <v>1114</v>
      </c>
      <c r="AC300" s="58"/>
      <c r="AD300" s="58"/>
      <c r="AE300" s="58"/>
      <c r="AF300" s="58"/>
      <c r="AG300" s="58"/>
      <c r="AH300" s="279"/>
      <c r="AJ300" s="279" t="s">
        <v>1119</v>
      </c>
      <c r="AK300" s="279"/>
      <c r="AL300" s="523">
        <v>3</v>
      </c>
      <c r="AM300" s="35">
        <v>219005</v>
      </c>
      <c r="AN300" s="35" t="s">
        <v>1581</v>
      </c>
      <c r="AO300" s="35" t="s">
        <v>1016</v>
      </c>
      <c r="AP300" s="35" t="s">
        <v>795</v>
      </c>
      <c r="AQ300" s="34" t="s">
        <v>2288</v>
      </c>
      <c r="AR300" s="35">
        <v>3</v>
      </c>
      <c r="AS300" s="35" t="s">
        <v>1988</v>
      </c>
      <c r="AT300" s="35" t="s">
        <v>1074</v>
      </c>
      <c r="AU300" s="35" t="s">
        <v>10</v>
      </c>
      <c r="AV300" s="35" t="s">
        <v>1267</v>
      </c>
      <c r="AW300" s="35" t="s">
        <v>789</v>
      </c>
      <c r="AX300" s="34" t="s">
        <v>2290</v>
      </c>
      <c r="AY300" s="35">
        <v>1</v>
      </c>
      <c r="AZ300" s="35" t="s">
        <v>488</v>
      </c>
      <c r="BA300" s="35" t="s">
        <v>490</v>
      </c>
      <c r="BB300" s="35" t="s">
        <v>10</v>
      </c>
      <c r="BC300" s="35" t="s">
        <v>142</v>
      </c>
      <c r="BD300" s="35" t="s">
        <v>1846</v>
      </c>
      <c r="BE300" s="35" t="s">
        <v>796</v>
      </c>
      <c r="BF300" s="35" t="s">
        <v>143</v>
      </c>
      <c r="BG300" s="35">
        <v>4030</v>
      </c>
      <c r="BH300" s="35" t="s">
        <v>1415</v>
      </c>
      <c r="BI300" s="35">
        <v>0.35</v>
      </c>
      <c r="BJ300" s="35" t="s">
        <v>1567</v>
      </c>
      <c r="BK300" s="35" t="s">
        <v>10</v>
      </c>
      <c r="BL300" s="35" t="s">
        <v>787</v>
      </c>
      <c r="BM300" s="35" t="s">
        <v>10</v>
      </c>
      <c r="BN300" s="35" t="s">
        <v>10</v>
      </c>
      <c r="BO300" s="35" t="s">
        <v>10</v>
      </c>
      <c r="BP300" s="35">
        <v>219005</v>
      </c>
      <c r="BW300" s="248"/>
      <c r="BX300" s="248"/>
      <c r="BY300" s="248"/>
      <c r="BZ300" s="248"/>
      <c r="CA300" s="248"/>
      <c r="CB300" s="248"/>
      <c r="CC300" s="248"/>
      <c r="CD300" s="248"/>
      <c r="CE300" s="248"/>
      <c r="CF300" s="248"/>
      <c r="CG300" s="248"/>
      <c r="CH300" s="248"/>
      <c r="CI300" s="248"/>
      <c r="CJ300" s="248"/>
      <c r="CK300" s="248"/>
      <c r="CL300" s="248"/>
      <c r="CM300" s="248"/>
      <c r="CN300" s="248"/>
      <c r="CO300" s="248"/>
      <c r="CP300" s="248"/>
      <c r="CQ300" s="248"/>
      <c r="CR300" s="248"/>
      <c r="CS300" s="248"/>
      <c r="CT300" s="248"/>
      <c r="CU300" s="248"/>
      <c r="CV300" s="248"/>
      <c r="CW300" s="248"/>
      <c r="CX300" s="248"/>
      <c r="CY300" s="248"/>
      <c r="CZ300" s="248"/>
      <c r="DA300" s="248"/>
      <c r="DB300" s="248"/>
      <c r="DC300" s="248"/>
      <c r="DD300" s="248"/>
      <c r="DE300" s="248"/>
      <c r="DF300" s="248"/>
      <c r="DG300" s="248"/>
      <c r="DH300" s="248"/>
      <c r="DI300" s="248"/>
      <c r="DJ300" s="248"/>
      <c r="DK300" s="248"/>
      <c r="DL300" s="248"/>
      <c r="DM300" s="248"/>
      <c r="DN300" s="248"/>
      <c r="DO300" s="248"/>
      <c r="DP300" s="248"/>
      <c r="DQ300" s="248"/>
      <c r="DR300" s="248"/>
      <c r="DS300" s="248"/>
      <c r="DT300" s="248"/>
      <c r="DU300" s="248"/>
      <c r="DV300" s="248"/>
      <c r="DW300" s="248"/>
      <c r="DX300" s="248"/>
      <c r="DY300" s="248"/>
      <c r="DZ300" s="248"/>
      <c r="EA300" s="248"/>
      <c r="EB300" s="248"/>
      <c r="EC300" s="248"/>
      <c r="ED300" s="248"/>
    </row>
    <row r="301" spans="1:135" s="35" customFormat="1" ht="16.5">
      <c r="A301" s="35" t="str">
        <f t="shared" si="10"/>
        <v>ANT_HSR_RDW         MIB_F</v>
      </c>
      <c r="B301" s="331"/>
      <c r="C301" s="248">
        <v>219006</v>
      </c>
      <c r="D301" s="283">
        <v>219</v>
      </c>
      <c r="F301" s="35" t="s">
        <v>1118</v>
      </c>
      <c r="O301" s="289" t="s">
        <v>1091</v>
      </c>
      <c r="P301" s="289" t="s">
        <v>1091</v>
      </c>
      <c r="Q301" s="58"/>
      <c r="R301" s="39"/>
      <c r="W301" s="104">
        <v>980017590</v>
      </c>
      <c r="AB301" s="104" t="s">
        <v>1114</v>
      </c>
      <c r="AC301" s="58"/>
      <c r="AD301" s="58"/>
      <c r="AE301" s="58"/>
      <c r="AF301" s="58"/>
      <c r="AG301" s="58"/>
      <c r="AH301" s="279"/>
      <c r="AJ301" s="279" t="s">
        <v>1119</v>
      </c>
      <c r="AK301" s="279"/>
      <c r="AL301" s="523">
        <v>3</v>
      </c>
      <c r="AM301" s="35">
        <v>219006</v>
      </c>
      <c r="AN301" s="35" t="s">
        <v>1582</v>
      </c>
      <c r="AO301" s="35" t="s">
        <v>1016</v>
      </c>
      <c r="AP301" s="35" t="s">
        <v>795</v>
      </c>
      <c r="AQ301" s="34" t="s">
        <v>2288</v>
      </c>
      <c r="AR301" s="35">
        <v>4</v>
      </c>
      <c r="AS301" s="35" t="s">
        <v>1988</v>
      </c>
      <c r="AT301" s="35" t="s">
        <v>157</v>
      </c>
      <c r="AU301" s="35" t="s">
        <v>10</v>
      </c>
      <c r="AV301" s="35" t="s">
        <v>1267</v>
      </c>
      <c r="AW301" s="35" t="s">
        <v>789</v>
      </c>
      <c r="AX301" s="34" t="s">
        <v>2290</v>
      </c>
      <c r="AY301" s="35" t="s">
        <v>493</v>
      </c>
      <c r="AZ301" s="35" t="s">
        <v>488</v>
      </c>
      <c r="BA301" s="35" t="s">
        <v>1262</v>
      </c>
      <c r="BB301" s="35" t="s">
        <v>10</v>
      </c>
      <c r="BC301" s="35" t="s">
        <v>142</v>
      </c>
      <c r="BD301" s="35" t="s">
        <v>157</v>
      </c>
      <c r="BE301" s="35" t="s">
        <v>796</v>
      </c>
      <c r="BF301" s="35" t="s">
        <v>145</v>
      </c>
      <c r="BG301" s="35">
        <v>4030</v>
      </c>
      <c r="BH301" s="35" t="s">
        <v>139</v>
      </c>
      <c r="BI301" s="35">
        <v>0.5</v>
      </c>
      <c r="BJ301" s="35" t="s">
        <v>1568</v>
      </c>
      <c r="BK301" s="35" t="s">
        <v>10</v>
      </c>
      <c r="BL301" s="35" t="s">
        <v>787</v>
      </c>
      <c r="BM301" s="35" t="s">
        <v>10</v>
      </c>
      <c r="BN301" s="35" t="s">
        <v>10</v>
      </c>
      <c r="BO301" s="35" t="s">
        <v>10</v>
      </c>
      <c r="BP301" s="35">
        <v>219006</v>
      </c>
      <c r="BW301" s="248"/>
      <c r="BX301" s="248"/>
      <c r="BY301" s="248"/>
      <c r="BZ301" s="248"/>
      <c r="CA301" s="248"/>
      <c r="CB301" s="248"/>
      <c r="CC301" s="248"/>
      <c r="CD301" s="248"/>
      <c r="CE301" s="248"/>
      <c r="CF301" s="248"/>
      <c r="CG301" s="248"/>
      <c r="CH301" s="248"/>
      <c r="CI301" s="248"/>
      <c r="CJ301" s="248"/>
      <c r="CK301" s="248"/>
      <c r="CL301" s="248"/>
      <c r="CM301" s="248"/>
      <c r="CN301" s="248"/>
      <c r="CO301" s="248"/>
      <c r="CP301" s="248"/>
      <c r="CQ301" s="248"/>
      <c r="CR301" s="248"/>
      <c r="CS301" s="248"/>
      <c r="CT301" s="248"/>
      <c r="CU301" s="248"/>
      <c r="CV301" s="248"/>
      <c r="CW301" s="248"/>
      <c r="CX301" s="248"/>
      <c r="CY301" s="248"/>
      <c r="CZ301" s="248"/>
      <c r="DA301" s="248"/>
      <c r="DB301" s="248"/>
      <c r="DC301" s="248"/>
      <c r="DD301" s="248"/>
      <c r="DE301" s="248"/>
      <c r="DF301" s="248"/>
      <c r="DG301" s="248"/>
      <c r="DH301" s="248"/>
      <c r="DI301" s="248"/>
      <c r="DJ301" s="248"/>
      <c r="DK301" s="248"/>
      <c r="DL301" s="248"/>
      <c r="DM301" s="248"/>
      <c r="DN301" s="248"/>
      <c r="DO301" s="248"/>
      <c r="DP301" s="248"/>
      <c r="DQ301" s="248"/>
      <c r="DR301" s="248"/>
      <c r="DS301" s="248"/>
      <c r="DT301" s="248"/>
      <c r="DU301" s="248"/>
      <c r="DV301" s="248"/>
      <c r="DW301" s="248"/>
      <c r="DX301" s="248"/>
      <c r="DY301" s="248"/>
      <c r="DZ301" s="248"/>
      <c r="EA301" s="248"/>
      <c r="EB301" s="248"/>
      <c r="EC301" s="248"/>
      <c r="ED301" s="248"/>
    </row>
    <row r="302" spans="1:135" s="35" customFormat="1" ht="16.5">
      <c r="A302" s="35" t="str">
        <f t="shared" si="10"/>
        <v>ANT_HSL_RDW         MIB_F</v>
      </c>
      <c r="B302" s="331"/>
      <c r="C302" s="248">
        <v>219009</v>
      </c>
      <c r="D302" s="283">
        <v>219</v>
      </c>
      <c r="F302" s="35" t="s">
        <v>1118</v>
      </c>
      <c r="O302" s="289" t="s">
        <v>1091</v>
      </c>
      <c r="P302" s="289" t="s">
        <v>1091</v>
      </c>
      <c r="Q302" s="58"/>
      <c r="R302" s="39"/>
      <c r="W302" s="104">
        <v>980017590</v>
      </c>
      <c r="Z302" s="35" t="s">
        <v>2645</v>
      </c>
      <c r="AB302" s="104" t="s">
        <v>1114</v>
      </c>
      <c r="AC302" s="58"/>
      <c r="AD302" s="58"/>
      <c r="AE302" s="58"/>
      <c r="AF302" s="58"/>
      <c r="AG302" s="58"/>
      <c r="AH302" s="279"/>
      <c r="AJ302" s="279" t="s">
        <v>1119</v>
      </c>
      <c r="AK302" s="279"/>
      <c r="AL302" s="523">
        <v>3</v>
      </c>
      <c r="AM302" s="35">
        <v>219009</v>
      </c>
      <c r="AN302" s="35" t="s">
        <v>1583</v>
      </c>
      <c r="AO302" s="35" t="s">
        <v>1018</v>
      </c>
      <c r="AP302" s="35" t="s">
        <v>797</v>
      </c>
      <c r="AQ302" s="34" t="s">
        <v>2289</v>
      </c>
      <c r="AR302" s="35">
        <v>1</v>
      </c>
      <c r="AS302" s="35" t="s">
        <v>1989</v>
      </c>
      <c r="AT302" s="35" t="s">
        <v>1074</v>
      </c>
      <c r="AU302" s="35" t="s">
        <v>10</v>
      </c>
      <c r="AV302" s="35" t="s">
        <v>1267</v>
      </c>
      <c r="AW302" s="35" t="s">
        <v>789</v>
      </c>
      <c r="AX302" s="34" t="s">
        <v>2290</v>
      </c>
      <c r="AY302" s="35">
        <v>4</v>
      </c>
      <c r="AZ302" s="35" t="s">
        <v>488</v>
      </c>
      <c r="BA302" s="35" t="s">
        <v>490</v>
      </c>
      <c r="BB302" s="35" t="s">
        <v>10</v>
      </c>
      <c r="BC302" s="35" t="s">
        <v>142</v>
      </c>
      <c r="BD302" s="35" t="s">
        <v>1846</v>
      </c>
      <c r="BE302" s="35" t="s">
        <v>798</v>
      </c>
      <c r="BF302" s="35" t="s">
        <v>143</v>
      </c>
      <c r="BG302" s="35">
        <v>5027</v>
      </c>
      <c r="BH302" s="35" t="s">
        <v>1415</v>
      </c>
      <c r="BI302" s="35">
        <v>0.35</v>
      </c>
      <c r="BJ302" s="35" t="s">
        <v>799</v>
      </c>
      <c r="BK302" s="35" t="s">
        <v>10</v>
      </c>
      <c r="BL302" s="35" t="s">
        <v>787</v>
      </c>
      <c r="BM302" s="35" t="s">
        <v>10</v>
      </c>
      <c r="BN302" s="35" t="s">
        <v>10</v>
      </c>
      <c r="BO302" s="35" t="s">
        <v>10</v>
      </c>
      <c r="BP302" s="35">
        <v>219009</v>
      </c>
      <c r="BW302" s="248"/>
      <c r="BX302" s="248"/>
      <c r="BY302" s="248"/>
      <c r="BZ302" s="248"/>
      <c r="CA302" s="248"/>
      <c r="CB302" s="248"/>
      <c r="CC302" s="248"/>
      <c r="CD302" s="248"/>
      <c r="CE302" s="248"/>
      <c r="CF302" s="248"/>
      <c r="CG302" s="248"/>
      <c r="CH302" s="248"/>
      <c r="CI302" s="248"/>
      <c r="CJ302" s="248"/>
      <c r="CK302" s="248"/>
      <c r="CL302" s="248"/>
      <c r="CM302" s="248"/>
      <c r="CN302" s="248"/>
      <c r="CO302" s="248"/>
      <c r="CP302" s="248"/>
      <c r="CQ302" s="248"/>
      <c r="CR302" s="248"/>
      <c r="CS302" s="248"/>
      <c r="CT302" s="248"/>
      <c r="CU302" s="248"/>
      <c r="CV302" s="248"/>
      <c r="CW302" s="248"/>
      <c r="CX302" s="248"/>
      <c r="CY302" s="248"/>
      <c r="CZ302" s="248"/>
      <c r="DA302" s="248"/>
      <c r="DB302" s="248"/>
      <c r="DC302" s="248"/>
      <c r="DD302" s="248"/>
      <c r="DE302" s="248"/>
      <c r="DF302" s="248"/>
      <c r="DG302" s="248"/>
      <c r="DH302" s="248"/>
      <c r="DI302" s="248"/>
      <c r="DJ302" s="248"/>
      <c r="DK302" s="248"/>
      <c r="DL302" s="248"/>
      <c r="DM302" s="248"/>
      <c r="DN302" s="248"/>
      <c r="DO302" s="248"/>
      <c r="DP302" s="248"/>
      <c r="DQ302" s="248"/>
      <c r="DR302" s="248"/>
      <c r="DS302" s="248"/>
      <c r="DT302" s="248"/>
      <c r="DU302" s="248"/>
      <c r="DV302" s="248"/>
      <c r="DW302" s="248"/>
      <c r="DX302" s="248"/>
      <c r="DY302" s="248"/>
      <c r="DZ302" s="248"/>
      <c r="EA302" s="248"/>
      <c r="EB302" s="248"/>
      <c r="EC302" s="248"/>
      <c r="ED302" s="248"/>
    </row>
    <row r="303" spans="1:135" s="35" customFormat="1" ht="16.5">
      <c r="A303" s="35" t="str">
        <f t="shared" si="10"/>
        <v>MIB_F               ANT_HSL_RDW</v>
      </c>
      <c r="B303" s="331"/>
      <c r="C303" s="248">
        <v>219010</v>
      </c>
      <c r="D303" s="283">
        <v>219</v>
      </c>
      <c r="F303" s="35" t="s">
        <v>1118</v>
      </c>
      <c r="O303" s="289" t="s">
        <v>1091</v>
      </c>
      <c r="P303" s="289" t="s">
        <v>1091</v>
      </c>
      <c r="Q303" s="58"/>
      <c r="R303" s="39"/>
      <c r="W303" s="104">
        <v>980017590</v>
      </c>
      <c r="AB303" s="104" t="s">
        <v>1114</v>
      </c>
      <c r="AC303" s="58"/>
      <c r="AD303" s="58"/>
      <c r="AE303" s="58"/>
      <c r="AF303" s="58"/>
      <c r="AG303" s="58"/>
      <c r="AH303" s="279"/>
      <c r="AJ303" s="279" t="s">
        <v>1119</v>
      </c>
      <c r="AK303" s="279"/>
      <c r="AL303" s="523">
        <v>3</v>
      </c>
      <c r="AM303" s="35">
        <v>219010</v>
      </c>
      <c r="AN303" s="35" t="s">
        <v>1570</v>
      </c>
      <c r="AO303" s="35" t="s">
        <v>1267</v>
      </c>
      <c r="AP303" s="35" t="s">
        <v>789</v>
      </c>
      <c r="AQ303" s="34" t="s">
        <v>2290</v>
      </c>
      <c r="AR303" s="35" t="s">
        <v>491</v>
      </c>
      <c r="AS303" s="35" t="s">
        <v>488</v>
      </c>
      <c r="AT303" s="35" t="s">
        <v>1262</v>
      </c>
      <c r="AU303" s="35" t="s">
        <v>10</v>
      </c>
      <c r="AV303" s="35" t="s">
        <v>1018</v>
      </c>
      <c r="AW303" s="35" t="s">
        <v>797</v>
      </c>
      <c r="AX303" s="34" t="s">
        <v>2289</v>
      </c>
      <c r="AY303" s="35">
        <v>2</v>
      </c>
      <c r="AZ303" s="35" t="s">
        <v>1989</v>
      </c>
      <c r="BA303" s="35" t="s">
        <v>157</v>
      </c>
      <c r="BB303" s="35" t="s">
        <v>10</v>
      </c>
      <c r="BC303" s="35" t="s">
        <v>142</v>
      </c>
      <c r="BD303" s="35" t="s">
        <v>157</v>
      </c>
      <c r="BE303" s="35" t="s">
        <v>798</v>
      </c>
      <c r="BF303" s="35" t="s">
        <v>145</v>
      </c>
      <c r="BG303" s="35">
        <v>5027</v>
      </c>
      <c r="BH303" s="35" t="s">
        <v>139</v>
      </c>
      <c r="BI303" s="35">
        <v>0.5</v>
      </c>
      <c r="BJ303" s="35" t="s">
        <v>1571</v>
      </c>
      <c r="BK303" s="35" t="s">
        <v>10</v>
      </c>
      <c r="BL303" s="35" t="s">
        <v>787</v>
      </c>
      <c r="BM303" s="35" t="s">
        <v>10</v>
      </c>
      <c r="BN303" s="35" t="s">
        <v>10</v>
      </c>
      <c r="BO303" s="35" t="s">
        <v>10</v>
      </c>
      <c r="BP303" s="35">
        <v>219010</v>
      </c>
      <c r="BW303" s="248"/>
      <c r="BX303" s="248"/>
      <c r="BY303" s="248"/>
      <c r="BZ303" s="248"/>
      <c r="CA303" s="248"/>
      <c r="CB303" s="248"/>
      <c r="CC303" s="248"/>
      <c r="CD303" s="248"/>
      <c r="CE303" s="248"/>
      <c r="CF303" s="248"/>
      <c r="CG303" s="248"/>
      <c r="CH303" s="248"/>
      <c r="CI303" s="248"/>
      <c r="CJ303" s="248"/>
      <c r="CK303" s="248"/>
      <c r="CL303" s="248"/>
      <c r="CM303" s="248"/>
      <c r="CN303" s="248"/>
      <c r="CO303" s="248"/>
      <c r="CP303" s="248"/>
      <c r="CQ303" s="248"/>
      <c r="CR303" s="248"/>
      <c r="CS303" s="248"/>
      <c r="CT303" s="248"/>
      <c r="CU303" s="248"/>
      <c r="CV303" s="248"/>
      <c r="CW303" s="248"/>
      <c r="CX303" s="248"/>
      <c r="CY303" s="248"/>
      <c r="CZ303" s="248"/>
      <c r="DA303" s="248"/>
      <c r="DB303" s="248"/>
      <c r="DC303" s="248"/>
      <c r="DD303" s="248"/>
      <c r="DE303" s="248"/>
      <c r="DF303" s="248"/>
      <c r="DG303" s="248"/>
      <c r="DH303" s="248"/>
      <c r="DI303" s="248"/>
      <c r="DJ303" s="248"/>
      <c r="DK303" s="248"/>
      <c r="DL303" s="248"/>
      <c r="DM303" s="248"/>
      <c r="DN303" s="248"/>
      <c r="DO303" s="248"/>
      <c r="DP303" s="248"/>
      <c r="DQ303" s="248"/>
      <c r="DR303" s="248"/>
      <c r="DS303" s="248"/>
      <c r="DT303" s="248"/>
      <c r="DU303" s="248"/>
      <c r="DV303" s="248"/>
      <c r="DW303" s="248"/>
      <c r="DX303" s="248"/>
      <c r="DY303" s="248"/>
      <c r="DZ303" s="248"/>
      <c r="EA303" s="248"/>
      <c r="EB303" s="248"/>
      <c r="EC303" s="248"/>
      <c r="ED303" s="248"/>
    </row>
    <row r="304" spans="1:135" s="340" customFormat="1" ht="45">
      <c r="A304" s="340" t="str">
        <f t="shared" si="10"/>
        <v>ANT_HSR_RDW         KS_CR_A</v>
      </c>
      <c r="B304" s="341"/>
      <c r="C304" s="342">
        <v>219013</v>
      </c>
      <c r="D304" s="283">
        <v>219</v>
      </c>
      <c r="F304" s="340" t="s">
        <v>1118</v>
      </c>
      <c r="O304" s="343" t="s">
        <v>1091</v>
      </c>
      <c r="P304" s="343" t="s">
        <v>1091</v>
      </c>
      <c r="Q304" s="279"/>
      <c r="R304" s="344"/>
      <c r="W304" s="345" t="s">
        <v>2451</v>
      </c>
      <c r="Z304" s="35" t="s">
        <v>2645</v>
      </c>
      <c r="AA304" s="35" t="s">
        <v>2645</v>
      </c>
      <c r="AB304" s="77" t="s">
        <v>1114</v>
      </c>
      <c r="AC304" s="279"/>
      <c r="AD304" s="279"/>
      <c r="AE304" s="279"/>
      <c r="AF304" s="279"/>
      <c r="AG304" s="279"/>
      <c r="AH304" s="279"/>
      <c r="AJ304" s="279" t="s">
        <v>1119</v>
      </c>
      <c r="AK304" s="279"/>
      <c r="AL304" s="523">
        <v>3</v>
      </c>
      <c r="AM304" s="340">
        <v>219013</v>
      </c>
      <c r="AN304" s="340" t="s">
        <v>1572</v>
      </c>
      <c r="AO304" s="340" t="s">
        <v>1016</v>
      </c>
      <c r="AP304" s="340" t="s">
        <v>795</v>
      </c>
      <c r="AQ304" s="346" t="s">
        <v>2288</v>
      </c>
      <c r="AR304" s="340">
        <v>1</v>
      </c>
      <c r="AS304" s="340" t="s">
        <v>1988</v>
      </c>
      <c r="AT304" s="340" t="s">
        <v>1074</v>
      </c>
      <c r="AU304" s="340" t="s">
        <v>10</v>
      </c>
      <c r="AV304" s="340" t="s">
        <v>1734</v>
      </c>
      <c r="AW304" s="340" t="s">
        <v>800</v>
      </c>
      <c r="AX304" s="346" t="s">
        <v>1990</v>
      </c>
      <c r="AY304" s="340">
        <v>1</v>
      </c>
      <c r="AZ304" s="340" t="s">
        <v>1991</v>
      </c>
      <c r="BA304" s="340" t="s">
        <v>1074</v>
      </c>
      <c r="BB304" s="340" t="s">
        <v>10</v>
      </c>
      <c r="BC304" s="340" t="s">
        <v>142</v>
      </c>
      <c r="BD304" s="340" t="s">
        <v>1846</v>
      </c>
      <c r="BE304" s="340" t="s">
        <v>801</v>
      </c>
      <c r="BF304" s="340" t="s">
        <v>143</v>
      </c>
      <c r="BG304" s="340">
        <v>299</v>
      </c>
      <c r="BH304" s="340" t="s">
        <v>1415</v>
      </c>
      <c r="BI304" s="340">
        <v>0.35</v>
      </c>
      <c r="BJ304" s="340" t="s">
        <v>1573</v>
      </c>
      <c r="BK304" s="340" t="s">
        <v>10</v>
      </c>
      <c r="BL304" s="340" t="s">
        <v>787</v>
      </c>
      <c r="BM304" s="340" t="s">
        <v>788</v>
      </c>
      <c r="BN304" s="340" t="s">
        <v>2442</v>
      </c>
      <c r="BO304" s="340" t="s">
        <v>10</v>
      </c>
      <c r="BP304" s="340">
        <v>219013</v>
      </c>
      <c r="BW304" s="342"/>
      <c r="BX304" s="342"/>
      <c r="BY304" s="342"/>
      <c r="BZ304" s="342"/>
      <c r="CA304" s="342"/>
      <c r="CB304" s="342"/>
      <c r="CC304" s="342"/>
      <c r="CD304" s="342"/>
      <c r="CE304" s="342"/>
      <c r="CF304" s="342"/>
      <c r="CG304" s="342"/>
      <c r="CH304" s="342"/>
      <c r="CI304" s="342"/>
      <c r="CJ304" s="342"/>
      <c r="CK304" s="342"/>
      <c r="CL304" s="342"/>
      <c r="CM304" s="342"/>
      <c r="CN304" s="342"/>
      <c r="CO304" s="342"/>
      <c r="CP304" s="342"/>
      <c r="CQ304" s="342"/>
      <c r="CR304" s="342"/>
      <c r="CS304" s="342"/>
      <c r="CT304" s="342"/>
      <c r="CU304" s="342"/>
      <c r="CV304" s="342"/>
      <c r="CW304" s="342"/>
      <c r="CX304" s="342"/>
      <c r="CY304" s="342"/>
      <c r="CZ304" s="342"/>
      <c r="DA304" s="342"/>
      <c r="DB304" s="342"/>
      <c r="DC304" s="342"/>
      <c r="DD304" s="342"/>
      <c r="DE304" s="342"/>
      <c r="DF304" s="342"/>
      <c r="DG304" s="342"/>
      <c r="DH304" s="342"/>
      <c r="DI304" s="342"/>
      <c r="DJ304" s="342"/>
      <c r="DK304" s="342"/>
      <c r="DL304" s="342"/>
      <c r="DM304" s="342"/>
      <c r="DN304" s="342"/>
      <c r="DO304" s="342"/>
      <c r="DP304" s="342"/>
      <c r="DQ304" s="342"/>
      <c r="DR304" s="342"/>
      <c r="DS304" s="342"/>
      <c r="DT304" s="342"/>
      <c r="DU304" s="342"/>
      <c r="DV304" s="342"/>
      <c r="DW304" s="342"/>
      <c r="DX304" s="342"/>
      <c r="DY304" s="342"/>
      <c r="DZ304" s="342"/>
      <c r="EA304" s="342"/>
      <c r="EB304" s="342"/>
      <c r="EC304" s="342"/>
      <c r="ED304" s="342"/>
    </row>
    <row r="305" spans="1:134" s="340" customFormat="1" ht="45">
      <c r="A305" s="340" t="str">
        <f t="shared" si="10"/>
        <v>ANT_HSR_RDW         KS_CR_A</v>
      </c>
      <c r="B305" s="341"/>
      <c r="C305" s="342">
        <v>219014</v>
      </c>
      <c r="D305" s="283">
        <v>219</v>
      </c>
      <c r="F305" s="340" t="s">
        <v>1118</v>
      </c>
      <c r="O305" s="343" t="s">
        <v>1091</v>
      </c>
      <c r="P305" s="343" t="s">
        <v>1091</v>
      </c>
      <c r="Q305" s="279"/>
      <c r="R305" s="344"/>
      <c r="W305" s="345" t="s">
        <v>2451</v>
      </c>
      <c r="AB305" s="77" t="s">
        <v>1114</v>
      </c>
      <c r="AC305" s="279"/>
      <c r="AD305" s="279"/>
      <c r="AE305" s="279"/>
      <c r="AF305" s="279"/>
      <c r="AG305" s="279"/>
      <c r="AH305" s="279"/>
      <c r="AJ305" s="279" t="s">
        <v>1119</v>
      </c>
      <c r="AK305" s="279"/>
      <c r="AL305" s="523">
        <v>3</v>
      </c>
      <c r="AM305" s="340">
        <v>219014</v>
      </c>
      <c r="AN305" s="340" t="s">
        <v>1574</v>
      </c>
      <c r="AO305" s="340" t="s">
        <v>1016</v>
      </c>
      <c r="AP305" s="340" t="s">
        <v>795</v>
      </c>
      <c r="AQ305" s="346" t="s">
        <v>2288</v>
      </c>
      <c r="AR305" s="340">
        <v>2</v>
      </c>
      <c r="AS305" s="340" t="s">
        <v>1988</v>
      </c>
      <c r="AT305" s="340" t="s">
        <v>157</v>
      </c>
      <c r="AU305" s="340" t="s">
        <v>10</v>
      </c>
      <c r="AV305" s="340" t="s">
        <v>1734</v>
      </c>
      <c r="AW305" s="340" t="s">
        <v>800</v>
      </c>
      <c r="AX305" s="346" t="s">
        <v>1990</v>
      </c>
      <c r="AY305" s="340">
        <v>2</v>
      </c>
      <c r="AZ305" s="340" t="s">
        <v>1991</v>
      </c>
      <c r="BA305" s="340" t="s">
        <v>157</v>
      </c>
      <c r="BB305" s="340" t="s">
        <v>10</v>
      </c>
      <c r="BC305" s="340" t="s">
        <v>142</v>
      </c>
      <c r="BD305" s="340" t="s">
        <v>157</v>
      </c>
      <c r="BE305" s="340" t="s">
        <v>801</v>
      </c>
      <c r="BF305" s="340" t="s">
        <v>145</v>
      </c>
      <c r="BG305" s="340">
        <v>299</v>
      </c>
      <c r="BH305" s="340" t="s">
        <v>139</v>
      </c>
      <c r="BI305" s="340">
        <v>0.5</v>
      </c>
      <c r="BJ305" s="340" t="s">
        <v>327</v>
      </c>
      <c r="BK305" s="340" t="s">
        <v>10</v>
      </c>
      <c r="BL305" s="340" t="s">
        <v>787</v>
      </c>
      <c r="BM305" s="340" t="s">
        <v>788</v>
      </c>
      <c r="BN305" s="340" t="s">
        <v>2442</v>
      </c>
      <c r="BO305" s="340" t="s">
        <v>10</v>
      </c>
      <c r="BP305" s="340">
        <v>219014</v>
      </c>
      <c r="BW305" s="342"/>
      <c r="BX305" s="342"/>
      <c r="BY305" s="342"/>
      <c r="BZ305" s="342"/>
      <c r="CA305" s="342"/>
      <c r="CB305" s="342"/>
      <c r="CC305" s="342"/>
      <c r="CD305" s="342"/>
      <c r="CE305" s="342"/>
      <c r="CF305" s="342"/>
      <c r="CG305" s="342"/>
      <c r="CH305" s="342"/>
      <c r="CI305" s="342"/>
      <c r="CJ305" s="342"/>
      <c r="CK305" s="342"/>
      <c r="CL305" s="342"/>
      <c r="CM305" s="342"/>
      <c r="CN305" s="342"/>
      <c r="CO305" s="342"/>
      <c r="CP305" s="342"/>
      <c r="CQ305" s="342"/>
      <c r="CR305" s="342"/>
      <c r="CS305" s="342"/>
      <c r="CT305" s="342"/>
      <c r="CU305" s="342"/>
      <c r="CV305" s="342"/>
      <c r="CW305" s="342"/>
      <c r="CX305" s="342"/>
      <c r="CY305" s="342"/>
      <c r="CZ305" s="342"/>
      <c r="DA305" s="342"/>
      <c r="DB305" s="342"/>
      <c r="DC305" s="342"/>
      <c r="DD305" s="342"/>
      <c r="DE305" s="342"/>
      <c r="DF305" s="342"/>
      <c r="DG305" s="342"/>
      <c r="DH305" s="342"/>
      <c r="DI305" s="342"/>
      <c r="DJ305" s="342"/>
      <c r="DK305" s="342"/>
      <c r="DL305" s="342"/>
      <c r="DM305" s="342"/>
      <c r="DN305" s="342"/>
      <c r="DO305" s="342"/>
      <c r="DP305" s="342"/>
      <c r="DQ305" s="342"/>
      <c r="DR305" s="342"/>
      <c r="DS305" s="342"/>
      <c r="DT305" s="342"/>
      <c r="DU305" s="342"/>
      <c r="DV305" s="342"/>
      <c r="DW305" s="342"/>
      <c r="DX305" s="342"/>
      <c r="DY305" s="342"/>
      <c r="DZ305" s="342"/>
      <c r="EA305" s="342"/>
      <c r="EB305" s="342"/>
      <c r="EC305" s="342"/>
      <c r="ED305" s="342"/>
    </row>
    <row r="306" spans="1:134" s="35" customFormat="1" ht="16.5">
      <c r="A306" s="35" t="str">
        <f t="shared" si="10"/>
        <v>MIB_F               ANT_DAB</v>
      </c>
      <c r="B306" s="331"/>
      <c r="C306" s="248">
        <v>219021</v>
      </c>
      <c r="D306" s="283">
        <v>219</v>
      </c>
      <c r="F306" s="35" t="s">
        <v>1118</v>
      </c>
      <c r="O306" s="289" t="s">
        <v>1091</v>
      </c>
      <c r="P306" s="289" t="s">
        <v>1091</v>
      </c>
      <c r="Q306" s="58"/>
      <c r="R306" s="39"/>
      <c r="W306" s="104">
        <v>980015365</v>
      </c>
      <c r="AA306" s="35" t="s">
        <v>2645</v>
      </c>
      <c r="AB306" s="104" t="s">
        <v>1114</v>
      </c>
      <c r="AC306" s="58"/>
      <c r="AD306" s="58"/>
      <c r="AE306" s="58"/>
      <c r="AF306" s="58"/>
      <c r="AG306" s="58"/>
      <c r="AH306" s="279"/>
      <c r="AJ306" s="279" t="s">
        <v>1119</v>
      </c>
      <c r="AK306" s="279"/>
      <c r="AL306" s="523">
        <v>3</v>
      </c>
      <c r="AM306" s="35">
        <v>219021</v>
      </c>
      <c r="AN306" s="35" t="s">
        <v>1575</v>
      </c>
      <c r="AO306" s="35" t="s">
        <v>1267</v>
      </c>
      <c r="AP306" s="35" t="s">
        <v>789</v>
      </c>
      <c r="AQ306" s="34" t="s">
        <v>2290</v>
      </c>
      <c r="AR306" s="35">
        <v>4</v>
      </c>
      <c r="AS306" s="35" t="s">
        <v>488</v>
      </c>
      <c r="AT306" s="35" t="s">
        <v>490</v>
      </c>
      <c r="AU306" s="35" t="s">
        <v>10</v>
      </c>
      <c r="AV306" s="35" t="s">
        <v>1028</v>
      </c>
      <c r="AW306" s="35" t="s">
        <v>790</v>
      </c>
      <c r="AX306" s="34" t="s">
        <v>2287</v>
      </c>
      <c r="AY306" s="35">
        <v>3</v>
      </c>
      <c r="AZ306" s="35" t="s">
        <v>1983</v>
      </c>
      <c r="BA306" s="35" t="s">
        <v>1074</v>
      </c>
      <c r="BB306" s="35" t="s">
        <v>10</v>
      </c>
      <c r="BC306" s="35" t="s">
        <v>142</v>
      </c>
      <c r="BD306" s="35" t="s">
        <v>1846</v>
      </c>
      <c r="BE306" s="35" t="s">
        <v>802</v>
      </c>
      <c r="BF306" s="35" t="s">
        <v>143</v>
      </c>
      <c r="BG306" s="35">
        <v>5027</v>
      </c>
      <c r="BH306" s="35" t="s">
        <v>1415</v>
      </c>
      <c r="BI306" s="35">
        <v>0.35</v>
      </c>
      <c r="BJ306" s="35" t="s">
        <v>799</v>
      </c>
      <c r="BK306" s="35" t="s">
        <v>786</v>
      </c>
      <c r="BL306" s="35" t="s">
        <v>10</v>
      </c>
      <c r="BM306" s="35" t="s">
        <v>10</v>
      </c>
      <c r="BN306" s="35" t="s">
        <v>10</v>
      </c>
      <c r="BO306" s="35" t="s">
        <v>10</v>
      </c>
      <c r="BP306" s="35">
        <v>219021</v>
      </c>
      <c r="BW306" s="248"/>
      <c r="BX306" s="248"/>
      <c r="BY306" s="248"/>
      <c r="BZ306" s="248"/>
      <c r="CA306" s="248"/>
      <c r="CB306" s="248"/>
      <c r="CC306" s="248"/>
      <c r="CD306" s="248"/>
      <c r="CE306" s="248"/>
      <c r="CF306" s="248"/>
      <c r="CG306" s="248"/>
      <c r="CH306" s="248"/>
      <c r="CI306" s="248"/>
      <c r="CJ306" s="248"/>
      <c r="CK306" s="248"/>
      <c r="CL306" s="248"/>
      <c r="CM306" s="248"/>
      <c r="CN306" s="248"/>
      <c r="CO306" s="248"/>
      <c r="CP306" s="248"/>
      <c r="CQ306" s="248"/>
      <c r="CR306" s="248"/>
      <c r="CS306" s="248"/>
      <c r="CT306" s="248"/>
      <c r="CU306" s="248"/>
      <c r="CV306" s="248"/>
      <c r="CW306" s="248"/>
      <c r="CX306" s="248"/>
      <c r="CY306" s="248"/>
      <c r="CZ306" s="248"/>
      <c r="DA306" s="248"/>
      <c r="DB306" s="248"/>
      <c r="DC306" s="248"/>
      <c r="DD306" s="248"/>
      <c r="DE306" s="248"/>
      <c r="DF306" s="248"/>
      <c r="DG306" s="248"/>
      <c r="DH306" s="248"/>
      <c r="DI306" s="248"/>
      <c r="DJ306" s="248"/>
      <c r="DK306" s="248"/>
      <c r="DL306" s="248"/>
      <c r="DM306" s="248"/>
      <c r="DN306" s="248"/>
      <c r="DO306" s="248"/>
      <c r="DP306" s="248"/>
      <c r="DQ306" s="248"/>
      <c r="DR306" s="248"/>
      <c r="DS306" s="248"/>
      <c r="DT306" s="248"/>
      <c r="DU306" s="248"/>
      <c r="DV306" s="248"/>
      <c r="DW306" s="248"/>
      <c r="DX306" s="248"/>
      <c r="DY306" s="248"/>
      <c r="DZ306" s="248"/>
      <c r="EA306" s="248"/>
      <c r="EB306" s="248"/>
      <c r="EC306" s="248"/>
      <c r="ED306" s="248"/>
    </row>
    <row r="307" spans="1:134" s="35" customFormat="1" ht="16.5">
      <c r="A307" s="35" t="str">
        <f t="shared" si="10"/>
        <v>MIB_F               ANT_DAB</v>
      </c>
      <c r="B307" s="331"/>
      <c r="C307" s="248">
        <v>219022</v>
      </c>
      <c r="D307" s="283">
        <v>219</v>
      </c>
      <c r="F307" s="35" t="s">
        <v>1118</v>
      </c>
      <c r="O307" s="289" t="s">
        <v>1091</v>
      </c>
      <c r="P307" s="289" t="s">
        <v>1091</v>
      </c>
      <c r="Q307" s="58"/>
      <c r="R307" s="39"/>
      <c r="W307" s="104">
        <v>980015365</v>
      </c>
      <c r="AB307" s="104" t="s">
        <v>1114</v>
      </c>
      <c r="AC307" s="58"/>
      <c r="AD307" s="58"/>
      <c r="AE307" s="58"/>
      <c r="AF307" s="58"/>
      <c r="AG307" s="58"/>
      <c r="AH307" s="279"/>
      <c r="AJ307" s="279" t="s">
        <v>1119</v>
      </c>
      <c r="AK307" s="279"/>
      <c r="AL307" s="523">
        <v>3</v>
      </c>
      <c r="AM307" s="35">
        <v>219022</v>
      </c>
      <c r="AN307" s="35" t="s">
        <v>1576</v>
      </c>
      <c r="AO307" s="35" t="s">
        <v>1267</v>
      </c>
      <c r="AP307" s="35" t="s">
        <v>789</v>
      </c>
      <c r="AQ307" s="34" t="s">
        <v>2290</v>
      </c>
      <c r="AR307" s="35" t="s">
        <v>491</v>
      </c>
      <c r="AS307" s="35" t="s">
        <v>488</v>
      </c>
      <c r="AT307" s="35" t="s">
        <v>1262</v>
      </c>
      <c r="AU307" s="35" t="s">
        <v>10</v>
      </c>
      <c r="AV307" s="35" t="s">
        <v>1028</v>
      </c>
      <c r="AW307" s="35" t="s">
        <v>790</v>
      </c>
      <c r="AX307" s="34" t="s">
        <v>2287</v>
      </c>
      <c r="AY307" s="35">
        <v>4</v>
      </c>
      <c r="AZ307" s="35" t="s">
        <v>1983</v>
      </c>
      <c r="BA307" s="35" t="s">
        <v>157</v>
      </c>
      <c r="BB307" s="35" t="s">
        <v>10</v>
      </c>
      <c r="BC307" s="35" t="s">
        <v>142</v>
      </c>
      <c r="BD307" s="35" t="s">
        <v>157</v>
      </c>
      <c r="BE307" s="35" t="s">
        <v>802</v>
      </c>
      <c r="BF307" s="35" t="s">
        <v>145</v>
      </c>
      <c r="BG307" s="35">
        <v>5027</v>
      </c>
      <c r="BH307" s="35" t="s">
        <v>139</v>
      </c>
      <c r="BI307" s="35">
        <v>0.5</v>
      </c>
      <c r="BJ307" s="35" t="s">
        <v>1571</v>
      </c>
      <c r="BK307" s="35" t="s">
        <v>786</v>
      </c>
      <c r="BL307" s="35" t="s">
        <v>10</v>
      </c>
      <c r="BM307" s="35" t="s">
        <v>10</v>
      </c>
      <c r="BN307" s="35" t="s">
        <v>10</v>
      </c>
      <c r="BO307" s="35" t="s">
        <v>10</v>
      </c>
      <c r="BP307" s="35">
        <v>219022</v>
      </c>
      <c r="BW307" s="248"/>
      <c r="BX307" s="248"/>
      <c r="BY307" s="248"/>
      <c r="BZ307" s="248"/>
      <c r="CA307" s="248"/>
      <c r="CB307" s="248"/>
      <c r="CC307" s="248"/>
      <c r="CD307" s="248"/>
      <c r="CE307" s="248"/>
      <c r="CF307" s="248"/>
      <c r="CG307" s="248"/>
      <c r="CH307" s="248"/>
      <c r="CI307" s="248"/>
      <c r="CJ307" s="248"/>
      <c r="CK307" s="248"/>
      <c r="CL307" s="248"/>
      <c r="CM307" s="248"/>
      <c r="CN307" s="248"/>
      <c r="CO307" s="248"/>
      <c r="CP307" s="248"/>
      <c r="CQ307" s="248"/>
      <c r="CR307" s="248"/>
      <c r="CS307" s="248"/>
      <c r="CT307" s="248"/>
      <c r="CU307" s="248"/>
      <c r="CV307" s="248"/>
      <c r="CW307" s="248"/>
      <c r="CX307" s="248"/>
      <c r="CY307" s="248"/>
      <c r="CZ307" s="248"/>
      <c r="DA307" s="248"/>
      <c r="DB307" s="248"/>
      <c r="DC307" s="248"/>
      <c r="DD307" s="248"/>
      <c r="DE307" s="248"/>
      <c r="DF307" s="248"/>
      <c r="DG307" s="248"/>
      <c r="DH307" s="248"/>
      <c r="DI307" s="248"/>
      <c r="DJ307" s="248"/>
      <c r="DK307" s="248"/>
      <c r="DL307" s="248"/>
      <c r="DM307" s="248"/>
      <c r="DN307" s="248"/>
      <c r="DO307" s="248"/>
      <c r="DP307" s="248"/>
      <c r="DQ307" s="248"/>
      <c r="DR307" s="248"/>
      <c r="DS307" s="248"/>
      <c r="DT307" s="248"/>
      <c r="DU307" s="248"/>
      <c r="DV307" s="248"/>
      <c r="DW307" s="248"/>
      <c r="DX307" s="248"/>
      <c r="DY307" s="248"/>
      <c r="DZ307" s="248"/>
      <c r="EA307" s="248"/>
      <c r="EB307" s="248"/>
      <c r="EC307" s="248"/>
      <c r="ED307" s="248"/>
    </row>
    <row r="308" spans="1:134" s="35" customFormat="1" ht="16.5">
      <c r="A308" s="35" t="str">
        <f t="shared" si="10"/>
        <v>ANT_HSR_DAB         KS_CR_A</v>
      </c>
      <c r="B308" s="331"/>
      <c r="C308" s="248">
        <v>219023</v>
      </c>
      <c r="D308" s="283">
        <v>219</v>
      </c>
      <c r="F308" s="35" t="s">
        <v>1118</v>
      </c>
      <c r="O308" s="289" t="s">
        <v>1091</v>
      </c>
      <c r="P308" s="289" t="s">
        <v>1091</v>
      </c>
      <c r="Q308" s="58"/>
      <c r="R308" s="39"/>
      <c r="W308" s="104">
        <v>980015365</v>
      </c>
      <c r="Z308" s="35" t="s">
        <v>2645</v>
      </c>
      <c r="AA308" s="35" t="s">
        <v>2645</v>
      </c>
      <c r="AB308" s="104" t="s">
        <v>1114</v>
      </c>
      <c r="AC308" s="58"/>
      <c r="AD308" s="58"/>
      <c r="AE308" s="58"/>
      <c r="AF308" s="58"/>
      <c r="AG308" s="58"/>
      <c r="AH308" s="279"/>
      <c r="AJ308" s="279" t="s">
        <v>1119</v>
      </c>
      <c r="AK308" s="279"/>
      <c r="AL308" s="523">
        <v>3</v>
      </c>
      <c r="AM308" s="35">
        <v>219023</v>
      </c>
      <c r="AN308" s="35" t="s">
        <v>1577</v>
      </c>
      <c r="AO308" s="35" t="s">
        <v>1719</v>
      </c>
      <c r="AP308" s="35" t="s">
        <v>803</v>
      </c>
      <c r="AQ308" s="34" t="s">
        <v>2291</v>
      </c>
      <c r="AR308" s="35">
        <v>1</v>
      </c>
      <c r="AS308" s="35" t="s">
        <v>1992</v>
      </c>
      <c r="AT308" s="35" t="s">
        <v>1074</v>
      </c>
      <c r="AU308" s="35" t="s">
        <v>10</v>
      </c>
      <c r="AV308" s="35" t="s">
        <v>1734</v>
      </c>
      <c r="AW308" s="35" t="s">
        <v>800</v>
      </c>
      <c r="AX308" s="34" t="s">
        <v>1990</v>
      </c>
      <c r="AY308" s="35">
        <v>1</v>
      </c>
      <c r="AZ308" s="35" t="s">
        <v>1991</v>
      </c>
      <c r="BA308" s="35" t="s">
        <v>1074</v>
      </c>
      <c r="BB308" s="35" t="s">
        <v>10</v>
      </c>
      <c r="BC308" s="35" t="s">
        <v>142</v>
      </c>
      <c r="BD308" s="35" t="s">
        <v>1846</v>
      </c>
      <c r="BE308" s="35" t="s">
        <v>804</v>
      </c>
      <c r="BF308" s="35" t="s">
        <v>143</v>
      </c>
      <c r="BG308" s="35">
        <v>300</v>
      </c>
      <c r="BH308" s="35" t="s">
        <v>1415</v>
      </c>
      <c r="BI308" s="35">
        <v>0.35</v>
      </c>
      <c r="BJ308" s="35" t="s">
        <v>1573</v>
      </c>
      <c r="BK308" s="35" t="s">
        <v>786</v>
      </c>
      <c r="BL308" s="35" t="s">
        <v>10</v>
      </c>
      <c r="BM308" s="35" t="s">
        <v>10</v>
      </c>
      <c r="BN308" s="35" t="s">
        <v>10</v>
      </c>
      <c r="BO308" s="35" t="s">
        <v>10</v>
      </c>
      <c r="BP308" s="35">
        <v>219023</v>
      </c>
      <c r="BW308" s="248"/>
      <c r="BX308" s="248"/>
      <c r="BY308" s="248"/>
      <c r="BZ308" s="248"/>
      <c r="CA308" s="248"/>
      <c r="CB308" s="248"/>
      <c r="CC308" s="248"/>
      <c r="CD308" s="248"/>
      <c r="CE308" s="248"/>
      <c r="CF308" s="248"/>
      <c r="CG308" s="248"/>
      <c r="CH308" s="248"/>
      <c r="CI308" s="248"/>
      <c r="CJ308" s="248"/>
      <c r="CK308" s="248"/>
      <c r="CL308" s="248"/>
      <c r="CM308" s="248"/>
      <c r="CN308" s="248"/>
      <c r="CO308" s="248"/>
      <c r="CP308" s="248"/>
      <c r="CQ308" s="248"/>
      <c r="CR308" s="248"/>
      <c r="CS308" s="248"/>
      <c r="CT308" s="248"/>
      <c r="CU308" s="248"/>
      <c r="CV308" s="248"/>
      <c r="CW308" s="248"/>
      <c r="CX308" s="248"/>
      <c r="CY308" s="248"/>
      <c r="CZ308" s="248"/>
      <c r="DA308" s="248"/>
      <c r="DB308" s="248"/>
      <c r="DC308" s="248"/>
      <c r="DD308" s="248"/>
      <c r="DE308" s="248"/>
      <c r="DF308" s="248"/>
      <c r="DG308" s="248"/>
      <c r="DH308" s="248"/>
      <c r="DI308" s="248"/>
      <c r="DJ308" s="248"/>
      <c r="DK308" s="248"/>
      <c r="DL308" s="248"/>
      <c r="DM308" s="248"/>
      <c r="DN308" s="248"/>
      <c r="DO308" s="248"/>
      <c r="DP308" s="248"/>
      <c r="DQ308" s="248"/>
      <c r="DR308" s="248"/>
      <c r="DS308" s="248"/>
      <c r="DT308" s="248"/>
      <c r="DU308" s="248"/>
      <c r="DV308" s="248"/>
      <c r="DW308" s="248"/>
      <c r="DX308" s="248"/>
      <c r="DY308" s="248"/>
      <c r="DZ308" s="248"/>
      <c r="EA308" s="248"/>
      <c r="EB308" s="248"/>
      <c r="EC308" s="248"/>
      <c r="ED308" s="248"/>
    </row>
    <row r="309" spans="1:134" s="35" customFormat="1" ht="16.5">
      <c r="A309" s="35" t="str">
        <f t="shared" si="10"/>
        <v>ANT_HSR_DAB         KS_CR_A</v>
      </c>
      <c r="B309" s="331"/>
      <c r="C309" s="248">
        <v>219024</v>
      </c>
      <c r="D309" s="283">
        <v>219</v>
      </c>
      <c r="F309" s="35" t="s">
        <v>1118</v>
      </c>
      <c r="O309" s="289" t="s">
        <v>1091</v>
      </c>
      <c r="P309" s="289" t="s">
        <v>1091</v>
      </c>
      <c r="Q309" s="58"/>
      <c r="R309" s="39"/>
      <c r="W309" s="104">
        <v>980015365</v>
      </c>
      <c r="AB309" s="104" t="s">
        <v>1114</v>
      </c>
      <c r="AC309" s="58"/>
      <c r="AD309" s="58"/>
      <c r="AE309" s="58"/>
      <c r="AF309" s="58"/>
      <c r="AG309" s="58"/>
      <c r="AH309" s="279"/>
      <c r="AJ309" s="279" t="s">
        <v>1119</v>
      </c>
      <c r="AK309" s="279"/>
      <c r="AL309" s="523">
        <v>3</v>
      </c>
      <c r="AM309" s="35">
        <v>219024</v>
      </c>
      <c r="AN309" s="35" t="s">
        <v>1578</v>
      </c>
      <c r="AO309" s="35" t="s">
        <v>1719</v>
      </c>
      <c r="AP309" s="35" t="s">
        <v>803</v>
      </c>
      <c r="AQ309" s="34" t="s">
        <v>2291</v>
      </c>
      <c r="AR309" s="35">
        <v>2</v>
      </c>
      <c r="AS309" s="35" t="s">
        <v>1992</v>
      </c>
      <c r="AT309" s="35" t="s">
        <v>157</v>
      </c>
      <c r="AU309" s="35" t="s">
        <v>10</v>
      </c>
      <c r="AV309" s="35" t="s">
        <v>1734</v>
      </c>
      <c r="AW309" s="35" t="s">
        <v>800</v>
      </c>
      <c r="AX309" s="34" t="s">
        <v>1990</v>
      </c>
      <c r="AY309" s="35">
        <v>2</v>
      </c>
      <c r="AZ309" s="35" t="s">
        <v>1991</v>
      </c>
      <c r="BA309" s="35" t="s">
        <v>157</v>
      </c>
      <c r="BB309" s="35" t="s">
        <v>10</v>
      </c>
      <c r="BC309" s="35" t="s">
        <v>142</v>
      </c>
      <c r="BD309" s="35" t="s">
        <v>157</v>
      </c>
      <c r="BE309" s="35" t="s">
        <v>804</v>
      </c>
      <c r="BF309" s="35" t="s">
        <v>145</v>
      </c>
      <c r="BG309" s="35">
        <v>300</v>
      </c>
      <c r="BH309" s="35" t="s">
        <v>139</v>
      </c>
      <c r="BI309" s="35">
        <v>0.5</v>
      </c>
      <c r="BJ309" s="35" t="s">
        <v>327</v>
      </c>
      <c r="BK309" s="35" t="s">
        <v>786</v>
      </c>
      <c r="BL309" s="35" t="s">
        <v>10</v>
      </c>
      <c r="BM309" s="35" t="s">
        <v>10</v>
      </c>
      <c r="BN309" s="35" t="s">
        <v>10</v>
      </c>
      <c r="BO309" s="35" t="s">
        <v>10</v>
      </c>
      <c r="BP309" s="35">
        <v>219024</v>
      </c>
      <c r="BW309" s="248"/>
      <c r="BX309" s="248"/>
      <c r="BY309" s="248"/>
      <c r="BZ309" s="248"/>
      <c r="CA309" s="248"/>
      <c r="CB309" s="248"/>
      <c r="CC309" s="248"/>
      <c r="CD309" s="248"/>
      <c r="CE309" s="248"/>
      <c r="CF309" s="248"/>
      <c r="CG309" s="248"/>
      <c r="CH309" s="248"/>
      <c r="CI309" s="248"/>
      <c r="CJ309" s="248"/>
      <c r="CK309" s="248"/>
      <c r="CL309" s="248"/>
      <c r="CM309" s="248"/>
      <c r="CN309" s="248"/>
      <c r="CO309" s="248"/>
      <c r="CP309" s="248"/>
      <c r="CQ309" s="248"/>
      <c r="CR309" s="248"/>
      <c r="CS309" s="248"/>
      <c r="CT309" s="248"/>
      <c r="CU309" s="248"/>
      <c r="CV309" s="248"/>
      <c r="CW309" s="248"/>
      <c r="CX309" s="248"/>
      <c r="CY309" s="248"/>
      <c r="CZ309" s="248"/>
      <c r="DA309" s="248"/>
      <c r="DB309" s="248"/>
      <c r="DC309" s="248"/>
      <c r="DD309" s="248"/>
      <c r="DE309" s="248"/>
      <c r="DF309" s="248"/>
      <c r="DG309" s="248"/>
      <c r="DH309" s="248"/>
      <c r="DI309" s="248"/>
      <c r="DJ309" s="248"/>
      <c r="DK309" s="248"/>
      <c r="DL309" s="248"/>
      <c r="DM309" s="248"/>
      <c r="DN309" s="248"/>
      <c r="DO309" s="248"/>
      <c r="DP309" s="248"/>
      <c r="DQ309" s="248"/>
      <c r="DR309" s="248"/>
      <c r="DS309" s="248"/>
      <c r="DT309" s="248"/>
      <c r="DU309" s="248"/>
      <c r="DV309" s="248"/>
      <c r="DW309" s="248"/>
      <c r="DX309" s="248"/>
      <c r="DY309" s="248"/>
      <c r="DZ309" s="248"/>
      <c r="EA309" s="248"/>
      <c r="EB309" s="248"/>
      <c r="EC309" s="248"/>
      <c r="ED309" s="248"/>
    </row>
    <row r="310" spans="1:134" s="35" customFormat="1" ht="16.5">
      <c r="A310" s="35" t="str">
        <f t="shared" si="10"/>
        <v>MIB_F               ANT_HSR_DAB</v>
      </c>
      <c r="B310" s="331"/>
      <c r="C310" s="248">
        <v>219025</v>
      </c>
      <c r="D310" s="283">
        <v>219</v>
      </c>
      <c r="F310" s="35" t="s">
        <v>1118</v>
      </c>
      <c r="O310" s="289" t="s">
        <v>1091</v>
      </c>
      <c r="P310" s="289" t="s">
        <v>1091</v>
      </c>
      <c r="Q310" s="58"/>
      <c r="R310" s="39"/>
      <c r="W310" s="104">
        <v>980015365</v>
      </c>
      <c r="AA310" s="35" t="s">
        <v>2645</v>
      </c>
      <c r="AB310" s="104" t="s">
        <v>1114</v>
      </c>
      <c r="AC310" s="58"/>
      <c r="AD310" s="58"/>
      <c r="AE310" s="58"/>
      <c r="AF310" s="58"/>
      <c r="AG310" s="58"/>
      <c r="AH310" s="279"/>
      <c r="AJ310" s="279" t="s">
        <v>1119</v>
      </c>
      <c r="AK310" s="279"/>
      <c r="AL310" s="523">
        <v>3</v>
      </c>
      <c r="AM310" s="35">
        <v>219025</v>
      </c>
      <c r="AN310" s="35" t="s">
        <v>1579</v>
      </c>
      <c r="AO310" s="35" t="s">
        <v>1267</v>
      </c>
      <c r="AP310" s="35" t="s">
        <v>789</v>
      </c>
      <c r="AQ310" s="34" t="s">
        <v>2290</v>
      </c>
      <c r="AR310" s="35">
        <v>1</v>
      </c>
      <c r="AS310" s="35" t="s">
        <v>488</v>
      </c>
      <c r="AT310" s="35" t="s">
        <v>490</v>
      </c>
      <c r="AU310" s="35" t="s">
        <v>10</v>
      </c>
      <c r="AV310" s="35" t="s">
        <v>1719</v>
      </c>
      <c r="AW310" s="35" t="s">
        <v>803</v>
      </c>
      <c r="AX310" s="34" t="s">
        <v>2291</v>
      </c>
      <c r="AY310" s="35">
        <v>3</v>
      </c>
      <c r="AZ310" s="35" t="s">
        <v>1992</v>
      </c>
      <c r="BA310" s="35" t="s">
        <v>1074</v>
      </c>
      <c r="BB310" s="35" t="s">
        <v>10</v>
      </c>
      <c r="BC310" s="35" t="s">
        <v>142</v>
      </c>
      <c r="BD310" s="35" t="s">
        <v>1846</v>
      </c>
      <c r="BE310" s="35" t="s">
        <v>805</v>
      </c>
      <c r="BF310" s="35" t="s">
        <v>143</v>
      </c>
      <c r="BG310" s="35">
        <v>4031</v>
      </c>
      <c r="BH310" s="35" t="s">
        <v>1415</v>
      </c>
      <c r="BI310" s="35">
        <v>0.35</v>
      </c>
      <c r="BJ310" s="35" t="s">
        <v>1567</v>
      </c>
      <c r="BK310" s="35" t="s">
        <v>786</v>
      </c>
      <c r="BL310" s="35" t="s">
        <v>10</v>
      </c>
      <c r="BM310" s="35" t="s">
        <v>10</v>
      </c>
      <c r="BN310" s="35" t="s">
        <v>10</v>
      </c>
      <c r="BO310" s="35" t="s">
        <v>10</v>
      </c>
      <c r="BP310" s="35">
        <v>219025</v>
      </c>
      <c r="BW310" s="248"/>
      <c r="BX310" s="248"/>
      <c r="BY310" s="248"/>
      <c r="BZ310" s="248"/>
      <c r="CA310" s="248"/>
      <c r="CB310" s="248"/>
      <c r="CC310" s="248"/>
      <c r="CD310" s="248"/>
      <c r="CE310" s="248"/>
      <c r="CF310" s="248"/>
      <c r="CG310" s="248"/>
      <c r="CH310" s="248"/>
      <c r="CI310" s="248"/>
      <c r="CJ310" s="248"/>
      <c r="CK310" s="248"/>
      <c r="CL310" s="248"/>
      <c r="CM310" s="248"/>
      <c r="CN310" s="248"/>
      <c r="CO310" s="248"/>
      <c r="CP310" s="248"/>
      <c r="CQ310" s="248"/>
      <c r="CR310" s="248"/>
      <c r="CS310" s="248"/>
      <c r="CT310" s="248"/>
      <c r="CU310" s="248"/>
      <c r="CV310" s="248"/>
      <c r="CW310" s="248"/>
      <c r="CX310" s="248"/>
      <c r="CY310" s="248"/>
      <c r="CZ310" s="248"/>
      <c r="DA310" s="248"/>
      <c r="DB310" s="248"/>
      <c r="DC310" s="248"/>
      <c r="DD310" s="248"/>
      <c r="DE310" s="248"/>
      <c r="DF310" s="248"/>
      <c r="DG310" s="248"/>
      <c r="DH310" s="248"/>
      <c r="DI310" s="248"/>
      <c r="DJ310" s="248"/>
      <c r="DK310" s="248"/>
      <c r="DL310" s="248"/>
      <c r="DM310" s="248"/>
      <c r="DN310" s="248"/>
      <c r="DO310" s="248"/>
      <c r="DP310" s="248"/>
      <c r="DQ310" s="248"/>
      <c r="DR310" s="248"/>
      <c r="DS310" s="248"/>
      <c r="DT310" s="248"/>
      <c r="DU310" s="248"/>
      <c r="DV310" s="248"/>
      <c r="DW310" s="248"/>
      <c r="DX310" s="248"/>
      <c r="DY310" s="248"/>
      <c r="DZ310" s="248"/>
      <c r="EA310" s="248"/>
      <c r="EB310" s="248"/>
      <c r="EC310" s="248"/>
      <c r="ED310" s="248"/>
    </row>
    <row r="311" spans="1:134" s="185" customFormat="1" ht="16.5">
      <c r="A311" s="35" t="str">
        <f t="shared" si="10"/>
        <v>ANT_HSR_DAB         MIB_F</v>
      </c>
      <c r="B311" s="331"/>
      <c r="C311" s="248">
        <v>219026</v>
      </c>
      <c r="D311" s="283">
        <v>219</v>
      </c>
      <c r="E311" s="35"/>
      <c r="F311" s="35" t="s">
        <v>1118</v>
      </c>
      <c r="G311" s="35"/>
      <c r="H311" s="35"/>
      <c r="I311" s="35"/>
      <c r="K311" s="35"/>
      <c r="L311" s="35"/>
      <c r="M311" s="35"/>
      <c r="N311" s="35"/>
      <c r="O311" s="289" t="s">
        <v>1091</v>
      </c>
      <c r="P311" s="289" t="s">
        <v>1091</v>
      </c>
      <c r="Q311" s="58"/>
      <c r="R311" s="39"/>
      <c r="S311" s="35"/>
      <c r="T311" s="35"/>
      <c r="U311" s="35"/>
      <c r="V311" s="35"/>
      <c r="W311" s="104">
        <v>980015365</v>
      </c>
      <c r="X311" s="35"/>
      <c r="Y311" s="35"/>
      <c r="Z311" s="35"/>
      <c r="AA311" s="35"/>
      <c r="AB311" s="104" t="s">
        <v>1114</v>
      </c>
      <c r="AC311" s="58"/>
      <c r="AD311" s="58"/>
      <c r="AE311" s="58"/>
      <c r="AF311" s="58"/>
      <c r="AG311" s="58"/>
      <c r="AH311" s="279"/>
      <c r="AI311" s="35"/>
      <c r="AJ311" s="279" t="s">
        <v>1119</v>
      </c>
      <c r="AK311" s="279"/>
      <c r="AL311" s="523">
        <v>3</v>
      </c>
      <c r="AM311" s="35">
        <v>219026</v>
      </c>
      <c r="AN311" s="35" t="s">
        <v>1993</v>
      </c>
      <c r="AO311" s="35" t="s">
        <v>1719</v>
      </c>
      <c r="AP311" s="35" t="s">
        <v>803</v>
      </c>
      <c r="AQ311" s="34" t="s">
        <v>2291</v>
      </c>
      <c r="AR311" s="35">
        <v>4</v>
      </c>
      <c r="AS311" s="35" t="s">
        <v>1992</v>
      </c>
      <c r="AT311" s="35" t="s">
        <v>157</v>
      </c>
      <c r="AU311" s="35" t="s">
        <v>10</v>
      </c>
      <c r="AV311" s="35" t="s">
        <v>1267</v>
      </c>
      <c r="AW311" s="35" t="s">
        <v>789</v>
      </c>
      <c r="AX311" s="34" t="s">
        <v>2290</v>
      </c>
      <c r="AY311" s="35" t="s">
        <v>493</v>
      </c>
      <c r="AZ311" s="35" t="s">
        <v>488</v>
      </c>
      <c r="BA311" s="35" t="s">
        <v>1262</v>
      </c>
      <c r="BB311" s="35" t="s">
        <v>10</v>
      </c>
      <c r="BC311" s="35" t="s">
        <v>142</v>
      </c>
      <c r="BD311" s="35" t="s">
        <v>157</v>
      </c>
      <c r="BE311" s="35" t="s">
        <v>805</v>
      </c>
      <c r="BF311" s="35" t="s">
        <v>145</v>
      </c>
      <c r="BG311" s="35">
        <v>4031</v>
      </c>
      <c r="BH311" s="35" t="s">
        <v>139</v>
      </c>
      <c r="BI311" s="35">
        <v>0.5</v>
      </c>
      <c r="BJ311" s="35" t="s">
        <v>1568</v>
      </c>
      <c r="BK311" s="35" t="s">
        <v>786</v>
      </c>
      <c r="BL311" s="35" t="s">
        <v>10</v>
      </c>
      <c r="BM311" s="35" t="s">
        <v>10</v>
      </c>
      <c r="BN311" s="35" t="s">
        <v>10</v>
      </c>
      <c r="BO311" s="35" t="s">
        <v>10</v>
      </c>
      <c r="BP311" s="35">
        <v>219026</v>
      </c>
      <c r="BQ311" s="35"/>
      <c r="BR311" s="35"/>
      <c r="BS311" s="35"/>
      <c r="BT311" s="35"/>
      <c r="BU311" s="35"/>
      <c r="BV311" s="35"/>
      <c r="BW311" s="248"/>
      <c r="BX311" s="248"/>
      <c r="BY311" s="248"/>
      <c r="BZ311" s="248"/>
      <c r="CA311" s="248"/>
      <c r="CB311" s="248"/>
      <c r="CC311" s="248"/>
      <c r="CD311" s="248"/>
      <c r="CE311" s="248"/>
      <c r="CF311" s="248"/>
      <c r="CG311" s="248"/>
      <c r="CH311" s="248"/>
      <c r="CI311" s="248"/>
      <c r="CJ311" s="248"/>
      <c r="CK311" s="248"/>
      <c r="CL311" s="248"/>
      <c r="CM311" s="248"/>
      <c r="CN311" s="248"/>
      <c r="CO311" s="248"/>
      <c r="CP311" s="248"/>
      <c r="CQ311" s="248"/>
      <c r="CR311" s="248"/>
      <c r="CS311" s="248"/>
      <c r="CT311" s="248"/>
      <c r="CU311" s="248"/>
      <c r="CV311" s="248"/>
      <c r="CW311" s="248"/>
      <c r="CX311" s="248"/>
      <c r="CY311" s="248"/>
      <c r="CZ311" s="248"/>
      <c r="DA311" s="248"/>
      <c r="DB311" s="248"/>
      <c r="DC311" s="248"/>
      <c r="DD311" s="248"/>
      <c r="DE311" s="248"/>
      <c r="DF311" s="248"/>
      <c r="DG311" s="248"/>
      <c r="DH311" s="248"/>
      <c r="DI311" s="248"/>
      <c r="DJ311" s="248"/>
      <c r="DK311" s="248"/>
      <c r="DL311" s="248"/>
      <c r="DM311" s="248"/>
      <c r="DN311" s="248"/>
      <c r="DO311" s="248"/>
      <c r="DP311" s="248"/>
      <c r="DQ311" s="248"/>
      <c r="DR311" s="248"/>
      <c r="DS311" s="248"/>
      <c r="DT311" s="248"/>
      <c r="DU311" s="248"/>
      <c r="DV311" s="248"/>
      <c r="DW311" s="248"/>
      <c r="DX311" s="248"/>
      <c r="DY311" s="248"/>
      <c r="DZ311" s="248"/>
      <c r="EA311" s="248"/>
      <c r="EB311" s="248"/>
      <c r="EC311" s="248"/>
      <c r="ED311" s="248"/>
    </row>
    <row r="312" spans="1:134" s="185" customFormat="1" ht="30">
      <c r="A312" s="35" t="str">
        <f t="shared" si="10"/>
        <v>ANT_HSR_RDW         MIB_F_NAR</v>
      </c>
      <c r="B312" s="331"/>
      <c r="C312" s="248">
        <v>219027</v>
      </c>
      <c r="D312" s="283">
        <v>219</v>
      </c>
      <c r="E312" s="35"/>
      <c r="F312" s="35" t="s">
        <v>1118</v>
      </c>
      <c r="G312" s="35"/>
      <c r="H312" s="35"/>
      <c r="I312" s="35"/>
      <c r="K312" s="35"/>
      <c r="L312" s="35"/>
      <c r="M312" s="35"/>
      <c r="N312" s="35"/>
      <c r="O312" s="289" t="s">
        <v>1091</v>
      </c>
      <c r="P312" s="289" t="s">
        <v>1091</v>
      </c>
      <c r="Q312" s="58"/>
      <c r="R312" s="39"/>
      <c r="S312" s="35"/>
      <c r="T312" s="35"/>
      <c r="U312" s="35"/>
      <c r="V312" s="35"/>
      <c r="W312" s="304" t="s">
        <v>2452</v>
      </c>
      <c r="X312" s="35"/>
      <c r="Y312" s="35"/>
      <c r="Z312" s="35" t="s">
        <v>2645</v>
      </c>
      <c r="AA312" s="35"/>
      <c r="AB312" s="104" t="s">
        <v>1114</v>
      </c>
      <c r="AC312" s="58"/>
      <c r="AD312" s="58"/>
      <c r="AE312" s="58"/>
      <c r="AF312" s="58"/>
      <c r="AG312" s="58"/>
      <c r="AH312" s="279"/>
      <c r="AI312" s="35"/>
      <c r="AJ312" s="279" t="s">
        <v>1119</v>
      </c>
      <c r="AK312" s="279"/>
      <c r="AL312" s="523">
        <v>3</v>
      </c>
      <c r="AM312" s="35">
        <v>219027</v>
      </c>
      <c r="AN312" s="35" t="s">
        <v>1994</v>
      </c>
      <c r="AO312" s="35" t="s">
        <v>1016</v>
      </c>
      <c r="AP312" s="35" t="s">
        <v>795</v>
      </c>
      <c r="AQ312" s="34" t="s">
        <v>2288</v>
      </c>
      <c r="AR312" s="35">
        <v>3</v>
      </c>
      <c r="AS312" s="35" t="s">
        <v>1988</v>
      </c>
      <c r="AT312" s="35" t="s">
        <v>1074</v>
      </c>
      <c r="AU312" s="35" t="s">
        <v>10</v>
      </c>
      <c r="AV312" s="35" t="s">
        <v>1718</v>
      </c>
      <c r="AW312" s="35" t="s">
        <v>1260</v>
      </c>
      <c r="AX312" s="34" t="s">
        <v>2292</v>
      </c>
      <c r="AY312" s="35">
        <v>1</v>
      </c>
      <c r="AZ312" s="35" t="s">
        <v>1540</v>
      </c>
      <c r="BA312" s="35" t="s">
        <v>490</v>
      </c>
      <c r="BB312" s="35" t="s">
        <v>10</v>
      </c>
      <c r="BC312" s="35" t="s">
        <v>142</v>
      </c>
      <c r="BD312" s="35" t="s">
        <v>1846</v>
      </c>
      <c r="BE312" s="35" t="s">
        <v>1261</v>
      </c>
      <c r="BF312" s="35" t="s">
        <v>143</v>
      </c>
      <c r="BG312" s="35">
        <v>4030</v>
      </c>
      <c r="BH312" s="35" t="s">
        <v>1415</v>
      </c>
      <c r="BI312" s="35">
        <v>0.35</v>
      </c>
      <c r="BJ312" s="35" t="s">
        <v>1567</v>
      </c>
      <c r="BK312" s="35" t="s">
        <v>10</v>
      </c>
      <c r="BL312" s="35" t="s">
        <v>10</v>
      </c>
      <c r="BM312" s="35" t="s">
        <v>788</v>
      </c>
      <c r="BN312" s="35" t="s">
        <v>2442</v>
      </c>
      <c r="BO312" s="35" t="s">
        <v>10</v>
      </c>
      <c r="BP312" s="35">
        <v>219027</v>
      </c>
      <c r="BQ312" s="35"/>
      <c r="BR312" s="35"/>
      <c r="BS312" s="35"/>
      <c r="BT312" s="35"/>
      <c r="BU312" s="35"/>
      <c r="BV312" s="35"/>
      <c r="BW312" s="248"/>
      <c r="BX312" s="248"/>
      <c r="BY312" s="248"/>
      <c r="BZ312" s="248"/>
      <c r="CA312" s="248"/>
      <c r="CB312" s="248"/>
      <c r="CC312" s="248"/>
      <c r="CD312" s="248"/>
      <c r="CE312" s="248"/>
      <c r="CF312" s="248"/>
      <c r="CG312" s="248"/>
      <c r="CH312" s="248"/>
      <c r="CI312" s="248"/>
      <c r="CJ312" s="248"/>
      <c r="CK312" s="248"/>
      <c r="CL312" s="248"/>
      <c r="CM312" s="248"/>
      <c r="CN312" s="248"/>
      <c r="CO312" s="248"/>
      <c r="CP312" s="248"/>
      <c r="CQ312" s="248"/>
      <c r="CR312" s="248"/>
      <c r="CS312" s="248"/>
      <c r="CT312" s="248"/>
      <c r="CU312" s="248"/>
      <c r="CV312" s="248"/>
      <c r="CW312" s="248"/>
      <c r="CX312" s="248"/>
      <c r="CY312" s="248"/>
      <c r="CZ312" s="248"/>
      <c r="DA312" s="248"/>
      <c r="DB312" s="248"/>
      <c r="DC312" s="248"/>
      <c r="DD312" s="248"/>
      <c r="DE312" s="248"/>
      <c r="DF312" s="248"/>
      <c r="DG312" s="248"/>
      <c r="DH312" s="248"/>
      <c r="DI312" s="248"/>
      <c r="DJ312" s="248"/>
      <c r="DK312" s="248"/>
      <c r="DL312" s="248"/>
      <c r="DM312" s="248"/>
      <c r="DN312" s="248"/>
      <c r="DO312" s="248"/>
      <c r="DP312" s="248"/>
      <c r="DQ312" s="248"/>
      <c r="DR312" s="248"/>
      <c r="DS312" s="248"/>
      <c r="DT312" s="248"/>
      <c r="DU312" s="248"/>
      <c r="DV312" s="248"/>
      <c r="DW312" s="248"/>
      <c r="DX312" s="248"/>
      <c r="DY312" s="248"/>
      <c r="DZ312" s="248"/>
      <c r="EA312" s="248"/>
      <c r="EB312" s="248"/>
      <c r="EC312" s="248"/>
      <c r="ED312" s="248"/>
    </row>
    <row r="313" spans="1:134" s="185" customFormat="1" ht="30">
      <c r="A313" s="35" t="str">
        <f t="shared" si="10"/>
        <v>ANT_HSR_RDW         MIB_F_NAR</v>
      </c>
      <c r="B313" s="331"/>
      <c r="C313" s="248">
        <v>219028</v>
      </c>
      <c r="D313" s="283">
        <v>219</v>
      </c>
      <c r="E313" s="35"/>
      <c r="F313" s="35" t="s">
        <v>1118</v>
      </c>
      <c r="G313" s="35"/>
      <c r="H313" s="35"/>
      <c r="I313" s="35"/>
      <c r="K313" s="35"/>
      <c r="L313" s="35"/>
      <c r="M313" s="35"/>
      <c r="N313" s="35"/>
      <c r="O313" s="289" t="s">
        <v>1091</v>
      </c>
      <c r="P313" s="289" t="s">
        <v>1091</v>
      </c>
      <c r="Q313" s="58"/>
      <c r="R313" s="39"/>
      <c r="S313" s="35"/>
      <c r="T313" s="35"/>
      <c r="U313" s="35"/>
      <c r="V313" s="35"/>
      <c r="W313" s="304" t="s">
        <v>2452</v>
      </c>
      <c r="X313" s="35"/>
      <c r="Y313" s="35"/>
      <c r="Z313" s="35"/>
      <c r="AA313" s="35"/>
      <c r="AB313" s="104" t="s">
        <v>1114</v>
      </c>
      <c r="AC313" s="58"/>
      <c r="AD313" s="58"/>
      <c r="AE313" s="58"/>
      <c r="AF313" s="58"/>
      <c r="AG313" s="58"/>
      <c r="AH313" s="279"/>
      <c r="AI313" s="35"/>
      <c r="AJ313" s="279" t="s">
        <v>1119</v>
      </c>
      <c r="AK313" s="279"/>
      <c r="AL313" s="523">
        <v>3</v>
      </c>
      <c r="AM313" s="35">
        <v>219028</v>
      </c>
      <c r="AN313" s="35" t="s">
        <v>1995</v>
      </c>
      <c r="AO313" s="35" t="s">
        <v>1016</v>
      </c>
      <c r="AP313" s="35" t="s">
        <v>795</v>
      </c>
      <c r="AQ313" s="34" t="s">
        <v>2288</v>
      </c>
      <c r="AR313" s="35">
        <v>4</v>
      </c>
      <c r="AS313" s="35" t="s">
        <v>1988</v>
      </c>
      <c r="AT313" s="35" t="s">
        <v>157</v>
      </c>
      <c r="AU313" s="35" t="s">
        <v>10</v>
      </c>
      <c r="AV313" s="35" t="s">
        <v>1718</v>
      </c>
      <c r="AW313" s="35" t="s">
        <v>1260</v>
      </c>
      <c r="AX313" s="34" t="s">
        <v>2292</v>
      </c>
      <c r="AY313" s="35" t="s">
        <v>493</v>
      </c>
      <c r="AZ313" s="35" t="s">
        <v>1540</v>
      </c>
      <c r="BA313" s="35" t="s">
        <v>1262</v>
      </c>
      <c r="BB313" s="35" t="s">
        <v>10</v>
      </c>
      <c r="BC313" s="35" t="s">
        <v>142</v>
      </c>
      <c r="BD313" s="35" t="s">
        <v>157</v>
      </c>
      <c r="BE313" s="35" t="s">
        <v>1261</v>
      </c>
      <c r="BF313" s="35" t="s">
        <v>145</v>
      </c>
      <c r="BG313" s="35">
        <v>4030</v>
      </c>
      <c r="BH313" s="35" t="s">
        <v>139</v>
      </c>
      <c r="BI313" s="35">
        <v>0.5</v>
      </c>
      <c r="BJ313" s="35" t="s">
        <v>1568</v>
      </c>
      <c r="BK313" s="35" t="s">
        <v>10</v>
      </c>
      <c r="BL313" s="35" t="s">
        <v>10</v>
      </c>
      <c r="BM313" s="35" t="s">
        <v>788</v>
      </c>
      <c r="BN313" s="35" t="s">
        <v>2442</v>
      </c>
      <c r="BO313" s="35" t="s">
        <v>10</v>
      </c>
      <c r="BP313" s="35">
        <v>219028</v>
      </c>
      <c r="BQ313" s="35"/>
      <c r="BR313" s="35"/>
      <c r="BS313" s="35"/>
      <c r="BT313" s="35"/>
      <c r="BU313" s="35"/>
      <c r="BV313" s="35"/>
      <c r="BW313" s="248"/>
      <c r="BX313" s="248"/>
      <c r="BY313" s="248"/>
      <c r="BZ313" s="248"/>
      <c r="CA313" s="248"/>
      <c r="CB313" s="248"/>
      <c r="CC313" s="248"/>
      <c r="CD313" s="248"/>
      <c r="CE313" s="248"/>
      <c r="CF313" s="248"/>
      <c r="CG313" s="248"/>
      <c r="CH313" s="248"/>
      <c r="CI313" s="248"/>
      <c r="CJ313" s="248"/>
      <c r="CK313" s="248"/>
      <c r="CL313" s="248"/>
      <c r="CM313" s="248"/>
      <c r="CN313" s="248"/>
      <c r="CO313" s="248"/>
      <c r="CP313" s="248"/>
      <c r="CQ313" s="248"/>
      <c r="CR313" s="248"/>
      <c r="CS313" s="248"/>
      <c r="CT313" s="248"/>
      <c r="CU313" s="248"/>
      <c r="CV313" s="248"/>
      <c r="CW313" s="248"/>
      <c r="CX313" s="248"/>
      <c r="CY313" s="248"/>
      <c r="CZ313" s="248"/>
      <c r="DA313" s="248"/>
      <c r="DB313" s="248"/>
      <c r="DC313" s="248"/>
      <c r="DD313" s="248"/>
      <c r="DE313" s="248"/>
      <c r="DF313" s="248"/>
      <c r="DG313" s="248"/>
      <c r="DH313" s="248"/>
      <c r="DI313" s="248"/>
      <c r="DJ313" s="248"/>
      <c r="DK313" s="248"/>
      <c r="DL313" s="248"/>
      <c r="DM313" s="248"/>
      <c r="DN313" s="248"/>
      <c r="DO313" s="248"/>
      <c r="DP313" s="248"/>
      <c r="DQ313" s="248"/>
      <c r="DR313" s="248"/>
      <c r="DS313" s="248"/>
      <c r="DT313" s="248"/>
      <c r="DU313" s="248"/>
      <c r="DV313" s="248"/>
      <c r="DW313" s="248"/>
      <c r="DX313" s="248"/>
      <c r="DY313" s="248"/>
      <c r="DZ313" s="248"/>
      <c r="EA313" s="248"/>
      <c r="EB313" s="248"/>
      <c r="EC313" s="248"/>
      <c r="ED313" s="248"/>
    </row>
    <row r="314" spans="1:134" s="185" customFormat="1" ht="30">
      <c r="A314" s="35" t="str">
        <f t="shared" si="10"/>
        <v>ANT_HSL_RDW         MIB_F_NAR</v>
      </c>
      <c r="B314" s="331"/>
      <c r="C314" s="248">
        <v>219029</v>
      </c>
      <c r="D314" s="283">
        <v>219</v>
      </c>
      <c r="E314" s="35"/>
      <c r="F314" s="35" t="s">
        <v>1118</v>
      </c>
      <c r="G314" s="35"/>
      <c r="H314" s="35"/>
      <c r="I314" s="35"/>
      <c r="K314" s="35"/>
      <c r="L314" s="35"/>
      <c r="M314" s="35"/>
      <c r="N314" s="35"/>
      <c r="O314" s="289" t="s">
        <v>1091</v>
      </c>
      <c r="P314" s="289" t="s">
        <v>1091</v>
      </c>
      <c r="Q314" s="58"/>
      <c r="R314" s="39"/>
      <c r="S314" s="35"/>
      <c r="T314" s="35"/>
      <c r="U314" s="35"/>
      <c r="V314" s="35"/>
      <c r="W314" s="304" t="s">
        <v>2452</v>
      </c>
      <c r="X314" s="35"/>
      <c r="Y314" s="35"/>
      <c r="Z314" s="35" t="s">
        <v>2645</v>
      </c>
      <c r="AA314" s="35"/>
      <c r="AB314" s="104" t="s">
        <v>1114</v>
      </c>
      <c r="AC314" s="58"/>
      <c r="AD314" s="58"/>
      <c r="AE314" s="58"/>
      <c r="AF314" s="58"/>
      <c r="AG314" s="58"/>
      <c r="AH314" s="279"/>
      <c r="AI314" s="35"/>
      <c r="AJ314" s="279" t="s">
        <v>1119</v>
      </c>
      <c r="AK314" s="279"/>
      <c r="AL314" s="523">
        <v>3</v>
      </c>
      <c r="AM314" s="35">
        <v>219029</v>
      </c>
      <c r="AN314" s="35" t="s">
        <v>1996</v>
      </c>
      <c r="AO314" s="35" t="s">
        <v>1018</v>
      </c>
      <c r="AP314" s="35" t="s">
        <v>797</v>
      </c>
      <c r="AQ314" s="34" t="s">
        <v>2289</v>
      </c>
      <c r="AR314" s="35">
        <v>1</v>
      </c>
      <c r="AS314" s="35" t="s">
        <v>1989</v>
      </c>
      <c r="AT314" s="35" t="s">
        <v>1074</v>
      </c>
      <c r="AU314" s="35" t="s">
        <v>10</v>
      </c>
      <c r="AV314" s="35" t="s">
        <v>1718</v>
      </c>
      <c r="AW314" s="35" t="s">
        <v>1260</v>
      </c>
      <c r="AX314" s="34" t="s">
        <v>2292</v>
      </c>
      <c r="AY314" s="35">
        <v>4</v>
      </c>
      <c r="AZ314" s="35" t="s">
        <v>1540</v>
      </c>
      <c r="BA314" s="35" t="s">
        <v>490</v>
      </c>
      <c r="BB314" s="35" t="s">
        <v>10</v>
      </c>
      <c r="BC314" s="35" t="s">
        <v>142</v>
      </c>
      <c r="BD314" s="35" t="s">
        <v>1846</v>
      </c>
      <c r="BE314" s="35" t="s">
        <v>1263</v>
      </c>
      <c r="BF314" s="35" t="s">
        <v>143</v>
      </c>
      <c r="BG314" s="35">
        <v>5027</v>
      </c>
      <c r="BH314" s="35" t="s">
        <v>1415</v>
      </c>
      <c r="BI314" s="35">
        <v>0.35</v>
      </c>
      <c r="BJ314" s="35" t="s">
        <v>799</v>
      </c>
      <c r="BK314" s="35" t="s">
        <v>10</v>
      </c>
      <c r="BL314" s="35" t="s">
        <v>10</v>
      </c>
      <c r="BM314" s="35" t="s">
        <v>788</v>
      </c>
      <c r="BN314" s="35" t="s">
        <v>2442</v>
      </c>
      <c r="BO314" s="35" t="s">
        <v>10</v>
      </c>
      <c r="BP314" s="35">
        <v>219029</v>
      </c>
      <c r="BQ314" s="35"/>
      <c r="BR314" s="35"/>
      <c r="BS314" s="35"/>
      <c r="BT314" s="35"/>
      <c r="BU314" s="35"/>
      <c r="BV314" s="35"/>
      <c r="BW314" s="248"/>
      <c r="BX314" s="248"/>
      <c r="BY314" s="248"/>
      <c r="BZ314" s="248"/>
      <c r="CA314" s="248"/>
      <c r="CB314" s="248"/>
      <c r="CC314" s="248"/>
      <c r="CD314" s="248"/>
      <c r="CE314" s="248"/>
      <c r="CF314" s="248"/>
      <c r="CG314" s="248"/>
      <c r="CH314" s="248"/>
      <c r="CI314" s="248"/>
      <c r="CJ314" s="248"/>
      <c r="CK314" s="248"/>
      <c r="CL314" s="248"/>
      <c r="CM314" s="248"/>
      <c r="CN314" s="248"/>
      <c r="CO314" s="248"/>
      <c r="CP314" s="248"/>
      <c r="CQ314" s="248"/>
      <c r="CR314" s="248"/>
      <c r="CS314" s="248"/>
      <c r="CT314" s="248"/>
      <c r="CU314" s="248"/>
      <c r="CV314" s="248"/>
      <c r="CW314" s="248"/>
      <c r="CX314" s="248"/>
      <c r="CY314" s="248"/>
      <c r="CZ314" s="248"/>
      <c r="DA314" s="248"/>
      <c r="DB314" s="248"/>
      <c r="DC314" s="248"/>
      <c r="DD314" s="248"/>
      <c r="DE314" s="248"/>
      <c r="DF314" s="248"/>
      <c r="DG314" s="248"/>
      <c r="DH314" s="248"/>
      <c r="DI314" s="248"/>
      <c r="DJ314" s="248"/>
      <c r="DK314" s="248"/>
      <c r="DL314" s="248"/>
      <c r="DM314" s="248"/>
      <c r="DN314" s="248"/>
      <c r="DO314" s="248"/>
      <c r="DP314" s="248"/>
      <c r="DQ314" s="248"/>
      <c r="DR314" s="248"/>
      <c r="DS314" s="248"/>
      <c r="DT314" s="248"/>
      <c r="DU314" s="248"/>
      <c r="DV314" s="248"/>
      <c r="DW314" s="248"/>
      <c r="DX314" s="248"/>
      <c r="DY314" s="248"/>
      <c r="DZ314" s="248"/>
      <c r="EA314" s="248"/>
      <c r="EB314" s="248"/>
      <c r="EC314" s="248"/>
      <c r="ED314" s="248"/>
    </row>
    <row r="315" spans="1:134" s="35" customFormat="1" ht="30">
      <c r="A315" s="35" t="str">
        <f t="shared" si="10"/>
        <v>ANT_HSL_RDW         MIB_F_NAR</v>
      </c>
      <c r="B315" s="331"/>
      <c r="C315" s="248">
        <v>219030</v>
      </c>
      <c r="D315" s="283">
        <v>219</v>
      </c>
      <c r="F315" s="35" t="s">
        <v>1118</v>
      </c>
      <c r="O315" s="289" t="s">
        <v>1091</v>
      </c>
      <c r="P315" s="289" t="s">
        <v>1091</v>
      </c>
      <c r="Q315" s="58"/>
      <c r="R315" s="39"/>
      <c r="W315" s="304" t="s">
        <v>2452</v>
      </c>
      <c r="AB315" s="104" t="s">
        <v>1114</v>
      </c>
      <c r="AC315" s="58"/>
      <c r="AD315" s="58"/>
      <c r="AE315" s="58"/>
      <c r="AF315" s="58"/>
      <c r="AG315" s="58"/>
      <c r="AH315" s="279"/>
      <c r="AJ315" s="279" t="s">
        <v>1119</v>
      </c>
      <c r="AK315" s="279"/>
      <c r="AL315" s="523">
        <v>3</v>
      </c>
      <c r="AM315" s="35">
        <v>219030</v>
      </c>
      <c r="AN315" s="35" t="s">
        <v>1584</v>
      </c>
      <c r="AO315" s="35" t="s">
        <v>1018</v>
      </c>
      <c r="AP315" s="35" t="s">
        <v>797</v>
      </c>
      <c r="AQ315" s="34" t="s">
        <v>2289</v>
      </c>
      <c r="AR315" s="35">
        <v>2</v>
      </c>
      <c r="AS315" s="35" t="s">
        <v>1989</v>
      </c>
      <c r="AT315" s="35" t="s">
        <v>157</v>
      </c>
      <c r="AU315" s="35" t="s">
        <v>10</v>
      </c>
      <c r="AV315" s="35" t="s">
        <v>1718</v>
      </c>
      <c r="AW315" s="35" t="s">
        <v>1260</v>
      </c>
      <c r="AX315" s="34" t="s">
        <v>2292</v>
      </c>
      <c r="AY315" s="35" t="s">
        <v>491</v>
      </c>
      <c r="AZ315" s="35" t="s">
        <v>1540</v>
      </c>
      <c r="BA315" s="35" t="s">
        <v>1262</v>
      </c>
      <c r="BB315" s="35" t="s">
        <v>10</v>
      </c>
      <c r="BC315" s="35" t="s">
        <v>142</v>
      </c>
      <c r="BD315" s="35" t="s">
        <v>157</v>
      </c>
      <c r="BE315" s="35" t="s">
        <v>1263</v>
      </c>
      <c r="BF315" s="35" t="s">
        <v>145</v>
      </c>
      <c r="BG315" s="35">
        <v>5027</v>
      </c>
      <c r="BH315" s="35" t="s">
        <v>139</v>
      </c>
      <c r="BI315" s="35">
        <v>0.5</v>
      </c>
      <c r="BJ315" s="35" t="s">
        <v>1571</v>
      </c>
      <c r="BK315" s="35" t="s">
        <v>10</v>
      </c>
      <c r="BL315" s="35" t="s">
        <v>10</v>
      </c>
      <c r="BM315" s="35" t="s">
        <v>788</v>
      </c>
      <c r="BN315" s="35" t="s">
        <v>2442</v>
      </c>
      <c r="BO315" s="35" t="s">
        <v>10</v>
      </c>
      <c r="BP315" s="35">
        <v>219030</v>
      </c>
      <c r="BW315" s="248"/>
      <c r="BX315" s="248"/>
      <c r="BY315" s="248"/>
      <c r="BZ315" s="248"/>
      <c r="CA315" s="248"/>
      <c r="CB315" s="248"/>
      <c r="CC315" s="248"/>
      <c r="CD315" s="248"/>
      <c r="CE315" s="248"/>
      <c r="CF315" s="248"/>
      <c r="CG315" s="248"/>
      <c r="CH315" s="248"/>
      <c r="CI315" s="248"/>
      <c r="CJ315" s="248"/>
      <c r="CK315" s="248"/>
      <c r="CL315" s="248"/>
      <c r="CM315" s="248"/>
      <c r="CN315" s="248"/>
      <c r="CO315" s="248"/>
      <c r="CP315" s="248"/>
      <c r="CQ315" s="248"/>
      <c r="CR315" s="248"/>
      <c r="CS315" s="248"/>
      <c r="CT315" s="248"/>
      <c r="CU315" s="248"/>
      <c r="CV315" s="248"/>
      <c r="CW315" s="248"/>
      <c r="CX315" s="248"/>
      <c r="CY315" s="248"/>
      <c r="CZ315" s="248"/>
      <c r="DA315" s="248"/>
      <c r="DB315" s="248"/>
      <c r="DC315" s="248"/>
      <c r="DD315" s="248"/>
      <c r="DE315" s="248"/>
      <c r="DF315" s="248"/>
      <c r="DG315" s="248"/>
      <c r="DH315" s="248"/>
      <c r="DI315" s="248"/>
      <c r="DJ315" s="248"/>
      <c r="DK315" s="248"/>
      <c r="DL315" s="248"/>
      <c r="DM315" s="248"/>
      <c r="DN315" s="248"/>
      <c r="DO315" s="248"/>
      <c r="DP315" s="248"/>
      <c r="DQ315" s="248"/>
      <c r="DR315" s="248"/>
      <c r="DS315" s="248"/>
      <c r="DT315" s="248"/>
      <c r="DU315" s="248"/>
      <c r="DV315" s="248"/>
      <c r="DW315" s="248"/>
      <c r="DX315" s="248"/>
      <c r="DY315" s="248"/>
      <c r="DZ315" s="248"/>
      <c r="EA315" s="248"/>
      <c r="EB315" s="248"/>
      <c r="EC315" s="248"/>
      <c r="ED315" s="248"/>
    </row>
    <row r="316" spans="1:134" s="35" customFormat="1" ht="16.5">
      <c r="B316" s="331"/>
      <c r="C316" s="248">
        <v>219031</v>
      </c>
      <c r="D316" s="283">
        <v>219</v>
      </c>
      <c r="F316" s="35" t="s">
        <v>1118</v>
      </c>
      <c r="O316" s="289" t="s">
        <v>1091</v>
      </c>
      <c r="P316" s="289" t="s">
        <v>1091</v>
      </c>
      <c r="Q316" s="58"/>
      <c r="R316" s="39"/>
      <c r="W316" s="304">
        <v>980018323</v>
      </c>
      <c r="AA316" s="35" t="s">
        <v>2645</v>
      </c>
      <c r="AB316" s="104" t="s">
        <v>1114</v>
      </c>
      <c r="AC316" s="58"/>
      <c r="AD316" s="58"/>
      <c r="AE316" s="58"/>
      <c r="AF316" s="58"/>
      <c r="AG316" s="58"/>
      <c r="AH316" s="279"/>
      <c r="AJ316" s="279" t="s">
        <v>1119</v>
      </c>
      <c r="AK316" s="279"/>
      <c r="AL316" s="523">
        <v>3</v>
      </c>
      <c r="AM316" s="35">
        <v>219031</v>
      </c>
      <c r="AN316" s="35" t="s">
        <v>2498</v>
      </c>
      <c r="AO316" s="35" t="s">
        <v>1267</v>
      </c>
      <c r="AP316" s="35" t="s">
        <v>789</v>
      </c>
      <c r="AQ316" s="34" t="s">
        <v>2290</v>
      </c>
      <c r="AR316" s="35">
        <v>1</v>
      </c>
      <c r="AS316" s="35" t="s">
        <v>488</v>
      </c>
      <c r="AT316" s="35" t="s">
        <v>490</v>
      </c>
      <c r="AU316" s="35" t="s">
        <v>10</v>
      </c>
      <c r="AV316" s="35" t="s">
        <v>2499</v>
      </c>
      <c r="AW316" s="35" t="s">
        <v>2500</v>
      </c>
      <c r="AX316" s="34" t="s">
        <v>2501</v>
      </c>
      <c r="AY316" s="35">
        <v>3</v>
      </c>
      <c r="AZ316" s="35" t="s">
        <v>2502</v>
      </c>
      <c r="BA316" s="35" t="s">
        <v>1074</v>
      </c>
      <c r="BB316" s="35" t="s">
        <v>10</v>
      </c>
      <c r="BC316" s="35" t="s">
        <v>142</v>
      </c>
      <c r="BD316" s="35" t="s">
        <v>2503</v>
      </c>
      <c r="BE316" s="35" t="s">
        <v>2504</v>
      </c>
      <c r="BF316" s="35" t="s">
        <v>143</v>
      </c>
      <c r="BG316" s="35">
        <v>4034</v>
      </c>
      <c r="BH316" s="35" t="s">
        <v>393</v>
      </c>
      <c r="BI316" s="35">
        <v>0.35</v>
      </c>
      <c r="BJ316" s="35" t="s">
        <v>1567</v>
      </c>
      <c r="BK316" s="35" t="s">
        <v>10</v>
      </c>
      <c r="BL316" s="35" t="s">
        <v>10</v>
      </c>
      <c r="BM316" s="35" t="s">
        <v>10</v>
      </c>
      <c r="BN316" s="35" t="s">
        <v>10</v>
      </c>
      <c r="BO316" s="35" t="s">
        <v>2494</v>
      </c>
      <c r="BP316" s="35">
        <v>219031</v>
      </c>
      <c r="BW316" s="248"/>
      <c r="BX316" s="248"/>
      <c r="BY316" s="248"/>
      <c r="BZ316" s="248"/>
      <c r="CA316" s="248"/>
      <c r="CB316" s="248"/>
      <c r="CC316" s="248"/>
      <c r="CD316" s="248"/>
      <c r="CE316" s="248"/>
      <c r="CF316" s="248"/>
      <c r="CG316" s="248"/>
      <c r="CH316" s="248"/>
      <c r="CI316" s="248"/>
      <c r="CJ316" s="248"/>
      <c r="CK316" s="248"/>
      <c r="CL316" s="248"/>
      <c r="CM316" s="248"/>
      <c r="CN316" s="248"/>
      <c r="CO316" s="248"/>
      <c r="CP316" s="248"/>
      <c r="CQ316" s="248"/>
      <c r="CR316" s="248"/>
      <c r="CS316" s="248"/>
      <c r="CT316" s="248"/>
      <c r="CU316" s="248"/>
      <c r="CV316" s="248"/>
      <c r="CW316" s="248"/>
      <c r="CX316" s="248"/>
      <c r="CY316" s="248"/>
      <c r="CZ316" s="248"/>
      <c r="DA316" s="248"/>
      <c r="DB316" s="248"/>
      <c r="DC316" s="248"/>
      <c r="DD316" s="248"/>
      <c r="DE316" s="248"/>
      <c r="DF316" s="248"/>
      <c r="DG316" s="248"/>
      <c r="DH316" s="248"/>
      <c r="DI316" s="248"/>
      <c r="DJ316" s="248"/>
      <c r="DK316" s="248"/>
      <c r="DL316" s="248"/>
      <c r="DM316" s="248"/>
      <c r="DN316" s="248"/>
      <c r="DO316" s="248"/>
      <c r="DP316" s="248"/>
      <c r="DQ316" s="248"/>
      <c r="DR316" s="248"/>
      <c r="DS316" s="248"/>
      <c r="DT316" s="248"/>
      <c r="DU316" s="248"/>
      <c r="DV316" s="248"/>
      <c r="DW316" s="248"/>
      <c r="DX316" s="248"/>
      <c r="DY316" s="248"/>
      <c r="DZ316" s="248"/>
      <c r="EA316" s="248"/>
      <c r="EB316" s="248"/>
      <c r="EC316" s="248"/>
      <c r="ED316" s="248"/>
    </row>
    <row r="317" spans="1:134" s="35" customFormat="1" ht="16.5">
      <c r="B317" s="331"/>
      <c r="C317" s="248">
        <v>219032</v>
      </c>
      <c r="D317" s="283">
        <v>219</v>
      </c>
      <c r="F317" s="35" t="s">
        <v>1118</v>
      </c>
      <c r="O317" s="289" t="s">
        <v>1091</v>
      </c>
      <c r="P317" s="289" t="s">
        <v>1091</v>
      </c>
      <c r="Q317" s="58"/>
      <c r="R317" s="39"/>
      <c r="W317" s="304">
        <v>980018323</v>
      </c>
      <c r="AB317" s="104" t="s">
        <v>1114</v>
      </c>
      <c r="AC317" s="58"/>
      <c r="AD317" s="58"/>
      <c r="AE317" s="58"/>
      <c r="AF317" s="58"/>
      <c r="AG317" s="58"/>
      <c r="AH317" s="279"/>
      <c r="AJ317" s="279" t="s">
        <v>1119</v>
      </c>
      <c r="AK317" s="279"/>
      <c r="AL317" s="523">
        <v>3</v>
      </c>
      <c r="AM317" s="35">
        <v>219032</v>
      </c>
      <c r="AN317" s="35" t="s">
        <v>2505</v>
      </c>
      <c r="AO317" s="35" t="s">
        <v>1267</v>
      </c>
      <c r="AP317" s="35" t="s">
        <v>789</v>
      </c>
      <c r="AQ317" s="34" t="s">
        <v>2290</v>
      </c>
      <c r="AR317" s="35" t="s">
        <v>493</v>
      </c>
      <c r="AS317" s="35" t="s">
        <v>488</v>
      </c>
      <c r="AT317" s="35" t="s">
        <v>1262</v>
      </c>
      <c r="AU317" s="35" t="s">
        <v>10</v>
      </c>
      <c r="AV317" s="35" t="s">
        <v>2499</v>
      </c>
      <c r="AW317" s="35" t="s">
        <v>2500</v>
      </c>
      <c r="AX317" s="34" t="s">
        <v>2501</v>
      </c>
      <c r="AY317" s="35">
        <v>4</v>
      </c>
      <c r="AZ317" s="35" t="s">
        <v>2502</v>
      </c>
      <c r="BA317" s="35" t="s">
        <v>157</v>
      </c>
      <c r="BB317" s="35" t="s">
        <v>10</v>
      </c>
      <c r="BC317" s="35" t="s">
        <v>142</v>
      </c>
      <c r="BD317" s="35" t="s">
        <v>2503</v>
      </c>
      <c r="BE317" s="35" t="s">
        <v>2504</v>
      </c>
      <c r="BF317" s="35" t="s">
        <v>145</v>
      </c>
      <c r="BG317" s="35">
        <v>4034</v>
      </c>
      <c r="BH317" s="35" t="s">
        <v>2506</v>
      </c>
      <c r="BI317" s="35">
        <v>0.5</v>
      </c>
      <c r="BJ317" s="35" t="s">
        <v>1568</v>
      </c>
      <c r="BK317" s="35" t="s">
        <v>10</v>
      </c>
      <c r="BL317" s="35" t="s">
        <v>10</v>
      </c>
      <c r="BM317" s="35" t="s">
        <v>10</v>
      </c>
      <c r="BN317" s="35" t="s">
        <v>10</v>
      </c>
      <c r="BO317" s="35" t="s">
        <v>2494</v>
      </c>
      <c r="BP317" s="35">
        <v>219032</v>
      </c>
      <c r="BW317" s="248"/>
      <c r="BX317" s="248"/>
      <c r="BY317" s="248"/>
      <c r="BZ317" s="248"/>
      <c r="CA317" s="248"/>
      <c r="CB317" s="248"/>
      <c r="CC317" s="248"/>
      <c r="CD317" s="248"/>
      <c r="CE317" s="248"/>
      <c r="CF317" s="248"/>
      <c r="CG317" s="248"/>
      <c r="CH317" s="248"/>
      <c r="CI317" s="248"/>
      <c r="CJ317" s="248"/>
      <c r="CK317" s="248"/>
      <c r="CL317" s="248"/>
      <c r="CM317" s="248"/>
      <c r="CN317" s="248"/>
      <c r="CO317" s="248"/>
      <c r="CP317" s="248"/>
      <c r="CQ317" s="248"/>
      <c r="CR317" s="248"/>
      <c r="CS317" s="248"/>
      <c r="CT317" s="248"/>
      <c r="CU317" s="248"/>
      <c r="CV317" s="248"/>
      <c r="CW317" s="248"/>
      <c r="CX317" s="248"/>
      <c r="CY317" s="248"/>
      <c r="CZ317" s="248"/>
      <c r="DA317" s="248"/>
      <c r="DB317" s="248"/>
      <c r="DC317" s="248"/>
      <c r="DD317" s="248"/>
      <c r="DE317" s="248"/>
      <c r="DF317" s="248"/>
      <c r="DG317" s="248"/>
      <c r="DH317" s="248"/>
      <c r="DI317" s="248"/>
      <c r="DJ317" s="248"/>
      <c r="DK317" s="248"/>
      <c r="DL317" s="248"/>
      <c r="DM317" s="248"/>
      <c r="DN317" s="248"/>
      <c r="DO317" s="248"/>
      <c r="DP317" s="248"/>
      <c r="DQ317" s="248"/>
      <c r="DR317" s="248"/>
      <c r="DS317" s="248"/>
      <c r="DT317" s="248"/>
      <c r="DU317" s="248"/>
      <c r="DV317" s="248"/>
      <c r="DW317" s="248"/>
      <c r="DX317" s="248"/>
      <c r="DY317" s="248"/>
      <c r="DZ317" s="248"/>
      <c r="EA317" s="248"/>
      <c r="EB317" s="248"/>
      <c r="EC317" s="248"/>
      <c r="ED317" s="248"/>
    </row>
    <row r="318" spans="1:134" s="35" customFormat="1" ht="16.5">
      <c r="B318" s="331"/>
      <c r="C318" s="248">
        <v>219033</v>
      </c>
      <c r="D318" s="283">
        <v>219</v>
      </c>
      <c r="F318" s="35" t="s">
        <v>1118</v>
      </c>
      <c r="O318" s="289" t="s">
        <v>1091</v>
      </c>
      <c r="P318" s="289" t="s">
        <v>1091</v>
      </c>
      <c r="Q318" s="58"/>
      <c r="R318" s="39"/>
      <c r="W318" s="304">
        <v>980018323</v>
      </c>
      <c r="Z318" s="35" t="s">
        <v>2645</v>
      </c>
      <c r="AA318" s="35" t="s">
        <v>2645</v>
      </c>
      <c r="AB318" s="104" t="s">
        <v>1114</v>
      </c>
      <c r="AC318" s="58"/>
      <c r="AD318" s="58"/>
      <c r="AE318" s="58"/>
      <c r="AF318" s="58"/>
      <c r="AG318" s="58"/>
      <c r="AH318" s="279"/>
      <c r="AJ318" s="279" t="s">
        <v>1119</v>
      </c>
      <c r="AK318" s="279"/>
      <c r="AL318" s="523">
        <v>3</v>
      </c>
      <c r="AM318" s="35">
        <v>219033</v>
      </c>
      <c r="AN318" s="35" t="s">
        <v>2507</v>
      </c>
      <c r="AO318" s="35" t="s">
        <v>2499</v>
      </c>
      <c r="AP318" s="35" t="s">
        <v>2500</v>
      </c>
      <c r="AQ318" s="34" t="s">
        <v>2501</v>
      </c>
      <c r="AR318" s="35">
        <v>1</v>
      </c>
      <c r="AS318" s="35" t="s">
        <v>2502</v>
      </c>
      <c r="AT318" s="35" t="s">
        <v>1074</v>
      </c>
      <c r="AU318" s="35" t="s">
        <v>10</v>
      </c>
      <c r="AV318" s="35" t="s">
        <v>1734</v>
      </c>
      <c r="AW318" s="35" t="s">
        <v>800</v>
      </c>
      <c r="AX318" s="34" t="s">
        <v>1990</v>
      </c>
      <c r="AY318" s="35">
        <v>1</v>
      </c>
      <c r="AZ318" s="35" t="s">
        <v>2508</v>
      </c>
      <c r="BA318" s="35" t="s">
        <v>1074</v>
      </c>
      <c r="BB318" s="35" t="s">
        <v>10</v>
      </c>
      <c r="BC318" s="35" t="s">
        <v>142</v>
      </c>
      <c r="BD318" s="35" t="s">
        <v>2503</v>
      </c>
      <c r="BE318" s="35" t="s">
        <v>2509</v>
      </c>
      <c r="BF318" s="35" t="s">
        <v>143</v>
      </c>
      <c r="BG318" s="35">
        <v>300</v>
      </c>
      <c r="BH318" s="35" t="s">
        <v>393</v>
      </c>
      <c r="BI318" s="35">
        <v>0.35</v>
      </c>
      <c r="BJ318" s="35" t="s">
        <v>2510</v>
      </c>
      <c r="BK318" s="35" t="s">
        <v>10</v>
      </c>
      <c r="BL318" s="35" t="s">
        <v>10</v>
      </c>
      <c r="BM318" s="35" t="s">
        <v>10</v>
      </c>
      <c r="BN318" s="35" t="s">
        <v>10</v>
      </c>
      <c r="BO318" s="35" t="s">
        <v>2494</v>
      </c>
      <c r="BP318" s="35">
        <v>219033</v>
      </c>
      <c r="BW318" s="248"/>
      <c r="BX318" s="248"/>
      <c r="BY318" s="248"/>
      <c r="BZ318" s="248"/>
      <c r="CA318" s="248"/>
      <c r="CB318" s="248"/>
      <c r="CC318" s="248"/>
      <c r="CD318" s="248"/>
      <c r="CE318" s="248"/>
      <c r="CF318" s="248"/>
      <c r="CG318" s="248"/>
      <c r="CH318" s="248"/>
      <c r="CI318" s="248"/>
      <c r="CJ318" s="248"/>
      <c r="CK318" s="248"/>
      <c r="CL318" s="248"/>
      <c r="CM318" s="248"/>
      <c r="CN318" s="248"/>
      <c r="CO318" s="248"/>
      <c r="CP318" s="248"/>
      <c r="CQ318" s="248"/>
      <c r="CR318" s="248"/>
      <c r="CS318" s="248"/>
      <c r="CT318" s="248"/>
      <c r="CU318" s="248"/>
      <c r="CV318" s="248"/>
      <c r="CW318" s="248"/>
      <c r="CX318" s="248"/>
      <c r="CY318" s="248"/>
      <c r="CZ318" s="248"/>
      <c r="DA318" s="248"/>
      <c r="DB318" s="248"/>
      <c r="DC318" s="248"/>
      <c r="DD318" s="248"/>
      <c r="DE318" s="248"/>
      <c r="DF318" s="248"/>
      <c r="DG318" s="248"/>
      <c r="DH318" s="248"/>
      <c r="DI318" s="248"/>
      <c r="DJ318" s="248"/>
      <c r="DK318" s="248"/>
      <c r="DL318" s="248"/>
      <c r="DM318" s="248"/>
      <c r="DN318" s="248"/>
      <c r="DO318" s="248"/>
      <c r="DP318" s="248"/>
      <c r="DQ318" s="248"/>
      <c r="DR318" s="248"/>
      <c r="DS318" s="248"/>
      <c r="DT318" s="248"/>
      <c r="DU318" s="248"/>
      <c r="DV318" s="248"/>
      <c r="DW318" s="248"/>
      <c r="DX318" s="248"/>
      <c r="DY318" s="248"/>
      <c r="DZ318" s="248"/>
      <c r="EA318" s="248"/>
      <c r="EB318" s="248"/>
      <c r="EC318" s="248"/>
      <c r="ED318" s="248"/>
    </row>
    <row r="319" spans="1:134" s="35" customFormat="1" ht="16.5">
      <c r="B319" s="331"/>
      <c r="C319" s="248">
        <v>219034</v>
      </c>
      <c r="D319" s="283">
        <v>219</v>
      </c>
      <c r="F319" s="35" t="s">
        <v>1118</v>
      </c>
      <c r="O319" s="289" t="s">
        <v>1091</v>
      </c>
      <c r="P319" s="289" t="s">
        <v>1091</v>
      </c>
      <c r="Q319" s="58"/>
      <c r="R319" s="39"/>
      <c r="W319" s="304">
        <v>980018323</v>
      </c>
      <c r="AB319" s="104" t="s">
        <v>1114</v>
      </c>
      <c r="AC319" s="58"/>
      <c r="AD319" s="58"/>
      <c r="AE319" s="58"/>
      <c r="AF319" s="58"/>
      <c r="AG319" s="58"/>
      <c r="AH319" s="279"/>
      <c r="AJ319" s="279" t="s">
        <v>1119</v>
      </c>
      <c r="AK319" s="279"/>
      <c r="AL319" s="523">
        <v>3</v>
      </c>
      <c r="AM319" s="35">
        <v>219034</v>
      </c>
      <c r="AN319" s="35" t="s">
        <v>2511</v>
      </c>
      <c r="AO319" s="35" t="s">
        <v>2499</v>
      </c>
      <c r="AP319" s="35" t="s">
        <v>2500</v>
      </c>
      <c r="AQ319" s="34" t="s">
        <v>2501</v>
      </c>
      <c r="AR319" s="35">
        <v>2</v>
      </c>
      <c r="AS319" s="35" t="s">
        <v>2502</v>
      </c>
      <c r="AT319" s="35" t="s">
        <v>157</v>
      </c>
      <c r="AU319" s="35" t="s">
        <v>10</v>
      </c>
      <c r="AV319" s="35" t="s">
        <v>1734</v>
      </c>
      <c r="AW319" s="35" t="s">
        <v>800</v>
      </c>
      <c r="AX319" s="34" t="s">
        <v>1990</v>
      </c>
      <c r="AY319" s="35">
        <v>2</v>
      </c>
      <c r="AZ319" s="35" t="s">
        <v>2508</v>
      </c>
      <c r="BA319" s="35" t="s">
        <v>157</v>
      </c>
      <c r="BB319" s="35" t="s">
        <v>10</v>
      </c>
      <c r="BC319" s="35" t="s">
        <v>142</v>
      </c>
      <c r="BD319" s="35" t="s">
        <v>2503</v>
      </c>
      <c r="BE319" s="35" t="s">
        <v>2509</v>
      </c>
      <c r="BF319" s="35" t="s">
        <v>145</v>
      </c>
      <c r="BG319" s="35">
        <v>300</v>
      </c>
      <c r="BH319" s="35" t="s">
        <v>2506</v>
      </c>
      <c r="BI319" s="35">
        <v>0.5</v>
      </c>
      <c r="BJ319" s="35" t="s">
        <v>2512</v>
      </c>
      <c r="BK319" s="35" t="s">
        <v>10</v>
      </c>
      <c r="BL319" s="35" t="s">
        <v>10</v>
      </c>
      <c r="BM319" s="35" t="s">
        <v>10</v>
      </c>
      <c r="BN319" s="35" t="s">
        <v>10</v>
      </c>
      <c r="BO319" s="35" t="s">
        <v>2494</v>
      </c>
      <c r="BP319" s="35">
        <v>219034</v>
      </c>
      <c r="BW319" s="248"/>
      <c r="BX319" s="248"/>
      <c r="BY319" s="248"/>
      <c r="BZ319" s="248"/>
      <c r="CA319" s="248"/>
      <c r="CB319" s="248"/>
      <c r="CC319" s="248"/>
      <c r="CD319" s="248"/>
      <c r="CE319" s="248"/>
      <c r="CF319" s="248"/>
      <c r="CG319" s="248"/>
      <c r="CH319" s="248"/>
      <c r="CI319" s="248"/>
      <c r="CJ319" s="248"/>
      <c r="CK319" s="248"/>
      <c r="CL319" s="248"/>
      <c r="CM319" s="248"/>
      <c r="CN319" s="248"/>
      <c r="CO319" s="248"/>
      <c r="CP319" s="248"/>
      <c r="CQ319" s="248"/>
      <c r="CR319" s="248"/>
      <c r="CS319" s="248"/>
      <c r="CT319" s="248"/>
      <c r="CU319" s="248"/>
      <c r="CV319" s="248"/>
      <c r="CW319" s="248"/>
      <c r="CX319" s="248"/>
      <c r="CY319" s="248"/>
      <c r="CZ319" s="248"/>
      <c r="DA319" s="248"/>
      <c r="DB319" s="248"/>
      <c r="DC319" s="248"/>
      <c r="DD319" s="248"/>
      <c r="DE319" s="248"/>
      <c r="DF319" s="248"/>
      <c r="DG319" s="248"/>
      <c r="DH319" s="248"/>
      <c r="DI319" s="248"/>
      <c r="DJ319" s="248"/>
      <c r="DK319" s="248"/>
      <c r="DL319" s="248"/>
      <c r="DM319" s="248"/>
      <c r="DN319" s="248"/>
      <c r="DO319" s="248"/>
      <c r="DP319" s="248"/>
      <c r="DQ319" s="248"/>
      <c r="DR319" s="248"/>
      <c r="DS319" s="248"/>
      <c r="DT319" s="248"/>
      <c r="DU319" s="248"/>
      <c r="DV319" s="248"/>
      <c r="DW319" s="248"/>
      <c r="DX319" s="248"/>
      <c r="DY319" s="248"/>
      <c r="DZ319" s="248"/>
      <c r="EA319" s="248"/>
      <c r="EB319" s="248"/>
      <c r="EC319" s="248"/>
      <c r="ED319" s="248"/>
    </row>
    <row r="320" spans="1:134" s="35" customFormat="1" ht="16.5">
      <c r="B320" s="331"/>
      <c r="C320" s="248">
        <v>219035</v>
      </c>
      <c r="D320" s="283">
        <v>219</v>
      </c>
      <c r="F320" s="35" t="s">
        <v>1118</v>
      </c>
      <c r="O320" s="289" t="s">
        <v>1091</v>
      </c>
      <c r="P320" s="289" t="s">
        <v>1091</v>
      </c>
      <c r="Q320" s="58"/>
      <c r="R320" s="39"/>
      <c r="W320" s="304">
        <v>980018323</v>
      </c>
      <c r="Z320" s="35" t="s">
        <v>2645</v>
      </c>
      <c r="AB320" s="104" t="s">
        <v>1114</v>
      </c>
      <c r="AC320" s="58"/>
      <c r="AD320" s="58"/>
      <c r="AE320" s="58"/>
      <c r="AF320" s="58"/>
      <c r="AG320" s="58"/>
      <c r="AH320" s="279"/>
      <c r="AJ320" s="279" t="s">
        <v>1119</v>
      </c>
      <c r="AK320" s="279"/>
      <c r="AL320" s="523">
        <v>3</v>
      </c>
      <c r="AM320" s="35">
        <v>219035</v>
      </c>
      <c r="AN320" s="35" t="s">
        <v>1982</v>
      </c>
      <c r="AO320" s="35" t="s">
        <v>1028</v>
      </c>
      <c r="AP320" s="35" t="s">
        <v>790</v>
      </c>
      <c r="AQ320" s="34" t="s">
        <v>2287</v>
      </c>
      <c r="AR320" s="35">
        <v>1</v>
      </c>
      <c r="AS320" s="35" t="s">
        <v>2513</v>
      </c>
      <c r="AT320" s="35" t="s">
        <v>1074</v>
      </c>
      <c r="AU320" s="35" t="s">
        <v>10</v>
      </c>
      <c r="AV320" s="35" t="s">
        <v>1267</v>
      </c>
      <c r="AW320" s="35" t="s">
        <v>789</v>
      </c>
      <c r="AX320" s="34" t="s">
        <v>2290</v>
      </c>
      <c r="AY320" s="35">
        <v>3</v>
      </c>
      <c r="AZ320" s="35" t="s">
        <v>488</v>
      </c>
      <c r="BA320" s="35" t="s">
        <v>490</v>
      </c>
      <c r="BB320" s="35" t="s">
        <v>10</v>
      </c>
      <c r="BC320" s="35" t="s">
        <v>142</v>
      </c>
      <c r="BD320" s="35" t="s">
        <v>2503</v>
      </c>
      <c r="BE320" s="35" t="s">
        <v>2514</v>
      </c>
      <c r="BF320" s="35" t="s">
        <v>143</v>
      </c>
      <c r="BG320" s="35">
        <v>5030</v>
      </c>
      <c r="BH320" s="35" t="s">
        <v>393</v>
      </c>
      <c r="BI320" s="35">
        <v>0.35</v>
      </c>
      <c r="BJ320" s="35" t="s">
        <v>792</v>
      </c>
      <c r="BK320" s="35" t="s">
        <v>10</v>
      </c>
      <c r="BL320" s="35" t="s">
        <v>10</v>
      </c>
      <c r="BM320" s="35" t="s">
        <v>10</v>
      </c>
      <c r="BN320" s="35" t="s">
        <v>10</v>
      </c>
      <c r="BO320" s="35" t="s">
        <v>2494</v>
      </c>
      <c r="BP320" s="35">
        <v>219035</v>
      </c>
      <c r="BW320" s="248"/>
      <c r="BX320" s="248"/>
      <c r="BY320" s="248"/>
      <c r="BZ320" s="248"/>
      <c r="CA320" s="248"/>
      <c r="CB320" s="248"/>
      <c r="CC320" s="248"/>
      <c r="CD320" s="248"/>
      <c r="CE320" s="248"/>
      <c r="CF320" s="248"/>
      <c r="CG320" s="248"/>
      <c r="CH320" s="248"/>
      <c r="CI320" s="248"/>
      <c r="CJ320" s="248"/>
      <c r="CK320" s="248"/>
      <c r="CL320" s="248"/>
      <c r="CM320" s="248"/>
      <c r="CN320" s="248"/>
      <c r="CO320" s="248"/>
      <c r="CP320" s="248"/>
      <c r="CQ320" s="248"/>
      <c r="CR320" s="248"/>
      <c r="CS320" s="248"/>
      <c r="CT320" s="248"/>
      <c r="CU320" s="248"/>
      <c r="CV320" s="248"/>
      <c r="CW320" s="248"/>
      <c r="CX320" s="248"/>
      <c r="CY320" s="248"/>
      <c r="CZ320" s="248"/>
      <c r="DA320" s="248"/>
      <c r="DB320" s="248"/>
      <c r="DC320" s="248"/>
      <c r="DD320" s="248"/>
      <c r="DE320" s="248"/>
      <c r="DF320" s="248"/>
      <c r="DG320" s="248"/>
      <c r="DH320" s="248"/>
      <c r="DI320" s="248"/>
      <c r="DJ320" s="248"/>
      <c r="DK320" s="248"/>
      <c r="DL320" s="248"/>
      <c r="DM320" s="248"/>
      <c r="DN320" s="248"/>
      <c r="DO320" s="248"/>
      <c r="DP320" s="248"/>
      <c r="DQ320" s="248"/>
      <c r="DR320" s="248"/>
      <c r="DS320" s="248"/>
      <c r="DT320" s="248"/>
      <c r="DU320" s="248"/>
      <c r="DV320" s="248"/>
      <c r="DW320" s="248"/>
      <c r="DX320" s="248"/>
      <c r="DY320" s="248"/>
      <c r="DZ320" s="248"/>
      <c r="EA320" s="248"/>
      <c r="EB320" s="248"/>
      <c r="EC320" s="248"/>
      <c r="ED320" s="248"/>
    </row>
    <row r="321" spans="1:135" s="35" customFormat="1" ht="16.5">
      <c r="B321" s="331"/>
      <c r="C321" s="248">
        <v>219036</v>
      </c>
      <c r="D321" s="283">
        <v>219</v>
      </c>
      <c r="F321" s="35" t="s">
        <v>1118</v>
      </c>
      <c r="O321" s="289" t="s">
        <v>1091</v>
      </c>
      <c r="P321" s="289" t="s">
        <v>1091</v>
      </c>
      <c r="Q321" s="58"/>
      <c r="R321" s="39"/>
      <c r="W321" s="304">
        <v>980018323</v>
      </c>
      <c r="AB321" s="104" t="s">
        <v>1114</v>
      </c>
      <c r="AC321" s="58"/>
      <c r="AD321" s="58"/>
      <c r="AE321" s="58"/>
      <c r="AF321" s="58"/>
      <c r="AG321" s="58"/>
      <c r="AH321" s="279"/>
      <c r="AJ321" s="279" t="s">
        <v>1119</v>
      </c>
      <c r="AK321" s="279"/>
      <c r="AL321" s="523">
        <v>3</v>
      </c>
      <c r="AM321" s="35">
        <v>219036</v>
      </c>
      <c r="AN321" s="35" t="s">
        <v>1984</v>
      </c>
      <c r="AO321" s="35" t="s">
        <v>1028</v>
      </c>
      <c r="AP321" s="35" t="s">
        <v>790</v>
      </c>
      <c r="AQ321" s="34" t="s">
        <v>2287</v>
      </c>
      <c r="AR321" s="35">
        <v>2</v>
      </c>
      <c r="AS321" s="35" t="s">
        <v>2513</v>
      </c>
      <c r="AT321" s="35" t="s">
        <v>157</v>
      </c>
      <c r="AU321" s="35" t="s">
        <v>10</v>
      </c>
      <c r="AV321" s="35" t="s">
        <v>1267</v>
      </c>
      <c r="AW321" s="35" t="s">
        <v>789</v>
      </c>
      <c r="AX321" s="34" t="s">
        <v>2290</v>
      </c>
      <c r="AY321" s="35" t="s">
        <v>494</v>
      </c>
      <c r="AZ321" s="35" t="s">
        <v>488</v>
      </c>
      <c r="BA321" s="35" t="s">
        <v>1262</v>
      </c>
      <c r="BB321" s="35" t="s">
        <v>10</v>
      </c>
      <c r="BC321" s="35" t="s">
        <v>142</v>
      </c>
      <c r="BD321" s="35" t="s">
        <v>2503</v>
      </c>
      <c r="BE321" s="35" t="s">
        <v>2514</v>
      </c>
      <c r="BF321" s="35" t="s">
        <v>145</v>
      </c>
      <c r="BG321" s="35">
        <v>5030</v>
      </c>
      <c r="BH321" s="35" t="s">
        <v>2506</v>
      </c>
      <c r="BI321" s="35">
        <v>0.5</v>
      </c>
      <c r="BJ321" s="35" t="s">
        <v>1560</v>
      </c>
      <c r="BK321" s="35" t="s">
        <v>10</v>
      </c>
      <c r="BL321" s="35" t="s">
        <v>10</v>
      </c>
      <c r="BM321" s="35" t="s">
        <v>10</v>
      </c>
      <c r="BN321" s="35" t="s">
        <v>10</v>
      </c>
      <c r="BO321" s="35" t="s">
        <v>2494</v>
      </c>
      <c r="BP321" s="35">
        <v>219036</v>
      </c>
      <c r="BW321" s="248"/>
      <c r="BX321" s="248"/>
      <c r="BY321" s="248"/>
      <c r="BZ321" s="248"/>
      <c r="CA321" s="248"/>
      <c r="CB321" s="248"/>
      <c r="CC321" s="248"/>
      <c r="CD321" s="248"/>
      <c r="CE321" s="248"/>
      <c r="CF321" s="248"/>
      <c r="CG321" s="248"/>
      <c r="CH321" s="248"/>
      <c r="CI321" s="248"/>
      <c r="CJ321" s="248"/>
      <c r="CK321" s="248"/>
      <c r="CL321" s="248"/>
      <c r="CM321" s="248"/>
      <c r="CN321" s="248"/>
      <c r="CO321" s="248"/>
      <c r="CP321" s="248"/>
      <c r="CQ321" s="248"/>
      <c r="CR321" s="248"/>
      <c r="CS321" s="248"/>
      <c r="CT321" s="248"/>
      <c r="CU321" s="248"/>
      <c r="CV321" s="248"/>
      <c r="CW321" s="248"/>
      <c r="CX321" s="248"/>
      <c r="CY321" s="248"/>
      <c r="CZ321" s="248"/>
      <c r="DA321" s="248"/>
      <c r="DB321" s="248"/>
      <c r="DC321" s="248"/>
      <c r="DD321" s="248"/>
      <c r="DE321" s="248"/>
      <c r="DF321" s="248"/>
      <c r="DG321" s="248"/>
      <c r="DH321" s="248"/>
      <c r="DI321" s="248"/>
      <c r="DJ321" s="248"/>
      <c r="DK321" s="248"/>
      <c r="DL321" s="248"/>
      <c r="DM321" s="248"/>
      <c r="DN321" s="248"/>
      <c r="DO321" s="248"/>
      <c r="DP321" s="248"/>
      <c r="DQ321" s="248"/>
      <c r="DR321" s="248"/>
      <c r="DS321" s="248"/>
      <c r="DT321" s="248"/>
      <c r="DU321" s="248"/>
      <c r="DV321" s="248"/>
      <c r="DW321" s="248"/>
      <c r="DX321" s="248"/>
      <c r="DY321" s="248"/>
      <c r="DZ321" s="248"/>
      <c r="EA321" s="248"/>
      <c r="EB321" s="248"/>
      <c r="EC321" s="248"/>
      <c r="ED321" s="248"/>
    </row>
    <row r="322" spans="1:135" s="35" customFormat="1" ht="16.5">
      <c r="B322" s="331"/>
      <c r="C322" s="248">
        <v>219037</v>
      </c>
      <c r="D322" s="283">
        <v>219</v>
      </c>
      <c r="F322" s="35" t="s">
        <v>1118</v>
      </c>
      <c r="O322" s="289" t="s">
        <v>1091</v>
      </c>
      <c r="P322" s="289" t="s">
        <v>1091</v>
      </c>
      <c r="Q322" s="58"/>
      <c r="R322" s="39"/>
      <c r="W322" s="304">
        <v>980018323</v>
      </c>
      <c r="AA322" s="35" t="s">
        <v>2645</v>
      </c>
      <c r="AB322" s="104" t="s">
        <v>1114</v>
      </c>
      <c r="AC322" s="58"/>
      <c r="AD322" s="58"/>
      <c r="AE322" s="58"/>
      <c r="AF322" s="58"/>
      <c r="AG322" s="58"/>
      <c r="AH322" s="279"/>
      <c r="AJ322" s="279" t="s">
        <v>1119</v>
      </c>
      <c r="AK322" s="279"/>
      <c r="AL322" s="523">
        <v>3</v>
      </c>
      <c r="AM322" s="35">
        <v>219037</v>
      </c>
      <c r="AN322" s="35" t="s">
        <v>1575</v>
      </c>
      <c r="AO322" s="35" t="s">
        <v>1267</v>
      </c>
      <c r="AP322" s="35" t="s">
        <v>789</v>
      </c>
      <c r="AQ322" s="34" t="s">
        <v>2290</v>
      </c>
      <c r="AR322" s="35">
        <v>4</v>
      </c>
      <c r="AS322" s="35" t="s">
        <v>488</v>
      </c>
      <c r="AT322" s="35" t="s">
        <v>490</v>
      </c>
      <c r="AU322" s="35" t="s">
        <v>10</v>
      </c>
      <c r="AV322" s="35" t="s">
        <v>1028</v>
      </c>
      <c r="AW322" s="35" t="s">
        <v>790</v>
      </c>
      <c r="AX322" s="34" t="s">
        <v>2287</v>
      </c>
      <c r="AY322" s="35">
        <v>3</v>
      </c>
      <c r="AZ322" s="35" t="s">
        <v>2513</v>
      </c>
      <c r="BA322" s="35" t="s">
        <v>1074</v>
      </c>
      <c r="BB322" s="35" t="s">
        <v>10</v>
      </c>
      <c r="BC322" s="35" t="s">
        <v>142</v>
      </c>
      <c r="BD322" s="35" t="s">
        <v>2503</v>
      </c>
      <c r="BE322" s="35" t="s">
        <v>2515</v>
      </c>
      <c r="BF322" s="35" t="s">
        <v>143</v>
      </c>
      <c r="BG322" s="35">
        <v>5030</v>
      </c>
      <c r="BH322" s="35" t="s">
        <v>393</v>
      </c>
      <c r="BI322" s="35">
        <v>0.35</v>
      </c>
      <c r="BJ322" s="35" t="s">
        <v>799</v>
      </c>
      <c r="BK322" s="35" t="s">
        <v>10</v>
      </c>
      <c r="BL322" s="35" t="s">
        <v>10</v>
      </c>
      <c r="BM322" s="35" t="s">
        <v>10</v>
      </c>
      <c r="BN322" s="35" t="s">
        <v>10</v>
      </c>
      <c r="BO322" s="35" t="s">
        <v>2494</v>
      </c>
      <c r="BP322" s="35">
        <v>219037</v>
      </c>
      <c r="BW322" s="248"/>
      <c r="BX322" s="248"/>
      <c r="BY322" s="248"/>
      <c r="BZ322" s="248"/>
      <c r="CA322" s="248"/>
      <c r="CB322" s="248"/>
      <c r="CC322" s="248"/>
      <c r="CD322" s="248"/>
      <c r="CE322" s="248"/>
      <c r="CF322" s="248"/>
      <c r="CG322" s="248"/>
      <c r="CH322" s="248"/>
      <c r="CI322" s="248"/>
      <c r="CJ322" s="248"/>
      <c r="CK322" s="248"/>
      <c r="CL322" s="248"/>
      <c r="CM322" s="248"/>
      <c r="CN322" s="248"/>
      <c r="CO322" s="248"/>
      <c r="CP322" s="248"/>
      <c r="CQ322" s="248"/>
      <c r="CR322" s="248"/>
      <c r="CS322" s="248"/>
      <c r="CT322" s="248"/>
      <c r="CU322" s="248"/>
      <c r="CV322" s="248"/>
      <c r="CW322" s="248"/>
      <c r="CX322" s="248"/>
      <c r="CY322" s="248"/>
      <c r="CZ322" s="248"/>
      <c r="DA322" s="248"/>
      <c r="DB322" s="248"/>
      <c r="DC322" s="248"/>
      <c r="DD322" s="248"/>
      <c r="DE322" s="248"/>
      <c r="DF322" s="248"/>
      <c r="DG322" s="248"/>
      <c r="DH322" s="248"/>
      <c r="DI322" s="248"/>
      <c r="DJ322" s="248"/>
      <c r="DK322" s="248"/>
      <c r="DL322" s="248"/>
      <c r="DM322" s="248"/>
      <c r="DN322" s="248"/>
      <c r="DO322" s="248"/>
      <c r="DP322" s="248"/>
      <c r="DQ322" s="248"/>
      <c r="DR322" s="248"/>
      <c r="DS322" s="248"/>
      <c r="DT322" s="248"/>
      <c r="DU322" s="248"/>
      <c r="DV322" s="248"/>
      <c r="DW322" s="248"/>
      <c r="DX322" s="248"/>
      <c r="DY322" s="248"/>
      <c r="DZ322" s="248"/>
      <c r="EA322" s="248"/>
      <c r="EB322" s="248"/>
      <c r="EC322" s="248"/>
      <c r="ED322" s="248"/>
    </row>
    <row r="323" spans="1:135" s="35" customFormat="1" ht="16.5">
      <c r="B323" s="331"/>
      <c r="C323" s="248">
        <v>219038</v>
      </c>
      <c r="D323" s="283">
        <v>219</v>
      </c>
      <c r="F323" s="35" t="s">
        <v>1118</v>
      </c>
      <c r="O323" s="289" t="s">
        <v>1091</v>
      </c>
      <c r="P323" s="289" t="s">
        <v>1091</v>
      </c>
      <c r="Q323" s="58"/>
      <c r="R323" s="39"/>
      <c r="W323" s="304">
        <v>980018323</v>
      </c>
      <c r="AB323" s="104" t="s">
        <v>1114</v>
      </c>
      <c r="AC323" s="58"/>
      <c r="AD323" s="58"/>
      <c r="AE323" s="58"/>
      <c r="AF323" s="58"/>
      <c r="AG323" s="58"/>
      <c r="AH323" s="279"/>
      <c r="AJ323" s="279" t="s">
        <v>1119</v>
      </c>
      <c r="AK323" s="279"/>
      <c r="AL323" s="523">
        <v>3</v>
      </c>
      <c r="AM323" s="35">
        <v>219038</v>
      </c>
      <c r="AN323" s="35" t="s">
        <v>2516</v>
      </c>
      <c r="AO323" s="35" t="s">
        <v>1267</v>
      </c>
      <c r="AP323" s="35" t="s">
        <v>789</v>
      </c>
      <c r="AQ323" s="34" t="s">
        <v>2290</v>
      </c>
      <c r="AR323" s="35" t="s">
        <v>491</v>
      </c>
      <c r="AS323" s="35" t="s">
        <v>488</v>
      </c>
      <c r="AT323" s="35" t="s">
        <v>1262</v>
      </c>
      <c r="AU323" s="35" t="s">
        <v>10</v>
      </c>
      <c r="AV323" s="35" t="s">
        <v>1028</v>
      </c>
      <c r="AW323" s="35" t="s">
        <v>790</v>
      </c>
      <c r="AX323" s="34" t="s">
        <v>2287</v>
      </c>
      <c r="AY323" s="35">
        <v>4</v>
      </c>
      <c r="AZ323" s="35" t="s">
        <v>2513</v>
      </c>
      <c r="BA323" s="35" t="s">
        <v>157</v>
      </c>
      <c r="BB323" s="35" t="s">
        <v>10</v>
      </c>
      <c r="BC323" s="35" t="s">
        <v>142</v>
      </c>
      <c r="BD323" s="35" t="s">
        <v>2503</v>
      </c>
      <c r="BE323" s="35" t="s">
        <v>2515</v>
      </c>
      <c r="BF323" s="35" t="s">
        <v>145</v>
      </c>
      <c r="BG323" s="35">
        <v>5030</v>
      </c>
      <c r="BH323" s="35" t="s">
        <v>2506</v>
      </c>
      <c r="BI323" s="35">
        <v>0.5</v>
      </c>
      <c r="BJ323" s="35" t="s">
        <v>2517</v>
      </c>
      <c r="BK323" s="35" t="s">
        <v>10</v>
      </c>
      <c r="BL323" s="35" t="s">
        <v>10</v>
      </c>
      <c r="BM323" s="35" t="s">
        <v>10</v>
      </c>
      <c r="BN323" s="35" t="s">
        <v>10</v>
      </c>
      <c r="BO323" s="35" t="s">
        <v>2494</v>
      </c>
      <c r="BP323" s="35">
        <v>219038</v>
      </c>
      <c r="BW323" s="248"/>
      <c r="BX323" s="248"/>
      <c r="BY323" s="248"/>
      <c r="BZ323" s="248"/>
      <c r="CA323" s="248"/>
      <c r="CB323" s="248"/>
      <c r="CC323" s="248"/>
      <c r="CD323" s="248"/>
      <c r="CE323" s="248"/>
      <c r="CF323" s="248"/>
      <c r="CG323" s="248"/>
      <c r="CH323" s="248"/>
      <c r="CI323" s="248"/>
      <c r="CJ323" s="248"/>
      <c r="CK323" s="248"/>
      <c r="CL323" s="248"/>
      <c r="CM323" s="248"/>
      <c r="CN323" s="248"/>
      <c r="CO323" s="248"/>
      <c r="CP323" s="248"/>
      <c r="CQ323" s="248"/>
      <c r="CR323" s="248"/>
      <c r="CS323" s="248"/>
      <c r="CT323" s="248"/>
      <c r="CU323" s="248"/>
      <c r="CV323" s="248"/>
      <c r="CW323" s="248"/>
      <c r="CX323" s="248"/>
      <c r="CY323" s="248"/>
      <c r="CZ323" s="248"/>
      <c r="DA323" s="248"/>
      <c r="DB323" s="248"/>
      <c r="DC323" s="248"/>
      <c r="DD323" s="248"/>
      <c r="DE323" s="248"/>
      <c r="DF323" s="248"/>
      <c r="DG323" s="248"/>
      <c r="DH323" s="248"/>
      <c r="DI323" s="248"/>
      <c r="DJ323" s="248"/>
      <c r="DK323" s="248"/>
      <c r="DL323" s="248"/>
      <c r="DM323" s="248"/>
      <c r="DN323" s="248"/>
      <c r="DO323" s="248"/>
      <c r="DP323" s="248"/>
      <c r="DQ323" s="248"/>
      <c r="DR323" s="248"/>
      <c r="DS323" s="248"/>
      <c r="DT323" s="248"/>
      <c r="DU323" s="248"/>
      <c r="DV323" s="248"/>
      <c r="DW323" s="248"/>
      <c r="DX323" s="248"/>
      <c r="DY323" s="248"/>
      <c r="DZ323" s="248"/>
      <c r="EA323" s="248"/>
      <c r="EB323" s="248"/>
      <c r="EC323" s="248"/>
      <c r="ED323" s="248"/>
    </row>
    <row r="324" spans="1:135" s="35" customFormat="1" ht="16.5">
      <c r="A324" s="35" t="str">
        <f t="shared" ref="A324:A327" si="11" xml:space="preserve"> AQ324 &amp; REPT(" ",20-LEN(AQ324)) &amp; AX324</f>
        <v xml:space="preserve">                    </v>
      </c>
      <c r="B324" s="331"/>
      <c r="D324" s="283">
        <v>222</v>
      </c>
      <c r="O324" s="34"/>
      <c r="P324" s="34"/>
      <c r="Q324" s="58"/>
      <c r="R324" s="39"/>
      <c r="W324" s="170"/>
      <c r="AB324" s="104"/>
      <c r="AC324" s="58"/>
      <c r="AD324" s="58"/>
      <c r="AE324" s="58"/>
      <c r="AF324" s="58"/>
      <c r="AG324" s="58"/>
      <c r="AH324" s="279"/>
      <c r="AJ324" s="279"/>
      <c r="AK324" s="279"/>
      <c r="AL324" s="523">
        <v>1</v>
      </c>
      <c r="AM324" s="35" t="s">
        <v>1997</v>
      </c>
      <c r="AQ324" s="34"/>
      <c r="AX324" s="34"/>
      <c r="BW324" s="248"/>
      <c r="BX324" s="248"/>
      <c r="BY324" s="248"/>
      <c r="BZ324" s="248"/>
      <c r="CA324" s="248"/>
      <c r="CB324" s="248"/>
      <c r="CC324" s="248"/>
      <c r="CD324" s="248"/>
      <c r="CE324" s="248"/>
      <c r="CF324" s="248"/>
      <c r="CG324" s="248"/>
      <c r="CH324" s="248"/>
      <c r="CI324" s="248"/>
      <c r="CJ324" s="248"/>
      <c r="CK324" s="248"/>
      <c r="CL324" s="248"/>
      <c r="CM324" s="248"/>
      <c r="CN324" s="248"/>
      <c r="CO324" s="248"/>
      <c r="CP324" s="248"/>
      <c r="CQ324" s="248"/>
      <c r="CR324" s="248"/>
      <c r="CS324" s="248"/>
      <c r="CT324" s="248"/>
      <c r="CU324" s="248"/>
      <c r="CV324" s="248"/>
      <c r="CW324" s="248"/>
      <c r="CX324" s="248"/>
      <c r="CY324" s="248"/>
      <c r="CZ324" s="248"/>
      <c r="DA324" s="248"/>
      <c r="DB324" s="248"/>
      <c r="DC324" s="248"/>
      <c r="DD324" s="248"/>
      <c r="DE324" s="248"/>
      <c r="DF324" s="248"/>
      <c r="DG324" s="248"/>
      <c r="DH324" s="248"/>
      <c r="DI324" s="248"/>
      <c r="DJ324" s="248"/>
      <c r="DK324" s="248"/>
      <c r="DL324" s="248"/>
      <c r="DM324" s="248"/>
      <c r="DN324" s="248"/>
      <c r="DO324" s="248"/>
      <c r="DP324" s="248"/>
      <c r="DQ324" s="248"/>
      <c r="DR324" s="248"/>
      <c r="DS324" s="248"/>
      <c r="DT324" s="248"/>
      <c r="DU324" s="248"/>
      <c r="DV324" s="248"/>
      <c r="DW324" s="248"/>
      <c r="DX324" s="248"/>
      <c r="DY324" s="248"/>
      <c r="DZ324" s="248"/>
      <c r="EA324" s="248"/>
      <c r="EB324" s="248"/>
      <c r="EC324" s="248"/>
      <c r="ED324" s="248"/>
      <c r="EE324" s="248"/>
    </row>
    <row r="325" spans="1:135" s="484" customFormat="1" ht="16.5">
      <c r="A325" s="186" t="str">
        <f t="shared" si="11"/>
        <v xml:space="preserve">~                   </v>
      </c>
      <c r="B325" s="491"/>
      <c r="D325" s="492">
        <v>222</v>
      </c>
      <c r="O325" s="257"/>
      <c r="P325" s="257"/>
      <c r="Q325" s="485"/>
      <c r="R325" s="483"/>
      <c r="W325" s="493"/>
      <c r="Z325" s="511"/>
      <c r="AA325" s="511"/>
      <c r="AB325" s="512"/>
      <c r="AC325" s="485"/>
      <c r="AD325" s="485"/>
      <c r="AE325" s="485"/>
      <c r="AF325" s="485"/>
      <c r="AG325" s="485"/>
      <c r="AH325" s="494"/>
      <c r="AJ325" s="494"/>
      <c r="AK325" s="515"/>
      <c r="AL325" s="526">
        <v>2</v>
      </c>
      <c r="AM325" s="484" t="s">
        <v>0</v>
      </c>
      <c r="AN325" s="484" t="s">
        <v>1998</v>
      </c>
      <c r="AO325" s="484" t="s">
        <v>2565</v>
      </c>
      <c r="AP325" s="484" t="s">
        <v>2519</v>
      </c>
      <c r="AQ325" s="257" t="s">
        <v>1</v>
      </c>
      <c r="AR325" s="484" t="s">
        <v>2191</v>
      </c>
      <c r="AS325" s="484" t="s">
        <v>11</v>
      </c>
      <c r="AX325" s="257"/>
    </row>
    <row r="326" spans="1:135" s="484" customFormat="1" ht="16.5">
      <c r="A326" s="186" t="str">
        <f t="shared" si="11"/>
        <v xml:space="preserve">~                   </v>
      </c>
      <c r="B326" s="491"/>
      <c r="D326" s="492">
        <v>222</v>
      </c>
      <c r="O326" s="257"/>
      <c r="P326" s="257"/>
      <c r="Q326" s="485"/>
      <c r="R326" s="483"/>
      <c r="W326" s="493"/>
      <c r="Z326" s="511"/>
      <c r="AA326" s="511"/>
      <c r="AB326" s="512"/>
      <c r="AC326" s="485"/>
      <c r="AD326" s="485"/>
      <c r="AE326" s="485"/>
      <c r="AF326" s="485"/>
      <c r="AG326" s="485"/>
      <c r="AH326" s="494"/>
      <c r="AJ326" s="494"/>
      <c r="AK326" s="515"/>
      <c r="AL326" s="526">
        <v>2</v>
      </c>
      <c r="AM326" s="484" t="s">
        <v>2</v>
      </c>
      <c r="AN326" s="484" t="s">
        <v>2001</v>
      </c>
      <c r="AO326" s="484" t="s">
        <v>2566</v>
      </c>
      <c r="AP326" s="484" t="s">
        <v>2383</v>
      </c>
      <c r="AQ326" s="257" t="s">
        <v>1</v>
      </c>
      <c r="AR326" s="484" t="s">
        <v>2472</v>
      </c>
      <c r="AS326" s="484" t="s">
        <v>11</v>
      </c>
      <c r="AX326" s="257"/>
    </row>
    <row r="327" spans="1:135" s="484" customFormat="1" ht="16.5">
      <c r="A327" s="186" t="str">
        <f t="shared" si="11"/>
        <v xml:space="preserve">~                   </v>
      </c>
      <c r="B327" s="491"/>
      <c r="D327" s="492">
        <v>222</v>
      </c>
      <c r="O327" s="257"/>
      <c r="P327" s="257"/>
      <c r="Q327" s="485"/>
      <c r="R327" s="483"/>
      <c r="W327" s="493"/>
      <c r="Z327" s="511"/>
      <c r="AA327" s="511"/>
      <c r="AB327" s="512"/>
      <c r="AC327" s="485"/>
      <c r="AD327" s="485"/>
      <c r="AE327" s="485"/>
      <c r="AF327" s="485"/>
      <c r="AG327" s="485"/>
      <c r="AH327" s="494"/>
      <c r="AJ327" s="494"/>
      <c r="AK327" s="515"/>
      <c r="AL327" s="526">
        <v>2</v>
      </c>
      <c r="AM327" s="484" t="s">
        <v>3</v>
      </c>
      <c r="AN327" s="484" t="s">
        <v>2004</v>
      </c>
      <c r="AO327" s="484" t="s">
        <v>2567</v>
      </c>
      <c r="AP327" s="484" t="s">
        <v>2382</v>
      </c>
      <c r="AQ327" s="257" t="s">
        <v>1</v>
      </c>
      <c r="AR327" s="484" t="s">
        <v>2191</v>
      </c>
      <c r="AS327" s="484" t="s">
        <v>11</v>
      </c>
      <c r="AX327" s="257"/>
    </row>
    <row r="328" spans="1:135" s="484" customFormat="1" ht="16.5">
      <c r="A328" s="186"/>
      <c r="B328" s="491"/>
      <c r="D328" s="492">
        <v>222</v>
      </c>
      <c r="O328" s="257"/>
      <c r="P328" s="257"/>
      <c r="Q328" s="485"/>
      <c r="R328" s="483"/>
      <c r="W328" s="493"/>
      <c r="Z328" s="511"/>
      <c r="AA328" s="511"/>
      <c r="AB328" s="512"/>
      <c r="AC328" s="485"/>
      <c r="AD328" s="485"/>
      <c r="AE328" s="485"/>
      <c r="AF328" s="485"/>
      <c r="AG328" s="485"/>
      <c r="AH328" s="494"/>
      <c r="AJ328" s="494"/>
      <c r="AK328" s="515"/>
      <c r="AL328" s="526">
        <v>2</v>
      </c>
      <c r="AM328" s="484" t="s">
        <v>4</v>
      </c>
      <c r="AN328" s="484" t="s">
        <v>2447</v>
      </c>
      <c r="AO328" s="484" t="s">
        <v>2568</v>
      </c>
      <c r="AP328" s="484" t="s">
        <v>2383</v>
      </c>
      <c r="AQ328" s="257" t="s">
        <v>1</v>
      </c>
      <c r="AR328" s="484" t="s">
        <v>2472</v>
      </c>
      <c r="AS328" s="484" t="s">
        <v>11</v>
      </c>
      <c r="AX328" s="257"/>
    </row>
    <row r="329" spans="1:135" s="35" customFormat="1" ht="16.5">
      <c r="A329" s="35" t="str">
        <f t="shared" ref="A329:A361" si="12" xml:space="preserve"> AQ329 &amp; REPT(" ",20-LEN(AQ329)) &amp; AX329</f>
        <v>Kurzname            Kurzname</v>
      </c>
      <c r="B329" s="331"/>
      <c r="D329" s="283">
        <v>222</v>
      </c>
      <c r="O329" s="34"/>
      <c r="P329" s="34"/>
      <c r="Q329" s="58"/>
      <c r="R329" s="39"/>
      <c r="W329" s="170"/>
      <c r="AB329" s="104"/>
      <c r="AC329" s="58"/>
      <c r="AD329" s="58"/>
      <c r="AE329" s="58"/>
      <c r="AF329" s="58"/>
      <c r="AG329" s="58"/>
      <c r="AH329" s="279"/>
      <c r="AJ329" s="279"/>
      <c r="AK329" s="279"/>
      <c r="AL329" s="523">
        <v>0</v>
      </c>
      <c r="AM329" s="35" t="s">
        <v>12</v>
      </c>
      <c r="AN329" s="35" t="s">
        <v>13</v>
      </c>
      <c r="AO329" s="35" t="s">
        <v>356</v>
      </c>
      <c r="AP329" s="35" t="s">
        <v>14</v>
      </c>
      <c r="AQ329" s="34" t="s">
        <v>7</v>
      </c>
      <c r="AR329" s="35" t="s">
        <v>15</v>
      </c>
      <c r="AS329" s="35" t="s">
        <v>8</v>
      </c>
      <c r="AT329" s="35" t="s">
        <v>16</v>
      </c>
      <c r="AU329" s="35" t="s">
        <v>17</v>
      </c>
      <c r="AV329" s="35" t="s">
        <v>356</v>
      </c>
      <c r="AW329" s="35" t="s">
        <v>18</v>
      </c>
      <c r="AX329" s="34" t="s">
        <v>7</v>
      </c>
      <c r="AY329" s="35" t="s">
        <v>15</v>
      </c>
      <c r="AZ329" s="35" t="s">
        <v>8</v>
      </c>
      <c r="BA329" s="35" t="s">
        <v>16</v>
      </c>
      <c r="BB329" s="35" t="s">
        <v>17</v>
      </c>
      <c r="BC329" s="35" t="s">
        <v>19</v>
      </c>
      <c r="BD329" s="35" t="s">
        <v>1737</v>
      </c>
      <c r="BE329" s="35" t="s">
        <v>20</v>
      </c>
      <c r="BF329" s="35" t="s">
        <v>21</v>
      </c>
      <c r="BG329" s="35" t="s">
        <v>22</v>
      </c>
      <c r="BH329" s="35" t="s">
        <v>9</v>
      </c>
      <c r="BI329" s="35" t="s">
        <v>23</v>
      </c>
      <c r="BJ329" s="35" t="s">
        <v>24</v>
      </c>
      <c r="BK329" s="35" t="s">
        <v>0</v>
      </c>
      <c r="BL329" s="35" t="s">
        <v>2</v>
      </c>
      <c r="BM329" s="35" t="s">
        <v>3</v>
      </c>
      <c r="BN329" s="35" t="s">
        <v>4</v>
      </c>
      <c r="BO329" s="35" t="s">
        <v>12</v>
      </c>
      <c r="BW329" s="248"/>
      <c r="BX329" s="248"/>
      <c r="BY329" s="248"/>
      <c r="BZ329" s="248"/>
      <c r="CA329" s="248"/>
      <c r="CB329" s="248"/>
      <c r="CC329" s="248"/>
      <c r="CD329" s="248"/>
      <c r="CE329" s="248"/>
      <c r="CF329" s="248"/>
      <c r="CG329" s="248"/>
      <c r="CH329" s="248"/>
      <c r="CI329" s="248"/>
      <c r="CJ329" s="248"/>
      <c r="CK329" s="248"/>
      <c r="CL329" s="248"/>
      <c r="CM329" s="248"/>
      <c r="CN329" s="248"/>
      <c r="CO329" s="248"/>
      <c r="CP329" s="248"/>
      <c r="CQ329" s="248"/>
      <c r="CR329" s="248"/>
      <c r="CS329" s="248"/>
      <c r="CT329" s="248"/>
      <c r="CU329" s="248"/>
      <c r="CV329" s="248"/>
      <c r="CW329" s="248"/>
      <c r="CX329" s="248"/>
      <c r="CY329" s="248"/>
      <c r="CZ329" s="248"/>
      <c r="DA329" s="248"/>
      <c r="DB329" s="248"/>
      <c r="DC329" s="248"/>
      <c r="DD329" s="248"/>
      <c r="DE329" s="248"/>
      <c r="DF329" s="248"/>
      <c r="DG329" s="248"/>
      <c r="DH329" s="248"/>
      <c r="DI329" s="248"/>
      <c r="DJ329" s="248"/>
      <c r="DK329" s="248"/>
      <c r="DL329" s="248"/>
      <c r="DM329" s="248"/>
      <c r="DN329" s="248"/>
      <c r="DO329" s="248"/>
      <c r="DP329" s="248"/>
      <c r="DQ329" s="248"/>
      <c r="DR329" s="248"/>
      <c r="DS329" s="248"/>
      <c r="DT329" s="248"/>
      <c r="DU329" s="248"/>
      <c r="DV329" s="248"/>
      <c r="DW329" s="248"/>
      <c r="DX329" s="248"/>
      <c r="DY329" s="248"/>
      <c r="DZ329" s="248"/>
      <c r="EA329" s="248"/>
      <c r="EB329" s="248"/>
      <c r="EC329" s="248"/>
      <c r="ED329" s="248"/>
    </row>
    <row r="330" spans="1:135" s="35" customFormat="1" ht="16.5">
      <c r="A330" s="35" t="str">
        <f t="shared" si="12"/>
        <v>KS_HR_C_DAB         MIB_F</v>
      </c>
      <c r="B330" s="331"/>
      <c r="C330" s="248">
        <v>222001</v>
      </c>
      <c r="D330" s="283">
        <v>222</v>
      </c>
      <c r="F330" s="35" t="s">
        <v>2143</v>
      </c>
      <c r="O330" s="289" t="s">
        <v>1091</v>
      </c>
      <c r="P330" s="289" t="s">
        <v>1091</v>
      </c>
      <c r="Q330" s="58"/>
      <c r="R330" s="39"/>
      <c r="W330" s="104">
        <v>980017568</v>
      </c>
      <c r="Z330" s="35" t="s">
        <v>2645</v>
      </c>
      <c r="AB330" s="104"/>
      <c r="AC330" s="58"/>
      <c r="AD330" s="58"/>
      <c r="AE330" s="58"/>
      <c r="AF330" s="58"/>
      <c r="AG330" s="58"/>
      <c r="AH330" s="279"/>
      <c r="AJ330" s="279" t="s">
        <v>1119</v>
      </c>
      <c r="AK330" s="279"/>
      <c r="AL330" s="523">
        <v>3</v>
      </c>
      <c r="AM330" s="35">
        <v>222001</v>
      </c>
      <c r="AN330" s="35" t="s">
        <v>2007</v>
      </c>
      <c r="AO330" s="35" t="s">
        <v>2350</v>
      </c>
      <c r="AP330" s="35" t="s">
        <v>2008</v>
      </c>
      <c r="AQ330" s="34" t="s">
        <v>2351</v>
      </c>
      <c r="AR330" s="35">
        <v>1</v>
      </c>
      <c r="AS330" s="35" t="s">
        <v>2151</v>
      </c>
      <c r="AT330" s="35" t="s">
        <v>1074</v>
      </c>
      <c r="AU330" s="35" t="s">
        <v>10</v>
      </c>
      <c r="AV330" s="35" t="s">
        <v>1267</v>
      </c>
      <c r="AW330" s="35" t="s">
        <v>789</v>
      </c>
      <c r="AX330" s="34" t="s">
        <v>2290</v>
      </c>
      <c r="AY330" s="35">
        <v>3</v>
      </c>
      <c r="AZ330" s="35" t="s">
        <v>488</v>
      </c>
      <c r="BA330" s="35" t="s">
        <v>490</v>
      </c>
      <c r="BB330" s="35" t="s">
        <v>10</v>
      </c>
      <c r="BC330" s="35" t="s">
        <v>142</v>
      </c>
      <c r="BD330" s="35" t="s">
        <v>1846</v>
      </c>
      <c r="BE330" s="35" t="s">
        <v>2010</v>
      </c>
      <c r="BF330" s="35" t="s">
        <v>143</v>
      </c>
      <c r="BG330" s="35">
        <v>4311</v>
      </c>
      <c r="BH330" s="35" t="s">
        <v>1415</v>
      </c>
      <c r="BI330" s="35">
        <v>0.35</v>
      </c>
      <c r="BJ330" s="35" t="s">
        <v>792</v>
      </c>
      <c r="BK330" s="35" t="s">
        <v>1998</v>
      </c>
      <c r="BL330" s="35" t="s">
        <v>10</v>
      </c>
      <c r="BM330" s="35" t="s">
        <v>10</v>
      </c>
      <c r="BN330" s="35" t="s">
        <v>10</v>
      </c>
      <c r="BO330" s="35">
        <v>222001</v>
      </c>
      <c r="BW330" s="248"/>
      <c r="BX330" s="248"/>
      <c r="BY330" s="248"/>
      <c r="BZ330" s="248"/>
      <c r="CA330" s="248"/>
      <c r="CB330" s="248"/>
      <c r="CC330" s="248"/>
      <c r="CD330" s="248"/>
      <c r="CE330" s="248"/>
      <c r="CF330" s="248"/>
      <c r="CG330" s="248"/>
      <c r="CH330" s="248"/>
      <c r="CI330" s="248"/>
      <c r="CJ330" s="248"/>
      <c r="CK330" s="248"/>
      <c r="CL330" s="248"/>
      <c r="CM330" s="248"/>
      <c r="CN330" s="248"/>
      <c r="CO330" s="248"/>
      <c r="CP330" s="248"/>
      <c r="CQ330" s="248"/>
      <c r="CR330" s="248"/>
      <c r="CS330" s="248"/>
      <c r="CT330" s="248"/>
      <c r="CU330" s="248"/>
      <c r="CV330" s="248"/>
      <c r="CW330" s="248"/>
      <c r="CX330" s="248"/>
      <c r="CY330" s="248"/>
      <c r="CZ330" s="248"/>
      <c r="DA330" s="248"/>
      <c r="DB330" s="248"/>
      <c r="DC330" s="248"/>
      <c r="DD330" s="248"/>
      <c r="DE330" s="248"/>
      <c r="DF330" s="248"/>
      <c r="DG330" s="248"/>
      <c r="DH330" s="248"/>
      <c r="DI330" s="248"/>
      <c r="DJ330" s="248"/>
      <c r="DK330" s="248"/>
      <c r="DL330" s="248"/>
      <c r="DM330" s="248"/>
      <c r="DN330" s="248"/>
      <c r="DO330" s="248"/>
      <c r="DP330" s="248"/>
      <c r="DQ330" s="248"/>
      <c r="DR330" s="248"/>
      <c r="DS330" s="248"/>
      <c r="DT330" s="248"/>
      <c r="DU330" s="248"/>
      <c r="DV330" s="248"/>
      <c r="DW330" s="248"/>
      <c r="DX330" s="248"/>
      <c r="DY330" s="248"/>
      <c r="DZ330" s="248"/>
      <c r="EA330" s="248"/>
      <c r="EB330" s="248"/>
      <c r="EC330" s="248"/>
      <c r="ED330" s="248"/>
    </row>
    <row r="331" spans="1:135" s="35" customFormat="1" ht="16.5">
      <c r="A331" s="35" t="str">
        <f t="shared" si="12"/>
        <v>KS_HR_C_DAB         MIB_F</v>
      </c>
      <c r="B331" s="331"/>
      <c r="C331" s="248">
        <v>222002</v>
      </c>
      <c r="D331" s="283">
        <v>222</v>
      </c>
      <c r="F331" s="35" t="s">
        <v>2143</v>
      </c>
      <c r="O331" s="289" t="s">
        <v>1091</v>
      </c>
      <c r="P331" s="289" t="s">
        <v>1091</v>
      </c>
      <c r="Q331" s="58"/>
      <c r="R331" s="39"/>
      <c r="W331" s="104">
        <v>980017568</v>
      </c>
      <c r="AB331" s="104"/>
      <c r="AC331" s="58"/>
      <c r="AD331" s="58"/>
      <c r="AE331" s="58"/>
      <c r="AF331" s="58"/>
      <c r="AG331" s="58"/>
      <c r="AH331" s="279"/>
      <c r="AJ331" s="279" t="s">
        <v>1119</v>
      </c>
      <c r="AK331" s="279"/>
      <c r="AL331" s="523">
        <v>3</v>
      </c>
      <c r="AM331" s="35">
        <v>222002</v>
      </c>
      <c r="AN331" s="35" t="s">
        <v>2011</v>
      </c>
      <c r="AO331" s="35" t="s">
        <v>2350</v>
      </c>
      <c r="AP331" s="35" t="s">
        <v>2008</v>
      </c>
      <c r="AQ331" s="34" t="s">
        <v>2351</v>
      </c>
      <c r="AR331" s="35">
        <v>2</v>
      </c>
      <c r="AS331" s="35" t="s">
        <v>2151</v>
      </c>
      <c r="AT331" s="35" t="s">
        <v>157</v>
      </c>
      <c r="AU331" s="35" t="s">
        <v>10</v>
      </c>
      <c r="AV331" s="35" t="s">
        <v>1267</v>
      </c>
      <c r="AW331" s="35" t="s">
        <v>789</v>
      </c>
      <c r="AX331" s="34" t="s">
        <v>2290</v>
      </c>
      <c r="AY331" s="35" t="s">
        <v>494</v>
      </c>
      <c r="AZ331" s="35" t="s">
        <v>488</v>
      </c>
      <c r="BA331" s="35" t="s">
        <v>1262</v>
      </c>
      <c r="BB331" s="35" t="s">
        <v>10</v>
      </c>
      <c r="BC331" s="35" t="s">
        <v>142</v>
      </c>
      <c r="BD331" s="35" t="s">
        <v>157</v>
      </c>
      <c r="BE331" s="35" t="s">
        <v>2010</v>
      </c>
      <c r="BF331" s="35" t="s">
        <v>145</v>
      </c>
      <c r="BG331" s="35">
        <v>4311</v>
      </c>
      <c r="BH331" s="35" t="s">
        <v>139</v>
      </c>
      <c r="BI331" s="35">
        <v>0.5</v>
      </c>
      <c r="BJ331" s="35" t="s">
        <v>1560</v>
      </c>
      <c r="BK331" s="35" t="s">
        <v>1998</v>
      </c>
      <c r="BL331" s="35" t="s">
        <v>10</v>
      </c>
      <c r="BM331" s="35" t="s">
        <v>10</v>
      </c>
      <c r="BN331" s="35" t="s">
        <v>10</v>
      </c>
      <c r="BO331" s="35">
        <v>222002</v>
      </c>
      <c r="BW331" s="248"/>
      <c r="BX331" s="248"/>
      <c r="BY331" s="248"/>
      <c r="BZ331" s="248"/>
      <c r="CA331" s="248"/>
      <c r="CB331" s="248"/>
      <c r="CC331" s="248"/>
      <c r="CD331" s="248"/>
      <c r="CE331" s="248"/>
      <c r="CF331" s="248"/>
      <c r="CG331" s="248"/>
      <c r="CH331" s="248"/>
      <c r="CI331" s="248"/>
      <c r="CJ331" s="248"/>
      <c r="CK331" s="248"/>
      <c r="CL331" s="248"/>
      <c r="CM331" s="248"/>
      <c r="CN331" s="248"/>
      <c r="CO331" s="248"/>
      <c r="CP331" s="248"/>
      <c r="CQ331" s="248"/>
      <c r="CR331" s="248"/>
      <c r="CS331" s="248"/>
      <c r="CT331" s="248"/>
      <c r="CU331" s="248"/>
      <c r="CV331" s="248"/>
      <c r="CW331" s="248"/>
      <c r="CX331" s="248"/>
      <c r="CY331" s="248"/>
      <c r="CZ331" s="248"/>
      <c r="DA331" s="248"/>
      <c r="DB331" s="248"/>
      <c r="DC331" s="248"/>
      <c r="DD331" s="248"/>
      <c r="DE331" s="248"/>
      <c r="DF331" s="248"/>
      <c r="DG331" s="248"/>
      <c r="DH331" s="248"/>
      <c r="DI331" s="248"/>
      <c r="DJ331" s="248"/>
      <c r="DK331" s="248"/>
      <c r="DL331" s="248"/>
      <c r="DM331" s="248"/>
      <c r="DN331" s="248"/>
      <c r="DO331" s="248"/>
      <c r="DP331" s="248"/>
      <c r="DQ331" s="248"/>
      <c r="DR331" s="248"/>
      <c r="DS331" s="248"/>
      <c r="DT331" s="248"/>
      <c r="DU331" s="248"/>
      <c r="DV331" s="248"/>
      <c r="DW331" s="248"/>
      <c r="DX331" s="248"/>
      <c r="DY331" s="248"/>
      <c r="DZ331" s="248"/>
      <c r="EA331" s="248"/>
      <c r="EB331" s="248"/>
      <c r="EC331" s="248"/>
      <c r="ED331" s="248"/>
    </row>
    <row r="332" spans="1:135" s="35" customFormat="1" ht="30">
      <c r="A332" s="35" t="str">
        <f t="shared" si="12"/>
        <v>MIB_F               KS_HR_A</v>
      </c>
      <c r="B332" s="331"/>
      <c r="C332" s="248">
        <v>222003</v>
      </c>
      <c r="D332" s="283">
        <v>222</v>
      </c>
      <c r="F332" s="35" t="s">
        <v>2143</v>
      </c>
      <c r="O332" s="289" t="s">
        <v>1091</v>
      </c>
      <c r="P332" s="289" t="s">
        <v>1091</v>
      </c>
      <c r="Q332" s="58"/>
      <c r="R332" s="39"/>
      <c r="W332" s="368" t="s">
        <v>2367</v>
      </c>
      <c r="AA332" s="35" t="s">
        <v>2645</v>
      </c>
      <c r="AB332" s="104"/>
      <c r="AC332" s="58"/>
      <c r="AD332" s="58"/>
      <c r="AE332" s="58"/>
      <c r="AF332" s="58"/>
      <c r="AG332" s="58"/>
      <c r="AH332" s="279"/>
      <c r="AJ332" s="279" t="s">
        <v>1119</v>
      </c>
      <c r="AK332" s="279"/>
      <c r="AL332" s="523">
        <v>3</v>
      </c>
      <c r="AM332" s="35">
        <v>222003</v>
      </c>
      <c r="AN332" s="35" t="s">
        <v>1566</v>
      </c>
      <c r="AO332" s="35" t="s">
        <v>1267</v>
      </c>
      <c r="AP332" s="35" t="s">
        <v>789</v>
      </c>
      <c r="AQ332" s="34" t="s">
        <v>2290</v>
      </c>
      <c r="AR332" s="35">
        <v>1</v>
      </c>
      <c r="AS332" s="35" t="s">
        <v>488</v>
      </c>
      <c r="AT332" s="35" t="s">
        <v>490</v>
      </c>
      <c r="AU332" s="35" t="s">
        <v>10</v>
      </c>
      <c r="AV332" s="35" t="s">
        <v>2352</v>
      </c>
      <c r="AW332" s="35" t="s">
        <v>2012</v>
      </c>
      <c r="AX332" s="34" t="s">
        <v>2013</v>
      </c>
      <c r="AY332" s="35">
        <v>1</v>
      </c>
      <c r="AZ332" s="35" t="s">
        <v>2152</v>
      </c>
      <c r="BA332" s="35" t="s">
        <v>1074</v>
      </c>
      <c r="BB332" s="35" t="s">
        <v>10</v>
      </c>
      <c r="BC332" s="35" t="s">
        <v>142</v>
      </c>
      <c r="BD332" s="35" t="s">
        <v>1846</v>
      </c>
      <c r="BE332" s="35" t="s">
        <v>2015</v>
      </c>
      <c r="BF332" s="35" t="s">
        <v>143</v>
      </c>
      <c r="BG332" s="35">
        <v>4312</v>
      </c>
      <c r="BH332" s="35" t="s">
        <v>1415</v>
      </c>
      <c r="BI332" s="35">
        <v>0.35</v>
      </c>
      <c r="BJ332" s="35" t="s">
        <v>1567</v>
      </c>
      <c r="BK332" s="35" t="s">
        <v>1998</v>
      </c>
      <c r="BL332" s="35" t="s">
        <v>2001</v>
      </c>
      <c r="BM332" s="35" t="s">
        <v>10</v>
      </c>
      <c r="BN332" s="35" t="s">
        <v>10</v>
      </c>
      <c r="BO332" s="35">
        <v>222003</v>
      </c>
      <c r="BW332" s="248"/>
      <c r="BX332" s="248"/>
      <c r="BY332" s="248"/>
      <c r="BZ332" s="248"/>
      <c r="CA332" s="248"/>
      <c r="CB332" s="248"/>
      <c r="CC332" s="248"/>
      <c r="CD332" s="248"/>
      <c r="CE332" s="248"/>
      <c r="CF332" s="248"/>
      <c r="CG332" s="248"/>
      <c r="CH332" s="248"/>
      <c r="CI332" s="248"/>
      <c r="CJ332" s="248"/>
      <c r="CK332" s="248"/>
      <c r="CL332" s="248"/>
      <c r="CM332" s="248"/>
      <c r="CN332" s="248"/>
      <c r="CO332" s="248"/>
      <c r="CP332" s="248"/>
      <c r="CQ332" s="248"/>
      <c r="CR332" s="248"/>
      <c r="CS332" s="248"/>
      <c r="CT332" s="248"/>
      <c r="CU332" s="248"/>
      <c r="CV332" s="248"/>
      <c r="CW332" s="248"/>
      <c r="CX332" s="248"/>
      <c r="CY332" s="248"/>
      <c r="CZ332" s="248"/>
      <c r="DA332" s="248"/>
      <c r="DB332" s="248"/>
      <c r="DC332" s="248"/>
      <c r="DD332" s="248"/>
      <c r="DE332" s="248"/>
      <c r="DF332" s="248"/>
      <c r="DG332" s="248"/>
      <c r="DH332" s="248"/>
      <c r="DI332" s="248"/>
      <c r="DJ332" s="248"/>
      <c r="DK332" s="248"/>
      <c r="DL332" s="248"/>
      <c r="DM332" s="248"/>
      <c r="DN332" s="248"/>
      <c r="DO332" s="248"/>
      <c r="DP332" s="248"/>
      <c r="DQ332" s="248"/>
      <c r="DR332" s="248"/>
      <c r="DS332" s="248"/>
      <c r="DT332" s="248"/>
      <c r="DU332" s="248"/>
      <c r="DV332" s="248"/>
      <c r="DW332" s="248"/>
      <c r="DX332" s="248"/>
      <c r="DY332" s="248"/>
      <c r="DZ332" s="248"/>
      <c r="EA332" s="248"/>
      <c r="EB332" s="248"/>
      <c r="EC332" s="248"/>
      <c r="ED332" s="248"/>
    </row>
    <row r="333" spans="1:135" s="35" customFormat="1" ht="30">
      <c r="A333" s="35" t="str">
        <f t="shared" si="12"/>
        <v>MIB_F               KS_HR_A</v>
      </c>
      <c r="B333" s="331"/>
      <c r="C333" s="248">
        <v>222004</v>
      </c>
      <c r="D333" s="283">
        <v>222</v>
      </c>
      <c r="F333" s="35" t="s">
        <v>2143</v>
      </c>
      <c r="O333" s="289" t="s">
        <v>1091</v>
      </c>
      <c r="P333" s="289" t="s">
        <v>1091</v>
      </c>
      <c r="Q333" s="58"/>
      <c r="R333" s="39"/>
      <c r="W333" s="368" t="s">
        <v>2367</v>
      </c>
      <c r="AB333" s="104"/>
      <c r="AC333" s="58"/>
      <c r="AD333" s="58"/>
      <c r="AE333" s="58"/>
      <c r="AF333" s="58"/>
      <c r="AG333" s="58"/>
      <c r="AH333" s="279"/>
      <c r="AJ333" s="279" t="s">
        <v>1119</v>
      </c>
      <c r="AK333" s="279"/>
      <c r="AL333" s="523">
        <v>3</v>
      </c>
      <c r="AM333" s="35">
        <v>222004</v>
      </c>
      <c r="AN333" s="35" t="s">
        <v>1580</v>
      </c>
      <c r="AO333" s="35" t="s">
        <v>1267</v>
      </c>
      <c r="AP333" s="35" t="s">
        <v>789</v>
      </c>
      <c r="AQ333" s="34" t="s">
        <v>2290</v>
      </c>
      <c r="AR333" s="35" t="s">
        <v>493</v>
      </c>
      <c r="AS333" s="35" t="s">
        <v>488</v>
      </c>
      <c r="AT333" s="35" t="s">
        <v>1262</v>
      </c>
      <c r="AU333" s="35" t="s">
        <v>10</v>
      </c>
      <c r="AV333" s="35" t="s">
        <v>2352</v>
      </c>
      <c r="AW333" s="35" t="s">
        <v>2012</v>
      </c>
      <c r="AX333" s="34" t="s">
        <v>2013</v>
      </c>
      <c r="AY333" s="35">
        <v>2</v>
      </c>
      <c r="AZ333" s="35" t="s">
        <v>2152</v>
      </c>
      <c r="BA333" s="35" t="s">
        <v>157</v>
      </c>
      <c r="BB333" s="35" t="s">
        <v>10</v>
      </c>
      <c r="BC333" s="35" t="s">
        <v>142</v>
      </c>
      <c r="BD333" s="35" t="s">
        <v>157</v>
      </c>
      <c r="BE333" s="35" t="s">
        <v>2015</v>
      </c>
      <c r="BF333" s="35" t="s">
        <v>145</v>
      </c>
      <c r="BG333" s="35">
        <v>4312</v>
      </c>
      <c r="BH333" s="35" t="s">
        <v>139</v>
      </c>
      <c r="BI333" s="35">
        <v>0.5</v>
      </c>
      <c r="BJ333" s="35" t="s">
        <v>1568</v>
      </c>
      <c r="BK333" s="35" t="s">
        <v>1998</v>
      </c>
      <c r="BL333" s="35" t="s">
        <v>2001</v>
      </c>
      <c r="BM333" s="35" t="s">
        <v>10</v>
      </c>
      <c r="BN333" s="35" t="s">
        <v>10</v>
      </c>
      <c r="BO333" s="35">
        <v>222004</v>
      </c>
      <c r="BW333" s="248"/>
      <c r="BX333" s="248"/>
      <c r="BY333" s="248"/>
      <c r="BZ333" s="248"/>
      <c r="CA333" s="248"/>
      <c r="CB333" s="248"/>
      <c r="CC333" s="248"/>
      <c r="CD333" s="248"/>
      <c r="CE333" s="248"/>
      <c r="CF333" s="248"/>
      <c r="CG333" s="248"/>
      <c r="CH333" s="248"/>
      <c r="CI333" s="248"/>
      <c r="CJ333" s="248"/>
      <c r="CK333" s="248"/>
      <c r="CL333" s="248"/>
      <c r="CM333" s="248"/>
      <c r="CN333" s="248"/>
      <c r="CO333" s="248"/>
      <c r="CP333" s="248"/>
      <c r="CQ333" s="248"/>
      <c r="CR333" s="248"/>
      <c r="CS333" s="248"/>
      <c r="CT333" s="248"/>
      <c r="CU333" s="248"/>
      <c r="CV333" s="248"/>
      <c r="CW333" s="248"/>
      <c r="CX333" s="248"/>
      <c r="CY333" s="248"/>
      <c r="CZ333" s="248"/>
      <c r="DA333" s="248"/>
      <c r="DB333" s="248"/>
      <c r="DC333" s="248"/>
      <c r="DD333" s="248"/>
      <c r="DE333" s="248"/>
      <c r="DF333" s="248"/>
      <c r="DG333" s="248"/>
      <c r="DH333" s="248"/>
      <c r="DI333" s="248"/>
      <c r="DJ333" s="248"/>
      <c r="DK333" s="248"/>
      <c r="DL333" s="248"/>
      <c r="DM333" s="248"/>
      <c r="DN333" s="248"/>
      <c r="DO333" s="248"/>
      <c r="DP333" s="248"/>
      <c r="DQ333" s="248"/>
      <c r="DR333" s="248"/>
      <c r="DS333" s="248"/>
      <c r="DT333" s="248"/>
      <c r="DU333" s="248"/>
      <c r="DV333" s="248"/>
      <c r="DW333" s="248"/>
      <c r="DX333" s="248"/>
      <c r="DY333" s="248"/>
      <c r="DZ333" s="248"/>
      <c r="EA333" s="248"/>
      <c r="EB333" s="248"/>
      <c r="EC333" s="248"/>
      <c r="ED333" s="248"/>
    </row>
    <row r="334" spans="1:135" s="35" customFormat="1" ht="30">
      <c r="A334" s="35" t="str">
        <f t="shared" si="12"/>
        <v>MIB_F               KS_HR_B</v>
      </c>
      <c r="B334" s="331"/>
      <c r="C334" s="248">
        <v>222005</v>
      </c>
      <c r="D334" s="283">
        <v>222</v>
      </c>
      <c r="F334" s="35" t="s">
        <v>2143</v>
      </c>
      <c r="O334" s="289" t="s">
        <v>1091</v>
      </c>
      <c r="P334" s="289" t="s">
        <v>1091</v>
      </c>
      <c r="Q334" s="58"/>
      <c r="R334" s="39"/>
      <c r="W334" s="368" t="s">
        <v>2367</v>
      </c>
      <c r="AA334" s="35" t="s">
        <v>2645</v>
      </c>
      <c r="AB334" s="104"/>
      <c r="AC334" s="58"/>
      <c r="AD334" s="58"/>
      <c r="AE334" s="58"/>
      <c r="AF334" s="58"/>
      <c r="AG334" s="58"/>
      <c r="AH334" s="279"/>
      <c r="AJ334" s="279" t="s">
        <v>1119</v>
      </c>
      <c r="AK334" s="279"/>
      <c r="AL334" s="523">
        <v>3</v>
      </c>
      <c r="AM334" s="35">
        <v>222005</v>
      </c>
      <c r="AN334" s="35" t="s">
        <v>1569</v>
      </c>
      <c r="AO334" s="35" t="s">
        <v>1267</v>
      </c>
      <c r="AP334" s="35" t="s">
        <v>789</v>
      </c>
      <c r="AQ334" s="34" t="s">
        <v>2290</v>
      </c>
      <c r="AR334" s="35">
        <v>4</v>
      </c>
      <c r="AS334" s="35" t="s">
        <v>488</v>
      </c>
      <c r="AT334" s="35" t="s">
        <v>490</v>
      </c>
      <c r="AU334" s="35" t="s">
        <v>10</v>
      </c>
      <c r="AV334" s="35" t="s">
        <v>2547</v>
      </c>
      <c r="AW334" s="35" t="s">
        <v>2016</v>
      </c>
      <c r="AX334" s="34" t="s">
        <v>2017</v>
      </c>
      <c r="AY334" s="35">
        <v>1</v>
      </c>
      <c r="AZ334" s="35" t="s">
        <v>2153</v>
      </c>
      <c r="BA334" s="35" t="s">
        <v>1074</v>
      </c>
      <c r="BB334" s="35" t="s">
        <v>10</v>
      </c>
      <c r="BC334" s="35" t="s">
        <v>142</v>
      </c>
      <c r="BD334" s="35" t="s">
        <v>1846</v>
      </c>
      <c r="BE334" s="35" t="s">
        <v>2018</v>
      </c>
      <c r="BF334" s="35" t="s">
        <v>143</v>
      </c>
      <c r="BG334" s="35">
        <v>4313</v>
      </c>
      <c r="BH334" s="35" t="s">
        <v>1415</v>
      </c>
      <c r="BI334" s="35">
        <v>0.35</v>
      </c>
      <c r="BJ334" s="35" t="s">
        <v>799</v>
      </c>
      <c r="BK334" s="35" t="s">
        <v>1998</v>
      </c>
      <c r="BL334" s="35" t="s">
        <v>2001</v>
      </c>
      <c r="BM334" s="35" t="s">
        <v>10</v>
      </c>
      <c r="BN334" s="35" t="s">
        <v>10</v>
      </c>
      <c r="BO334" s="35">
        <v>222005</v>
      </c>
      <c r="BW334" s="248"/>
      <c r="BX334" s="248"/>
      <c r="BY334" s="248"/>
      <c r="BZ334" s="248"/>
      <c r="CA334" s="248"/>
      <c r="CB334" s="248"/>
      <c r="CC334" s="248"/>
      <c r="CD334" s="248"/>
      <c r="CE334" s="248"/>
      <c r="CF334" s="248"/>
      <c r="CG334" s="248"/>
      <c r="CH334" s="248"/>
      <c r="CI334" s="248"/>
      <c r="CJ334" s="248"/>
      <c r="CK334" s="248"/>
      <c r="CL334" s="248"/>
      <c r="CM334" s="248"/>
      <c r="CN334" s="248"/>
      <c r="CO334" s="248"/>
      <c r="CP334" s="248"/>
      <c r="CQ334" s="248"/>
      <c r="CR334" s="248"/>
      <c r="CS334" s="248"/>
      <c r="CT334" s="248"/>
      <c r="CU334" s="248"/>
      <c r="CV334" s="248"/>
      <c r="CW334" s="248"/>
      <c r="CX334" s="248"/>
      <c r="CY334" s="248"/>
      <c r="CZ334" s="248"/>
      <c r="DA334" s="248"/>
      <c r="DB334" s="248"/>
      <c r="DC334" s="248"/>
      <c r="DD334" s="248"/>
      <c r="DE334" s="248"/>
      <c r="DF334" s="248"/>
      <c r="DG334" s="248"/>
      <c r="DH334" s="248"/>
      <c r="DI334" s="248"/>
      <c r="DJ334" s="248"/>
      <c r="DK334" s="248"/>
      <c r="DL334" s="248"/>
      <c r="DM334" s="248"/>
      <c r="DN334" s="248"/>
      <c r="DO334" s="248"/>
      <c r="DP334" s="248"/>
      <c r="DQ334" s="248"/>
      <c r="DR334" s="248"/>
      <c r="DS334" s="248"/>
      <c r="DT334" s="248"/>
      <c r="DU334" s="248"/>
      <c r="DV334" s="248"/>
      <c r="DW334" s="248"/>
      <c r="DX334" s="248"/>
      <c r="DY334" s="248"/>
      <c r="DZ334" s="248"/>
      <c r="EA334" s="248"/>
      <c r="EB334" s="248"/>
      <c r="EC334" s="248"/>
      <c r="ED334" s="248"/>
    </row>
    <row r="335" spans="1:135" s="35" customFormat="1" ht="30">
      <c r="A335" s="35" t="str">
        <f t="shared" si="12"/>
        <v>MIB_F               KS_HR_B</v>
      </c>
      <c r="B335" s="331"/>
      <c r="C335" s="248">
        <v>222006</v>
      </c>
      <c r="D335" s="283">
        <v>222</v>
      </c>
      <c r="F335" s="35" t="s">
        <v>2143</v>
      </c>
      <c r="O335" s="289" t="s">
        <v>1091</v>
      </c>
      <c r="P335" s="289" t="s">
        <v>1091</v>
      </c>
      <c r="Q335" s="58"/>
      <c r="R335" s="39"/>
      <c r="W335" s="368" t="s">
        <v>2367</v>
      </c>
      <c r="AB335" s="104"/>
      <c r="AC335" s="58"/>
      <c r="AD335" s="58"/>
      <c r="AE335" s="58"/>
      <c r="AF335" s="58"/>
      <c r="AG335" s="58"/>
      <c r="AH335" s="279"/>
      <c r="AJ335" s="279" t="s">
        <v>1119</v>
      </c>
      <c r="AK335" s="279"/>
      <c r="AL335" s="523">
        <v>3</v>
      </c>
      <c r="AM335" s="35">
        <v>222006</v>
      </c>
      <c r="AN335" s="35" t="s">
        <v>2019</v>
      </c>
      <c r="AO335" s="35" t="s">
        <v>1267</v>
      </c>
      <c r="AP335" s="35" t="s">
        <v>789</v>
      </c>
      <c r="AQ335" s="34" t="s">
        <v>2290</v>
      </c>
      <c r="AR335" s="35" t="s">
        <v>491</v>
      </c>
      <c r="AS335" s="35" t="s">
        <v>488</v>
      </c>
      <c r="AT335" s="35" t="s">
        <v>1262</v>
      </c>
      <c r="AU335" s="35" t="s">
        <v>10</v>
      </c>
      <c r="AV335" s="35" t="s">
        <v>2547</v>
      </c>
      <c r="AW335" s="35" t="s">
        <v>2016</v>
      </c>
      <c r="AX335" s="34" t="s">
        <v>2017</v>
      </c>
      <c r="AY335" s="35">
        <v>2</v>
      </c>
      <c r="AZ335" s="35" t="s">
        <v>2153</v>
      </c>
      <c r="BA335" s="35" t="s">
        <v>157</v>
      </c>
      <c r="BB335" s="35" t="s">
        <v>10</v>
      </c>
      <c r="BC335" s="35" t="s">
        <v>142</v>
      </c>
      <c r="BD335" s="35" t="s">
        <v>157</v>
      </c>
      <c r="BE335" s="35" t="s">
        <v>2018</v>
      </c>
      <c r="BF335" s="35" t="s">
        <v>145</v>
      </c>
      <c r="BG335" s="35">
        <v>4313</v>
      </c>
      <c r="BH335" s="35" t="s">
        <v>139</v>
      </c>
      <c r="BI335" s="35">
        <v>0.5</v>
      </c>
      <c r="BJ335" s="35" t="s">
        <v>1571</v>
      </c>
      <c r="BK335" s="35" t="s">
        <v>1998</v>
      </c>
      <c r="BL335" s="35" t="s">
        <v>2001</v>
      </c>
      <c r="BM335" s="35" t="s">
        <v>10</v>
      </c>
      <c r="BN335" s="35" t="s">
        <v>10</v>
      </c>
      <c r="BO335" s="35">
        <v>222006</v>
      </c>
      <c r="BW335" s="248"/>
      <c r="BX335" s="248"/>
      <c r="BY335" s="248"/>
      <c r="BZ335" s="248"/>
      <c r="CA335" s="248"/>
      <c r="CB335" s="248"/>
      <c r="CC335" s="248"/>
      <c r="CD335" s="248"/>
      <c r="CE335" s="248"/>
      <c r="CF335" s="248"/>
      <c r="CG335" s="248"/>
      <c r="CH335" s="248"/>
      <c r="CI335" s="248"/>
      <c r="CJ335" s="248"/>
      <c r="CK335" s="248"/>
      <c r="CL335" s="248"/>
      <c r="CM335" s="248"/>
      <c r="CN335" s="248"/>
      <c r="CO335" s="248"/>
      <c r="CP335" s="248"/>
      <c r="CQ335" s="248"/>
      <c r="CR335" s="248"/>
      <c r="CS335" s="248"/>
      <c r="CT335" s="248"/>
      <c r="CU335" s="248"/>
      <c r="CV335" s="248"/>
      <c r="CW335" s="248"/>
      <c r="CX335" s="248"/>
      <c r="CY335" s="248"/>
      <c r="CZ335" s="248"/>
      <c r="DA335" s="248"/>
      <c r="DB335" s="248"/>
      <c r="DC335" s="248"/>
      <c r="DD335" s="248"/>
      <c r="DE335" s="248"/>
      <c r="DF335" s="248"/>
      <c r="DG335" s="248"/>
      <c r="DH335" s="248"/>
      <c r="DI335" s="248"/>
      <c r="DJ335" s="248"/>
      <c r="DK335" s="248"/>
      <c r="DL335" s="248"/>
      <c r="DM335" s="248"/>
      <c r="DN335" s="248"/>
      <c r="DO335" s="248"/>
      <c r="DP335" s="248"/>
      <c r="DQ335" s="248"/>
      <c r="DR335" s="248"/>
      <c r="DS335" s="248"/>
      <c r="DT335" s="248"/>
      <c r="DU335" s="248"/>
      <c r="DV335" s="248"/>
      <c r="DW335" s="248"/>
      <c r="DX335" s="248"/>
      <c r="DY335" s="248"/>
      <c r="DZ335" s="248"/>
      <c r="EA335" s="248"/>
      <c r="EB335" s="248"/>
      <c r="EC335" s="248"/>
      <c r="ED335" s="248"/>
    </row>
    <row r="336" spans="1:135" s="35" customFormat="1" ht="30">
      <c r="A336" s="35" t="str">
        <f t="shared" si="12"/>
        <v>MIB_F_NAR           KS_HR_A</v>
      </c>
      <c r="B336" s="331"/>
      <c r="C336" s="248">
        <v>222007</v>
      </c>
      <c r="D336" s="283">
        <v>222</v>
      </c>
      <c r="F336" s="35" t="s">
        <v>2143</v>
      </c>
      <c r="O336" s="289" t="s">
        <v>1091</v>
      </c>
      <c r="P336" s="289" t="s">
        <v>1091</v>
      </c>
      <c r="Q336" s="58"/>
      <c r="R336" s="39"/>
      <c r="W336" s="368" t="s">
        <v>2453</v>
      </c>
      <c r="AA336" s="35" t="s">
        <v>2645</v>
      </c>
      <c r="AB336" s="104"/>
      <c r="AC336" s="58"/>
      <c r="AD336" s="58"/>
      <c r="AE336" s="58"/>
      <c r="AF336" s="58"/>
      <c r="AG336" s="58"/>
      <c r="AH336" s="279"/>
      <c r="AJ336" s="279" t="s">
        <v>1119</v>
      </c>
      <c r="AK336" s="279"/>
      <c r="AL336" s="523">
        <v>3</v>
      </c>
      <c r="AM336" s="35">
        <v>222007</v>
      </c>
      <c r="AN336" s="35" t="s">
        <v>2020</v>
      </c>
      <c r="AO336" s="35" t="s">
        <v>1718</v>
      </c>
      <c r="AP336" s="35" t="s">
        <v>1260</v>
      </c>
      <c r="AQ336" s="34" t="s">
        <v>2292</v>
      </c>
      <c r="AR336" s="35">
        <v>1</v>
      </c>
      <c r="AS336" s="35" t="s">
        <v>1540</v>
      </c>
      <c r="AT336" s="35" t="s">
        <v>490</v>
      </c>
      <c r="AU336" s="35" t="s">
        <v>10</v>
      </c>
      <c r="AV336" s="35" t="s">
        <v>2352</v>
      </c>
      <c r="AW336" s="35" t="s">
        <v>2012</v>
      </c>
      <c r="AX336" s="34" t="s">
        <v>2013</v>
      </c>
      <c r="AY336" s="35">
        <v>1</v>
      </c>
      <c r="AZ336" s="35" t="s">
        <v>2152</v>
      </c>
      <c r="BA336" s="35" t="s">
        <v>1074</v>
      </c>
      <c r="BB336" s="35" t="s">
        <v>10</v>
      </c>
      <c r="BC336" s="35" t="s">
        <v>142</v>
      </c>
      <c r="BD336" s="35" t="s">
        <v>1846</v>
      </c>
      <c r="BE336" s="35" t="s">
        <v>2021</v>
      </c>
      <c r="BF336" s="35" t="s">
        <v>143</v>
      </c>
      <c r="BG336" s="35">
        <v>4312</v>
      </c>
      <c r="BH336" s="35" t="s">
        <v>1415</v>
      </c>
      <c r="BI336" s="35">
        <v>0.35</v>
      </c>
      <c r="BJ336" s="35" t="s">
        <v>1567</v>
      </c>
      <c r="BK336" s="35" t="s">
        <v>10</v>
      </c>
      <c r="BL336" s="35" t="s">
        <v>10</v>
      </c>
      <c r="BM336" s="35" t="s">
        <v>2004</v>
      </c>
      <c r="BN336" s="35" t="s">
        <v>2447</v>
      </c>
      <c r="BO336" s="35">
        <v>222007</v>
      </c>
      <c r="BW336" s="248"/>
      <c r="BX336" s="248"/>
      <c r="BY336" s="248"/>
      <c r="BZ336" s="248"/>
      <c r="CA336" s="248"/>
      <c r="CB336" s="248"/>
      <c r="CC336" s="248"/>
      <c r="CD336" s="248"/>
      <c r="CE336" s="248"/>
      <c r="CF336" s="248"/>
      <c r="CG336" s="248"/>
      <c r="CH336" s="248"/>
      <c r="CI336" s="248"/>
      <c r="CJ336" s="248"/>
      <c r="CK336" s="248"/>
      <c r="CL336" s="248"/>
      <c r="CM336" s="248"/>
      <c r="CN336" s="248"/>
      <c r="CO336" s="248"/>
      <c r="CP336" s="248"/>
      <c r="CQ336" s="248"/>
      <c r="CR336" s="248"/>
      <c r="CS336" s="248"/>
      <c r="CT336" s="248"/>
      <c r="CU336" s="248"/>
      <c r="CV336" s="248"/>
      <c r="CW336" s="248"/>
      <c r="CX336" s="248"/>
      <c r="CY336" s="248"/>
      <c r="CZ336" s="248"/>
      <c r="DA336" s="248"/>
      <c r="DB336" s="248"/>
      <c r="DC336" s="248"/>
      <c r="DD336" s="248"/>
      <c r="DE336" s="248"/>
      <c r="DF336" s="248"/>
      <c r="DG336" s="248"/>
      <c r="DH336" s="248"/>
      <c r="DI336" s="248"/>
      <c r="DJ336" s="248"/>
      <c r="DK336" s="248"/>
      <c r="DL336" s="248"/>
      <c r="DM336" s="248"/>
      <c r="DN336" s="248"/>
      <c r="DO336" s="248"/>
      <c r="DP336" s="248"/>
      <c r="DQ336" s="248"/>
      <c r="DR336" s="248"/>
      <c r="DS336" s="248"/>
      <c r="DT336" s="248"/>
      <c r="DU336" s="248"/>
      <c r="DV336" s="248"/>
      <c r="DW336" s="248"/>
      <c r="DX336" s="248"/>
      <c r="DY336" s="248"/>
      <c r="DZ336" s="248"/>
      <c r="EA336" s="248"/>
      <c r="EB336" s="248"/>
      <c r="EC336" s="248"/>
      <c r="ED336" s="248"/>
    </row>
    <row r="337" spans="1:135" s="35" customFormat="1" ht="30">
      <c r="A337" s="35" t="str">
        <f t="shared" si="12"/>
        <v>MIB_F_NAR           KS_HR_A</v>
      </c>
      <c r="B337" s="331"/>
      <c r="C337" s="248">
        <v>222008</v>
      </c>
      <c r="D337" s="283">
        <v>222</v>
      </c>
      <c r="F337" s="35" t="s">
        <v>2143</v>
      </c>
      <c r="O337" s="289" t="s">
        <v>1091</v>
      </c>
      <c r="P337" s="289" t="s">
        <v>1091</v>
      </c>
      <c r="Q337" s="58"/>
      <c r="R337" s="39"/>
      <c r="W337" s="368" t="s">
        <v>2453</v>
      </c>
      <c r="AB337" s="104"/>
      <c r="AC337" s="58"/>
      <c r="AD337" s="58"/>
      <c r="AE337" s="58"/>
      <c r="AF337" s="58"/>
      <c r="AG337" s="58"/>
      <c r="AH337" s="279"/>
      <c r="AJ337" s="279" t="s">
        <v>1119</v>
      </c>
      <c r="AK337" s="279"/>
      <c r="AL337" s="523">
        <v>3</v>
      </c>
      <c r="AM337" s="35">
        <v>222008</v>
      </c>
      <c r="AN337" s="35" t="s">
        <v>2022</v>
      </c>
      <c r="AO337" s="35" t="s">
        <v>1718</v>
      </c>
      <c r="AP337" s="35" t="s">
        <v>1260</v>
      </c>
      <c r="AQ337" s="34" t="s">
        <v>2292</v>
      </c>
      <c r="AR337" s="35" t="s">
        <v>493</v>
      </c>
      <c r="AS337" s="35" t="s">
        <v>1540</v>
      </c>
      <c r="AT337" s="35" t="s">
        <v>1262</v>
      </c>
      <c r="AU337" s="35" t="s">
        <v>10</v>
      </c>
      <c r="AV337" s="35" t="s">
        <v>2352</v>
      </c>
      <c r="AW337" s="35" t="s">
        <v>2012</v>
      </c>
      <c r="AX337" s="34" t="s">
        <v>2013</v>
      </c>
      <c r="AY337" s="35">
        <v>2</v>
      </c>
      <c r="AZ337" s="35" t="s">
        <v>2152</v>
      </c>
      <c r="BA337" s="35" t="s">
        <v>157</v>
      </c>
      <c r="BB337" s="35" t="s">
        <v>10</v>
      </c>
      <c r="BC337" s="35" t="s">
        <v>142</v>
      </c>
      <c r="BD337" s="35" t="s">
        <v>157</v>
      </c>
      <c r="BE337" s="35" t="s">
        <v>2021</v>
      </c>
      <c r="BF337" s="35" t="s">
        <v>145</v>
      </c>
      <c r="BG337" s="35">
        <v>4312</v>
      </c>
      <c r="BH337" s="35" t="s">
        <v>139</v>
      </c>
      <c r="BI337" s="35">
        <v>0.5</v>
      </c>
      <c r="BJ337" s="35" t="s">
        <v>1568</v>
      </c>
      <c r="BK337" s="35" t="s">
        <v>10</v>
      </c>
      <c r="BL337" s="35" t="s">
        <v>10</v>
      </c>
      <c r="BM337" s="35" t="s">
        <v>2004</v>
      </c>
      <c r="BN337" s="35" t="s">
        <v>2447</v>
      </c>
      <c r="BO337" s="35">
        <v>222008</v>
      </c>
      <c r="BW337" s="248"/>
      <c r="BX337" s="248"/>
      <c r="BY337" s="248"/>
      <c r="BZ337" s="248"/>
      <c r="CA337" s="248"/>
      <c r="CB337" s="248"/>
      <c r="CC337" s="248"/>
      <c r="CD337" s="248"/>
      <c r="CE337" s="248"/>
      <c r="CF337" s="248"/>
      <c r="CG337" s="248"/>
      <c r="CH337" s="248"/>
      <c r="CI337" s="248"/>
      <c r="CJ337" s="248"/>
      <c r="CK337" s="248"/>
      <c r="CL337" s="248"/>
      <c r="CM337" s="248"/>
      <c r="CN337" s="248"/>
      <c r="CO337" s="248"/>
      <c r="CP337" s="248"/>
      <c r="CQ337" s="248"/>
      <c r="CR337" s="248"/>
      <c r="CS337" s="248"/>
      <c r="CT337" s="248"/>
      <c r="CU337" s="248"/>
      <c r="CV337" s="248"/>
      <c r="CW337" s="248"/>
      <c r="CX337" s="248"/>
      <c r="CY337" s="248"/>
      <c r="CZ337" s="248"/>
      <c r="DA337" s="248"/>
      <c r="DB337" s="248"/>
      <c r="DC337" s="248"/>
      <c r="DD337" s="248"/>
      <c r="DE337" s="248"/>
      <c r="DF337" s="248"/>
      <c r="DG337" s="248"/>
      <c r="DH337" s="248"/>
      <c r="DI337" s="248"/>
      <c r="DJ337" s="248"/>
      <c r="DK337" s="248"/>
      <c r="DL337" s="248"/>
      <c r="DM337" s="248"/>
      <c r="DN337" s="248"/>
      <c r="DO337" s="248"/>
      <c r="DP337" s="248"/>
      <c r="DQ337" s="248"/>
      <c r="DR337" s="248"/>
      <c r="DS337" s="248"/>
      <c r="DT337" s="248"/>
      <c r="DU337" s="248"/>
      <c r="DV337" s="248"/>
      <c r="DW337" s="248"/>
      <c r="DX337" s="248"/>
      <c r="DY337" s="248"/>
      <c r="DZ337" s="248"/>
      <c r="EA337" s="248"/>
      <c r="EB337" s="248"/>
      <c r="EC337" s="248"/>
      <c r="ED337" s="248"/>
    </row>
    <row r="338" spans="1:135" s="35" customFormat="1" ht="30">
      <c r="A338" s="35" t="str">
        <f t="shared" si="12"/>
        <v>MIB_F_NAR           KS_HR_B</v>
      </c>
      <c r="B338" s="331"/>
      <c r="C338" s="248">
        <v>222009</v>
      </c>
      <c r="D338" s="283">
        <v>222</v>
      </c>
      <c r="F338" s="35" t="s">
        <v>2143</v>
      </c>
      <c r="O338" s="289" t="s">
        <v>1091</v>
      </c>
      <c r="P338" s="289" t="s">
        <v>1091</v>
      </c>
      <c r="Q338" s="58"/>
      <c r="R338" s="39"/>
      <c r="W338" s="368" t="s">
        <v>2453</v>
      </c>
      <c r="AA338" s="35" t="s">
        <v>2645</v>
      </c>
      <c r="AB338" s="104"/>
      <c r="AC338" s="58"/>
      <c r="AD338" s="58"/>
      <c r="AE338" s="58"/>
      <c r="AF338" s="58"/>
      <c r="AG338" s="58"/>
      <c r="AH338" s="279"/>
      <c r="AJ338" s="279" t="s">
        <v>1119</v>
      </c>
      <c r="AK338" s="279"/>
      <c r="AL338" s="523">
        <v>3</v>
      </c>
      <c r="AM338" s="35">
        <v>222009</v>
      </c>
      <c r="AN338" s="35" t="s">
        <v>2023</v>
      </c>
      <c r="AO338" s="35" t="s">
        <v>1718</v>
      </c>
      <c r="AP338" s="35" t="s">
        <v>1260</v>
      </c>
      <c r="AQ338" s="34" t="s">
        <v>2292</v>
      </c>
      <c r="AR338" s="35">
        <v>4</v>
      </c>
      <c r="AS338" s="35" t="s">
        <v>1540</v>
      </c>
      <c r="AT338" s="35" t="s">
        <v>490</v>
      </c>
      <c r="AU338" s="35" t="s">
        <v>10</v>
      </c>
      <c r="AV338" s="35" t="s">
        <v>2547</v>
      </c>
      <c r="AW338" s="35" t="s">
        <v>2016</v>
      </c>
      <c r="AX338" s="34" t="s">
        <v>2017</v>
      </c>
      <c r="AY338" s="35">
        <v>1</v>
      </c>
      <c r="AZ338" s="35" t="s">
        <v>2153</v>
      </c>
      <c r="BA338" s="35" t="s">
        <v>1074</v>
      </c>
      <c r="BB338" s="35" t="s">
        <v>10</v>
      </c>
      <c r="BC338" s="35" t="s">
        <v>142</v>
      </c>
      <c r="BD338" s="35" t="s">
        <v>1846</v>
      </c>
      <c r="BE338" s="35" t="s">
        <v>2024</v>
      </c>
      <c r="BF338" s="35" t="s">
        <v>143</v>
      </c>
      <c r="BG338" s="35">
        <v>4313</v>
      </c>
      <c r="BH338" s="35" t="s">
        <v>1415</v>
      </c>
      <c r="BI338" s="35">
        <v>0.35</v>
      </c>
      <c r="BJ338" s="35" t="s">
        <v>799</v>
      </c>
      <c r="BK338" s="35" t="s">
        <v>10</v>
      </c>
      <c r="BL338" s="35" t="s">
        <v>10</v>
      </c>
      <c r="BM338" s="35" t="s">
        <v>2004</v>
      </c>
      <c r="BN338" s="35" t="s">
        <v>2447</v>
      </c>
      <c r="BO338" s="35">
        <v>222009</v>
      </c>
      <c r="BW338" s="248"/>
      <c r="BX338" s="248"/>
      <c r="BY338" s="248"/>
      <c r="BZ338" s="248"/>
      <c r="CA338" s="248"/>
      <c r="CB338" s="248"/>
      <c r="CC338" s="248"/>
      <c r="CD338" s="248"/>
      <c r="CE338" s="248"/>
      <c r="CF338" s="248"/>
      <c r="CG338" s="248"/>
      <c r="CH338" s="248"/>
      <c r="CI338" s="248"/>
      <c r="CJ338" s="248"/>
      <c r="CK338" s="248"/>
      <c r="CL338" s="248"/>
      <c r="CM338" s="248"/>
      <c r="CN338" s="248"/>
      <c r="CO338" s="248"/>
      <c r="CP338" s="248"/>
      <c r="CQ338" s="248"/>
      <c r="CR338" s="248"/>
      <c r="CS338" s="248"/>
      <c r="CT338" s="248"/>
      <c r="CU338" s="248"/>
      <c r="CV338" s="248"/>
      <c r="CW338" s="248"/>
      <c r="CX338" s="248"/>
      <c r="CY338" s="248"/>
      <c r="CZ338" s="248"/>
      <c r="DA338" s="248"/>
      <c r="DB338" s="248"/>
      <c r="DC338" s="248"/>
      <c r="DD338" s="248"/>
      <c r="DE338" s="248"/>
      <c r="DF338" s="248"/>
      <c r="DG338" s="248"/>
      <c r="DH338" s="248"/>
      <c r="DI338" s="248"/>
      <c r="DJ338" s="248"/>
      <c r="DK338" s="248"/>
      <c r="DL338" s="248"/>
      <c r="DM338" s="248"/>
      <c r="DN338" s="248"/>
      <c r="DO338" s="248"/>
      <c r="DP338" s="248"/>
      <c r="DQ338" s="248"/>
      <c r="DR338" s="248"/>
      <c r="DS338" s="248"/>
      <c r="DT338" s="248"/>
      <c r="DU338" s="248"/>
      <c r="DV338" s="248"/>
      <c r="DW338" s="248"/>
      <c r="DX338" s="248"/>
      <c r="DY338" s="248"/>
      <c r="DZ338" s="248"/>
      <c r="EA338" s="248"/>
      <c r="EB338" s="248"/>
      <c r="EC338" s="248"/>
      <c r="ED338" s="248"/>
    </row>
    <row r="339" spans="1:135" s="35" customFormat="1" ht="30">
      <c r="A339" s="35" t="str">
        <f t="shared" si="12"/>
        <v>MIB_F_NAR           KS_HR_B</v>
      </c>
      <c r="B339" s="331"/>
      <c r="C339" s="248">
        <v>222010</v>
      </c>
      <c r="D339" s="283">
        <v>222</v>
      </c>
      <c r="F339" s="35" t="s">
        <v>2143</v>
      </c>
      <c r="O339" s="289" t="s">
        <v>1091</v>
      </c>
      <c r="P339" s="289" t="s">
        <v>1091</v>
      </c>
      <c r="Q339" s="58"/>
      <c r="R339" s="39"/>
      <c r="W339" s="368" t="s">
        <v>2453</v>
      </c>
      <c r="AB339" s="104"/>
      <c r="AC339" s="58"/>
      <c r="AD339" s="58"/>
      <c r="AE339" s="58"/>
      <c r="AF339" s="58"/>
      <c r="AG339" s="58"/>
      <c r="AH339" s="279"/>
      <c r="AJ339" s="279" t="s">
        <v>1119</v>
      </c>
      <c r="AK339" s="279"/>
      <c r="AL339" s="523">
        <v>3</v>
      </c>
      <c r="AM339" s="35">
        <v>222010</v>
      </c>
      <c r="AN339" s="35" t="s">
        <v>2025</v>
      </c>
      <c r="AO339" s="35" t="s">
        <v>1718</v>
      </c>
      <c r="AP339" s="35" t="s">
        <v>1260</v>
      </c>
      <c r="AQ339" s="34" t="s">
        <v>2292</v>
      </c>
      <c r="AR339" s="35" t="s">
        <v>491</v>
      </c>
      <c r="AS339" s="35" t="s">
        <v>1540</v>
      </c>
      <c r="AT339" s="35" t="s">
        <v>1262</v>
      </c>
      <c r="AU339" s="35" t="s">
        <v>10</v>
      </c>
      <c r="AV339" s="35" t="s">
        <v>2547</v>
      </c>
      <c r="AW339" s="35" t="s">
        <v>2016</v>
      </c>
      <c r="AX339" s="34" t="s">
        <v>2017</v>
      </c>
      <c r="AY339" s="35">
        <v>2</v>
      </c>
      <c r="AZ339" s="35" t="s">
        <v>2153</v>
      </c>
      <c r="BA339" s="35" t="s">
        <v>157</v>
      </c>
      <c r="BB339" s="35" t="s">
        <v>10</v>
      </c>
      <c r="BC339" s="35" t="s">
        <v>142</v>
      </c>
      <c r="BD339" s="35" t="s">
        <v>157</v>
      </c>
      <c r="BE339" s="35" t="s">
        <v>2024</v>
      </c>
      <c r="BF339" s="35" t="s">
        <v>145</v>
      </c>
      <c r="BG339" s="35">
        <v>4313</v>
      </c>
      <c r="BH339" s="35" t="s">
        <v>139</v>
      </c>
      <c r="BI339" s="35">
        <v>0.5</v>
      </c>
      <c r="BJ339" s="35" t="s">
        <v>1571</v>
      </c>
      <c r="BK339" s="35" t="s">
        <v>10</v>
      </c>
      <c r="BL339" s="35" t="s">
        <v>10</v>
      </c>
      <c r="BM339" s="35" t="s">
        <v>2004</v>
      </c>
      <c r="BN339" s="35" t="s">
        <v>2447</v>
      </c>
      <c r="BO339" s="35">
        <v>222010</v>
      </c>
      <c r="BW339" s="248"/>
      <c r="BX339" s="248"/>
      <c r="BY339" s="248"/>
      <c r="BZ339" s="248"/>
      <c r="CA339" s="248"/>
      <c r="CB339" s="248"/>
      <c r="CC339" s="248"/>
      <c r="CD339" s="248"/>
      <c r="CE339" s="248"/>
      <c r="CF339" s="248"/>
      <c r="CG339" s="248"/>
      <c r="CH339" s="248"/>
      <c r="CI339" s="248"/>
      <c r="CJ339" s="248"/>
      <c r="CK339" s="248"/>
      <c r="CL339" s="248"/>
      <c r="CM339" s="248"/>
      <c r="CN339" s="248"/>
      <c r="CO339" s="248"/>
      <c r="CP339" s="248"/>
      <c r="CQ339" s="248"/>
      <c r="CR339" s="248"/>
      <c r="CS339" s="248"/>
      <c r="CT339" s="248"/>
      <c r="CU339" s="248"/>
      <c r="CV339" s="248"/>
      <c r="CW339" s="248"/>
      <c r="CX339" s="248"/>
      <c r="CY339" s="248"/>
      <c r="CZ339" s="248"/>
      <c r="DA339" s="248"/>
      <c r="DB339" s="248"/>
      <c r="DC339" s="248"/>
      <c r="DD339" s="248"/>
      <c r="DE339" s="248"/>
      <c r="DF339" s="248"/>
      <c r="DG339" s="248"/>
      <c r="DH339" s="248"/>
      <c r="DI339" s="248"/>
      <c r="DJ339" s="248"/>
      <c r="DK339" s="248"/>
      <c r="DL339" s="248"/>
      <c r="DM339" s="248"/>
      <c r="DN339" s="248"/>
      <c r="DO339" s="248"/>
      <c r="DP339" s="248"/>
      <c r="DQ339" s="248"/>
      <c r="DR339" s="248"/>
      <c r="DS339" s="248"/>
      <c r="DT339" s="248"/>
      <c r="DU339" s="248"/>
      <c r="DV339" s="248"/>
      <c r="DW339" s="248"/>
      <c r="DX339" s="248"/>
      <c r="DY339" s="248"/>
      <c r="DZ339" s="248"/>
      <c r="EA339" s="248"/>
      <c r="EB339" s="248"/>
      <c r="EC339" s="248"/>
      <c r="ED339" s="248"/>
    </row>
    <row r="340" spans="1:135" s="35" customFormat="1" ht="16.5">
      <c r="A340" s="35" t="str">
        <f t="shared" si="12"/>
        <v>MIB_F_NAR           KS_HR_C_SDARS</v>
      </c>
      <c r="B340" s="331"/>
      <c r="C340" s="248">
        <v>222011</v>
      </c>
      <c r="D340" s="283">
        <v>222</v>
      </c>
      <c r="F340" s="35" t="s">
        <v>2143</v>
      </c>
      <c r="O340" s="289" t="s">
        <v>1091</v>
      </c>
      <c r="P340" s="289" t="s">
        <v>1091</v>
      </c>
      <c r="Q340" s="58"/>
      <c r="R340" s="39"/>
      <c r="W340" s="104">
        <v>980017570</v>
      </c>
      <c r="AA340" s="35" t="s">
        <v>2645</v>
      </c>
      <c r="AB340" s="104"/>
      <c r="AC340" s="58"/>
      <c r="AD340" s="58"/>
      <c r="AE340" s="58"/>
      <c r="AF340" s="58"/>
      <c r="AG340" s="58"/>
      <c r="AH340" s="279"/>
      <c r="AJ340" s="279" t="s">
        <v>1119</v>
      </c>
      <c r="AK340" s="279"/>
      <c r="AL340" s="523">
        <v>3</v>
      </c>
      <c r="AM340" s="35">
        <v>222011</v>
      </c>
      <c r="AN340" s="35" t="s">
        <v>1561</v>
      </c>
      <c r="AO340" s="35" t="s">
        <v>1718</v>
      </c>
      <c r="AP340" s="35" t="s">
        <v>1260</v>
      </c>
      <c r="AQ340" s="34" t="s">
        <v>2292</v>
      </c>
      <c r="AR340" s="35">
        <v>3</v>
      </c>
      <c r="AS340" s="35" t="s">
        <v>1540</v>
      </c>
      <c r="AT340" s="35" t="s">
        <v>490</v>
      </c>
      <c r="AU340" s="35" t="s">
        <v>10</v>
      </c>
      <c r="AV340" s="35" t="s">
        <v>2354</v>
      </c>
      <c r="AW340" s="35" t="s">
        <v>2355</v>
      </c>
      <c r="AX340" s="34" t="s">
        <v>2356</v>
      </c>
      <c r="AY340" s="35">
        <v>1</v>
      </c>
      <c r="AZ340" s="35" t="s">
        <v>2105</v>
      </c>
      <c r="BA340" s="35" t="s">
        <v>1074</v>
      </c>
      <c r="BB340" s="35" t="s">
        <v>10</v>
      </c>
      <c r="BC340" s="35" t="s">
        <v>142</v>
      </c>
      <c r="BD340" s="35" t="s">
        <v>1846</v>
      </c>
      <c r="BE340" s="35" t="s">
        <v>2026</v>
      </c>
      <c r="BF340" s="35" t="s">
        <v>143</v>
      </c>
      <c r="BG340" s="35">
        <v>4311</v>
      </c>
      <c r="BH340" s="35" t="s">
        <v>1415</v>
      </c>
      <c r="BI340" s="35">
        <v>0.35</v>
      </c>
      <c r="BJ340" s="35" t="s">
        <v>1563</v>
      </c>
      <c r="BK340" s="35" t="s">
        <v>10</v>
      </c>
      <c r="BL340" s="35" t="s">
        <v>10</v>
      </c>
      <c r="BM340" s="35" t="s">
        <v>2004</v>
      </c>
      <c r="BN340" s="35" t="s">
        <v>10</v>
      </c>
      <c r="BO340" s="35">
        <v>222011</v>
      </c>
      <c r="BW340" s="248"/>
      <c r="BX340" s="248"/>
      <c r="BY340" s="248"/>
      <c r="BZ340" s="248"/>
      <c r="CA340" s="248"/>
      <c r="CB340" s="248"/>
      <c r="CC340" s="248"/>
      <c r="CD340" s="248"/>
      <c r="CE340" s="248"/>
      <c r="CF340" s="248"/>
      <c r="CG340" s="248"/>
      <c r="CH340" s="248"/>
      <c r="CI340" s="248"/>
      <c r="CJ340" s="248"/>
      <c r="CK340" s="248"/>
      <c r="CL340" s="248"/>
      <c r="CM340" s="248"/>
      <c r="CN340" s="248"/>
      <c r="CO340" s="248"/>
      <c r="CP340" s="248"/>
      <c r="CQ340" s="248"/>
      <c r="CR340" s="248"/>
      <c r="CS340" s="248"/>
      <c r="CT340" s="248"/>
      <c r="CU340" s="248"/>
      <c r="CV340" s="248"/>
      <c r="CW340" s="248"/>
      <c r="CX340" s="248"/>
      <c r="CY340" s="248"/>
      <c r="CZ340" s="248"/>
      <c r="DA340" s="248"/>
      <c r="DB340" s="248"/>
      <c r="DC340" s="248"/>
      <c r="DD340" s="248"/>
      <c r="DE340" s="248"/>
      <c r="DF340" s="248"/>
      <c r="DG340" s="248"/>
      <c r="DH340" s="248"/>
      <c r="DI340" s="248"/>
      <c r="DJ340" s="248"/>
      <c r="DK340" s="248"/>
      <c r="DL340" s="248"/>
      <c r="DM340" s="248"/>
      <c r="DN340" s="248"/>
      <c r="DO340" s="248"/>
      <c r="DP340" s="248"/>
      <c r="DQ340" s="248"/>
      <c r="DR340" s="248"/>
      <c r="DS340" s="248"/>
      <c r="DT340" s="248"/>
      <c r="DU340" s="248"/>
      <c r="DV340" s="248"/>
      <c r="DW340" s="248"/>
      <c r="DX340" s="248"/>
      <c r="DY340" s="248"/>
      <c r="DZ340" s="248"/>
      <c r="EA340" s="248"/>
      <c r="EB340" s="248"/>
      <c r="EC340" s="248"/>
      <c r="ED340" s="248"/>
    </row>
    <row r="341" spans="1:135" s="35" customFormat="1" ht="16.5">
      <c r="A341" s="35" t="str">
        <f t="shared" si="12"/>
        <v>MIB_F_NAR           KS_HR_C_SDARS</v>
      </c>
      <c r="B341" s="331"/>
      <c r="C341" s="248">
        <v>222012</v>
      </c>
      <c r="D341" s="283">
        <v>222</v>
      </c>
      <c r="F341" s="35" t="s">
        <v>2143</v>
      </c>
      <c r="O341" s="289" t="s">
        <v>1091</v>
      </c>
      <c r="P341" s="289" t="s">
        <v>1091</v>
      </c>
      <c r="Q341" s="58"/>
      <c r="R341" s="39"/>
      <c r="W341" s="104">
        <v>980017570</v>
      </c>
      <c r="AB341" s="104"/>
      <c r="AC341" s="58"/>
      <c r="AD341" s="58"/>
      <c r="AE341" s="58"/>
      <c r="AF341" s="58"/>
      <c r="AG341" s="58"/>
      <c r="AH341" s="279"/>
      <c r="AJ341" s="279" t="s">
        <v>1119</v>
      </c>
      <c r="AK341" s="279"/>
      <c r="AL341" s="523">
        <v>3</v>
      </c>
      <c r="AM341" s="35">
        <v>222012</v>
      </c>
      <c r="AN341" s="35" t="s">
        <v>1564</v>
      </c>
      <c r="AO341" s="35" t="s">
        <v>1718</v>
      </c>
      <c r="AP341" s="35" t="s">
        <v>1260</v>
      </c>
      <c r="AQ341" s="34" t="s">
        <v>2292</v>
      </c>
      <c r="AR341" s="35" t="s">
        <v>494</v>
      </c>
      <c r="AS341" s="35" t="s">
        <v>1540</v>
      </c>
      <c r="AT341" s="35" t="s">
        <v>1262</v>
      </c>
      <c r="AU341" s="35" t="s">
        <v>10</v>
      </c>
      <c r="AV341" s="35" t="s">
        <v>2354</v>
      </c>
      <c r="AW341" s="35" t="s">
        <v>2355</v>
      </c>
      <c r="AX341" s="34" t="s">
        <v>2356</v>
      </c>
      <c r="AY341" s="35">
        <v>2</v>
      </c>
      <c r="AZ341" s="35" t="s">
        <v>2105</v>
      </c>
      <c r="BA341" s="35" t="s">
        <v>157</v>
      </c>
      <c r="BB341" s="35" t="s">
        <v>10</v>
      </c>
      <c r="BC341" s="35" t="s">
        <v>142</v>
      </c>
      <c r="BD341" s="35" t="s">
        <v>157</v>
      </c>
      <c r="BE341" s="35" t="s">
        <v>2026</v>
      </c>
      <c r="BF341" s="35" t="s">
        <v>145</v>
      </c>
      <c r="BG341" s="35">
        <v>4311</v>
      </c>
      <c r="BH341" s="35" t="s">
        <v>139</v>
      </c>
      <c r="BI341" s="35">
        <v>0.5</v>
      </c>
      <c r="BJ341" s="35" t="s">
        <v>1565</v>
      </c>
      <c r="BK341" s="35" t="s">
        <v>10</v>
      </c>
      <c r="BL341" s="35" t="s">
        <v>10</v>
      </c>
      <c r="BM341" s="35" t="s">
        <v>2004</v>
      </c>
      <c r="BN341" s="35" t="s">
        <v>10</v>
      </c>
      <c r="BO341" s="35">
        <v>222012</v>
      </c>
      <c r="BW341" s="248"/>
      <c r="BX341" s="248"/>
      <c r="BY341" s="248"/>
      <c r="BZ341" s="248"/>
      <c r="CA341" s="248"/>
      <c r="CB341" s="248"/>
      <c r="CC341" s="248"/>
      <c r="CD341" s="248"/>
      <c r="CE341" s="248"/>
      <c r="CF341" s="248"/>
      <c r="CG341" s="248"/>
      <c r="CH341" s="248"/>
      <c r="CI341" s="248"/>
      <c r="CJ341" s="248"/>
      <c r="CK341" s="248"/>
      <c r="CL341" s="248"/>
      <c r="CM341" s="248"/>
      <c r="CN341" s="248"/>
      <c r="CO341" s="248"/>
      <c r="CP341" s="248"/>
      <c r="CQ341" s="248"/>
      <c r="CR341" s="248"/>
      <c r="CS341" s="248"/>
      <c r="CT341" s="248"/>
      <c r="CU341" s="248"/>
      <c r="CV341" s="248"/>
      <c r="CW341" s="248"/>
      <c r="CX341" s="248"/>
      <c r="CY341" s="248"/>
      <c r="CZ341" s="248"/>
      <c r="DA341" s="248"/>
      <c r="DB341" s="248"/>
      <c r="DC341" s="248"/>
      <c r="DD341" s="248"/>
      <c r="DE341" s="248"/>
      <c r="DF341" s="248"/>
      <c r="DG341" s="248"/>
      <c r="DH341" s="248"/>
      <c r="DI341" s="248"/>
      <c r="DJ341" s="248"/>
      <c r="DK341" s="248"/>
      <c r="DL341" s="248"/>
      <c r="DM341" s="248"/>
      <c r="DN341" s="248"/>
      <c r="DO341" s="248"/>
      <c r="DP341" s="248"/>
      <c r="DQ341" s="248"/>
      <c r="DR341" s="248"/>
      <c r="DS341" s="248"/>
      <c r="DT341" s="248"/>
      <c r="DU341" s="248"/>
      <c r="DV341" s="248"/>
      <c r="DW341" s="248"/>
      <c r="DX341" s="248"/>
      <c r="DY341" s="248"/>
      <c r="DZ341" s="248"/>
      <c r="EA341" s="248"/>
      <c r="EB341" s="248"/>
      <c r="EC341" s="248"/>
      <c r="ED341" s="248"/>
    </row>
    <row r="342" spans="1:135" s="35" customFormat="1" ht="16.5">
      <c r="A342" s="35" t="str">
        <f t="shared" si="12"/>
        <v xml:space="preserve">                    </v>
      </c>
      <c r="B342" s="331"/>
      <c r="D342" s="283">
        <v>230</v>
      </c>
      <c r="O342" s="34"/>
      <c r="P342" s="34"/>
      <c r="Q342" s="58"/>
      <c r="R342" s="39"/>
      <c r="W342" s="170"/>
      <c r="AH342" s="279"/>
      <c r="AJ342" s="279"/>
      <c r="AK342" s="279"/>
      <c r="AL342" s="523">
        <v>1</v>
      </c>
      <c r="AM342" s="35" t="s">
        <v>330</v>
      </c>
      <c r="AQ342" s="34"/>
      <c r="AX342" s="34"/>
      <c r="BW342" s="248"/>
      <c r="BX342" s="248"/>
      <c r="BY342" s="248"/>
      <c r="BZ342" s="248"/>
      <c r="CA342" s="248"/>
      <c r="CB342" s="248"/>
      <c r="CC342" s="248"/>
      <c r="CD342" s="248"/>
      <c r="CE342" s="248"/>
      <c r="CF342" s="248"/>
      <c r="CG342" s="248"/>
      <c r="CH342" s="248"/>
      <c r="CI342" s="248"/>
      <c r="CJ342" s="248"/>
      <c r="CK342" s="248"/>
      <c r="CL342" s="248"/>
      <c r="CM342" s="248"/>
      <c r="CN342" s="248"/>
      <c r="CO342" s="248"/>
      <c r="CP342" s="248"/>
      <c r="CQ342" s="248"/>
      <c r="CR342" s="248"/>
      <c r="CS342" s="248"/>
      <c r="CT342" s="248"/>
      <c r="CU342" s="248"/>
      <c r="CV342" s="248"/>
      <c r="CW342" s="248"/>
      <c r="CX342" s="248"/>
      <c r="CY342" s="248"/>
      <c r="CZ342" s="248"/>
      <c r="DA342" s="248"/>
      <c r="DB342" s="248"/>
      <c r="DC342" s="248"/>
      <c r="DD342" s="248"/>
      <c r="DE342" s="248"/>
      <c r="DF342" s="248"/>
      <c r="DG342" s="248"/>
      <c r="DH342" s="248"/>
      <c r="DI342" s="248"/>
      <c r="DJ342" s="248"/>
      <c r="DK342" s="248"/>
      <c r="DL342" s="248"/>
      <c r="DM342" s="248"/>
      <c r="DN342" s="248"/>
      <c r="DO342" s="248"/>
      <c r="DP342" s="248"/>
      <c r="DQ342" s="248"/>
      <c r="DR342" s="248"/>
      <c r="DS342" s="248"/>
      <c r="DT342" s="248"/>
      <c r="DU342" s="248"/>
      <c r="DV342" s="248"/>
      <c r="DW342" s="248"/>
      <c r="DX342" s="248"/>
      <c r="DY342" s="248"/>
      <c r="DZ342" s="248"/>
      <c r="EA342" s="248"/>
      <c r="EB342" s="248"/>
      <c r="EC342" s="248"/>
      <c r="ED342" s="248"/>
      <c r="EE342" s="248"/>
    </row>
    <row r="343" spans="1:135" s="35" customFormat="1" ht="16.5">
      <c r="A343" s="35" t="str">
        <f t="shared" si="12"/>
        <v xml:space="preserve">                    </v>
      </c>
      <c r="B343" s="331"/>
      <c r="D343" s="283">
        <v>230</v>
      </c>
      <c r="O343" s="34"/>
      <c r="P343" s="34"/>
      <c r="Q343" s="58"/>
      <c r="R343" s="39"/>
      <c r="AH343" s="279"/>
      <c r="AJ343" s="279"/>
      <c r="AK343" s="279"/>
      <c r="AL343" s="523">
        <v>2</v>
      </c>
      <c r="AM343" s="35" t="s">
        <v>0</v>
      </c>
      <c r="AN343" s="35" t="s">
        <v>806</v>
      </c>
      <c r="AO343" s="35" t="s">
        <v>2168</v>
      </c>
      <c r="AP343" s="35" t="s">
        <v>2027</v>
      </c>
      <c r="AQ343" s="34"/>
      <c r="AR343" s="35" t="s">
        <v>522</v>
      </c>
      <c r="AS343" s="35" t="s">
        <v>11</v>
      </c>
      <c r="AX343" s="34"/>
      <c r="BW343" s="248"/>
      <c r="BX343" s="248"/>
      <c r="BY343" s="248"/>
      <c r="BZ343" s="248"/>
      <c r="CA343" s="248"/>
      <c r="CB343" s="248"/>
      <c r="CC343" s="248"/>
      <c r="CD343" s="248"/>
      <c r="CE343" s="248"/>
      <c r="CF343" s="248"/>
      <c r="CG343" s="248"/>
      <c r="CH343" s="248"/>
      <c r="CI343" s="248"/>
      <c r="CJ343" s="248"/>
      <c r="CK343" s="248"/>
      <c r="CL343" s="248"/>
      <c r="CM343" s="248"/>
      <c r="CN343" s="248"/>
      <c r="CO343" s="248"/>
      <c r="CP343" s="248"/>
      <c r="CQ343" s="248"/>
      <c r="CR343" s="248"/>
      <c r="CS343" s="248"/>
      <c r="CT343" s="248"/>
      <c r="CU343" s="248"/>
      <c r="CV343" s="248"/>
      <c r="CW343" s="248"/>
      <c r="CX343" s="248"/>
      <c r="CY343" s="248"/>
      <c r="CZ343" s="248"/>
      <c r="DA343" s="248"/>
      <c r="DB343" s="248"/>
      <c r="DC343" s="248"/>
      <c r="DD343" s="248"/>
      <c r="DE343" s="248"/>
      <c r="DF343" s="248"/>
      <c r="DG343" s="248"/>
      <c r="DH343" s="248"/>
      <c r="DI343" s="248"/>
      <c r="DJ343" s="248"/>
      <c r="DK343" s="248"/>
      <c r="DL343" s="248"/>
      <c r="DM343" s="248"/>
      <c r="DN343" s="248"/>
      <c r="DO343" s="248"/>
      <c r="DP343" s="248"/>
      <c r="DQ343" s="248"/>
      <c r="DR343" s="248"/>
      <c r="DS343" s="248"/>
      <c r="DT343" s="248"/>
      <c r="DU343" s="248"/>
      <c r="DV343" s="248"/>
      <c r="DW343" s="248"/>
      <c r="DX343" s="248"/>
      <c r="DY343" s="248"/>
      <c r="DZ343" s="248"/>
      <c r="EA343" s="248"/>
      <c r="EB343" s="248"/>
      <c r="EC343" s="248"/>
      <c r="ED343" s="248"/>
      <c r="EE343" s="248"/>
    </row>
    <row r="344" spans="1:135" s="35" customFormat="1" ht="16.5">
      <c r="A344" s="35" t="str">
        <f t="shared" si="12"/>
        <v>Kurzname            Kurzname</v>
      </c>
      <c r="B344" s="331"/>
      <c r="D344" s="283">
        <v>230</v>
      </c>
      <c r="O344" s="34"/>
      <c r="P344" s="34"/>
      <c r="Q344" s="58"/>
      <c r="R344" s="39"/>
      <c r="W344" s="39"/>
      <c r="AH344" s="279"/>
      <c r="AJ344" s="279"/>
      <c r="AK344" s="279"/>
      <c r="AL344" s="523">
        <v>0</v>
      </c>
      <c r="AM344" s="35" t="s">
        <v>12</v>
      </c>
      <c r="AN344" s="35" t="s">
        <v>13</v>
      </c>
      <c r="AO344" s="35" t="s">
        <v>356</v>
      </c>
      <c r="AP344" s="35" t="s">
        <v>14</v>
      </c>
      <c r="AQ344" s="34" t="s">
        <v>7</v>
      </c>
      <c r="AR344" s="35" t="s">
        <v>15</v>
      </c>
      <c r="AS344" s="35" t="s">
        <v>8</v>
      </c>
      <c r="AT344" s="35" t="s">
        <v>16</v>
      </c>
      <c r="AU344" s="35" t="s">
        <v>17</v>
      </c>
      <c r="AV344" s="35" t="s">
        <v>356</v>
      </c>
      <c r="AW344" s="35" t="s">
        <v>18</v>
      </c>
      <c r="AX344" s="34" t="s">
        <v>7</v>
      </c>
      <c r="AY344" s="35" t="s">
        <v>15</v>
      </c>
      <c r="AZ344" s="35" t="s">
        <v>8</v>
      </c>
      <c r="BA344" s="35" t="s">
        <v>16</v>
      </c>
      <c r="BB344" s="35" t="s">
        <v>17</v>
      </c>
      <c r="BC344" s="35" t="s">
        <v>19</v>
      </c>
      <c r="BD344" s="35" t="s">
        <v>1737</v>
      </c>
      <c r="BE344" s="35" t="s">
        <v>20</v>
      </c>
      <c r="BF344" s="35" t="s">
        <v>21</v>
      </c>
      <c r="BG344" s="35" t="s">
        <v>22</v>
      </c>
      <c r="BH344" s="35" t="s">
        <v>9</v>
      </c>
      <c r="BI344" s="35" t="s">
        <v>23</v>
      </c>
      <c r="BJ344" s="35" t="s">
        <v>24</v>
      </c>
      <c r="BK344" s="35" t="s">
        <v>0</v>
      </c>
      <c r="BL344" s="35" t="s">
        <v>12</v>
      </c>
      <c r="BW344" s="248"/>
      <c r="BX344" s="248"/>
      <c r="BY344" s="248"/>
      <c r="BZ344" s="248"/>
      <c r="CA344" s="248"/>
      <c r="CB344" s="248"/>
      <c r="CC344" s="248"/>
      <c r="CD344" s="248"/>
      <c r="CE344" s="248"/>
      <c r="CF344" s="248"/>
      <c r="CG344" s="248"/>
      <c r="CH344" s="248"/>
      <c r="CI344" s="248"/>
      <c r="CJ344" s="248"/>
      <c r="CK344" s="248"/>
      <c r="CL344" s="248"/>
      <c r="CM344" s="248"/>
      <c r="CN344" s="248"/>
      <c r="CO344" s="248"/>
      <c r="CP344" s="248"/>
      <c r="CQ344" s="248"/>
      <c r="CR344" s="248"/>
      <c r="CS344" s="248"/>
      <c r="CT344" s="248"/>
      <c r="CU344" s="248"/>
      <c r="CV344" s="248"/>
      <c r="CW344" s="248"/>
      <c r="CX344" s="248"/>
      <c r="CY344" s="248"/>
      <c r="CZ344" s="248"/>
      <c r="DA344" s="248"/>
      <c r="DB344" s="248"/>
      <c r="DC344" s="248"/>
      <c r="DD344" s="248"/>
      <c r="DE344" s="248"/>
      <c r="DF344" s="248"/>
      <c r="DG344" s="248"/>
      <c r="DH344" s="248"/>
      <c r="DI344" s="248"/>
      <c r="DJ344" s="248"/>
      <c r="DK344" s="248"/>
      <c r="DL344" s="248"/>
      <c r="DM344" s="248"/>
      <c r="DN344" s="248"/>
      <c r="DO344" s="248"/>
      <c r="DP344" s="248"/>
      <c r="DQ344" s="248"/>
      <c r="DR344" s="248"/>
      <c r="DS344" s="248"/>
      <c r="DT344" s="248"/>
      <c r="DU344" s="248"/>
      <c r="DV344" s="248"/>
      <c r="DW344" s="248"/>
      <c r="DX344" s="248"/>
      <c r="DY344" s="248"/>
      <c r="DZ344" s="248"/>
      <c r="EA344" s="248"/>
      <c r="EB344" s="248"/>
      <c r="EC344" s="248"/>
      <c r="ED344" s="248"/>
      <c r="EE344" s="248"/>
    </row>
    <row r="345" spans="1:135" s="35" customFormat="1" ht="16.5">
      <c r="A345" s="35" t="str">
        <f t="shared" si="12"/>
        <v>KI_A                USB</v>
      </c>
      <c r="B345" s="331"/>
      <c r="C345" s="248">
        <v>230001</v>
      </c>
      <c r="D345" s="283">
        <v>230</v>
      </c>
      <c r="F345" s="35" t="s">
        <v>1086</v>
      </c>
      <c r="O345" s="34" t="s">
        <v>1086</v>
      </c>
      <c r="P345" s="34" t="s">
        <v>1086</v>
      </c>
      <c r="Q345" s="279"/>
      <c r="R345" s="104"/>
      <c r="W345" s="104">
        <v>980015369</v>
      </c>
      <c r="AB345" s="58" t="s">
        <v>1114</v>
      </c>
      <c r="AH345" s="279"/>
      <c r="AJ345" s="279" t="s">
        <v>1117</v>
      </c>
      <c r="AK345" s="279"/>
      <c r="AL345" s="523">
        <v>3</v>
      </c>
      <c r="AM345" s="35">
        <v>230001</v>
      </c>
      <c r="AN345" s="35" t="s">
        <v>1585</v>
      </c>
      <c r="AO345" s="35" t="s">
        <v>896</v>
      </c>
      <c r="AP345" s="35" t="s">
        <v>624</v>
      </c>
      <c r="AQ345" s="34" t="s">
        <v>2254</v>
      </c>
      <c r="AR345" s="35">
        <v>8</v>
      </c>
      <c r="AS345" s="35" t="s">
        <v>350</v>
      </c>
      <c r="AT345" s="35" t="s">
        <v>807</v>
      </c>
      <c r="AU345" s="35" t="s">
        <v>10</v>
      </c>
      <c r="AV345" s="35" t="s">
        <v>1033</v>
      </c>
      <c r="AW345" s="35" t="s">
        <v>808</v>
      </c>
      <c r="AX345" s="34" t="s">
        <v>2316</v>
      </c>
      <c r="AY345" s="35">
        <v>1</v>
      </c>
      <c r="AZ345" s="35" t="s">
        <v>1314</v>
      </c>
      <c r="BA345" s="35" t="s">
        <v>1539</v>
      </c>
      <c r="BB345" s="35" t="s">
        <v>10</v>
      </c>
      <c r="BC345" s="35" t="s">
        <v>225</v>
      </c>
      <c r="BD345" s="35" t="s">
        <v>1739</v>
      </c>
      <c r="BE345" s="35" t="s">
        <v>331</v>
      </c>
      <c r="BF345" s="35" t="s">
        <v>227</v>
      </c>
      <c r="BG345" s="35">
        <v>590</v>
      </c>
      <c r="BH345" s="35" t="s">
        <v>96</v>
      </c>
      <c r="BI345" s="35">
        <v>0.14000000000000001</v>
      </c>
      <c r="BJ345" s="35" t="s">
        <v>1586</v>
      </c>
      <c r="BK345" s="35" t="s">
        <v>806</v>
      </c>
      <c r="BL345" s="35">
        <v>230001</v>
      </c>
      <c r="BW345" s="248"/>
      <c r="BX345" s="248"/>
      <c r="BY345" s="248"/>
      <c r="BZ345" s="248"/>
      <c r="CA345" s="248"/>
      <c r="CB345" s="248"/>
      <c r="CC345" s="248"/>
      <c r="CD345" s="248"/>
      <c r="CE345" s="248"/>
      <c r="CF345" s="248"/>
      <c r="CG345" s="248"/>
      <c r="CH345" s="248"/>
      <c r="CI345" s="248"/>
      <c r="CJ345" s="248"/>
      <c r="CK345" s="248"/>
      <c r="CL345" s="248"/>
      <c r="CM345" s="248"/>
      <c r="CN345" s="248"/>
      <c r="CO345" s="248"/>
      <c r="CP345" s="248"/>
      <c r="CQ345" s="248"/>
      <c r="CR345" s="248"/>
      <c r="CS345" s="248"/>
      <c r="CT345" s="248"/>
      <c r="CU345" s="248"/>
      <c r="CV345" s="248"/>
      <c r="CW345" s="248"/>
      <c r="CX345" s="248"/>
      <c r="CY345" s="248"/>
      <c r="CZ345" s="248"/>
      <c r="DA345" s="248"/>
      <c r="DB345" s="248"/>
      <c r="DC345" s="248"/>
      <c r="DD345" s="248"/>
      <c r="DE345" s="248"/>
      <c r="DF345" s="248"/>
      <c r="DG345" s="248"/>
      <c r="DH345" s="248"/>
      <c r="DI345" s="248"/>
      <c r="DJ345" s="248"/>
      <c r="DK345" s="248"/>
      <c r="DL345" s="248"/>
      <c r="DM345" s="248"/>
      <c r="DN345" s="248"/>
      <c r="DO345" s="248"/>
      <c r="DP345" s="248"/>
      <c r="DQ345" s="248"/>
      <c r="DR345" s="248"/>
      <c r="DS345" s="248"/>
      <c r="DT345" s="248"/>
      <c r="DU345" s="248"/>
      <c r="DV345" s="248"/>
      <c r="DW345" s="248"/>
      <c r="DX345" s="248"/>
      <c r="DY345" s="248"/>
      <c r="DZ345" s="248"/>
      <c r="EA345" s="248"/>
      <c r="EB345" s="248"/>
      <c r="EC345" s="248"/>
      <c r="ED345" s="248"/>
      <c r="EE345" s="248"/>
    </row>
    <row r="346" spans="1:135" s="35" customFormat="1" ht="16.5">
      <c r="A346" s="35" t="str">
        <f t="shared" si="12"/>
        <v>KI_A                USB</v>
      </c>
      <c r="B346" s="331"/>
      <c r="C346" s="248">
        <v>230002</v>
      </c>
      <c r="D346" s="283">
        <v>230</v>
      </c>
      <c r="F346" s="35" t="s">
        <v>1086</v>
      </c>
      <c r="O346" s="34" t="s">
        <v>1086</v>
      </c>
      <c r="P346" s="34" t="s">
        <v>1086</v>
      </c>
      <c r="Q346" s="279"/>
      <c r="R346" s="104"/>
      <c r="W346" s="104">
        <v>980015369</v>
      </c>
      <c r="AB346" s="58" t="s">
        <v>1114</v>
      </c>
      <c r="AH346" s="279"/>
      <c r="AJ346" s="279" t="s">
        <v>1117</v>
      </c>
      <c r="AK346" s="279"/>
      <c r="AL346" s="523">
        <v>3</v>
      </c>
      <c r="AM346" s="35">
        <v>230002</v>
      </c>
      <c r="AN346" s="35" t="s">
        <v>1587</v>
      </c>
      <c r="AO346" s="35" t="s">
        <v>896</v>
      </c>
      <c r="AP346" s="35" t="s">
        <v>624</v>
      </c>
      <c r="AQ346" s="34" t="s">
        <v>2254</v>
      </c>
      <c r="AR346" s="35">
        <v>7</v>
      </c>
      <c r="AS346" s="35" t="s">
        <v>350</v>
      </c>
      <c r="AT346" s="35" t="s">
        <v>807</v>
      </c>
      <c r="AU346" s="35" t="s">
        <v>10</v>
      </c>
      <c r="AV346" s="35" t="s">
        <v>1033</v>
      </c>
      <c r="AW346" s="35" t="s">
        <v>808</v>
      </c>
      <c r="AX346" s="34" t="s">
        <v>2316</v>
      </c>
      <c r="AY346" s="35">
        <v>2</v>
      </c>
      <c r="AZ346" s="35" t="s">
        <v>1314</v>
      </c>
      <c r="BA346" s="35" t="s">
        <v>1539</v>
      </c>
      <c r="BB346" s="35" t="s">
        <v>10</v>
      </c>
      <c r="BC346" s="35" t="s">
        <v>225</v>
      </c>
      <c r="BD346" s="35" t="s">
        <v>1739</v>
      </c>
      <c r="BE346" s="35" t="s">
        <v>331</v>
      </c>
      <c r="BF346" s="35" t="s">
        <v>149</v>
      </c>
      <c r="BG346" s="35">
        <v>590</v>
      </c>
      <c r="BH346" s="35" t="s">
        <v>66</v>
      </c>
      <c r="BI346" s="35">
        <v>0.14000000000000001</v>
      </c>
      <c r="BJ346" s="35" t="s">
        <v>1588</v>
      </c>
      <c r="BK346" s="35" t="s">
        <v>806</v>
      </c>
      <c r="BL346" s="35">
        <v>230002</v>
      </c>
      <c r="BW346" s="248"/>
      <c r="BX346" s="248"/>
      <c r="BY346" s="248"/>
      <c r="BZ346" s="248"/>
      <c r="CA346" s="248"/>
      <c r="CB346" s="248"/>
      <c r="CC346" s="248"/>
      <c r="CD346" s="248"/>
      <c r="CE346" s="248"/>
      <c r="CF346" s="248"/>
      <c r="CG346" s="248"/>
      <c r="CH346" s="248"/>
      <c r="CI346" s="248"/>
      <c r="CJ346" s="248"/>
      <c r="CK346" s="248"/>
      <c r="CL346" s="248"/>
      <c r="CM346" s="248"/>
      <c r="CN346" s="248"/>
      <c r="CO346" s="248"/>
      <c r="CP346" s="248"/>
      <c r="CQ346" s="248"/>
      <c r="CR346" s="248"/>
      <c r="CS346" s="248"/>
      <c r="CT346" s="248"/>
      <c r="CU346" s="248"/>
      <c r="CV346" s="248"/>
      <c r="CW346" s="248"/>
      <c r="CX346" s="248"/>
      <c r="CY346" s="248"/>
      <c r="CZ346" s="248"/>
      <c r="DA346" s="248"/>
      <c r="DB346" s="248"/>
      <c r="DC346" s="248"/>
      <c r="DD346" s="248"/>
      <c r="DE346" s="248"/>
      <c r="DF346" s="248"/>
      <c r="DG346" s="248"/>
      <c r="DH346" s="248"/>
      <c r="DI346" s="248"/>
      <c r="DJ346" s="248"/>
      <c r="DK346" s="248"/>
      <c r="DL346" s="248"/>
      <c r="DM346" s="248"/>
      <c r="DN346" s="248"/>
      <c r="DO346" s="248"/>
      <c r="DP346" s="248"/>
      <c r="DQ346" s="248"/>
      <c r="DR346" s="248"/>
      <c r="DS346" s="248"/>
      <c r="DT346" s="248"/>
      <c r="DU346" s="248"/>
      <c r="DV346" s="248"/>
      <c r="DW346" s="248"/>
      <c r="DX346" s="248"/>
      <c r="DY346" s="248"/>
      <c r="DZ346" s="248"/>
      <c r="EA346" s="248"/>
      <c r="EB346" s="248"/>
      <c r="EC346" s="248"/>
      <c r="ED346" s="248"/>
      <c r="EE346" s="248"/>
    </row>
    <row r="347" spans="1:135" s="35" customFormat="1" ht="16.5">
      <c r="A347" s="35" t="str">
        <f t="shared" si="12"/>
        <v>KI_A                USB</v>
      </c>
      <c r="B347" s="331"/>
      <c r="C347" s="248">
        <v>230003</v>
      </c>
      <c r="D347" s="283">
        <v>230</v>
      </c>
      <c r="F347" s="35" t="s">
        <v>1086</v>
      </c>
      <c r="O347" s="34" t="s">
        <v>1086</v>
      </c>
      <c r="P347" s="34" t="s">
        <v>1086</v>
      </c>
      <c r="Q347" s="279"/>
      <c r="R347" s="104"/>
      <c r="W347" s="104">
        <v>980015369</v>
      </c>
      <c r="AB347" s="58" t="s">
        <v>1114</v>
      </c>
      <c r="AH347" s="279"/>
      <c r="AJ347" s="279" t="s">
        <v>1117</v>
      </c>
      <c r="AK347" s="279"/>
      <c r="AL347" s="523">
        <v>3</v>
      </c>
      <c r="AM347" s="35">
        <v>230003</v>
      </c>
      <c r="AN347" s="35" t="s">
        <v>1589</v>
      </c>
      <c r="AO347" s="35" t="s">
        <v>896</v>
      </c>
      <c r="AP347" s="35" t="s">
        <v>624</v>
      </c>
      <c r="AQ347" s="34" t="s">
        <v>2254</v>
      </c>
      <c r="AR347" s="35">
        <v>6</v>
      </c>
      <c r="AS347" s="35" t="s">
        <v>350</v>
      </c>
      <c r="AT347" s="35" t="s">
        <v>807</v>
      </c>
      <c r="AU347" s="35" t="s">
        <v>10</v>
      </c>
      <c r="AV347" s="35" t="s">
        <v>1033</v>
      </c>
      <c r="AW347" s="35" t="s">
        <v>808</v>
      </c>
      <c r="AX347" s="34" t="s">
        <v>2316</v>
      </c>
      <c r="AY347" s="35">
        <v>3</v>
      </c>
      <c r="AZ347" s="35" t="s">
        <v>1314</v>
      </c>
      <c r="BA347" s="35" t="s">
        <v>1539</v>
      </c>
      <c r="BB347" s="35" t="s">
        <v>10</v>
      </c>
      <c r="BC347" s="35" t="s">
        <v>225</v>
      </c>
      <c r="BD347" s="35" t="s">
        <v>1739</v>
      </c>
      <c r="BE347" s="35" t="s">
        <v>331</v>
      </c>
      <c r="BF347" s="35" t="s">
        <v>228</v>
      </c>
      <c r="BG347" s="35">
        <v>590</v>
      </c>
      <c r="BH347" s="35" t="s">
        <v>110</v>
      </c>
      <c r="BI347" s="35">
        <v>0.14000000000000001</v>
      </c>
      <c r="BJ347" s="35" t="s">
        <v>1590</v>
      </c>
      <c r="BK347" s="35" t="s">
        <v>806</v>
      </c>
      <c r="BL347" s="35">
        <v>230003</v>
      </c>
      <c r="BW347" s="248"/>
      <c r="BX347" s="248"/>
      <c r="BY347" s="248"/>
      <c r="BZ347" s="248"/>
      <c r="CA347" s="248"/>
      <c r="CB347" s="248"/>
      <c r="CC347" s="248"/>
      <c r="CD347" s="248"/>
      <c r="CE347" s="248"/>
      <c r="CF347" s="248"/>
      <c r="CG347" s="248"/>
      <c r="CH347" s="248"/>
      <c r="CI347" s="248"/>
      <c r="CJ347" s="248"/>
      <c r="CK347" s="248"/>
      <c r="CL347" s="248"/>
      <c r="CM347" s="248"/>
      <c r="CN347" s="248"/>
      <c r="CO347" s="248"/>
      <c r="CP347" s="248"/>
      <c r="CQ347" s="248"/>
      <c r="CR347" s="248"/>
      <c r="CS347" s="248"/>
      <c r="CT347" s="248"/>
      <c r="CU347" s="248"/>
      <c r="CV347" s="248"/>
      <c r="CW347" s="248"/>
      <c r="CX347" s="248"/>
      <c r="CY347" s="248"/>
      <c r="CZ347" s="248"/>
      <c r="DA347" s="248"/>
      <c r="DB347" s="248"/>
      <c r="DC347" s="248"/>
      <c r="DD347" s="248"/>
      <c r="DE347" s="248"/>
      <c r="DF347" s="248"/>
      <c r="DG347" s="248"/>
      <c r="DH347" s="248"/>
      <c r="DI347" s="248"/>
      <c r="DJ347" s="248"/>
      <c r="DK347" s="248"/>
      <c r="DL347" s="248"/>
      <c r="DM347" s="248"/>
      <c r="DN347" s="248"/>
      <c r="DO347" s="248"/>
      <c r="DP347" s="248"/>
      <c r="DQ347" s="248"/>
      <c r="DR347" s="248"/>
      <c r="DS347" s="248"/>
      <c r="DT347" s="248"/>
      <c r="DU347" s="248"/>
      <c r="DV347" s="248"/>
      <c r="DW347" s="248"/>
      <c r="DX347" s="248"/>
      <c r="DY347" s="248"/>
      <c r="DZ347" s="248"/>
      <c r="EA347" s="248"/>
      <c r="EB347" s="248"/>
      <c r="EC347" s="248"/>
      <c r="ED347" s="248"/>
      <c r="EE347" s="248"/>
    </row>
    <row r="348" spans="1:135" s="35" customFormat="1" ht="16.5">
      <c r="A348" s="35" t="str">
        <f t="shared" si="12"/>
        <v>KI_A                USB</v>
      </c>
      <c r="B348" s="331"/>
      <c r="C348" s="248">
        <v>230004</v>
      </c>
      <c r="D348" s="283">
        <v>230</v>
      </c>
      <c r="F348" s="35" t="s">
        <v>1086</v>
      </c>
      <c r="O348" s="34" t="s">
        <v>1086</v>
      </c>
      <c r="P348" s="34" t="s">
        <v>1086</v>
      </c>
      <c r="Q348" s="279"/>
      <c r="R348" s="104"/>
      <c r="W348" s="104">
        <v>980015369</v>
      </c>
      <c r="AB348" s="58" t="s">
        <v>1114</v>
      </c>
      <c r="AH348" s="279"/>
      <c r="AJ348" s="279" t="s">
        <v>1117</v>
      </c>
      <c r="AK348" s="279"/>
      <c r="AL348" s="523">
        <v>3</v>
      </c>
      <c r="AM348" s="35">
        <v>230004</v>
      </c>
      <c r="AN348" s="35" t="s">
        <v>1591</v>
      </c>
      <c r="AO348" s="35" t="s">
        <v>896</v>
      </c>
      <c r="AP348" s="35" t="s">
        <v>624</v>
      </c>
      <c r="AQ348" s="34" t="s">
        <v>2254</v>
      </c>
      <c r="AR348" s="35">
        <v>9</v>
      </c>
      <c r="AS348" s="35" t="s">
        <v>350</v>
      </c>
      <c r="AT348" s="35" t="s">
        <v>807</v>
      </c>
      <c r="AU348" s="35" t="s">
        <v>10</v>
      </c>
      <c r="AV348" s="35" t="s">
        <v>1033</v>
      </c>
      <c r="AW348" s="35" t="s">
        <v>808</v>
      </c>
      <c r="AX348" s="34" t="s">
        <v>2316</v>
      </c>
      <c r="AY348" s="35">
        <v>4</v>
      </c>
      <c r="AZ348" s="35" t="s">
        <v>1314</v>
      </c>
      <c r="BA348" s="35" t="s">
        <v>1539</v>
      </c>
      <c r="BB348" s="35" t="s">
        <v>10</v>
      </c>
      <c r="BC348" s="35" t="s">
        <v>225</v>
      </c>
      <c r="BD348" s="35" t="s">
        <v>1739</v>
      </c>
      <c r="BE348" s="35" t="s">
        <v>331</v>
      </c>
      <c r="BF348" s="35" t="s">
        <v>152</v>
      </c>
      <c r="BG348" s="35">
        <v>590</v>
      </c>
      <c r="BH348" s="35" t="s">
        <v>25</v>
      </c>
      <c r="BI348" s="35">
        <v>0.14000000000000001</v>
      </c>
      <c r="BJ348" s="35" t="s">
        <v>1592</v>
      </c>
      <c r="BK348" s="35" t="s">
        <v>806</v>
      </c>
      <c r="BL348" s="35">
        <v>230004</v>
      </c>
      <c r="BW348" s="248"/>
      <c r="BX348" s="248"/>
      <c r="BY348" s="248"/>
      <c r="BZ348" s="248"/>
      <c r="CA348" s="248"/>
      <c r="CB348" s="248"/>
      <c r="CC348" s="248"/>
      <c r="CD348" s="248"/>
      <c r="CE348" s="248"/>
      <c r="CF348" s="248"/>
      <c r="CG348" s="248"/>
      <c r="CH348" s="248"/>
      <c r="CI348" s="248"/>
      <c r="CJ348" s="248"/>
      <c r="CK348" s="248"/>
      <c r="CL348" s="248"/>
      <c r="CM348" s="248"/>
      <c r="CN348" s="248"/>
      <c r="CO348" s="248"/>
      <c r="CP348" s="248"/>
      <c r="CQ348" s="248"/>
      <c r="CR348" s="248"/>
      <c r="CS348" s="248"/>
      <c r="CT348" s="248"/>
      <c r="CU348" s="248"/>
      <c r="CV348" s="248"/>
      <c r="CW348" s="248"/>
      <c r="CX348" s="248"/>
      <c r="CY348" s="248"/>
      <c r="CZ348" s="248"/>
      <c r="DA348" s="248"/>
      <c r="DB348" s="248"/>
      <c r="DC348" s="248"/>
      <c r="DD348" s="248"/>
      <c r="DE348" s="248"/>
      <c r="DF348" s="248"/>
      <c r="DG348" s="248"/>
      <c r="DH348" s="248"/>
      <c r="DI348" s="248"/>
      <c r="DJ348" s="248"/>
      <c r="DK348" s="248"/>
      <c r="DL348" s="248"/>
      <c r="DM348" s="248"/>
      <c r="DN348" s="248"/>
      <c r="DO348" s="248"/>
      <c r="DP348" s="248"/>
      <c r="DQ348" s="248"/>
      <c r="DR348" s="248"/>
      <c r="DS348" s="248"/>
      <c r="DT348" s="248"/>
      <c r="DU348" s="248"/>
      <c r="DV348" s="248"/>
      <c r="DW348" s="248"/>
      <c r="DX348" s="248"/>
      <c r="DY348" s="248"/>
      <c r="DZ348" s="248"/>
      <c r="EA348" s="248"/>
      <c r="EB348" s="248"/>
      <c r="EC348" s="248"/>
      <c r="ED348" s="248"/>
      <c r="EE348" s="248"/>
    </row>
    <row r="349" spans="1:135" s="35" customFormat="1" ht="16.5">
      <c r="A349" s="35" t="str">
        <f t="shared" si="12"/>
        <v>KI_A                USB</v>
      </c>
      <c r="B349" s="331"/>
      <c r="C349" s="248">
        <v>230005</v>
      </c>
      <c r="D349" s="283">
        <v>230</v>
      </c>
      <c r="F349" s="35" t="s">
        <v>1086</v>
      </c>
      <c r="O349" s="34" t="s">
        <v>1086</v>
      </c>
      <c r="P349" s="34" t="s">
        <v>1086</v>
      </c>
      <c r="Q349" s="279"/>
      <c r="R349" s="104"/>
      <c r="W349" s="104">
        <v>980015369</v>
      </c>
      <c r="AB349" s="58" t="s">
        <v>1114</v>
      </c>
      <c r="AH349" s="279"/>
      <c r="AJ349" s="279" t="s">
        <v>1117</v>
      </c>
      <c r="AK349" s="279"/>
      <c r="AL349" s="523">
        <v>3</v>
      </c>
      <c r="AM349" s="35">
        <v>230005</v>
      </c>
      <c r="AN349" s="35" t="s">
        <v>1593</v>
      </c>
      <c r="AO349" s="35" t="s">
        <v>896</v>
      </c>
      <c r="AP349" s="35" t="s">
        <v>624</v>
      </c>
      <c r="AQ349" s="34" t="s">
        <v>2254</v>
      </c>
      <c r="AR349" s="35">
        <v>10</v>
      </c>
      <c r="AS349" s="35" t="s">
        <v>350</v>
      </c>
      <c r="AT349" s="35" t="s">
        <v>807</v>
      </c>
      <c r="AU349" s="35" t="s">
        <v>10</v>
      </c>
      <c r="AV349" s="35" t="s">
        <v>1033</v>
      </c>
      <c r="AW349" s="35" t="s">
        <v>808</v>
      </c>
      <c r="AX349" s="34" t="s">
        <v>2316</v>
      </c>
      <c r="AY349" s="35">
        <v>5</v>
      </c>
      <c r="AZ349" s="35" t="s">
        <v>1314</v>
      </c>
      <c r="BA349" s="35" t="s">
        <v>1262</v>
      </c>
      <c r="BB349" s="35" t="s">
        <v>10</v>
      </c>
      <c r="BC349" s="35" t="s">
        <v>225</v>
      </c>
      <c r="BD349" s="35" t="s">
        <v>157</v>
      </c>
      <c r="BE349" s="35" t="s">
        <v>331</v>
      </c>
      <c r="BF349" s="35" t="s">
        <v>231</v>
      </c>
      <c r="BG349" s="35">
        <v>590</v>
      </c>
      <c r="BH349" s="35" t="s">
        <v>139</v>
      </c>
      <c r="BI349" s="35">
        <v>1</v>
      </c>
      <c r="BJ349" s="35" t="s">
        <v>1594</v>
      </c>
      <c r="BK349" s="35" t="s">
        <v>806</v>
      </c>
      <c r="BL349" s="35">
        <v>230005</v>
      </c>
      <c r="BW349" s="248"/>
      <c r="BX349" s="248"/>
      <c r="BY349" s="248"/>
      <c r="BZ349" s="248"/>
      <c r="CA349" s="248"/>
      <c r="CB349" s="248"/>
      <c r="CC349" s="248"/>
      <c r="CD349" s="248"/>
      <c r="CE349" s="248"/>
      <c r="CF349" s="248"/>
      <c r="CG349" s="248"/>
      <c r="CH349" s="248"/>
      <c r="CI349" s="248"/>
      <c r="CJ349" s="248"/>
      <c r="CK349" s="248"/>
      <c r="CL349" s="248"/>
      <c r="CM349" s="248"/>
      <c r="CN349" s="248"/>
      <c r="CO349" s="248"/>
      <c r="CP349" s="248"/>
      <c r="CQ349" s="248"/>
      <c r="CR349" s="248"/>
      <c r="CS349" s="248"/>
      <c r="CT349" s="248"/>
      <c r="CU349" s="248"/>
      <c r="CV349" s="248"/>
      <c r="CW349" s="248"/>
      <c r="CX349" s="248"/>
      <c r="CY349" s="248"/>
      <c r="CZ349" s="248"/>
      <c r="DA349" s="248"/>
      <c r="DB349" s="248"/>
      <c r="DC349" s="248"/>
      <c r="DD349" s="248"/>
      <c r="DE349" s="248"/>
      <c r="DF349" s="248"/>
      <c r="DG349" s="248"/>
      <c r="DH349" s="248"/>
      <c r="DI349" s="248"/>
      <c r="DJ349" s="248"/>
      <c r="DK349" s="248"/>
      <c r="DL349" s="248"/>
      <c r="DM349" s="248"/>
      <c r="DN349" s="248"/>
      <c r="DO349" s="248"/>
      <c r="DP349" s="248"/>
      <c r="DQ349" s="248"/>
      <c r="DR349" s="248"/>
      <c r="DS349" s="248"/>
      <c r="DT349" s="248"/>
      <c r="DU349" s="248"/>
      <c r="DV349" s="248"/>
      <c r="DW349" s="248"/>
      <c r="DX349" s="248"/>
      <c r="DY349" s="248"/>
      <c r="DZ349" s="248"/>
      <c r="EA349" s="248"/>
      <c r="EB349" s="248"/>
      <c r="EC349" s="248"/>
      <c r="ED349" s="248"/>
      <c r="EE349" s="248"/>
    </row>
    <row r="350" spans="1:135" s="35" customFormat="1" ht="16.5">
      <c r="A350" s="35" t="str">
        <f t="shared" si="12"/>
        <v xml:space="preserve">                    </v>
      </c>
      <c r="B350" s="331"/>
      <c r="D350" s="283">
        <v>261</v>
      </c>
      <c r="O350" s="34"/>
      <c r="P350" s="34"/>
      <c r="Q350" s="58"/>
      <c r="R350" s="39"/>
      <c r="W350" s="39"/>
      <c r="AH350" s="279"/>
      <c r="AJ350" s="279"/>
      <c r="AK350" s="279"/>
      <c r="AL350" s="523">
        <v>1</v>
      </c>
      <c r="AM350" s="35" t="s">
        <v>809</v>
      </c>
      <c r="AQ350" s="34"/>
      <c r="AX350" s="34"/>
      <c r="BW350" s="248"/>
      <c r="BX350" s="248"/>
      <c r="BY350" s="248"/>
      <c r="BZ350" s="248"/>
      <c r="CA350" s="248"/>
      <c r="CB350" s="248"/>
      <c r="CC350" s="248"/>
      <c r="CD350" s="248"/>
      <c r="CE350" s="248"/>
      <c r="CF350" s="248"/>
      <c r="CG350" s="248"/>
      <c r="CH350" s="248"/>
      <c r="CI350" s="248"/>
      <c r="CJ350" s="248"/>
      <c r="CK350" s="248"/>
      <c r="CL350" s="248"/>
      <c r="CM350" s="248"/>
      <c r="CN350" s="248"/>
      <c r="CO350" s="248"/>
      <c r="CP350" s="248"/>
      <c r="CQ350" s="248"/>
      <c r="CR350" s="248"/>
      <c r="CS350" s="248"/>
      <c r="CT350" s="248"/>
      <c r="CU350" s="248"/>
      <c r="CV350" s="248"/>
      <c r="CW350" s="248"/>
      <c r="CX350" s="248"/>
      <c r="CY350" s="248"/>
      <c r="CZ350" s="248"/>
      <c r="DA350" s="248"/>
      <c r="DB350" s="248"/>
      <c r="DC350" s="248"/>
      <c r="DD350" s="248"/>
      <c r="DE350" s="248"/>
      <c r="DF350" s="248"/>
      <c r="DG350" s="248"/>
      <c r="DH350" s="248"/>
      <c r="DI350" s="248"/>
      <c r="DJ350" s="248"/>
      <c r="DK350" s="248"/>
      <c r="DL350" s="248"/>
      <c r="DM350" s="248"/>
      <c r="DN350" s="248"/>
      <c r="DO350" s="248"/>
      <c r="DP350" s="248"/>
      <c r="DQ350" s="248"/>
      <c r="DR350" s="248"/>
      <c r="DS350" s="248"/>
      <c r="DT350" s="248"/>
      <c r="DU350" s="248"/>
      <c r="DV350" s="248"/>
      <c r="DW350" s="248"/>
      <c r="DX350" s="248"/>
      <c r="DY350" s="248"/>
      <c r="DZ350" s="248"/>
      <c r="EA350" s="248"/>
      <c r="EB350" s="248"/>
      <c r="EC350" s="248"/>
      <c r="ED350" s="248"/>
      <c r="EE350" s="248"/>
    </row>
    <row r="351" spans="1:135" s="35" customFormat="1" ht="16.5">
      <c r="A351" s="35" t="str">
        <f t="shared" si="12"/>
        <v xml:space="preserve">                    </v>
      </c>
      <c r="B351" s="331"/>
      <c r="D351" s="283">
        <v>261</v>
      </c>
      <c r="O351" s="34"/>
      <c r="P351" s="34"/>
      <c r="Q351" s="279"/>
      <c r="R351" s="39"/>
      <c r="W351" s="39"/>
      <c r="AH351" s="279"/>
      <c r="AJ351" s="279"/>
      <c r="AK351" s="279"/>
      <c r="AL351" s="523">
        <v>2</v>
      </c>
      <c r="AM351" s="35" t="s">
        <v>0</v>
      </c>
      <c r="AN351" s="35" t="s">
        <v>810</v>
      </c>
      <c r="AO351" s="35" t="s">
        <v>2431</v>
      </c>
      <c r="AP351" s="35" t="s">
        <v>2028</v>
      </c>
      <c r="AQ351" s="34"/>
      <c r="AR351" s="35" t="s">
        <v>868</v>
      </c>
      <c r="AS351" s="35" t="s">
        <v>11</v>
      </c>
      <c r="AX351" s="34"/>
      <c r="BW351" s="248"/>
      <c r="BX351" s="248"/>
      <c r="BY351" s="248"/>
      <c r="BZ351" s="248"/>
      <c r="CA351" s="248"/>
      <c r="CB351" s="248"/>
      <c r="CC351" s="248"/>
      <c r="CD351" s="248"/>
      <c r="CE351" s="248"/>
      <c r="CF351" s="248"/>
      <c r="CG351" s="248"/>
      <c r="CH351" s="248"/>
      <c r="CI351" s="248"/>
      <c r="CJ351" s="248"/>
      <c r="CK351" s="248"/>
      <c r="CL351" s="248"/>
      <c r="CM351" s="248"/>
      <c r="CN351" s="248"/>
      <c r="CO351" s="248"/>
      <c r="CP351" s="248"/>
      <c r="CQ351" s="248"/>
      <c r="CR351" s="248"/>
      <c r="CS351" s="248"/>
      <c r="CT351" s="248"/>
      <c r="CU351" s="248"/>
      <c r="CV351" s="248"/>
      <c r="CW351" s="248"/>
      <c r="CX351" s="248"/>
      <c r="CY351" s="248"/>
      <c r="CZ351" s="248"/>
      <c r="DA351" s="248"/>
      <c r="DB351" s="248"/>
      <c r="DC351" s="248"/>
      <c r="DD351" s="248"/>
      <c r="DE351" s="248"/>
      <c r="DF351" s="248"/>
      <c r="DG351" s="248"/>
      <c r="DH351" s="248"/>
      <c r="DI351" s="248"/>
      <c r="DJ351" s="248"/>
      <c r="DK351" s="248"/>
      <c r="DL351" s="248"/>
      <c r="DM351" s="248"/>
      <c r="DN351" s="248"/>
      <c r="DO351" s="248"/>
      <c r="DP351" s="248"/>
      <c r="DQ351" s="248"/>
      <c r="DR351" s="248"/>
      <c r="DS351" s="248"/>
      <c r="DT351" s="248"/>
      <c r="DU351" s="248"/>
      <c r="DV351" s="248"/>
      <c r="DW351" s="248"/>
      <c r="DX351" s="248"/>
      <c r="DY351" s="248"/>
      <c r="DZ351" s="248"/>
      <c r="EA351" s="248"/>
      <c r="EB351" s="248"/>
      <c r="EC351" s="248"/>
      <c r="ED351" s="248"/>
      <c r="EE351" s="248"/>
    </row>
    <row r="352" spans="1:135" s="35" customFormat="1" ht="16.5">
      <c r="A352" s="35" t="str">
        <f t="shared" si="12"/>
        <v>Kurzname            Kurzname</v>
      </c>
      <c r="B352" s="331"/>
      <c r="D352" s="283">
        <v>261</v>
      </c>
      <c r="O352" s="34"/>
      <c r="P352" s="34"/>
      <c r="Q352" s="58"/>
      <c r="R352" s="39"/>
      <c r="W352" s="39"/>
      <c r="AH352" s="279"/>
      <c r="AJ352" s="279"/>
      <c r="AK352" s="279"/>
      <c r="AL352" s="523">
        <v>0</v>
      </c>
      <c r="AM352" s="35" t="s">
        <v>12</v>
      </c>
      <c r="AN352" s="35" t="s">
        <v>13</v>
      </c>
      <c r="AO352" s="35" t="s">
        <v>356</v>
      </c>
      <c r="AP352" s="35" t="s">
        <v>14</v>
      </c>
      <c r="AQ352" s="34" t="s">
        <v>7</v>
      </c>
      <c r="AR352" s="35" t="s">
        <v>15</v>
      </c>
      <c r="AS352" s="35" t="s">
        <v>8</v>
      </c>
      <c r="AT352" s="35" t="s">
        <v>16</v>
      </c>
      <c r="AU352" s="35" t="s">
        <v>17</v>
      </c>
      <c r="AV352" s="35" t="s">
        <v>356</v>
      </c>
      <c r="AW352" s="35" t="s">
        <v>18</v>
      </c>
      <c r="AX352" s="34" t="s">
        <v>7</v>
      </c>
      <c r="AY352" s="35" t="s">
        <v>15</v>
      </c>
      <c r="AZ352" s="35" t="s">
        <v>8</v>
      </c>
      <c r="BA352" s="35" t="s">
        <v>16</v>
      </c>
      <c r="BB352" s="35" t="s">
        <v>17</v>
      </c>
      <c r="BC352" s="35" t="s">
        <v>19</v>
      </c>
      <c r="BD352" s="35" t="s">
        <v>1737</v>
      </c>
      <c r="BE352" s="35" t="s">
        <v>20</v>
      </c>
      <c r="BF352" s="35" t="s">
        <v>21</v>
      </c>
      <c r="BG352" s="35" t="s">
        <v>22</v>
      </c>
      <c r="BH352" s="35" t="s">
        <v>9</v>
      </c>
      <c r="BI352" s="35" t="s">
        <v>23</v>
      </c>
      <c r="BJ352" s="35" t="s">
        <v>24</v>
      </c>
      <c r="BK352" s="35" t="s">
        <v>0</v>
      </c>
      <c r="BL352" s="35" t="s">
        <v>12</v>
      </c>
      <c r="BW352" s="248"/>
      <c r="BX352" s="248"/>
      <c r="BY352" s="248"/>
      <c r="BZ352" s="248"/>
      <c r="CA352" s="248"/>
      <c r="CB352" s="248"/>
      <c r="CC352" s="248"/>
      <c r="CD352" s="248"/>
      <c r="CE352" s="248"/>
      <c r="CF352" s="248"/>
      <c r="CG352" s="248"/>
      <c r="CH352" s="248"/>
      <c r="CI352" s="248"/>
      <c r="CJ352" s="248"/>
      <c r="CK352" s="248"/>
      <c r="CL352" s="248"/>
      <c r="CM352" s="248"/>
      <c r="CN352" s="248"/>
      <c r="CO352" s="248"/>
      <c r="CP352" s="248"/>
      <c r="CQ352" s="248"/>
      <c r="CR352" s="248"/>
      <c r="CS352" s="248"/>
      <c r="CT352" s="248"/>
      <c r="CU352" s="248"/>
      <c r="CV352" s="248"/>
      <c r="CW352" s="248"/>
      <c r="CX352" s="248"/>
      <c r="CY352" s="248"/>
      <c r="CZ352" s="248"/>
      <c r="DA352" s="248"/>
      <c r="DB352" s="248"/>
      <c r="DC352" s="248"/>
      <c r="DD352" s="248"/>
      <c r="DE352" s="248"/>
      <c r="DF352" s="248"/>
      <c r="DG352" s="248"/>
      <c r="DH352" s="248"/>
      <c r="DI352" s="248"/>
      <c r="DJ352" s="248"/>
      <c r="DK352" s="248"/>
      <c r="DL352" s="248"/>
      <c r="DM352" s="248"/>
      <c r="DN352" s="248"/>
      <c r="DO352" s="248"/>
      <c r="DP352" s="248"/>
      <c r="DQ352" s="248"/>
      <c r="DR352" s="248"/>
      <c r="DS352" s="248"/>
      <c r="DT352" s="248"/>
      <c r="DU352" s="248"/>
      <c r="DV352" s="248"/>
      <c r="DW352" s="248"/>
      <c r="DX352" s="248"/>
      <c r="DY352" s="248"/>
      <c r="DZ352" s="248"/>
      <c r="EA352" s="248"/>
      <c r="EB352" s="248"/>
      <c r="EC352" s="248"/>
      <c r="ED352" s="248"/>
      <c r="EE352" s="248"/>
    </row>
    <row r="353" spans="1:135" s="35" customFormat="1" ht="16.5">
      <c r="A353" s="35" t="str">
        <f t="shared" si="12"/>
        <v>SP_MB31_B2          KS_CP_C</v>
      </c>
      <c r="B353" s="331"/>
      <c r="C353" s="248">
        <v>261001</v>
      </c>
      <c r="D353" s="283">
        <v>261</v>
      </c>
      <c r="F353" s="283" t="s">
        <v>1086</v>
      </c>
      <c r="G353" s="35" t="s">
        <v>2232</v>
      </c>
      <c r="H353" s="35" t="s">
        <v>609</v>
      </c>
      <c r="N353" s="35" t="s">
        <v>537</v>
      </c>
      <c r="O353" s="34" t="s">
        <v>1086</v>
      </c>
      <c r="P353" s="34" t="s">
        <v>1086</v>
      </c>
      <c r="Q353" s="58"/>
      <c r="R353" s="39"/>
      <c r="W353" s="39"/>
      <c r="AH353" s="279"/>
      <c r="AJ353" s="279" t="s">
        <v>1117</v>
      </c>
      <c r="AK353" s="279"/>
      <c r="AL353" s="523">
        <v>3</v>
      </c>
      <c r="AM353" s="35">
        <v>261001</v>
      </c>
      <c r="AN353" s="35" t="s">
        <v>2029</v>
      </c>
      <c r="AO353" s="35" t="s">
        <v>2148</v>
      </c>
      <c r="AP353" s="35" t="s">
        <v>535</v>
      </c>
      <c r="AQ353" s="34" t="s">
        <v>2232</v>
      </c>
      <c r="AR353" s="35">
        <v>1</v>
      </c>
      <c r="AS353" s="35" t="s">
        <v>1254</v>
      </c>
      <c r="AT353" s="35" t="s">
        <v>10</v>
      </c>
      <c r="AU353" s="35" t="s">
        <v>10</v>
      </c>
      <c r="AV353" s="35" t="s">
        <v>959</v>
      </c>
      <c r="AW353" s="35" t="s">
        <v>683</v>
      </c>
      <c r="AX353" s="34" t="s">
        <v>1867</v>
      </c>
      <c r="AY353" s="35">
        <v>21</v>
      </c>
      <c r="AZ353" s="35" t="s">
        <v>477</v>
      </c>
      <c r="BA353" s="35" t="s">
        <v>692</v>
      </c>
      <c r="BB353" s="35" t="s">
        <v>10</v>
      </c>
      <c r="BC353" s="35" t="s">
        <v>71</v>
      </c>
      <c r="BD353" s="35" t="s">
        <v>1742</v>
      </c>
      <c r="BE353" s="35" t="s">
        <v>10</v>
      </c>
      <c r="BF353" s="35" t="s">
        <v>10</v>
      </c>
      <c r="BG353" s="35">
        <v>1389</v>
      </c>
      <c r="BH353" s="35" t="s">
        <v>25</v>
      </c>
      <c r="BI353" s="35">
        <v>0.35</v>
      </c>
      <c r="BJ353" s="35" t="s">
        <v>1285</v>
      </c>
      <c r="BK353" s="35" t="s">
        <v>810</v>
      </c>
      <c r="BL353" s="35">
        <v>261001</v>
      </c>
      <c r="BW353" s="248"/>
      <c r="BX353" s="248"/>
      <c r="BY353" s="248"/>
      <c r="BZ353" s="248"/>
      <c r="CA353" s="248"/>
      <c r="CB353" s="248"/>
      <c r="CC353" s="248"/>
      <c r="CD353" s="248"/>
      <c r="CE353" s="248"/>
      <c r="CF353" s="248"/>
      <c r="CG353" s="248"/>
      <c r="CH353" s="248"/>
      <c r="CI353" s="248"/>
      <c r="CJ353" s="248"/>
      <c r="CK353" s="248"/>
      <c r="CL353" s="248"/>
      <c r="CM353" s="248"/>
      <c r="CN353" s="248"/>
      <c r="CO353" s="248"/>
      <c r="CP353" s="248"/>
      <c r="CQ353" s="248"/>
      <c r="CR353" s="248"/>
      <c r="CS353" s="248"/>
      <c r="CT353" s="248"/>
      <c r="CU353" s="248"/>
      <c r="CV353" s="248"/>
      <c r="CW353" s="248"/>
      <c r="CX353" s="248"/>
      <c r="CY353" s="248"/>
      <c r="CZ353" s="248"/>
      <c r="DA353" s="248"/>
      <c r="DB353" s="248"/>
      <c r="DC353" s="248"/>
      <c r="DD353" s="248"/>
      <c r="DE353" s="248"/>
      <c r="DF353" s="248"/>
      <c r="DG353" s="248"/>
      <c r="DH353" s="248"/>
      <c r="DI353" s="248"/>
      <c r="DJ353" s="248"/>
      <c r="DK353" s="248"/>
      <c r="DL353" s="248"/>
      <c r="DM353" s="248"/>
      <c r="DN353" s="248"/>
      <c r="DO353" s="248"/>
      <c r="DP353" s="248"/>
      <c r="DQ353" s="248"/>
      <c r="DR353" s="248"/>
      <c r="DS353" s="248"/>
      <c r="DT353" s="248"/>
      <c r="DU353" s="248"/>
      <c r="DV353" s="248"/>
      <c r="DW353" s="248"/>
      <c r="DX353" s="248"/>
      <c r="DY353" s="248"/>
      <c r="DZ353" s="248"/>
      <c r="EA353" s="248"/>
      <c r="EB353" s="248"/>
      <c r="EC353" s="248"/>
      <c r="ED353" s="248"/>
      <c r="EE353" s="248"/>
    </row>
    <row r="354" spans="1:135" s="35" customFormat="1" ht="16.5">
      <c r="A354" s="35" t="str">
        <f t="shared" si="12"/>
        <v>SIDO_O              KS_CP_C</v>
      </c>
      <c r="B354" s="331"/>
      <c r="C354" s="248">
        <v>261003</v>
      </c>
      <c r="D354" s="283">
        <v>261</v>
      </c>
      <c r="F354" s="35" t="s">
        <v>1086</v>
      </c>
      <c r="O354" s="34" t="s">
        <v>1086</v>
      </c>
      <c r="P354" s="34" t="s">
        <v>1086</v>
      </c>
      <c r="Q354" s="58"/>
      <c r="R354" s="39"/>
      <c r="W354" s="39"/>
      <c r="AH354" s="279"/>
      <c r="AJ354" s="279" t="s">
        <v>1117</v>
      </c>
      <c r="AK354" s="279"/>
      <c r="AL354" s="523">
        <v>3</v>
      </c>
      <c r="AM354" s="35">
        <v>261003</v>
      </c>
      <c r="AN354" s="35" t="s">
        <v>2030</v>
      </c>
      <c r="AO354" s="35" t="s">
        <v>897</v>
      </c>
      <c r="AP354" s="35" t="s">
        <v>626</v>
      </c>
      <c r="AQ354" s="34" t="s">
        <v>2255</v>
      </c>
      <c r="AR354" s="35" t="s">
        <v>265</v>
      </c>
      <c r="AS354" s="35" t="s">
        <v>1158</v>
      </c>
      <c r="AT354" s="35" t="s">
        <v>244</v>
      </c>
      <c r="AU354" s="35" t="s">
        <v>10</v>
      </c>
      <c r="AV354" s="35" t="s">
        <v>959</v>
      </c>
      <c r="AW354" s="35" t="s">
        <v>683</v>
      </c>
      <c r="AX354" s="34" t="s">
        <v>1867</v>
      </c>
      <c r="AY354" s="35">
        <v>9</v>
      </c>
      <c r="AZ354" s="35" t="s">
        <v>477</v>
      </c>
      <c r="BA354" s="35" t="s">
        <v>692</v>
      </c>
      <c r="BB354" s="35" t="s">
        <v>10</v>
      </c>
      <c r="BC354" s="35" t="s">
        <v>597</v>
      </c>
      <c r="BD354" s="35" t="s">
        <v>1742</v>
      </c>
      <c r="BE354" s="35" t="s">
        <v>10</v>
      </c>
      <c r="BF354" s="35" t="s">
        <v>10</v>
      </c>
      <c r="BG354" s="35">
        <v>1774</v>
      </c>
      <c r="BH354" s="35" t="s">
        <v>91</v>
      </c>
      <c r="BI354" s="35">
        <v>0.35</v>
      </c>
      <c r="BJ354" s="35" t="s">
        <v>1595</v>
      </c>
      <c r="BK354" s="35" t="s">
        <v>810</v>
      </c>
      <c r="BL354" s="35">
        <v>261003</v>
      </c>
      <c r="BW354" s="248"/>
      <c r="BX354" s="248"/>
      <c r="BY354" s="248"/>
      <c r="BZ354" s="248"/>
      <c r="CA354" s="248"/>
      <c r="CB354" s="248"/>
      <c r="CC354" s="248"/>
      <c r="CD354" s="248"/>
      <c r="CE354" s="248"/>
      <c r="CF354" s="248"/>
      <c r="CG354" s="248"/>
      <c r="CH354" s="248"/>
      <c r="CI354" s="248"/>
      <c r="CJ354" s="248"/>
      <c r="CK354" s="248"/>
      <c r="CL354" s="248"/>
      <c r="CM354" s="248"/>
      <c r="CN354" s="248"/>
      <c r="CO354" s="248"/>
      <c r="CP354" s="248"/>
      <c r="CQ354" s="248"/>
      <c r="CR354" s="248"/>
      <c r="CS354" s="248"/>
      <c r="CT354" s="248"/>
      <c r="CU354" s="248"/>
      <c r="CV354" s="248"/>
      <c r="CW354" s="248"/>
      <c r="CX354" s="248"/>
      <c r="CY354" s="248"/>
      <c r="CZ354" s="248"/>
      <c r="DA354" s="248"/>
      <c r="DB354" s="248"/>
      <c r="DC354" s="248"/>
      <c r="DD354" s="248"/>
      <c r="DE354" s="248"/>
      <c r="DF354" s="248"/>
      <c r="DG354" s="248"/>
      <c r="DH354" s="248"/>
      <c r="DI354" s="248"/>
      <c r="DJ354" s="248"/>
      <c r="DK354" s="248"/>
      <c r="DL354" s="248"/>
      <c r="DM354" s="248"/>
      <c r="DN354" s="248"/>
      <c r="DO354" s="248"/>
      <c r="DP354" s="248"/>
      <c r="DQ354" s="248"/>
      <c r="DR354" s="248"/>
      <c r="DS354" s="248"/>
      <c r="DT354" s="248"/>
      <c r="DU354" s="248"/>
      <c r="DV354" s="248"/>
      <c r="DW354" s="248"/>
      <c r="DX354" s="248"/>
      <c r="DY354" s="248"/>
      <c r="DZ354" s="248"/>
      <c r="EA354" s="248"/>
      <c r="EB354" s="248"/>
      <c r="EC354" s="248"/>
      <c r="ED354" s="248"/>
      <c r="EE354" s="248"/>
    </row>
    <row r="355" spans="1:135" s="35" customFormat="1" ht="16.5">
      <c r="A355" s="35" t="str">
        <f t="shared" si="12"/>
        <v>KS_CP_C             KI_A</v>
      </c>
      <c r="B355" s="331"/>
      <c r="C355" s="248">
        <v>261004</v>
      </c>
      <c r="D355" s="283">
        <v>261</v>
      </c>
      <c r="F355" s="35" t="s">
        <v>1086</v>
      </c>
      <c r="H355" s="35" t="s">
        <v>523</v>
      </c>
      <c r="O355" s="34" t="s">
        <v>1086</v>
      </c>
      <c r="P355" s="34" t="s">
        <v>1086</v>
      </c>
      <c r="Q355" s="279"/>
      <c r="R355" s="39"/>
      <c r="W355" s="39"/>
      <c r="AH355" s="279"/>
      <c r="AJ355" s="279" t="s">
        <v>1117</v>
      </c>
      <c r="AK355" s="279"/>
      <c r="AL355" s="523">
        <v>3</v>
      </c>
      <c r="AM355" s="35">
        <v>261004</v>
      </c>
      <c r="AN355" s="35" t="s">
        <v>2031</v>
      </c>
      <c r="AO355" s="35" t="s">
        <v>959</v>
      </c>
      <c r="AP355" s="35" t="s">
        <v>683</v>
      </c>
      <c r="AQ355" s="34" t="s">
        <v>1867</v>
      </c>
      <c r="AR355" s="35">
        <v>10</v>
      </c>
      <c r="AS355" s="35" t="s">
        <v>477</v>
      </c>
      <c r="AT355" s="35" t="s">
        <v>692</v>
      </c>
      <c r="AU355" s="35" t="s">
        <v>10</v>
      </c>
      <c r="AV355" s="35" t="s">
        <v>896</v>
      </c>
      <c r="AW355" s="35" t="s">
        <v>624</v>
      </c>
      <c r="AX355" s="34" t="s">
        <v>2254</v>
      </c>
      <c r="AY355" s="35">
        <v>17</v>
      </c>
      <c r="AZ355" s="35" t="s">
        <v>350</v>
      </c>
      <c r="BA355" s="35" t="s">
        <v>87</v>
      </c>
      <c r="BB355" s="35" t="s">
        <v>10</v>
      </c>
      <c r="BC355" s="35" t="s">
        <v>138</v>
      </c>
      <c r="BD355" s="35" t="s">
        <v>1742</v>
      </c>
      <c r="BE355" s="35" t="s">
        <v>10</v>
      </c>
      <c r="BF355" s="35" t="s">
        <v>10</v>
      </c>
      <c r="BG355" s="35">
        <v>1463</v>
      </c>
      <c r="BH355" s="35" t="s">
        <v>122</v>
      </c>
      <c r="BI355" s="35">
        <v>0.35</v>
      </c>
      <c r="BJ355" s="35" t="s">
        <v>811</v>
      </c>
      <c r="BK355" s="35" t="s">
        <v>810</v>
      </c>
      <c r="BL355" s="35">
        <v>261004</v>
      </c>
      <c r="BW355" s="248"/>
      <c r="BX355" s="248"/>
      <c r="BY355" s="248"/>
      <c r="BZ355" s="248"/>
      <c r="CA355" s="248"/>
      <c r="CB355" s="248"/>
      <c r="CC355" s="248"/>
      <c r="CD355" s="248"/>
      <c r="CE355" s="248"/>
      <c r="CF355" s="248"/>
      <c r="CG355" s="248"/>
      <c r="CH355" s="248"/>
      <c r="CI355" s="248"/>
      <c r="CJ355" s="248"/>
      <c r="CK355" s="248"/>
      <c r="CL355" s="248"/>
      <c r="CM355" s="248"/>
      <c r="CN355" s="248"/>
      <c r="CO355" s="248"/>
      <c r="CP355" s="248"/>
      <c r="CQ355" s="248"/>
      <c r="CR355" s="248"/>
      <c r="CS355" s="248"/>
      <c r="CT355" s="248"/>
      <c r="CU355" s="248"/>
      <c r="CV355" s="248"/>
      <c r="CW355" s="248"/>
      <c r="CX355" s="248"/>
      <c r="CY355" s="248"/>
      <c r="CZ355" s="248"/>
      <c r="DA355" s="248"/>
      <c r="DB355" s="248"/>
      <c r="DC355" s="248"/>
      <c r="DD355" s="248"/>
      <c r="DE355" s="248"/>
      <c r="DF355" s="248"/>
      <c r="DG355" s="248"/>
      <c r="DH355" s="248"/>
      <c r="DI355" s="248"/>
      <c r="DJ355" s="248"/>
      <c r="DK355" s="248"/>
      <c r="DL355" s="248"/>
      <c r="DM355" s="248"/>
      <c r="DN355" s="248"/>
      <c r="DO355" s="248"/>
      <c r="DP355" s="248"/>
      <c r="DQ355" s="248"/>
      <c r="DR355" s="248"/>
      <c r="DS355" s="248"/>
      <c r="DT355" s="248"/>
      <c r="DU355" s="248"/>
      <c r="DV355" s="248"/>
      <c r="DW355" s="248"/>
      <c r="DX355" s="248"/>
      <c r="DY355" s="248"/>
      <c r="DZ355" s="248"/>
      <c r="EA355" s="248"/>
      <c r="EB355" s="248"/>
      <c r="EC355" s="248"/>
      <c r="ED355" s="248"/>
      <c r="EE355" s="248"/>
    </row>
    <row r="356" spans="1:135" s="35" customFormat="1" ht="16.5">
      <c r="A356" s="35" t="str">
        <f t="shared" si="12"/>
        <v xml:space="preserve">                    </v>
      </c>
      <c r="B356" s="331"/>
      <c r="D356" s="283">
        <v>267</v>
      </c>
      <c r="O356" s="34"/>
      <c r="P356" s="34"/>
      <c r="Q356" s="58"/>
      <c r="R356" s="39"/>
      <c r="W356" s="39"/>
      <c r="AH356" s="279"/>
      <c r="AJ356" s="279"/>
      <c r="AK356" s="279"/>
      <c r="AL356" s="523">
        <v>1</v>
      </c>
      <c r="AM356" s="35" t="s">
        <v>332</v>
      </c>
      <c r="AQ356" s="34"/>
      <c r="AX356" s="34"/>
      <c r="BW356" s="248"/>
      <c r="BX356" s="248"/>
      <c r="BY356" s="248"/>
      <c r="BZ356" s="248"/>
      <c r="CA356" s="248"/>
      <c r="CB356" s="248"/>
      <c r="CC356" s="248"/>
      <c r="CD356" s="248"/>
      <c r="CE356" s="248"/>
      <c r="CF356" s="248"/>
      <c r="CG356" s="248"/>
      <c r="CH356" s="248"/>
      <c r="CI356" s="248"/>
      <c r="CJ356" s="248"/>
      <c r="CK356" s="248"/>
      <c r="CL356" s="248"/>
      <c r="CM356" s="248"/>
      <c r="CN356" s="248"/>
      <c r="CO356" s="248"/>
      <c r="CP356" s="248"/>
      <c r="CQ356" s="248"/>
      <c r="CR356" s="248"/>
      <c r="CS356" s="248"/>
      <c r="CT356" s="248"/>
      <c r="CU356" s="248"/>
      <c r="CV356" s="248"/>
      <c r="CW356" s="248"/>
      <c r="CX356" s="248"/>
      <c r="CY356" s="248"/>
      <c r="CZ356" s="248"/>
      <c r="DA356" s="248"/>
      <c r="DB356" s="248"/>
      <c r="DC356" s="248"/>
      <c r="DD356" s="248"/>
      <c r="DE356" s="248"/>
      <c r="DF356" s="248"/>
      <c r="DG356" s="248"/>
      <c r="DH356" s="248"/>
      <c r="DI356" s="248"/>
      <c r="DJ356" s="248"/>
      <c r="DK356" s="248"/>
      <c r="DL356" s="248"/>
      <c r="DM356" s="248"/>
      <c r="DN356" s="248"/>
      <c r="DO356" s="248"/>
      <c r="DP356" s="248"/>
      <c r="DQ356" s="248"/>
      <c r="DR356" s="248"/>
      <c r="DS356" s="248"/>
      <c r="DT356" s="248"/>
      <c r="DU356" s="248"/>
      <c r="DV356" s="248"/>
      <c r="DW356" s="248"/>
      <c r="DX356" s="248"/>
      <c r="DY356" s="248"/>
      <c r="DZ356" s="248"/>
      <c r="EA356" s="248"/>
      <c r="EB356" s="248"/>
      <c r="EC356" s="248"/>
      <c r="ED356" s="248"/>
      <c r="EE356" s="248"/>
    </row>
    <row r="357" spans="1:135" s="35" customFormat="1" ht="16.5">
      <c r="A357" s="35" t="str">
        <f t="shared" si="12"/>
        <v xml:space="preserve">~                   </v>
      </c>
      <c r="B357" s="331"/>
      <c r="D357" s="283">
        <v>267</v>
      </c>
      <c r="O357" s="34"/>
      <c r="P357" s="34"/>
      <c r="Q357" s="58"/>
      <c r="R357" s="39"/>
      <c r="W357" s="39"/>
      <c r="AH357" s="279"/>
      <c r="AJ357" s="279"/>
      <c r="AK357" s="279"/>
      <c r="AL357" s="523">
        <v>2</v>
      </c>
      <c r="AM357" s="35" t="s">
        <v>0</v>
      </c>
      <c r="AN357" s="35" t="s">
        <v>812</v>
      </c>
      <c r="AO357" s="35" t="s">
        <v>1037</v>
      </c>
      <c r="AP357" s="35" t="s">
        <v>2032</v>
      </c>
      <c r="AQ357" s="34" t="s">
        <v>1</v>
      </c>
      <c r="AR357" s="35" t="s">
        <v>1596</v>
      </c>
      <c r="AS357" s="35" t="s">
        <v>11</v>
      </c>
      <c r="AX357" s="34"/>
      <c r="BW357" s="248"/>
      <c r="BX357" s="248"/>
      <c r="BY357" s="248"/>
      <c r="BZ357" s="248"/>
      <c r="CA357" s="248"/>
      <c r="CB357" s="248"/>
      <c r="CC357" s="248"/>
      <c r="CD357" s="248"/>
      <c r="CE357" s="248"/>
      <c r="CF357" s="248"/>
      <c r="CG357" s="248"/>
      <c r="CH357" s="248"/>
      <c r="CI357" s="248"/>
      <c r="CJ357" s="248"/>
      <c r="CK357" s="248"/>
      <c r="CL357" s="248"/>
      <c r="CM357" s="248"/>
      <c r="CN357" s="248"/>
      <c r="CO357" s="248"/>
      <c r="CP357" s="248"/>
      <c r="CQ357" s="248"/>
      <c r="CR357" s="248"/>
      <c r="CS357" s="248"/>
      <c r="CT357" s="248"/>
      <c r="CU357" s="248"/>
      <c r="CV357" s="248"/>
      <c r="CW357" s="248"/>
      <c r="CX357" s="248"/>
      <c r="CY357" s="248"/>
      <c r="CZ357" s="248"/>
      <c r="DA357" s="248"/>
      <c r="DB357" s="248"/>
      <c r="DC357" s="248"/>
      <c r="DD357" s="248"/>
      <c r="DE357" s="248"/>
      <c r="DF357" s="248"/>
      <c r="DG357" s="248"/>
      <c r="DH357" s="248"/>
      <c r="DI357" s="248"/>
      <c r="DJ357" s="248"/>
      <c r="DK357" s="248"/>
      <c r="DL357" s="248"/>
      <c r="DM357" s="248"/>
      <c r="DN357" s="248"/>
      <c r="DO357" s="248"/>
      <c r="DP357" s="248"/>
      <c r="DQ357" s="248"/>
      <c r="DR357" s="248"/>
      <c r="DS357" s="248"/>
      <c r="DT357" s="248"/>
      <c r="DU357" s="248"/>
      <c r="DV357" s="248"/>
      <c r="DW357" s="248"/>
      <c r="DX357" s="248"/>
      <c r="DY357" s="248"/>
      <c r="DZ357" s="248"/>
      <c r="EA357" s="248"/>
      <c r="EB357" s="248"/>
      <c r="EC357" s="248"/>
      <c r="ED357" s="248"/>
      <c r="EE357" s="248"/>
    </row>
    <row r="358" spans="1:135" s="35" customFormat="1" ht="16.5">
      <c r="A358" s="35" t="str">
        <f t="shared" si="12"/>
        <v>Kurzname            Kurzname</v>
      </c>
      <c r="B358" s="331"/>
      <c r="D358" s="283">
        <v>267</v>
      </c>
      <c r="O358" s="34"/>
      <c r="P358" s="34"/>
      <c r="Q358" s="58"/>
      <c r="R358" s="39"/>
      <c r="W358" s="39"/>
      <c r="AH358" s="279"/>
      <c r="AJ358" s="279"/>
      <c r="AK358" s="279"/>
      <c r="AL358" s="523">
        <v>0</v>
      </c>
      <c r="AM358" s="35" t="s">
        <v>12</v>
      </c>
      <c r="AN358" s="35" t="s">
        <v>13</v>
      </c>
      <c r="AO358" s="35" t="s">
        <v>356</v>
      </c>
      <c r="AP358" s="35" t="s">
        <v>14</v>
      </c>
      <c r="AQ358" s="34" t="s">
        <v>7</v>
      </c>
      <c r="AR358" s="35" t="s">
        <v>15</v>
      </c>
      <c r="AS358" s="35" t="s">
        <v>8</v>
      </c>
      <c r="AT358" s="35" t="s">
        <v>16</v>
      </c>
      <c r="AU358" s="35" t="s">
        <v>17</v>
      </c>
      <c r="AV358" s="35" t="s">
        <v>356</v>
      </c>
      <c r="AW358" s="35" t="s">
        <v>18</v>
      </c>
      <c r="AX358" s="34" t="s">
        <v>7</v>
      </c>
      <c r="AY358" s="35" t="s">
        <v>15</v>
      </c>
      <c r="AZ358" s="35" t="s">
        <v>8</v>
      </c>
      <c r="BA358" s="35" t="s">
        <v>16</v>
      </c>
      <c r="BB358" s="35" t="s">
        <v>17</v>
      </c>
      <c r="BC358" s="35" t="s">
        <v>19</v>
      </c>
      <c r="BD358" s="35" t="s">
        <v>1737</v>
      </c>
      <c r="BE358" s="35" t="s">
        <v>20</v>
      </c>
      <c r="BF358" s="35" t="s">
        <v>21</v>
      </c>
      <c r="BG358" s="35" t="s">
        <v>22</v>
      </c>
      <c r="BH358" s="35" t="s">
        <v>9</v>
      </c>
      <c r="BI358" s="35" t="s">
        <v>23</v>
      </c>
      <c r="BJ358" s="35" t="s">
        <v>24</v>
      </c>
      <c r="BK358" s="35" t="s">
        <v>0</v>
      </c>
      <c r="BL358" s="35" t="s">
        <v>12</v>
      </c>
      <c r="BW358" s="248"/>
      <c r="BX358" s="248"/>
      <c r="BY358" s="248"/>
      <c r="BZ358" s="248"/>
      <c r="CA358" s="248"/>
      <c r="CB358" s="248"/>
      <c r="CC358" s="248"/>
      <c r="CD358" s="248"/>
      <c r="CE358" s="248"/>
      <c r="CF358" s="248"/>
      <c r="CG358" s="248"/>
      <c r="CH358" s="248"/>
      <c r="CI358" s="248"/>
      <c r="CJ358" s="248"/>
      <c r="CK358" s="248"/>
      <c r="CL358" s="248"/>
      <c r="CM358" s="248"/>
      <c r="CN358" s="248"/>
      <c r="CO358" s="248"/>
      <c r="CP358" s="248"/>
      <c r="CQ358" s="248"/>
      <c r="CR358" s="248"/>
      <c r="CS358" s="248"/>
      <c r="CT358" s="248"/>
      <c r="CU358" s="248"/>
      <c r="CV358" s="248"/>
      <c r="CW358" s="248"/>
      <c r="CX358" s="248"/>
      <c r="CY358" s="248"/>
      <c r="CZ358" s="248"/>
      <c r="DA358" s="248"/>
      <c r="DB358" s="248"/>
      <c r="DC358" s="248"/>
      <c r="DD358" s="248"/>
      <c r="DE358" s="248"/>
      <c r="DF358" s="248"/>
      <c r="DG358" s="248"/>
      <c r="DH358" s="248"/>
      <c r="DI358" s="248"/>
      <c r="DJ358" s="248"/>
      <c r="DK358" s="248"/>
      <c r="DL358" s="248"/>
      <c r="DM358" s="248"/>
      <c r="DN358" s="248"/>
      <c r="DO358" s="248"/>
      <c r="DP358" s="248"/>
      <c r="DQ358" s="248"/>
      <c r="DR358" s="248"/>
      <c r="DS358" s="248"/>
      <c r="DT358" s="248"/>
      <c r="DU358" s="248"/>
      <c r="DV358" s="248"/>
      <c r="DW358" s="248"/>
      <c r="DX358" s="248"/>
      <c r="DY358" s="248"/>
      <c r="DZ358" s="248"/>
      <c r="EA358" s="248"/>
      <c r="EB358" s="248"/>
      <c r="EC358" s="248"/>
      <c r="ED358" s="248"/>
      <c r="EE358" s="248"/>
    </row>
    <row r="359" spans="1:135" s="35" customFormat="1" ht="16.5">
      <c r="A359" s="35" t="str">
        <f t="shared" si="12"/>
        <v>KS_CPR_F            MIB_P</v>
      </c>
      <c r="B359" s="331"/>
      <c r="C359" s="248">
        <v>267001</v>
      </c>
      <c r="D359" s="283">
        <v>267</v>
      </c>
      <c r="F359" s="35" t="s">
        <v>1086</v>
      </c>
      <c r="O359" s="34" t="s">
        <v>1086</v>
      </c>
      <c r="P359" s="34" t="s">
        <v>1086</v>
      </c>
      <c r="Q359" s="58"/>
      <c r="R359" s="39"/>
      <c r="W359" s="279" t="s">
        <v>2439</v>
      </c>
      <c r="AB359" s="58" t="s">
        <v>1321</v>
      </c>
      <c r="AH359" s="279"/>
      <c r="AJ359" s="279" t="s">
        <v>1117</v>
      </c>
      <c r="AK359" s="279"/>
      <c r="AL359" s="523">
        <v>3</v>
      </c>
      <c r="AM359" s="35">
        <v>267001</v>
      </c>
      <c r="AN359" s="35" t="s">
        <v>2033</v>
      </c>
      <c r="AO359" s="35" t="s">
        <v>424</v>
      </c>
      <c r="AP359" s="35" t="s">
        <v>813</v>
      </c>
      <c r="AQ359" s="34" t="s">
        <v>2034</v>
      </c>
      <c r="AR359" s="35">
        <v>2</v>
      </c>
      <c r="AS359" s="35" t="s">
        <v>489</v>
      </c>
      <c r="AT359" s="35" t="s">
        <v>333</v>
      </c>
      <c r="AU359" s="35" t="s">
        <v>10</v>
      </c>
      <c r="AV359" s="35" t="s">
        <v>920</v>
      </c>
      <c r="AW359" s="35" t="s">
        <v>1264</v>
      </c>
      <c r="AX359" s="34" t="s">
        <v>2317</v>
      </c>
      <c r="AY359" s="35">
        <v>1</v>
      </c>
      <c r="AZ359" s="35" t="s">
        <v>2035</v>
      </c>
      <c r="BA359" s="35" t="s">
        <v>333</v>
      </c>
      <c r="BB359" s="35" t="s">
        <v>10</v>
      </c>
      <c r="BC359" s="35" t="s">
        <v>334</v>
      </c>
      <c r="BD359" s="35" t="s">
        <v>1321</v>
      </c>
      <c r="BE359" s="35" t="s">
        <v>10</v>
      </c>
      <c r="BF359" s="35" t="s">
        <v>10</v>
      </c>
      <c r="BG359" s="35">
        <v>1768</v>
      </c>
      <c r="BH359" s="35" t="s">
        <v>96</v>
      </c>
      <c r="BI359" s="35">
        <v>0.75</v>
      </c>
      <c r="BJ359" s="35" t="s">
        <v>2036</v>
      </c>
      <c r="BK359" s="35" t="s">
        <v>812</v>
      </c>
      <c r="BL359" s="35">
        <v>267001</v>
      </c>
      <c r="BW359" s="248"/>
      <c r="BX359" s="248"/>
      <c r="BY359" s="248"/>
      <c r="BZ359" s="248"/>
      <c r="CA359" s="248"/>
      <c r="CB359" s="248"/>
      <c r="CC359" s="248"/>
      <c r="CD359" s="248"/>
      <c r="CE359" s="248"/>
      <c r="CF359" s="248"/>
      <c r="CG359" s="248"/>
      <c r="CH359" s="248"/>
      <c r="CI359" s="248"/>
      <c r="CJ359" s="248"/>
      <c r="CK359" s="248"/>
      <c r="CL359" s="248"/>
      <c r="CM359" s="248"/>
      <c r="CN359" s="248"/>
      <c r="CO359" s="248"/>
      <c r="CP359" s="248"/>
      <c r="CQ359" s="248"/>
      <c r="CR359" s="248"/>
      <c r="CS359" s="248"/>
      <c r="CT359" s="248"/>
      <c r="CU359" s="248"/>
      <c r="CV359" s="248"/>
      <c r="CW359" s="248"/>
      <c r="CX359" s="248"/>
      <c r="CY359" s="248"/>
      <c r="CZ359" s="248"/>
      <c r="DA359" s="248"/>
      <c r="DB359" s="248"/>
      <c r="DC359" s="248"/>
      <c r="DD359" s="248"/>
      <c r="DE359" s="248"/>
      <c r="DF359" s="248"/>
      <c r="DG359" s="248"/>
      <c r="DH359" s="248"/>
      <c r="DI359" s="248"/>
      <c r="DJ359" s="248"/>
      <c r="DK359" s="248"/>
      <c r="DL359" s="248"/>
      <c r="DM359" s="248"/>
      <c r="DN359" s="248"/>
      <c r="DO359" s="248"/>
      <c r="DP359" s="248"/>
      <c r="DQ359" s="248"/>
      <c r="DR359" s="248"/>
      <c r="DS359" s="248"/>
      <c r="DT359" s="248"/>
      <c r="DU359" s="248"/>
      <c r="DV359" s="248"/>
      <c r="DW359" s="248"/>
      <c r="DX359" s="248"/>
      <c r="DY359" s="248"/>
      <c r="DZ359" s="248"/>
      <c r="EA359" s="248"/>
      <c r="EB359" s="248"/>
      <c r="EC359" s="248"/>
      <c r="ED359" s="248"/>
      <c r="EE359" s="248"/>
    </row>
    <row r="360" spans="1:135" s="35" customFormat="1" ht="16.5">
      <c r="A360" s="35" t="str">
        <f t="shared" si="12"/>
        <v>KS_CPR_F            MIB_P</v>
      </c>
      <c r="B360" s="331"/>
      <c r="C360" s="248">
        <v>267002</v>
      </c>
      <c r="D360" s="283">
        <v>267</v>
      </c>
      <c r="F360" s="35" t="s">
        <v>1086</v>
      </c>
      <c r="O360" s="34" t="s">
        <v>1086</v>
      </c>
      <c r="P360" s="34" t="s">
        <v>1086</v>
      </c>
      <c r="Q360" s="58"/>
      <c r="R360" s="39"/>
      <c r="W360" s="279" t="s">
        <v>2439</v>
      </c>
      <c r="AB360" s="58" t="s">
        <v>1321</v>
      </c>
      <c r="AH360" s="279"/>
      <c r="AJ360" s="279" t="s">
        <v>1117</v>
      </c>
      <c r="AK360" s="279"/>
      <c r="AL360" s="523">
        <v>3</v>
      </c>
      <c r="AM360" s="35">
        <v>267002</v>
      </c>
      <c r="AN360" s="35" t="s">
        <v>2037</v>
      </c>
      <c r="AO360" s="35" t="s">
        <v>424</v>
      </c>
      <c r="AP360" s="35" t="s">
        <v>813</v>
      </c>
      <c r="AQ360" s="34" t="s">
        <v>2034</v>
      </c>
      <c r="AR360" s="35">
        <v>1</v>
      </c>
      <c r="AS360" s="35" t="s">
        <v>489</v>
      </c>
      <c r="AT360" s="35" t="s">
        <v>333</v>
      </c>
      <c r="AU360" s="35" t="s">
        <v>10</v>
      </c>
      <c r="AV360" s="35" t="s">
        <v>920</v>
      </c>
      <c r="AW360" s="35" t="s">
        <v>1264</v>
      </c>
      <c r="AX360" s="34" t="s">
        <v>2317</v>
      </c>
      <c r="AY360" s="35">
        <v>2</v>
      </c>
      <c r="AZ360" s="35" t="s">
        <v>2035</v>
      </c>
      <c r="BA360" s="35" t="s">
        <v>333</v>
      </c>
      <c r="BB360" s="35" t="s">
        <v>10</v>
      </c>
      <c r="BC360" s="35" t="s">
        <v>334</v>
      </c>
      <c r="BD360" s="35" t="s">
        <v>1321</v>
      </c>
      <c r="BE360" s="35" t="s">
        <v>10</v>
      </c>
      <c r="BF360" s="35" t="s">
        <v>10</v>
      </c>
      <c r="BG360" s="35">
        <v>1768</v>
      </c>
      <c r="BH360" s="35" t="s">
        <v>96</v>
      </c>
      <c r="BI360" s="35">
        <v>0.75</v>
      </c>
      <c r="BJ360" s="35" t="s">
        <v>2038</v>
      </c>
      <c r="BK360" s="35" t="s">
        <v>812</v>
      </c>
      <c r="BL360" s="35">
        <v>267002</v>
      </c>
      <c r="BW360" s="248"/>
      <c r="BX360" s="248"/>
      <c r="BY360" s="248"/>
      <c r="BZ360" s="248"/>
      <c r="CA360" s="248"/>
      <c r="CB360" s="248"/>
      <c r="CC360" s="248"/>
      <c r="CD360" s="248"/>
      <c r="CE360" s="248"/>
      <c r="CF360" s="248"/>
      <c r="CG360" s="248"/>
      <c r="CH360" s="248"/>
      <c r="CI360" s="248"/>
      <c r="CJ360" s="248"/>
      <c r="CK360" s="248"/>
      <c r="CL360" s="248"/>
      <c r="CM360" s="248"/>
      <c r="CN360" s="248"/>
      <c r="CO360" s="248"/>
      <c r="CP360" s="248"/>
      <c r="CQ360" s="248"/>
      <c r="CR360" s="248"/>
      <c r="CS360" s="248"/>
      <c r="CT360" s="248"/>
      <c r="CU360" s="248"/>
      <c r="CV360" s="248"/>
      <c r="CW360" s="248"/>
      <c r="CX360" s="248"/>
      <c r="CY360" s="248"/>
      <c r="CZ360" s="248"/>
      <c r="DA360" s="248"/>
      <c r="DB360" s="248"/>
      <c r="DC360" s="248"/>
      <c r="DD360" s="248"/>
      <c r="DE360" s="248"/>
      <c r="DF360" s="248"/>
      <c r="DG360" s="248"/>
      <c r="DH360" s="248"/>
      <c r="DI360" s="248"/>
      <c r="DJ360" s="248"/>
      <c r="DK360" s="248"/>
      <c r="DL360" s="248"/>
      <c r="DM360" s="248"/>
      <c r="DN360" s="248"/>
      <c r="DO360" s="248"/>
      <c r="DP360" s="248"/>
      <c r="DQ360" s="248"/>
      <c r="DR360" s="248"/>
      <c r="DS360" s="248"/>
      <c r="DT360" s="248"/>
      <c r="DU360" s="248"/>
      <c r="DV360" s="248"/>
      <c r="DW360" s="248"/>
      <c r="DX360" s="248"/>
      <c r="DY360" s="248"/>
      <c r="DZ360" s="248"/>
      <c r="EA360" s="248"/>
      <c r="EB360" s="248"/>
      <c r="EC360" s="248"/>
      <c r="ED360" s="248"/>
      <c r="EE360" s="248"/>
    </row>
    <row r="361" spans="1:135" s="35" customFormat="1" ht="16.5">
      <c r="A361" s="35" t="str">
        <f t="shared" si="12"/>
        <v>MIB_E               KS_CPR_A</v>
      </c>
      <c r="B361" s="331"/>
      <c r="C361" s="248">
        <v>267003</v>
      </c>
      <c r="D361" s="283">
        <v>267</v>
      </c>
      <c r="F361" s="35" t="s">
        <v>1086</v>
      </c>
      <c r="O361" s="34" t="s">
        <v>1086</v>
      </c>
      <c r="P361" s="34" t="s">
        <v>1086</v>
      </c>
      <c r="Q361" s="58"/>
      <c r="R361" s="39"/>
      <c r="W361" s="39"/>
      <c r="AH361" s="279"/>
      <c r="AJ361" s="279" t="s">
        <v>1117</v>
      </c>
      <c r="AK361" s="279"/>
      <c r="AL361" s="523">
        <v>3</v>
      </c>
      <c r="AM361" s="35">
        <v>267003</v>
      </c>
      <c r="AN361" s="35" t="s">
        <v>1597</v>
      </c>
      <c r="AO361" s="35" t="s">
        <v>920</v>
      </c>
      <c r="AP361" s="35" t="s">
        <v>664</v>
      </c>
      <c r="AQ361" s="34" t="s">
        <v>2264</v>
      </c>
      <c r="AR361" s="35">
        <v>3</v>
      </c>
      <c r="AS361" s="35" t="s">
        <v>1257</v>
      </c>
      <c r="AT361" s="35" t="s">
        <v>218</v>
      </c>
      <c r="AU361" s="35" t="s">
        <v>10</v>
      </c>
      <c r="AV361" s="35" t="s">
        <v>424</v>
      </c>
      <c r="AW361" s="35" t="s">
        <v>637</v>
      </c>
      <c r="AX361" s="34" t="s">
        <v>1770</v>
      </c>
      <c r="AY361" s="35">
        <v>7</v>
      </c>
      <c r="AZ361" s="35" t="s">
        <v>1771</v>
      </c>
      <c r="BA361" s="35" t="s">
        <v>492</v>
      </c>
      <c r="BB361" s="35" t="s">
        <v>10</v>
      </c>
      <c r="BC361" s="35" t="s">
        <v>501</v>
      </c>
      <c r="BD361" s="35" t="s">
        <v>1742</v>
      </c>
      <c r="BE361" s="35" t="s">
        <v>10</v>
      </c>
      <c r="BF361" s="35" t="s">
        <v>10</v>
      </c>
      <c r="BG361" s="35">
        <v>1748</v>
      </c>
      <c r="BH361" s="35" t="s">
        <v>78</v>
      </c>
      <c r="BI361" s="35">
        <v>0.13</v>
      </c>
      <c r="BJ361" s="35" t="s">
        <v>335</v>
      </c>
      <c r="BK361" s="35" t="s">
        <v>812</v>
      </c>
      <c r="BL361" s="35">
        <v>267003</v>
      </c>
      <c r="BW361" s="248"/>
      <c r="BX361" s="248"/>
      <c r="BY361" s="248"/>
      <c r="BZ361" s="248"/>
      <c r="CA361" s="248"/>
      <c r="CB361" s="248"/>
      <c r="CC361" s="248"/>
      <c r="CD361" s="248"/>
      <c r="CE361" s="248"/>
      <c r="CF361" s="248"/>
      <c r="CG361" s="248"/>
      <c r="CH361" s="248"/>
      <c r="CI361" s="248"/>
      <c r="CJ361" s="248"/>
      <c r="CK361" s="248"/>
      <c r="CL361" s="248"/>
      <c r="CM361" s="248"/>
      <c r="CN361" s="248"/>
      <c r="CO361" s="248"/>
      <c r="CP361" s="248"/>
      <c r="CQ361" s="248"/>
      <c r="CR361" s="248"/>
      <c r="CS361" s="248"/>
      <c r="CT361" s="248"/>
      <c r="CU361" s="248"/>
      <c r="CV361" s="248"/>
      <c r="CW361" s="248"/>
      <c r="CX361" s="248"/>
      <c r="CY361" s="248"/>
      <c r="CZ361" s="248"/>
      <c r="DA361" s="248"/>
      <c r="DB361" s="248"/>
      <c r="DC361" s="248"/>
      <c r="DD361" s="248"/>
      <c r="DE361" s="248"/>
      <c r="DF361" s="248"/>
      <c r="DG361" s="248"/>
      <c r="DH361" s="248"/>
      <c r="DI361" s="248"/>
      <c r="DJ361" s="248"/>
      <c r="DK361" s="248"/>
      <c r="DL361" s="248"/>
      <c r="DM361" s="248"/>
      <c r="DN361" s="248"/>
      <c r="DO361" s="248"/>
      <c r="DP361" s="248"/>
      <c r="DQ361" s="248"/>
      <c r="DR361" s="248"/>
      <c r="DS361" s="248"/>
      <c r="DT361" s="248"/>
      <c r="DU361" s="248"/>
      <c r="DV361" s="248"/>
      <c r="DW361" s="248"/>
      <c r="DX361" s="248"/>
      <c r="DY361" s="248"/>
      <c r="DZ361" s="248"/>
      <c r="EA361" s="248"/>
      <c r="EB361" s="248"/>
      <c r="EC361" s="248"/>
      <c r="ED361" s="248"/>
      <c r="EE361" s="248"/>
    </row>
    <row r="362" spans="1:135" s="484" customFormat="1" ht="16.5">
      <c r="A362" s="186"/>
      <c r="B362" s="491"/>
      <c r="D362" s="492">
        <v>295</v>
      </c>
      <c r="O362" s="257"/>
      <c r="P362" s="257"/>
      <c r="Q362" s="485"/>
      <c r="R362" s="483"/>
      <c r="W362" s="483"/>
      <c r="Z362" s="511"/>
      <c r="AA362" s="511"/>
      <c r="AB362" s="511"/>
      <c r="AH362" s="494"/>
      <c r="AJ362" s="494"/>
      <c r="AK362" s="515"/>
      <c r="AL362" s="526">
        <v>1</v>
      </c>
      <c r="AM362" s="484" t="s">
        <v>2580</v>
      </c>
      <c r="AQ362" s="257"/>
      <c r="AX362" s="257"/>
    </row>
    <row r="363" spans="1:135" s="484" customFormat="1" ht="16.5">
      <c r="A363" s="186"/>
      <c r="B363" s="491"/>
      <c r="D363" s="492">
        <v>295</v>
      </c>
      <c r="O363" s="257"/>
      <c r="P363" s="257"/>
      <c r="Q363" s="485"/>
      <c r="R363" s="483"/>
      <c r="W363" s="483"/>
      <c r="Z363" s="511"/>
      <c r="AA363" s="511"/>
      <c r="AB363" s="511"/>
      <c r="AH363" s="494"/>
      <c r="AJ363" s="494"/>
      <c r="AK363" s="515"/>
      <c r="AL363" s="526">
        <v>2</v>
      </c>
      <c r="AM363" s="484" t="s">
        <v>0</v>
      </c>
      <c r="AN363" s="484" t="s">
        <v>2582</v>
      </c>
      <c r="AO363" s="484" t="s">
        <v>1356</v>
      </c>
      <c r="AP363" s="484" t="s">
        <v>2444</v>
      </c>
      <c r="AQ363" s="257" t="s">
        <v>1</v>
      </c>
      <c r="AR363" s="484" t="s">
        <v>1531</v>
      </c>
      <c r="AS363" s="484" t="s">
        <v>11</v>
      </c>
      <c r="AX363" s="257"/>
    </row>
    <row r="364" spans="1:135" s="484" customFormat="1" ht="16.5">
      <c r="A364" s="186"/>
      <c r="B364" s="491"/>
      <c r="D364" s="492">
        <v>295</v>
      </c>
      <c r="O364" s="257"/>
      <c r="P364" s="257"/>
      <c r="Q364" s="485"/>
      <c r="R364" s="483"/>
      <c r="W364" s="483"/>
      <c r="Z364" s="511"/>
      <c r="AA364" s="511"/>
      <c r="AB364" s="511"/>
      <c r="AH364" s="494"/>
      <c r="AJ364" s="494"/>
      <c r="AK364" s="515"/>
      <c r="AL364" s="526">
        <v>0</v>
      </c>
      <c r="AM364" s="484" t="s">
        <v>12</v>
      </c>
      <c r="AN364" s="484" t="s">
        <v>13</v>
      </c>
      <c r="AO364" s="484" t="s">
        <v>356</v>
      </c>
      <c r="AP364" s="484" t="s">
        <v>14</v>
      </c>
      <c r="AQ364" s="484" t="s">
        <v>7</v>
      </c>
      <c r="AR364" s="484" t="s">
        <v>15</v>
      </c>
      <c r="AS364" s="484" t="s">
        <v>8</v>
      </c>
      <c r="AT364" s="484" t="s">
        <v>16</v>
      </c>
      <c r="AU364" s="484" t="s">
        <v>17</v>
      </c>
      <c r="AV364" s="484" t="s">
        <v>356</v>
      </c>
      <c r="AW364" s="484" t="s">
        <v>18</v>
      </c>
      <c r="AX364" s="484" t="s">
        <v>7</v>
      </c>
      <c r="AY364" s="484" t="s">
        <v>15</v>
      </c>
      <c r="AZ364" s="484" t="s">
        <v>8</v>
      </c>
      <c r="BA364" s="484" t="s">
        <v>16</v>
      </c>
      <c r="BB364" s="484" t="s">
        <v>17</v>
      </c>
      <c r="BC364" s="484" t="s">
        <v>19</v>
      </c>
      <c r="BD364" s="484" t="s">
        <v>1737</v>
      </c>
      <c r="BE364" s="484" t="s">
        <v>20</v>
      </c>
      <c r="BF364" s="484" t="s">
        <v>21</v>
      </c>
      <c r="BG364" s="484" t="s">
        <v>22</v>
      </c>
      <c r="BH364" s="484" t="s">
        <v>9</v>
      </c>
      <c r="BI364" s="484" t="s">
        <v>23</v>
      </c>
      <c r="BJ364" s="484" t="s">
        <v>24</v>
      </c>
      <c r="BK364" s="484" t="s">
        <v>0</v>
      </c>
      <c r="BL364" s="484" t="s">
        <v>12</v>
      </c>
    </row>
    <row r="365" spans="1:135" s="484" customFormat="1" ht="16.5">
      <c r="A365" s="186"/>
      <c r="B365" s="491"/>
      <c r="D365" s="492">
        <v>295</v>
      </c>
      <c r="F365" s="484" t="s">
        <v>1086</v>
      </c>
      <c r="O365" s="257" t="s">
        <v>1086</v>
      </c>
      <c r="P365" s="257" t="s">
        <v>1086</v>
      </c>
      <c r="Q365" s="485"/>
      <c r="R365" s="483"/>
      <c r="W365" s="483"/>
      <c r="Z365" s="511"/>
      <c r="AA365" s="511"/>
      <c r="AB365" s="511"/>
      <c r="AH365" s="494"/>
      <c r="AJ365" s="494"/>
      <c r="AK365" s="515"/>
      <c r="AL365" s="526">
        <v>3</v>
      </c>
      <c r="AM365" s="484">
        <v>295001</v>
      </c>
      <c r="AN365" s="484" t="s">
        <v>2583</v>
      </c>
      <c r="AO365" s="484" t="s">
        <v>416</v>
      </c>
      <c r="AP365" s="484" t="s">
        <v>646</v>
      </c>
      <c r="AQ365" s="257" t="s">
        <v>1784</v>
      </c>
      <c r="AR365" s="484">
        <v>1</v>
      </c>
      <c r="AS365" s="484" t="s">
        <v>1759</v>
      </c>
      <c r="AT365" s="484" t="s">
        <v>72</v>
      </c>
      <c r="AU365" s="484" t="s">
        <v>10</v>
      </c>
      <c r="AV365" s="484" t="s">
        <v>502</v>
      </c>
      <c r="AW365" s="484" t="s">
        <v>647</v>
      </c>
      <c r="AX365" s="257" t="s">
        <v>1786</v>
      </c>
      <c r="AY365" s="484">
        <v>8</v>
      </c>
      <c r="AZ365" s="484" t="s">
        <v>1392</v>
      </c>
      <c r="BA365" s="484" t="s">
        <v>245</v>
      </c>
      <c r="BB365" s="484" t="s">
        <v>10</v>
      </c>
      <c r="BC365" s="484" t="s">
        <v>2584</v>
      </c>
      <c r="BD365" s="484" t="s">
        <v>1742</v>
      </c>
      <c r="BE365" s="484" t="s">
        <v>10</v>
      </c>
      <c r="BF365" s="484" t="s">
        <v>10</v>
      </c>
      <c r="BG365" s="484">
        <v>1355</v>
      </c>
      <c r="BH365" s="484" t="s">
        <v>2585</v>
      </c>
      <c r="BI365" s="484">
        <v>0.35</v>
      </c>
      <c r="BJ365" s="484" t="s">
        <v>2586</v>
      </c>
      <c r="BK365" s="484" t="s">
        <v>2582</v>
      </c>
      <c r="BL365" s="484">
        <v>295001</v>
      </c>
    </row>
    <row r="366" spans="1:135" s="35" customFormat="1" ht="16.5">
      <c r="A366" s="35" t="str">
        <f t="shared" ref="A366:A396" si="13" xml:space="preserve"> AQ366 &amp; REPT(" ",20-LEN(AQ366)) &amp; AX366</f>
        <v xml:space="preserve">                    </v>
      </c>
      <c r="B366" s="331"/>
      <c r="D366" s="283">
        <v>321</v>
      </c>
      <c r="F366" s="35" t="s">
        <v>1086</v>
      </c>
      <c r="O366" s="34" t="s">
        <v>1086</v>
      </c>
      <c r="P366" s="34" t="s">
        <v>1086</v>
      </c>
      <c r="Q366" s="58"/>
      <c r="R366" s="39"/>
      <c r="W366" s="39"/>
      <c r="AH366" s="279"/>
      <c r="AJ366" s="279"/>
      <c r="AK366" s="279"/>
      <c r="AL366" s="523">
        <v>1</v>
      </c>
      <c r="AM366" s="35" t="s">
        <v>1274</v>
      </c>
      <c r="AQ366" s="34"/>
      <c r="AX366" s="34"/>
      <c r="BW366" s="248"/>
      <c r="BX366" s="248"/>
      <c r="BY366" s="248"/>
      <c r="BZ366" s="248"/>
      <c r="CA366" s="248"/>
      <c r="CB366" s="248"/>
      <c r="CC366" s="248"/>
      <c r="CD366" s="248"/>
      <c r="CE366" s="248"/>
      <c r="CF366" s="248"/>
      <c r="CG366" s="248"/>
      <c r="CH366" s="248"/>
      <c r="CI366" s="248"/>
      <c r="CJ366" s="248"/>
      <c r="CK366" s="248"/>
      <c r="CL366" s="248"/>
      <c r="CM366" s="248"/>
      <c r="CN366" s="248"/>
      <c r="CO366" s="248"/>
      <c r="CP366" s="248"/>
      <c r="CQ366" s="248"/>
      <c r="CR366" s="248"/>
      <c r="CS366" s="248"/>
      <c r="CT366" s="248"/>
      <c r="CU366" s="248"/>
      <c r="CV366" s="248"/>
      <c r="CW366" s="248"/>
      <c r="CX366" s="248"/>
      <c r="CY366" s="248"/>
      <c r="CZ366" s="248"/>
      <c r="DA366" s="248"/>
      <c r="DB366" s="248"/>
      <c r="DC366" s="248"/>
      <c r="DD366" s="248"/>
      <c r="DE366" s="248"/>
      <c r="DF366" s="248"/>
      <c r="DG366" s="248"/>
      <c r="DH366" s="248"/>
      <c r="DI366" s="248"/>
      <c r="DJ366" s="248"/>
      <c r="DK366" s="248"/>
      <c r="DL366" s="248"/>
      <c r="DM366" s="248"/>
      <c r="DN366" s="248"/>
      <c r="DO366" s="248"/>
      <c r="DP366" s="248"/>
      <c r="DQ366" s="248"/>
      <c r="DR366" s="248"/>
      <c r="DS366" s="248"/>
      <c r="DT366" s="248"/>
      <c r="DU366" s="248"/>
      <c r="DV366" s="248"/>
      <c r="DW366" s="248"/>
      <c r="DX366" s="248"/>
      <c r="DY366" s="248"/>
      <c r="DZ366" s="248"/>
      <c r="EA366" s="248"/>
      <c r="EB366" s="248"/>
      <c r="EC366" s="248"/>
      <c r="ED366" s="248"/>
      <c r="EE366" s="248"/>
    </row>
    <row r="367" spans="1:135" s="35" customFormat="1" ht="16.5">
      <c r="A367" s="35" t="str">
        <f t="shared" si="13"/>
        <v xml:space="preserve">~                   </v>
      </c>
      <c r="B367" s="331"/>
      <c r="D367" s="283">
        <v>321</v>
      </c>
      <c r="F367" s="35" t="s">
        <v>1086</v>
      </c>
      <c r="O367" s="34" t="s">
        <v>1086</v>
      </c>
      <c r="P367" s="34" t="s">
        <v>1086</v>
      </c>
      <c r="Q367" s="58"/>
      <c r="R367" s="39"/>
      <c r="W367" s="39"/>
      <c r="AH367" s="279"/>
      <c r="AJ367" s="279"/>
      <c r="AK367" s="279"/>
      <c r="AL367" s="523">
        <v>2</v>
      </c>
      <c r="AM367" s="35" t="s">
        <v>0</v>
      </c>
      <c r="AN367" s="35" t="s">
        <v>1275</v>
      </c>
      <c r="AO367" s="35" t="s">
        <v>1276</v>
      </c>
      <c r="AP367" s="35" t="s">
        <v>2039</v>
      </c>
      <c r="AQ367" s="34" t="s">
        <v>1</v>
      </c>
      <c r="AR367" s="35" t="s">
        <v>2396</v>
      </c>
      <c r="AS367" s="35" t="s">
        <v>11</v>
      </c>
      <c r="AX367" s="34"/>
      <c r="BW367" s="248"/>
      <c r="BX367" s="248"/>
      <c r="BY367" s="248"/>
      <c r="BZ367" s="248"/>
      <c r="CA367" s="248"/>
      <c r="CB367" s="248"/>
      <c r="CC367" s="248"/>
      <c r="CD367" s="248"/>
      <c r="CE367" s="248"/>
      <c r="CF367" s="248"/>
      <c r="CG367" s="248"/>
      <c r="CH367" s="248"/>
      <c r="CI367" s="248"/>
      <c r="CJ367" s="248"/>
      <c r="CK367" s="248"/>
      <c r="CL367" s="248"/>
      <c r="CM367" s="248"/>
      <c r="CN367" s="248"/>
      <c r="CO367" s="248"/>
      <c r="CP367" s="248"/>
      <c r="CQ367" s="248"/>
      <c r="CR367" s="248"/>
      <c r="CS367" s="248"/>
      <c r="CT367" s="248"/>
      <c r="CU367" s="248"/>
      <c r="CV367" s="248"/>
      <c r="CW367" s="248"/>
      <c r="CX367" s="248"/>
      <c r="CY367" s="248"/>
      <c r="CZ367" s="248"/>
      <c r="DA367" s="248"/>
      <c r="DB367" s="248"/>
      <c r="DC367" s="248"/>
      <c r="DD367" s="248"/>
      <c r="DE367" s="248"/>
      <c r="DF367" s="248"/>
      <c r="DG367" s="248"/>
      <c r="DH367" s="248"/>
      <c r="DI367" s="248"/>
      <c r="DJ367" s="248"/>
      <c r="DK367" s="248"/>
      <c r="DL367" s="248"/>
      <c r="DM367" s="248"/>
      <c r="DN367" s="248"/>
      <c r="DO367" s="248"/>
      <c r="DP367" s="248"/>
      <c r="DQ367" s="248"/>
      <c r="DR367" s="248"/>
      <c r="DS367" s="248"/>
      <c r="DT367" s="248"/>
      <c r="DU367" s="248"/>
      <c r="DV367" s="248"/>
      <c r="DW367" s="248"/>
      <c r="DX367" s="248"/>
      <c r="DY367" s="248"/>
      <c r="DZ367" s="248"/>
      <c r="EA367" s="248"/>
      <c r="EB367" s="248"/>
      <c r="EC367" s="248"/>
      <c r="ED367" s="248"/>
      <c r="EE367" s="248"/>
    </row>
    <row r="368" spans="1:135" s="35" customFormat="1" ht="16.5">
      <c r="A368" s="35" t="str">
        <f t="shared" si="13"/>
        <v>Kurzname            Kurzname</v>
      </c>
      <c r="B368" s="331"/>
      <c r="D368" s="283">
        <v>321</v>
      </c>
      <c r="F368" s="35" t="s">
        <v>1086</v>
      </c>
      <c r="O368" s="34" t="s">
        <v>1086</v>
      </c>
      <c r="P368" s="34" t="s">
        <v>1086</v>
      </c>
      <c r="Q368" s="58"/>
      <c r="R368" s="39"/>
      <c r="W368" s="39"/>
      <c r="AH368" s="279"/>
      <c r="AJ368" s="279"/>
      <c r="AK368" s="279"/>
      <c r="AL368" s="523">
        <v>0</v>
      </c>
      <c r="AM368" s="35" t="s">
        <v>12</v>
      </c>
      <c r="AN368" s="35" t="s">
        <v>13</v>
      </c>
      <c r="AO368" s="35" t="s">
        <v>356</v>
      </c>
      <c r="AP368" s="35" t="s">
        <v>14</v>
      </c>
      <c r="AQ368" s="34" t="s">
        <v>7</v>
      </c>
      <c r="AR368" s="35" t="s">
        <v>15</v>
      </c>
      <c r="AS368" s="35" t="s">
        <v>8</v>
      </c>
      <c r="AT368" s="35" t="s">
        <v>16</v>
      </c>
      <c r="AU368" s="35" t="s">
        <v>17</v>
      </c>
      <c r="AV368" s="35" t="s">
        <v>356</v>
      </c>
      <c r="AW368" s="35" t="s">
        <v>18</v>
      </c>
      <c r="AX368" s="34" t="s">
        <v>7</v>
      </c>
      <c r="AY368" s="35" t="s">
        <v>15</v>
      </c>
      <c r="AZ368" s="35" t="s">
        <v>8</v>
      </c>
      <c r="BA368" s="35" t="s">
        <v>16</v>
      </c>
      <c r="BB368" s="35" t="s">
        <v>17</v>
      </c>
      <c r="BC368" s="35" t="s">
        <v>19</v>
      </c>
      <c r="BD368" s="35" t="s">
        <v>1737</v>
      </c>
      <c r="BE368" s="35" t="s">
        <v>20</v>
      </c>
      <c r="BF368" s="35" t="s">
        <v>21</v>
      </c>
      <c r="BG368" s="35" t="s">
        <v>22</v>
      </c>
      <c r="BH368" s="35" t="s">
        <v>9</v>
      </c>
      <c r="BI368" s="35" t="s">
        <v>23</v>
      </c>
      <c r="BJ368" s="35" t="s">
        <v>24</v>
      </c>
      <c r="BK368" s="35" t="s">
        <v>0</v>
      </c>
      <c r="BL368" s="35" t="s">
        <v>12</v>
      </c>
      <c r="BW368" s="248"/>
      <c r="BX368" s="248"/>
      <c r="BY368" s="248"/>
      <c r="BZ368" s="248"/>
      <c r="CA368" s="248"/>
      <c r="CB368" s="248"/>
      <c r="CC368" s="248"/>
      <c r="CD368" s="248"/>
      <c r="CE368" s="248"/>
      <c r="CF368" s="248"/>
      <c r="CG368" s="248"/>
      <c r="CH368" s="248"/>
      <c r="CI368" s="248"/>
      <c r="CJ368" s="248"/>
      <c r="CK368" s="248"/>
      <c r="CL368" s="248"/>
      <c r="CM368" s="248"/>
      <c r="CN368" s="248"/>
      <c r="CO368" s="248"/>
      <c r="CP368" s="248"/>
      <c r="CQ368" s="248"/>
      <c r="CR368" s="248"/>
      <c r="CS368" s="248"/>
      <c r="CT368" s="248"/>
      <c r="CU368" s="248"/>
      <c r="CV368" s="248"/>
      <c r="CW368" s="248"/>
      <c r="CX368" s="248"/>
      <c r="CY368" s="248"/>
      <c r="CZ368" s="248"/>
      <c r="DA368" s="248"/>
      <c r="DB368" s="248"/>
      <c r="DC368" s="248"/>
      <c r="DD368" s="248"/>
      <c r="DE368" s="248"/>
      <c r="DF368" s="248"/>
      <c r="DG368" s="248"/>
      <c r="DH368" s="248"/>
      <c r="DI368" s="248"/>
      <c r="DJ368" s="248"/>
      <c r="DK368" s="248"/>
      <c r="DL368" s="248"/>
      <c r="DM368" s="248"/>
      <c r="DN368" s="248"/>
      <c r="DO368" s="248"/>
      <c r="DP368" s="248"/>
      <c r="DQ368" s="248"/>
      <c r="DR368" s="248"/>
      <c r="DS368" s="248"/>
      <c r="DT368" s="248"/>
      <c r="DU368" s="248"/>
      <c r="DV368" s="248"/>
      <c r="DW368" s="248"/>
      <c r="DX368" s="248"/>
      <c r="DY368" s="248"/>
      <c r="DZ368" s="248"/>
      <c r="EA368" s="248"/>
      <c r="EB368" s="248"/>
      <c r="EC368" s="248"/>
      <c r="ED368" s="248"/>
      <c r="EE368" s="248"/>
    </row>
    <row r="369" spans="1:135" s="35" customFormat="1" ht="16.5">
      <c r="A369" s="35" t="str">
        <f t="shared" si="13"/>
        <v>HUD                 SP_CANHK</v>
      </c>
      <c r="B369" s="331"/>
      <c r="C369" s="248">
        <v>321001</v>
      </c>
      <c r="D369" s="283">
        <v>321</v>
      </c>
      <c r="F369" s="177" t="s">
        <v>1293</v>
      </c>
      <c r="G369" s="35" t="s">
        <v>2227</v>
      </c>
      <c r="H369" s="35" t="s">
        <v>610</v>
      </c>
      <c r="N369" s="35" t="s">
        <v>619</v>
      </c>
      <c r="O369" s="34" t="s">
        <v>1086</v>
      </c>
      <c r="P369" s="285" t="s">
        <v>1097</v>
      </c>
      <c r="Q369" s="58"/>
      <c r="R369" s="39"/>
      <c r="W369" s="39"/>
      <c r="AH369" s="279"/>
      <c r="AJ369" s="279" t="s">
        <v>1116</v>
      </c>
      <c r="AK369" s="279"/>
      <c r="AL369" s="523">
        <v>3</v>
      </c>
      <c r="AM369" s="35">
        <v>321001</v>
      </c>
      <c r="AN369" s="35" t="s">
        <v>2040</v>
      </c>
      <c r="AO369" s="35" t="s">
        <v>1277</v>
      </c>
      <c r="AP369" s="35" t="s">
        <v>1278</v>
      </c>
      <c r="AQ369" s="34" t="s">
        <v>2293</v>
      </c>
      <c r="AR369" s="35">
        <v>1</v>
      </c>
      <c r="AS369" s="35" t="s">
        <v>1279</v>
      </c>
      <c r="AT369" s="35" t="s">
        <v>87</v>
      </c>
      <c r="AU369" s="35" t="s">
        <v>10</v>
      </c>
      <c r="AV369" s="35" t="s">
        <v>1690</v>
      </c>
      <c r="AW369" s="35" t="s">
        <v>1187</v>
      </c>
      <c r="AX369" s="34" t="s">
        <v>2227</v>
      </c>
      <c r="AY369" s="35">
        <v>1</v>
      </c>
      <c r="AZ369" s="35" t="s">
        <v>628</v>
      </c>
      <c r="BA369" s="35" t="s">
        <v>10</v>
      </c>
      <c r="BB369" s="35" t="s">
        <v>10</v>
      </c>
      <c r="BC369" s="35" t="s">
        <v>2384</v>
      </c>
      <c r="BD369" s="35" t="s">
        <v>1742</v>
      </c>
      <c r="BE369" s="35" t="s">
        <v>1280</v>
      </c>
      <c r="BF369" s="35" t="s">
        <v>109</v>
      </c>
      <c r="BG369" s="35">
        <v>677</v>
      </c>
      <c r="BH369" s="35" t="s">
        <v>110</v>
      </c>
      <c r="BI369" s="35">
        <v>0.35</v>
      </c>
      <c r="BJ369" s="35" t="s">
        <v>1755</v>
      </c>
      <c r="BK369" s="35" t="s">
        <v>1275</v>
      </c>
      <c r="BL369" s="35">
        <v>321001</v>
      </c>
      <c r="BW369" s="248"/>
      <c r="BX369" s="248"/>
      <c r="BY369" s="248"/>
      <c r="BZ369" s="248"/>
      <c r="CA369" s="248"/>
      <c r="CB369" s="248"/>
      <c r="CC369" s="248"/>
      <c r="CD369" s="248"/>
      <c r="CE369" s="248"/>
      <c r="CF369" s="248"/>
      <c r="CG369" s="248"/>
      <c r="CH369" s="248"/>
      <c r="CI369" s="248"/>
      <c r="CJ369" s="248"/>
      <c r="CK369" s="248"/>
      <c r="CL369" s="248"/>
      <c r="CM369" s="248"/>
      <c r="CN369" s="248"/>
      <c r="CO369" s="248"/>
      <c r="CP369" s="248"/>
      <c r="CQ369" s="248"/>
      <c r="CR369" s="248"/>
      <c r="CS369" s="248"/>
      <c r="CT369" s="248"/>
      <c r="CU369" s="248"/>
      <c r="CV369" s="248"/>
      <c r="CW369" s="248"/>
      <c r="CX369" s="248"/>
      <c r="CY369" s="248"/>
      <c r="CZ369" s="248"/>
      <c r="DA369" s="248"/>
      <c r="DB369" s="248"/>
      <c r="DC369" s="248"/>
      <c r="DD369" s="248"/>
      <c r="DE369" s="248"/>
      <c r="DF369" s="248"/>
      <c r="DG369" s="248"/>
      <c r="DH369" s="248"/>
      <c r="DI369" s="248"/>
      <c r="DJ369" s="248"/>
      <c r="DK369" s="248"/>
      <c r="DL369" s="248"/>
      <c r="DM369" s="248"/>
      <c r="DN369" s="248"/>
      <c r="DO369" s="248"/>
      <c r="DP369" s="248"/>
      <c r="DQ369" s="248"/>
      <c r="DR369" s="248"/>
      <c r="DS369" s="248"/>
      <c r="DT369" s="248"/>
      <c r="DU369" s="248"/>
      <c r="DV369" s="248"/>
      <c r="DW369" s="248"/>
      <c r="DX369" s="248"/>
      <c r="DY369" s="248"/>
      <c r="DZ369" s="248"/>
      <c r="EA369" s="248"/>
      <c r="EB369" s="248"/>
      <c r="EC369" s="248"/>
      <c r="ED369" s="248"/>
      <c r="EE369" s="248"/>
    </row>
    <row r="370" spans="1:135" s="35" customFormat="1" ht="16.5">
      <c r="A370" s="35" t="str">
        <f t="shared" si="13"/>
        <v>HUD                 SP_CANLK</v>
      </c>
      <c r="B370" s="331"/>
      <c r="C370" s="248">
        <v>321002</v>
      </c>
      <c r="D370" s="283">
        <v>321</v>
      </c>
      <c r="F370" s="177" t="s">
        <v>1293</v>
      </c>
      <c r="G370" s="35" t="s">
        <v>2226</v>
      </c>
      <c r="H370" s="35" t="s">
        <v>610</v>
      </c>
      <c r="N370" s="35" t="s">
        <v>619</v>
      </c>
      <c r="O370" s="34" t="s">
        <v>1086</v>
      </c>
      <c r="P370" s="285" t="s">
        <v>1097</v>
      </c>
      <c r="Q370" s="58"/>
      <c r="R370" s="39"/>
      <c r="W370" s="39"/>
      <c r="AH370" s="279"/>
      <c r="AJ370" s="279" t="s">
        <v>1117</v>
      </c>
      <c r="AK370" s="279"/>
      <c r="AL370" s="523">
        <v>3</v>
      </c>
      <c r="AM370" s="35">
        <v>321002</v>
      </c>
      <c r="AN370" s="35" t="s">
        <v>2041</v>
      </c>
      <c r="AO370" s="35" t="s">
        <v>1277</v>
      </c>
      <c r="AP370" s="35" t="s">
        <v>1278</v>
      </c>
      <c r="AQ370" s="34" t="s">
        <v>2293</v>
      </c>
      <c r="AR370" s="35">
        <v>2</v>
      </c>
      <c r="AS370" s="35" t="s">
        <v>1279</v>
      </c>
      <c r="AT370" s="35" t="s">
        <v>87</v>
      </c>
      <c r="AU370" s="35" t="s">
        <v>10</v>
      </c>
      <c r="AV370" s="35" t="s">
        <v>1689</v>
      </c>
      <c r="AW370" s="35" t="s">
        <v>1188</v>
      </c>
      <c r="AX370" s="34" t="s">
        <v>2226</v>
      </c>
      <c r="AY370" s="35">
        <v>1</v>
      </c>
      <c r="AZ370" s="35" t="s">
        <v>628</v>
      </c>
      <c r="BA370" s="35" t="s">
        <v>10</v>
      </c>
      <c r="BB370" s="35" t="s">
        <v>10</v>
      </c>
      <c r="BC370" s="35" t="s">
        <v>2384</v>
      </c>
      <c r="BD370" s="35" t="s">
        <v>1742</v>
      </c>
      <c r="BE370" s="35" t="s">
        <v>1280</v>
      </c>
      <c r="BF370" s="35" t="s">
        <v>88</v>
      </c>
      <c r="BG370" s="35">
        <v>677</v>
      </c>
      <c r="BH370" s="35" t="s">
        <v>89</v>
      </c>
      <c r="BI370" s="35">
        <v>0.35</v>
      </c>
      <c r="BJ370" s="35" t="s">
        <v>1752</v>
      </c>
      <c r="BK370" s="35" t="s">
        <v>1275</v>
      </c>
      <c r="BL370" s="35">
        <v>321002</v>
      </c>
      <c r="BW370" s="248"/>
      <c r="BX370" s="248"/>
      <c r="BY370" s="248"/>
      <c r="BZ370" s="248"/>
      <c r="CA370" s="248"/>
      <c r="CB370" s="248"/>
      <c r="CC370" s="248"/>
      <c r="CD370" s="248"/>
      <c r="CE370" s="248"/>
      <c r="CF370" s="248"/>
      <c r="CG370" s="248"/>
      <c r="CH370" s="248"/>
      <c r="CI370" s="248"/>
      <c r="CJ370" s="248"/>
      <c r="CK370" s="248"/>
      <c r="CL370" s="248"/>
      <c r="CM370" s="248"/>
      <c r="CN370" s="248"/>
      <c r="CO370" s="248"/>
      <c r="CP370" s="248"/>
      <c r="CQ370" s="248"/>
      <c r="CR370" s="248"/>
      <c r="CS370" s="248"/>
      <c r="CT370" s="248"/>
      <c r="CU370" s="248"/>
      <c r="CV370" s="248"/>
      <c r="CW370" s="248"/>
      <c r="CX370" s="248"/>
      <c r="CY370" s="248"/>
      <c r="CZ370" s="248"/>
      <c r="DA370" s="248"/>
      <c r="DB370" s="248"/>
      <c r="DC370" s="248"/>
      <c r="DD370" s="248"/>
      <c r="DE370" s="248"/>
      <c r="DF370" s="248"/>
      <c r="DG370" s="248"/>
      <c r="DH370" s="248"/>
      <c r="DI370" s="248"/>
      <c r="DJ370" s="248"/>
      <c r="DK370" s="248"/>
      <c r="DL370" s="248"/>
      <c r="DM370" s="248"/>
      <c r="DN370" s="248"/>
      <c r="DO370" s="248"/>
      <c r="DP370" s="248"/>
      <c r="DQ370" s="248"/>
      <c r="DR370" s="248"/>
      <c r="DS370" s="248"/>
      <c r="DT370" s="248"/>
      <c r="DU370" s="248"/>
      <c r="DV370" s="248"/>
      <c r="DW370" s="248"/>
      <c r="DX370" s="248"/>
      <c r="DY370" s="248"/>
      <c r="DZ370" s="248"/>
      <c r="EA370" s="248"/>
      <c r="EB370" s="248"/>
      <c r="EC370" s="248"/>
      <c r="ED370" s="248"/>
      <c r="EE370" s="248"/>
    </row>
    <row r="371" spans="1:135" s="35" customFormat="1" ht="16.5">
      <c r="A371" s="35" t="str">
        <f t="shared" si="13"/>
        <v>HUD                 SIDO_O</v>
      </c>
      <c r="B371" s="331"/>
      <c r="C371" s="248">
        <v>321003</v>
      </c>
      <c r="D371" s="283">
        <v>321</v>
      </c>
      <c r="F371" s="35" t="s">
        <v>1086</v>
      </c>
      <c r="O371" s="34" t="s">
        <v>1086</v>
      </c>
      <c r="P371" s="34" t="s">
        <v>1086</v>
      </c>
      <c r="Q371" s="58"/>
      <c r="R371" s="39"/>
      <c r="W371" s="39"/>
      <c r="AH371" s="279"/>
      <c r="AJ371" s="279" t="s">
        <v>1117</v>
      </c>
      <c r="AK371" s="279"/>
      <c r="AL371" s="523">
        <v>3</v>
      </c>
      <c r="AM371" s="35">
        <v>321003</v>
      </c>
      <c r="AN371" s="35" t="s">
        <v>2042</v>
      </c>
      <c r="AO371" s="35" t="s">
        <v>1277</v>
      </c>
      <c r="AP371" s="35" t="s">
        <v>1278</v>
      </c>
      <c r="AQ371" s="34" t="s">
        <v>2293</v>
      </c>
      <c r="AR371" s="35">
        <v>5</v>
      </c>
      <c r="AS371" s="35" t="s">
        <v>1279</v>
      </c>
      <c r="AT371" s="35" t="s">
        <v>87</v>
      </c>
      <c r="AU371" s="35" t="s">
        <v>10</v>
      </c>
      <c r="AV371" s="35" t="s">
        <v>897</v>
      </c>
      <c r="AW371" s="35" t="s">
        <v>626</v>
      </c>
      <c r="AX371" s="34" t="s">
        <v>2255</v>
      </c>
      <c r="AY371" s="35" t="s">
        <v>246</v>
      </c>
      <c r="AZ371" s="35" t="s">
        <v>1158</v>
      </c>
      <c r="BA371" s="35" t="s">
        <v>244</v>
      </c>
      <c r="BB371" s="35" t="s">
        <v>10</v>
      </c>
      <c r="BC371" s="35" t="s">
        <v>1351</v>
      </c>
      <c r="BD371" s="35" t="s">
        <v>1742</v>
      </c>
      <c r="BE371" s="35" t="s">
        <v>10</v>
      </c>
      <c r="BF371" s="35" t="s">
        <v>10</v>
      </c>
      <c r="BG371" s="35">
        <v>829</v>
      </c>
      <c r="BH371" s="35" t="s">
        <v>63</v>
      </c>
      <c r="BI371" s="35">
        <v>0.35</v>
      </c>
      <c r="BJ371" s="35" t="s">
        <v>1281</v>
      </c>
      <c r="BK371" s="35" t="s">
        <v>1275</v>
      </c>
      <c r="BL371" s="35">
        <v>321003</v>
      </c>
      <c r="BW371" s="248"/>
      <c r="BX371" s="248"/>
      <c r="BY371" s="248"/>
      <c r="BZ371" s="248"/>
      <c r="CA371" s="248"/>
      <c r="CB371" s="248"/>
      <c r="CC371" s="248"/>
      <c r="CD371" s="248"/>
      <c r="CE371" s="248"/>
      <c r="CF371" s="248"/>
      <c r="CG371" s="248"/>
      <c r="CH371" s="248"/>
      <c r="CI371" s="248"/>
      <c r="CJ371" s="248"/>
      <c r="CK371" s="248"/>
      <c r="CL371" s="248"/>
      <c r="CM371" s="248"/>
      <c r="CN371" s="248"/>
      <c r="CO371" s="248"/>
      <c r="CP371" s="248"/>
      <c r="CQ371" s="248"/>
      <c r="CR371" s="248"/>
      <c r="CS371" s="248"/>
      <c r="CT371" s="248"/>
      <c r="CU371" s="248"/>
      <c r="CV371" s="248"/>
      <c r="CW371" s="248"/>
      <c r="CX371" s="248"/>
      <c r="CY371" s="248"/>
      <c r="CZ371" s="248"/>
      <c r="DA371" s="248"/>
      <c r="DB371" s="248"/>
      <c r="DC371" s="248"/>
      <c r="DD371" s="248"/>
      <c r="DE371" s="248"/>
      <c r="DF371" s="248"/>
      <c r="DG371" s="248"/>
      <c r="DH371" s="248"/>
      <c r="DI371" s="248"/>
      <c r="DJ371" s="248"/>
      <c r="DK371" s="248"/>
      <c r="DL371" s="248"/>
      <c r="DM371" s="248"/>
      <c r="DN371" s="248"/>
      <c r="DO371" s="248"/>
      <c r="DP371" s="248"/>
      <c r="DQ371" s="248"/>
      <c r="DR371" s="248"/>
      <c r="DS371" s="248"/>
      <c r="DT371" s="248"/>
      <c r="DU371" s="248"/>
      <c r="DV371" s="248"/>
      <c r="DW371" s="248"/>
      <c r="DX371" s="248"/>
      <c r="DY371" s="248"/>
      <c r="DZ371" s="248"/>
      <c r="EA371" s="248"/>
      <c r="EB371" s="248"/>
      <c r="EC371" s="248"/>
      <c r="ED371" s="248"/>
      <c r="EE371" s="248"/>
    </row>
    <row r="372" spans="1:135" s="32" customFormat="1" ht="16.5">
      <c r="A372" s="35" t="str">
        <f t="shared" si="13"/>
        <v>HUD                 KS_CPL_A</v>
      </c>
      <c r="B372" s="331"/>
      <c r="C372" s="248">
        <v>321004</v>
      </c>
      <c r="D372" s="283">
        <v>321</v>
      </c>
      <c r="E372" s="35"/>
      <c r="F372" s="35" t="s">
        <v>1086</v>
      </c>
      <c r="G372" s="35"/>
      <c r="H372" s="35"/>
      <c r="I372" s="35"/>
      <c r="K372" s="35"/>
      <c r="L372" s="35"/>
      <c r="M372" s="35"/>
      <c r="N372" s="35"/>
      <c r="O372" s="34" t="s">
        <v>1086</v>
      </c>
      <c r="P372" s="34" t="s">
        <v>1086</v>
      </c>
      <c r="Q372" s="58"/>
      <c r="R372" s="39"/>
      <c r="S372" s="35"/>
      <c r="T372" s="35"/>
      <c r="U372" s="35"/>
      <c r="V372" s="35"/>
      <c r="W372" s="39"/>
      <c r="X372" s="35"/>
      <c r="Y372" s="35"/>
      <c r="Z372" s="35"/>
      <c r="AA372" s="35"/>
      <c r="AC372" s="35"/>
      <c r="AD372" s="35"/>
      <c r="AE372" s="35"/>
      <c r="AF372" s="35"/>
      <c r="AG372" s="35"/>
      <c r="AH372" s="279"/>
      <c r="AI372" s="35"/>
      <c r="AJ372" s="279" t="s">
        <v>1117</v>
      </c>
      <c r="AK372" s="35" t="s">
        <v>2557</v>
      </c>
      <c r="AL372" s="523">
        <v>3</v>
      </c>
      <c r="AM372" s="35">
        <v>321004</v>
      </c>
      <c r="AN372" s="35" t="s">
        <v>2043</v>
      </c>
      <c r="AO372" s="35" t="s">
        <v>1277</v>
      </c>
      <c r="AP372" s="35" t="s">
        <v>1278</v>
      </c>
      <c r="AQ372" s="34" t="s">
        <v>2293</v>
      </c>
      <c r="AR372" s="35">
        <v>6</v>
      </c>
      <c r="AS372" s="35" t="s">
        <v>1279</v>
      </c>
      <c r="AT372" s="35" t="s">
        <v>218</v>
      </c>
      <c r="AU372" s="35" t="s">
        <v>10</v>
      </c>
      <c r="AV372" s="35" t="s">
        <v>416</v>
      </c>
      <c r="AW372" s="35" t="s">
        <v>639</v>
      </c>
      <c r="AX372" s="34" t="s">
        <v>1794</v>
      </c>
      <c r="AY372" s="35">
        <v>10</v>
      </c>
      <c r="AZ372" s="35" t="s">
        <v>876</v>
      </c>
      <c r="BA372" s="35" t="s">
        <v>492</v>
      </c>
      <c r="BB372" s="35" t="s">
        <v>10</v>
      </c>
      <c r="BC372" s="35" t="s">
        <v>267</v>
      </c>
      <c r="BD372" s="35" t="s">
        <v>1742</v>
      </c>
      <c r="BE372" s="35" t="s">
        <v>1282</v>
      </c>
      <c r="BF372" s="35" t="s">
        <v>173</v>
      </c>
      <c r="BG372" s="35">
        <v>1108</v>
      </c>
      <c r="BH372" s="35" t="s">
        <v>174</v>
      </c>
      <c r="BI372" s="35">
        <v>0.13</v>
      </c>
      <c r="BJ372" s="35" t="s">
        <v>1283</v>
      </c>
      <c r="BK372" s="35" t="s">
        <v>1275</v>
      </c>
      <c r="BL372" s="35">
        <v>321004</v>
      </c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248"/>
      <c r="BX372" s="248"/>
      <c r="BY372" s="248"/>
      <c r="BZ372" s="248"/>
      <c r="CA372" s="248"/>
      <c r="CB372" s="248"/>
      <c r="CC372" s="248"/>
      <c r="CD372" s="248"/>
      <c r="CE372" s="248"/>
      <c r="CF372" s="248"/>
      <c r="CG372" s="248"/>
      <c r="CH372" s="248"/>
      <c r="CI372" s="248"/>
      <c r="CJ372" s="248"/>
      <c r="CK372" s="248"/>
      <c r="CL372" s="248"/>
      <c r="CM372" s="248"/>
      <c r="CN372" s="248"/>
      <c r="CO372" s="248"/>
      <c r="CP372" s="248"/>
      <c r="CQ372" s="248"/>
      <c r="CR372" s="248"/>
      <c r="CS372" s="248"/>
      <c r="CT372" s="248"/>
      <c r="CU372" s="248"/>
      <c r="CV372" s="248"/>
      <c r="CW372" s="248"/>
      <c r="CX372" s="248"/>
      <c r="CY372" s="248"/>
      <c r="CZ372" s="248"/>
      <c r="DA372" s="248"/>
      <c r="DB372" s="248"/>
      <c r="DC372" s="248"/>
      <c r="DD372" s="248"/>
      <c r="DE372" s="248"/>
      <c r="DF372" s="248"/>
      <c r="DG372" s="248"/>
      <c r="DH372" s="248"/>
      <c r="DI372" s="248"/>
      <c r="DJ372" s="248"/>
      <c r="DK372" s="248"/>
      <c r="DL372" s="248"/>
      <c r="DM372" s="248"/>
      <c r="DN372" s="248"/>
      <c r="DO372" s="248"/>
      <c r="DP372" s="248"/>
      <c r="DQ372" s="248"/>
      <c r="DR372" s="248"/>
      <c r="DS372" s="248"/>
      <c r="DT372" s="248"/>
      <c r="DU372" s="248"/>
      <c r="DV372" s="248"/>
      <c r="DW372" s="248"/>
      <c r="DX372" s="248"/>
      <c r="DY372" s="248"/>
      <c r="DZ372" s="248"/>
      <c r="EA372" s="248"/>
      <c r="EB372" s="248"/>
      <c r="EC372" s="248"/>
      <c r="ED372" s="248"/>
      <c r="EE372" s="248"/>
    </row>
    <row r="373" spans="1:135" s="35" customFormat="1" ht="16.5">
      <c r="A373" s="35" t="str">
        <f t="shared" si="13"/>
        <v>HUD                 KS_CPL_A</v>
      </c>
      <c r="B373" s="331"/>
      <c r="C373" s="248">
        <v>321005</v>
      </c>
      <c r="D373" s="283">
        <v>321</v>
      </c>
      <c r="F373" s="35" t="s">
        <v>1086</v>
      </c>
      <c r="O373" s="34" t="s">
        <v>1086</v>
      </c>
      <c r="P373" s="34" t="s">
        <v>1086</v>
      </c>
      <c r="Q373" s="58"/>
      <c r="R373" s="39"/>
      <c r="W373" s="39"/>
      <c r="AH373" s="279"/>
      <c r="AJ373" s="279" t="s">
        <v>1117</v>
      </c>
      <c r="AK373" s="35" t="s">
        <v>2557</v>
      </c>
      <c r="AL373" s="523">
        <v>3</v>
      </c>
      <c r="AM373" s="35">
        <v>321005</v>
      </c>
      <c r="AN373" s="35" t="s">
        <v>2044</v>
      </c>
      <c r="AO373" s="35" t="s">
        <v>1277</v>
      </c>
      <c r="AP373" s="35" t="s">
        <v>1278</v>
      </c>
      <c r="AQ373" s="34" t="s">
        <v>2293</v>
      </c>
      <c r="AR373" s="35">
        <v>7</v>
      </c>
      <c r="AS373" s="35" t="s">
        <v>1279</v>
      </c>
      <c r="AT373" s="35" t="s">
        <v>218</v>
      </c>
      <c r="AU373" s="35" t="s">
        <v>10</v>
      </c>
      <c r="AV373" s="35" t="s">
        <v>416</v>
      </c>
      <c r="AW373" s="35" t="s">
        <v>639</v>
      </c>
      <c r="AX373" s="34" t="s">
        <v>1794</v>
      </c>
      <c r="AY373" s="35">
        <v>11</v>
      </c>
      <c r="AZ373" s="35" t="s">
        <v>876</v>
      </c>
      <c r="BA373" s="35" t="s">
        <v>492</v>
      </c>
      <c r="BB373" s="35" t="s">
        <v>10</v>
      </c>
      <c r="BC373" s="35" t="s">
        <v>267</v>
      </c>
      <c r="BD373" s="35" t="s">
        <v>1742</v>
      </c>
      <c r="BE373" s="35" t="s">
        <v>1282</v>
      </c>
      <c r="BF373" s="35" t="s">
        <v>149</v>
      </c>
      <c r="BG373" s="35">
        <v>1108</v>
      </c>
      <c r="BH373" s="35" t="s">
        <v>66</v>
      </c>
      <c r="BI373" s="35">
        <v>0.13</v>
      </c>
      <c r="BJ373" s="35" t="s">
        <v>1284</v>
      </c>
      <c r="BK373" s="35" t="s">
        <v>1275</v>
      </c>
      <c r="BL373" s="35">
        <v>321005</v>
      </c>
      <c r="BW373" s="248"/>
      <c r="BX373" s="248"/>
      <c r="BY373" s="248"/>
      <c r="BZ373" s="248"/>
      <c r="CA373" s="248"/>
      <c r="CB373" s="248"/>
      <c r="CC373" s="248"/>
      <c r="CD373" s="248"/>
      <c r="CE373" s="248"/>
      <c r="CF373" s="248"/>
      <c r="CG373" s="248"/>
      <c r="CH373" s="248"/>
      <c r="CI373" s="248"/>
      <c r="CJ373" s="248"/>
      <c r="CK373" s="248"/>
      <c r="CL373" s="248"/>
      <c r="CM373" s="248"/>
      <c r="CN373" s="248"/>
      <c r="CO373" s="248"/>
      <c r="CP373" s="248"/>
      <c r="CQ373" s="248"/>
      <c r="CR373" s="248"/>
      <c r="CS373" s="248"/>
      <c r="CT373" s="248"/>
      <c r="CU373" s="248"/>
      <c r="CV373" s="248"/>
      <c r="CW373" s="248"/>
      <c r="CX373" s="248"/>
      <c r="CY373" s="248"/>
      <c r="CZ373" s="248"/>
      <c r="DA373" s="248"/>
      <c r="DB373" s="248"/>
      <c r="DC373" s="248"/>
      <c r="DD373" s="248"/>
      <c r="DE373" s="248"/>
      <c r="DF373" s="248"/>
      <c r="DG373" s="248"/>
      <c r="DH373" s="248"/>
      <c r="DI373" s="248"/>
      <c r="DJ373" s="248"/>
      <c r="DK373" s="248"/>
      <c r="DL373" s="248"/>
      <c r="DM373" s="248"/>
      <c r="DN373" s="248"/>
      <c r="DO373" s="248"/>
      <c r="DP373" s="248"/>
      <c r="DQ373" s="248"/>
      <c r="DR373" s="248"/>
      <c r="DS373" s="248"/>
      <c r="DT373" s="248"/>
      <c r="DU373" s="248"/>
      <c r="DV373" s="248"/>
      <c r="DW373" s="248"/>
      <c r="DX373" s="248"/>
      <c r="DY373" s="248"/>
      <c r="DZ373" s="248"/>
      <c r="EA373" s="248"/>
      <c r="EB373" s="248"/>
      <c r="EC373" s="248"/>
      <c r="ED373" s="248"/>
      <c r="EE373" s="248"/>
    </row>
    <row r="374" spans="1:135" s="35" customFormat="1" ht="16.5">
      <c r="A374" s="35" t="str">
        <f t="shared" si="13"/>
        <v>SP_MB31_B2          HUD</v>
      </c>
      <c r="B374" s="331"/>
      <c r="C374" s="248">
        <v>321006</v>
      </c>
      <c r="D374" s="283">
        <v>321</v>
      </c>
      <c r="F374" s="35" t="s">
        <v>1086</v>
      </c>
      <c r="G374" s="35" t="s">
        <v>2232</v>
      </c>
      <c r="H374" s="35" t="s">
        <v>609</v>
      </c>
      <c r="N374" s="35" t="s">
        <v>537</v>
      </c>
      <c r="O374" s="34" t="s">
        <v>1086</v>
      </c>
      <c r="P374" s="34" t="s">
        <v>1086</v>
      </c>
      <c r="Q374" s="58"/>
      <c r="R374" s="39"/>
      <c r="W374" s="39"/>
      <c r="AH374" s="279"/>
      <c r="AJ374" s="279" t="s">
        <v>1117</v>
      </c>
      <c r="AK374" s="279"/>
      <c r="AL374" s="523">
        <v>3</v>
      </c>
      <c r="AM374" s="35">
        <v>321006</v>
      </c>
      <c r="AN374" s="35" t="s">
        <v>2045</v>
      </c>
      <c r="AO374" s="35" t="s">
        <v>2148</v>
      </c>
      <c r="AP374" s="35" t="s">
        <v>535</v>
      </c>
      <c r="AQ374" s="34" t="s">
        <v>2232</v>
      </c>
      <c r="AR374" s="35">
        <v>1</v>
      </c>
      <c r="AS374" s="35" t="s">
        <v>1254</v>
      </c>
      <c r="AT374" s="35" t="s">
        <v>10</v>
      </c>
      <c r="AU374" s="35" t="s">
        <v>10</v>
      </c>
      <c r="AV374" s="35" t="s">
        <v>1277</v>
      </c>
      <c r="AW374" s="35" t="s">
        <v>1278</v>
      </c>
      <c r="AX374" s="34" t="s">
        <v>2293</v>
      </c>
      <c r="AY374" s="35">
        <v>10</v>
      </c>
      <c r="AZ374" s="35" t="s">
        <v>1279</v>
      </c>
      <c r="BA374" s="35" t="s">
        <v>87</v>
      </c>
      <c r="BB374" s="35" t="s">
        <v>10</v>
      </c>
      <c r="BC374" s="35" t="s">
        <v>71</v>
      </c>
      <c r="BD374" s="35" t="s">
        <v>1742</v>
      </c>
      <c r="BE374" s="35" t="s">
        <v>10</v>
      </c>
      <c r="BF374" s="35" t="s">
        <v>10</v>
      </c>
      <c r="BG374" s="35">
        <v>445</v>
      </c>
      <c r="BH374" s="35" t="s">
        <v>25</v>
      </c>
      <c r="BI374" s="35">
        <v>0.35</v>
      </c>
      <c r="BJ374" s="35" t="s">
        <v>1285</v>
      </c>
      <c r="BK374" s="35" t="s">
        <v>1275</v>
      </c>
      <c r="BL374" s="35">
        <v>321006</v>
      </c>
      <c r="BW374" s="248"/>
      <c r="BX374" s="248"/>
      <c r="BY374" s="248"/>
      <c r="BZ374" s="248"/>
      <c r="CA374" s="248"/>
      <c r="CB374" s="248"/>
      <c r="CC374" s="248"/>
      <c r="CD374" s="248"/>
      <c r="CE374" s="248"/>
      <c r="CF374" s="248"/>
      <c r="CG374" s="248"/>
      <c r="CH374" s="248"/>
      <c r="CI374" s="248"/>
      <c r="CJ374" s="248"/>
      <c r="CK374" s="248"/>
      <c r="CL374" s="248"/>
      <c r="CM374" s="248"/>
      <c r="CN374" s="248"/>
      <c r="CO374" s="248"/>
      <c r="CP374" s="248"/>
      <c r="CQ374" s="248"/>
      <c r="CR374" s="248"/>
      <c r="CS374" s="248"/>
      <c r="CT374" s="248"/>
      <c r="CU374" s="248"/>
      <c r="CV374" s="248"/>
      <c r="CW374" s="248"/>
      <c r="CX374" s="248"/>
      <c r="CY374" s="248"/>
      <c r="CZ374" s="248"/>
      <c r="DA374" s="248"/>
      <c r="DB374" s="248"/>
      <c r="DC374" s="248"/>
      <c r="DD374" s="248"/>
      <c r="DE374" s="248"/>
      <c r="DF374" s="248"/>
      <c r="DG374" s="248"/>
      <c r="DH374" s="248"/>
      <c r="DI374" s="248"/>
      <c r="DJ374" s="248"/>
      <c r="DK374" s="248"/>
      <c r="DL374" s="248"/>
      <c r="DM374" s="248"/>
      <c r="DN374" s="248"/>
      <c r="DO374" s="248"/>
      <c r="DP374" s="248"/>
      <c r="DQ374" s="248"/>
      <c r="DR374" s="248"/>
      <c r="DS374" s="248"/>
      <c r="DT374" s="248"/>
      <c r="DU374" s="248"/>
      <c r="DV374" s="248"/>
      <c r="DW374" s="248"/>
      <c r="DX374" s="248"/>
      <c r="DY374" s="248"/>
      <c r="DZ374" s="248"/>
      <c r="EA374" s="248"/>
      <c r="EB374" s="248"/>
      <c r="EC374" s="248"/>
      <c r="ED374" s="248"/>
      <c r="EE374" s="248"/>
    </row>
    <row r="375" spans="1:135" s="35" customFormat="1" ht="16.5">
      <c r="A375" s="35" t="str">
        <f t="shared" si="13"/>
        <v xml:space="preserve">                    </v>
      </c>
      <c r="B375" s="331"/>
      <c r="D375" s="283">
        <v>325</v>
      </c>
      <c r="O375" s="34"/>
      <c r="P375" s="34"/>
      <c r="Q375" s="58"/>
      <c r="R375" s="39"/>
      <c r="AH375" s="279"/>
      <c r="AJ375" s="279"/>
      <c r="AK375" s="279"/>
      <c r="AL375" s="523">
        <v>1</v>
      </c>
      <c r="AM375" s="35" t="s">
        <v>336</v>
      </c>
      <c r="AQ375" s="34"/>
      <c r="AX375" s="34"/>
      <c r="BW375" s="248"/>
      <c r="BX375" s="248"/>
      <c r="BY375" s="248"/>
      <c r="BZ375" s="248"/>
      <c r="CA375" s="248"/>
      <c r="CB375" s="248"/>
      <c r="CC375" s="248"/>
      <c r="CD375" s="248"/>
      <c r="CE375" s="248"/>
      <c r="CF375" s="248"/>
      <c r="CG375" s="248"/>
      <c r="CH375" s="248"/>
      <c r="CI375" s="248"/>
      <c r="CJ375" s="248"/>
      <c r="CK375" s="248"/>
      <c r="CL375" s="248"/>
      <c r="CM375" s="248"/>
      <c r="CN375" s="248"/>
      <c r="CO375" s="248"/>
      <c r="CP375" s="248"/>
      <c r="CQ375" s="248"/>
      <c r="CR375" s="248"/>
      <c r="CS375" s="248"/>
      <c r="CT375" s="248"/>
      <c r="CU375" s="248"/>
      <c r="CV375" s="248"/>
      <c r="CW375" s="248"/>
      <c r="CX375" s="248"/>
      <c r="CY375" s="248"/>
      <c r="CZ375" s="248"/>
      <c r="DA375" s="248"/>
      <c r="DB375" s="248"/>
      <c r="DC375" s="248"/>
      <c r="DD375" s="248"/>
      <c r="DE375" s="248"/>
      <c r="DF375" s="248"/>
      <c r="DG375" s="248"/>
      <c r="DH375" s="248"/>
      <c r="DI375" s="248"/>
      <c r="DJ375" s="248"/>
      <c r="DK375" s="248"/>
      <c r="DL375" s="248"/>
      <c r="DM375" s="248"/>
      <c r="DN375" s="248"/>
      <c r="DO375" s="248"/>
      <c r="DP375" s="248"/>
      <c r="DQ375" s="248"/>
      <c r="DR375" s="248"/>
      <c r="DS375" s="248"/>
      <c r="DT375" s="248"/>
      <c r="DU375" s="248"/>
      <c r="DV375" s="248"/>
      <c r="DW375" s="248"/>
      <c r="DX375" s="248"/>
      <c r="DY375" s="248"/>
      <c r="DZ375" s="248"/>
      <c r="EA375" s="248"/>
      <c r="EB375" s="248"/>
      <c r="EC375" s="248"/>
      <c r="ED375" s="248"/>
      <c r="EE375" s="248"/>
    </row>
    <row r="376" spans="1:135" s="35" customFormat="1" ht="16.5">
      <c r="A376" s="35" t="str">
        <f t="shared" si="13"/>
        <v xml:space="preserve">                    </v>
      </c>
      <c r="B376" s="331"/>
      <c r="D376" s="283">
        <v>325</v>
      </c>
      <c r="O376" s="34"/>
      <c r="P376" s="34"/>
      <c r="Q376" s="58"/>
      <c r="R376" s="39"/>
      <c r="V376" s="39"/>
      <c r="W376" s="39"/>
      <c r="AH376" s="279"/>
      <c r="AJ376" s="279"/>
      <c r="AK376" s="279"/>
      <c r="AL376" s="523">
        <v>2</v>
      </c>
      <c r="AM376" s="35" t="s">
        <v>0</v>
      </c>
      <c r="AN376" s="35" t="s">
        <v>818</v>
      </c>
      <c r="AO376" s="35" t="s">
        <v>1204</v>
      </c>
      <c r="AP376" s="35" t="s">
        <v>2046</v>
      </c>
      <c r="AQ376" s="34"/>
      <c r="AR376" s="35" t="s">
        <v>544</v>
      </c>
      <c r="AS376" s="35" t="s">
        <v>11</v>
      </c>
      <c r="AX376" s="34"/>
      <c r="BW376" s="248"/>
      <c r="BX376" s="248"/>
      <c r="BY376" s="248"/>
      <c r="BZ376" s="248"/>
      <c r="CA376" s="248"/>
      <c r="CB376" s="248"/>
      <c r="CC376" s="248"/>
      <c r="CD376" s="248"/>
      <c r="CE376" s="248"/>
      <c r="CF376" s="248"/>
      <c r="CG376" s="248"/>
      <c r="CH376" s="248"/>
      <c r="CI376" s="248"/>
      <c r="CJ376" s="248"/>
      <c r="CK376" s="248"/>
      <c r="CL376" s="248"/>
      <c r="CM376" s="248"/>
      <c r="CN376" s="248"/>
      <c r="CO376" s="248"/>
      <c r="CP376" s="248"/>
      <c r="CQ376" s="248"/>
      <c r="CR376" s="248"/>
      <c r="CS376" s="248"/>
      <c r="CT376" s="248"/>
      <c r="CU376" s="248"/>
      <c r="CV376" s="248"/>
      <c r="CW376" s="248"/>
      <c r="CX376" s="248"/>
      <c r="CY376" s="248"/>
      <c r="CZ376" s="248"/>
      <c r="DA376" s="248"/>
      <c r="DB376" s="248"/>
      <c r="DC376" s="248"/>
      <c r="DD376" s="248"/>
      <c r="DE376" s="248"/>
      <c r="DF376" s="248"/>
      <c r="DG376" s="248"/>
      <c r="DH376" s="248"/>
      <c r="DI376" s="248"/>
      <c r="DJ376" s="248"/>
      <c r="DK376" s="248"/>
      <c r="DL376" s="248"/>
      <c r="DM376" s="248"/>
      <c r="DN376" s="248"/>
      <c r="DO376" s="248"/>
      <c r="DP376" s="248"/>
      <c r="DQ376" s="248"/>
      <c r="DR376" s="248"/>
      <c r="DS376" s="248"/>
      <c r="DT376" s="248"/>
      <c r="DU376" s="248"/>
      <c r="DV376" s="248"/>
      <c r="DW376" s="248"/>
      <c r="DX376" s="248"/>
      <c r="DY376" s="248"/>
      <c r="DZ376" s="248"/>
      <c r="EA376" s="248"/>
      <c r="EB376" s="248"/>
      <c r="EC376" s="248"/>
      <c r="ED376" s="248"/>
      <c r="EE376" s="248"/>
    </row>
    <row r="377" spans="1:135" s="35" customFormat="1" ht="16.5">
      <c r="A377" s="35" t="str">
        <f t="shared" si="13"/>
        <v>Kurzname            Kurzname</v>
      </c>
      <c r="B377" s="331"/>
      <c r="D377" s="283">
        <v>325</v>
      </c>
      <c r="O377" s="34"/>
      <c r="P377" s="34"/>
      <c r="Q377" s="58"/>
      <c r="R377" s="39"/>
      <c r="V377" s="39"/>
      <c r="W377" s="39"/>
      <c r="AH377" s="279"/>
      <c r="AJ377" s="279"/>
      <c r="AK377" s="279"/>
      <c r="AL377" s="523">
        <v>0</v>
      </c>
      <c r="AM377" s="35" t="s">
        <v>12</v>
      </c>
      <c r="AN377" s="35" t="s">
        <v>13</v>
      </c>
      <c r="AO377" s="35" t="s">
        <v>356</v>
      </c>
      <c r="AP377" s="35" t="s">
        <v>14</v>
      </c>
      <c r="AQ377" s="34" t="s">
        <v>7</v>
      </c>
      <c r="AR377" s="35" t="s">
        <v>15</v>
      </c>
      <c r="AS377" s="35" t="s">
        <v>8</v>
      </c>
      <c r="AT377" s="35" t="s">
        <v>16</v>
      </c>
      <c r="AU377" s="35" t="s">
        <v>17</v>
      </c>
      <c r="AV377" s="35" t="s">
        <v>356</v>
      </c>
      <c r="AW377" s="35" t="s">
        <v>18</v>
      </c>
      <c r="AX377" s="34" t="s">
        <v>7</v>
      </c>
      <c r="AY377" s="35" t="s">
        <v>15</v>
      </c>
      <c r="AZ377" s="35" t="s">
        <v>8</v>
      </c>
      <c r="BA377" s="35" t="s">
        <v>16</v>
      </c>
      <c r="BB377" s="35" t="s">
        <v>17</v>
      </c>
      <c r="BC377" s="35" t="s">
        <v>19</v>
      </c>
      <c r="BD377" s="35" t="s">
        <v>1737</v>
      </c>
      <c r="BE377" s="35" t="s">
        <v>20</v>
      </c>
      <c r="BF377" s="35" t="s">
        <v>21</v>
      </c>
      <c r="BG377" s="35" t="s">
        <v>22</v>
      </c>
      <c r="BH377" s="35" t="s">
        <v>9</v>
      </c>
      <c r="BI377" s="35" t="s">
        <v>23</v>
      </c>
      <c r="BJ377" s="35" t="s">
        <v>24</v>
      </c>
      <c r="BK377" s="35" t="s">
        <v>0</v>
      </c>
      <c r="BL377" s="35" t="s">
        <v>12</v>
      </c>
      <c r="BW377" s="248"/>
      <c r="BX377" s="248"/>
      <c r="BY377" s="248"/>
      <c r="BZ377" s="248"/>
      <c r="CA377" s="248"/>
      <c r="CB377" s="248"/>
      <c r="CC377" s="248"/>
      <c r="CD377" s="248"/>
      <c r="CE377" s="248"/>
      <c r="CF377" s="248"/>
      <c r="CG377" s="248"/>
      <c r="CH377" s="248"/>
      <c r="CI377" s="248"/>
      <c r="CJ377" s="248"/>
      <c r="CK377" s="248"/>
      <c r="CL377" s="248"/>
      <c r="CM377" s="248"/>
      <c r="CN377" s="248"/>
      <c r="CO377" s="248"/>
      <c r="CP377" s="248"/>
      <c r="CQ377" s="248"/>
      <c r="CR377" s="248"/>
      <c r="CS377" s="248"/>
      <c r="CT377" s="248"/>
      <c r="CU377" s="248"/>
      <c r="CV377" s="248"/>
      <c r="CW377" s="248"/>
      <c r="CX377" s="248"/>
      <c r="CY377" s="248"/>
      <c r="CZ377" s="248"/>
      <c r="DA377" s="248"/>
      <c r="DB377" s="248"/>
      <c r="DC377" s="248"/>
      <c r="DD377" s="248"/>
      <c r="DE377" s="248"/>
      <c r="DF377" s="248"/>
      <c r="DG377" s="248"/>
      <c r="DH377" s="248"/>
      <c r="DI377" s="248"/>
      <c r="DJ377" s="248"/>
      <c r="DK377" s="248"/>
      <c r="DL377" s="248"/>
      <c r="DM377" s="248"/>
      <c r="DN377" s="248"/>
      <c r="DO377" s="248"/>
      <c r="DP377" s="248"/>
      <c r="DQ377" s="248"/>
      <c r="DR377" s="248"/>
      <c r="DS377" s="248"/>
      <c r="DT377" s="248"/>
      <c r="DU377" s="248"/>
      <c r="DV377" s="248"/>
      <c r="DW377" s="248"/>
      <c r="DX377" s="248"/>
      <c r="DY377" s="248"/>
      <c r="DZ377" s="248"/>
      <c r="EA377" s="248"/>
      <c r="EB377" s="248"/>
      <c r="EC377" s="248"/>
      <c r="ED377" s="248"/>
      <c r="EE377" s="248"/>
    </row>
    <row r="378" spans="1:135" s="35" customFormat="1" ht="16.5">
      <c r="A378" s="35" t="str">
        <f t="shared" si="13"/>
        <v>MIB_M               KS_CPR_D</v>
      </c>
      <c r="B378" s="331"/>
      <c r="C378" s="248">
        <v>325001</v>
      </c>
      <c r="D378" s="283">
        <v>325</v>
      </c>
      <c r="F378" s="35" t="s">
        <v>1086</v>
      </c>
      <c r="O378" s="34" t="s">
        <v>1086</v>
      </c>
      <c r="P378" s="34" t="s">
        <v>1086</v>
      </c>
      <c r="Q378" s="279"/>
      <c r="R378" s="104"/>
      <c r="V378" s="39"/>
      <c r="W378" s="104">
        <v>980017363</v>
      </c>
      <c r="AB378" s="104" t="s">
        <v>1114</v>
      </c>
      <c r="AH378" s="279"/>
      <c r="AJ378" s="279" t="s">
        <v>1117</v>
      </c>
      <c r="AK378" s="279"/>
      <c r="AL378" s="523">
        <v>3</v>
      </c>
      <c r="AM378" s="35">
        <v>325001</v>
      </c>
      <c r="AN378" s="35" t="s">
        <v>1612</v>
      </c>
      <c r="AO378" s="35" t="s">
        <v>920</v>
      </c>
      <c r="AP378" s="35" t="s">
        <v>721</v>
      </c>
      <c r="AQ378" s="34" t="s">
        <v>2294</v>
      </c>
      <c r="AR378" s="35">
        <v>1</v>
      </c>
      <c r="AS378" s="35" t="s">
        <v>1738</v>
      </c>
      <c r="AT378" s="35" t="s">
        <v>1358</v>
      </c>
      <c r="AU378" s="35" t="s">
        <v>10</v>
      </c>
      <c r="AV378" s="35" t="s">
        <v>424</v>
      </c>
      <c r="AW378" s="35" t="s">
        <v>819</v>
      </c>
      <c r="AX378" s="34" t="s">
        <v>2047</v>
      </c>
      <c r="AY378" s="35">
        <v>4</v>
      </c>
      <c r="AZ378" s="35" t="s">
        <v>2545</v>
      </c>
      <c r="BA378" s="35" t="s">
        <v>1358</v>
      </c>
      <c r="BB378" s="35" t="s">
        <v>10</v>
      </c>
      <c r="BC378" s="35" t="s">
        <v>225</v>
      </c>
      <c r="BD378" s="35" t="s">
        <v>1739</v>
      </c>
      <c r="BE378" s="35" t="s">
        <v>820</v>
      </c>
      <c r="BF378" s="35" t="s">
        <v>152</v>
      </c>
      <c r="BG378" s="35">
        <v>1778</v>
      </c>
      <c r="BH378" s="35" t="s">
        <v>25</v>
      </c>
      <c r="BI378" s="35">
        <v>0.14000000000000001</v>
      </c>
      <c r="BJ378" s="35" t="s">
        <v>343</v>
      </c>
      <c r="BK378" s="35" t="s">
        <v>818</v>
      </c>
      <c r="BL378" s="35">
        <v>325001</v>
      </c>
      <c r="BW378" s="248"/>
      <c r="BX378" s="248"/>
      <c r="BY378" s="248"/>
      <c r="BZ378" s="248"/>
      <c r="CA378" s="248"/>
      <c r="CB378" s="248"/>
      <c r="CC378" s="248"/>
      <c r="CD378" s="248"/>
      <c r="CE378" s="248"/>
      <c r="CF378" s="248"/>
      <c r="CG378" s="248"/>
      <c r="CH378" s="248"/>
      <c r="CI378" s="248"/>
      <c r="CJ378" s="248"/>
      <c r="CK378" s="248"/>
      <c r="CL378" s="248"/>
      <c r="CM378" s="248"/>
      <c r="CN378" s="248"/>
      <c r="CO378" s="248"/>
      <c r="CP378" s="248"/>
      <c r="CQ378" s="248"/>
      <c r="CR378" s="248"/>
      <c r="CS378" s="248"/>
      <c r="CT378" s="248"/>
      <c r="CU378" s="248"/>
      <c r="CV378" s="248"/>
      <c r="CW378" s="248"/>
      <c r="CX378" s="248"/>
      <c r="CY378" s="248"/>
      <c r="CZ378" s="248"/>
      <c r="DA378" s="248"/>
      <c r="DB378" s="248"/>
      <c r="DC378" s="248"/>
      <c r="DD378" s="248"/>
      <c r="DE378" s="248"/>
      <c r="DF378" s="248"/>
      <c r="DG378" s="248"/>
      <c r="DH378" s="248"/>
      <c r="DI378" s="248"/>
      <c r="DJ378" s="248"/>
      <c r="DK378" s="248"/>
      <c r="DL378" s="248"/>
      <c r="DM378" s="248"/>
      <c r="DN378" s="248"/>
      <c r="DO378" s="248"/>
      <c r="DP378" s="248"/>
      <c r="DQ378" s="248"/>
      <c r="DR378" s="248"/>
      <c r="DS378" s="248"/>
      <c r="DT378" s="248"/>
      <c r="DU378" s="248"/>
      <c r="DV378" s="248"/>
      <c r="DW378" s="248"/>
      <c r="DX378" s="248"/>
      <c r="DY378" s="248"/>
      <c r="DZ378" s="248"/>
      <c r="EA378" s="248"/>
      <c r="EB378" s="248"/>
      <c r="EC378" s="248"/>
      <c r="ED378" s="248"/>
      <c r="EE378" s="248"/>
    </row>
    <row r="379" spans="1:135" s="35" customFormat="1" ht="16.5">
      <c r="A379" s="35" t="str">
        <f t="shared" si="13"/>
        <v>MIB_M               KS_CPR_D</v>
      </c>
      <c r="B379" s="331"/>
      <c r="C379" s="248">
        <v>325002</v>
      </c>
      <c r="D379" s="283">
        <v>325</v>
      </c>
      <c r="F379" s="35" t="s">
        <v>1086</v>
      </c>
      <c r="O379" s="34" t="s">
        <v>1086</v>
      </c>
      <c r="P379" s="34" t="s">
        <v>1086</v>
      </c>
      <c r="Q379" s="279"/>
      <c r="R379" s="104"/>
      <c r="V379" s="39"/>
      <c r="W379" s="104">
        <v>980017363</v>
      </c>
      <c r="AB379" s="104" t="s">
        <v>1114</v>
      </c>
      <c r="AH379" s="279"/>
      <c r="AJ379" s="279" t="s">
        <v>1117</v>
      </c>
      <c r="AK379" s="279"/>
      <c r="AL379" s="523">
        <v>3</v>
      </c>
      <c r="AM379" s="35">
        <v>325002</v>
      </c>
      <c r="AN379" s="35" t="s">
        <v>1614</v>
      </c>
      <c r="AO379" s="35" t="s">
        <v>920</v>
      </c>
      <c r="AP379" s="35" t="s">
        <v>721</v>
      </c>
      <c r="AQ379" s="34" t="s">
        <v>2294</v>
      </c>
      <c r="AR379" s="35">
        <v>2</v>
      </c>
      <c r="AS379" s="35" t="s">
        <v>1738</v>
      </c>
      <c r="AT379" s="35" t="s">
        <v>1358</v>
      </c>
      <c r="AU379" s="35" t="s">
        <v>10</v>
      </c>
      <c r="AV379" s="35" t="s">
        <v>424</v>
      </c>
      <c r="AW379" s="35" t="s">
        <v>819</v>
      </c>
      <c r="AX379" s="34" t="s">
        <v>2047</v>
      </c>
      <c r="AY379" s="35">
        <v>3</v>
      </c>
      <c r="AZ379" s="35" t="s">
        <v>2545</v>
      </c>
      <c r="BA379" s="35" t="s">
        <v>1358</v>
      </c>
      <c r="BB379" s="35" t="s">
        <v>10</v>
      </c>
      <c r="BC379" s="35" t="s">
        <v>225</v>
      </c>
      <c r="BD379" s="35" t="s">
        <v>1739</v>
      </c>
      <c r="BE379" s="35" t="s">
        <v>820</v>
      </c>
      <c r="BF379" s="35" t="s">
        <v>149</v>
      </c>
      <c r="BG379" s="35">
        <v>1778</v>
      </c>
      <c r="BH379" s="35" t="s">
        <v>66</v>
      </c>
      <c r="BI379" s="35">
        <v>0.14000000000000001</v>
      </c>
      <c r="BJ379" s="35" t="s">
        <v>342</v>
      </c>
      <c r="BK379" s="35" t="s">
        <v>818</v>
      </c>
      <c r="BL379" s="35">
        <v>325002</v>
      </c>
      <c r="BW379" s="248"/>
      <c r="BX379" s="248"/>
      <c r="BY379" s="248"/>
      <c r="BZ379" s="248"/>
      <c r="CA379" s="248"/>
      <c r="CB379" s="248"/>
      <c r="CC379" s="248"/>
      <c r="CD379" s="248"/>
      <c r="CE379" s="248"/>
      <c r="CF379" s="248"/>
      <c r="CG379" s="248"/>
      <c r="CH379" s="248"/>
      <c r="CI379" s="248"/>
      <c r="CJ379" s="248"/>
      <c r="CK379" s="248"/>
      <c r="CL379" s="248"/>
      <c r="CM379" s="248"/>
      <c r="CN379" s="248"/>
      <c r="CO379" s="248"/>
      <c r="CP379" s="248"/>
      <c r="CQ379" s="248"/>
      <c r="CR379" s="248"/>
      <c r="CS379" s="248"/>
      <c r="CT379" s="248"/>
      <c r="CU379" s="248"/>
      <c r="CV379" s="248"/>
      <c r="CW379" s="248"/>
      <c r="CX379" s="248"/>
      <c r="CY379" s="248"/>
      <c r="CZ379" s="248"/>
      <c r="DA379" s="248"/>
      <c r="DB379" s="248"/>
      <c r="DC379" s="248"/>
      <c r="DD379" s="248"/>
      <c r="DE379" s="248"/>
      <c r="DF379" s="248"/>
      <c r="DG379" s="248"/>
      <c r="DH379" s="248"/>
      <c r="DI379" s="248"/>
      <c r="DJ379" s="248"/>
      <c r="DK379" s="248"/>
      <c r="DL379" s="248"/>
      <c r="DM379" s="248"/>
      <c r="DN379" s="248"/>
      <c r="DO379" s="248"/>
      <c r="DP379" s="248"/>
      <c r="DQ379" s="248"/>
      <c r="DR379" s="248"/>
      <c r="DS379" s="248"/>
      <c r="DT379" s="248"/>
      <c r="DU379" s="248"/>
      <c r="DV379" s="248"/>
      <c r="DW379" s="248"/>
      <c r="DX379" s="248"/>
      <c r="DY379" s="248"/>
      <c r="DZ379" s="248"/>
      <c r="EA379" s="248"/>
      <c r="EB379" s="248"/>
      <c r="EC379" s="248"/>
      <c r="ED379" s="248"/>
      <c r="EE379" s="248"/>
    </row>
    <row r="380" spans="1:135" s="185" customFormat="1" ht="16.5">
      <c r="A380" s="35" t="str">
        <f t="shared" si="13"/>
        <v>MIB_M               KS_CPR_D</v>
      </c>
      <c r="B380" s="331"/>
      <c r="C380" s="248">
        <v>325003</v>
      </c>
      <c r="D380" s="283">
        <v>325</v>
      </c>
      <c r="E380" s="35"/>
      <c r="F380" s="35" t="s">
        <v>1086</v>
      </c>
      <c r="G380" s="35"/>
      <c r="H380" s="35"/>
      <c r="I380" s="35"/>
      <c r="K380" s="35"/>
      <c r="L380" s="35"/>
      <c r="M380" s="35"/>
      <c r="N380" s="35"/>
      <c r="O380" s="34" t="s">
        <v>1086</v>
      </c>
      <c r="P380" s="34" t="s">
        <v>1086</v>
      </c>
      <c r="Q380" s="279"/>
      <c r="R380" s="104"/>
      <c r="S380" s="35"/>
      <c r="T380" s="35"/>
      <c r="U380" s="35"/>
      <c r="V380" s="39"/>
      <c r="W380" s="104">
        <v>980017363</v>
      </c>
      <c r="X380" s="35"/>
      <c r="Y380" s="35"/>
      <c r="Z380" s="35"/>
      <c r="AA380" s="35"/>
      <c r="AB380" s="104" t="s">
        <v>1114</v>
      </c>
      <c r="AC380" s="35"/>
      <c r="AD380" s="35"/>
      <c r="AE380" s="35"/>
      <c r="AF380" s="35"/>
      <c r="AG380" s="35"/>
      <c r="AH380" s="279"/>
      <c r="AI380" s="35"/>
      <c r="AJ380" s="279" t="s">
        <v>1117</v>
      </c>
      <c r="AK380" s="279"/>
      <c r="AL380" s="523">
        <v>3</v>
      </c>
      <c r="AM380" s="35">
        <v>325003</v>
      </c>
      <c r="AN380" s="35" t="s">
        <v>1615</v>
      </c>
      <c r="AO380" s="35" t="s">
        <v>920</v>
      </c>
      <c r="AP380" s="35" t="s">
        <v>721</v>
      </c>
      <c r="AQ380" s="34" t="s">
        <v>2294</v>
      </c>
      <c r="AR380" s="35">
        <v>3</v>
      </c>
      <c r="AS380" s="35" t="s">
        <v>1738</v>
      </c>
      <c r="AT380" s="35" t="s">
        <v>1358</v>
      </c>
      <c r="AU380" s="35" t="s">
        <v>10</v>
      </c>
      <c r="AV380" s="35" t="s">
        <v>424</v>
      </c>
      <c r="AW380" s="35" t="s">
        <v>819</v>
      </c>
      <c r="AX380" s="34" t="s">
        <v>2047</v>
      </c>
      <c r="AY380" s="35">
        <v>2</v>
      </c>
      <c r="AZ380" s="35" t="s">
        <v>2545</v>
      </c>
      <c r="BA380" s="35" t="s">
        <v>1358</v>
      </c>
      <c r="BB380" s="35" t="s">
        <v>10</v>
      </c>
      <c r="BC380" s="35" t="s">
        <v>225</v>
      </c>
      <c r="BD380" s="35" t="s">
        <v>1739</v>
      </c>
      <c r="BE380" s="35" t="s">
        <v>820</v>
      </c>
      <c r="BF380" s="35" t="s">
        <v>227</v>
      </c>
      <c r="BG380" s="35">
        <v>1778</v>
      </c>
      <c r="BH380" s="35" t="s">
        <v>96</v>
      </c>
      <c r="BI380" s="35">
        <v>0.14000000000000001</v>
      </c>
      <c r="BJ380" s="35" t="s">
        <v>341</v>
      </c>
      <c r="BK380" s="35" t="s">
        <v>818</v>
      </c>
      <c r="BL380" s="35">
        <v>325003</v>
      </c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248"/>
      <c r="BX380" s="248"/>
      <c r="BY380" s="248"/>
      <c r="BZ380" s="248"/>
      <c r="CA380" s="248"/>
      <c r="CB380" s="248"/>
      <c r="CC380" s="248"/>
      <c r="CD380" s="248"/>
      <c r="CE380" s="248"/>
      <c r="CF380" s="248"/>
      <c r="CG380" s="248"/>
      <c r="CH380" s="248"/>
      <c r="CI380" s="248"/>
      <c r="CJ380" s="248"/>
      <c r="CK380" s="248"/>
      <c r="CL380" s="248"/>
      <c r="CM380" s="248"/>
      <c r="CN380" s="248"/>
      <c r="CO380" s="248"/>
      <c r="CP380" s="248"/>
      <c r="CQ380" s="248"/>
      <c r="CR380" s="248"/>
      <c r="CS380" s="248"/>
      <c r="CT380" s="248"/>
      <c r="CU380" s="248"/>
      <c r="CV380" s="248"/>
      <c r="CW380" s="248"/>
      <c r="CX380" s="248"/>
      <c r="CY380" s="248"/>
      <c r="CZ380" s="248"/>
      <c r="DA380" s="248"/>
      <c r="DB380" s="248"/>
      <c r="DC380" s="248"/>
      <c r="DD380" s="248"/>
      <c r="DE380" s="248"/>
      <c r="DF380" s="248"/>
      <c r="DG380" s="248"/>
      <c r="DH380" s="248"/>
      <c r="DI380" s="248"/>
      <c r="DJ380" s="248"/>
      <c r="DK380" s="248"/>
      <c r="DL380" s="248"/>
      <c r="DM380" s="248"/>
      <c r="DN380" s="248"/>
      <c r="DO380" s="248"/>
      <c r="DP380" s="248"/>
      <c r="DQ380" s="248"/>
      <c r="DR380" s="248"/>
      <c r="DS380" s="248"/>
      <c r="DT380" s="248"/>
      <c r="DU380" s="248"/>
      <c r="DV380" s="248"/>
      <c r="DW380" s="248"/>
      <c r="DX380" s="248"/>
      <c r="DY380" s="248"/>
      <c r="DZ380" s="248"/>
      <c r="EA380" s="248"/>
      <c r="EB380" s="248"/>
      <c r="EC380" s="248"/>
      <c r="ED380" s="248"/>
      <c r="EE380" s="248"/>
    </row>
    <row r="381" spans="1:135" s="185" customFormat="1" ht="16.5">
      <c r="A381" s="35" t="str">
        <f t="shared" si="13"/>
        <v>MIB_M               KS_CPR_D</v>
      </c>
      <c r="B381" s="331"/>
      <c r="C381" s="248">
        <v>325004</v>
      </c>
      <c r="D381" s="283">
        <v>325</v>
      </c>
      <c r="E381" s="35"/>
      <c r="F381" s="35" t="s">
        <v>1086</v>
      </c>
      <c r="G381" s="35"/>
      <c r="H381" s="35"/>
      <c r="I381" s="35"/>
      <c r="K381" s="35"/>
      <c r="L381" s="35"/>
      <c r="M381" s="35"/>
      <c r="N381" s="35"/>
      <c r="O381" s="34" t="s">
        <v>1086</v>
      </c>
      <c r="P381" s="34" t="s">
        <v>1086</v>
      </c>
      <c r="Q381" s="279"/>
      <c r="R381" s="104"/>
      <c r="S381" s="35"/>
      <c r="T381" s="35"/>
      <c r="U381" s="35"/>
      <c r="V381" s="39"/>
      <c r="W381" s="104">
        <v>980017363</v>
      </c>
      <c r="X381" s="35"/>
      <c r="Y381" s="35"/>
      <c r="Z381" s="35"/>
      <c r="AA381" s="35"/>
      <c r="AB381" s="104" t="s">
        <v>1114</v>
      </c>
      <c r="AC381" s="35"/>
      <c r="AD381" s="35"/>
      <c r="AE381" s="35"/>
      <c r="AF381" s="35"/>
      <c r="AG381" s="35"/>
      <c r="AH381" s="279"/>
      <c r="AI381" s="35"/>
      <c r="AJ381" s="279" t="s">
        <v>1117</v>
      </c>
      <c r="AK381" s="279"/>
      <c r="AL381" s="523">
        <v>3</v>
      </c>
      <c r="AM381" s="35">
        <v>325004</v>
      </c>
      <c r="AN381" s="35" t="s">
        <v>1616</v>
      </c>
      <c r="AO381" s="35" t="s">
        <v>920</v>
      </c>
      <c r="AP381" s="35" t="s">
        <v>721</v>
      </c>
      <c r="AQ381" s="34" t="s">
        <v>2294</v>
      </c>
      <c r="AR381" s="35">
        <v>4</v>
      </c>
      <c r="AS381" s="35" t="s">
        <v>1738</v>
      </c>
      <c r="AT381" s="35" t="s">
        <v>1358</v>
      </c>
      <c r="AU381" s="35" t="s">
        <v>10</v>
      </c>
      <c r="AV381" s="35" t="s">
        <v>424</v>
      </c>
      <c r="AW381" s="35" t="s">
        <v>819</v>
      </c>
      <c r="AX381" s="34" t="s">
        <v>2047</v>
      </c>
      <c r="AY381" s="35">
        <v>1</v>
      </c>
      <c r="AZ381" s="35" t="s">
        <v>2545</v>
      </c>
      <c r="BA381" s="35" t="s">
        <v>1358</v>
      </c>
      <c r="BB381" s="35" t="s">
        <v>10</v>
      </c>
      <c r="BC381" s="35" t="s">
        <v>225</v>
      </c>
      <c r="BD381" s="35" t="s">
        <v>1739</v>
      </c>
      <c r="BE381" s="35" t="s">
        <v>820</v>
      </c>
      <c r="BF381" s="35" t="s">
        <v>228</v>
      </c>
      <c r="BG381" s="35">
        <v>1778</v>
      </c>
      <c r="BH381" s="35" t="s">
        <v>110</v>
      </c>
      <c r="BI381" s="35">
        <v>0.14000000000000001</v>
      </c>
      <c r="BJ381" s="35" t="s">
        <v>340</v>
      </c>
      <c r="BK381" s="35" t="s">
        <v>818</v>
      </c>
      <c r="BL381" s="35">
        <v>325004</v>
      </c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248"/>
      <c r="BX381" s="248"/>
      <c r="BY381" s="248"/>
      <c r="BZ381" s="248"/>
      <c r="CA381" s="248"/>
      <c r="CB381" s="248"/>
      <c r="CC381" s="248"/>
      <c r="CD381" s="248"/>
      <c r="CE381" s="248"/>
      <c r="CF381" s="248"/>
      <c r="CG381" s="248"/>
      <c r="CH381" s="248"/>
      <c r="CI381" s="248"/>
      <c r="CJ381" s="248"/>
      <c r="CK381" s="248"/>
      <c r="CL381" s="248"/>
      <c r="CM381" s="248"/>
      <c r="CN381" s="248"/>
      <c r="CO381" s="248"/>
      <c r="CP381" s="248"/>
      <c r="CQ381" s="248"/>
      <c r="CR381" s="248"/>
      <c r="CS381" s="248"/>
      <c r="CT381" s="248"/>
      <c r="CU381" s="248"/>
      <c r="CV381" s="248"/>
      <c r="CW381" s="248"/>
      <c r="CX381" s="248"/>
      <c r="CY381" s="248"/>
      <c r="CZ381" s="248"/>
      <c r="DA381" s="248"/>
      <c r="DB381" s="248"/>
      <c r="DC381" s="248"/>
      <c r="DD381" s="248"/>
      <c r="DE381" s="248"/>
      <c r="DF381" s="248"/>
      <c r="DG381" s="248"/>
      <c r="DH381" s="248"/>
      <c r="DI381" s="248"/>
      <c r="DJ381" s="248"/>
      <c r="DK381" s="248"/>
      <c r="DL381" s="248"/>
      <c r="DM381" s="248"/>
      <c r="DN381" s="248"/>
      <c r="DO381" s="248"/>
      <c r="DP381" s="248"/>
      <c r="DQ381" s="248"/>
      <c r="DR381" s="248"/>
      <c r="DS381" s="248"/>
      <c r="DT381" s="248"/>
      <c r="DU381" s="248"/>
      <c r="DV381" s="248"/>
      <c r="DW381" s="248"/>
      <c r="DX381" s="248"/>
      <c r="DY381" s="248"/>
      <c r="DZ381" s="248"/>
      <c r="EA381" s="248"/>
      <c r="EB381" s="248"/>
      <c r="EC381" s="248"/>
      <c r="ED381" s="248"/>
      <c r="EE381" s="248"/>
    </row>
    <row r="382" spans="1:135" s="35" customFormat="1" ht="16.5">
      <c r="A382" s="35" t="str">
        <f t="shared" si="13"/>
        <v>MIB_M               KS_CPR_D</v>
      </c>
      <c r="B382" s="331"/>
      <c r="C382" s="248">
        <v>325005</v>
      </c>
      <c r="D382" s="283">
        <v>325</v>
      </c>
      <c r="F382" s="35" t="s">
        <v>1086</v>
      </c>
      <c r="O382" s="34" t="s">
        <v>1086</v>
      </c>
      <c r="P382" s="34" t="s">
        <v>1086</v>
      </c>
      <c r="Q382" s="279"/>
      <c r="R382" s="104"/>
      <c r="V382" s="39"/>
      <c r="W382" s="104">
        <v>980017363</v>
      </c>
      <c r="Z382" s="35" t="s">
        <v>2645</v>
      </c>
      <c r="AA382" s="35" t="s">
        <v>2645</v>
      </c>
      <c r="AB382" s="104" t="s">
        <v>1114</v>
      </c>
      <c r="AH382" s="279"/>
      <c r="AJ382" s="279" t="s">
        <v>1117</v>
      </c>
      <c r="AK382" s="279"/>
      <c r="AL382" s="523">
        <v>3</v>
      </c>
      <c r="AM382" s="35">
        <v>325005</v>
      </c>
      <c r="AN382" s="35" t="s">
        <v>1617</v>
      </c>
      <c r="AO382" s="35" t="s">
        <v>920</v>
      </c>
      <c r="AP382" s="35" t="s">
        <v>721</v>
      </c>
      <c r="AQ382" s="34" t="s">
        <v>2294</v>
      </c>
      <c r="AR382" s="35" t="s">
        <v>229</v>
      </c>
      <c r="AS382" s="35" t="s">
        <v>1738</v>
      </c>
      <c r="AT382" s="35" t="s">
        <v>230</v>
      </c>
      <c r="AU382" s="35" t="s">
        <v>10</v>
      </c>
      <c r="AV382" s="35" t="s">
        <v>424</v>
      </c>
      <c r="AW382" s="35" t="s">
        <v>819</v>
      </c>
      <c r="AX382" s="34" t="s">
        <v>2047</v>
      </c>
      <c r="AY382" s="35" t="s">
        <v>229</v>
      </c>
      <c r="AZ382" s="35" t="s">
        <v>2545</v>
      </c>
      <c r="BA382" s="35" t="s">
        <v>230</v>
      </c>
      <c r="BB382" s="35" t="s">
        <v>10</v>
      </c>
      <c r="BC382" s="35" t="s">
        <v>225</v>
      </c>
      <c r="BD382" s="35" t="s">
        <v>157</v>
      </c>
      <c r="BE382" s="35" t="s">
        <v>820</v>
      </c>
      <c r="BF382" s="35" t="s">
        <v>231</v>
      </c>
      <c r="BG382" s="35">
        <v>1778</v>
      </c>
      <c r="BH382" s="35" t="s">
        <v>139</v>
      </c>
      <c r="BI382" s="35">
        <v>1</v>
      </c>
      <c r="BJ382" s="35" t="s">
        <v>344</v>
      </c>
      <c r="BK382" s="35" t="s">
        <v>818</v>
      </c>
      <c r="BL382" s="35">
        <v>325005</v>
      </c>
      <c r="BW382" s="248"/>
      <c r="BX382" s="248"/>
      <c r="BY382" s="248"/>
      <c r="BZ382" s="248"/>
      <c r="CA382" s="248"/>
      <c r="CB382" s="248"/>
      <c r="CC382" s="248"/>
      <c r="CD382" s="248"/>
      <c r="CE382" s="248"/>
      <c r="CF382" s="248"/>
      <c r="CG382" s="248"/>
      <c r="CH382" s="248"/>
      <c r="CI382" s="248"/>
      <c r="CJ382" s="248"/>
      <c r="CK382" s="248"/>
      <c r="CL382" s="248"/>
      <c r="CM382" s="248"/>
      <c r="CN382" s="248"/>
      <c r="CO382" s="248"/>
      <c r="CP382" s="248"/>
      <c r="CQ382" s="248"/>
      <c r="CR382" s="248"/>
      <c r="CS382" s="248"/>
      <c r="CT382" s="248"/>
      <c r="CU382" s="248"/>
      <c r="CV382" s="248"/>
      <c r="CW382" s="248"/>
      <c r="CX382" s="248"/>
      <c r="CY382" s="248"/>
      <c r="CZ382" s="248"/>
      <c r="DA382" s="248"/>
      <c r="DB382" s="248"/>
      <c r="DC382" s="248"/>
      <c r="DD382" s="248"/>
      <c r="DE382" s="248"/>
      <c r="DF382" s="248"/>
      <c r="DG382" s="248"/>
      <c r="DH382" s="248"/>
      <c r="DI382" s="248"/>
      <c r="DJ382" s="248"/>
      <c r="DK382" s="248"/>
      <c r="DL382" s="248"/>
      <c r="DM382" s="248"/>
      <c r="DN382" s="248"/>
      <c r="DO382" s="248"/>
      <c r="DP382" s="248"/>
      <c r="DQ382" s="248"/>
      <c r="DR382" s="248"/>
      <c r="DS382" s="248"/>
      <c r="DT382" s="248"/>
      <c r="DU382" s="248"/>
      <c r="DV382" s="248"/>
      <c r="DW382" s="248"/>
      <c r="DX382" s="248"/>
      <c r="DY382" s="248"/>
      <c r="DZ382" s="248"/>
      <c r="EA382" s="248"/>
      <c r="EB382" s="248"/>
      <c r="EC382" s="248"/>
      <c r="ED382" s="248"/>
      <c r="EE382" s="248"/>
    </row>
    <row r="383" spans="1:135" s="185" customFormat="1" ht="16.5">
      <c r="A383" s="35" t="str">
        <f t="shared" si="13"/>
        <v xml:space="preserve">                    </v>
      </c>
      <c r="B383" s="331"/>
      <c r="C383" s="35"/>
      <c r="D383" s="283">
        <v>327</v>
      </c>
      <c r="E383" s="35"/>
      <c r="F383" s="35"/>
      <c r="G383" s="35"/>
      <c r="H383" s="35"/>
      <c r="I383" s="35"/>
      <c r="K383" s="35"/>
      <c r="L383" s="35"/>
      <c r="M383" s="35"/>
      <c r="N383" s="35"/>
      <c r="O383" s="34"/>
      <c r="P383" s="34"/>
      <c r="Q383" s="58"/>
      <c r="R383" s="39"/>
      <c r="S383" s="35"/>
      <c r="T383" s="35"/>
      <c r="U383" s="35"/>
      <c r="V383" s="39"/>
      <c r="W383" s="39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279"/>
      <c r="AI383" s="35"/>
      <c r="AJ383" s="279"/>
      <c r="AK383" s="279"/>
      <c r="AL383" s="523">
        <v>1</v>
      </c>
      <c r="AM383" s="35" t="s">
        <v>336</v>
      </c>
      <c r="AN383" s="35"/>
      <c r="AO383" s="35"/>
      <c r="AP383" s="35"/>
      <c r="AQ383" s="34"/>
      <c r="AR383" s="35"/>
      <c r="AS383" s="35"/>
      <c r="AT383" s="35"/>
      <c r="AU383" s="35"/>
      <c r="AV383" s="35"/>
      <c r="AW383" s="35"/>
      <c r="AX383" s="34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248"/>
      <c r="BX383" s="248"/>
      <c r="BY383" s="248"/>
      <c r="BZ383" s="248"/>
      <c r="CA383" s="248"/>
      <c r="CB383" s="248"/>
      <c r="CC383" s="248"/>
      <c r="CD383" s="248"/>
      <c r="CE383" s="248"/>
      <c r="CF383" s="248"/>
      <c r="CG383" s="248"/>
      <c r="CH383" s="248"/>
      <c r="CI383" s="248"/>
      <c r="CJ383" s="248"/>
      <c r="CK383" s="248"/>
      <c r="CL383" s="248"/>
      <c r="CM383" s="248"/>
      <c r="CN383" s="248"/>
      <c r="CO383" s="248"/>
      <c r="CP383" s="248"/>
      <c r="CQ383" s="248"/>
      <c r="CR383" s="248"/>
      <c r="CS383" s="248"/>
      <c r="CT383" s="248"/>
      <c r="CU383" s="248"/>
      <c r="CV383" s="248"/>
      <c r="CW383" s="248"/>
      <c r="CX383" s="248"/>
      <c r="CY383" s="248"/>
      <c r="CZ383" s="248"/>
      <c r="DA383" s="248"/>
      <c r="DB383" s="248"/>
      <c r="DC383" s="248"/>
      <c r="DD383" s="248"/>
      <c r="DE383" s="248"/>
      <c r="DF383" s="248"/>
      <c r="DG383" s="248"/>
      <c r="DH383" s="248"/>
      <c r="DI383" s="248"/>
      <c r="DJ383" s="248"/>
      <c r="DK383" s="248"/>
      <c r="DL383" s="248"/>
      <c r="DM383" s="248"/>
      <c r="DN383" s="248"/>
      <c r="DO383" s="248"/>
      <c r="DP383" s="248"/>
      <c r="DQ383" s="248"/>
      <c r="DR383" s="248"/>
      <c r="DS383" s="248"/>
      <c r="DT383" s="248"/>
      <c r="DU383" s="248"/>
      <c r="DV383" s="248"/>
      <c r="DW383" s="248"/>
      <c r="DX383" s="248"/>
      <c r="DY383" s="248"/>
      <c r="DZ383" s="248"/>
      <c r="EA383" s="248"/>
      <c r="EB383" s="248"/>
      <c r="EC383" s="248"/>
      <c r="ED383" s="248"/>
      <c r="EE383" s="248"/>
    </row>
    <row r="384" spans="1:135" s="185" customFormat="1" ht="16.5">
      <c r="A384" s="35" t="str">
        <f t="shared" si="13"/>
        <v xml:space="preserve">                    </v>
      </c>
      <c r="B384" s="331"/>
      <c r="C384" s="35"/>
      <c r="D384" s="283">
        <v>327</v>
      </c>
      <c r="E384" s="35"/>
      <c r="F384" s="35"/>
      <c r="G384" s="35"/>
      <c r="H384" s="35"/>
      <c r="I384" s="35"/>
      <c r="K384" s="35"/>
      <c r="L384" s="35"/>
      <c r="M384" s="35"/>
      <c r="N384" s="35"/>
      <c r="O384" s="34"/>
      <c r="P384" s="34"/>
      <c r="Q384" s="58"/>
      <c r="R384" s="39"/>
      <c r="S384" s="35"/>
      <c r="T384" s="35"/>
      <c r="U384" s="35"/>
      <c r="V384" s="39"/>
      <c r="W384" s="39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279"/>
      <c r="AI384" s="35"/>
      <c r="AJ384" s="279"/>
      <c r="AK384" s="279"/>
      <c r="AL384" s="523">
        <v>2</v>
      </c>
      <c r="AM384" s="35" t="s">
        <v>0</v>
      </c>
      <c r="AN384" s="35" t="s">
        <v>821</v>
      </c>
      <c r="AO384" s="35" t="s">
        <v>1618</v>
      </c>
      <c r="AP384" s="35" t="s">
        <v>2048</v>
      </c>
      <c r="AQ384" s="34"/>
      <c r="AR384" s="35" t="s">
        <v>757</v>
      </c>
      <c r="AS384" s="35" t="s">
        <v>11</v>
      </c>
      <c r="AT384" s="35"/>
      <c r="AU384" s="35"/>
      <c r="AV384" s="35"/>
      <c r="AW384" s="35"/>
      <c r="AX384" s="34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248"/>
      <c r="BX384" s="248"/>
      <c r="BY384" s="248"/>
      <c r="BZ384" s="248"/>
      <c r="CA384" s="248"/>
      <c r="CB384" s="248"/>
      <c r="CC384" s="248"/>
      <c r="CD384" s="248"/>
      <c r="CE384" s="248"/>
      <c r="CF384" s="248"/>
      <c r="CG384" s="248"/>
      <c r="CH384" s="248"/>
      <c r="CI384" s="248"/>
      <c r="CJ384" s="248"/>
      <c r="CK384" s="248"/>
      <c r="CL384" s="248"/>
      <c r="CM384" s="248"/>
      <c r="CN384" s="248"/>
      <c r="CO384" s="248"/>
      <c r="CP384" s="248"/>
      <c r="CQ384" s="248"/>
      <c r="CR384" s="248"/>
      <c r="CS384" s="248"/>
      <c r="CT384" s="248"/>
      <c r="CU384" s="248"/>
      <c r="CV384" s="248"/>
      <c r="CW384" s="248"/>
      <c r="CX384" s="248"/>
      <c r="CY384" s="248"/>
      <c r="CZ384" s="248"/>
      <c r="DA384" s="248"/>
      <c r="DB384" s="248"/>
      <c r="DC384" s="248"/>
      <c r="DD384" s="248"/>
      <c r="DE384" s="248"/>
      <c r="DF384" s="248"/>
      <c r="DG384" s="248"/>
      <c r="DH384" s="248"/>
      <c r="DI384" s="248"/>
      <c r="DJ384" s="248"/>
      <c r="DK384" s="248"/>
      <c r="DL384" s="248"/>
      <c r="DM384" s="248"/>
      <c r="DN384" s="248"/>
      <c r="DO384" s="248"/>
      <c r="DP384" s="248"/>
      <c r="DQ384" s="248"/>
      <c r="DR384" s="248"/>
      <c r="DS384" s="248"/>
      <c r="DT384" s="248"/>
      <c r="DU384" s="248"/>
      <c r="DV384" s="248"/>
      <c r="DW384" s="248"/>
      <c r="DX384" s="248"/>
      <c r="DY384" s="248"/>
      <c r="DZ384" s="248"/>
      <c r="EA384" s="248"/>
      <c r="EB384" s="248"/>
      <c r="EC384" s="248"/>
      <c r="ED384" s="248"/>
      <c r="EE384" s="248"/>
    </row>
    <row r="385" spans="1:135" s="185" customFormat="1" ht="16.5">
      <c r="A385" s="35" t="str">
        <f t="shared" si="13"/>
        <v>Kurzname            Kurzname</v>
      </c>
      <c r="B385" s="331"/>
      <c r="C385" s="35"/>
      <c r="D385" s="283">
        <v>327</v>
      </c>
      <c r="E385" s="35"/>
      <c r="F385" s="35"/>
      <c r="G385" s="35"/>
      <c r="H385" s="35"/>
      <c r="I385" s="35"/>
      <c r="K385" s="35"/>
      <c r="L385" s="35"/>
      <c r="M385" s="35"/>
      <c r="N385" s="35"/>
      <c r="O385" s="34"/>
      <c r="P385" s="34"/>
      <c r="Q385" s="58"/>
      <c r="R385" s="39"/>
      <c r="S385" s="35"/>
      <c r="T385" s="35"/>
      <c r="U385" s="35"/>
      <c r="V385" s="39"/>
      <c r="W385" s="39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279"/>
      <c r="AI385" s="35"/>
      <c r="AJ385" s="279"/>
      <c r="AK385" s="279"/>
      <c r="AL385" s="523">
        <v>0</v>
      </c>
      <c r="AM385" s="35" t="s">
        <v>12</v>
      </c>
      <c r="AN385" s="35" t="s">
        <v>13</v>
      </c>
      <c r="AO385" s="35" t="s">
        <v>356</v>
      </c>
      <c r="AP385" s="35" t="s">
        <v>14</v>
      </c>
      <c r="AQ385" s="34" t="s">
        <v>7</v>
      </c>
      <c r="AR385" s="35" t="s">
        <v>15</v>
      </c>
      <c r="AS385" s="35" t="s">
        <v>8</v>
      </c>
      <c r="AT385" s="35" t="s">
        <v>16</v>
      </c>
      <c r="AU385" s="35" t="s">
        <v>17</v>
      </c>
      <c r="AV385" s="35" t="s">
        <v>356</v>
      </c>
      <c r="AW385" s="35" t="s">
        <v>18</v>
      </c>
      <c r="AX385" s="34" t="s">
        <v>7</v>
      </c>
      <c r="AY385" s="35" t="s">
        <v>15</v>
      </c>
      <c r="AZ385" s="35" t="s">
        <v>8</v>
      </c>
      <c r="BA385" s="35" t="s">
        <v>16</v>
      </c>
      <c r="BB385" s="35" t="s">
        <v>17</v>
      </c>
      <c r="BC385" s="35" t="s">
        <v>19</v>
      </c>
      <c r="BD385" s="35" t="s">
        <v>1737</v>
      </c>
      <c r="BE385" s="35" t="s">
        <v>20</v>
      </c>
      <c r="BF385" s="35" t="s">
        <v>21</v>
      </c>
      <c r="BG385" s="35" t="s">
        <v>22</v>
      </c>
      <c r="BH385" s="35" t="s">
        <v>9</v>
      </c>
      <c r="BI385" s="35" t="s">
        <v>23</v>
      </c>
      <c r="BJ385" s="35" t="s">
        <v>24</v>
      </c>
      <c r="BK385" s="35" t="s">
        <v>0</v>
      </c>
      <c r="BL385" s="35" t="s">
        <v>12</v>
      </c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248"/>
      <c r="BX385" s="248"/>
      <c r="BY385" s="248"/>
      <c r="BZ385" s="248"/>
      <c r="CA385" s="248"/>
      <c r="CB385" s="248"/>
      <c r="CC385" s="248"/>
      <c r="CD385" s="248"/>
      <c r="CE385" s="248"/>
      <c r="CF385" s="248"/>
      <c r="CG385" s="248"/>
      <c r="CH385" s="248"/>
      <c r="CI385" s="248"/>
      <c r="CJ385" s="248"/>
      <c r="CK385" s="248"/>
      <c r="CL385" s="248"/>
      <c r="CM385" s="248"/>
      <c r="CN385" s="248"/>
      <c r="CO385" s="248"/>
      <c r="CP385" s="248"/>
      <c r="CQ385" s="248"/>
      <c r="CR385" s="248"/>
      <c r="CS385" s="248"/>
      <c r="CT385" s="248"/>
      <c r="CU385" s="248"/>
      <c r="CV385" s="248"/>
      <c r="CW385" s="248"/>
      <c r="CX385" s="248"/>
      <c r="CY385" s="248"/>
      <c r="CZ385" s="248"/>
      <c r="DA385" s="248"/>
      <c r="DB385" s="248"/>
      <c r="DC385" s="248"/>
      <c r="DD385" s="248"/>
      <c r="DE385" s="248"/>
      <c r="DF385" s="248"/>
      <c r="DG385" s="248"/>
      <c r="DH385" s="248"/>
      <c r="DI385" s="248"/>
      <c r="DJ385" s="248"/>
      <c r="DK385" s="248"/>
      <c r="DL385" s="248"/>
      <c r="DM385" s="248"/>
      <c r="DN385" s="248"/>
      <c r="DO385" s="248"/>
      <c r="DP385" s="248"/>
      <c r="DQ385" s="248"/>
      <c r="DR385" s="248"/>
      <c r="DS385" s="248"/>
      <c r="DT385" s="248"/>
      <c r="DU385" s="248"/>
      <c r="DV385" s="248"/>
      <c r="DW385" s="248"/>
      <c r="DX385" s="248"/>
      <c r="DY385" s="248"/>
      <c r="DZ385" s="248"/>
      <c r="EA385" s="248"/>
      <c r="EB385" s="248"/>
      <c r="EC385" s="248"/>
      <c r="ED385" s="248"/>
      <c r="EE385" s="248"/>
    </row>
    <row r="386" spans="1:135" s="35" customFormat="1" ht="16.5">
      <c r="A386" s="35" t="str">
        <f t="shared" si="13"/>
        <v>KS_CPR_C            KI_A</v>
      </c>
      <c r="B386" s="331"/>
      <c r="C386" s="248">
        <v>327001</v>
      </c>
      <c r="D386" s="283">
        <v>327</v>
      </c>
      <c r="F386" s="35" t="s">
        <v>1086</v>
      </c>
      <c r="O386" s="34" t="s">
        <v>1086</v>
      </c>
      <c r="P386" s="34" t="s">
        <v>1086</v>
      </c>
      <c r="Q386" s="58"/>
      <c r="R386" s="39"/>
      <c r="V386" s="39"/>
      <c r="W386" s="39"/>
      <c r="AH386" s="279"/>
      <c r="AJ386" s="279" t="s">
        <v>1117</v>
      </c>
      <c r="AK386" s="35" t="s">
        <v>2557</v>
      </c>
      <c r="AL386" s="523">
        <v>3</v>
      </c>
      <c r="AM386" s="35">
        <v>327001</v>
      </c>
      <c r="AN386" s="35" t="s">
        <v>2049</v>
      </c>
      <c r="AO386" s="35" t="s">
        <v>424</v>
      </c>
      <c r="AP386" s="35" t="s">
        <v>648</v>
      </c>
      <c r="AQ386" s="34" t="s">
        <v>1796</v>
      </c>
      <c r="AR386" s="35">
        <v>1</v>
      </c>
      <c r="AS386" s="35" t="s">
        <v>1808</v>
      </c>
      <c r="AT386" s="35" t="s">
        <v>72</v>
      </c>
      <c r="AU386" s="35" t="s">
        <v>10</v>
      </c>
      <c r="AV386" s="35" t="s">
        <v>896</v>
      </c>
      <c r="AW386" s="35" t="s">
        <v>624</v>
      </c>
      <c r="AX386" s="34" t="s">
        <v>2254</v>
      </c>
      <c r="AY386" s="35">
        <v>19</v>
      </c>
      <c r="AZ386" s="35" t="s">
        <v>350</v>
      </c>
      <c r="BA386" s="35" t="s">
        <v>87</v>
      </c>
      <c r="BB386" s="35" t="s">
        <v>10</v>
      </c>
      <c r="BC386" s="35" t="s">
        <v>147</v>
      </c>
      <c r="BD386" s="35" t="s">
        <v>1742</v>
      </c>
      <c r="BE386" s="35" t="s">
        <v>823</v>
      </c>
      <c r="BF386" s="35" t="s">
        <v>149</v>
      </c>
      <c r="BG386" s="35">
        <v>1565</v>
      </c>
      <c r="BH386" s="35" t="s">
        <v>66</v>
      </c>
      <c r="BI386" s="35">
        <v>0.35</v>
      </c>
      <c r="BJ386" s="35" t="s">
        <v>337</v>
      </c>
      <c r="BK386" s="35" t="s">
        <v>821</v>
      </c>
      <c r="BL386" s="35">
        <v>327001</v>
      </c>
      <c r="BW386" s="248"/>
      <c r="BX386" s="248"/>
      <c r="BY386" s="248"/>
      <c r="BZ386" s="248"/>
      <c r="CA386" s="248"/>
      <c r="CB386" s="248"/>
      <c r="CC386" s="248"/>
      <c r="CD386" s="248"/>
      <c r="CE386" s="248"/>
      <c r="CF386" s="248"/>
      <c r="CG386" s="248"/>
      <c r="CH386" s="248"/>
      <c r="CI386" s="248"/>
      <c r="CJ386" s="248"/>
      <c r="CK386" s="248"/>
      <c r="CL386" s="248"/>
      <c r="CM386" s="248"/>
      <c r="CN386" s="248"/>
      <c r="CO386" s="248"/>
      <c r="CP386" s="248"/>
      <c r="CQ386" s="248"/>
      <c r="CR386" s="248"/>
      <c r="CS386" s="248"/>
      <c r="CT386" s="248"/>
      <c r="CU386" s="248"/>
      <c r="CV386" s="248"/>
      <c r="CW386" s="248"/>
      <c r="CX386" s="248"/>
      <c r="CY386" s="248"/>
      <c r="CZ386" s="248"/>
      <c r="DA386" s="248"/>
      <c r="DB386" s="248"/>
      <c r="DC386" s="248"/>
      <c r="DD386" s="248"/>
      <c r="DE386" s="248"/>
      <c r="DF386" s="248"/>
      <c r="DG386" s="248"/>
      <c r="DH386" s="248"/>
      <c r="DI386" s="248"/>
      <c r="DJ386" s="248"/>
      <c r="DK386" s="248"/>
      <c r="DL386" s="248"/>
      <c r="DM386" s="248"/>
      <c r="DN386" s="248"/>
      <c r="DO386" s="248"/>
      <c r="DP386" s="248"/>
      <c r="DQ386" s="248"/>
      <c r="DR386" s="248"/>
      <c r="DS386" s="248"/>
      <c r="DT386" s="248"/>
      <c r="DU386" s="248"/>
      <c r="DV386" s="248"/>
      <c r="DW386" s="248"/>
      <c r="DX386" s="248"/>
      <c r="DY386" s="248"/>
      <c r="DZ386" s="248"/>
      <c r="EA386" s="248"/>
      <c r="EB386" s="248"/>
      <c r="EC386" s="248"/>
      <c r="ED386" s="248"/>
      <c r="EE386" s="248"/>
    </row>
    <row r="387" spans="1:135" s="35" customFormat="1" ht="16.5">
      <c r="A387" s="35" t="str">
        <f t="shared" si="13"/>
        <v>KS_CPR_C            KI_A</v>
      </c>
      <c r="B387" s="331"/>
      <c r="C387" s="248">
        <v>327002</v>
      </c>
      <c r="D387" s="283">
        <v>327</v>
      </c>
      <c r="F387" s="35" t="s">
        <v>1086</v>
      </c>
      <c r="O387" s="34" t="s">
        <v>1086</v>
      </c>
      <c r="P387" s="34" t="s">
        <v>1086</v>
      </c>
      <c r="Q387" s="58"/>
      <c r="R387" s="39"/>
      <c r="V387" s="39"/>
      <c r="W387" s="39"/>
      <c r="AH387" s="279"/>
      <c r="AJ387" s="279" t="s">
        <v>1117</v>
      </c>
      <c r="AK387" s="35" t="s">
        <v>2557</v>
      </c>
      <c r="AL387" s="523">
        <v>3</v>
      </c>
      <c r="AM387" s="35">
        <v>327002</v>
      </c>
      <c r="AN387" s="35" t="s">
        <v>2050</v>
      </c>
      <c r="AO387" s="35" t="s">
        <v>424</v>
      </c>
      <c r="AP387" s="35" t="s">
        <v>648</v>
      </c>
      <c r="AQ387" s="34" t="s">
        <v>1796</v>
      </c>
      <c r="AR387" s="35">
        <v>2</v>
      </c>
      <c r="AS387" s="35" t="s">
        <v>1808</v>
      </c>
      <c r="AT387" s="35" t="s">
        <v>72</v>
      </c>
      <c r="AU387" s="35" t="s">
        <v>10</v>
      </c>
      <c r="AV387" s="35" t="s">
        <v>896</v>
      </c>
      <c r="AW387" s="35" t="s">
        <v>624</v>
      </c>
      <c r="AX387" s="34" t="s">
        <v>2254</v>
      </c>
      <c r="AY387" s="35">
        <v>20</v>
      </c>
      <c r="AZ387" s="35" t="s">
        <v>350</v>
      </c>
      <c r="BA387" s="35" t="s">
        <v>87</v>
      </c>
      <c r="BB387" s="35" t="s">
        <v>10</v>
      </c>
      <c r="BC387" s="35" t="s">
        <v>147</v>
      </c>
      <c r="BD387" s="35" t="s">
        <v>1742</v>
      </c>
      <c r="BE387" s="35" t="s">
        <v>823</v>
      </c>
      <c r="BF387" s="35" t="s">
        <v>150</v>
      </c>
      <c r="BG387" s="35">
        <v>1565</v>
      </c>
      <c r="BH387" s="35" t="s">
        <v>151</v>
      </c>
      <c r="BI387" s="35">
        <v>0.35</v>
      </c>
      <c r="BJ387" s="35" t="s">
        <v>338</v>
      </c>
      <c r="BK387" s="35" t="s">
        <v>821</v>
      </c>
      <c r="BL387" s="35">
        <v>327002</v>
      </c>
      <c r="BW387" s="248"/>
      <c r="BX387" s="248"/>
      <c r="BY387" s="248"/>
      <c r="BZ387" s="248"/>
      <c r="CA387" s="248"/>
      <c r="CB387" s="248"/>
      <c r="CC387" s="248"/>
      <c r="CD387" s="248"/>
      <c r="CE387" s="248"/>
      <c r="CF387" s="248"/>
      <c r="CG387" s="248"/>
      <c r="CH387" s="248"/>
      <c r="CI387" s="248"/>
      <c r="CJ387" s="248"/>
      <c r="CK387" s="248"/>
      <c r="CL387" s="248"/>
      <c r="CM387" s="248"/>
      <c r="CN387" s="248"/>
      <c r="CO387" s="248"/>
      <c r="CP387" s="248"/>
      <c r="CQ387" s="248"/>
      <c r="CR387" s="248"/>
      <c r="CS387" s="248"/>
      <c r="CT387" s="248"/>
      <c r="CU387" s="248"/>
      <c r="CV387" s="248"/>
      <c r="CW387" s="248"/>
      <c r="CX387" s="248"/>
      <c r="CY387" s="248"/>
      <c r="CZ387" s="248"/>
      <c r="DA387" s="248"/>
      <c r="DB387" s="248"/>
      <c r="DC387" s="248"/>
      <c r="DD387" s="248"/>
      <c r="DE387" s="248"/>
      <c r="DF387" s="248"/>
      <c r="DG387" s="248"/>
      <c r="DH387" s="248"/>
      <c r="DI387" s="248"/>
      <c r="DJ387" s="248"/>
      <c r="DK387" s="248"/>
      <c r="DL387" s="248"/>
      <c r="DM387" s="248"/>
      <c r="DN387" s="248"/>
      <c r="DO387" s="248"/>
      <c r="DP387" s="248"/>
      <c r="DQ387" s="248"/>
      <c r="DR387" s="248"/>
      <c r="DS387" s="248"/>
      <c r="DT387" s="248"/>
      <c r="DU387" s="248"/>
      <c r="DV387" s="248"/>
      <c r="DW387" s="248"/>
      <c r="DX387" s="248"/>
      <c r="DY387" s="248"/>
      <c r="DZ387" s="248"/>
      <c r="EA387" s="248"/>
      <c r="EB387" s="248"/>
      <c r="EC387" s="248"/>
      <c r="ED387" s="248"/>
      <c r="EE387" s="248"/>
    </row>
    <row r="388" spans="1:135" s="35" customFormat="1" ht="16.5">
      <c r="A388" s="35" t="str">
        <f t="shared" si="13"/>
        <v xml:space="preserve">                    </v>
      </c>
      <c r="B388" s="331"/>
      <c r="D388" s="283">
        <v>328</v>
      </c>
      <c r="O388" s="34"/>
      <c r="P388" s="34"/>
      <c r="Q388" s="58"/>
      <c r="R388" s="39"/>
      <c r="V388" s="39"/>
      <c r="W388" s="39"/>
      <c r="AH388" s="279"/>
      <c r="AJ388" s="279"/>
      <c r="AK388" s="279"/>
      <c r="AL388" s="523">
        <v>1</v>
      </c>
      <c r="AM388" s="35" t="s">
        <v>336</v>
      </c>
      <c r="AQ388" s="34"/>
      <c r="AX388" s="34"/>
      <c r="BW388" s="248"/>
      <c r="BX388" s="248"/>
      <c r="BY388" s="248"/>
      <c r="BZ388" s="248"/>
      <c r="CA388" s="248"/>
      <c r="CB388" s="248"/>
      <c r="CC388" s="248"/>
      <c r="CD388" s="248"/>
      <c r="CE388" s="248"/>
      <c r="CF388" s="248"/>
      <c r="CG388" s="248"/>
      <c r="CH388" s="248"/>
      <c r="CI388" s="248"/>
      <c r="CJ388" s="248"/>
      <c r="CK388" s="248"/>
      <c r="CL388" s="248"/>
      <c r="CM388" s="248"/>
      <c r="CN388" s="248"/>
      <c r="CO388" s="248"/>
      <c r="CP388" s="248"/>
      <c r="CQ388" s="248"/>
      <c r="CR388" s="248"/>
      <c r="CS388" s="248"/>
      <c r="CT388" s="248"/>
      <c r="CU388" s="248"/>
      <c r="CV388" s="248"/>
      <c r="CW388" s="248"/>
      <c r="CX388" s="248"/>
      <c r="CY388" s="248"/>
      <c r="CZ388" s="248"/>
      <c r="DA388" s="248"/>
      <c r="DB388" s="248"/>
      <c r="DC388" s="248"/>
      <c r="DD388" s="248"/>
      <c r="DE388" s="248"/>
      <c r="DF388" s="248"/>
      <c r="DG388" s="248"/>
      <c r="DH388" s="248"/>
      <c r="DI388" s="248"/>
      <c r="DJ388" s="248"/>
      <c r="DK388" s="248"/>
      <c r="DL388" s="248"/>
      <c r="DM388" s="248"/>
      <c r="DN388" s="248"/>
      <c r="DO388" s="248"/>
      <c r="DP388" s="248"/>
      <c r="DQ388" s="248"/>
      <c r="DR388" s="248"/>
      <c r="DS388" s="248"/>
      <c r="DT388" s="248"/>
      <c r="DU388" s="248"/>
      <c r="DV388" s="248"/>
      <c r="DW388" s="248"/>
      <c r="DX388" s="248"/>
      <c r="DY388" s="248"/>
      <c r="DZ388" s="248"/>
      <c r="EA388" s="248"/>
      <c r="EB388" s="248"/>
      <c r="EC388" s="248"/>
      <c r="ED388" s="248"/>
      <c r="EE388" s="248"/>
    </row>
    <row r="389" spans="1:135" s="35" customFormat="1" ht="16.5">
      <c r="A389" s="35" t="str">
        <f t="shared" si="13"/>
        <v xml:space="preserve">                    </v>
      </c>
      <c r="B389" s="331"/>
      <c r="D389" s="283">
        <v>328</v>
      </c>
      <c r="O389" s="34"/>
      <c r="P389" s="34"/>
      <c r="Q389" s="58"/>
      <c r="R389" s="39"/>
      <c r="V389" s="39"/>
      <c r="W389" s="39"/>
      <c r="AH389" s="279"/>
      <c r="AJ389" s="279"/>
      <c r="AK389" s="279"/>
      <c r="AL389" s="523">
        <v>2</v>
      </c>
      <c r="AM389" s="35" t="s">
        <v>0</v>
      </c>
      <c r="AN389" s="35" t="s">
        <v>824</v>
      </c>
      <c r="AO389" s="35" t="s">
        <v>825</v>
      </c>
      <c r="AP389" s="35" t="s">
        <v>2051</v>
      </c>
      <c r="AQ389" s="34"/>
      <c r="AR389" s="35" t="s">
        <v>522</v>
      </c>
      <c r="AS389" s="35" t="s">
        <v>11</v>
      </c>
      <c r="AX389" s="34"/>
      <c r="BW389" s="248"/>
      <c r="BX389" s="248"/>
      <c r="BY389" s="248"/>
      <c r="BZ389" s="248"/>
      <c r="CA389" s="248"/>
      <c r="CB389" s="248"/>
      <c r="CC389" s="248"/>
      <c r="CD389" s="248"/>
      <c r="CE389" s="248"/>
      <c r="CF389" s="248"/>
      <c r="CG389" s="248"/>
      <c r="CH389" s="248"/>
      <c r="CI389" s="248"/>
      <c r="CJ389" s="248"/>
      <c r="CK389" s="248"/>
      <c r="CL389" s="248"/>
      <c r="CM389" s="248"/>
      <c r="CN389" s="248"/>
      <c r="CO389" s="248"/>
      <c r="CP389" s="248"/>
      <c r="CQ389" s="248"/>
      <c r="CR389" s="248"/>
      <c r="CS389" s="248"/>
      <c r="CT389" s="248"/>
      <c r="CU389" s="248"/>
      <c r="CV389" s="248"/>
      <c r="CW389" s="248"/>
      <c r="CX389" s="248"/>
      <c r="CY389" s="248"/>
      <c r="CZ389" s="248"/>
      <c r="DA389" s="248"/>
      <c r="DB389" s="248"/>
      <c r="DC389" s="248"/>
      <c r="DD389" s="248"/>
      <c r="DE389" s="248"/>
      <c r="DF389" s="248"/>
      <c r="DG389" s="248"/>
      <c r="DH389" s="248"/>
      <c r="DI389" s="248"/>
      <c r="DJ389" s="248"/>
      <c r="DK389" s="248"/>
      <c r="DL389" s="248"/>
      <c r="DM389" s="248"/>
      <c r="DN389" s="248"/>
      <c r="DO389" s="248"/>
      <c r="DP389" s="248"/>
      <c r="DQ389" s="248"/>
      <c r="DR389" s="248"/>
      <c r="DS389" s="248"/>
      <c r="DT389" s="248"/>
      <c r="DU389" s="248"/>
      <c r="DV389" s="248"/>
      <c r="DW389" s="248"/>
      <c r="DX389" s="248"/>
      <c r="DY389" s="248"/>
      <c r="DZ389" s="248"/>
      <c r="EA389" s="248"/>
      <c r="EB389" s="248"/>
      <c r="EC389" s="248"/>
      <c r="ED389" s="248"/>
      <c r="EE389" s="248"/>
    </row>
    <row r="390" spans="1:135" s="35" customFormat="1" ht="16.5">
      <c r="A390" s="35" t="str">
        <f t="shared" si="13"/>
        <v>Kurzname            Kurzname</v>
      </c>
      <c r="B390" s="331"/>
      <c r="D390" s="283">
        <v>328</v>
      </c>
      <c r="O390" s="34"/>
      <c r="P390" s="34"/>
      <c r="Q390" s="58"/>
      <c r="R390" s="39"/>
      <c r="V390" s="39"/>
      <c r="W390" s="39"/>
      <c r="AH390" s="279"/>
      <c r="AJ390" s="279"/>
      <c r="AK390" s="279"/>
      <c r="AL390" s="523">
        <v>0</v>
      </c>
      <c r="AM390" s="35" t="s">
        <v>12</v>
      </c>
      <c r="AN390" s="35" t="s">
        <v>13</v>
      </c>
      <c r="AO390" s="35" t="s">
        <v>356</v>
      </c>
      <c r="AP390" s="35" t="s">
        <v>14</v>
      </c>
      <c r="AQ390" s="34" t="s">
        <v>7</v>
      </c>
      <c r="AR390" s="35" t="s">
        <v>15</v>
      </c>
      <c r="AS390" s="35" t="s">
        <v>8</v>
      </c>
      <c r="AT390" s="35" t="s">
        <v>16</v>
      </c>
      <c r="AU390" s="35" t="s">
        <v>17</v>
      </c>
      <c r="AV390" s="35" t="s">
        <v>356</v>
      </c>
      <c r="AW390" s="35" t="s">
        <v>18</v>
      </c>
      <c r="AX390" s="34" t="s">
        <v>7</v>
      </c>
      <c r="AY390" s="35" t="s">
        <v>15</v>
      </c>
      <c r="AZ390" s="35" t="s">
        <v>8</v>
      </c>
      <c r="BA390" s="35" t="s">
        <v>16</v>
      </c>
      <c r="BB390" s="35" t="s">
        <v>17</v>
      </c>
      <c r="BC390" s="35" t="s">
        <v>19</v>
      </c>
      <c r="BD390" s="35" t="s">
        <v>1737</v>
      </c>
      <c r="BE390" s="35" t="s">
        <v>20</v>
      </c>
      <c r="BF390" s="35" t="s">
        <v>21</v>
      </c>
      <c r="BG390" s="35" t="s">
        <v>22</v>
      </c>
      <c r="BH390" s="35" t="s">
        <v>9</v>
      </c>
      <c r="BI390" s="35" t="s">
        <v>23</v>
      </c>
      <c r="BJ390" s="35" t="s">
        <v>24</v>
      </c>
      <c r="BK390" s="35" t="s">
        <v>0</v>
      </c>
      <c r="BL390" s="35" t="s">
        <v>12</v>
      </c>
      <c r="BW390" s="248"/>
      <c r="BX390" s="248"/>
      <c r="BY390" s="248"/>
      <c r="BZ390" s="248"/>
      <c r="CA390" s="248"/>
      <c r="CB390" s="248"/>
      <c r="CC390" s="248"/>
      <c r="CD390" s="248"/>
      <c r="CE390" s="248"/>
      <c r="CF390" s="248"/>
      <c r="CG390" s="248"/>
      <c r="CH390" s="248"/>
      <c r="CI390" s="248"/>
      <c r="CJ390" s="248"/>
      <c r="CK390" s="248"/>
      <c r="CL390" s="248"/>
      <c r="CM390" s="248"/>
      <c r="CN390" s="248"/>
      <c r="CO390" s="248"/>
      <c r="CP390" s="248"/>
      <c r="CQ390" s="248"/>
      <c r="CR390" s="248"/>
      <c r="CS390" s="248"/>
      <c r="CT390" s="248"/>
      <c r="CU390" s="248"/>
      <c r="CV390" s="248"/>
      <c r="CW390" s="248"/>
      <c r="CX390" s="248"/>
      <c r="CY390" s="248"/>
      <c r="CZ390" s="248"/>
      <c r="DA390" s="248"/>
      <c r="DB390" s="248"/>
      <c r="DC390" s="248"/>
      <c r="DD390" s="248"/>
      <c r="DE390" s="248"/>
      <c r="DF390" s="248"/>
      <c r="DG390" s="248"/>
      <c r="DH390" s="248"/>
      <c r="DI390" s="248"/>
      <c r="DJ390" s="248"/>
      <c r="DK390" s="248"/>
      <c r="DL390" s="248"/>
      <c r="DM390" s="248"/>
      <c r="DN390" s="248"/>
      <c r="DO390" s="248"/>
      <c r="DP390" s="248"/>
      <c r="DQ390" s="248"/>
      <c r="DR390" s="248"/>
      <c r="DS390" s="248"/>
      <c r="DT390" s="248"/>
      <c r="DU390" s="248"/>
      <c r="DV390" s="248"/>
      <c r="DW390" s="248"/>
      <c r="DX390" s="248"/>
      <c r="DY390" s="248"/>
      <c r="DZ390" s="248"/>
      <c r="EA390" s="248"/>
      <c r="EB390" s="248"/>
      <c r="EC390" s="248"/>
      <c r="ED390" s="248"/>
      <c r="EE390" s="248"/>
    </row>
    <row r="391" spans="1:135" s="484" customFormat="1" ht="16.5">
      <c r="A391" s="484" t="str">
        <f t="shared" si="13"/>
        <v>MIB_O               KS_CPL_H</v>
      </c>
      <c r="B391" s="491"/>
      <c r="C391" s="484">
        <v>328003</v>
      </c>
      <c r="D391" s="492">
        <v>328</v>
      </c>
      <c r="F391" s="484" t="s">
        <v>1086</v>
      </c>
      <c r="H391" s="484" t="s">
        <v>523</v>
      </c>
      <c r="O391" s="257" t="s">
        <v>1086</v>
      </c>
      <c r="P391" s="257" t="s">
        <v>1086</v>
      </c>
      <c r="Q391" s="485"/>
      <c r="R391" s="486"/>
      <c r="V391" s="483"/>
      <c r="W391" s="365" t="s">
        <v>2563</v>
      </c>
      <c r="Z391" s="35"/>
      <c r="AA391" s="35"/>
      <c r="AB391" s="513" t="s">
        <v>1114</v>
      </c>
      <c r="AH391" s="494"/>
      <c r="AJ391" s="494" t="s">
        <v>1117</v>
      </c>
      <c r="AK391" s="515"/>
      <c r="AL391" s="526">
        <v>3</v>
      </c>
      <c r="AM391" s="484">
        <v>328003</v>
      </c>
      <c r="AN391" s="484" t="s">
        <v>1620</v>
      </c>
      <c r="AO391" s="484" t="s">
        <v>920</v>
      </c>
      <c r="AP391" s="484" t="s">
        <v>1265</v>
      </c>
      <c r="AQ391" s="257" t="s">
        <v>2295</v>
      </c>
      <c r="AR391" s="484">
        <v>1</v>
      </c>
      <c r="AS391" s="484" t="s">
        <v>955</v>
      </c>
      <c r="AT391" s="484" t="s">
        <v>2562</v>
      </c>
      <c r="AU391" s="484" t="s">
        <v>10</v>
      </c>
      <c r="AV391" s="484" t="s">
        <v>1735</v>
      </c>
      <c r="AW391" s="484" t="s">
        <v>826</v>
      </c>
      <c r="AX391" s="257" t="s">
        <v>2052</v>
      </c>
      <c r="AY391" s="484">
        <v>1</v>
      </c>
      <c r="AZ391" s="484" t="s">
        <v>876</v>
      </c>
      <c r="BA391" s="484" t="s">
        <v>2562</v>
      </c>
      <c r="BB391" s="484" t="s">
        <v>10</v>
      </c>
      <c r="BC391" s="484" t="s">
        <v>155</v>
      </c>
      <c r="BD391" s="484" t="s">
        <v>2053</v>
      </c>
      <c r="BE391" s="484" t="s">
        <v>828</v>
      </c>
      <c r="BF391" s="484" t="s">
        <v>143</v>
      </c>
      <c r="BG391" s="484">
        <v>1475</v>
      </c>
      <c r="BH391" s="484" t="s">
        <v>144</v>
      </c>
      <c r="BI391" s="484">
        <v>0.14000000000000001</v>
      </c>
      <c r="BJ391" s="484" t="s">
        <v>156</v>
      </c>
      <c r="BK391" s="484" t="s">
        <v>824</v>
      </c>
      <c r="BL391" s="484">
        <v>328003</v>
      </c>
    </row>
    <row r="392" spans="1:135" s="35" customFormat="1" ht="16.5">
      <c r="A392" s="35" t="str">
        <f t="shared" si="13"/>
        <v>MIB_O               KS_CPL_H</v>
      </c>
      <c r="B392" s="331"/>
      <c r="C392" s="248">
        <v>328004</v>
      </c>
      <c r="D392" s="283">
        <v>328</v>
      </c>
      <c r="F392" s="35" t="s">
        <v>1086</v>
      </c>
      <c r="H392" s="35" t="s">
        <v>523</v>
      </c>
      <c r="O392" s="34" t="s">
        <v>1086</v>
      </c>
      <c r="P392" s="34" t="s">
        <v>1086</v>
      </c>
      <c r="Q392" s="58"/>
      <c r="R392" s="104"/>
      <c r="V392" s="39"/>
      <c r="W392" s="365" t="s">
        <v>2563</v>
      </c>
      <c r="AB392" s="58" t="s">
        <v>1114</v>
      </c>
      <c r="AH392" s="279"/>
      <c r="AJ392" s="279" t="s">
        <v>1117</v>
      </c>
      <c r="AK392" s="279"/>
      <c r="AL392" s="523">
        <v>3</v>
      </c>
      <c r="AM392" s="35">
        <v>328004</v>
      </c>
      <c r="AN392" s="35" t="s">
        <v>1621</v>
      </c>
      <c r="AO392" s="35" t="s">
        <v>920</v>
      </c>
      <c r="AP392" s="35" t="s">
        <v>1265</v>
      </c>
      <c r="AQ392" s="34" t="s">
        <v>2295</v>
      </c>
      <c r="AR392" s="35">
        <v>2</v>
      </c>
      <c r="AS392" s="35" t="s">
        <v>955</v>
      </c>
      <c r="AT392" s="35" t="s">
        <v>157</v>
      </c>
      <c r="AU392" s="35" t="s">
        <v>10</v>
      </c>
      <c r="AV392" s="35" t="s">
        <v>1735</v>
      </c>
      <c r="AW392" s="35" t="s">
        <v>826</v>
      </c>
      <c r="AX392" s="34" t="s">
        <v>2052</v>
      </c>
      <c r="AY392" s="35">
        <v>2</v>
      </c>
      <c r="AZ392" s="35" t="s">
        <v>876</v>
      </c>
      <c r="BA392" s="35" t="s">
        <v>157</v>
      </c>
      <c r="BB392" s="35" t="s">
        <v>10</v>
      </c>
      <c r="BC392" s="35" t="s">
        <v>155</v>
      </c>
      <c r="BD392" s="35" t="s">
        <v>157</v>
      </c>
      <c r="BE392" s="35" t="s">
        <v>828</v>
      </c>
      <c r="BF392" s="35" t="s">
        <v>145</v>
      </c>
      <c r="BG392" s="35">
        <v>1475</v>
      </c>
      <c r="BH392" s="35" t="s">
        <v>139</v>
      </c>
      <c r="BI392" s="35">
        <v>0.5</v>
      </c>
      <c r="BJ392" s="35" t="s">
        <v>158</v>
      </c>
      <c r="BK392" s="35" t="s">
        <v>824</v>
      </c>
      <c r="BL392" s="35">
        <v>328004</v>
      </c>
      <c r="BW392" s="248"/>
      <c r="BX392" s="248"/>
      <c r="BY392" s="248"/>
      <c r="BZ392" s="248"/>
      <c r="CA392" s="248"/>
      <c r="CB392" s="248"/>
      <c r="CC392" s="248"/>
      <c r="CD392" s="248"/>
      <c r="CE392" s="248"/>
      <c r="CF392" s="248"/>
      <c r="CG392" s="248"/>
      <c r="CH392" s="248"/>
      <c r="CI392" s="248"/>
      <c r="CJ392" s="248"/>
      <c r="CK392" s="248"/>
      <c r="CL392" s="248"/>
      <c r="CM392" s="248"/>
      <c r="CN392" s="248"/>
      <c r="CO392" s="248"/>
      <c r="CP392" s="248"/>
      <c r="CQ392" s="248"/>
      <c r="CR392" s="248"/>
      <c r="CS392" s="248"/>
      <c r="CT392" s="248"/>
      <c r="CU392" s="248"/>
      <c r="CV392" s="248"/>
      <c r="CW392" s="248"/>
      <c r="CX392" s="248"/>
      <c r="CY392" s="248"/>
      <c r="CZ392" s="248"/>
      <c r="DA392" s="248"/>
      <c r="DB392" s="248"/>
      <c r="DC392" s="248"/>
      <c r="DD392" s="248"/>
      <c r="DE392" s="248"/>
      <c r="DF392" s="248"/>
      <c r="DG392" s="248"/>
      <c r="DH392" s="248"/>
      <c r="DI392" s="248"/>
      <c r="DJ392" s="248"/>
      <c r="DK392" s="248"/>
      <c r="DL392" s="248"/>
      <c r="DM392" s="248"/>
      <c r="DN392" s="248"/>
      <c r="DO392" s="248"/>
      <c r="DP392" s="248"/>
      <c r="DQ392" s="248"/>
      <c r="DR392" s="248"/>
      <c r="DS392" s="248"/>
      <c r="DT392" s="248"/>
      <c r="DU392" s="248"/>
      <c r="DV392" s="248"/>
      <c r="DW392" s="248"/>
      <c r="DX392" s="248"/>
      <c r="DY392" s="248"/>
      <c r="DZ392" s="248"/>
      <c r="EA392" s="248"/>
      <c r="EB392" s="248"/>
      <c r="EC392" s="248"/>
      <c r="ED392" s="248"/>
      <c r="EE392" s="248"/>
    </row>
    <row r="393" spans="1:135" s="35" customFormat="1" ht="16.5">
      <c r="A393" s="35" t="str">
        <f t="shared" si="13"/>
        <v xml:space="preserve">                    </v>
      </c>
      <c r="B393" s="331"/>
      <c r="D393" s="283">
        <v>329</v>
      </c>
      <c r="O393" s="34"/>
      <c r="P393" s="34"/>
      <c r="Q393" s="58"/>
      <c r="R393" s="39"/>
      <c r="V393" s="39"/>
      <c r="W393" s="39"/>
      <c r="AH393" s="279"/>
      <c r="AJ393" s="279"/>
      <c r="AK393" s="279"/>
      <c r="AL393" s="523">
        <v>1</v>
      </c>
      <c r="AM393" s="35" t="s">
        <v>829</v>
      </c>
      <c r="AQ393" s="34"/>
      <c r="AX393" s="34"/>
      <c r="BW393" s="248"/>
      <c r="BX393" s="248"/>
      <c r="BY393" s="248"/>
      <c r="BZ393" s="248"/>
      <c r="CA393" s="248"/>
      <c r="CB393" s="248"/>
      <c r="CC393" s="248"/>
      <c r="CD393" s="248"/>
      <c r="CE393" s="248"/>
      <c r="CF393" s="248"/>
      <c r="CG393" s="248"/>
      <c r="CH393" s="248"/>
      <c r="CI393" s="248"/>
      <c r="CJ393" s="248"/>
      <c r="CK393" s="248"/>
      <c r="CL393" s="248"/>
      <c r="CM393" s="248"/>
      <c r="CN393" s="248"/>
      <c r="CO393" s="248"/>
      <c r="CP393" s="248"/>
      <c r="CQ393" s="248"/>
      <c r="CR393" s="248"/>
      <c r="CS393" s="248"/>
      <c r="CT393" s="248"/>
      <c r="CU393" s="248"/>
      <c r="CV393" s="248"/>
      <c r="CW393" s="248"/>
      <c r="CX393" s="248"/>
      <c r="CY393" s="248"/>
      <c r="CZ393" s="248"/>
      <c r="DA393" s="248"/>
      <c r="DB393" s="248"/>
      <c r="DC393" s="248"/>
      <c r="DD393" s="248"/>
      <c r="DE393" s="248"/>
      <c r="DF393" s="248"/>
      <c r="DG393" s="248"/>
      <c r="DH393" s="248"/>
      <c r="DI393" s="248"/>
      <c r="DJ393" s="248"/>
      <c r="DK393" s="248"/>
      <c r="DL393" s="248"/>
      <c r="DM393" s="248"/>
      <c r="DN393" s="248"/>
      <c r="DO393" s="248"/>
      <c r="DP393" s="248"/>
      <c r="DQ393" s="248"/>
      <c r="DR393" s="248"/>
      <c r="DS393" s="248"/>
      <c r="DT393" s="248"/>
      <c r="DU393" s="248"/>
      <c r="DV393" s="248"/>
      <c r="DW393" s="248"/>
      <c r="DX393" s="248"/>
      <c r="DY393" s="248"/>
      <c r="DZ393" s="248"/>
      <c r="EA393" s="248"/>
      <c r="EB393" s="248"/>
      <c r="EC393" s="248"/>
      <c r="ED393" s="248"/>
      <c r="EE393" s="248"/>
    </row>
    <row r="394" spans="1:135" s="35" customFormat="1" ht="16.5">
      <c r="A394" s="35" t="str">
        <f t="shared" si="13"/>
        <v xml:space="preserve">~                   </v>
      </c>
      <c r="B394" s="331"/>
      <c r="D394" s="283">
        <v>329</v>
      </c>
      <c r="O394" s="34"/>
      <c r="P394" s="34"/>
      <c r="Q394" s="58"/>
      <c r="R394" s="39"/>
      <c r="V394" s="39"/>
      <c r="W394" s="39"/>
      <c r="AH394" s="279"/>
      <c r="AJ394" s="279"/>
      <c r="AK394" s="279"/>
      <c r="AL394" s="523">
        <v>2</v>
      </c>
      <c r="AM394" s="35" t="s">
        <v>0</v>
      </c>
      <c r="AN394" s="35" t="s">
        <v>830</v>
      </c>
      <c r="AO394" s="35" t="s">
        <v>1622</v>
      </c>
      <c r="AP394" s="35" t="s">
        <v>2046</v>
      </c>
      <c r="AQ394" s="34" t="s">
        <v>1</v>
      </c>
      <c r="AR394" s="35" t="s">
        <v>1352</v>
      </c>
      <c r="AS394" s="35" t="s">
        <v>11</v>
      </c>
      <c r="AX394" s="34"/>
      <c r="BW394" s="248"/>
      <c r="BX394" s="248"/>
      <c r="BY394" s="248"/>
      <c r="BZ394" s="248"/>
      <c r="CA394" s="248"/>
      <c r="CB394" s="248"/>
      <c r="CC394" s="248"/>
      <c r="CD394" s="248"/>
      <c r="CE394" s="248"/>
      <c r="CF394" s="248"/>
      <c r="CG394" s="248"/>
      <c r="CH394" s="248"/>
      <c r="CI394" s="248"/>
      <c r="CJ394" s="248"/>
      <c r="CK394" s="248"/>
      <c r="CL394" s="248"/>
      <c r="CM394" s="248"/>
      <c r="CN394" s="248"/>
      <c r="CO394" s="248"/>
      <c r="CP394" s="248"/>
      <c r="CQ394" s="248"/>
      <c r="CR394" s="248"/>
      <c r="CS394" s="248"/>
      <c r="CT394" s="248"/>
      <c r="CU394" s="248"/>
      <c r="CV394" s="248"/>
      <c r="CW394" s="248"/>
      <c r="CX394" s="248"/>
      <c r="CY394" s="248"/>
      <c r="CZ394" s="248"/>
      <c r="DA394" s="248"/>
      <c r="DB394" s="248"/>
      <c r="DC394" s="248"/>
      <c r="DD394" s="248"/>
      <c r="DE394" s="248"/>
      <c r="DF394" s="248"/>
      <c r="DG394" s="248"/>
      <c r="DH394" s="248"/>
      <c r="DI394" s="248"/>
      <c r="DJ394" s="248"/>
      <c r="DK394" s="248"/>
      <c r="DL394" s="248"/>
      <c r="DM394" s="248"/>
      <c r="DN394" s="248"/>
      <c r="DO394" s="248"/>
      <c r="DP394" s="248"/>
      <c r="DQ394" s="248"/>
      <c r="DR394" s="248"/>
      <c r="DS394" s="248"/>
      <c r="DT394" s="248"/>
      <c r="DU394" s="248"/>
      <c r="DV394" s="248"/>
      <c r="DW394" s="248"/>
      <c r="DX394" s="248"/>
      <c r="DY394" s="248"/>
      <c r="DZ394" s="248"/>
      <c r="EA394" s="248"/>
      <c r="EB394" s="248"/>
      <c r="EC394" s="248"/>
      <c r="ED394" s="248"/>
      <c r="EE394" s="248"/>
    </row>
    <row r="395" spans="1:135" s="35" customFormat="1" ht="16.5">
      <c r="A395" s="35" t="str">
        <f t="shared" si="13"/>
        <v>Kurzname            Kurzname</v>
      </c>
      <c r="B395" s="331"/>
      <c r="D395" s="283">
        <v>329</v>
      </c>
      <c r="O395" s="34"/>
      <c r="P395" s="34"/>
      <c r="Q395" s="58"/>
      <c r="R395" s="39"/>
      <c r="V395" s="39"/>
      <c r="W395" s="39"/>
      <c r="AH395" s="279"/>
      <c r="AJ395" s="279"/>
      <c r="AK395" s="279"/>
      <c r="AL395" s="523">
        <v>0</v>
      </c>
      <c r="AM395" s="35" t="s">
        <v>12</v>
      </c>
      <c r="AN395" s="35" t="s">
        <v>13</v>
      </c>
      <c r="AO395" s="35" t="s">
        <v>356</v>
      </c>
      <c r="AP395" s="35" t="s">
        <v>14</v>
      </c>
      <c r="AQ395" s="34" t="s">
        <v>7</v>
      </c>
      <c r="AR395" s="35" t="s">
        <v>15</v>
      </c>
      <c r="AS395" s="35" t="s">
        <v>8</v>
      </c>
      <c r="AT395" s="35" t="s">
        <v>16</v>
      </c>
      <c r="AU395" s="35" t="s">
        <v>17</v>
      </c>
      <c r="AV395" s="35" t="s">
        <v>356</v>
      </c>
      <c r="AW395" s="35" t="s">
        <v>18</v>
      </c>
      <c r="AX395" s="34" t="s">
        <v>7</v>
      </c>
      <c r="AY395" s="35" t="s">
        <v>15</v>
      </c>
      <c r="AZ395" s="35" t="s">
        <v>8</v>
      </c>
      <c r="BA395" s="35" t="s">
        <v>16</v>
      </c>
      <c r="BB395" s="35" t="s">
        <v>17</v>
      </c>
      <c r="BC395" s="35" t="s">
        <v>19</v>
      </c>
      <c r="BD395" s="35" t="s">
        <v>1737</v>
      </c>
      <c r="BE395" s="35" t="s">
        <v>20</v>
      </c>
      <c r="BF395" s="35" t="s">
        <v>21</v>
      </c>
      <c r="BG395" s="35" t="s">
        <v>22</v>
      </c>
      <c r="BH395" s="35" t="s">
        <v>9</v>
      </c>
      <c r="BI395" s="35" t="s">
        <v>23</v>
      </c>
      <c r="BJ395" s="35" t="s">
        <v>24</v>
      </c>
      <c r="BK395" s="35" t="s">
        <v>0</v>
      </c>
      <c r="BL395" s="35" t="s">
        <v>12</v>
      </c>
      <c r="BW395" s="248"/>
      <c r="BX395" s="248"/>
      <c r="BY395" s="248"/>
      <c r="BZ395" s="248"/>
      <c r="CA395" s="248"/>
      <c r="CB395" s="248"/>
      <c r="CC395" s="248"/>
      <c r="CD395" s="248"/>
      <c r="CE395" s="248"/>
      <c r="CF395" s="248"/>
      <c r="CG395" s="248"/>
      <c r="CH395" s="248"/>
      <c r="CI395" s="248"/>
      <c r="CJ395" s="248"/>
      <c r="CK395" s="248"/>
      <c r="CL395" s="248"/>
      <c r="CM395" s="248"/>
      <c r="CN395" s="248"/>
      <c r="CO395" s="248"/>
      <c r="CP395" s="248"/>
      <c r="CQ395" s="248"/>
      <c r="CR395" s="248"/>
      <c r="CS395" s="248"/>
      <c r="CT395" s="248"/>
      <c r="CU395" s="248"/>
      <c r="CV395" s="248"/>
      <c r="CW395" s="248"/>
      <c r="CX395" s="248"/>
      <c r="CY395" s="248"/>
      <c r="CZ395" s="248"/>
      <c r="DA395" s="248"/>
      <c r="DB395" s="248"/>
      <c r="DC395" s="248"/>
      <c r="DD395" s="248"/>
      <c r="DE395" s="248"/>
      <c r="DF395" s="248"/>
      <c r="DG395" s="248"/>
      <c r="DH395" s="248"/>
      <c r="DI395" s="248"/>
      <c r="DJ395" s="248"/>
      <c r="DK395" s="248"/>
      <c r="DL395" s="248"/>
      <c r="DM395" s="248"/>
      <c r="DN395" s="248"/>
      <c r="DO395" s="248"/>
      <c r="DP395" s="248"/>
      <c r="DQ395" s="248"/>
      <c r="DR395" s="248"/>
      <c r="DS395" s="248"/>
      <c r="DT395" s="248"/>
      <c r="DU395" s="248"/>
      <c r="DV395" s="248"/>
      <c r="DW395" s="248"/>
      <c r="DX395" s="248"/>
      <c r="DY395" s="248"/>
      <c r="DZ395" s="248"/>
      <c r="EA395" s="248"/>
      <c r="EB395" s="248"/>
      <c r="EC395" s="248"/>
      <c r="ED395" s="248"/>
      <c r="EE395" s="248"/>
    </row>
    <row r="396" spans="1:135" s="35" customFormat="1" ht="16.5">
      <c r="A396" s="35" t="str">
        <f t="shared" si="13"/>
        <v>ANT_GPS             SGTT_E</v>
      </c>
      <c r="B396" s="331"/>
      <c r="C396" s="248">
        <v>329005</v>
      </c>
      <c r="D396" s="283">
        <v>329</v>
      </c>
      <c r="F396" s="35" t="s">
        <v>1086</v>
      </c>
      <c r="O396" s="34" t="s">
        <v>1086</v>
      </c>
      <c r="P396" s="34" t="s">
        <v>1086</v>
      </c>
      <c r="Q396" s="58"/>
      <c r="R396" s="104"/>
      <c r="W396" s="104">
        <v>980017364</v>
      </c>
      <c r="Z396" s="35" t="s">
        <v>2645</v>
      </c>
      <c r="AA396" s="35" t="s">
        <v>2645</v>
      </c>
      <c r="AB396" s="58" t="s">
        <v>1114</v>
      </c>
      <c r="AH396" s="279"/>
      <c r="AJ396" s="279" t="s">
        <v>1117</v>
      </c>
      <c r="AK396" s="279"/>
      <c r="AL396" s="523">
        <v>3</v>
      </c>
      <c r="AM396" s="35">
        <v>329005</v>
      </c>
      <c r="AN396" s="35" t="s">
        <v>2054</v>
      </c>
      <c r="AO396" s="35" t="s">
        <v>1050</v>
      </c>
      <c r="AP396" s="35" t="s">
        <v>834</v>
      </c>
      <c r="AQ396" s="34" t="s">
        <v>2296</v>
      </c>
      <c r="AR396" s="35">
        <v>1</v>
      </c>
      <c r="AS396" s="35" t="s">
        <v>2055</v>
      </c>
      <c r="AT396" s="35" t="s">
        <v>320</v>
      </c>
      <c r="AU396" s="35" t="s">
        <v>10</v>
      </c>
      <c r="AV396" s="35" t="s">
        <v>1720</v>
      </c>
      <c r="AW396" s="35" t="s">
        <v>832</v>
      </c>
      <c r="AX396" s="34" t="s">
        <v>2318</v>
      </c>
      <c r="AY396" s="35">
        <v>1</v>
      </c>
      <c r="AZ396" s="35" t="s">
        <v>2056</v>
      </c>
      <c r="BA396" s="35" t="s">
        <v>1074</v>
      </c>
      <c r="BB396" s="35" t="s">
        <v>10</v>
      </c>
      <c r="BC396" s="35" t="s">
        <v>142</v>
      </c>
      <c r="BD396" s="35" t="s">
        <v>1846</v>
      </c>
      <c r="BE396" s="35" t="s">
        <v>835</v>
      </c>
      <c r="BF396" s="35" t="s">
        <v>143</v>
      </c>
      <c r="BG396" s="35">
        <v>2860</v>
      </c>
      <c r="BH396" s="35" t="s">
        <v>1415</v>
      </c>
      <c r="BI396" s="35">
        <v>0.35</v>
      </c>
      <c r="BJ396" s="35" t="s">
        <v>1623</v>
      </c>
      <c r="BK396" s="35" t="s">
        <v>830</v>
      </c>
      <c r="BL396" s="35">
        <v>329005</v>
      </c>
      <c r="BW396" s="248"/>
      <c r="BX396" s="248"/>
      <c r="BY396" s="248"/>
      <c r="BZ396" s="248"/>
      <c r="CA396" s="248"/>
      <c r="CB396" s="248"/>
      <c r="CC396" s="248"/>
      <c r="CD396" s="248"/>
      <c r="CE396" s="248"/>
      <c r="CF396" s="248"/>
      <c r="CG396" s="248"/>
      <c r="CH396" s="248"/>
      <c r="CI396" s="248"/>
      <c r="CJ396" s="248"/>
      <c r="CK396" s="248"/>
      <c r="CL396" s="248"/>
      <c r="CM396" s="248"/>
      <c r="CN396" s="248"/>
      <c r="CO396" s="248"/>
      <c r="CP396" s="248"/>
      <c r="CQ396" s="248"/>
      <c r="CR396" s="248"/>
      <c r="CS396" s="248"/>
      <c r="CT396" s="248"/>
      <c r="CU396" s="248"/>
      <c r="CV396" s="248"/>
      <c r="CW396" s="248"/>
      <c r="CX396" s="248"/>
      <c r="CY396" s="248"/>
      <c r="CZ396" s="248"/>
      <c r="DA396" s="248"/>
      <c r="DB396" s="248"/>
      <c r="DC396" s="248"/>
      <c r="DD396" s="248"/>
      <c r="DE396" s="248"/>
      <c r="DF396" s="248"/>
      <c r="DG396" s="248"/>
      <c r="DH396" s="248"/>
      <c r="DI396" s="248"/>
      <c r="DJ396" s="248"/>
      <c r="DK396" s="248"/>
      <c r="DL396" s="248"/>
      <c r="DM396" s="248"/>
      <c r="DN396" s="248"/>
      <c r="DO396" s="248"/>
      <c r="DP396" s="248"/>
      <c r="DQ396" s="248"/>
      <c r="DR396" s="248"/>
      <c r="DS396" s="248"/>
      <c r="DT396" s="248"/>
      <c r="DU396" s="248"/>
      <c r="DV396" s="248"/>
      <c r="DW396" s="248"/>
      <c r="DX396" s="248"/>
      <c r="DY396" s="248"/>
      <c r="DZ396" s="248"/>
      <c r="EA396" s="248"/>
      <c r="EB396" s="248"/>
      <c r="EC396" s="248"/>
      <c r="ED396" s="248"/>
      <c r="EE396" s="248"/>
    </row>
    <row r="397" spans="1:135" s="35" customFormat="1" ht="16.5">
      <c r="A397" s="35" t="str">
        <f t="shared" ref="A397:A424" si="14" xml:space="preserve"> AQ397 &amp; REPT(" ",20-LEN(AQ397)) &amp; AX397</f>
        <v>ANT_GPS             SGTT_E</v>
      </c>
      <c r="B397" s="331"/>
      <c r="C397" s="248">
        <v>329006</v>
      </c>
      <c r="D397" s="283">
        <v>329</v>
      </c>
      <c r="F397" s="35" t="s">
        <v>1086</v>
      </c>
      <c r="O397" s="34" t="s">
        <v>1086</v>
      </c>
      <c r="P397" s="34" t="s">
        <v>1086</v>
      </c>
      <c r="Q397" s="58"/>
      <c r="R397" s="104"/>
      <c r="W397" s="104">
        <v>980017364</v>
      </c>
      <c r="AB397" s="58" t="s">
        <v>1114</v>
      </c>
      <c r="AH397" s="279"/>
      <c r="AJ397" s="279" t="s">
        <v>1117</v>
      </c>
      <c r="AK397" s="279"/>
      <c r="AL397" s="523">
        <v>3</v>
      </c>
      <c r="AM397" s="35">
        <v>329006</v>
      </c>
      <c r="AN397" s="35" t="s">
        <v>2057</v>
      </c>
      <c r="AO397" s="35" t="s">
        <v>1050</v>
      </c>
      <c r="AP397" s="35" t="s">
        <v>834</v>
      </c>
      <c r="AQ397" s="34" t="s">
        <v>2296</v>
      </c>
      <c r="AR397" s="35">
        <v>2</v>
      </c>
      <c r="AS397" s="35" t="s">
        <v>2055</v>
      </c>
      <c r="AT397" s="35" t="s">
        <v>157</v>
      </c>
      <c r="AU397" s="35" t="s">
        <v>10</v>
      </c>
      <c r="AV397" s="35" t="s">
        <v>1720</v>
      </c>
      <c r="AW397" s="35" t="s">
        <v>832</v>
      </c>
      <c r="AX397" s="34" t="s">
        <v>2318</v>
      </c>
      <c r="AY397" s="35">
        <v>2</v>
      </c>
      <c r="AZ397" s="35" t="s">
        <v>2056</v>
      </c>
      <c r="BA397" s="35" t="s">
        <v>157</v>
      </c>
      <c r="BB397" s="35" t="s">
        <v>10</v>
      </c>
      <c r="BC397" s="35" t="s">
        <v>142</v>
      </c>
      <c r="BD397" s="35" t="s">
        <v>157</v>
      </c>
      <c r="BE397" s="35" t="s">
        <v>835</v>
      </c>
      <c r="BF397" s="35" t="s">
        <v>145</v>
      </c>
      <c r="BG397" s="35">
        <v>2860</v>
      </c>
      <c r="BH397" s="35" t="s">
        <v>139</v>
      </c>
      <c r="BI397" s="35">
        <v>0.5</v>
      </c>
      <c r="BJ397" s="35" t="s">
        <v>1624</v>
      </c>
      <c r="BK397" s="35" t="s">
        <v>830</v>
      </c>
      <c r="BL397" s="35">
        <v>329006</v>
      </c>
      <c r="BW397" s="248"/>
      <c r="BX397" s="248"/>
      <c r="BY397" s="248"/>
      <c r="BZ397" s="248"/>
      <c r="CA397" s="248"/>
      <c r="CB397" s="248"/>
      <c r="CC397" s="248"/>
      <c r="CD397" s="248"/>
      <c r="CE397" s="248"/>
      <c r="CF397" s="248"/>
      <c r="CG397" s="248"/>
      <c r="CH397" s="248"/>
      <c r="CI397" s="248"/>
      <c r="CJ397" s="248"/>
      <c r="CK397" s="248"/>
      <c r="CL397" s="248"/>
      <c r="CM397" s="248"/>
      <c r="CN397" s="248"/>
      <c r="CO397" s="248"/>
      <c r="CP397" s="248"/>
      <c r="CQ397" s="248"/>
      <c r="CR397" s="248"/>
      <c r="CS397" s="248"/>
      <c r="CT397" s="248"/>
      <c r="CU397" s="248"/>
      <c r="CV397" s="248"/>
      <c r="CW397" s="248"/>
      <c r="CX397" s="248"/>
      <c r="CY397" s="248"/>
      <c r="CZ397" s="248"/>
      <c r="DA397" s="248"/>
      <c r="DB397" s="248"/>
      <c r="DC397" s="248"/>
      <c r="DD397" s="248"/>
      <c r="DE397" s="248"/>
      <c r="DF397" s="248"/>
      <c r="DG397" s="248"/>
      <c r="DH397" s="248"/>
      <c r="DI397" s="248"/>
      <c r="DJ397" s="248"/>
      <c r="DK397" s="248"/>
      <c r="DL397" s="248"/>
      <c r="DM397" s="248"/>
      <c r="DN397" s="248"/>
      <c r="DO397" s="248"/>
      <c r="DP397" s="248"/>
      <c r="DQ397" s="248"/>
      <c r="DR397" s="248"/>
      <c r="DS397" s="248"/>
      <c r="DT397" s="248"/>
      <c r="DU397" s="248"/>
      <c r="DV397" s="248"/>
      <c r="DW397" s="248"/>
      <c r="DX397" s="248"/>
      <c r="DY397" s="248"/>
      <c r="DZ397" s="248"/>
      <c r="EA397" s="248"/>
      <c r="EB397" s="248"/>
      <c r="EC397" s="248"/>
      <c r="ED397" s="248"/>
      <c r="EE397" s="248"/>
    </row>
    <row r="398" spans="1:135" s="35" customFormat="1" ht="16.5">
      <c r="A398" s="35" t="str">
        <f t="shared" si="14"/>
        <v xml:space="preserve">                    </v>
      </c>
      <c r="B398" s="331"/>
      <c r="D398" s="283">
        <v>412</v>
      </c>
      <c r="O398" s="34"/>
      <c r="P398" s="34"/>
      <c r="Q398" s="58"/>
      <c r="R398" s="39"/>
      <c r="W398" s="39"/>
      <c r="AH398" s="279"/>
      <c r="AJ398" s="279"/>
      <c r="AK398" s="279"/>
      <c r="AL398" s="523">
        <v>1</v>
      </c>
      <c r="AM398" s="35" t="s">
        <v>280</v>
      </c>
      <c r="AQ398" s="34"/>
      <c r="AX398" s="34"/>
      <c r="BW398" s="248"/>
      <c r="BX398" s="248"/>
      <c r="BY398" s="248"/>
      <c r="BZ398" s="248"/>
      <c r="CA398" s="248"/>
      <c r="CB398" s="248"/>
      <c r="CC398" s="248"/>
      <c r="CD398" s="248"/>
      <c r="CE398" s="248"/>
      <c r="CF398" s="248"/>
      <c r="CG398" s="248"/>
      <c r="CH398" s="248"/>
      <c r="CI398" s="248"/>
      <c r="CJ398" s="248"/>
      <c r="CK398" s="248"/>
      <c r="CL398" s="248"/>
      <c r="CM398" s="248"/>
      <c r="CN398" s="248"/>
      <c r="CO398" s="248"/>
      <c r="CP398" s="248"/>
      <c r="CQ398" s="248"/>
      <c r="CR398" s="248"/>
      <c r="CS398" s="248"/>
      <c r="CT398" s="248"/>
      <c r="CU398" s="248"/>
      <c r="CV398" s="248"/>
      <c r="CW398" s="248"/>
      <c r="CX398" s="248"/>
      <c r="CY398" s="248"/>
      <c r="CZ398" s="248"/>
      <c r="DA398" s="248"/>
      <c r="DB398" s="248"/>
      <c r="DC398" s="248"/>
      <c r="DD398" s="248"/>
      <c r="DE398" s="248"/>
      <c r="DF398" s="248"/>
      <c r="DG398" s="248"/>
      <c r="DH398" s="248"/>
      <c r="DI398" s="248"/>
      <c r="DJ398" s="248"/>
      <c r="DK398" s="248"/>
      <c r="DL398" s="248"/>
      <c r="DM398" s="248"/>
      <c r="DN398" s="248"/>
      <c r="DO398" s="248"/>
      <c r="DP398" s="248"/>
      <c r="DQ398" s="248"/>
      <c r="DR398" s="248"/>
      <c r="DS398" s="248"/>
      <c r="DT398" s="248"/>
      <c r="DU398" s="248"/>
      <c r="DV398" s="248"/>
      <c r="DW398" s="248"/>
      <c r="DX398" s="248"/>
      <c r="DY398" s="248"/>
      <c r="DZ398" s="248"/>
      <c r="EA398" s="248"/>
      <c r="EB398" s="248"/>
      <c r="EC398" s="248"/>
      <c r="ED398" s="248"/>
      <c r="EE398" s="248"/>
    </row>
    <row r="399" spans="1:135" s="35" customFormat="1" ht="16.5">
      <c r="A399" s="35" t="str">
        <f t="shared" si="14"/>
        <v xml:space="preserve">~                   </v>
      </c>
      <c r="B399" s="378" t="s">
        <v>2621</v>
      </c>
      <c r="D399" s="283">
        <v>412</v>
      </c>
      <c r="O399" s="34"/>
      <c r="P399" s="34"/>
      <c r="Q399" s="58"/>
      <c r="R399" s="39"/>
      <c r="W399" s="39"/>
      <c r="AC399" s="287">
        <v>1</v>
      </c>
      <c r="AD399" s="287"/>
      <c r="AE399" s="287"/>
      <c r="AF399" s="287"/>
      <c r="AG399" s="287"/>
      <c r="AH399" s="279"/>
      <c r="AJ399" s="279"/>
      <c r="AK399" s="279"/>
      <c r="AL399" s="523">
        <v>2</v>
      </c>
      <c r="AM399" s="35" t="s">
        <v>0</v>
      </c>
      <c r="AN399" s="35" t="s">
        <v>1680</v>
      </c>
      <c r="AO399" s="35" t="s">
        <v>2348</v>
      </c>
      <c r="AP399" s="35" t="s">
        <v>2059</v>
      </c>
      <c r="AQ399" s="34" t="s">
        <v>1</v>
      </c>
      <c r="AR399" s="35" t="s">
        <v>2456</v>
      </c>
      <c r="AS399" s="35" t="s">
        <v>11</v>
      </c>
      <c r="AX399" s="34"/>
      <c r="BW399" s="248"/>
      <c r="BX399" s="248"/>
      <c r="BY399" s="248"/>
      <c r="BZ399" s="248"/>
      <c r="CA399" s="248"/>
      <c r="CB399" s="248"/>
      <c r="CC399" s="248"/>
      <c r="CD399" s="248"/>
      <c r="CE399" s="248"/>
      <c r="CF399" s="248"/>
      <c r="CG399" s="248"/>
      <c r="CH399" s="248"/>
      <c r="CI399" s="248"/>
      <c r="CJ399" s="248"/>
      <c r="CK399" s="248"/>
      <c r="CL399" s="248"/>
      <c r="CM399" s="248"/>
      <c r="CN399" s="248"/>
      <c r="CO399" s="248"/>
      <c r="CP399" s="248"/>
      <c r="CQ399" s="248"/>
      <c r="CR399" s="248"/>
      <c r="CS399" s="248"/>
      <c r="CT399" s="248"/>
      <c r="CU399" s="248"/>
      <c r="CV399" s="248"/>
      <c r="CW399" s="248"/>
      <c r="CX399" s="248"/>
      <c r="CY399" s="248"/>
      <c r="CZ399" s="248"/>
      <c r="DA399" s="248"/>
      <c r="DB399" s="248"/>
      <c r="DC399" s="248"/>
      <c r="DD399" s="248"/>
      <c r="DE399" s="248"/>
      <c r="DF399" s="248"/>
      <c r="DG399" s="248"/>
      <c r="DH399" s="248"/>
      <c r="DI399" s="248"/>
      <c r="DJ399" s="248"/>
      <c r="DK399" s="248"/>
      <c r="DL399" s="248"/>
      <c r="DM399" s="248"/>
      <c r="DN399" s="248"/>
      <c r="DO399" s="248"/>
      <c r="DP399" s="248"/>
      <c r="DQ399" s="248"/>
      <c r="DR399" s="248"/>
      <c r="DS399" s="248"/>
      <c r="DT399" s="248"/>
      <c r="DU399" s="248"/>
      <c r="DV399" s="248"/>
      <c r="DW399" s="248"/>
      <c r="DX399" s="248"/>
      <c r="DY399" s="248"/>
      <c r="DZ399" s="248"/>
      <c r="EA399" s="248"/>
      <c r="EB399" s="248"/>
      <c r="EC399" s="248"/>
      <c r="ED399" s="248"/>
      <c r="EE399" s="248"/>
    </row>
    <row r="400" spans="1:135" s="35" customFormat="1" ht="16.5">
      <c r="A400" s="35" t="str">
        <f xml:space="preserve"> AQ400 &amp; REPT(" ",20-LEN(AQ400)) &amp; AX400</f>
        <v xml:space="preserve">~                   </v>
      </c>
      <c r="B400" s="378" t="s">
        <v>2621</v>
      </c>
      <c r="D400" s="283">
        <v>412</v>
      </c>
      <c r="O400" s="34"/>
      <c r="P400" s="34"/>
      <c r="Q400" s="58"/>
      <c r="R400" s="39"/>
      <c r="W400" s="39"/>
      <c r="AC400" s="287">
        <v>1</v>
      </c>
      <c r="AD400" s="287"/>
      <c r="AE400" s="287"/>
      <c r="AF400" s="287"/>
      <c r="AG400" s="287"/>
      <c r="AH400" s="279"/>
      <c r="AJ400" s="279"/>
      <c r="AK400" s="279"/>
      <c r="AL400" s="523">
        <v>2</v>
      </c>
      <c r="AM400" s="35" t="s">
        <v>2</v>
      </c>
      <c r="AN400" s="35" t="s">
        <v>2415</v>
      </c>
      <c r="AO400" s="35" t="s">
        <v>1679</v>
      </c>
      <c r="AP400" s="35" t="s">
        <v>2058</v>
      </c>
      <c r="AQ400" s="34" t="s">
        <v>1</v>
      </c>
      <c r="AR400" s="35" t="s">
        <v>2455</v>
      </c>
      <c r="AS400" s="35" t="s">
        <v>11</v>
      </c>
      <c r="AX400" s="34"/>
      <c r="BW400" s="248"/>
      <c r="BX400" s="248"/>
      <c r="BY400" s="248"/>
      <c r="BZ400" s="248"/>
      <c r="CA400" s="248"/>
      <c r="CB400" s="248"/>
      <c r="CC400" s="248"/>
      <c r="CD400" s="248"/>
      <c r="CE400" s="248"/>
      <c r="CF400" s="248"/>
      <c r="CG400" s="248"/>
      <c r="CH400" s="248"/>
      <c r="CI400" s="248"/>
      <c r="CJ400" s="248"/>
      <c r="CK400" s="248"/>
      <c r="CL400" s="248"/>
      <c r="CM400" s="248"/>
      <c r="CN400" s="248"/>
      <c r="CO400" s="248"/>
      <c r="CP400" s="248"/>
      <c r="CQ400" s="248"/>
      <c r="CR400" s="248"/>
      <c r="CS400" s="248"/>
      <c r="CT400" s="248"/>
      <c r="CU400" s="248"/>
      <c r="CV400" s="248"/>
      <c r="CW400" s="248"/>
      <c r="CX400" s="248"/>
      <c r="CY400" s="248"/>
      <c r="CZ400" s="248"/>
      <c r="DA400" s="248"/>
      <c r="DB400" s="248"/>
      <c r="DC400" s="248"/>
      <c r="DD400" s="248"/>
      <c r="DE400" s="248"/>
      <c r="DF400" s="248"/>
      <c r="DG400" s="248"/>
      <c r="DH400" s="248"/>
      <c r="DI400" s="248"/>
      <c r="DJ400" s="248"/>
      <c r="DK400" s="248"/>
      <c r="DL400" s="248"/>
      <c r="DM400" s="248"/>
      <c r="DN400" s="248"/>
      <c r="DO400" s="248"/>
      <c r="DP400" s="248"/>
      <c r="DQ400" s="248"/>
      <c r="DR400" s="248"/>
      <c r="DS400" s="248"/>
      <c r="DT400" s="248"/>
      <c r="DU400" s="248"/>
      <c r="DV400" s="248"/>
      <c r="DW400" s="248"/>
      <c r="DX400" s="248"/>
      <c r="DY400" s="248"/>
      <c r="DZ400" s="248"/>
      <c r="EA400" s="248"/>
      <c r="EB400" s="248"/>
      <c r="EC400" s="248"/>
      <c r="ED400" s="248"/>
      <c r="EE400" s="248"/>
    </row>
    <row r="401" spans="1:135" s="35" customFormat="1" ht="16.5">
      <c r="A401" s="35" t="str">
        <f t="shared" si="14"/>
        <v>Kurzname            Kurzname</v>
      </c>
      <c r="B401" s="331"/>
      <c r="D401" s="283">
        <v>412</v>
      </c>
      <c r="O401" s="34"/>
      <c r="P401" s="34"/>
      <c r="Q401" s="58"/>
      <c r="R401" s="39"/>
      <c r="W401" s="39"/>
      <c r="AH401" s="279"/>
      <c r="AJ401" s="279"/>
      <c r="AK401" s="279"/>
      <c r="AL401" s="523">
        <v>0</v>
      </c>
      <c r="AM401" s="35" t="s">
        <v>12</v>
      </c>
      <c r="AN401" s="35" t="s">
        <v>13</v>
      </c>
      <c r="AO401" s="35" t="s">
        <v>356</v>
      </c>
      <c r="AP401" s="35" t="s">
        <v>14</v>
      </c>
      <c r="AQ401" s="34" t="s">
        <v>7</v>
      </c>
      <c r="AR401" s="35" t="s">
        <v>15</v>
      </c>
      <c r="AS401" s="35" t="s">
        <v>8</v>
      </c>
      <c r="AT401" s="35" t="s">
        <v>16</v>
      </c>
      <c r="AU401" s="35" t="s">
        <v>17</v>
      </c>
      <c r="AV401" s="35" t="s">
        <v>356</v>
      </c>
      <c r="AW401" s="35" t="s">
        <v>18</v>
      </c>
      <c r="AX401" s="34" t="s">
        <v>7</v>
      </c>
      <c r="AY401" s="35" t="s">
        <v>15</v>
      </c>
      <c r="AZ401" s="35" t="s">
        <v>8</v>
      </c>
      <c r="BA401" s="35" t="s">
        <v>16</v>
      </c>
      <c r="BB401" s="35" t="s">
        <v>17</v>
      </c>
      <c r="BC401" s="35" t="s">
        <v>19</v>
      </c>
      <c r="BD401" s="35" t="s">
        <v>1737</v>
      </c>
      <c r="BE401" s="35" t="s">
        <v>20</v>
      </c>
      <c r="BF401" s="35" t="s">
        <v>21</v>
      </c>
      <c r="BG401" s="35" t="s">
        <v>22</v>
      </c>
      <c r="BH401" s="35" t="s">
        <v>9</v>
      </c>
      <c r="BI401" s="35" t="s">
        <v>23</v>
      </c>
      <c r="BJ401" s="35" t="s">
        <v>24</v>
      </c>
      <c r="BK401" s="35" t="s">
        <v>0</v>
      </c>
      <c r="BL401" s="35" t="s">
        <v>2</v>
      </c>
      <c r="BM401" s="35" t="s">
        <v>12</v>
      </c>
      <c r="BW401" s="248"/>
      <c r="BX401" s="248"/>
      <c r="BY401" s="248"/>
      <c r="BZ401" s="248"/>
      <c r="CA401" s="248"/>
      <c r="CB401" s="248"/>
      <c r="CC401" s="248"/>
      <c r="CD401" s="248"/>
      <c r="CE401" s="248"/>
      <c r="CF401" s="248"/>
      <c r="CG401" s="248"/>
      <c r="CH401" s="248"/>
      <c r="CI401" s="248"/>
      <c r="CJ401" s="248"/>
      <c r="CK401" s="248"/>
      <c r="CL401" s="248"/>
      <c r="CM401" s="248"/>
      <c r="CN401" s="248"/>
      <c r="CO401" s="248"/>
      <c r="CP401" s="248"/>
      <c r="CQ401" s="248"/>
      <c r="CR401" s="248"/>
      <c r="CS401" s="248"/>
      <c r="CT401" s="248"/>
      <c r="CU401" s="248"/>
      <c r="CV401" s="248"/>
      <c r="CW401" s="248"/>
      <c r="CX401" s="248"/>
      <c r="CY401" s="248"/>
      <c r="CZ401" s="248"/>
      <c r="DA401" s="248"/>
      <c r="DB401" s="248"/>
      <c r="DC401" s="248"/>
      <c r="DD401" s="248"/>
      <c r="DE401" s="248"/>
      <c r="DF401" s="248"/>
      <c r="DG401" s="248"/>
      <c r="DH401" s="248"/>
      <c r="DI401" s="248"/>
      <c r="DJ401" s="248"/>
      <c r="DK401" s="248"/>
      <c r="DL401" s="248"/>
      <c r="DM401" s="248"/>
      <c r="DN401" s="248"/>
      <c r="DO401" s="248"/>
      <c r="DP401" s="248"/>
      <c r="DQ401" s="248"/>
      <c r="DR401" s="248"/>
      <c r="DS401" s="248"/>
      <c r="DT401" s="248"/>
      <c r="DU401" s="248"/>
      <c r="DV401" s="248"/>
      <c r="DW401" s="248"/>
      <c r="DX401" s="248"/>
      <c r="DY401" s="248"/>
      <c r="DZ401" s="248"/>
      <c r="EA401" s="248"/>
      <c r="EB401" s="248"/>
      <c r="EC401" s="248"/>
      <c r="ED401" s="248"/>
      <c r="EE401" s="248"/>
    </row>
    <row r="402" spans="1:135" s="35" customFormat="1" ht="16.5">
      <c r="A402" s="35" t="str">
        <f t="shared" si="14"/>
        <v>AIR_A               ABB_A</v>
      </c>
      <c r="B402" s="331"/>
      <c r="C402" s="248">
        <v>412001</v>
      </c>
      <c r="D402" s="283">
        <v>412</v>
      </c>
      <c r="F402" s="286" t="s">
        <v>1295</v>
      </c>
      <c r="O402" s="290" t="s">
        <v>1295</v>
      </c>
      <c r="P402" s="290" t="s">
        <v>1295</v>
      </c>
      <c r="Q402" s="58"/>
      <c r="R402" s="171"/>
      <c r="W402" s="392" t="s">
        <v>2575</v>
      </c>
      <c r="Z402" s="35" t="s">
        <v>2645</v>
      </c>
      <c r="AB402" s="58" t="s">
        <v>1115</v>
      </c>
      <c r="AC402" s="35" t="s">
        <v>2180</v>
      </c>
      <c r="AD402" s="35" t="s">
        <v>2550</v>
      </c>
      <c r="AH402" s="279"/>
      <c r="AJ402" s="279" t="s">
        <v>1119</v>
      </c>
      <c r="AK402" s="279"/>
      <c r="AL402" s="523">
        <v>3</v>
      </c>
      <c r="AM402" s="35">
        <v>412001</v>
      </c>
      <c r="AN402" s="35" t="s">
        <v>1625</v>
      </c>
      <c r="AO402" s="35" t="s">
        <v>1721</v>
      </c>
      <c r="AP402" s="35" t="s">
        <v>838</v>
      </c>
      <c r="AQ402" s="34" t="s">
        <v>2297</v>
      </c>
      <c r="AR402" s="35">
        <v>11</v>
      </c>
      <c r="AS402" s="35" t="s">
        <v>2060</v>
      </c>
      <c r="AT402" s="35" t="s">
        <v>268</v>
      </c>
      <c r="AU402" s="35" t="s">
        <v>269</v>
      </c>
      <c r="AV402" s="35" t="s">
        <v>1062</v>
      </c>
      <c r="AW402" s="35" t="s">
        <v>837</v>
      </c>
      <c r="AX402" s="34" t="s">
        <v>2298</v>
      </c>
      <c r="AY402" s="35">
        <v>2</v>
      </c>
      <c r="AZ402" s="35" t="s">
        <v>2178</v>
      </c>
      <c r="BA402" s="35" t="s">
        <v>1626</v>
      </c>
      <c r="BB402" s="35" t="s">
        <v>10</v>
      </c>
      <c r="BC402" s="35" t="s">
        <v>839</v>
      </c>
      <c r="BD402" s="35" t="s">
        <v>1742</v>
      </c>
      <c r="BE402" s="35" t="s">
        <v>840</v>
      </c>
      <c r="BF402" s="35" t="s">
        <v>256</v>
      </c>
      <c r="BG402" s="35">
        <v>1608</v>
      </c>
      <c r="BH402" s="35" t="s">
        <v>174</v>
      </c>
      <c r="BI402" s="35">
        <v>0.35</v>
      </c>
      <c r="BJ402" s="35" t="s">
        <v>1627</v>
      </c>
      <c r="BK402" s="35" t="s">
        <v>1680</v>
      </c>
      <c r="BL402" s="35" t="s">
        <v>2415</v>
      </c>
      <c r="BM402" s="35">
        <v>412001</v>
      </c>
      <c r="BW402" s="248"/>
      <c r="BX402" s="248"/>
      <c r="BY402" s="248"/>
      <c r="BZ402" s="248"/>
      <c r="CA402" s="248"/>
      <c r="CB402" s="248"/>
      <c r="CC402" s="248"/>
      <c r="CD402" s="248"/>
      <c r="CE402" s="248"/>
      <c r="CF402" s="248"/>
      <c r="CG402" s="248"/>
      <c r="CH402" s="248"/>
      <c r="CI402" s="248"/>
      <c r="CJ402" s="248"/>
      <c r="CK402" s="248"/>
      <c r="CL402" s="248"/>
      <c r="CM402" s="248"/>
      <c r="CN402" s="248"/>
      <c r="CO402" s="248"/>
      <c r="CP402" s="248"/>
      <c r="CQ402" s="248"/>
      <c r="CR402" s="248"/>
      <c r="CS402" s="248"/>
      <c r="CT402" s="248"/>
      <c r="CU402" s="248"/>
      <c r="CV402" s="248"/>
      <c r="CW402" s="248"/>
      <c r="CX402" s="248"/>
      <c r="CY402" s="248"/>
      <c r="CZ402" s="248"/>
      <c r="DA402" s="248"/>
      <c r="DB402" s="248"/>
      <c r="DC402" s="248"/>
      <c r="DD402" s="248"/>
      <c r="DE402" s="248"/>
      <c r="DF402" s="248"/>
      <c r="DG402" s="248"/>
      <c r="DH402" s="248"/>
      <c r="DI402" s="248"/>
      <c r="DJ402" s="248"/>
      <c r="DK402" s="248"/>
      <c r="DL402" s="248"/>
      <c r="DM402" s="248"/>
      <c r="DN402" s="248"/>
      <c r="DO402" s="248"/>
      <c r="DP402" s="248"/>
      <c r="DQ402" s="248"/>
      <c r="DR402" s="248"/>
      <c r="DS402" s="248"/>
      <c r="DT402" s="248"/>
      <c r="DU402" s="248"/>
      <c r="DV402" s="248"/>
      <c r="DW402" s="248"/>
      <c r="DX402" s="248"/>
      <c r="DY402" s="248"/>
      <c r="DZ402" s="248"/>
      <c r="EA402" s="248"/>
      <c r="EB402" s="248"/>
      <c r="EC402" s="248"/>
      <c r="ED402" s="248"/>
      <c r="EE402" s="248"/>
    </row>
    <row r="403" spans="1:135" s="35" customFormat="1" ht="16.5">
      <c r="A403" s="35" t="str">
        <f t="shared" si="14"/>
        <v>AIR_A               ABB_A</v>
      </c>
      <c r="B403" s="331"/>
      <c r="C403" s="248">
        <v>412002</v>
      </c>
      <c r="D403" s="283">
        <v>412</v>
      </c>
      <c r="F403" s="286" t="s">
        <v>1295</v>
      </c>
      <c r="O403" s="290" t="s">
        <v>1295</v>
      </c>
      <c r="P403" s="290" t="s">
        <v>1295</v>
      </c>
      <c r="Q403" s="58"/>
      <c r="R403" s="171"/>
      <c r="W403" s="392" t="s">
        <v>2575</v>
      </c>
      <c r="Z403" s="35" t="s">
        <v>2645</v>
      </c>
      <c r="AB403" s="58" t="s">
        <v>1115</v>
      </c>
      <c r="AC403" s="35" t="s">
        <v>2180</v>
      </c>
      <c r="AD403" s="35" t="s">
        <v>2550</v>
      </c>
      <c r="AH403" s="279"/>
      <c r="AJ403" s="279" t="s">
        <v>1119</v>
      </c>
      <c r="AK403" s="279"/>
      <c r="AL403" s="523">
        <v>3</v>
      </c>
      <c r="AM403" s="35">
        <v>412002</v>
      </c>
      <c r="AN403" s="35" t="s">
        <v>1628</v>
      </c>
      <c r="AO403" s="35" t="s">
        <v>1721</v>
      </c>
      <c r="AP403" s="35" t="s">
        <v>838</v>
      </c>
      <c r="AQ403" s="34" t="s">
        <v>2297</v>
      </c>
      <c r="AR403" s="35">
        <v>15</v>
      </c>
      <c r="AS403" s="35" t="s">
        <v>2060</v>
      </c>
      <c r="AT403" s="35" t="s">
        <v>268</v>
      </c>
      <c r="AU403" s="35" t="s">
        <v>269</v>
      </c>
      <c r="AV403" s="35" t="s">
        <v>1062</v>
      </c>
      <c r="AW403" s="35" t="s">
        <v>837</v>
      </c>
      <c r="AX403" s="34" t="s">
        <v>2298</v>
      </c>
      <c r="AY403" s="35">
        <v>1</v>
      </c>
      <c r="AZ403" s="35" t="s">
        <v>2178</v>
      </c>
      <c r="BA403" s="35" t="s">
        <v>1626</v>
      </c>
      <c r="BB403" s="35" t="s">
        <v>10</v>
      </c>
      <c r="BC403" s="35" t="s">
        <v>839</v>
      </c>
      <c r="BD403" s="35" t="s">
        <v>1742</v>
      </c>
      <c r="BE403" s="35" t="s">
        <v>840</v>
      </c>
      <c r="BF403" s="35" t="s">
        <v>159</v>
      </c>
      <c r="BG403" s="35">
        <v>1608</v>
      </c>
      <c r="BH403" s="35" t="s">
        <v>136</v>
      </c>
      <c r="BI403" s="35">
        <v>0.35</v>
      </c>
      <c r="BJ403" s="35" t="s">
        <v>1629</v>
      </c>
      <c r="BK403" s="35" t="s">
        <v>1680</v>
      </c>
      <c r="BL403" s="35" t="s">
        <v>2415</v>
      </c>
      <c r="BM403" s="35">
        <v>412002</v>
      </c>
      <c r="BW403" s="248"/>
      <c r="BX403" s="248"/>
      <c r="BY403" s="248"/>
      <c r="BZ403" s="248"/>
      <c r="CA403" s="248"/>
      <c r="CB403" s="248"/>
      <c r="CC403" s="248"/>
      <c r="CD403" s="248"/>
      <c r="CE403" s="248"/>
      <c r="CF403" s="248"/>
      <c r="CG403" s="248"/>
      <c r="CH403" s="248"/>
      <c r="CI403" s="248"/>
      <c r="CJ403" s="248"/>
      <c r="CK403" s="248"/>
      <c r="CL403" s="248"/>
      <c r="CM403" s="248"/>
      <c r="CN403" s="248"/>
      <c r="CO403" s="248"/>
      <c r="CP403" s="248"/>
      <c r="CQ403" s="248"/>
      <c r="CR403" s="248"/>
      <c r="CS403" s="248"/>
      <c r="CT403" s="248"/>
      <c r="CU403" s="248"/>
      <c r="CV403" s="248"/>
      <c r="CW403" s="248"/>
      <c r="CX403" s="248"/>
      <c r="CY403" s="248"/>
      <c r="CZ403" s="248"/>
      <c r="DA403" s="248"/>
      <c r="DB403" s="248"/>
      <c r="DC403" s="248"/>
      <c r="DD403" s="248"/>
      <c r="DE403" s="248"/>
      <c r="DF403" s="248"/>
      <c r="DG403" s="248"/>
      <c r="DH403" s="248"/>
      <c r="DI403" s="248"/>
      <c r="DJ403" s="248"/>
      <c r="DK403" s="248"/>
      <c r="DL403" s="248"/>
      <c r="DM403" s="248"/>
      <c r="DN403" s="248"/>
      <c r="DO403" s="248"/>
      <c r="DP403" s="248"/>
      <c r="DQ403" s="248"/>
      <c r="DR403" s="248"/>
      <c r="DS403" s="248"/>
      <c r="DT403" s="248"/>
      <c r="DU403" s="248"/>
      <c r="DV403" s="248"/>
      <c r="DW403" s="248"/>
      <c r="DX403" s="248"/>
      <c r="DY403" s="248"/>
      <c r="DZ403" s="248"/>
      <c r="EA403" s="248"/>
      <c r="EB403" s="248"/>
      <c r="EC403" s="248"/>
      <c r="ED403" s="248"/>
      <c r="EE403" s="248"/>
    </row>
    <row r="404" spans="1:135" s="35" customFormat="1" ht="16.5">
      <c r="A404" s="35" t="str">
        <f t="shared" si="14"/>
        <v>ABB_A               SP_MB32_B2</v>
      </c>
      <c r="B404" s="331"/>
      <c r="C404" s="248">
        <v>412003</v>
      </c>
      <c r="D404" s="283">
        <v>412</v>
      </c>
      <c r="F404" s="286" t="s">
        <v>1295</v>
      </c>
      <c r="G404" s="35" t="s">
        <v>2228</v>
      </c>
      <c r="H404" s="35" t="s">
        <v>609</v>
      </c>
      <c r="N404" s="35" t="s">
        <v>537</v>
      </c>
      <c r="O404" s="290" t="s">
        <v>1295</v>
      </c>
      <c r="P404" s="34" t="s">
        <v>1086</v>
      </c>
      <c r="Q404" s="58"/>
      <c r="R404" s="171"/>
      <c r="W404" s="392" t="s">
        <v>2575</v>
      </c>
      <c r="AB404" s="58" t="s">
        <v>1115</v>
      </c>
      <c r="AH404" s="279"/>
      <c r="AJ404" s="279" t="s">
        <v>1119</v>
      </c>
      <c r="AK404" s="279"/>
      <c r="AL404" s="523">
        <v>3</v>
      </c>
      <c r="AM404" s="35">
        <v>412003</v>
      </c>
      <c r="AN404" s="35" t="s">
        <v>1630</v>
      </c>
      <c r="AO404" s="35" t="s">
        <v>1062</v>
      </c>
      <c r="AP404" s="35" t="s">
        <v>837</v>
      </c>
      <c r="AQ404" s="34" t="s">
        <v>2298</v>
      </c>
      <c r="AR404" s="35">
        <v>3</v>
      </c>
      <c r="AS404" s="35" t="s">
        <v>2178</v>
      </c>
      <c r="AT404" s="35" t="s">
        <v>1626</v>
      </c>
      <c r="AU404" s="35" t="s">
        <v>10</v>
      </c>
      <c r="AV404" s="35" t="s">
        <v>2146</v>
      </c>
      <c r="AW404" s="35" t="s">
        <v>250</v>
      </c>
      <c r="AX404" s="34" t="s">
        <v>2228</v>
      </c>
      <c r="AY404" s="35">
        <v>1</v>
      </c>
      <c r="AZ404" s="35" t="s">
        <v>1170</v>
      </c>
      <c r="BA404" s="35" t="s">
        <v>10</v>
      </c>
      <c r="BB404" s="35" t="s">
        <v>10</v>
      </c>
      <c r="BC404" s="35" t="s">
        <v>71</v>
      </c>
      <c r="BD404" s="35" t="s">
        <v>1742</v>
      </c>
      <c r="BE404" s="35" t="s">
        <v>10</v>
      </c>
      <c r="BF404" s="35" t="s">
        <v>10</v>
      </c>
      <c r="BG404" s="35">
        <v>691</v>
      </c>
      <c r="BH404" s="35" t="s">
        <v>25</v>
      </c>
      <c r="BI404" s="35">
        <v>0.35</v>
      </c>
      <c r="BJ404" s="35" t="s">
        <v>1296</v>
      </c>
      <c r="BK404" s="35" t="s">
        <v>1680</v>
      </c>
      <c r="BL404" s="35" t="s">
        <v>2415</v>
      </c>
      <c r="BM404" s="35">
        <v>412003</v>
      </c>
      <c r="BW404" s="248"/>
      <c r="BX404" s="248"/>
      <c r="BY404" s="248"/>
      <c r="BZ404" s="248"/>
      <c r="CA404" s="248"/>
      <c r="CB404" s="248"/>
      <c r="CC404" s="248"/>
      <c r="CD404" s="248"/>
      <c r="CE404" s="248"/>
      <c r="CF404" s="248"/>
      <c r="CG404" s="248"/>
      <c r="CH404" s="248"/>
      <c r="CI404" s="248"/>
      <c r="CJ404" s="248"/>
      <c r="CK404" s="248"/>
      <c r="CL404" s="248"/>
      <c r="CM404" s="248"/>
      <c r="CN404" s="248"/>
      <c r="CO404" s="248"/>
      <c r="CP404" s="248"/>
      <c r="CQ404" s="248"/>
      <c r="CR404" s="248"/>
      <c r="CS404" s="248"/>
      <c r="CT404" s="248"/>
      <c r="CU404" s="248"/>
      <c r="CV404" s="248"/>
      <c r="CW404" s="248"/>
      <c r="CX404" s="248"/>
      <c r="CY404" s="248"/>
      <c r="CZ404" s="248"/>
      <c r="DA404" s="248"/>
      <c r="DB404" s="248"/>
      <c r="DC404" s="248"/>
      <c r="DD404" s="248"/>
      <c r="DE404" s="248"/>
      <c r="DF404" s="248"/>
      <c r="DG404" s="248"/>
      <c r="DH404" s="248"/>
      <c r="DI404" s="248"/>
      <c r="DJ404" s="248"/>
      <c r="DK404" s="248"/>
      <c r="DL404" s="248"/>
      <c r="DM404" s="248"/>
      <c r="DN404" s="248"/>
      <c r="DO404" s="248"/>
      <c r="DP404" s="248"/>
      <c r="DQ404" s="248"/>
      <c r="DR404" s="248"/>
      <c r="DS404" s="248"/>
      <c r="DT404" s="248"/>
      <c r="DU404" s="248"/>
      <c r="DV404" s="248"/>
      <c r="DW404" s="248"/>
      <c r="DX404" s="248"/>
      <c r="DY404" s="248"/>
      <c r="DZ404" s="248"/>
      <c r="EA404" s="248"/>
      <c r="EB404" s="248"/>
      <c r="EC404" s="248"/>
      <c r="ED404" s="248"/>
      <c r="EE404" s="248"/>
    </row>
    <row r="405" spans="1:135" s="35" customFormat="1" ht="16.5">
      <c r="A405" s="35" t="str">
        <f t="shared" si="14"/>
        <v>AIR_A               ABB_B</v>
      </c>
      <c r="B405" s="331"/>
      <c r="C405" s="248">
        <v>412004</v>
      </c>
      <c r="D405" s="283">
        <v>412</v>
      </c>
      <c r="F405" s="286" t="s">
        <v>1295</v>
      </c>
      <c r="O405" s="290" t="s">
        <v>1295</v>
      </c>
      <c r="P405" s="290" t="s">
        <v>1295</v>
      </c>
      <c r="Q405" s="58"/>
      <c r="R405" s="171"/>
      <c r="W405" s="171">
        <v>980017457</v>
      </c>
      <c r="Z405" s="35" t="s">
        <v>2645</v>
      </c>
      <c r="AB405" s="58" t="s">
        <v>1115</v>
      </c>
      <c r="AC405" s="35" t="s">
        <v>2180</v>
      </c>
      <c r="AD405" s="35" t="s">
        <v>2550</v>
      </c>
      <c r="AH405" s="279"/>
      <c r="AJ405" s="279" t="s">
        <v>1119</v>
      </c>
      <c r="AK405" s="279"/>
      <c r="AL405" s="523">
        <v>3</v>
      </c>
      <c r="AM405" s="35">
        <v>412004</v>
      </c>
      <c r="AN405" s="35" t="s">
        <v>1631</v>
      </c>
      <c r="AO405" s="35" t="s">
        <v>1721</v>
      </c>
      <c r="AP405" s="35" t="s">
        <v>838</v>
      </c>
      <c r="AQ405" s="34" t="s">
        <v>2297</v>
      </c>
      <c r="AR405" s="35">
        <v>10</v>
      </c>
      <c r="AS405" s="35" t="s">
        <v>2060</v>
      </c>
      <c r="AT405" s="35" t="s">
        <v>268</v>
      </c>
      <c r="AU405" s="35" t="s">
        <v>269</v>
      </c>
      <c r="AV405" s="35" t="s">
        <v>1062</v>
      </c>
      <c r="AW405" s="35" t="s">
        <v>841</v>
      </c>
      <c r="AX405" s="34" t="s">
        <v>2319</v>
      </c>
      <c r="AY405" s="35">
        <v>2</v>
      </c>
      <c r="AZ405" s="35" t="s">
        <v>2179</v>
      </c>
      <c r="BA405" s="35" t="s">
        <v>1626</v>
      </c>
      <c r="BB405" s="35" t="s">
        <v>10</v>
      </c>
      <c r="BC405" s="35" t="s">
        <v>842</v>
      </c>
      <c r="BD405" s="35" t="s">
        <v>1742</v>
      </c>
      <c r="BE405" s="35" t="s">
        <v>843</v>
      </c>
      <c r="BF405" s="35" t="s">
        <v>109</v>
      </c>
      <c r="BG405" s="35">
        <v>1568</v>
      </c>
      <c r="BH405" s="35" t="s">
        <v>110</v>
      </c>
      <c r="BI405" s="35">
        <v>0.35</v>
      </c>
      <c r="BJ405" s="35" t="s">
        <v>1632</v>
      </c>
      <c r="BK405" s="35" t="s">
        <v>1680</v>
      </c>
      <c r="BL405" s="35" t="s">
        <v>2415</v>
      </c>
      <c r="BM405" s="35">
        <v>412004</v>
      </c>
      <c r="BW405" s="248"/>
      <c r="BX405" s="248"/>
      <c r="BY405" s="248"/>
      <c r="BZ405" s="248"/>
      <c r="CA405" s="248"/>
      <c r="CB405" s="248"/>
      <c r="CC405" s="248"/>
      <c r="CD405" s="248"/>
      <c r="CE405" s="248"/>
      <c r="CF405" s="248"/>
      <c r="CG405" s="248"/>
      <c r="CH405" s="248"/>
      <c r="CI405" s="248"/>
      <c r="CJ405" s="248"/>
      <c r="CK405" s="248"/>
      <c r="CL405" s="248"/>
      <c r="CM405" s="248"/>
      <c r="CN405" s="248"/>
      <c r="CO405" s="248"/>
      <c r="CP405" s="248"/>
      <c r="CQ405" s="248"/>
      <c r="CR405" s="248"/>
      <c r="CS405" s="248"/>
      <c r="CT405" s="248"/>
      <c r="CU405" s="248"/>
      <c r="CV405" s="248"/>
      <c r="CW405" s="248"/>
      <c r="CX405" s="248"/>
      <c r="CY405" s="248"/>
      <c r="CZ405" s="248"/>
      <c r="DA405" s="248"/>
      <c r="DB405" s="248"/>
      <c r="DC405" s="248"/>
      <c r="DD405" s="248"/>
      <c r="DE405" s="248"/>
      <c r="DF405" s="248"/>
      <c r="DG405" s="248"/>
      <c r="DH405" s="248"/>
      <c r="DI405" s="248"/>
      <c r="DJ405" s="248"/>
      <c r="DK405" s="248"/>
      <c r="DL405" s="248"/>
      <c r="DM405" s="248"/>
      <c r="DN405" s="248"/>
      <c r="DO405" s="248"/>
      <c r="DP405" s="248"/>
      <c r="DQ405" s="248"/>
      <c r="DR405" s="248"/>
      <c r="DS405" s="248"/>
      <c r="DT405" s="248"/>
      <c r="DU405" s="248"/>
      <c r="DV405" s="248"/>
      <c r="DW405" s="248"/>
      <c r="DX405" s="248"/>
      <c r="DY405" s="248"/>
      <c r="DZ405" s="248"/>
      <c r="EA405" s="248"/>
      <c r="EB405" s="248"/>
      <c r="EC405" s="248"/>
      <c r="ED405" s="248"/>
      <c r="EE405" s="248"/>
    </row>
    <row r="406" spans="1:135" s="35" customFormat="1" ht="16.5">
      <c r="A406" s="35" t="str">
        <f t="shared" si="14"/>
        <v>AIR_A               ABB_B</v>
      </c>
      <c r="B406" s="331"/>
      <c r="C406" s="248">
        <v>412005</v>
      </c>
      <c r="D406" s="283">
        <v>412</v>
      </c>
      <c r="F406" s="286" t="s">
        <v>1295</v>
      </c>
      <c r="O406" s="290" t="s">
        <v>1295</v>
      </c>
      <c r="P406" s="290" t="s">
        <v>1295</v>
      </c>
      <c r="Q406" s="58"/>
      <c r="R406" s="171"/>
      <c r="W406" s="171">
        <v>980017457</v>
      </c>
      <c r="Z406" s="35" t="s">
        <v>2645</v>
      </c>
      <c r="AB406" s="58" t="s">
        <v>1115</v>
      </c>
      <c r="AC406" s="35" t="s">
        <v>2180</v>
      </c>
      <c r="AD406" s="35" t="s">
        <v>2550</v>
      </c>
      <c r="AH406" s="279"/>
      <c r="AJ406" s="279" t="s">
        <v>1119</v>
      </c>
      <c r="AK406" s="279"/>
      <c r="AL406" s="523">
        <v>3</v>
      </c>
      <c r="AM406" s="35">
        <v>412005</v>
      </c>
      <c r="AN406" s="35" t="s">
        <v>1633</v>
      </c>
      <c r="AO406" s="35" t="s">
        <v>1721</v>
      </c>
      <c r="AP406" s="35" t="s">
        <v>838</v>
      </c>
      <c r="AQ406" s="34" t="s">
        <v>2297</v>
      </c>
      <c r="AR406" s="35">
        <v>14</v>
      </c>
      <c r="AS406" s="35" t="s">
        <v>2060</v>
      </c>
      <c r="AT406" s="35" t="s">
        <v>268</v>
      </c>
      <c r="AU406" s="35" t="s">
        <v>269</v>
      </c>
      <c r="AV406" s="35" t="s">
        <v>1062</v>
      </c>
      <c r="AW406" s="35" t="s">
        <v>841</v>
      </c>
      <c r="AX406" s="34" t="s">
        <v>2319</v>
      </c>
      <c r="AY406" s="35">
        <v>1</v>
      </c>
      <c r="AZ406" s="35" t="s">
        <v>2179</v>
      </c>
      <c r="BA406" s="35" t="s">
        <v>1626</v>
      </c>
      <c r="BB406" s="35" t="s">
        <v>10</v>
      </c>
      <c r="BC406" s="35" t="s">
        <v>842</v>
      </c>
      <c r="BD406" s="35" t="s">
        <v>1742</v>
      </c>
      <c r="BE406" s="35" t="s">
        <v>843</v>
      </c>
      <c r="BF406" s="35" t="s">
        <v>182</v>
      </c>
      <c r="BG406" s="35">
        <v>1568</v>
      </c>
      <c r="BH406" s="35" t="s">
        <v>136</v>
      </c>
      <c r="BI406" s="35">
        <v>0.35</v>
      </c>
      <c r="BJ406" s="35" t="s">
        <v>1634</v>
      </c>
      <c r="BK406" s="35" t="s">
        <v>1680</v>
      </c>
      <c r="BL406" s="35" t="s">
        <v>2415</v>
      </c>
      <c r="BM406" s="35">
        <v>412005</v>
      </c>
      <c r="BW406" s="248"/>
      <c r="BX406" s="248"/>
      <c r="BY406" s="248"/>
      <c r="BZ406" s="248"/>
      <c r="CA406" s="248"/>
      <c r="CB406" s="248"/>
      <c r="CC406" s="248"/>
      <c r="CD406" s="248"/>
      <c r="CE406" s="248"/>
      <c r="CF406" s="248"/>
      <c r="CG406" s="248"/>
      <c r="CH406" s="248"/>
      <c r="CI406" s="248"/>
      <c r="CJ406" s="248"/>
      <c r="CK406" s="248"/>
      <c r="CL406" s="248"/>
      <c r="CM406" s="248"/>
      <c r="CN406" s="248"/>
      <c r="CO406" s="248"/>
      <c r="CP406" s="248"/>
      <c r="CQ406" s="248"/>
      <c r="CR406" s="248"/>
      <c r="CS406" s="248"/>
      <c r="CT406" s="248"/>
      <c r="CU406" s="248"/>
      <c r="CV406" s="248"/>
      <c r="CW406" s="248"/>
      <c r="CX406" s="248"/>
      <c r="CY406" s="248"/>
      <c r="CZ406" s="248"/>
      <c r="DA406" s="248"/>
      <c r="DB406" s="248"/>
      <c r="DC406" s="248"/>
      <c r="DD406" s="248"/>
      <c r="DE406" s="248"/>
      <c r="DF406" s="248"/>
      <c r="DG406" s="248"/>
      <c r="DH406" s="248"/>
      <c r="DI406" s="248"/>
      <c r="DJ406" s="248"/>
      <c r="DK406" s="248"/>
      <c r="DL406" s="248"/>
      <c r="DM406" s="248"/>
      <c r="DN406" s="248"/>
      <c r="DO406" s="248"/>
      <c r="DP406" s="248"/>
      <c r="DQ406" s="248"/>
      <c r="DR406" s="248"/>
      <c r="DS406" s="248"/>
      <c r="DT406" s="248"/>
      <c r="DU406" s="248"/>
      <c r="DV406" s="248"/>
      <c r="DW406" s="248"/>
      <c r="DX406" s="248"/>
      <c r="DY406" s="248"/>
      <c r="DZ406" s="248"/>
      <c r="EA406" s="248"/>
      <c r="EB406" s="248"/>
      <c r="EC406" s="248"/>
      <c r="ED406" s="248"/>
      <c r="EE406" s="248"/>
    </row>
    <row r="407" spans="1:135" s="381" customFormat="1" ht="16.5">
      <c r="A407" s="381" t="str">
        <f t="shared" si="14"/>
        <v>AIR_A               AOS</v>
      </c>
      <c r="B407" s="382">
        <v>7202</v>
      </c>
      <c r="C407" s="383">
        <v>412006</v>
      </c>
      <c r="D407" s="384">
        <v>412</v>
      </c>
      <c r="F407" s="445" t="s">
        <v>1295</v>
      </c>
      <c r="O407" s="446" t="s">
        <v>1295</v>
      </c>
      <c r="P407" s="446" t="s">
        <v>1295</v>
      </c>
      <c r="Q407" s="386"/>
      <c r="R407" s="387"/>
      <c r="Z407" s="381" t="s">
        <v>2645</v>
      </c>
      <c r="AA407" s="381" t="s">
        <v>2645</v>
      </c>
      <c r="AC407" s="381" t="s">
        <v>2180</v>
      </c>
      <c r="AD407" s="381" t="s">
        <v>2550</v>
      </c>
      <c r="AH407" s="388"/>
      <c r="AJ407" s="388" t="s">
        <v>1119</v>
      </c>
      <c r="AK407" s="388"/>
      <c r="AL407" s="527">
        <v>3</v>
      </c>
      <c r="AM407" s="381">
        <v>412006</v>
      </c>
      <c r="AN407" s="381" t="s">
        <v>1635</v>
      </c>
      <c r="AO407" s="381" t="s">
        <v>1721</v>
      </c>
      <c r="AP407" s="381" t="s">
        <v>838</v>
      </c>
      <c r="AQ407" s="385" t="s">
        <v>2297</v>
      </c>
      <c r="AR407" s="381">
        <v>18</v>
      </c>
      <c r="AS407" s="381" t="s">
        <v>2060</v>
      </c>
      <c r="AT407" s="381" t="s">
        <v>268</v>
      </c>
      <c r="AU407" s="381" t="s">
        <v>269</v>
      </c>
      <c r="AV407" s="381" t="s">
        <v>1736</v>
      </c>
      <c r="AW407" s="381" t="s">
        <v>844</v>
      </c>
      <c r="AX407" s="385" t="s">
        <v>2320</v>
      </c>
      <c r="AY407" s="381">
        <v>1</v>
      </c>
      <c r="AZ407" s="381" t="s">
        <v>2116</v>
      </c>
      <c r="BA407" s="381" t="s">
        <v>845</v>
      </c>
      <c r="BB407" s="381" t="s">
        <v>10</v>
      </c>
      <c r="BC407" s="381" t="s">
        <v>154</v>
      </c>
      <c r="BD407" s="381" t="s">
        <v>1742</v>
      </c>
      <c r="BE407" s="381" t="s">
        <v>10</v>
      </c>
      <c r="BF407" s="381" t="s">
        <v>10</v>
      </c>
      <c r="BG407" s="381">
        <v>1897</v>
      </c>
      <c r="BH407" s="381" t="s">
        <v>108</v>
      </c>
      <c r="BI407" s="381">
        <v>0.35</v>
      </c>
      <c r="BJ407" s="381" t="s">
        <v>1636</v>
      </c>
      <c r="BK407" s="381" t="s">
        <v>10</v>
      </c>
      <c r="BL407" s="381" t="s">
        <v>2415</v>
      </c>
      <c r="BM407" s="381">
        <v>412006</v>
      </c>
      <c r="BW407" s="383"/>
      <c r="BX407" s="383"/>
      <c r="BY407" s="383"/>
      <c r="BZ407" s="383"/>
      <c r="CA407" s="383"/>
      <c r="CB407" s="383"/>
      <c r="CC407" s="383"/>
      <c r="CD407" s="383"/>
      <c r="CE407" s="383"/>
      <c r="CF407" s="383"/>
      <c r="CG407" s="383"/>
      <c r="CH407" s="383"/>
      <c r="CI407" s="383"/>
      <c r="CJ407" s="383"/>
      <c r="CK407" s="383"/>
      <c r="CL407" s="383"/>
      <c r="CM407" s="383"/>
      <c r="CN407" s="383"/>
      <c r="CO407" s="383"/>
      <c r="CP407" s="383"/>
      <c r="CQ407" s="383"/>
      <c r="CR407" s="383"/>
      <c r="CS407" s="383"/>
      <c r="CT407" s="383"/>
      <c r="CU407" s="383"/>
      <c r="CV407" s="383"/>
      <c r="CW407" s="383"/>
      <c r="CX407" s="383"/>
      <c r="CY407" s="383"/>
      <c r="CZ407" s="383"/>
      <c r="DA407" s="383"/>
      <c r="DB407" s="383"/>
      <c r="DC407" s="383"/>
      <c r="DD407" s="383"/>
      <c r="DE407" s="383"/>
      <c r="DF407" s="383"/>
      <c r="DG407" s="383"/>
      <c r="DH407" s="383"/>
      <c r="DI407" s="383"/>
      <c r="DJ407" s="383"/>
      <c r="DK407" s="383"/>
      <c r="DL407" s="383"/>
      <c r="DM407" s="383"/>
      <c r="DN407" s="383"/>
      <c r="DO407" s="383"/>
      <c r="DP407" s="383"/>
      <c r="DQ407" s="383"/>
      <c r="DR407" s="383"/>
      <c r="DS407" s="383"/>
      <c r="DT407" s="383"/>
      <c r="DU407" s="383"/>
      <c r="DV407" s="383"/>
      <c r="DW407" s="383"/>
      <c r="DX407" s="383"/>
      <c r="DY407" s="383"/>
      <c r="DZ407" s="383"/>
      <c r="EA407" s="383"/>
      <c r="EB407" s="383"/>
      <c r="EC407" s="383"/>
      <c r="ED407" s="383"/>
      <c r="EE407" s="383"/>
    </row>
    <row r="408" spans="1:135" s="186" customFormat="1" ht="16.5">
      <c r="A408" s="186" t="str">
        <f t="shared" si="14"/>
        <v>AIR_A               AOS</v>
      </c>
      <c r="B408" s="378">
        <v>7202</v>
      </c>
      <c r="C408" s="282">
        <v>412006</v>
      </c>
      <c r="D408" s="379">
        <v>412</v>
      </c>
      <c r="F408" s="443" t="s">
        <v>1295</v>
      </c>
      <c r="O408" s="444" t="s">
        <v>1295</v>
      </c>
      <c r="P408" s="444" t="s">
        <v>1295</v>
      </c>
      <c r="Q408" s="188"/>
      <c r="R408" s="189"/>
      <c r="Z408" s="186" t="s">
        <v>2645</v>
      </c>
      <c r="AA408" s="186" t="s">
        <v>2645</v>
      </c>
      <c r="AC408" s="186" t="s">
        <v>2180</v>
      </c>
      <c r="AD408" s="186" t="s">
        <v>2550</v>
      </c>
      <c r="AH408" s="380"/>
      <c r="AJ408" s="380" t="s">
        <v>1119</v>
      </c>
      <c r="AK408" s="380"/>
      <c r="AL408" s="525">
        <v>3</v>
      </c>
      <c r="AM408" s="186">
        <v>412006</v>
      </c>
      <c r="AN408" s="186" t="s">
        <v>1635</v>
      </c>
      <c r="AO408" s="186" t="s">
        <v>1721</v>
      </c>
      <c r="AP408" s="186" t="s">
        <v>838</v>
      </c>
      <c r="AQ408" s="191" t="s">
        <v>2297</v>
      </c>
      <c r="AR408" s="186">
        <v>18</v>
      </c>
      <c r="AS408" s="186" t="s">
        <v>2060</v>
      </c>
      <c r="AT408" s="186" t="s">
        <v>268</v>
      </c>
      <c r="AU408" s="186" t="s">
        <v>269</v>
      </c>
      <c r="AV408" s="186" t="s">
        <v>1736</v>
      </c>
      <c r="AW408" s="186" t="s">
        <v>844</v>
      </c>
      <c r="AX408" s="191" t="s">
        <v>2320</v>
      </c>
      <c r="AY408" s="186">
        <v>1</v>
      </c>
      <c r="AZ408" s="186" t="s">
        <v>2116</v>
      </c>
      <c r="BA408" s="186" t="s">
        <v>845</v>
      </c>
      <c r="BB408" s="186" t="s">
        <v>10</v>
      </c>
      <c r="BC408" s="192" t="s">
        <v>2599</v>
      </c>
      <c r="BD408" s="186" t="s">
        <v>1742</v>
      </c>
      <c r="BE408" s="192" t="s">
        <v>2600</v>
      </c>
      <c r="BF408" s="192" t="s">
        <v>2601</v>
      </c>
      <c r="BG408" s="186">
        <v>1898</v>
      </c>
      <c r="BH408" s="192" t="s">
        <v>2602</v>
      </c>
      <c r="BI408" s="186">
        <v>0.35</v>
      </c>
      <c r="BJ408" s="186" t="s">
        <v>1636</v>
      </c>
      <c r="BK408" s="186" t="s">
        <v>10</v>
      </c>
      <c r="BL408" s="186" t="s">
        <v>2415</v>
      </c>
      <c r="BM408" s="186">
        <v>412006</v>
      </c>
      <c r="BW408" s="282"/>
      <c r="BX408" s="282"/>
      <c r="BY408" s="282"/>
      <c r="BZ408" s="282"/>
      <c r="CA408" s="282"/>
      <c r="CB408" s="282"/>
      <c r="CC408" s="282"/>
      <c r="CD408" s="282"/>
      <c r="CE408" s="282"/>
      <c r="CF408" s="282"/>
      <c r="CG408" s="282"/>
      <c r="CH408" s="282"/>
      <c r="CI408" s="282"/>
      <c r="CJ408" s="282"/>
      <c r="CK408" s="282"/>
      <c r="CL408" s="282"/>
      <c r="CM408" s="282"/>
      <c r="CN408" s="282"/>
      <c r="CO408" s="282"/>
      <c r="CP408" s="282"/>
      <c r="CQ408" s="282"/>
      <c r="CR408" s="282"/>
      <c r="CS408" s="282"/>
      <c r="CT408" s="282"/>
      <c r="CU408" s="282"/>
      <c r="CV408" s="282"/>
      <c r="CW408" s="282"/>
      <c r="CX408" s="282"/>
      <c r="CY408" s="282"/>
      <c r="CZ408" s="282"/>
      <c r="DA408" s="282"/>
      <c r="DB408" s="282"/>
      <c r="DC408" s="282"/>
      <c r="DD408" s="282"/>
      <c r="DE408" s="282"/>
      <c r="DF408" s="282"/>
      <c r="DG408" s="282"/>
      <c r="DH408" s="282"/>
      <c r="DI408" s="282"/>
      <c r="DJ408" s="282"/>
      <c r="DK408" s="282"/>
      <c r="DL408" s="282"/>
      <c r="DM408" s="282"/>
      <c r="DN408" s="282"/>
      <c r="DO408" s="282"/>
      <c r="DP408" s="282"/>
      <c r="DQ408" s="282"/>
      <c r="DR408" s="282"/>
      <c r="DS408" s="282"/>
      <c r="DT408" s="282"/>
      <c r="DU408" s="282"/>
      <c r="DV408" s="282"/>
      <c r="DW408" s="282"/>
      <c r="DX408" s="282"/>
      <c r="DY408" s="282"/>
      <c r="DZ408" s="282"/>
      <c r="EA408" s="282"/>
      <c r="EB408" s="282"/>
      <c r="EC408" s="282"/>
      <c r="ED408" s="282"/>
      <c r="EE408" s="282"/>
    </row>
    <row r="409" spans="1:135" s="381" customFormat="1" ht="16.5">
      <c r="A409" s="381" t="str">
        <f t="shared" si="14"/>
        <v>AIR_A               AOS</v>
      </c>
      <c r="B409" s="382">
        <v>7202</v>
      </c>
      <c r="C409" s="383">
        <v>412007</v>
      </c>
      <c r="D409" s="384">
        <v>412</v>
      </c>
      <c r="F409" s="445" t="s">
        <v>1295</v>
      </c>
      <c r="O409" s="446" t="s">
        <v>1295</v>
      </c>
      <c r="P409" s="446" t="s">
        <v>1295</v>
      </c>
      <c r="Q409" s="386"/>
      <c r="R409" s="387"/>
      <c r="Z409" s="381" t="s">
        <v>2645</v>
      </c>
      <c r="AA409" s="381" t="s">
        <v>2645</v>
      </c>
      <c r="AC409" s="381" t="s">
        <v>2180</v>
      </c>
      <c r="AD409" s="381" t="s">
        <v>2550</v>
      </c>
      <c r="AH409" s="388"/>
      <c r="AJ409" s="388" t="s">
        <v>1119</v>
      </c>
      <c r="AK409" s="388"/>
      <c r="AL409" s="527">
        <v>3</v>
      </c>
      <c r="AM409" s="381">
        <v>412007</v>
      </c>
      <c r="AN409" s="381" t="s">
        <v>1637</v>
      </c>
      <c r="AO409" s="381" t="s">
        <v>1721</v>
      </c>
      <c r="AP409" s="381" t="s">
        <v>838</v>
      </c>
      <c r="AQ409" s="385" t="s">
        <v>2297</v>
      </c>
      <c r="AR409" s="381">
        <v>19</v>
      </c>
      <c r="AS409" s="381" t="s">
        <v>2060</v>
      </c>
      <c r="AT409" s="381" t="s">
        <v>268</v>
      </c>
      <c r="AU409" s="381" t="s">
        <v>269</v>
      </c>
      <c r="AV409" s="381" t="s">
        <v>1736</v>
      </c>
      <c r="AW409" s="381" t="s">
        <v>844</v>
      </c>
      <c r="AX409" s="385" t="s">
        <v>2320</v>
      </c>
      <c r="AY409" s="381">
        <v>2</v>
      </c>
      <c r="AZ409" s="381" t="s">
        <v>2116</v>
      </c>
      <c r="BA409" s="381" t="s">
        <v>845</v>
      </c>
      <c r="BB409" s="381" t="s">
        <v>10</v>
      </c>
      <c r="BC409" s="381" t="s">
        <v>846</v>
      </c>
      <c r="BD409" s="381" t="s">
        <v>1742</v>
      </c>
      <c r="BE409" s="381" t="s">
        <v>10</v>
      </c>
      <c r="BF409" s="381" t="s">
        <v>10</v>
      </c>
      <c r="BG409" s="381">
        <v>1897</v>
      </c>
      <c r="BH409" s="381" t="s">
        <v>130</v>
      </c>
      <c r="BI409" s="381">
        <v>0.35</v>
      </c>
      <c r="BJ409" s="381" t="s">
        <v>1638</v>
      </c>
      <c r="BK409" s="381" t="s">
        <v>10</v>
      </c>
      <c r="BL409" s="381" t="s">
        <v>2415</v>
      </c>
      <c r="BM409" s="381">
        <v>412007</v>
      </c>
      <c r="BW409" s="383"/>
      <c r="BX409" s="383"/>
      <c r="BY409" s="383"/>
      <c r="BZ409" s="383"/>
      <c r="CA409" s="383"/>
      <c r="CB409" s="383"/>
      <c r="CC409" s="383"/>
      <c r="CD409" s="383"/>
      <c r="CE409" s="383"/>
      <c r="CF409" s="383"/>
      <c r="CG409" s="383"/>
      <c r="CH409" s="383"/>
      <c r="CI409" s="383"/>
      <c r="CJ409" s="383"/>
      <c r="CK409" s="383"/>
      <c r="CL409" s="383"/>
      <c r="CM409" s="383"/>
      <c r="CN409" s="383"/>
      <c r="CO409" s="383"/>
      <c r="CP409" s="383"/>
      <c r="CQ409" s="383"/>
      <c r="CR409" s="383"/>
      <c r="CS409" s="383"/>
      <c r="CT409" s="383"/>
      <c r="CU409" s="383"/>
      <c r="CV409" s="383"/>
      <c r="CW409" s="383"/>
      <c r="CX409" s="383"/>
      <c r="CY409" s="383"/>
      <c r="CZ409" s="383"/>
      <c r="DA409" s="383"/>
      <c r="DB409" s="383"/>
      <c r="DC409" s="383"/>
      <c r="DD409" s="383"/>
      <c r="DE409" s="383"/>
      <c r="DF409" s="383"/>
      <c r="DG409" s="383"/>
      <c r="DH409" s="383"/>
      <c r="DI409" s="383"/>
      <c r="DJ409" s="383"/>
      <c r="DK409" s="383"/>
      <c r="DL409" s="383"/>
      <c r="DM409" s="383"/>
      <c r="DN409" s="383"/>
      <c r="DO409" s="383"/>
      <c r="DP409" s="383"/>
      <c r="DQ409" s="383"/>
      <c r="DR409" s="383"/>
      <c r="DS409" s="383"/>
      <c r="DT409" s="383"/>
      <c r="DU409" s="383"/>
      <c r="DV409" s="383"/>
      <c r="DW409" s="383"/>
      <c r="DX409" s="383"/>
      <c r="DY409" s="383"/>
      <c r="DZ409" s="383"/>
      <c r="EA409" s="383"/>
      <c r="EB409" s="383"/>
      <c r="EC409" s="383"/>
      <c r="ED409" s="383"/>
      <c r="EE409" s="383"/>
    </row>
    <row r="410" spans="1:135" s="186" customFormat="1" ht="16.5">
      <c r="A410" s="186" t="str">
        <f t="shared" si="14"/>
        <v>AIR_A               AOS</v>
      </c>
      <c r="B410" s="378">
        <v>7202</v>
      </c>
      <c r="C410" s="282">
        <v>412007</v>
      </c>
      <c r="D410" s="379">
        <v>412</v>
      </c>
      <c r="F410" s="443" t="s">
        <v>1295</v>
      </c>
      <c r="O410" s="444" t="s">
        <v>1295</v>
      </c>
      <c r="P410" s="444" t="s">
        <v>1295</v>
      </c>
      <c r="Q410" s="188"/>
      <c r="R410" s="189"/>
      <c r="Z410" s="186" t="s">
        <v>2645</v>
      </c>
      <c r="AA410" s="186" t="s">
        <v>2645</v>
      </c>
      <c r="AC410" s="186" t="s">
        <v>2180</v>
      </c>
      <c r="AD410" s="186" t="s">
        <v>2550</v>
      </c>
      <c r="AH410" s="380"/>
      <c r="AJ410" s="380" t="s">
        <v>1119</v>
      </c>
      <c r="AK410" s="380"/>
      <c r="AL410" s="525">
        <v>3</v>
      </c>
      <c r="AM410" s="186">
        <v>412007</v>
      </c>
      <c r="AN410" s="186" t="s">
        <v>1637</v>
      </c>
      <c r="AO410" s="186" t="s">
        <v>1721</v>
      </c>
      <c r="AP410" s="186" t="s">
        <v>838</v>
      </c>
      <c r="AQ410" s="191" t="s">
        <v>2297</v>
      </c>
      <c r="AR410" s="186">
        <v>19</v>
      </c>
      <c r="AS410" s="186" t="s">
        <v>2060</v>
      </c>
      <c r="AT410" s="186" t="s">
        <v>268</v>
      </c>
      <c r="AU410" s="186" t="s">
        <v>269</v>
      </c>
      <c r="AV410" s="186" t="s">
        <v>1736</v>
      </c>
      <c r="AW410" s="186" t="s">
        <v>844</v>
      </c>
      <c r="AX410" s="191" t="s">
        <v>2320</v>
      </c>
      <c r="AY410" s="186">
        <v>2</v>
      </c>
      <c r="AZ410" s="186" t="s">
        <v>2116</v>
      </c>
      <c r="BA410" s="186" t="s">
        <v>845</v>
      </c>
      <c r="BB410" s="186" t="s">
        <v>10</v>
      </c>
      <c r="BC410" s="192" t="s">
        <v>2599</v>
      </c>
      <c r="BD410" s="186" t="s">
        <v>1742</v>
      </c>
      <c r="BE410" s="192" t="s">
        <v>2600</v>
      </c>
      <c r="BF410" s="192" t="s">
        <v>2603</v>
      </c>
      <c r="BG410" s="186">
        <v>1898</v>
      </c>
      <c r="BH410" s="186" t="s">
        <v>130</v>
      </c>
      <c r="BI410" s="186">
        <v>0.35</v>
      </c>
      <c r="BJ410" s="186" t="s">
        <v>1638</v>
      </c>
      <c r="BK410" s="186" t="s">
        <v>10</v>
      </c>
      <c r="BL410" s="186" t="s">
        <v>2415</v>
      </c>
      <c r="BM410" s="186">
        <v>412007</v>
      </c>
      <c r="BW410" s="282"/>
      <c r="BX410" s="282"/>
      <c r="BY410" s="282"/>
      <c r="BZ410" s="282"/>
      <c r="CA410" s="282"/>
      <c r="CB410" s="282"/>
      <c r="CC410" s="282"/>
      <c r="CD410" s="282"/>
      <c r="CE410" s="282"/>
      <c r="CF410" s="282"/>
      <c r="CG410" s="282"/>
      <c r="CH410" s="282"/>
      <c r="CI410" s="282"/>
      <c r="CJ410" s="282"/>
      <c r="CK410" s="282"/>
      <c r="CL410" s="282"/>
      <c r="CM410" s="282"/>
      <c r="CN410" s="282"/>
      <c r="CO410" s="282"/>
      <c r="CP410" s="282"/>
      <c r="CQ410" s="282"/>
      <c r="CR410" s="282"/>
      <c r="CS410" s="282"/>
      <c r="CT410" s="282"/>
      <c r="CU410" s="282"/>
      <c r="CV410" s="282"/>
      <c r="CW410" s="282"/>
      <c r="CX410" s="282"/>
      <c r="CY410" s="282"/>
      <c r="CZ410" s="282"/>
      <c r="DA410" s="282"/>
      <c r="DB410" s="282"/>
      <c r="DC410" s="282"/>
      <c r="DD410" s="282"/>
      <c r="DE410" s="282"/>
      <c r="DF410" s="282"/>
      <c r="DG410" s="282"/>
      <c r="DH410" s="282"/>
      <c r="DI410" s="282"/>
      <c r="DJ410" s="282"/>
      <c r="DK410" s="282"/>
      <c r="DL410" s="282"/>
      <c r="DM410" s="282"/>
      <c r="DN410" s="282"/>
      <c r="DO410" s="282"/>
      <c r="DP410" s="282"/>
      <c r="DQ410" s="282"/>
      <c r="DR410" s="282"/>
      <c r="DS410" s="282"/>
      <c r="DT410" s="282"/>
      <c r="DU410" s="282"/>
      <c r="DV410" s="282"/>
      <c r="DW410" s="282"/>
      <c r="DX410" s="282"/>
      <c r="DY410" s="282"/>
      <c r="DZ410" s="282"/>
      <c r="EA410" s="282"/>
      <c r="EB410" s="282"/>
      <c r="EC410" s="282"/>
      <c r="ED410" s="282"/>
      <c r="EE410" s="282"/>
    </row>
    <row r="411" spans="1:135" s="381" customFormat="1" ht="16.5">
      <c r="A411" s="381" t="str">
        <f t="shared" si="14"/>
        <v>AIR_A               AOS</v>
      </c>
      <c r="B411" s="382">
        <v>7202</v>
      </c>
      <c r="C411" s="383">
        <v>412008</v>
      </c>
      <c r="D411" s="384">
        <v>412</v>
      </c>
      <c r="F411" s="445" t="s">
        <v>1295</v>
      </c>
      <c r="O411" s="446" t="s">
        <v>1295</v>
      </c>
      <c r="P411" s="446" t="s">
        <v>1295</v>
      </c>
      <c r="Q411" s="386"/>
      <c r="R411" s="387"/>
      <c r="Z411" s="381" t="s">
        <v>2645</v>
      </c>
      <c r="AA411" s="381" t="s">
        <v>2645</v>
      </c>
      <c r="AC411" s="381" t="s">
        <v>2180</v>
      </c>
      <c r="AD411" s="381" t="s">
        <v>2550</v>
      </c>
      <c r="AH411" s="388"/>
      <c r="AJ411" s="388" t="s">
        <v>1119</v>
      </c>
      <c r="AK411" s="388"/>
      <c r="AL411" s="527">
        <v>3</v>
      </c>
      <c r="AM411" s="381">
        <v>412008</v>
      </c>
      <c r="AN411" s="381" t="s">
        <v>1639</v>
      </c>
      <c r="AO411" s="381" t="s">
        <v>1721</v>
      </c>
      <c r="AP411" s="381" t="s">
        <v>838</v>
      </c>
      <c r="AQ411" s="385" t="s">
        <v>2297</v>
      </c>
      <c r="AR411" s="381">
        <v>20</v>
      </c>
      <c r="AS411" s="381" t="s">
        <v>2060</v>
      </c>
      <c r="AT411" s="381" t="s">
        <v>268</v>
      </c>
      <c r="AU411" s="381" t="s">
        <v>269</v>
      </c>
      <c r="AV411" s="381" t="s">
        <v>1736</v>
      </c>
      <c r="AW411" s="381" t="s">
        <v>844</v>
      </c>
      <c r="AX411" s="385" t="s">
        <v>2320</v>
      </c>
      <c r="AY411" s="381">
        <v>3</v>
      </c>
      <c r="AZ411" s="381" t="s">
        <v>2116</v>
      </c>
      <c r="BA411" s="381" t="s">
        <v>845</v>
      </c>
      <c r="BB411" s="381" t="s">
        <v>10</v>
      </c>
      <c r="BC411" s="381" t="s">
        <v>71</v>
      </c>
      <c r="BD411" s="381" t="s">
        <v>1742</v>
      </c>
      <c r="BE411" s="381" t="s">
        <v>10</v>
      </c>
      <c r="BF411" s="381" t="s">
        <v>10</v>
      </c>
      <c r="BG411" s="381">
        <v>1897</v>
      </c>
      <c r="BH411" s="381" t="s">
        <v>25</v>
      </c>
      <c r="BI411" s="381">
        <v>0.35</v>
      </c>
      <c r="BJ411" s="381" t="s">
        <v>1640</v>
      </c>
      <c r="BK411" s="381" t="s">
        <v>10</v>
      </c>
      <c r="BL411" s="381" t="s">
        <v>2415</v>
      </c>
      <c r="BM411" s="381">
        <v>412008</v>
      </c>
      <c r="BW411" s="383"/>
      <c r="BX411" s="383"/>
      <c r="BY411" s="383"/>
      <c r="BZ411" s="383"/>
      <c r="CA411" s="383"/>
      <c r="CB411" s="383"/>
      <c r="CC411" s="383"/>
      <c r="CD411" s="383"/>
      <c r="CE411" s="383"/>
      <c r="CF411" s="383"/>
      <c r="CG411" s="383"/>
      <c r="CH411" s="383"/>
      <c r="CI411" s="383"/>
      <c r="CJ411" s="383"/>
      <c r="CK411" s="383"/>
      <c r="CL411" s="383"/>
      <c r="CM411" s="383"/>
      <c r="CN411" s="383"/>
      <c r="CO411" s="383"/>
      <c r="CP411" s="383"/>
      <c r="CQ411" s="383"/>
      <c r="CR411" s="383"/>
      <c r="CS411" s="383"/>
      <c r="CT411" s="383"/>
      <c r="CU411" s="383"/>
      <c r="CV411" s="383"/>
      <c r="CW411" s="383"/>
      <c r="CX411" s="383"/>
      <c r="CY411" s="383"/>
      <c r="CZ411" s="383"/>
      <c r="DA411" s="383"/>
      <c r="DB411" s="383"/>
      <c r="DC411" s="383"/>
      <c r="DD411" s="383"/>
      <c r="DE411" s="383"/>
      <c r="DF411" s="383"/>
      <c r="DG411" s="383"/>
      <c r="DH411" s="383"/>
      <c r="DI411" s="383"/>
      <c r="DJ411" s="383"/>
      <c r="DK411" s="383"/>
      <c r="DL411" s="383"/>
      <c r="DM411" s="383"/>
      <c r="DN411" s="383"/>
      <c r="DO411" s="383"/>
      <c r="DP411" s="383"/>
      <c r="DQ411" s="383"/>
      <c r="DR411" s="383"/>
      <c r="DS411" s="383"/>
      <c r="DT411" s="383"/>
      <c r="DU411" s="383"/>
      <c r="DV411" s="383"/>
      <c r="DW411" s="383"/>
      <c r="DX411" s="383"/>
      <c r="DY411" s="383"/>
      <c r="DZ411" s="383"/>
      <c r="EA411" s="383"/>
      <c r="EB411" s="383"/>
      <c r="EC411" s="383"/>
      <c r="ED411" s="383"/>
      <c r="EE411" s="383"/>
    </row>
    <row r="412" spans="1:135" s="186" customFormat="1" ht="16.5">
      <c r="A412" s="186" t="str">
        <f t="shared" si="14"/>
        <v>AIR_A               AOS</v>
      </c>
      <c r="B412" s="378">
        <v>7202</v>
      </c>
      <c r="C412" s="282">
        <v>412008</v>
      </c>
      <c r="D412" s="379">
        <v>412</v>
      </c>
      <c r="F412" s="443" t="s">
        <v>1295</v>
      </c>
      <c r="O412" s="444" t="s">
        <v>1295</v>
      </c>
      <c r="P412" s="444" t="s">
        <v>1295</v>
      </c>
      <c r="Q412" s="188"/>
      <c r="R412" s="189"/>
      <c r="Z412" s="186" t="s">
        <v>2645</v>
      </c>
      <c r="AA412" s="186" t="s">
        <v>2645</v>
      </c>
      <c r="AC412" s="186" t="s">
        <v>2180</v>
      </c>
      <c r="AD412" s="186" t="s">
        <v>2550</v>
      </c>
      <c r="AH412" s="380"/>
      <c r="AJ412" s="380" t="s">
        <v>1119</v>
      </c>
      <c r="AK412" s="380"/>
      <c r="AL412" s="525">
        <v>3</v>
      </c>
      <c r="AM412" s="186">
        <v>412008</v>
      </c>
      <c r="AN412" s="186" t="s">
        <v>1639</v>
      </c>
      <c r="AO412" s="186" t="s">
        <v>1721</v>
      </c>
      <c r="AP412" s="186" t="s">
        <v>838</v>
      </c>
      <c r="AQ412" s="191" t="s">
        <v>2297</v>
      </c>
      <c r="AR412" s="186">
        <v>20</v>
      </c>
      <c r="AS412" s="186" t="s">
        <v>2060</v>
      </c>
      <c r="AT412" s="186" t="s">
        <v>268</v>
      </c>
      <c r="AU412" s="186" t="s">
        <v>269</v>
      </c>
      <c r="AV412" s="186" t="s">
        <v>1736</v>
      </c>
      <c r="AW412" s="186" t="s">
        <v>844</v>
      </c>
      <c r="AX412" s="191" t="s">
        <v>2320</v>
      </c>
      <c r="AY412" s="186">
        <v>3</v>
      </c>
      <c r="AZ412" s="186" t="s">
        <v>2116</v>
      </c>
      <c r="BA412" s="186" t="s">
        <v>845</v>
      </c>
      <c r="BB412" s="186" t="s">
        <v>10</v>
      </c>
      <c r="BC412" s="192" t="s">
        <v>2599</v>
      </c>
      <c r="BD412" s="186" t="s">
        <v>1742</v>
      </c>
      <c r="BE412" s="192" t="s">
        <v>2600</v>
      </c>
      <c r="BF412" s="192" t="s">
        <v>2604</v>
      </c>
      <c r="BG412" s="186">
        <v>1898</v>
      </c>
      <c r="BH412" s="186" t="s">
        <v>25</v>
      </c>
      <c r="BI412" s="186">
        <v>0.35</v>
      </c>
      <c r="BJ412" s="186" t="s">
        <v>1640</v>
      </c>
      <c r="BK412" s="186" t="s">
        <v>10</v>
      </c>
      <c r="BL412" s="186" t="s">
        <v>2415</v>
      </c>
      <c r="BM412" s="186">
        <v>412008</v>
      </c>
      <c r="BW412" s="282"/>
      <c r="BX412" s="282"/>
      <c r="BY412" s="282"/>
      <c r="BZ412" s="282"/>
      <c r="CA412" s="282"/>
      <c r="CB412" s="282"/>
      <c r="CC412" s="282"/>
      <c r="CD412" s="282"/>
      <c r="CE412" s="282"/>
      <c r="CF412" s="282"/>
      <c r="CG412" s="282"/>
      <c r="CH412" s="282"/>
      <c r="CI412" s="282"/>
      <c r="CJ412" s="282"/>
      <c r="CK412" s="282"/>
      <c r="CL412" s="282"/>
      <c r="CM412" s="282"/>
      <c r="CN412" s="282"/>
      <c r="CO412" s="282"/>
      <c r="CP412" s="282"/>
      <c r="CQ412" s="282"/>
      <c r="CR412" s="282"/>
      <c r="CS412" s="282"/>
      <c r="CT412" s="282"/>
      <c r="CU412" s="282"/>
      <c r="CV412" s="282"/>
      <c r="CW412" s="282"/>
      <c r="CX412" s="282"/>
      <c r="CY412" s="282"/>
      <c r="CZ412" s="282"/>
      <c r="DA412" s="282"/>
      <c r="DB412" s="282"/>
      <c r="DC412" s="282"/>
      <c r="DD412" s="282"/>
      <c r="DE412" s="282"/>
      <c r="DF412" s="282"/>
      <c r="DG412" s="282"/>
      <c r="DH412" s="282"/>
      <c r="DI412" s="282"/>
      <c r="DJ412" s="282"/>
      <c r="DK412" s="282"/>
      <c r="DL412" s="282"/>
      <c r="DM412" s="282"/>
      <c r="DN412" s="282"/>
      <c r="DO412" s="282"/>
      <c r="DP412" s="282"/>
      <c r="DQ412" s="282"/>
      <c r="DR412" s="282"/>
      <c r="DS412" s="282"/>
      <c r="DT412" s="282"/>
      <c r="DU412" s="282"/>
      <c r="DV412" s="282"/>
      <c r="DW412" s="282"/>
      <c r="DX412" s="282"/>
      <c r="DY412" s="282"/>
      <c r="DZ412" s="282"/>
      <c r="EA412" s="282"/>
      <c r="EB412" s="282"/>
      <c r="EC412" s="282"/>
      <c r="ED412" s="282"/>
      <c r="EE412" s="282"/>
    </row>
    <row r="413" spans="1:135" s="35" customFormat="1" ht="16.5">
      <c r="A413" s="35" t="str">
        <f t="shared" si="14"/>
        <v>AIR_A               KNAFS</v>
      </c>
      <c r="B413" s="331"/>
      <c r="C413" s="248">
        <v>412009</v>
      </c>
      <c r="D413" s="283">
        <v>412</v>
      </c>
      <c r="F413" s="286" t="s">
        <v>1295</v>
      </c>
      <c r="O413" s="289" t="s">
        <v>1295</v>
      </c>
      <c r="P413" s="289" t="s">
        <v>1295</v>
      </c>
      <c r="Q413" s="58"/>
      <c r="R413" s="171"/>
      <c r="W413" s="392" t="s">
        <v>2576</v>
      </c>
      <c r="Z413" s="35" t="s">
        <v>2645</v>
      </c>
      <c r="AB413" s="58" t="s">
        <v>1115</v>
      </c>
      <c r="AC413" s="35" t="s">
        <v>2180</v>
      </c>
      <c r="AD413" s="35" t="s">
        <v>2550</v>
      </c>
      <c r="AH413" s="279"/>
      <c r="AJ413" s="279" t="s">
        <v>1119</v>
      </c>
      <c r="AK413" s="279"/>
      <c r="AL413" s="523">
        <v>3</v>
      </c>
      <c r="AM413" s="35">
        <v>412009</v>
      </c>
      <c r="AN413" s="35" t="s">
        <v>1641</v>
      </c>
      <c r="AO413" s="35" t="s">
        <v>1721</v>
      </c>
      <c r="AP413" s="35" t="s">
        <v>838</v>
      </c>
      <c r="AQ413" s="34" t="s">
        <v>2297</v>
      </c>
      <c r="AR413" s="35">
        <v>6</v>
      </c>
      <c r="AS413" s="35" t="s">
        <v>2060</v>
      </c>
      <c r="AT413" s="35" t="s">
        <v>268</v>
      </c>
      <c r="AU413" s="35" t="s">
        <v>269</v>
      </c>
      <c r="AV413" s="35" t="s">
        <v>1722</v>
      </c>
      <c r="AW413" s="35" t="s">
        <v>847</v>
      </c>
      <c r="AX413" s="34" t="s">
        <v>2321</v>
      </c>
      <c r="AY413" s="35">
        <v>2</v>
      </c>
      <c r="AZ413" s="35" t="s">
        <v>2062</v>
      </c>
      <c r="BA413" s="35" t="s">
        <v>1626</v>
      </c>
      <c r="BB413" s="35" t="s">
        <v>10</v>
      </c>
      <c r="BC413" s="35" t="s">
        <v>321</v>
      </c>
      <c r="BD413" s="35" t="s">
        <v>1742</v>
      </c>
      <c r="BE413" s="35" t="s">
        <v>848</v>
      </c>
      <c r="BF413" s="35" t="s">
        <v>159</v>
      </c>
      <c r="BG413" s="35">
        <v>1853</v>
      </c>
      <c r="BH413" s="35" t="s">
        <v>136</v>
      </c>
      <c r="BI413" s="35">
        <v>0.35</v>
      </c>
      <c r="BJ413" s="35" t="s">
        <v>1642</v>
      </c>
      <c r="BK413" s="35" t="s">
        <v>1680</v>
      </c>
      <c r="BL413" s="35" t="s">
        <v>2415</v>
      </c>
      <c r="BM413" s="35">
        <v>412009</v>
      </c>
      <c r="BW413" s="248"/>
      <c r="BX413" s="248"/>
      <c r="BY413" s="248"/>
      <c r="BZ413" s="248"/>
      <c r="CA413" s="248"/>
      <c r="CB413" s="248"/>
      <c r="CC413" s="248"/>
      <c r="CD413" s="248"/>
      <c r="CE413" s="248"/>
      <c r="CF413" s="248"/>
      <c r="CG413" s="248"/>
      <c r="CH413" s="248"/>
      <c r="CI413" s="248"/>
      <c r="CJ413" s="248"/>
      <c r="CK413" s="248"/>
      <c r="CL413" s="248"/>
      <c r="CM413" s="248"/>
      <c r="CN413" s="248"/>
      <c r="CO413" s="248"/>
      <c r="CP413" s="248"/>
      <c r="CQ413" s="248"/>
      <c r="CR413" s="248"/>
      <c r="CS413" s="248"/>
      <c r="CT413" s="248"/>
      <c r="CU413" s="248"/>
      <c r="CV413" s="248"/>
      <c r="CW413" s="248"/>
      <c r="CX413" s="248"/>
      <c r="CY413" s="248"/>
      <c r="CZ413" s="248"/>
      <c r="DA413" s="248"/>
      <c r="DB413" s="248"/>
      <c r="DC413" s="248"/>
      <c r="DD413" s="248"/>
      <c r="DE413" s="248"/>
      <c r="DF413" s="248"/>
      <c r="DG413" s="248"/>
      <c r="DH413" s="248"/>
      <c r="DI413" s="248"/>
      <c r="DJ413" s="248"/>
      <c r="DK413" s="248"/>
      <c r="DL413" s="248"/>
      <c r="DM413" s="248"/>
      <c r="DN413" s="248"/>
      <c r="DO413" s="248"/>
      <c r="DP413" s="248"/>
      <c r="DQ413" s="248"/>
      <c r="DR413" s="248"/>
      <c r="DS413" s="248"/>
      <c r="DT413" s="248"/>
      <c r="DU413" s="248"/>
      <c r="DV413" s="248"/>
      <c r="DW413" s="248"/>
      <c r="DX413" s="248"/>
      <c r="DY413" s="248"/>
      <c r="DZ413" s="248"/>
      <c r="EA413" s="248"/>
      <c r="EB413" s="248"/>
      <c r="EC413" s="248"/>
      <c r="ED413" s="248"/>
      <c r="EE413" s="248"/>
    </row>
    <row r="414" spans="1:135" s="35" customFormat="1" ht="16.5">
      <c r="A414" s="35" t="str">
        <f t="shared" si="14"/>
        <v>AIR_A               KNAFS</v>
      </c>
      <c r="B414" s="331"/>
      <c r="C414" s="248">
        <v>412010</v>
      </c>
      <c r="D414" s="283">
        <v>412</v>
      </c>
      <c r="E414" s="32"/>
      <c r="F414" s="286" t="s">
        <v>1295</v>
      </c>
      <c r="G414" s="32"/>
      <c r="H414" s="32"/>
      <c r="I414" s="32"/>
      <c r="K414" s="32"/>
      <c r="L414" s="32"/>
      <c r="M414" s="32"/>
      <c r="N414" s="32"/>
      <c r="O414" s="289" t="s">
        <v>1295</v>
      </c>
      <c r="P414" s="289" t="s">
        <v>1295</v>
      </c>
      <c r="Q414" s="58"/>
      <c r="R414" s="171"/>
      <c r="T414" s="32"/>
      <c r="U414" s="32"/>
      <c r="V414" s="32"/>
      <c r="W414" s="392" t="s">
        <v>2576</v>
      </c>
      <c r="X414" s="32"/>
      <c r="Y414" s="32"/>
      <c r="Z414" s="35" t="s">
        <v>2645</v>
      </c>
      <c r="AA414" s="32"/>
      <c r="AB414" s="58" t="s">
        <v>1115</v>
      </c>
      <c r="AC414" s="35" t="s">
        <v>2180</v>
      </c>
      <c r="AD414" s="35" t="s">
        <v>2550</v>
      </c>
      <c r="AH414" s="279"/>
      <c r="AJ414" s="279" t="s">
        <v>1119</v>
      </c>
      <c r="AK414" s="279"/>
      <c r="AL414" s="523">
        <v>3</v>
      </c>
      <c r="AM414" s="35">
        <v>412010</v>
      </c>
      <c r="AN414" s="35" t="s">
        <v>1643</v>
      </c>
      <c r="AO414" s="35" t="s">
        <v>1721</v>
      </c>
      <c r="AP414" s="35" t="s">
        <v>838</v>
      </c>
      <c r="AQ414" s="34" t="s">
        <v>2297</v>
      </c>
      <c r="AR414" s="35">
        <v>2</v>
      </c>
      <c r="AS414" s="35" t="s">
        <v>2060</v>
      </c>
      <c r="AT414" s="35" t="s">
        <v>268</v>
      </c>
      <c r="AU414" s="35" t="s">
        <v>269</v>
      </c>
      <c r="AV414" s="35" t="s">
        <v>1722</v>
      </c>
      <c r="AW414" s="35" t="s">
        <v>847</v>
      </c>
      <c r="AX414" s="34" t="s">
        <v>2321</v>
      </c>
      <c r="AY414" s="35">
        <v>1</v>
      </c>
      <c r="AZ414" s="35" t="s">
        <v>2062</v>
      </c>
      <c r="BA414" s="35" t="s">
        <v>1626</v>
      </c>
      <c r="BB414" s="35" t="s">
        <v>10</v>
      </c>
      <c r="BC414" s="35" t="s">
        <v>321</v>
      </c>
      <c r="BD414" s="35" t="s">
        <v>1742</v>
      </c>
      <c r="BE414" s="35" t="s">
        <v>848</v>
      </c>
      <c r="BF414" s="35" t="s">
        <v>292</v>
      </c>
      <c r="BG414" s="35">
        <v>1853</v>
      </c>
      <c r="BH414" s="35" t="s">
        <v>91</v>
      </c>
      <c r="BI414" s="35">
        <v>0.35</v>
      </c>
      <c r="BJ414" s="35" t="s">
        <v>1644</v>
      </c>
      <c r="BK414" s="35" t="s">
        <v>1680</v>
      </c>
      <c r="BL414" s="35" t="s">
        <v>2415</v>
      </c>
      <c r="BM414" s="35">
        <v>412010</v>
      </c>
      <c r="BW414" s="248"/>
      <c r="BX414" s="248"/>
      <c r="BY414" s="248"/>
      <c r="BZ414" s="248"/>
      <c r="CA414" s="248"/>
      <c r="CB414" s="248"/>
      <c r="CC414" s="248"/>
      <c r="CD414" s="248"/>
      <c r="CE414" s="248"/>
      <c r="CF414" s="248"/>
      <c r="CG414" s="248"/>
      <c r="CH414" s="248"/>
      <c r="CI414" s="248"/>
      <c r="CJ414" s="248"/>
      <c r="CK414" s="248"/>
      <c r="CL414" s="248"/>
      <c r="CM414" s="248"/>
      <c r="CN414" s="248"/>
      <c r="CO414" s="248"/>
      <c r="CP414" s="248"/>
      <c r="CQ414" s="248"/>
      <c r="CR414" s="248"/>
      <c r="CS414" s="248"/>
      <c r="CT414" s="248"/>
      <c r="CU414" s="248"/>
      <c r="CV414" s="248"/>
      <c r="CW414" s="248"/>
      <c r="CX414" s="248"/>
      <c r="CY414" s="248"/>
      <c r="CZ414" s="248"/>
      <c r="DA414" s="248"/>
      <c r="DB414" s="248"/>
      <c r="DC414" s="248"/>
      <c r="DD414" s="248"/>
      <c r="DE414" s="248"/>
      <c r="DF414" s="248"/>
      <c r="DG414" s="248"/>
      <c r="DH414" s="248"/>
      <c r="DI414" s="248"/>
      <c r="DJ414" s="248"/>
      <c r="DK414" s="248"/>
      <c r="DL414" s="248"/>
      <c r="DM414" s="248"/>
      <c r="DN414" s="248"/>
      <c r="DO414" s="248"/>
      <c r="DP414" s="248"/>
      <c r="DQ414" s="248"/>
      <c r="DR414" s="248"/>
      <c r="DS414" s="248"/>
      <c r="DT414" s="248"/>
      <c r="DU414" s="248"/>
      <c r="DV414" s="248"/>
      <c r="DW414" s="248"/>
      <c r="DX414" s="248"/>
      <c r="DY414" s="248"/>
      <c r="DZ414" s="248"/>
      <c r="EA414" s="248"/>
      <c r="EB414" s="248"/>
      <c r="EC414" s="248"/>
      <c r="ED414" s="248"/>
      <c r="EE414" s="248"/>
    </row>
    <row r="415" spans="1:135" s="185" customFormat="1" ht="16.5">
      <c r="A415" s="35" t="str">
        <f t="shared" si="14"/>
        <v>SP_MB31_B2          KNAFS</v>
      </c>
      <c r="B415" s="331"/>
      <c r="C415" s="248">
        <v>412011</v>
      </c>
      <c r="D415" s="283">
        <v>412</v>
      </c>
      <c r="E415" s="35"/>
      <c r="F415" s="286" t="s">
        <v>1295</v>
      </c>
      <c r="G415" s="35" t="s">
        <v>2232</v>
      </c>
      <c r="H415" s="35" t="s">
        <v>609</v>
      </c>
      <c r="I415" s="35"/>
      <c r="K415" s="35"/>
      <c r="L415" s="35"/>
      <c r="M415" s="35"/>
      <c r="N415" s="35" t="s">
        <v>537</v>
      </c>
      <c r="O415" s="34" t="s">
        <v>1086</v>
      </c>
      <c r="P415" s="289" t="s">
        <v>1295</v>
      </c>
      <c r="Q415" s="58"/>
      <c r="R415" s="171"/>
      <c r="S415" s="35"/>
      <c r="T415" s="35"/>
      <c r="U415" s="35"/>
      <c r="V415" s="35"/>
      <c r="W415" s="392" t="s">
        <v>2576</v>
      </c>
      <c r="X415" s="35"/>
      <c r="Y415" s="35"/>
      <c r="Z415" s="35"/>
      <c r="AA415" s="35"/>
      <c r="AB415" s="58" t="s">
        <v>1115</v>
      </c>
      <c r="AC415" s="35"/>
      <c r="AD415" s="35"/>
      <c r="AE415" s="35"/>
      <c r="AF415" s="35"/>
      <c r="AG415" s="35"/>
      <c r="AH415" s="279"/>
      <c r="AI415" s="35"/>
      <c r="AJ415" s="279" t="s">
        <v>1119</v>
      </c>
      <c r="AK415" s="279"/>
      <c r="AL415" s="523">
        <v>3</v>
      </c>
      <c r="AM415" s="35">
        <v>412011</v>
      </c>
      <c r="AN415" s="35" t="s">
        <v>2063</v>
      </c>
      <c r="AO415" s="35" t="s">
        <v>2148</v>
      </c>
      <c r="AP415" s="35" t="s">
        <v>535</v>
      </c>
      <c r="AQ415" s="34" t="s">
        <v>2232</v>
      </c>
      <c r="AR415" s="35">
        <v>1</v>
      </c>
      <c r="AS415" s="35" t="s">
        <v>1254</v>
      </c>
      <c r="AT415" s="35" t="s">
        <v>10</v>
      </c>
      <c r="AU415" s="35" t="s">
        <v>10</v>
      </c>
      <c r="AV415" s="35" t="s">
        <v>1722</v>
      </c>
      <c r="AW415" s="35" t="s">
        <v>847</v>
      </c>
      <c r="AX415" s="34" t="s">
        <v>2321</v>
      </c>
      <c r="AY415" s="35">
        <v>3</v>
      </c>
      <c r="AZ415" s="35" t="s">
        <v>2062</v>
      </c>
      <c r="BA415" s="35" t="s">
        <v>1626</v>
      </c>
      <c r="BB415" s="35" t="s">
        <v>10</v>
      </c>
      <c r="BC415" s="35" t="s">
        <v>71</v>
      </c>
      <c r="BD415" s="35" t="s">
        <v>1742</v>
      </c>
      <c r="BE415" s="35" t="s">
        <v>10</v>
      </c>
      <c r="BF415" s="35" t="s">
        <v>10</v>
      </c>
      <c r="BG415" s="35">
        <v>502</v>
      </c>
      <c r="BH415" s="35" t="s">
        <v>25</v>
      </c>
      <c r="BI415" s="35">
        <v>0.35</v>
      </c>
      <c r="BJ415" s="35" t="s">
        <v>1296</v>
      </c>
      <c r="BK415" s="35" t="s">
        <v>1680</v>
      </c>
      <c r="BL415" s="35" t="s">
        <v>2415</v>
      </c>
      <c r="BM415" s="35">
        <v>412011</v>
      </c>
      <c r="BN415" s="35"/>
      <c r="BO415" s="35"/>
      <c r="BP415" s="35"/>
      <c r="BQ415" s="35"/>
      <c r="BR415" s="35"/>
      <c r="BS415" s="35"/>
      <c r="BT415" s="35"/>
      <c r="BU415" s="35"/>
      <c r="BV415" s="248"/>
      <c r="BW415" s="248"/>
      <c r="BX415" s="248"/>
      <c r="BY415" s="248"/>
      <c r="BZ415" s="248"/>
      <c r="CA415" s="248"/>
      <c r="CB415" s="248"/>
      <c r="CC415" s="248"/>
      <c r="CD415" s="248"/>
      <c r="CE415" s="248"/>
      <c r="CF415" s="248"/>
      <c r="CG415" s="248"/>
      <c r="CH415" s="248"/>
      <c r="CI415" s="248"/>
      <c r="CJ415" s="248"/>
      <c r="CK415" s="248"/>
      <c r="CL415" s="248"/>
      <c r="CM415" s="248"/>
      <c r="CN415" s="248"/>
      <c r="CO415" s="248"/>
      <c r="CP415" s="248"/>
      <c r="CQ415" s="248"/>
      <c r="CR415" s="248"/>
      <c r="CS415" s="248"/>
      <c r="CT415" s="248"/>
      <c r="CU415" s="248"/>
      <c r="CV415" s="248"/>
      <c r="CW415" s="248"/>
      <c r="CX415" s="248"/>
      <c r="CY415" s="248"/>
      <c r="CZ415" s="248"/>
      <c r="DA415" s="248"/>
      <c r="DB415" s="248"/>
      <c r="DC415" s="248"/>
      <c r="DD415" s="248"/>
      <c r="DE415" s="248"/>
      <c r="DF415" s="248"/>
      <c r="DG415" s="248"/>
      <c r="DH415" s="248"/>
      <c r="DI415" s="248"/>
      <c r="DJ415" s="248"/>
      <c r="DK415" s="248"/>
      <c r="DL415" s="248"/>
      <c r="DM415" s="248"/>
      <c r="DN415" s="248"/>
      <c r="DO415" s="248"/>
      <c r="DP415" s="248"/>
      <c r="DQ415" s="248"/>
      <c r="DR415" s="248"/>
      <c r="DS415" s="248"/>
      <c r="DT415" s="248"/>
      <c r="DU415" s="248"/>
      <c r="DV415" s="248"/>
      <c r="DW415" s="248"/>
      <c r="DX415" s="248"/>
      <c r="DY415" s="248"/>
      <c r="DZ415" s="248"/>
      <c r="EA415" s="248"/>
      <c r="EB415" s="248"/>
      <c r="EC415" s="248"/>
      <c r="ED415" s="248"/>
    </row>
    <row r="416" spans="1:135" s="35" customFormat="1" ht="16.5">
      <c r="A416" s="35" t="str">
        <f t="shared" si="14"/>
        <v>AIR_A               KNABFS</v>
      </c>
      <c r="B416" s="331"/>
      <c r="C416" s="248">
        <v>412012</v>
      </c>
      <c r="D416" s="283">
        <v>412</v>
      </c>
      <c r="F416" s="286" t="s">
        <v>1295</v>
      </c>
      <c r="O416" s="289" t="s">
        <v>1295</v>
      </c>
      <c r="P416" s="289" t="s">
        <v>1295</v>
      </c>
      <c r="Q416" s="58"/>
      <c r="R416" s="171"/>
      <c r="W416" s="171" t="s">
        <v>2454</v>
      </c>
      <c r="Z416" s="35" t="s">
        <v>2645</v>
      </c>
      <c r="AB416" s="58" t="s">
        <v>1115</v>
      </c>
      <c r="AC416" s="35" t="s">
        <v>2180</v>
      </c>
      <c r="AD416" s="35" t="s">
        <v>2550</v>
      </c>
      <c r="AH416" s="279"/>
      <c r="AJ416" s="279" t="s">
        <v>1119</v>
      </c>
      <c r="AK416" s="279"/>
      <c r="AL416" s="523">
        <v>3</v>
      </c>
      <c r="AM416" s="35">
        <v>412012</v>
      </c>
      <c r="AN416" s="35" t="s">
        <v>1645</v>
      </c>
      <c r="AO416" s="35" t="s">
        <v>1721</v>
      </c>
      <c r="AP416" s="35" t="s">
        <v>838</v>
      </c>
      <c r="AQ416" s="34" t="s">
        <v>2297</v>
      </c>
      <c r="AR416" s="35">
        <v>5</v>
      </c>
      <c r="AS416" s="35" t="s">
        <v>2060</v>
      </c>
      <c r="AT416" s="35" t="s">
        <v>268</v>
      </c>
      <c r="AU416" s="35" t="s">
        <v>269</v>
      </c>
      <c r="AV416" s="35" t="s">
        <v>1723</v>
      </c>
      <c r="AW416" s="35" t="s">
        <v>849</v>
      </c>
      <c r="AX416" s="34" t="s">
        <v>2299</v>
      </c>
      <c r="AY416" s="35">
        <v>2</v>
      </c>
      <c r="AZ416" s="35" t="s">
        <v>2471</v>
      </c>
      <c r="BA416" s="35" t="s">
        <v>1626</v>
      </c>
      <c r="BB416" s="35" t="s">
        <v>10</v>
      </c>
      <c r="BC416" s="35" t="s">
        <v>850</v>
      </c>
      <c r="BD416" s="35" t="s">
        <v>1742</v>
      </c>
      <c r="BE416" s="35" t="s">
        <v>851</v>
      </c>
      <c r="BF416" s="35" t="s">
        <v>183</v>
      </c>
      <c r="BG416" s="35">
        <v>2107</v>
      </c>
      <c r="BH416" s="35" t="s">
        <v>139</v>
      </c>
      <c r="BI416" s="35">
        <v>0.35</v>
      </c>
      <c r="BJ416" s="35" t="s">
        <v>1646</v>
      </c>
      <c r="BK416" s="35" t="s">
        <v>1680</v>
      </c>
      <c r="BL416" s="35" t="s">
        <v>2415</v>
      </c>
      <c r="BM416" s="35">
        <v>412012</v>
      </c>
      <c r="BW416" s="248"/>
      <c r="BX416" s="248"/>
      <c r="BY416" s="248"/>
      <c r="BZ416" s="248"/>
      <c r="CA416" s="248"/>
      <c r="CB416" s="248"/>
      <c r="CC416" s="248"/>
      <c r="CD416" s="248"/>
      <c r="CE416" s="248"/>
      <c r="CF416" s="248"/>
      <c r="CG416" s="248"/>
      <c r="CH416" s="248"/>
      <c r="CI416" s="248"/>
      <c r="CJ416" s="248"/>
      <c r="CK416" s="248"/>
      <c r="CL416" s="248"/>
      <c r="CM416" s="248"/>
      <c r="CN416" s="248"/>
      <c r="CO416" s="248"/>
      <c r="CP416" s="248"/>
      <c r="CQ416" s="248"/>
      <c r="CR416" s="248"/>
      <c r="CS416" s="248"/>
      <c r="CT416" s="248"/>
      <c r="CU416" s="248"/>
      <c r="CV416" s="248"/>
      <c r="CW416" s="248"/>
      <c r="CX416" s="248"/>
      <c r="CY416" s="248"/>
      <c r="CZ416" s="248"/>
      <c r="DA416" s="248"/>
      <c r="DB416" s="248"/>
      <c r="DC416" s="248"/>
      <c r="DD416" s="248"/>
      <c r="DE416" s="248"/>
      <c r="DF416" s="248"/>
      <c r="DG416" s="248"/>
      <c r="DH416" s="248"/>
      <c r="DI416" s="248"/>
      <c r="DJ416" s="248"/>
      <c r="DK416" s="248"/>
      <c r="DL416" s="248"/>
      <c r="DM416" s="248"/>
      <c r="DN416" s="248"/>
      <c r="DO416" s="248"/>
      <c r="DP416" s="248"/>
      <c r="DQ416" s="248"/>
      <c r="DR416" s="248"/>
      <c r="DS416" s="248"/>
      <c r="DT416" s="248"/>
      <c r="DU416" s="248"/>
      <c r="DV416" s="248"/>
      <c r="DW416" s="248"/>
      <c r="DX416" s="248"/>
      <c r="DY416" s="248"/>
      <c r="DZ416" s="248"/>
      <c r="EA416" s="248"/>
      <c r="EB416" s="248"/>
      <c r="EC416" s="248"/>
      <c r="ED416" s="248"/>
      <c r="EE416" s="248"/>
    </row>
    <row r="417" spans="1:135" s="35" customFormat="1" ht="16.5">
      <c r="A417" s="35" t="str">
        <f t="shared" si="14"/>
        <v>AIR_A               KNABFS</v>
      </c>
      <c r="B417" s="331"/>
      <c r="C417" s="248">
        <v>412013</v>
      </c>
      <c r="D417" s="283">
        <v>412</v>
      </c>
      <c r="F417" s="286" t="s">
        <v>1295</v>
      </c>
      <c r="G417" s="39"/>
      <c r="O417" s="289" t="s">
        <v>1295</v>
      </c>
      <c r="P417" s="289" t="s">
        <v>1295</v>
      </c>
      <c r="Q417" s="58"/>
      <c r="R417" s="171"/>
      <c r="W417" s="171" t="s">
        <v>2454</v>
      </c>
      <c r="Z417" s="35" t="s">
        <v>2645</v>
      </c>
      <c r="AB417" s="58" t="s">
        <v>1115</v>
      </c>
      <c r="AC417" s="35" t="s">
        <v>2180</v>
      </c>
      <c r="AD417" s="35" t="s">
        <v>2550</v>
      </c>
      <c r="AH417" s="279"/>
      <c r="AJ417" s="279" t="s">
        <v>1119</v>
      </c>
      <c r="AK417" s="279"/>
      <c r="AL417" s="523">
        <v>3</v>
      </c>
      <c r="AM417" s="35">
        <v>412013</v>
      </c>
      <c r="AN417" s="35" t="s">
        <v>1647</v>
      </c>
      <c r="AO417" s="35" t="s">
        <v>1721</v>
      </c>
      <c r="AP417" s="35" t="s">
        <v>838</v>
      </c>
      <c r="AQ417" s="34" t="s">
        <v>2297</v>
      </c>
      <c r="AR417" s="35">
        <v>1</v>
      </c>
      <c r="AS417" s="35" t="s">
        <v>2060</v>
      </c>
      <c r="AT417" s="35" t="s">
        <v>268</v>
      </c>
      <c r="AU417" s="35" t="s">
        <v>269</v>
      </c>
      <c r="AV417" s="35" t="s">
        <v>1723</v>
      </c>
      <c r="AW417" s="35" t="s">
        <v>849</v>
      </c>
      <c r="AX417" s="34" t="s">
        <v>2299</v>
      </c>
      <c r="AY417" s="35">
        <v>1</v>
      </c>
      <c r="AZ417" s="35" t="s">
        <v>2471</v>
      </c>
      <c r="BA417" s="35" t="s">
        <v>1626</v>
      </c>
      <c r="BB417" s="35" t="s">
        <v>10</v>
      </c>
      <c r="BC417" s="35" t="s">
        <v>850</v>
      </c>
      <c r="BD417" s="35" t="s">
        <v>1742</v>
      </c>
      <c r="BE417" s="35" t="s">
        <v>851</v>
      </c>
      <c r="BF417" s="35" t="s">
        <v>256</v>
      </c>
      <c r="BG417" s="35">
        <v>2107</v>
      </c>
      <c r="BH417" s="35" t="s">
        <v>174</v>
      </c>
      <c r="BI417" s="35">
        <v>0.35</v>
      </c>
      <c r="BJ417" s="35" t="s">
        <v>1648</v>
      </c>
      <c r="BK417" s="35" t="s">
        <v>1680</v>
      </c>
      <c r="BL417" s="35" t="s">
        <v>2415</v>
      </c>
      <c r="BM417" s="35">
        <v>412013</v>
      </c>
      <c r="BW417" s="248"/>
      <c r="BX417" s="248"/>
      <c r="BY417" s="248"/>
      <c r="BZ417" s="248"/>
      <c r="CA417" s="248"/>
      <c r="CB417" s="248"/>
      <c r="CC417" s="248"/>
      <c r="CD417" s="248"/>
      <c r="CE417" s="248"/>
      <c r="CF417" s="248"/>
      <c r="CG417" s="248"/>
      <c r="CH417" s="248"/>
      <c r="CI417" s="248"/>
      <c r="CJ417" s="248"/>
      <c r="CK417" s="248"/>
      <c r="CL417" s="248"/>
      <c r="CM417" s="248"/>
      <c r="CN417" s="248"/>
      <c r="CO417" s="248"/>
      <c r="CP417" s="248"/>
      <c r="CQ417" s="248"/>
      <c r="CR417" s="248"/>
      <c r="CS417" s="248"/>
      <c r="CT417" s="248"/>
      <c r="CU417" s="248"/>
      <c r="CV417" s="248"/>
      <c r="CW417" s="248"/>
      <c r="CX417" s="248"/>
      <c r="CY417" s="248"/>
      <c r="CZ417" s="248"/>
      <c r="DA417" s="248"/>
      <c r="DB417" s="248"/>
      <c r="DC417" s="248"/>
      <c r="DD417" s="248"/>
      <c r="DE417" s="248"/>
      <c r="DF417" s="248"/>
      <c r="DG417" s="248"/>
      <c r="DH417" s="248"/>
      <c r="DI417" s="248"/>
      <c r="DJ417" s="248"/>
      <c r="DK417" s="248"/>
      <c r="DL417" s="248"/>
      <c r="DM417" s="248"/>
      <c r="DN417" s="248"/>
      <c r="DO417" s="248"/>
      <c r="DP417" s="248"/>
      <c r="DQ417" s="248"/>
      <c r="DR417" s="248"/>
      <c r="DS417" s="248"/>
      <c r="DT417" s="248"/>
      <c r="DU417" s="248"/>
      <c r="DV417" s="248"/>
      <c r="DW417" s="248"/>
      <c r="DX417" s="248"/>
      <c r="DY417" s="248"/>
      <c r="DZ417" s="248"/>
      <c r="EA417" s="248"/>
      <c r="EB417" s="248"/>
      <c r="EC417" s="248"/>
      <c r="ED417" s="248"/>
      <c r="EE417" s="248"/>
    </row>
    <row r="418" spans="1:135" s="35" customFormat="1" ht="16.5">
      <c r="A418" s="35" t="str">
        <f t="shared" si="14"/>
        <v>KNABFS              SP_MB32_B2</v>
      </c>
      <c r="B418" s="331"/>
      <c r="C418" s="248">
        <v>412014</v>
      </c>
      <c r="D418" s="283">
        <v>412</v>
      </c>
      <c r="F418" s="286" t="s">
        <v>1295</v>
      </c>
      <c r="G418" s="35" t="s">
        <v>2228</v>
      </c>
      <c r="H418" s="35" t="s">
        <v>609</v>
      </c>
      <c r="N418" s="35" t="s">
        <v>537</v>
      </c>
      <c r="O418" s="289" t="s">
        <v>1295</v>
      </c>
      <c r="P418" s="34" t="s">
        <v>1086</v>
      </c>
      <c r="Q418" s="58"/>
      <c r="R418" s="171"/>
      <c r="W418" s="171" t="s">
        <v>2454</v>
      </c>
      <c r="AB418" s="58" t="s">
        <v>1115</v>
      </c>
      <c r="AH418" s="279"/>
      <c r="AJ418" s="279" t="s">
        <v>1119</v>
      </c>
      <c r="AK418" s="279"/>
      <c r="AL418" s="523">
        <v>3</v>
      </c>
      <c r="AM418" s="35">
        <v>412014</v>
      </c>
      <c r="AN418" s="35" t="s">
        <v>1649</v>
      </c>
      <c r="AO418" s="35" t="s">
        <v>1723</v>
      </c>
      <c r="AP418" s="35" t="s">
        <v>849</v>
      </c>
      <c r="AQ418" s="34" t="s">
        <v>2299</v>
      </c>
      <c r="AR418" s="35">
        <v>3</v>
      </c>
      <c r="AS418" s="35" t="s">
        <v>2471</v>
      </c>
      <c r="AT418" s="35" t="s">
        <v>1626</v>
      </c>
      <c r="AU418" s="35" t="s">
        <v>10</v>
      </c>
      <c r="AV418" s="35" t="s">
        <v>2146</v>
      </c>
      <c r="AW418" s="35" t="s">
        <v>250</v>
      </c>
      <c r="AX418" s="34" t="s">
        <v>2228</v>
      </c>
      <c r="AY418" s="35">
        <v>1</v>
      </c>
      <c r="AZ418" s="35" t="s">
        <v>1170</v>
      </c>
      <c r="BA418" s="35" t="s">
        <v>10</v>
      </c>
      <c r="BB418" s="35" t="s">
        <v>10</v>
      </c>
      <c r="BC418" s="35" t="s">
        <v>71</v>
      </c>
      <c r="BD418" s="35" t="s">
        <v>1742</v>
      </c>
      <c r="BE418" s="35" t="s">
        <v>10</v>
      </c>
      <c r="BF418" s="35" t="s">
        <v>10</v>
      </c>
      <c r="BG418" s="35">
        <v>1190</v>
      </c>
      <c r="BH418" s="35" t="s">
        <v>25</v>
      </c>
      <c r="BI418" s="35">
        <v>0.35</v>
      </c>
      <c r="BJ418" s="35" t="s">
        <v>1296</v>
      </c>
      <c r="BK418" s="35" t="s">
        <v>1680</v>
      </c>
      <c r="BL418" s="35" t="s">
        <v>2415</v>
      </c>
      <c r="BM418" s="35">
        <v>412014</v>
      </c>
      <c r="BW418" s="248"/>
      <c r="BX418" s="248"/>
      <c r="BY418" s="248"/>
      <c r="BZ418" s="248"/>
      <c r="CA418" s="248"/>
      <c r="CB418" s="248"/>
      <c r="CC418" s="248"/>
      <c r="CD418" s="248"/>
      <c r="CE418" s="248"/>
      <c r="CF418" s="248"/>
      <c r="CG418" s="248"/>
      <c r="CH418" s="248"/>
      <c r="CI418" s="248"/>
      <c r="CJ418" s="248"/>
      <c r="CK418" s="248"/>
      <c r="CL418" s="248"/>
      <c r="CM418" s="248"/>
      <c r="CN418" s="248"/>
      <c r="CO418" s="248"/>
      <c r="CP418" s="248"/>
      <c r="CQ418" s="248"/>
      <c r="CR418" s="248"/>
      <c r="CS418" s="248"/>
      <c r="CT418" s="248"/>
      <c r="CU418" s="248"/>
      <c r="CV418" s="248"/>
      <c r="CW418" s="248"/>
      <c r="CX418" s="248"/>
      <c r="CY418" s="248"/>
      <c r="CZ418" s="248"/>
      <c r="DA418" s="248"/>
      <c r="DB418" s="248"/>
      <c r="DC418" s="248"/>
      <c r="DD418" s="248"/>
      <c r="DE418" s="248"/>
      <c r="DF418" s="248"/>
      <c r="DG418" s="248"/>
      <c r="DH418" s="248"/>
      <c r="DI418" s="248"/>
      <c r="DJ418" s="248"/>
      <c r="DK418" s="248"/>
      <c r="DL418" s="248"/>
      <c r="DM418" s="248"/>
      <c r="DN418" s="248"/>
      <c r="DO418" s="248"/>
      <c r="DP418" s="248"/>
      <c r="DQ418" s="248"/>
      <c r="DR418" s="248"/>
      <c r="DS418" s="248"/>
      <c r="DT418" s="248"/>
      <c r="DU418" s="248"/>
      <c r="DV418" s="248"/>
      <c r="DW418" s="248"/>
      <c r="DX418" s="248"/>
      <c r="DY418" s="248"/>
      <c r="DZ418" s="248"/>
      <c r="EA418" s="248"/>
      <c r="EB418" s="248"/>
      <c r="EC418" s="248"/>
      <c r="ED418" s="248"/>
      <c r="EE418" s="248"/>
    </row>
    <row r="419" spans="1:135" s="35" customFormat="1" ht="16.5">
      <c r="A419" s="35" t="str">
        <f t="shared" si="14"/>
        <v>AIR_A               SGMLS</v>
      </c>
      <c r="B419" s="331"/>
      <c r="C419" s="248">
        <v>412015</v>
      </c>
      <c r="D419" s="283">
        <v>412</v>
      </c>
      <c r="F419" s="286" t="s">
        <v>1295</v>
      </c>
      <c r="G419" s="39"/>
      <c r="O419" s="289" t="s">
        <v>1295</v>
      </c>
      <c r="P419" s="34" t="s">
        <v>1086</v>
      </c>
      <c r="Q419" s="58"/>
      <c r="R419" s="39"/>
      <c r="Z419" s="35" t="s">
        <v>2645</v>
      </c>
      <c r="AA419" s="35" t="s">
        <v>2645</v>
      </c>
      <c r="AC419" s="35" t="s">
        <v>2180</v>
      </c>
      <c r="AD419" s="35" t="s">
        <v>2550</v>
      </c>
      <c r="AH419" s="279"/>
      <c r="AJ419" s="279" t="s">
        <v>1119</v>
      </c>
      <c r="AK419" s="279"/>
      <c r="AL419" s="523">
        <v>3</v>
      </c>
      <c r="AM419" s="35">
        <v>412015</v>
      </c>
      <c r="AN419" s="35" t="s">
        <v>1650</v>
      </c>
      <c r="AO419" s="35" t="s">
        <v>1721</v>
      </c>
      <c r="AP419" s="35" t="s">
        <v>838</v>
      </c>
      <c r="AQ419" s="34" t="s">
        <v>2297</v>
      </c>
      <c r="AR419" s="35">
        <v>12</v>
      </c>
      <c r="AS419" s="35" t="s">
        <v>2060</v>
      </c>
      <c r="AT419" s="35" t="s">
        <v>268</v>
      </c>
      <c r="AU419" s="35" t="s">
        <v>269</v>
      </c>
      <c r="AV419" s="35" t="s">
        <v>1694</v>
      </c>
      <c r="AW419" s="35" t="s">
        <v>643</v>
      </c>
      <c r="AX419" s="34" t="s">
        <v>2305</v>
      </c>
      <c r="AY419" s="35">
        <v>11</v>
      </c>
      <c r="AZ419" s="35" t="s">
        <v>478</v>
      </c>
      <c r="BA419" s="35" t="s">
        <v>852</v>
      </c>
      <c r="BB419" s="35" t="s">
        <v>10</v>
      </c>
      <c r="BC419" s="35" t="s">
        <v>853</v>
      </c>
      <c r="BD419" s="35" t="s">
        <v>1742</v>
      </c>
      <c r="BE419" s="35" t="s">
        <v>854</v>
      </c>
      <c r="BF419" s="35" t="s">
        <v>232</v>
      </c>
      <c r="BG419" s="35">
        <v>1983</v>
      </c>
      <c r="BH419" s="35" t="s">
        <v>84</v>
      </c>
      <c r="BI419" s="35">
        <v>0.35</v>
      </c>
      <c r="BJ419" s="35" t="s">
        <v>855</v>
      </c>
      <c r="BK419" s="35" t="s">
        <v>1680</v>
      </c>
      <c r="BL419" s="35" t="s">
        <v>2415</v>
      </c>
      <c r="BM419" s="35">
        <v>412015</v>
      </c>
      <c r="BW419" s="248"/>
      <c r="BX419" s="248"/>
      <c r="BY419" s="248"/>
      <c r="BZ419" s="248"/>
      <c r="CA419" s="248"/>
      <c r="CB419" s="248"/>
      <c r="CC419" s="248"/>
      <c r="CD419" s="248"/>
      <c r="CE419" s="248"/>
      <c r="CF419" s="248"/>
      <c r="CG419" s="248"/>
      <c r="CH419" s="248"/>
      <c r="CI419" s="248"/>
      <c r="CJ419" s="248"/>
      <c r="CK419" s="248"/>
      <c r="CL419" s="248"/>
      <c r="CM419" s="248"/>
      <c r="CN419" s="248"/>
      <c r="CO419" s="248"/>
      <c r="CP419" s="248"/>
      <c r="CQ419" s="248"/>
      <c r="CR419" s="248"/>
      <c r="CS419" s="248"/>
      <c r="CT419" s="248"/>
      <c r="CU419" s="248"/>
      <c r="CV419" s="248"/>
      <c r="CW419" s="248"/>
      <c r="CX419" s="248"/>
      <c r="CY419" s="248"/>
      <c r="CZ419" s="248"/>
      <c r="DA419" s="248"/>
      <c r="DB419" s="248"/>
      <c r="DC419" s="248"/>
      <c r="DD419" s="248"/>
      <c r="DE419" s="248"/>
      <c r="DF419" s="248"/>
      <c r="DG419" s="248"/>
      <c r="DH419" s="248"/>
      <c r="DI419" s="248"/>
      <c r="DJ419" s="248"/>
      <c r="DK419" s="248"/>
      <c r="DL419" s="248"/>
      <c r="DM419" s="248"/>
      <c r="DN419" s="248"/>
      <c r="DO419" s="248"/>
      <c r="DP419" s="248"/>
      <c r="DQ419" s="248"/>
      <c r="DR419" s="248"/>
      <c r="DS419" s="248"/>
      <c r="DT419" s="248"/>
      <c r="DU419" s="248"/>
      <c r="DV419" s="248"/>
      <c r="DW419" s="248"/>
      <c r="DX419" s="248"/>
      <c r="DY419" s="248"/>
      <c r="DZ419" s="248"/>
      <c r="EA419" s="248"/>
      <c r="EB419" s="248"/>
      <c r="EC419" s="248"/>
      <c r="ED419" s="248"/>
      <c r="EE419" s="248"/>
    </row>
    <row r="420" spans="1:135" s="35" customFormat="1" ht="16.5">
      <c r="A420" s="35" t="str">
        <f t="shared" si="14"/>
        <v>AIR_A               SGMLS</v>
      </c>
      <c r="B420" s="331"/>
      <c r="C420" s="248">
        <v>412016</v>
      </c>
      <c r="D420" s="283">
        <v>412</v>
      </c>
      <c r="F420" s="286" t="s">
        <v>1295</v>
      </c>
      <c r="G420" s="39"/>
      <c r="O420" s="289" t="s">
        <v>1295</v>
      </c>
      <c r="P420" s="34" t="s">
        <v>1086</v>
      </c>
      <c r="Q420" s="58"/>
      <c r="R420" s="39"/>
      <c r="Z420" s="35" t="s">
        <v>2645</v>
      </c>
      <c r="AA420" s="35" t="s">
        <v>2645</v>
      </c>
      <c r="AC420" s="35" t="s">
        <v>2180</v>
      </c>
      <c r="AD420" s="35" t="s">
        <v>2550</v>
      </c>
      <c r="AH420" s="279"/>
      <c r="AJ420" s="279" t="s">
        <v>1119</v>
      </c>
      <c r="AK420" s="279"/>
      <c r="AL420" s="523">
        <v>3</v>
      </c>
      <c r="AM420" s="35">
        <v>412016</v>
      </c>
      <c r="AN420" s="35" t="s">
        <v>1651</v>
      </c>
      <c r="AO420" s="35" t="s">
        <v>1721</v>
      </c>
      <c r="AP420" s="35" t="s">
        <v>838</v>
      </c>
      <c r="AQ420" s="34" t="s">
        <v>2297</v>
      </c>
      <c r="AR420" s="35">
        <v>16</v>
      </c>
      <c r="AS420" s="35" t="s">
        <v>2060</v>
      </c>
      <c r="AT420" s="35" t="s">
        <v>268</v>
      </c>
      <c r="AU420" s="35" t="s">
        <v>269</v>
      </c>
      <c r="AV420" s="35" t="s">
        <v>1694</v>
      </c>
      <c r="AW420" s="35" t="s">
        <v>643</v>
      </c>
      <c r="AX420" s="34" t="s">
        <v>2305</v>
      </c>
      <c r="AY420" s="35">
        <v>12</v>
      </c>
      <c r="AZ420" s="35" t="s">
        <v>478</v>
      </c>
      <c r="BA420" s="35" t="s">
        <v>852</v>
      </c>
      <c r="BB420" s="35" t="s">
        <v>10</v>
      </c>
      <c r="BC420" s="35" t="s">
        <v>853</v>
      </c>
      <c r="BD420" s="35" t="s">
        <v>1742</v>
      </c>
      <c r="BE420" s="35" t="s">
        <v>854</v>
      </c>
      <c r="BF420" s="35" t="s">
        <v>173</v>
      </c>
      <c r="BG420" s="35">
        <v>1983</v>
      </c>
      <c r="BH420" s="35" t="s">
        <v>174</v>
      </c>
      <c r="BI420" s="35">
        <v>0.35</v>
      </c>
      <c r="BJ420" s="35" t="s">
        <v>856</v>
      </c>
      <c r="BK420" s="35" t="s">
        <v>1680</v>
      </c>
      <c r="BL420" s="35" t="s">
        <v>2415</v>
      </c>
      <c r="BM420" s="35">
        <v>412016</v>
      </c>
      <c r="BW420" s="248"/>
      <c r="BX420" s="248"/>
      <c r="BY420" s="248"/>
      <c r="BZ420" s="248"/>
      <c r="CA420" s="248"/>
      <c r="CB420" s="248"/>
      <c r="CC420" s="248"/>
      <c r="CD420" s="248"/>
      <c r="CE420" s="248"/>
      <c r="CF420" s="248"/>
      <c r="CG420" s="248"/>
      <c r="CH420" s="248"/>
      <c r="CI420" s="248"/>
      <c r="CJ420" s="248"/>
      <c r="CK420" s="248"/>
      <c r="CL420" s="248"/>
      <c r="CM420" s="248"/>
      <c r="CN420" s="248"/>
      <c r="CO420" s="248"/>
      <c r="CP420" s="248"/>
      <c r="CQ420" s="248"/>
      <c r="CR420" s="248"/>
      <c r="CS420" s="248"/>
      <c r="CT420" s="248"/>
      <c r="CU420" s="248"/>
      <c r="CV420" s="248"/>
      <c r="CW420" s="248"/>
      <c r="CX420" s="248"/>
      <c r="CY420" s="248"/>
      <c r="CZ420" s="248"/>
      <c r="DA420" s="248"/>
      <c r="DB420" s="248"/>
      <c r="DC420" s="248"/>
      <c r="DD420" s="248"/>
      <c r="DE420" s="248"/>
      <c r="DF420" s="248"/>
      <c r="DG420" s="248"/>
      <c r="DH420" s="248"/>
      <c r="DI420" s="248"/>
      <c r="DJ420" s="248"/>
      <c r="DK420" s="248"/>
      <c r="DL420" s="248"/>
      <c r="DM420" s="248"/>
      <c r="DN420" s="248"/>
      <c r="DO420" s="248"/>
      <c r="DP420" s="248"/>
      <c r="DQ420" s="248"/>
      <c r="DR420" s="248"/>
      <c r="DS420" s="248"/>
      <c r="DT420" s="248"/>
      <c r="DU420" s="248"/>
      <c r="DV420" s="248"/>
      <c r="DW420" s="248"/>
      <c r="DX420" s="248"/>
      <c r="DY420" s="248"/>
      <c r="DZ420" s="248"/>
      <c r="EA420" s="248"/>
      <c r="EB420" s="248"/>
      <c r="EC420" s="248"/>
      <c r="ED420" s="248"/>
      <c r="EE420" s="248"/>
    </row>
    <row r="421" spans="1:135" s="35" customFormat="1" ht="16.5">
      <c r="A421" s="35" t="str">
        <f t="shared" si="14"/>
        <v>AIR_A               SGMLS</v>
      </c>
      <c r="B421" s="331"/>
      <c r="C421" s="248">
        <v>412017</v>
      </c>
      <c r="D421" s="283">
        <v>412</v>
      </c>
      <c r="F421" s="286" t="s">
        <v>1295</v>
      </c>
      <c r="G421" s="39"/>
      <c r="O421" s="289" t="s">
        <v>1295</v>
      </c>
      <c r="P421" s="34" t="s">
        <v>1086</v>
      </c>
      <c r="Q421" s="58"/>
      <c r="R421" s="39"/>
      <c r="Z421" s="35" t="s">
        <v>2645</v>
      </c>
      <c r="AA421" s="35" t="s">
        <v>2645</v>
      </c>
      <c r="AC421" s="35" t="s">
        <v>2180</v>
      </c>
      <c r="AD421" s="35" t="s">
        <v>2550</v>
      </c>
      <c r="AH421" s="279"/>
      <c r="AJ421" s="279" t="s">
        <v>1119</v>
      </c>
      <c r="AK421" s="279"/>
      <c r="AL421" s="523">
        <v>3</v>
      </c>
      <c r="AM421" s="35">
        <v>412017</v>
      </c>
      <c r="AN421" s="35" t="s">
        <v>1652</v>
      </c>
      <c r="AO421" s="35" t="s">
        <v>1721</v>
      </c>
      <c r="AP421" s="35" t="s">
        <v>838</v>
      </c>
      <c r="AQ421" s="34" t="s">
        <v>2297</v>
      </c>
      <c r="AR421" s="35">
        <v>13</v>
      </c>
      <c r="AS421" s="35" t="s">
        <v>2060</v>
      </c>
      <c r="AT421" s="35" t="s">
        <v>268</v>
      </c>
      <c r="AU421" s="35" t="s">
        <v>269</v>
      </c>
      <c r="AV421" s="35" t="s">
        <v>1694</v>
      </c>
      <c r="AW421" s="35" t="s">
        <v>643</v>
      </c>
      <c r="AX421" s="34" t="s">
        <v>2305</v>
      </c>
      <c r="AY421" s="35">
        <v>13</v>
      </c>
      <c r="AZ421" s="35" t="s">
        <v>478</v>
      </c>
      <c r="BA421" s="35" t="s">
        <v>852</v>
      </c>
      <c r="BB421" s="35" t="s">
        <v>10</v>
      </c>
      <c r="BC421" s="35" t="s">
        <v>495</v>
      </c>
      <c r="BD421" s="35" t="s">
        <v>1742</v>
      </c>
      <c r="BE421" s="35" t="s">
        <v>857</v>
      </c>
      <c r="BF421" s="35" t="s">
        <v>85</v>
      </c>
      <c r="BG421" s="35">
        <v>1983</v>
      </c>
      <c r="BH421" s="35" t="s">
        <v>25</v>
      </c>
      <c r="BI421" s="35">
        <v>0.35</v>
      </c>
      <c r="BJ421" s="35" t="s">
        <v>858</v>
      </c>
      <c r="BK421" s="35" t="s">
        <v>1680</v>
      </c>
      <c r="BL421" s="35" t="s">
        <v>2415</v>
      </c>
      <c r="BM421" s="35">
        <v>412017</v>
      </c>
      <c r="BW421" s="248"/>
      <c r="BX421" s="248"/>
      <c r="BY421" s="248"/>
      <c r="BZ421" s="248"/>
      <c r="CA421" s="248"/>
      <c r="CB421" s="248"/>
      <c r="CC421" s="248"/>
      <c r="CD421" s="248"/>
      <c r="CE421" s="248"/>
      <c r="CF421" s="248"/>
      <c r="CG421" s="248"/>
      <c r="CH421" s="248"/>
      <c r="CI421" s="248"/>
      <c r="CJ421" s="248"/>
      <c r="CK421" s="248"/>
      <c r="CL421" s="248"/>
      <c r="CM421" s="248"/>
      <c r="CN421" s="248"/>
      <c r="CO421" s="248"/>
      <c r="CP421" s="248"/>
      <c r="CQ421" s="248"/>
      <c r="CR421" s="248"/>
      <c r="CS421" s="248"/>
      <c r="CT421" s="248"/>
      <c r="CU421" s="248"/>
      <c r="CV421" s="248"/>
      <c r="CW421" s="248"/>
      <c r="CX421" s="248"/>
      <c r="CY421" s="248"/>
      <c r="CZ421" s="248"/>
      <c r="DA421" s="248"/>
      <c r="DB421" s="248"/>
      <c r="DC421" s="248"/>
      <c r="DD421" s="248"/>
      <c r="DE421" s="248"/>
      <c r="DF421" s="248"/>
      <c r="DG421" s="248"/>
      <c r="DH421" s="248"/>
      <c r="DI421" s="248"/>
      <c r="DJ421" s="248"/>
      <c r="DK421" s="248"/>
      <c r="DL421" s="248"/>
      <c r="DM421" s="248"/>
      <c r="DN421" s="248"/>
      <c r="DO421" s="248"/>
      <c r="DP421" s="248"/>
      <c r="DQ421" s="248"/>
      <c r="DR421" s="248"/>
      <c r="DS421" s="248"/>
      <c r="DT421" s="248"/>
      <c r="DU421" s="248"/>
      <c r="DV421" s="248"/>
      <c r="DW421" s="248"/>
      <c r="DX421" s="248"/>
      <c r="DY421" s="248"/>
      <c r="DZ421" s="248"/>
      <c r="EA421" s="248"/>
      <c r="EB421" s="248"/>
      <c r="EC421" s="248"/>
      <c r="ED421" s="248"/>
      <c r="EE421" s="248"/>
    </row>
    <row r="422" spans="1:135" s="35" customFormat="1" ht="16.5">
      <c r="A422" s="35" t="str">
        <f t="shared" si="14"/>
        <v>AIR_A               SGMLS</v>
      </c>
      <c r="B422" s="331"/>
      <c r="C422" s="248">
        <v>412018</v>
      </c>
      <c r="D422" s="283">
        <v>412</v>
      </c>
      <c r="F422" s="286" t="s">
        <v>1295</v>
      </c>
      <c r="O422" s="289" t="s">
        <v>1295</v>
      </c>
      <c r="P422" s="34" t="s">
        <v>1086</v>
      </c>
      <c r="Q422" s="58"/>
      <c r="R422" s="39"/>
      <c r="Z422" s="35" t="s">
        <v>2645</v>
      </c>
      <c r="AA422" s="35" t="s">
        <v>2645</v>
      </c>
      <c r="AC422" s="35" t="s">
        <v>2180</v>
      </c>
      <c r="AD422" s="35" t="s">
        <v>2550</v>
      </c>
      <c r="AH422" s="279"/>
      <c r="AJ422" s="279" t="s">
        <v>1119</v>
      </c>
      <c r="AK422" s="279"/>
      <c r="AL422" s="523">
        <v>3</v>
      </c>
      <c r="AM422" s="35">
        <v>412018</v>
      </c>
      <c r="AN422" s="35" t="s">
        <v>1653</v>
      </c>
      <c r="AO422" s="35" t="s">
        <v>1721</v>
      </c>
      <c r="AP422" s="35" t="s">
        <v>838</v>
      </c>
      <c r="AQ422" s="34" t="s">
        <v>2297</v>
      </c>
      <c r="AR422" s="35">
        <v>9</v>
      </c>
      <c r="AS422" s="35" t="s">
        <v>2060</v>
      </c>
      <c r="AT422" s="35" t="s">
        <v>268</v>
      </c>
      <c r="AU422" s="35" t="s">
        <v>269</v>
      </c>
      <c r="AV422" s="35" t="s">
        <v>1694</v>
      </c>
      <c r="AW422" s="35" t="s">
        <v>643</v>
      </c>
      <c r="AX422" s="34" t="s">
        <v>2305</v>
      </c>
      <c r="AY422" s="35">
        <v>14</v>
      </c>
      <c r="AZ422" s="35" t="s">
        <v>478</v>
      </c>
      <c r="BA422" s="35" t="s">
        <v>852</v>
      </c>
      <c r="BB422" s="35" t="s">
        <v>10</v>
      </c>
      <c r="BC422" s="35" t="s">
        <v>495</v>
      </c>
      <c r="BD422" s="35" t="s">
        <v>1742</v>
      </c>
      <c r="BE422" s="35" t="s">
        <v>857</v>
      </c>
      <c r="BF422" s="35" t="s">
        <v>183</v>
      </c>
      <c r="BG422" s="35">
        <v>1983</v>
      </c>
      <c r="BH422" s="35" t="s">
        <v>139</v>
      </c>
      <c r="BI422" s="35">
        <v>0.35</v>
      </c>
      <c r="BJ422" s="35" t="s">
        <v>859</v>
      </c>
      <c r="BK422" s="35" t="s">
        <v>1680</v>
      </c>
      <c r="BL422" s="35" t="s">
        <v>2415</v>
      </c>
      <c r="BM422" s="35">
        <v>412018</v>
      </c>
      <c r="BW422" s="248"/>
      <c r="BX422" s="248"/>
      <c r="BY422" s="248"/>
      <c r="BZ422" s="248"/>
      <c r="CA422" s="248"/>
      <c r="CB422" s="248"/>
      <c r="CC422" s="248"/>
      <c r="CD422" s="248"/>
      <c r="CE422" s="248"/>
      <c r="CF422" s="248"/>
      <c r="CG422" s="248"/>
      <c r="CH422" s="248"/>
      <c r="CI422" s="248"/>
      <c r="CJ422" s="248"/>
      <c r="CK422" s="248"/>
      <c r="CL422" s="248"/>
      <c r="CM422" s="248"/>
      <c r="CN422" s="248"/>
      <c r="CO422" s="248"/>
      <c r="CP422" s="248"/>
      <c r="CQ422" s="248"/>
      <c r="CR422" s="248"/>
      <c r="CS422" s="248"/>
      <c r="CT422" s="248"/>
      <c r="CU422" s="248"/>
      <c r="CV422" s="248"/>
      <c r="CW422" s="248"/>
      <c r="CX422" s="248"/>
      <c r="CY422" s="248"/>
      <c r="CZ422" s="248"/>
      <c r="DA422" s="248"/>
      <c r="DB422" s="248"/>
      <c r="DC422" s="248"/>
      <c r="DD422" s="248"/>
      <c r="DE422" s="248"/>
      <c r="DF422" s="248"/>
      <c r="DG422" s="248"/>
      <c r="DH422" s="248"/>
      <c r="DI422" s="248"/>
      <c r="DJ422" s="248"/>
      <c r="DK422" s="248"/>
      <c r="DL422" s="248"/>
      <c r="DM422" s="248"/>
      <c r="DN422" s="248"/>
      <c r="DO422" s="248"/>
      <c r="DP422" s="248"/>
      <c r="DQ422" s="248"/>
      <c r="DR422" s="248"/>
      <c r="DS422" s="248"/>
      <c r="DT422" s="248"/>
      <c r="DU422" s="248"/>
      <c r="DV422" s="248"/>
      <c r="DW422" s="248"/>
      <c r="DX422" s="248"/>
      <c r="DY422" s="248"/>
      <c r="DZ422" s="248"/>
      <c r="EA422" s="248"/>
      <c r="EB422" s="248"/>
      <c r="EC422" s="248"/>
      <c r="ED422" s="248"/>
      <c r="EE422" s="248"/>
    </row>
    <row r="423" spans="1:135" s="35" customFormat="1" ht="16.5">
      <c r="A423" s="35" t="str">
        <f t="shared" si="14"/>
        <v>AIR_A               ABB_C</v>
      </c>
      <c r="B423" s="331"/>
      <c r="C423" s="248">
        <v>412020</v>
      </c>
      <c r="D423" s="283">
        <v>412</v>
      </c>
      <c r="F423" s="286" t="s">
        <v>1295</v>
      </c>
      <c r="O423" s="289" t="s">
        <v>1295</v>
      </c>
      <c r="P423" s="289" t="s">
        <v>1295</v>
      </c>
      <c r="Q423" s="58"/>
      <c r="R423" s="171"/>
      <c r="W423" s="171">
        <v>980017450</v>
      </c>
      <c r="Z423" s="35" t="s">
        <v>2645</v>
      </c>
      <c r="AB423" s="58" t="s">
        <v>1115</v>
      </c>
      <c r="AC423" s="35" t="s">
        <v>2180</v>
      </c>
      <c r="AD423" s="35" t="s">
        <v>2550</v>
      </c>
      <c r="AH423" s="279"/>
      <c r="AJ423" s="279" t="s">
        <v>1119</v>
      </c>
      <c r="AK423" s="279"/>
      <c r="AL423" s="523">
        <v>3</v>
      </c>
      <c r="AM423" s="35">
        <v>412020</v>
      </c>
      <c r="AN423" s="35" t="s">
        <v>1654</v>
      </c>
      <c r="AO423" s="35" t="s">
        <v>1721</v>
      </c>
      <c r="AP423" s="35" t="s">
        <v>838</v>
      </c>
      <c r="AQ423" s="34" t="s">
        <v>2297</v>
      </c>
      <c r="AR423" s="35">
        <v>7</v>
      </c>
      <c r="AS423" s="35" t="s">
        <v>2060</v>
      </c>
      <c r="AT423" s="35" t="s">
        <v>268</v>
      </c>
      <c r="AU423" s="35" t="s">
        <v>269</v>
      </c>
      <c r="AV423" s="35" t="s">
        <v>1062</v>
      </c>
      <c r="AW423" s="35" t="s">
        <v>860</v>
      </c>
      <c r="AX423" s="34" t="s">
        <v>2322</v>
      </c>
      <c r="AY423" s="35">
        <v>2</v>
      </c>
      <c r="AZ423" s="35" t="s">
        <v>2065</v>
      </c>
      <c r="BA423" s="35" t="s">
        <v>1626</v>
      </c>
      <c r="BB423" s="35" t="s">
        <v>10</v>
      </c>
      <c r="BC423" s="35" t="s">
        <v>281</v>
      </c>
      <c r="BD423" s="35" t="s">
        <v>1742</v>
      </c>
      <c r="BE423" s="35" t="s">
        <v>861</v>
      </c>
      <c r="BF423" s="35" t="s">
        <v>153</v>
      </c>
      <c r="BG423" s="35">
        <v>1493</v>
      </c>
      <c r="BH423" s="35" t="s">
        <v>132</v>
      </c>
      <c r="BI423" s="35">
        <v>0.35</v>
      </c>
      <c r="BJ423" s="35" t="s">
        <v>862</v>
      </c>
      <c r="BK423" s="35" t="s">
        <v>1680</v>
      </c>
      <c r="BL423" s="35" t="s">
        <v>2415</v>
      </c>
      <c r="BM423" s="35">
        <v>412020</v>
      </c>
      <c r="BW423" s="248"/>
      <c r="BX423" s="248"/>
      <c r="BY423" s="248"/>
      <c r="BZ423" s="248"/>
      <c r="CA423" s="248"/>
      <c r="CB423" s="248"/>
      <c r="CC423" s="248"/>
      <c r="CD423" s="248"/>
      <c r="CE423" s="248"/>
      <c r="CF423" s="248"/>
      <c r="CG423" s="248"/>
      <c r="CH423" s="248"/>
      <c r="CI423" s="248"/>
      <c r="CJ423" s="248"/>
      <c r="CK423" s="248"/>
      <c r="CL423" s="248"/>
      <c r="CM423" s="248"/>
      <c r="CN423" s="248"/>
      <c r="CO423" s="248"/>
      <c r="CP423" s="248"/>
      <c r="CQ423" s="248"/>
      <c r="CR423" s="248"/>
      <c r="CS423" s="248"/>
      <c r="CT423" s="248"/>
      <c r="CU423" s="248"/>
      <c r="CV423" s="248"/>
      <c r="CW423" s="248"/>
      <c r="CX423" s="248"/>
      <c r="CY423" s="248"/>
      <c r="CZ423" s="248"/>
      <c r="DA423" s="248"/>
      <c r="DB423" s="248"/>
      <c r="DC423" s="248"/>
      <c r="DD423" s="248"/>
      <c r="DE423" s="248"/>
      <c r="DF423" s="248"/>
      <c r="DG423" s="248"/>
      <c r="DH423" s="248"/>
      <c r="DI423" s="248"/>
      <c r="DJ423" s="248"/>
      <c r="DK423" s="248"/>
      <c r="DL423" s="248"/>
      <c r="DM423" s="248"/>
      <c r="DN423" s="248"/>
      <c r="DO423" s="248"/>
      <c r="DP423" s="248"/>
      <c r="DQ423" s="248"/>
      <c r="DR423" s="248"/>
      <c r="DS423" s="248"/>
      <c r="DT423" s="248"/>
      <c r="DU423" s="248"/>
      <c r="DV423" s="248"/>
      <c r="DW423" s="248"/>
      <c r="DX423" s="248"/>
      <c r="DY423" s="248"/>
      <c r="DZ423" s="248"/>
      <c r="EA423" s="248"/>
      <c r="EB423" s="248"/>
      <c r="EC423" s="248"/>
      <c r="ED423" s="248"/>
      <c r="EE423" s="248"/>
    </row>
    <row r="424" spans="1:135" s="32" customFormat="1" ht="16.5">
      <c r="A424" s="35" t="str">
        <f t="shared" si="14"/>
        <v>AIR_A               ABB_C</v>
      </c>
      <c r="B424" s="331"/>
      <c r="C424" s="248">
        <v>412021</v>
      </c>
      <c r="D424" s="283">
        <v>412</v>
      </c>
      <c r="E424" s="35"/>
      <c r="F424" s="286" t="s">
        <v>1295</v>
      </c>
      <c r="G424" s="35"/>
      <c r="H424" s="35"/>
      <c r="I424" s="35"/>
      <c r="K424" s="35"/>
      <c r="L424" s="35"/>
      <c r="M424" s="35"/>
      <c r="N424" s="35"/>
      <c r="O424" s="289" t="s">
        <v>1295</v>
      </c>
      <c r="P424" s="289" t="s">
        <v>1295</v>
      </c>
      <c r="Q424" s="58"/>
      <c r="R424" s="171"/>
      <c r="S424" s="35"/>
      <c r="T424" s="35"/>
      <c r="U424" s="35"/>
      <c r="V424" s="35"/>
      <c r="W424" s="171">
        <v>980017450</v>
      </c>
      <c r="X424" s="35"/>
      <c r="Y424" s="35"/>
      <c r="Z424" s="35" t="s">
        <v>2645</v>
      </c>
      <c r="AA424" s="35"/>
      <c r="AB424" s="58" t="s">
        <v>1115</v>
      </c>
      <c r="AC424" s="35" t="s">
        <v>2180</v>
      </c>
      <c r="AD424" s="35" t="s">
        <v>2550</v>
      </c>
      <c r="AE424" s="35"/>
      <c r="AF424" s="35"/>
      <c r="AG424" s="35"/>
      <c r="AH424" s="279"/>
      <c r="AI424" s="35"/>
      <c r="AJ424" s="279" t="s">
        <v>1119</v>
      </c>
      <c r="AK424" s="279"/>
      <c r="AL424" s="523">
        <v>3</v>
      </c>
      <c r="AM424" s="35">
        <v>412021</v>
      </c>
      <c r="AN424" s="35" t="s">
        <v>1655</v>
      </c>
      <c r="AO424" s="35" t="s">
        <v>1721</v>
      </c>
      <c r="AP424" s="35" t="s">
        <v>838</v>
      </c>
      <c r="AQ424" s="34" t="s">
        <v>2297</v>
      </c>
      <c r="AR424" s="35">
        <v>3</v>
      </c>
      <c r="AS424" s="35" t="s">
        <v>2060</v>
      </c>
      <c r="AT424" s="35" t="s">
        <v>268</v>
      </c>
      <c r="AU424" s="35" t="s">
        <v>269</v>
      </c>
      <c r="AV424" s="35" t="s">
        <v>1062</v>
      </c>
      <c r="AW424" s="35" t="s">
        <v>860</v>
      </c>
      <c r="AX424" s="34" t="s">
        <v>2322</v>
      </c>
      <c r="AY424" s="35">
        <v>1</v>
      </c>
      <c r="AZ424" s="35" t="s">
        <v>2065</v>
      </c>
      <c r="BA424" s="35" t="s">
        <v>1626</v>
      </c>
      <c r="BB424" s="35" t="s">
        <v>10</v>
      </c>
      <c r="BC424" s="35" t="s">
        <v>281</v>
      </c>
      <c r="BD424" s="35" t="s">
        <v>1742</v>
      </c>
      <c r="BE424" s="35" t="s">
        <v>861</v>
      </c>
      <c r="BF424" s="35" t="s">
        <v>152</v>
      </c>
      <c r="BG424" s="35">
        <v>1493</v>
      </c>
      <c r="BH424" s="35" t="s">
        <v>25</v>
      </c>
      <c r="BI424" s="35">
        <v>0.35</v>
      </c>
      <c r="BJ424" s="35" t="s">
        <v>863</v>
      </c>
      <c r="BK424" s="35" t="s">
        <v>1680</v>
      </c>
      <c r="BL424" s="35" t="s">
        <v>2415</v>
      </c>
      <c r="BM424" s="35">
        <v>412021</v>
      </c>
      <c r="BN424" s="35"/>
      <c r="BP424" s="35"/>
      <c r="BQ424" s="35"/>
      <c r="BR424" s="35"/>
      <c r="BS424" s="35"/>
      <c r="BT424" s="35"/>
      <c r="BU424" s="35"/>
      <c r="BV424" s="35"/>
      <c r="BW424" s="248"/>
      <c r="BX424" s="248"/>
      <c r="BY424" s="248"/>
      <c r="BZ424" s="248"/>
      <c r="CA424" s="248"/>
      <c r="CB424" s="248"/>
      <c r="CC424" s="248"/>
      <c r="CD424" s="248"/>
      <c r="CE424" s="248"/>
      <c r="CF424" s="248"/>
      <c r="CG424" s="248"/>
      <c r="CH424" s="248"/>
      <c r="CI424" s="248"/>
      <c r="CJ424" s="248"/>
      <c r="CK424" s="248"/>
      <c r="CL424" s="248"/>
      <c r="CM424" s="248"/>
      <c r="CN424" s="248"/>
      <c r="CO424" s="248"/>
      <c r="CP424" s="248"/>
      <c r="CQ424" s="248"/>
      <c r="CR424" s="248"/>
      <c r="CS424" s="248"/>
      <c r="CT424" s="248"/>
      <c r="CU424" s="248"/>
      <c r="CV424" s="248"/>
      <c r="CW424" s="248"/>
      <c r="CX424" s="248"/>
      <c r="CY424" s="248"/>
      <c r="CZ424" s="248"/>
      <c r="DA424" s="248"/>
      <c r="DB424" s="248"/>
      <c r="DC424" s="248"/>
      <c r="DD424" s="248"/>
      <c r="DE424" s="248"/>
      <c r="DF424" s="248"/>
      <c r="DG424" s="248"/>
      <c r="DH424" s="248"/>
      <c r="DI424" s="248"/>
      <c r="DJ424" s="248"/>
      <c r="DK424" s="248"/>
      <c r="DL424" s="248"/>
      <c r="DM424" s="248"/>
      <c r="DN424" s="248"/>
      <c r="DO424" s="248"/>
      <c r="DP424" s="248"/>
      <c r="DQ424" s="248"/>
      <c r="DR424" s="248"/>
      <c r="DS424" s="248"/>
      <c r="DT424" s="248"/>
      <c r="DU424" s="248"/>
      <c r="DV424" s="248"/>
      <c r="DW424" s="248"/>
      <c r="DX424" s="248"/>
      <c r="DY424" s="248"/>
      <c r="DZ424" s="248"/>
      <c r="EA424" s="248"/>
      <c r="EB424" s="248"/>
      <c r="EC424" s="248"/>
      <c r="ED424" s="248"/>
      <c r="EE424" s="248"/>
    </row>
    <row r="425" spans="1:135" s="35" customFormat="1" ht="16.5">
      <c r="B425" s="331"/>
      <c r="C425" s="248"/>
      <c r="D425" s="283">
        <v>656</v>
      </c>
      <c r="W425" s="171"/>
      <c r="AB425" s="58"/>
      <c r="AH425" s="279"/>
      <c r="AJ425" s="279"/>
      <c r="AK425" s="279"/>
      <c r="AL425" s="523">
        <v>1</v>
      </c>
      <c r="AM425" s="35" t="s">
        <v>2536</v>
      </c>
      <c r="AQ425" s="34"/>
      <c r="AW425" s="34"/>
      <c r="AX425" s="34"/>
      <c r="BW425" s="248"/>
      <c r="BX425" s="248"/>
      <c r="BY425" s="248"/>
      <c r="BZ425" s="248"/>
      <c r="CA425" s="248"/>
      <c r="CB425" s="248"/>
      <c r="CC425" s="248"/>
      <c r="CD425" s="248"/>
      <c r="CE425" s="248"/>
      <c r="CF425" s="248"/>
      <c r="CG425" s="248"/>
      <c r="CH425" s="248"/>
      <c r="CI425" s="248"/>
      <c r="CJ425" s="248"/>
      <c r="CK425" s="248"/>
      <c r="CL425" s="248"/>
      <c r="CM425" s="248"/>
      <c r="CN425" s="248"/>
      <c r="CO425" s="248"/>
      <c r="CP425" s="248"/>
      <c r="CQ425" s="248"/>
      <c r="CR425" s="248"/>
      <c r="CS425" s="248"/>
      <c r="CT425" s="248"/>
      <c r="CU425" s="248"/>
      <c r="CV425" s="248"/>
      <c r="CW425" s="248"/>
      <c r="CX425" s="248"/>
      <c r="CY425" s="248"/>
      <c r="CZ425" s="248"/>
      <c r="DA425" s="248"/>
      <c r="DB425" s="248"/>
      <c r="DC425" s="248"/>
      <c r="DD425" s="248"/>
      <c r="DE425" s="248"/>
      <c r="DF425" s="248"/>
      <c r="DG425" s="248"/>
      <c r="DH425" s="248"/>
      <c r="DI425" s="248"/>
      <c r="DJ425" s="248"/>
      <c r="DK425" s="248"/>
      <c r="DL425" s="248"/>
      <c r="DM425" s="248"/>
      <c r="DN425" s="248"/>
      <c r="DO425" s="248"/>
      <c r="DP425" s="248"/>
      <c r="DQ425" s="248"/>
      <c r="DR425" s="248"/>
      <c r="DS425" s="248"/>
      <c r="DT425" s="248"/>
      <c r="DU425" s="248"/>
      <c r="DV425" s="248"/>
      <c r="DW425" s="248"/>
      <c r="DX425" s="248"/>
      <c r="DY425" s="248"/>
      <c r="DZ425" s="248"/>
      <c r="EA425" s="248"/>
    </row>
    <row r="426" spans="1:135" s="35" customFormat="1" ht="16.5">
      <c r="B426" s="331"/>
      <c r="C426" s="248"/>
      <c r="D426" s="283">
        <v>656</v>
      </c>
      <c r="W426" s="171"/>
      <c r="AB426" s="58"/>
      <c r="AH426" s="279"/>
      <c r="AJ426" s="279"/>
      <c r="AK426" s="279"/>
      <c r="AL426" s="523">
        <v>2</v>
      </c>
      <c r="AM426" s="35" t="s">
        <v>0</v>
      </c>
      <c r="AN426" s="35" t="s">
        <v>2537</v>
      </c>
      <c r="AO426" s="35" t="s">
        <v>2538</v>
      </c>
      <c r="AP426" s="35" t="s">
        <v>2444</v>
      </c>
      <c r="AQ426" s="34" t="s">
        <v>2539</v>
      </c>
      <c r="AR426" s="35" t="s">
        <v>11</v>
      </c>
      <c r="AW426" s="34"/>
      <c r="AX426" s="34"/>
      <c r="BW426" s="248"/>
      <c r="BX426" s="248"/>
      <c r="BY426" s="248"/>
      <c r="BZ426" s="248"/>
      <c r="CA426" s="248"/>
      <c r="CB426" s="248"/>
      <c r="CC426" s="248"/>
      <c r="CD426" s="248"/>
      <c r="CE426" s="248"/>
      <c r="CF426" s="248"/>
      <c r="CG426" s="248"/>
      <c r="CH426" s="248"/>
      <c r="CI426" s="248"/>
      <c r="CJ426" s="248"/>
      <c r="CK426" s="248"/>
      <c r="CL426" s="248"/>
      <c r="CM426" s="248"/>
      <c r="CN426" s="248"/>
      <c r="CO426" s="248"/>
      <c r="CP426" s="248"/>
      <c r="CQ426" s="248"/>
      <c r="CR426" s="248"/>
      <c r="CS426" s="248"/>
      <c r="CT426" s="248"/>
      <c r="CU426" s="248"/>
      <c r="CV426" s="248"/>
      <c r="CW426" s="248"/>
      <c r="CX426" s="248"/>
      <c r="CY426" s="248"/>
      <c r="CZ426" s="248"/>
      <c r="DA426" s="248"/>
      <c r="DB426" s="248"/>
      <c r="DC426" s="248"/>
      <c r="DD426" s="248"/>
      <c r="DE426" s="248"/>
      <c r="DF426" s="248"/>
      <c r="DG426" s="248"/>
      <c r="DH426" s="248"/>
      <c r="DI426" s="248"/>
      <c r="DJ426" s="248"/>
      <c r="DK426" s="248"/>
      <c r="DL426" s="248"/>
      <c r="DM426" s="248"/>
      <c r="DN426" s="248"/>
      <c r="DO426" s="248"/>
      <c r="DP426" s="248"/>
      <c r="DQ426" s="248"/>
      <c r="DR426" s="248"/>
      <c r="DS426" s="248"/>
      <c r="DT426" s="248"/>
      <c r="DU426" s="248"/>
      <c r="DV426" s="248"/>
      <c r="DW426" s="248"/>
      <c r="DX426" s="248"/>
      <c r="DY426" s="248"/>
      <c r="DZ426" s="248"/>
      <c r="EA426" s="248"/>
    </row>
    <row r="427" spans="1:135" s="35" customFormat="1" ht="16.5">
      <c r="B427" s="331"/>
      <c r="C427" s="248"/>
      <c r="D427" s="283">
        <v>656</v>
      </c>
      <c r="W427" s="171"/>
      <c r="AB427" s="58"/>
      <c r="AH427" s="279"/>
      <c r="AJ427" s="279"/>
      <c r="AK427" s="279"/>
      <c r="AL427" s="523">
        <v>0</v>
      </c>
      <c r="AM427" s="35" t="s">
        <v>12</v>
      </c>
      <c r="AN427" s="35" t="s">
        <v>13</v>
      </c>
      <c r="AO427" s="35" t="s">
        <v>356</v>
      </c>
      <c r="AP427" s="35" t="s">
        <v>14</v>
      </c>
      <c r="AQ427" s="34" t="s">
        <v>7</v>
      </c>
      <c r="AR427" s="35" t="s">
        <v>15</v>
      </c>
      <c r="AS427" s="35" t="s">
        <v>8</v>
      </c>
      <c r="AT427" s="35" t="s">
        <v>16</v>
      </c>
      <c r="AU427" s="35" t="s">
        <v>17</v>
      </c>
      <c r="AV427" s="35" t="s">
        <v>356</v>
      </c>
      <c r="AW427" s="35" t="s">
        <v>18</v>
      </c>
      <c r="AX427" s="34" t="s">
        <v>7</v>
      </c>
      <c r="AY427" s="35" t="s">
        <v>15</v>
      </c>
      <c r="AZ427" s="35" t="s">
        <v>8</v>
      </c>
      <c r="BA427" s="35" t="s">
        <v>16</v>
      </c>
      <c r="BB427" s="35" t="s">
        <v>17</v>
      </c>
      <c r="BC427" s="35" t="s">
        <v>19</v>
      </c>
      <c r="BD427" s="35" t="s">
        <v>1737</v>
      </c>
      <c r="BE427" s="35" t="s">
        <v>20</v>
      </c>
      <c r="BF427" s="35" t="s">
        <v>21</v>
      </c>
      <c r="BG427" s="35" t="s">
        <v>22</v>
      </c>
      <c r="BH427" s="35" t="s">
        <v>9</v>
      </c>
      <c r="BI427" s="35" t="s">
        <v>23</v>
      </c>
      <c r="BJ427" s="35" t="s">
        <v>24</v>
      </c>
      <c r="BK427" s="35" t="s">
        <v>0</v>
      </c>
      <c r="BL427" s="35" t="s">
        <v>12</v>
      </c>
      <c r="BW427" s="248"/>
      <c r="BX427" s="248"/>
      <c r="BY427" s="248"/>
      <c r="BZ427" s="248"/>
      <c r="CA427" s="248"/>
      <c r="CB427" s="248"/>
      <c r="CC427" s="248"/>
      <c r="CD427" s="248"/>
      <c r="CE427" s="248"/>
      <c r="CF427" s="248"/>
      <c r="CG427" s="248"/>
      <c r="CH427" s="248"/>
      <c r="CI427" s="248"/>
      <c r="CJ427" s="248"/>
      <c r="CK427" s="248"/>
      <c r="CL427" s="248"/>
      <c r="CM427" s="248"/>
      <c r="CN427" s="248"/>
      <c r="CO427" s="248"/>
      <c r="CP427" s="248"/>
      <c r="CQ427" s="248"/>
      <c r="CR427" s="248"/>
      <c r="CS427" s="248"/>
      <c r="CT427" s="248"/>
      <c r="CU427" s="248"/>
      <c r="CV427" s="248"/>
      <c r="CW427" s="248"/>
      <c r="CX427" s="248"/>
      <c r="CY427" s="248"/>
      <c r="CZ427" s="248"/>
      <c r="DA427" s="248"/>
      <c r="DB427" s="248"/>
      <c r="DC427" s="248"/>
      <c r="DD427" s="248"/>
      <c r="DE427" s="248"/>
      <c r="DF427" s="248"/>
      <c r="DG427" s="248"/>
      <c r="DH427" s="248"/>
      <c r="DI427" s="248"/>
      <c r="DJ427" s="248"/>
      <c r="DK427" s="248"/>
      <c r="DL427" s="248"/>
      <c r="DM427" s="248"/>
      <c r="DN427" s="248"/>
      <c r="DO427" s="248"/>
      <c r="DP427" s="248"/>
      <c r="DQ427" s="248"/>
      <c r="DR427" s="248"/>
      <c r="DS427" s="248"/>
      <c r="DT427" s="248"/>
      <c r="DU427" s="248"/>
      <c r="DV427" s="248"/>
      <c r="DW427" s="248"/>
      <c r="DX427" s="248"/>
      <c r="DY427" s="248"/>
      <c r="DZ427" s="248"/>
      <c r="EA427" s="248"/>
    </row>
    <row r="428" spans="1:135" s="484" customFormat="1" ht="16.5">
      <c r="A428" s="186"/>
      <c r="B428" s="491"/>
      <c r="C428" s="484">
        <v>656001</v>
      </c>
      <c r="D428" s="492">
        <v>656</v>
      </c>
      <c r="F428" s="484" t="s">
        <v>1086</v>
      </c>
      <c r="O428" s="257" t="s">
        <v>1086</v>
      </c>
      <c r="P428" s="257" t="s">
        <v>1086</v>
      </c>
      <c r="Q428" s="485"/>
      <c r="R428" s="486"/>
      <c r="W428" s="486">
        <v>980016331</v>
      </c>
      <c r="Z428" s="511" t="s">
        <v>2645</v>
      </c>
      <c r="AA428" s="35" t="s">
        <v>2645</v>
      </c>
      <c r="AB428" s="513" t="s">
        <v>1114</v>
      </c>
      <c r="AH428" s="494"/>
      <c r="AJ428" s="494" t="s">
        <v>1117</v>
      </c>
      <c r="AK428" s="515"/>
      <c r="AL428" s="526">
        <v>3</v>
      </c>
      <c r="AM428" s="484">
        <v>656001</v>
      </c>
      <c r="AN428" s="484" t="s">
        <v>1413</v>
      </c>
      <c r="AO428" s="484" t="s">
        <v>948</v>
      </c>
      <c r="AP428" s="484" t="s">
        <v>666</v>
      </c>
      <c r="AQ428" s="257" t="s">
        <v>2265</v>
      </c>
      <c r="AR428" s="484">
        <v>1</v>
      </c>
      <c r="AS428" s="484" t="s">
        <v>1844</v>
      </c>
      <c r="AT428" s="484" t="s">
        <v>320</v>
      </c>
      <c r="AU428" s="484" t="s">
        <v>10</v>
      </c>
      <c r="AV428" s="484" t="s">
        <v>424</v>
      </c>
      <c r="AW428" s="484" t="s">
        <v>1318</v>
      </c>
      <c r="AX428" s="257" t="s">
        <v>1845</v>
      </c>
      <c r="AY428" s="484">
        <v>1</v>
      </c>
      <c r="AZ428" s="484" t="s">
        <v>938</v>
      </c>
      <c r="BA428" s="484" t="s">
        <v>1074</v>
      </c>
      <c r="BB428" s="484" t="s">
        <v>10</v>
      </c>
      <c r="BC428" s="484" t="s">
        <v>142</v>
      </c>
      <c r="BD428" s="484" t="s">
        <v>1846</v>
      </c>
      <c r="BE428" s="484" t="s">
        <v>2540</v>
      </c>
      <c r="BF428" s="484" t="s">
        <v>143</v>
      </c>
      <c r="BG428" s="484">
        <v>1715</v>
      </c>
      <c r="BH428" s="484" t="s">
        <v>393</v>
      </c>
      <c r="BI428" s="484">
        <v>0.35</v>
      </c>
      <c r="BJ428" s="484" t="s">
        <v>1416</v>
      </c>
      <c r="BK428" s="484" t="s">
        <v>2537</v>
      </c>
      <c r="BL428" s="484">
        <v>656001</v>
      </c>
    </row>
    <row r="429" spans="1:135" s="35" customFormat="1" ht="16.5">
      <c r="B429" s="367"/>
      <c r="C429" s="248">
        <v>656002</v>
      </c>
      <c r="D429" s="283">
        <v>656</v>
      </c>
      <c r="F429" s="35" t="s">
        <v>1086</v>
      </c>
      <c r="O429" s="34" t="s">
        <v>1086</v>
      </c>
      <c r="P429" s="34" t="s">
        <v>1086</v>
      </c>
      <c r="Q429" s="58"/>
      <c r="R429" s="104"/>
      <c r="W429" s="104">
        <v>980016331</v>
      </c>
      <c r="AB429" s="58" t="s">
        <v>1114</v>
      </c>
      <c r="AH429" s="279"/>
      <c r="AJ429" s="279" t="s">
        <v>1117</v>
      </c>
      <c r="AK429" s="279"/>
      <c r="AL429" s="523">
        <v>3</v>
      </c>
      <c r="AM429" s="35">
        <v>656002</v>
      </c>
      <c r="AN429" s="35" t="s">
        <v>1417</v>
      </c>
      <c r="AO429" s="35" t="s">
        <v>948</v>
      </c>
      <c r="AP429" s="35" t="s">
        <v>666</v>
      </c>
      <c r="AQ429" s="34" t="s">
        <v>2265</v>
      </c>
      <c r="AR429" s="35">
        <v>2</v>
      </c>
      <c r="AS429" s="35" t="s">
        <v>1844</v>
      </c>
      <c r="AT429" s="35" t="s">
        <v>157</v>
      </c>
      <c r="AU429" s="35" t="s">
        <v>10</v>
      </c>
      <c r="AV429" s="35" t="s">
        <v>424</v>
      </c>
      <c r="AW429" s="35" t="s">
        <v>1318</v>
      </c>
      <c r="AX429" s="34" t="s">
        <v>1845</v>
      </c>
      <c r="AY429" s="35">
        <v>2</v>
      </c>
      <c r="AZ429" s="35" t="s">
        <v>938</v>
      </c>
      <c r="BA429" s="35" t="s">
        <v>157</v>
      </c>
      <c r="BB429" s="35" t="s">
        <v>10</v>
      </c>
      <c r="BC429" s="35" t="s">
        <v>142</v>
      </c>
      <c r="BD429" s="35" t="s">
        <v>2503</v>
      </c>
      <c r="BE429" s="35" t="s">
        <v>2540</v>
      </c>
      <c r="BF429" s="35" t="s">
        <v>145</v>
      </c>
      <c r="BG429" s="35">
        <v>1715</v>
      </c>
      <c r="BH429" s="35" t="s">
        <v>2506</v>
      </c>
      <c r="BI429" s="35">
        <v>0.5</v>
      </c>
      <c r="BJ429" s="35" t="s">
        <v>1418</v>
      </c>
      <c r="BK429" s="35" t="s">
        <v>2537</v>
      </c>
      <c r="BL429" s="35">
        <v>656002</v>
      </c>
      <c r="BW429" s="248"/>
      <c r="BX429" s="248"/>
      <c r="BY429" s="248"/>
      <c r="BZ429" s="248"/>
      <c r="CA429" s="248"/>
      <c r="CB429" s="248"/>
      <c r="CC429" s="248"/>
      <c r="CD429" s="248"/>
      <c r="CE429" s="248"/>
      <c r="CF429" s="248"/>
      <c r="CG429" s="248"/>
      <c r="CH429" s="248"/>
      <c r="CI429" s="248"/>
      <c r="CJ429" s="248"/>
      <c r="CK429" s="248"/>
      <c r="CL429" s="248"/>
      <c r="CM429" s="248"/>
      <c r="CN429" s="248"/>
      <c r="CO429" s="248"/>
      <c r="CP429" s="248"/>
      <c r="CQ429" s="248"/>
      <c r="CR429" s="248"/>
      <c r="CS429" s="248"/>
      <c r="CT429" s="248"/>
      <c r="CU429" s="248"/>
      <c r="CV429" s="248"/>
      <c r="CW429" s="248"/>
      <c r="CX429" s="248"/>
      <c r="CY429" s="248"/>
      <c r="CZ429" s="248"/>
      <c r="DA429" s="248"/>
      <c r="DB429" s="248"/>
      <c r="DC429" s="248"/>
      <c r="DD429" s="248"/>
      <c r="DE429" s="248"/>
      <c r="DF429" s="248"/>
      <c r="DG429" s="248"/>
      <c r="DH429" s="248"/>
      <c r="DI429" s="248"/>
      <c r="DJ429" s="248"/>
      <c r="DK429" s="248"/>
      <c r="DL429" s="248"/>
      <c r="DM429" s="248"/>
      <c r="DN429" s="248"/>
      <c r="DO429" s="248"/>
      <c r="DP429" s="248"/>
      <c r="DQ429" s="248"/>
      <c r="DR429" s="248"/>
      <c r="DS429" s="248"/>
      <c r="DT429" s="248"/>
      <c r="DU429" s="248"/>
      <c r="DV429" s="248"/>
      <c r="DW429" s="248"/>
      <c r="DX429" s="248"/>
      <c r="DY429" s="248"/>
      <c r="DZ429" s="248"/>
      <c r="EA429" s="248"/>
    </row>
    <row r="430" spans="1:135" s="35" customFormat="1" ht="16.5">
      <c r="A430" s="35" t="str">
        <f t="shared" ref="A430:A447" si="15" xml:space="preserve"> AQ430 &amp; REPT(" ",20-LEN(AQ430)) &amp; AX430</f>
        <v xml:space="preserve">                    </v>
      </c>
      <c r="B430" s="331"/>
      <c r="D430" s="283">
        <v>901</v>
      </c>
      <c r="G430" s="39"/>
      <c r="O430" s="34"/>
      <c r="P430" s="34"/>
      <c r="Q430" s="58"/>
      <c r="R430" s="39"/>
      <c r="AH430" s="279"/>
      <c r="AJ430" s="279"/>
      <c r="AK430" s="279"/>
      <c r="AL430" s="523">
        <v>1</v>
      </c>
      <c r="AM430" s="35" t="s">
        <v>69</v>
      </c>
      <c r="AQ430" s="34"/>
      <c r="AX430" s="34"/>
      <c r="BW430" s="248"/>
      <c r="BX430" s="248"/>
      <c r="BY430" s="248"/>
      <c r="BZ430" s="248"/>
      <c r="CA430" s="248"/>
      <c r="CB430" s="248"/>
      <c r="CC430" s="248"/>
      <c r="CD430" s="248"/>
      <c r="CE430" s="248"/>
      <c r="CF430" s="248"/>
      <c r="CG430" s="248"/>
      <c r="CH430" s="248"/>
      <c r="CI430" s="248"/>
      <c r="CJ430" s="248"/>
      <c r="CK430" s="248"/>
      <c r="CL430" s="248"/>
      <c r="CM430" s="248"/>
      <c r="CN430" s="248"/>
      <c r="CO430" s="248"/>
      <c r="CP430" s="248"/>
      <c r="CQ430" s="248"/>
      <c r="CR430" s="248"/>
      <c r="CS430" s="248"/>
      <c r="CT430" s="248"/>
      <c r="CU430" s="248"/>
      <c r="CV430" s="248"/>
      <c r="CW430" s="248"/>
      <c r="CX430" s="248"/>
      <c r="CY430" s="248"/>
      <c r="CZ430" s="248"/>
      <c r="DA430" s="248"/>
      <c r="DB430" s="248"/>
      <c r="DC430" s="248"/>
      <c r="DD430" s="248"/>
      <c r="DE430" s="248"/>
      <c r="DF430" s="248"/>
      <c r="DG430" s="248"/>
      <c r="DH430" s="248"/>
      <c r="DI430" s="248"/>
      <c r="DJ430" s="248"/>
      <c r="DK430" s="248"/>
      <c r="DL430" s="248"/>
      <c r="DM430" s="248"/>
      <c r="DN430" s="248"/>
      <c r="DO430" s="248"/>
      <c r="DP430" s="248"/>
      <c r="DQ430" s="248"/>
      <c r="DR430" s="248"/>
      <c r="DS430" s="248"/>
      <c r="DT430" s="248"/>
      <c r="DU430" s="248"/>
      <c r="DV430" s="248"/>
      <c r="DW430" s="248"/>
      <c r="DX430" s="248"/>
      <c r="DY430" s="248"/>
      <c r="DZ430" s="248"/>
      <c r="EA430" s="248"/>
      <c r="EB430" s="248"/>
      <c r="EC430" s="248"/>
      <c r="ED430" s="248"/>
      <c r="EE430" s="248"/>
    </row>
    <row r="431" spans="1:135" s="35" customFormat="1" ht="16.5">
      <c r="A431" s="186" t="str">
        <f t="shared" si="15"/>
        <v xml:space="preserve">~                   </v>
      </c>
      <c r="B431" s="331"/>
      <c r="D431" s="283">
        <v>901</v>
      </c>
      <c r="G431" s="39"/>
      <c r="O431" s="34"/>
      <c r="P431" s="34"/>
      <c r="Q431" s="58"/>
      <c r="R431" s="39"/>
      <c r="AC431" s="287">
        <v>1</v>
      </c>
      <c r="AD431" s="287"/>
      <c r="AE431" s="287"/>
      <c r="AF431" s="287"/>
      <c r="AG431" s="287"/>
      <c r="AH431" s="279"/>
      <c r="AJ431" s="279"/>
      <c r="AK431" s="279"/>
      <c r="AL431" s="523">
        <v>2</v>
      </c>
      <c r="AM431" s="35" t="s">
        <v>0</v>
      </c>
      <c r="AN431" s="35" t="s">
        <v>865</v>
      </c>
      <c r="AO431" s="35" t="s">
        <v>1657</v>
      </c>
      <c r="AP431" s="35" t="s">
        <v>2066</v>
      </c>
      <c r="AQ431" s="34" t="s">
        <v>1</v>
      </c>
      <c r="AR431" s="35" t="s">
        <v>763</v>
      </c>
      <c r="AS431" s="35" t="s">
        <v>11</v>
      </c>
      <c r="AX431" s="34"/>
    </row>
    <row r="432" spans="1:135" s="185" customFormat="1" ht="16.5">
      <c r="A432" s="35" t="str">
        <f t="shared" si="15"/>
        <v xml:space="preserve">~                   </v>
      </c>
      <c r="B432" s="331"/>
      <c r="C432" s="35"/>
      <c r="D432" s="283">
        <v>901</v>
      </c>
      <c r="E432" s="35"/>
      <c r="F432" s="35"/>
      <c r="G432" s="39"/>
      <c r="H432" s="35"/>
      <c r="I432" s="35"/>
      <c r="K432" s="35"/>
      <c r="L432" s="35"/>
      <c r="M432" s="35"/>
      <c r="N432" s="35"/>
      <c r="O432" s="34"/>
      <c r="P432" s="34"/>
      <c r="Q432" s="58"/>
      <c r="R432" s="39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287">
        <v>1</v>
      </c>
      <c r="AD432" s="287"/>
      <c r="AE432" s="287"/>
      <c r="AF432" s="287"/>
      <c r="AG432" s="287"/>
      <c r="AH432" s="279"/>
      <c r="AI432" s="35"/>
      <c r="AJ432" s="279"/>
      <c r="AK432" s="279"/>
      <c r="AL432" s="523">
        <v>2</v>
      </c>
      <c r="AM432" s="35" t="s">
        <v>2</v>
      </c>
      <c r="AN432" s="35" t="s">
        <v>867</v>
      </c>
      <c r="AO432" s="35" t="s">
        <v>1659</v>
      </c>
      <c r="AP432" s="35" t="s">
        <v>1658</v>
      </c>
      <c r="AQ432" s="34" t="s">
        <v>1</v>
      </c>
      <c r="AR432" s="35" t="s">
        <v>2067</v>
      </c>
      <c r="AS432" s="35" t="s">
        <v>11</v>
      </c>
      <c r="AT432" s="35"/>
      <c r="AU432" s="35"/>
      <c r="AV432" s="35"/>
      <c r="AW432" s="35"/>
      <c r="AX432" s="34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248"/>
      <c r="BX432" s="248"/>
      <c r="BY432" s="248"/>
      <c r="BZ432" s="248"/>
      <c r="CA432" s="248"/>
      <c r="CB432" s="248"/>
      <c r="CC432" s="248"/>
      <c r="CD432" s="248"/>
      <c r="CE432" s="248"/>
      <c r="CF432" s="248"/>
      <c r="CG432" s="248"/>
      <c r="CH432" s="248"/>
      <c r="CI432" s="248"/>
      <c r="CJ432" s="248"/>
      <c r="CK432" s="248"/>
      <c r="CL432" s="248"/>
      <c r="CM432" s="248"/>
      <c r="CN432" s="248"/>
      <c r="CO432" s="248"/>
      <c r="CP432" s="248"/>
      <c r="CQ432" s="248"/>
      <c r="CR432" s="248"/>
      <c r="CS432" s="248"/>
      <c r="CT432" s="248"/>
      <c r="CU432" s="248"/>
      <c r="CV432" s="248"/>
      <c r="CW432" s="248"/>
      <c r="CX432" s="248"/>
      <c r="CY432" s="248"/>
      <c r="CZ432" s="248"/>
      <c r="DA432" s="248"/>
      <c r="DB432" s="248"/>
      <c r="DC432" s="248"/>
      <c r="DD432" s="248"/>
      <c r="DE432" s="248"/>
      <c r="DF432" s="248"/>
      <c r="DG432" s="248"/>
      <c r="DH432" s="248"/>
      <c r="DI432" s="248"/>
      <c r="DJ432" s="248"/>
      <c r="DK432" s="248"/>
      <c r="DL432" s="248"/>
      <c r="DM432" s="248"/>
      <c r="DN432" s="248"/>
      <c r="DO432" s="248"/>
      <c r="DP432" s="248"/>
      <c r="DQ432" s="248"/>
      <c r="DR432" s="248"/>
      <c r="DS432" s="248"/>
      <c r="DT432" s="248"/>
      <c r="DU432" s="248"/>
      <c r="DV432" s="248"/>
      <c r="DW432" s="248"/>
      <c r="DX432" s="248"/>
      <c r="DY432" s="248"/>
      <c r="DZ432" s="248"/>
      <c r="EA432" s="248"/>
      <c r="EB432" s="248"/>
      <c r="EC432" s="248"/>
      <c r="ED432" s="248"/>
      <c r="EE432" s="248"/>
    </row>
    <row r="433" spans="1:135" s="35" customFormat="1" ht="16.5">
      <c r="A433" s="35" t="str">
        <f t="shared" si="15"/>
        <v>Kurzname            Kurzname</v>
      </c>
      <c r="B433" s="331"/>
      <c r="D433" s="283">
        <v>901</v>
      </c>
      <c r="O433" s="34"/>
      <c r="P433" s="34"/>
      <c r="Q433" s="58"/>
      <c r="R433" s="39"/>
      <c r="AH433" s="279"/>
      <c r="AJ433" s="279"/>
      <c r="AK433" s="279"/>
      <c r="AL433" s="523">
        <v>0</v>
      </c>
      <c r="AM433" s="35" t="s">
        <v>12</v>
      </c>
      <c r="AN433" s="35" t="s">
        <v>13</v>
      </c>
      <c r="AO433" s="35" t="s">
        <v>356</v>
      </c>
      <c r="AP433" s="35" t="s">
        <v>14</v>
      </c>
      <c r="AQ433" s="34" t="s">
        <v>7</v>
      </c>
      <c r="AR433" s="35" t="s">
        <v>15</v>
      </c>
      <c r="AS433" s="35" t="s">
        <v>8</v>
      </c>
      <c r="AT433" s="35" t="s">
        <v>16</v>
      </c>
      <c r="AU433" s="35" t="s">
        <v>17</v>
      </c>
      <c r="AV433" s="35" t="s">
        <v>356</v>
      </c>
      <c r="AW433" s="35" t="s">
        <v>18</v>
      </c>
      <c r="AX433" s="34" t="s">
        <v>7</v>
      </c>
      <c r="AY433" s="35" t="s">
        <v>15</v>
      </c>
      <c r="AZ433" s="35" t="s">
        <v>8</v>
      </c>
      <c r="BA433" s="35" t="s">
        <v>16</v>
      </c>
      <c r="BB433" s="35" t="s">
        <v>17</v>
      </c>
      <c r="BC433" s="35" t="s">
        <v>19</v>
      </c>
      <c r="BD433" s="35" t="s">
        <v>1737</v>
      </c>
      <c r="BE433" s="35" t="s">
        <v>20</v>
      </c>
      <c r="BF433" s="35" t="s">
        <v>21</v>
      </c>
      <c r="BG433" s="35" t="s">
        <v>22</v>
      </c>
      <c r="BH433" s="35" t="s">
        <v>9</v>
      </c>
      <c r="BI433" s="35" t="s">
        <v>23</v>
      </c>
      <c r="BJ433" s="35" t="s">
        <v>24</v>
      </c>
      <c r="BK433" s="35" t="s">
        <v>0</v>
      </c>
      <c r="BL433" s="35" t="s">
        <v>2</v>
      </c>
      <c r="BM433" s="35" t="s">
        <v>12</v>
      </c>
      <c r="BW433" s="248"/>
      <c r="BX433" s="248"/>
      <c r="BY433" s="248"/>
      <c r="BZ433" s="248"/>
      <c r="CA433" s="248"/>
      <c r="CB433" s="248"/>
      <c r="CC433" s="248"/>
      <c r="CD433" s="248"/>
      <c r="CE433" s="248"/>
      <c r="CF433" s="248"/>
      <c r="CG433" s="248"/>
      <c r="CH433" s="248"/>
      <c r="CI433" s="248"/>
      <c r="CJ433" s="248"/>
      <c r="CK433" s="248"/>
      <c r="CL433" s="248"/>
      <c r="CM433" s="248"/>
      <c r="CN433" s="248"/>
      <c r="CO433" s="248"/>
      <c r="CP433" s="248"/>
      <c r="CQ433" s="248"/>
      <c r="CR433" s="248"/>
      <c r="CS433" s="248"/>
      <c r="CT433" s="248"/>
      <c r="CU433" s="248"/>
      <c r="CV433" s="248"/>
      <c r="CW433" s="248"/>
      <c r="CX433" s="248"/>
      <c r="CY433" s="248"/>
      <c r="CZ433" s="248"/>
      <c r="DA433" s="248"/>
      <c r="DB433" s="248"/>
      <c r="DC433" s="248"/>
      <c r="DD433" s="248"/>
      <c r="DE433" s="248"/>
      <c r="DF433" s="248"/>
      <c r="DG433" s="248"/>
      <c r="DH433" s="248"/>
      <c r="DI433" s="248"/>
      <c r="DJ433" s="248"/>
      <c r="DK433" s="248"/>
      <c r="DL433" s="248"/>
      <c r="DM433" s="248"/>
      <c r="DN433" s="248"/>
      <c r="DO433" s="248"/>
      <c r="DP433" s="248"/>
      <c r="DQ433" s="248"/>
      <c r="DR433" s="248"/>
      <c r="DS433" s="248"/>
      <c r="DT433" s="248"/>
      <c r="DU433" s="248"/>
      <c r="DV433" s="248"/>
      <c r="DW433" s="248"/>
      <c r="DX433" s="248"/>
      <c r="DY433" s="248"/>
      <c r="DZ433" s="248"/>
      <c r="EA433" s="248"/>
      <c r="EB433" s="248"/>
      <c r="EC433" s="248"/>
      <c r="ED433" s="248"/>
      <c r="EE433" s="248"/>
    </row>
    <row r="434" spans="1:135" s="35" customFormat="1" ht="16.5">
      <c r="A434" s="35" t="str">
        <f t="shared" si="15"/>
        <v>SP_MB33_C           FRL_VL</v>
      </c>
      <c r="B434" s="331"/>
      <c r="C434" s="248">
        <v>901001</v>
      </c>
      <c r="D434" s="283">
        <v>901</v>
      </c>
      <c r="F434" s="35" t="s">
        <v>1086</v>
      </c>
      <c r="G434" s="35" t="s">
        <v>2236</v>
      </c>
      <c r="H434" s="35" t="s">
        <v>609</v>
      </c>
      <c r="N434" s="35" t="s">
        <v>537</v>
      </c>
      <c r="O434" s="34" t="s">
        <v>1086</v>
      </c>
      <c r="P434" s="34" t="s">
        <v>1086</v>
      </c>
      <c r="Q434" s="58"/>
      <c r="R434" s="39"/>
      <c r="AH434" s="279"/>
      <c r="AJ434" s="279" t="s">
        <v>1117</v>
      </c>
      <c r="AK434" s="279"/>
      <c r="AL434" s="523">
        <v>3</v>
      </c>
      <c r="AM434" s="35">
        <v>901001</v>
      </c>
      <c r="AN434" s="35" t="s">
        <v>2068</v>
      </c>
      <c r="AO434" s="35" t="s">
        <v>2150</v>
      </c>
      <c r="AP434" s="35" t="s">
        <v>662</v>
      </c>
      <c r="AQ434" s="34" t="s">
        <v>2236</v>
      </c>
      <c r="AR434" s="35">
        <v>1</v>
      </c>
      <c r="AS434" s="35" t="s">
        <v>1157</v>
      </c>
      <c r="AT434" s="35" t="s">
        <v>10</v>
      </c>
      <c r="AU434" s="35" t="s">
        <v>10</v>
      </c>
      <c r="AV434" s="35" t="s">
        <v>1724</v>
      </c>
      <c r="AW434" s="35" t="s">
        <v>869</v>
      </c>
      <c r="AX434" s="34" t="s">
        <v>2323</v>
      </c>
      <c r="AY434" s="35">
        <v>1</v>
      </c>
      <c r="AZ434" s="35" t="s">
        <v>1316</v>
      </c>
      <c r="BA434" s="35" t="s">
        <v>87</v>
      </c>
      <c r="BB434" s="35" t="s">
        <v>10</v>
      </c>
      <c r="BC434" s="35" t="s">
        <v>71</v>
      </c>
      <c r="BD434" s="35" t="s">
        <v>1742</v>
      </c>
      <c r="BE434" s="35" t="s">
        <v>10</v>
      </c>
      <c r="BF434" s="35" t="s">
        <v>10</v>
      </c>
      <c r="BG434" s="35">
        <v>599</v>
      </c>
      <c r="BH434" s="35" t="s">
        <v>25</v>
      </c>
      <c r="BI434" s="35">
        <v>0.35</v>
      </c>
      <c r="BJ434" s="35" t="s">
        <v>1411</v>
      </c>
      <c r="BK434" s="35" t="s">
        <v>865</v>
      </c>
      <c r="BL434" s="35" t="s">
        <v>10</v>
      </c>
      <c r="BM434" s="35">
        <v>901001</v>
      </c>
      <c r="BW434" s="248"/>
      <c r="BX434" s="248"/>
      <c r="BY434" s="248"/>
      <c r="BZ434" s="248"/>
      <c r="CA434" s="248"/>
      <c r="CB434" s="248"/>
      <c r="CC434" s="248"/>
      <c r="CD434" s="248"/>
      <c r="CE434" s="248"/>
      <c r="CF434" s="248"/>
      <c r="CG434" s="248"/>
      <c r="CH434" s="248"/>
      <c r="CI434" s="248"/>
      <c r="CJ434" s="248"/>
      <c r="CK434" s="248"/>
      <c r="CL434" s="248"/>
      <c r="CM434" s="248"/>
      <c r="CN434" s="248"/>
      <c r="CO434" s="248"/>
      <c r="CP434" s="248"/>
      <c r="CQ434" s="248"/>
      <c r="CR434" s="248"/>
      <c r="CS434" s="248"/>
      <c r="CT434" s="248"/>
      <c r="CU434" s="248"/>
      <c r="CV434" s="248"/>
      <c r="CW434" s="248"/>
      <c r="CX434" s="248"/>
      <c r="CY434" s="248"/>
      <c r="CZ434" s="248"/>
      <c r="DA434" s="248"/>
      <c r="DB434" s="248"/>
      <c r="DC434" s="248"/>
      <c r="DD434" s="248"/>
      <c r="DE434" s="248"/>
      <c r="DF434" s="248"/>
      <c r="DG434" s="248"/>
      <c r="DH434" s="248"/>
      <c r="DI434" s="248"/>
      <c r="DJ434" s="248"/>
      <c r="DK434" s="248"/>
      <c r="DL434" s="248"/>
      <c r="DM434" s="248"/>
      <c r="DN434" s="248"/>
      <c r="DO434" s="248"/>
      <c r="DP434" s="248"/>
      <c r="DQ434" s="248"/>
      <c r="DR434" s="248"/>
      <c r="DS434" s="248"/>
      <c r="DT434" s="248"/>
      <c r="DU434" s="248"/>
      <c r="DV434" s="248"/>
      <c r="DW434" s="248"/>
      <c r="DX434" s="248"/>
      <c r="DY434" s="248"/>
      <c r="DZ434" s="248"/>
      <c r="EA434" s="248"/>
      <c r="EB434" s="248"/>
      <c r="EC434" s="248"/>
      <c r="ED434" s="248"/>
      <c r="EE434" s="248"/>
    </row>
    <row r="435" spans="1:135" s="32" customFormat="1" ht="16.5">
      <c r="A435" s="35" t="str">
        <f t="shared" si="15"/>
        <v>KS_CPL_C            FRL_VL</v>
      </c>
      <c r="B435" s="331"/>
      <c r="C435" s="248">
        <v>901002</v>
      </c>
      <c r="D435" s="283">
        <v>901</v>
      </c>
      <c r="E435" s="35"/>
      <c r="F435" s="35" t="s">
        <v>1086</v>
      </c>
      <c r="G435" s="35"/>
      <c r="H435" s="35"/>
      <c r="I435" s="35"/>
      <c r="K435" s="35"/>
      <c r="L435" s="35"/>
      <c r="M435" s="35"/>
      <c r="N435" s="35"/>
      <c r="O435" s="34" t="s">
        <v>1086</v>
      </c>
      <c r="P435" s="34" t="s">
        <v>1086</v>
      </c>
      <c r="Q435" s="58"/>
      <c r="R435" s="39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279"/>
      <c r="AI435" s="35"/>
      <c r="AJ435" s="279" t="s">
        <v>1117</v>
      </c>
      <c r="AK435" s="279"/>
      <c r="AL435" s="523">
        <v>3</v>
      </c>
      <c r="AM435" s="35">
        <v>901002</v>
      </c>
      <c r="AN435" s="35" t="s">
        <v>2069</v>
      </c>
      <c r="AO435" s="35" t="s">
        <v>416</v>
      </c>
      <c r="AP435" s="35" t="s">
        <v>632</v>
      </c>
      <c r="AQ435" s="34" t="s">
        <v>1758</v>
      </c>
      <c r="AR435" s="35">
        <v>5</v>
      </c>
      <c r="AS435" s="35" t="s">
        <v>1759</v>
      </c>
      <c r="AT435" s="35" t="s">
        <v>492</v>
      </c>
      <c r="AU435" s="35" t="s">
        <v>10</v>
      </c>
      <c r="AV435" s="35" t="s">
        <v>1724</v>
      </c>
      <c r="AW435" s="35" t="s">
        <v>869</v>
      </c>
      <c r="AX435" s="34" t="s">
        <v>2323</v>
      </c>
      <c r="AY435" s="35">
        <v>2</v>
      </c>
      <c r="AZ435" s="35" t="s">
        <v>1316</v>
      </c>
      <c r="BA435" s="35" t="s">
        <v>218</v>
      </c>
      <c r="BB435" s="35" t="s">
        <v>10</v>
      </c>
      <c r="BC435" s="35" t="s">
        <v>487</v>
      </c>
      <c r="BD435" s="35" t="s">
        <v>1742</v>
      </c>
      <c r="BE435" s="35" t="s">
        <v>10</v>
      </c>
      <c r="BF435" s="35" t="s">
        <v>10</v>
      </c>
      <c r="BG435" s="35">
        <v>554</v>
      </c>
      <c r="BH435" s="35" t="s">
        <v>112</v>
      </c>
      <c r="BI435" s="35">
        <v>0.13</v>
      </c>
      <c r="BJ435" s="35" t="s">
        <v>1661</v>
      </c>
      <c r="BK435" s="35" t="s">
        <v>865</v>
      </c>
      <c r="BL435" s="35" t="s">
        <v>10</v>
      </c>
      <c r="BM435" s="35">
        <v>901002</v>
      </c>
      <c r="BN435" s="35"/>
      <c r="BO435" s="35"/>
      <c r="BP435" s="35"/>
      <c r="BQ435" s="35"/>
      <c r="BR435" s="35"/>
      <c r="BS435" s="35"/>
      <c r="BT435" s="35"/>
      <c r="BU435" s="35"/>
      <c r="BV435" s="35"/>
      <c r="BW435" s="248"/>
      <c r="BX435" s="248"/>
      <c r="BY435" s="248"/>
      <c r="BZ435" s="248"/>
      <c r="CA435" s="248"/>
      <c r="CB435" s="248"/>
      <c r="CC435" s="248"/>
      <c r="CD435" s="248"/>
      <c r="CE435" s="248"/>
      <c r="CF435" s="248"/>
      <c r="CG435" s="248"/>
      <c r="CH435" s="248"/>
      <c r="CI435" s="248"/>
      <c r="CJ435" s="248"/>
      <c r="CK435" s="248"/>
      <c r="CL435" s="248"/>
      <c r="CM435" s="248"/>
      <c r="CN435" s="248"/>
      <c r="CO435" s="248"/>
      <c r="CP435" s="248"/>
      <c r="CQ435" s="248"/>
      <c r="CR435" s="248"/>
      <c r="CS435" s="248"/>
      <c r="CT435" s="248"/>
      <c r="CU435" s="248"/>
      <c r="CV435" s="248"/>
      <c r="CW435" s="248"/>
      <c r="CX435" s="248"/>
      <c r="CY435" s="248"/>
      <c r="CZ435" s="248"/>
      <c r="DA435" s="248"/>
      <c r="DB435" s="248"/>
      <c r="DC435" s="248"/>
      <c r="DD435" s="248"/>
      <c r="DE435" s="248"/>
      <c r="DF435" s="248"/>
      <c r="DG435" s="248"/>
      <c r="DH435" s="248"/>
      <c r="DI435" s="248"/>
      <c r="DJ435" s="248"/>
      <c r="DK435" s="248"/>
      <c r="DL435" s="248"/>
      <c r="DM435" s="248"/>
      <c r="DN435" s="248"/>
      <c r="DO435" s="248"/>
      <c r="DP435" s="248"/>
      <c r="DQ435" s="248"/>
      <c r="DR435" s="248"/>
      <c r="DS435" s="248"/>
      <c r="DT435" s="248"/>
      <c r="DU435" s="248"/>
      <c r="DV435" s="248"/>
      <c r="DW435" s="248"/>
      <c r="DX435" s="248"/>
      <c r="DY435" s="248"/>
      <c r="DZ435" s="248"/>
      <c r="EA435" s="248"/>
      <c r="EB435" s="248"/>
      <c r="EC435" s="248"/>
      <c r="ED435" s="248"/>
      <c r="EE435" s="248"/>
    </row>
    <row r="436" spans="1:135" s="32" customFormat="1" ht="16.5">
      <c r="A436" s="35" t="str">
        <f t="shared" si="15"/>
        <v>FRL_VR              KS_CPR_A</v>
      </c>
      <c r="B436" s="331"/>
      <c r="C436" s="248">
        <v>901003</v>
      </c>
      <c r="D436" s="283">
        <v>901</v>
      </c>
      <c r="E436" s="35"/>
      <c r="F436" s="35" t="s">
        <v>1086</v>
      </c>
      <c r="G436" s="35"/>
      <c r="H436" s="35"/>
      <c r="I436" s="35"/>
      <c r="K436" s="35"/>
      <c r="L436" s="35"/>
      <c r="M436" s="35"/>
      <c r="N436" s="35"/>
      <c r="O436" s="34" t="s">
        <v>1086</v>
      </c>
      <c r="P436" s="34" t="s">
        <v>1086</v>
      </c>
      <c r="Q436" s="58"/>
      <c r="R436" s="39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279"/>
      <c r="AI436" s="35"/>
      <c r="AJ436" s="279" t="s">
        <v>1117</v>
      </c>
      <c r="AK436" s="279"/>
      <c r="AL436" s="523">
        <v>3</v>
      </c>
      <c r="AM436" s="35">
        <v>901003</v>
      </c>
      <c r="AN436" s="35" t="s">
        <v>1662</v>
      </c>
      <c r="AO436" s="35" t="s">
        <v>1725</v>
      </c>
      <c r="AP436" s="35" t="s">
        <v>870</v>
      </c>
      <c r="AQ436" s="34" t="s">
        <v>2300</v>
      </c>
      <c r="AR436" s="35">
        <v>1</v>
      </c>
      <c r="AS436" s="35" t="s">
        <v>413</v>
      </c>
      <c r="AT436" s="35" t="s">
        <v>218</v>
      </c>
      <c r="AU436" s="35" t="s">
        <v>10</v>
      </c>
      <c r="AV436" s="35" t="s">
        <v>424</v>
      </c>
      <c r="AW436" s="35" t="s">
        <v>637</v>
      </c>
      <c r="AX436" s="34" t="s">
        <v>1770</v>
      </c>
      <c r="AY436" s="35">
        <v>6</v>
      </c>
      <c r="AZ436" s="35" t="s">
        <v>1771</v>
      </c>
      <c r="BA436" s="35" t="s">
        <v>492</v>
      </c>
      <c r="BB436" s="35" t="s">
        <v>10</v>
      </c>
      <c r="BC436" s="35" t="s">
        <v>871</v>
      </c>
      <c r="BD436" s="35" t="s">
        <v>1742</v>
      </c>
      <c r="BE436" s="35" t="s">
        <v>10</v>
      </c>
      <c r="BF436" s="35" t="s">
        <v>10</v>
      </c>
      <c r="BG436" s="35">
        <v>1075</v>
      </c>
      <c r="BH436" s="35" t="s">
        <v>25</v>
      </c>
      <c r="BI436" s="35">
        <v>0.13</v>
      </c>
      <c r="BJ436" s="35" t="s">
        <v>1663</v>
      </c>
      <c r="BK436" s="35" t="s">
        <v>865</v>
      </c>
      <c r="BL436" s="35" t="s">
        <v>10</v>
      </c>
      <c r="BM436" s="35">
        <v>901003</v>
      </c>
      <c r="BN436" s="35"/>
      <c r="BO436" s="35"/>
      <c r="BP436" s="35"/>
      <c r="BQ436" s="35"/>
      <c r="BR436" s="35"/>
      <c r="BS436" s="35"/>
      <c r="BT436" s="35"/>
      <c r="BU436" s="35"/>
      <c r="BV436" s="35"/>
      <c r="BW436" s="248"/>
      <c r="BX436" s="248"/>
      <c r="BY436" s="248"/>
      <c r="BZ436" s="248"/>
      <c r="CA436" s="248"/>
      <c r="CB436" s="248"/>
      <c r="CC436" s="248"/>
      <c r="CD436" s="248"/>
      <c r="CE436" s="248"/>
      <c r="CF436" s="248"/>
      <c r="CG436" s="248"/>
      <c r="CH436" s="248"/>
      <c r="CI436" s="248"/>
      <c r="CJ436" s="248"/>
      <c r="CK436" s="248"/>
      <c r="CL436" s="248"/>
      <c r="CM436" s="248"/>
      <c r="CN436" s="248"/>
      <c r="CO436" s="248"/>
      <c r="CP436" s="248"/>
      <c r="CQ436" s="248"/>
      <c r="CR436" s="248"/>
      <c r="CS436" s="248"/>
      <c r="CT436" s="248"/>
      <c r="CU436" s="248"/>
      <c r="CV436" s="248"/>
      <c r="CW436" s="248"/>
      <c r="CX436" s="248"/>
      <c r="CY436" s="248"/>
      <c r="CZ436" s="248"/>
      <c r="DA436" s="248"/>
      <c r="DB436" s="248"/>
      <c r="DC436" s="248"/>
      <c r="DD436" s="248"/>
      <c r="DE436" s="248"/>
      <c r="DF436" s="248"/>
      <c r="DG436" s="248"/>
      <c r="DH436" s="248"/>
      <c r="DI436" s="248"/>
      <c r="DJ436" s="248"/>
      <c r="DK436" s="248"/>
      <c r="DL436" s="248"/>
      <c r="DM436" s="248"/>
      <c r="DN436" s="248"/>
      <c r="DO436" s="248"/>
      <c r="DP436" s="248"/>
      <c r="DQ436" s="248"/>
      <c r="DR436" s="248"/>
      <c r="DS436" s="248"/>
      <c r="DT436" s="248"/>
      <c r="DU436" s="248"/>
      <c r="DV436" s="248"/>
      <c r="DW436" s="248"/>
      <c r="DX436" s="248"/>
      <c r="DY436" s="248"/>
      <c r="DZ436" s="248"/>
      <c r="EA436" s="248"/>
      <c r="EB436" s="248"/>
      <c r="EC436" s="248"/>
      <c r="ED436" s="248"/>
      <c r="EE436" s="248"/>
    </row>
    <row r="437" spans="1:135" s="35" customFormat="1" ht="16.5">
      <c r="A437" s="186" t="str">
        <f t="shared" si="15"/>
        <v>KS_CPR_A            FRL_VR</v>
      </c>
      <c r="B437" s="331"/>
      <c r="C437" s="35">
        <v>901004</v>
      </c>
      <c r="D437" s="283">
        <v>901</v>
      </c>
      <c r="F437" s="35" t="s">
        <v>1086</v>
      </c>
      <c r="O437" s="34" t="s">
        <v>1086</v>
      </c>
      <c r="P437" s="34" t="s">
        <v>1086</v>
      </c>
      <c r="Q437" s="58"/>
      <c r="R437" s="39"/>
      <c r="AH437" s="279"/>
      <c r="AJ437" s="279" t="s">
        <v>1117</v>
      </c>
      <c r="AK437" s="279"/>
      <c r="AL437" s="523">
        <v>3</v>
      </c>
      <c r="AM437" s="35">
        <v>901004</v>
      </c>
      <c r="AN437" s="35" t="s">
        <v>2070</v>
      </c>
      <c r="AO437" s="35" t="s">
        <v>424</v>
      </c>
      <c r="AP437" s="35" t="s">
        <v>637</v>
      </c>
      <c r="AQ437" s="34" t="s">
        <v>1770</v>
      </c>
      <c r="AR437" s="35">
        <v>14</v>
      </c>
      <c r="AS437" s="35" t="s">
        <v>1771</v>
      </c>
      <c r="AT437" s="35" t="s">
        <v>492</v>
      </c>
      <c r="AU437" s="35" t="s">
        <v>10</v>
      </c>
      <c r="AV437" s="35" t="s">
        <v>1725</v>
      </c>
      <c r="AW437" s="35" t="s">
        <v>870</v>
      </c>
      <c r="AX437" s="34" t="s">
        <v>2300</v>
      </c>
      <c r="AY437" s="35">
        <v>2</v>
      </c>
      <c r="AZ437" s="35" t="s">
        <v>413</v>
      </c>
      <c r="BA437" s="35" t="s">
        <v>218</v>
      </c>
      <c r="BB437" s="35" t="s">
        <v>10</v>
      </c>
      <c r="BC437" s="35" t="s">
        <v>496</v>
      </c>
      <c r="BD437" s="35" t="s">
        <v>1742</v>
      </c>
      <c r="BE437" s="35" t="s">
        <v>10</v>
      </c>
      <c r="BF437" s="35" t="s">
        <v>10</v>
      </c>
      <c r="BG437" s="35">
        <v>1075</v>
      </c>
      <c r="BH437" s="35" t="s">
        <v>74</v>
      </c>
      <c r="BI437" s="35">
        <v>0.13</v>
      </c>
      <c r="BJ437" s="35" t="s">
        <v>1664</v>
      </c>
      <c r="BK437" s="35" t="s">
        <v>865</v>
      </c>
      <c r="BL437" s="35" t="s">
        <v>10</v>
      </c>
      <c r="BM437" s="35">
        <v>901004</v>
      </c>
    </row>
    <row r="438" spans="1:135" s="35" customFormat="1" ht="16.5">
      <c r="A438" s="35" t="str">
        <f t="shared" si="15"/>
        <v>FRL2_VL             SP_ILM</v>
      </c>
      <c r="B438" s="331"/>
      <c r="C438" s="248">
        <v>901005</v>
      </c>
      <c r="D438" s="283">
        <v>901</v>
      </c>
      <c r="F438" s="35" t="s">
        <v>1086</v>
      </c>
      <c r="G438" s="35" t="s">
        <v>2251</v>
      </c>
      <c r="H438" s="35" t="s">
        <v>610</v>
      </c>
      <c r="N438" s="35" t="s">
        <v>537</v>
      </c>
      <c r="O438" s="34" t="s">
        <v>1086</v>
      </c>
      <c r="P438" s="285" t="s">
        <v>1097</v>
      </c>
      <c r="Q438" s="58"/>
      <c r="R438" s="39"/>
      <c r="AH438" s="279"/>
      <c r="AJ438" s="279" t="s">
        <v>1117</v>
      </c>
      <c r="AK438" s="279"/>
      <c r="AL438" s="523">
        <v>3</v>
      </c>
      <c r="AM438" s="35">
        <v>901005</v>
      </c>
      <c r="AN438" s="35" t="s">
        <v>1665</v>
      </c>
      <c r="AO438" s="35" t="s">
        <v>1724</v>
      </c>
      <c r="AP438" s="35" t="s">
        <v>873</v>
      </c>
      <c r="AQ438" s="34" t="s">
        <v>2301</v>
      </c>
      <c r="AR438" s="35">
        <v>1</v>
      </c>
      <c r="AS438" s="35" t="s">
        <v>2071</v>
      </c>
      <c r="AT438" s="35" t="s">
        <v>218</v>
      </c>
      <c r="AU438" s="35" t="s">
        <v>10</v>
      </c>
      <c r="AV438" s="35" t="s">
        <v>1726</v>
      </c>
      <c r="AW438" s="35" t="s">
        <v>872</v>
      </c>
      <c r="AX438" s="34" t="s">
        <v>2251</v>
      </c>
      <c r="AY438" s="35">
        <v>1</v>
      </c>
      <c r="AZ438" s="35" t="s">
        <v>540</v>
      </c>
      <c r="BA438" s="35" t="s">
        <v>10</v>
      </c>
      <c r="BB438" s="35" t="s">
        <v>10</v>
      </c>
      <c r="BC438" s="35" t="s">
        <v>483</v>
      </c>
      <c r="BD438" s="35" t="s">
        <v>1742</v>
      </c>
      <c r="BE438" s="35" t="s">
        <v>10</v>
      </c>
      <c r="BF438" s="35" t="s">
        <v>10</v>
      </c>
      <c r="BG438" s="35">
        <v>833</v>
      </c>
      <c r="BH438" s="35" t="s">
        <v>64</v>
      </c>
      <c r="BI438" s="35">
        <v>0.13</v>
      </c>
      <c r="BJ438" s="35" t="s">
        <v>1666</v>
      </c>
      <c r="BK438" s="35" t="s">
        <v>10</v>
      </c>
      <c r="BL438" s="35" t="s">
        <v>867</v>
      </c>
      <c r="BM438" s="35">
        <v>901005</v>
      </c>
      <c r="BW438" s="248"/>
      <c r="BX438" s="248"/>
      <c r="BY438" s="248"/>
      <c r="BZ438" s="248"/>
      <c r="CA438" s="248"/>
      <c r="CB438" s="248"/>
      <c r="CC438" s="248"/>
      <c r="CD438" s="248"/>
      <c r="CE438" s="248"/>
      <c r="CF438" s="248"/>
      <c r="CG438" s="248"/>
      <c r="CH438" s="248"/>
      <c r="CI438" s="248"/>
      <c r="CJ438" s="248"/>
      <c r="CK438" s="248"/>
      <c r="CL438" s="248"/>
      <c r="CM438" s="248"/>
      <c r="CN438" s="248"/>
      <c r="CO438" s="248"/>
      <c r="CP438" s="248"/>
      <c r="CQ438" s="248"/>
      <c r="CR438" s="248"/>
      <c r="CS438" s="248"/>
      <c r="CT438" s="248"/>
      <c r="CU438" s="248"/>
      <c r="CV438" s="248"/>
      <c r="CW438" s="248"/>
      <c r="CX438" s="248"/>
      <c r="CY438" s="248"/>
      <c r="CZ438" s="248"/>
      <c r="DA438" s="248"/>
      <c r="DB438" s="248"/>
      <c r="DC438" s="248"/>
      <c r="DD438" s="248"/>
      <c r="DE438" s="248"/>
      <c r="DF438" s="248"/>
      <c r="DG438" s="248"/>
      <c r="DH438" s="248"/>
      <c r="DI438" s="248"/>
      <c r="DJ438" s="248"/>
      <c r="DK438" s="248"/>
      <c r="DL438" s="248"/>
      <c r="DM438" s="248"/>
      <c r="DN438" s="248"/>
      <c r="DO438" s="248"/>
      <c r="DP438" s="248"/>
      <c r="DQ438" s="248"/>
      <c r="DR438" s="248"/>
      <c r="DS438" s="248"/>
      <c r="DT438" s="248"/>
      <c r="DU438" s="248"/>
      <c r="DV438" s="248"/>
      <c r="DW438" s="248"/>
      <c r="DX438" s="248"/>
      <c r="DY438" s="248"/>
      <c r="DZ438" s="248"/>
      <c r="EA438" s="248"/>
      <c r="EB438" s="248"/>
      <c r="EC438" s="248"/>
      <c r="ED438" s="248"/>
      <c r="EE438" s="248"/>
    </row>
    <row r="439" spans="1:135" s="35" customFormat="1" ht="16.5">
      <c r="A439" s="35" t="str">
        <f t="shared" si="15"/>
        <v>FRL2_VR             SP_ILM</v>
      </c>
      <c r="B439" s="331"/>
      <c r="C439" s="248">
        <v>901006</v>
      </c>
      <c r="D439" s="283">
        <v>901</v>
      </c>
      <c r="F439" s="35" t="s">
        <v>1086</v>
      </c>
      <c r="G439" s="35" t="s">
        <v>2251</v>
      </c>
      <c r="H439" s="35" t="s">
        <v>610</v>
      </c>
      <c r="N439" s="35" t="s">
        <v>537</v>
      </c>
      <c r="O439" s="34" t="s">
        <v>1086</v>
      </c>
      <c r="P439" s="285" t="s">
        <v>1097</v>
      </c>
      <c r="Q439" s="58"/>
      <c r="R439" s="39"/>
      <c r="AH439" s="279"/>
      <c r="AJ439" s="279" t="s">
        <v>1117</v>
      </c>
      <c r="AK439" s="279"/>
      <c r="AL439" s="523">
        <v>3</v>
      </c>
      <c r="AM439" s="35">
        <v>901006</v>
      </c>
      <c r="AN439" s="35" t="s">
        <v>1667</v>
      </c>
      <c r="AO439" s="35" t="s">
        <v>1725</v>
      </c>
      <c r="AP439" s="35" t="s">
        <v>875</v>
      </c>
      <c r="AQ439" s="34" t="s">
        <v>2302</v>
      </c>
      <c r="AR439" s="35">
        <v>1</v>
      </c>
      <c r="AS439" s="35" t="s">
        <v>413</v>
      </c>
      <c r="AT439" s="35" t="s">
        <v>218</v>
      </c>
      <c r="AU439" s="35" t="s">
        <v>10</v>
      </c>
      <c r="AV439" s="35" t="s">
        <v>1726</v>
      </c>
      <c r="AW439" s="35" t="s">
        <v>872</v>
      </c>
      <c r="AX439" s="34" t="s">
        <v>2251</v>
      </c>
      <c r="AY439" s="35">
        <v>1</v>
      </c>
      <c r="AZ439" s="35" t="s">
        <v>540</v>
      </c>
      <c r="BA439" s="35" t="s">
        <v>10</v>
      </c>
      <c r="BB439" s="35" t="s">
        <v>10</v>
      </c>
      <c r="BC439" s="35" t="s">
        <v>483</v>
      </c>
      <c r="BD439" s="35" t="s">
        <v>1742</v>
      </c>
      <c r="BE439" s="35" t="s">
        <v>10</v>
      </c>
      <c r="BF439" s="35" t="s">
        <v>10</v>
      </c>
      <c r="BG439" s="35">
        <v>1337</v>
      </c>
      <c r="BH439" s="35" t="s">
        <v>64</v>
      </c>
      <c r="BI439" s="35">
        <v>0.13</v>
      </c>
      <c r="BJ439" s="35" t="s">
        <v>1666</v>
      </c>
      <c r="BK439" s="35" t="s">
        <v>10</v>
      </c>
      <c r="BL439" s="35" t="s">
        <v>867</v>
      </c>
      <c r="BM439" s="35">
        <v>901006</v>
      </c>
      <c r="BW439" s="248"/>
      <c r="BX439" s="248"/>
      <c r="BY439" s="248"/>
      <c r="BZ439" s="248"/>
      <c r="CA439" s="248"/>
      <c r="CB439" s="248"/>
      <c r="CC439" s="248"/>
      <c r="CD439" s="248"/>
      <c r="CE439" s="248"/>
      <c r="CF439" s="248"/>
      <c r="CG439" s="248"/>
      <c r="CH439" s="248"/>
      <c r="CI439" s="248"/>
      <c r="CJ439" s="248"/>
      <c r="CK439" s="248"/>
      <c r="CL439" s="248"/>
      <c r="CM439" s="248"/>
      <c r="CN439" s="248"/>
      <c r="CO439" s="248"/>
      <c r="CP439" s="248"/>
      <c r="CQ439" s="248"/>
      <c r="CR439" s="248"/>
      <c r="CS439" s="248"/>
      <c r="CT439" s="248"/>
      <c r="CU439" s="248"/>
      <c r="CV439" s="248"/>
      <c r="CW439" s="248"/>
      <c r="CX439" s="248"/>
      <c r="CY439" s="248"/>
      <c r="CZ439" s="248"/>
      <c r="DA439" s="248"/>
      <c r="DB439" s="248"/>
      <c r="DC439" s="248"/>
      <c r="DD439" s="248"/>
      <c r="DE439" s="248"/>
      <c r="DF439" s="248"/>
      <c r="DG439" s="248"/>
      <c r="DH439" s="248"/>
      <c r="DI439" s="248"/>
      <c r="DJ439" s="248"/>
      <c r="DK439" s="248"/>
      <c r="DL439" s="248"/>
      <c r="DM439" s="248"/>
      <c r="DN439" s="248"/>
      <c r="DO439" s="248"/>
      <c r="DP439" s="248"/>
      <c r="DQ439" s="248"/>
      <c r="DR439" s="248"/>
      <c r="DS439" s="248"/>
      <c r="DT439" s="248"/>
      <c r="DU439" s="248"/>
      <c r="DV439" s="248"/>
      <c r="DW439" s="248"/>
      <c r="DX439" s="248"/>
      <c r="DY439" s="248"/>
      <c r="DZ439" s="248"/>
      <c r="EA439" s="248"/>
      <c r="EB439" s="248"/>
      <c r="EC439" s="248"/>
      <c r="ED439" s="248"/>
      <c r="EE439" s="248"/>
    </row>
    <row r="440" spans="1:135" s="35" customFormat="1" ht="16.5">
      <c r="A440" s="35" t="str">
        <f t="shared" si="15"/>
        <v>KS_CPM_D            SP_ILM</v>
      </c>
      <c r="B440" s="331"/>
      <c r="C440" s="248">
        <v>901007</v>
      </c>
      <c r="D440" s="283">
        <v>901</v>
      </c>
      <c r="F440" s="35" t="s">
        <v>1086</v>
      </c>
      <c r="G440" s="35" t="s">
        <v>2251</v>
      </c>
      <c r="H440" s="35" t="s">
        <v>610</v>
      </c>
      <c r="N440" s="35" t="s">
        <v>537</v>
      </c>
      <c r="O440" s="34" t="s">
        <v>1086</v>
      </c>
      <c r="P440" s="285" t="s">
        <v>1097</v>
      </c>
      <c r="Q440" s="58"/>
      <c r="R440" s="39"/>
      <c r="AH440" s="279"/>
      <c r="AJ440" s="279" t="s">
        <v>1117</v>
      </c>
      <c r="AK440" s="279"/>
      <c r="AL440" s="523">
        <v>3</v>
      </c>
      <c r="AM440" s="35">
        <v>901007</v>
      </c>
      <c r="AN440" s="35" t="s">
        <v>2073</v>
      </c>
      <c r="AO440" s="35" t="s">
        <v>502</v>
      </c>
      <c r="AP440" s="35" t="s">
        <v>641</v>
      </c>
      <c r="AQ440" s="34" t="s">
        <v>1776</v>
      </c>
      <c r="AR440" s="35">
        <v>10</v>
      </c>
      <c r="AS440" s="35" t="s">
        <v>1389</v>
      </c>
      <c r="AT440" s="35" t="s">
        <v>255</v>
      </c>
      <c r="AU440" s="35" t="s">
        <v>10</v>
      </c>
      <c r="AV440" s="35" t="s">
        <v>1726</v>
      </c>
      <c r="AW440" s="35" t="s">
        <v>872</v>
      </c>
      <c r="AX440" s="34" t="s">
        <v>2251</v>
      </c>
      <c r="AY440" s="35">
        <v>1</v>
      </c>
      <c r="AZ440" s="35" t="s">
        <v>540</v>
      </c>
      <c r="BA440" s="35" t="s">
        <v>10</v>
      </c>
      <c r="BB440" s="35" t="s">
        <v>10</v>
      </c>
      <c r="BC440" s="35" t="s">
        <v>483</v>
      </c>
      <c r="BD440" s="35" t="s">
        <v>1742</v>
      </c>
      <c r="BE440" s="35" t="s">
        <v>10</v>
      </c>
      <c r="BF440" s="35" t="s">
        <v>10</v>
      </c>
      <c r="BG440" s="35">
        <v>902</v>
      </c>
      <c r="BH440" s="35" t="s">
        <v>64</v>
      </c>
      <c r="BI440" s="35">
        <v>0.13</v>
      </c>
      <c r="BJ440" s="35" t="s">
        <v>1666</v>
      </c>
      <c r="BK440" s="35" t="s">
        <v>10</v>
      </c>
      <c r="BL440" s="35" t="s">
        <v>867</v>
      </c>
      <c r="BM440" s="35">
        <v>901007</v>
      </c>
      <c r="BW440" s="248"/>
      <c r="BX440" s="248"/>
      <c r="BY440" s="248"/>
      <c r="BZ440" s="248"/>
      <c r="CA440" s="248"/>
      <c r="CB440" s="248"/>
      <c r="CC440" s="248"/>
      <c r="CD440" s="248"/>
      <c r="CE440" s="248"/>
      <c r="CF440" s="248"/>
      <c r="CG440" s="248"/>
      <c r="CH440" s="248"/>
      <c r="CI440" s="248"/>
      <c r="CJ440" s="248"/>
      <c r="CK440" s="248"/>
      <c r="CL440" s="248"/>
      <c r="CM440" s="248"/>
      <c r="CN440" s="248"/>
      <c r="CO440" s="248"/>
      <c r="CP440" s="248"/>
      <c r="CQ440" s="248"/>
      <c r="CR440" s="248"/>
      <c r="CS440" s="248"/>
      <c r="CT440" s="248"/>
      <c r="CU440" s="248"/>
      <c r="CV440" s="248"/>
      <c r="CW440" s="248"/>
      <c r="CX440" s="248"/>
      <c r="CY440" s="248"/>
      <c r="CZ440" s="248"/>
      <c r="DA440" s="248"/>
      <c r="DB440" s="248"/>
      <c r="DC440" s="248"/>
      <c r="DD440" s="248"/>
      <c r="DE440" s="248"/>
      <c r="DF440" s="248"/>
      <c r="DG440" s="248"/>
      <c r="DH440" s="248"/>
      <c r="DI440" s="248"/>
      <c r="DJ440" s="248"/>
      <c r="DK440" s="248"/>
      <c r="DL440" s="248"/>
      <c r="DM440" s="248"/>
      <c r="DN440" s="248"/>
      <c r="DO440" s="248"/>
      <c r="DP440" s="248"/>
      <c r="DQ440" s="248"/>
      <c r="DR440" s="248"/>
      <c r="DS440" s="248"/>
      <c r="DT440" s="248"/>
      <c r="DU440" s="248"/>
      <c r="DV440" s="248"/>
      <c r="DW440" s="248"/>
      <c r="DX440" s="248"/>
      <c r="DY440" s="248"/>
      <c r="DZ440" s="248"/>
      <c r="EA440" s="248"/>
      <c r="EB440" s="248"/>
      <c r="EC440" s="248"/>
      <c r="ED440" s="248"/>
      <c r="EE440" s="248"/>
    </row>
    <row r="441" spans="1:135" s="35" customFormat="1" ht="16.5">
      <c r="A441" s="35" t="str">
        <f t="shared" si="15"/>
        <v>SP_MB33_C           FRL2_VL</v>
      </c>
      <c r="B441" s="331"/>
      <c r="C441" s="248">
        <v>901009</v>
      </c>
      <c r="D441" s="283">
        <v>901</v>
      </c>
      <c r="F441" s="35" t="s">
        <v>1086</v>
      </c>
      <c r="G441" s="35" t="s">
        <v>2236</v>
      </c>
      <c r="H441" s="35" t="s">
        <v>609</v>
      </c>
      <c r="N441" s="35" t="s">
        <v>537</v>
      </c>
      <c r="O441" s="34" t="s">
        <v>1086</v>
      </c>
      <c r="P441" s="34" t="s">
        <v>1086</v>
      </c>
      <c r="Q441" s="58"/>
      <c r="R441" s="39"/>
      <c r="AH441" s="279"/>
      <c r="AJ441" s="279" t="s">
        <v>1117</v>
      </c>
      <c r="AK441" s="279"/>
      <c r="AL441" s="523">
        <v>3</v>
      </c>
      <c r="AM441" s="35">
        <v>901009</v>
      </c>
      <c r="AN441" s="35" t="s">
        <v>2074</v>
      </c>
      <c r="AO441" s="35" t="s">
        <v>2150</v>
      </c>
      <c r="AP441" s="35" t="s">
        <v>662</v>
      </c>
      <c r="AQ441" s="34" t="s">
        <v>2236</v>
      </c>
      <c r="AR441" s="35">
        <v>1</v>
      </c>
      <c r="AS441" s="35" t="s">
        <v>1157</v>
      </c>
      <c r="AT441" s="35" t="s">
        <v>10</v>
      </c>
      <c r="AU441" s="35" t="s">
        <v>10</v>
      </c>
      <c r="AV441" s="35" t="s">
        <v>1724</v>
      </c>
      <c r="AW441" s="35" t="s">
        <v>873</v>
      </c>
      <c r="AX441" s="34" t="s">
        <v>2301</v>
      </c>
      <c r="AY441" s="35">
        <v>4</v>
      </c>
      <c r="AZ441" s="35" t="s">
        <v>2071</v>
      </c>
      <c r="BA441" s="35" t="s">
        <v>87</v>
      </c>
      <c r="BB441" s="35" t="s">
        <v>10</v>
      </c>
      <c r="BC441" s="35" t="s">
        <v>71</v>
      </c>
      <c r="BD441" s="35" t="s">
        <v>1742</v>
      </c>
      <c r="BE441" s="35" t="s">
        <v>10</v>
      </c>
      <c r="BF441" s="35" t="s">
        <v>10</v>
      </c>
      <c r="BG441" s="35">
        <v>599</v>
      </c>
      <c r="BH441" s="35" t="s">
        <v>25</v>
      </c>
      <c r="BI441" s="35">
        <v>0.35</v>
      </c>
      <c r="BJ441" s="35" t="s">
        <v>1411</v>
      </c>
      <c r="BK441" s="35" t="s">
        <v>10</v>
      </c>
      <c r="BL441" s="35" t="s">
        <v>867</v>
      </c>
      <c r="BM441" s="35">
        <v>901009</v>
      </c>
      <c r="BW441" s="248"/>
      <c r="BX441" s="248"/>
      <c r="BY441" s="248"/>
      <c r="BZ441" s="248"/>
      <c r="CA441" s="248"/>
      <c r="CB441" s="248"/>
      <c r="CC441" s="248"/>
      <c r="CD441" s="248"/>
      <c r="CE441" s="248"/>
      <c r="CF441" s="248"/>
      <c r="CG441" s="248"/>
      <c r="CH441" s="248"/>
      <c r="CI441" s="248"/>
      <c r="CJ441" s="248"/>
      <c r="CK441" s="248"/>
      <c r="CL441" s="248"/>
      <c r="CM441" s="248"/>
      <c r="CN441" s="248"/>
      <c r="CO441" s="248"/>
      <c r="CP441" s="248"/>
      <c r="CQ441" s="248"/>
      <c r="CR441" s="248"/>
      <c r="CS441" s="248"/>
      <c r="CT441" s="248"/>
      <c r="CU441" s="248"/>
      <c r="CV441" s="248"/>
      <c r="CW441" s="248"/>
      <c r="CX441" s="248"/>
      <c r="CY441" s="248"/>
      <c r="CZ441" s="248"/>
      <c r="DA441" s="248"/>
      <c r="DB441" s="248"/>
      <c r="DC441" s="248"/>
      <c r="DD441" s="248"/>
      <c r="DE441" s="248"/>
      <c r="DF441" s="248"/>
      <c r="DG441" s="248"/>
      <c r="DH441" s="248"/>
      <c r="DI441" s="248"/>
      <c r="DJ441" s="248"/>
      <c r="DK441" s="248"/>
      <c r="DL441" s="248"/>
      <c r="DM441" s="248"/>
      <c r="DN441" s="248"/>
      <c r="DO441" s="248"/>
      <c r="DP441" s="248"/>
      <c r="DQ441" s="248"/>
      <c r="DR441" s="248"/>
      <c r="DS441" s="248"/>
      <c r="DT441" s="248"/>
      <c r="DU441" s="248"/>
      <c r="DV441" s="248"/>
      <c r="DW441" s="248"/>
      <c r="DX441" s="248"/>
      <c r="DY441" s="248"/>
      <c r="DZ441" s="248"/>
      <c r="EA441" s="248"/>
      <c r="EB441" s="248"/>
      <c r="EC441" s="248"/>
      <c r="ED441" s="248"/>
      <c r="EE441" s="248"/>
    </row>
    <row r="442" spans="1:135" s="35" customFormat="1" ht="16.5">
      <c r="A442" s="35" t="str">
        <f t="shared" si="15"/>
        <v>FRL2_VR             KS_CPR_A</v>
      </c>
      <c r="B442" s="331"/>
      <c r="C442" s="248">
        <v>901010</v>
      </c>
      <c r="D442" s="283">
        <v>901</v>
      </c>
      <c r="F442" s="35" t="s">
        <v>1086</v>
      </c>
      <c r="G442" s="39"/>
      <c r="O442" s="34" t="s">
        <v>1086</v>
      </c>
      <c r="P442" s="34" t="s">
        <v>1086</v>
      </c>
      <c r="Q442" s="58"/>
      <c r="R442" s="39"/>
      <c r="AH442" s="279"/>
      <c r="AJ442" s="279" t="s">
        <v>1117</v>
      </c>
      <c r="AK442" s="279"/>
      <c r="AL442" s="523">
        <v>3</v>
      </c>
      <c r="AM442" s="35">
        <v>901010</v>
      </c>
      <c r="AN442" s="35" t="s">
        <v>1669</v>
      </c>
      <c r="AO442" s="35" t="s">
        <v>1725</v>
      </c>
      <c r="AP442" s="35" t="s">
        <v>875</v>
      </c>
      <c r="AQ442" s="34" t="s">
        <v>2302</v>
      </c>
      <c r="AR442" s="35">
        <v>4</v>
      </c>
      <c r="AS442" s="35" t="s">
        <v>413</v>
      </c>
      <c r="AT442" s="35" t="s">
        <v>218</v>
      </c>
      <c r="AU442" s="35" t="s">
        <v>10</v>
      </c>
      <c r="AV442" s="35" t="s">
        <v>424</v>
      </c>
      <c r="AW442" s="35" t="s">
        <v>637</v>
      </c>
      <c r="AX442" s="34" t="s">
        <v>1770</v>
      </c>
      <c r="AY442" s="35">
        <v>6</v>
      </c>
      <c r="AZ442" s="35" t="s">
        <v>1771</v>
      </c>
      <c r="BA442" s="35" t="s">
        <v>492</v>
      </c>
      <c r="BB442" s="35" t="s">
        <v>10</v>
      </c>
      <c r="BC442" s="35" t="s">
        <v>871</v>
      </c>
      <c r="BD442" s="35" t="s">
        <v>1742</v>
      </c>
      <c r="BE442" s="35" t="s">
        <v>10</v>
      </c>
      <c r="BF442" s="35" t="s">
        <v>10</v>
      </c>
      <c r="BG442" s="35">
        <v>1075</v>
      </c>
      <c r="BH442" s="35" t="s">
        <v>25</v>
      </c>
      <c r="BI442" s="35">
        <v>0.13</v>
      </c>
      <c r="BJ442" s="35" t="s">
        <v>1663</v>
      </c>
      <c r="BK442" s="35" t="s">
        <v>10</v>
      </c>
      <c r="BL442" s="35" t="s">
        <v>867</v>
      </c>
      <c r="BM442" s="35">
        <v>901010</v>
      </c>
      <c r="BW442" s="248"/>
      <c r="BX442" s="248"/>
      <c r="BY442" s="248"/>
      <c r="BZ442" s="248"/>
      <c r="CA442" s="248"/>
      <c r="CB442" s="248"/>
      <c r="CC442" s="248"/>
      <c r="CD442" s="248"/>
      <c r="CE442" s="248"/>
      <c r="CF442" s="248"/>
      <c r="CG442" s="248"/>
      <c r="CH442" s="248"/>
      <c r="CI442" s="248"/>
      <c r="CJ442" s="248"/>
      <c r="CK442" s="248"/>
      <c r="CL442" s="248"/>
      <c r="CM442" s="248"/>
      <c r="CN442" s="248"/>
      <c r="CO442" s="248"/>
      <c r="CP442" s="248"/>
      <c r="CQ442" s="248"/>
      <c r="CR442" s="248"/>
      <c r="CS442" s="248"/>
      <c r="CT442" s="248"/>
      <c r="CU442" s="248"/>
      <c r="CV442" s="248"/>
      <c r="CW442" s="248"/>
      <c r="CX442" s="248"/>
      <c r="CY442" s="248"/>
      <c r="CZ442" s="248"/>
      <c r="DA442" s="248"/>
      <c r="DB442" s="248"/>
      <c r="DC442" s="248"/>
      <c r="DD442" s="248"/>
      <c r="DE442" s="248"/>
      <c r="DF442" s="248"/>
      <c r="DG442" s="248"/>
      <c r="DH442" s="248"/>
      <c r="DI442" s="248"/>
      <c r="DJ442" s="248"/>
      <c r="DK442" s="248"/>
      <c r="DL442" s="248"/>
      <c r="DM442" s="248"/>
      <c r="DN442" s="248"/>
      <c r="DO442" s="248"/>
      <c r="DP442" s="248"/>
      <c r="DQ442" s="248"/>
      <c r="DR442" s="248"/>
      <c r="DS442" s="248"/>
      <c r="DT442" s="248"/>
      <c r="DU442" s="248"/>
      <c r="DV442" s="248"/>
      <c r="DW442" s="248"/>
      <c r="DX442" s="248"/>
      <c r="DY442" s="248"/>
      <c r="DZ442" s="248"/>
      <c r="EA442" s="248"/>
      <c r="EB442" s="248"/>
      <c r="EC442" s="248"/>
      <c r="ED442" s="248"/>
      <c r="EE442" s="248"/>
    </row>
    <row r="443" spans="1:135" s="35" customFormat="1" ht="16.5">
      <c r="A443" s="35" t="str">
        <f t="shared" si="15"/>
        <v>SP_LIN6             FRL2_VL</v>
      </c>
      <c r="B443" s="331"/>
      <c r="C443" s="35">
        <v>901011</v>
      </c>
      <c r="D443" s="283">
        <v>901</v>
      </c>
      <c r="F443" s="35" t="s">
        <v>1086</v>
      </c>
      <c r="G443" s="35" t="s">
        <v>2188</v>
      </c>
      <c r="H443" s="35" t="s">
        <v>610</v>
      </c>
      <c r="N443" s="35" t="s">
        <v>537</v>
      </c>
      <c r="O443" s="34" t="s">
        <v>1097</v>
      </c>
      <c r="P443" s="34" t="s">
        <v>1086</v>
      </c>
      <c r="Q443" s="58"/>
      <c r="R443" s="39"/>
      <c r="AH443" s="279"/>
      <c r="AJ443" s="279" t="s">
        <v>1117</v>
      </c>
      <c r="AK443" s="279"/>
      <c r="AL443" s="523">
        <v>3</v>
      </c>
      <c r="AM443" s="35">
        <v>901011</v>
      </c>
      <c r="AN443" s="35" t="s">
        <v>2075</v>
      </c>
      <c r="AO443" s="35" t="s">
        <v>2186</v>
      </c>
      <c r="AP443" s="35" t="s">
        <v>2187</v>
      </c>
      <c r="AQ443" s="34" t="s">
        <v>2188</v>
      </c>
      <c r="AR443" s="35">
        <v>1</v>
      </c>
      <c r="AS443" s="35" t="s">
        <v>934</v>
      </c>
      <c r="AT443" s="35" t="s">
        <v>10</v>
      </c>
      <c r="AU443" s="35" t="s">
        <v>10</v>
      </c>
      <c r="AV443" s="35" t="s">
        <v>1724</v>
      </c>
      <c r="AW443" s="35" t="s">
        <v>873</v>
      </c>
      <c r="AX443" s="34" t="s">
        <v>2301</v>
      </c>
      <c r="AY443" s="35">
        <v>2</v>
      </c>
      <c r="AZ443" s="35" t="s">
        <v>2071</v>
      </c>
      <c r="BA443" s="35" t="s">
        <v>218</v>
      </c>
      <c r="BB443" s="35" t="s">
        <v>10</v>
      </c>
      <c r="BC443" s="35" t="s">
        <v>479</v>
      </c>
      <c r="BD443" s="35" t="s">
        <v>1742</v>
      </c>
      <c r="BE443" s="35" t="s">
        <v>10</v>
      </c>
      <c r="BF443" s="35" t="s">
        <v>10</v>
      </c>
      <c r="BG443" s="35">
        <v>910</v>
      </c>
      <c r="BH443" s="35" t="s">
        <v>180</v>
      </c>
      <c r="BI443" s="35">
        <v>0.13</v>
      </c>
      <c r="BJ443" s="35" t="s">
        <v>2189</v>
      </c>
      <c r="BK443" s="35" t="s">
        <v>10</v>
      </c>
      <c r="BL443" s="35" t="s">
        <v>867</v>
      </c>
      <c r="BM443" s="35">
        <v>901011</v>
      </c>
    </row>
    <row r="444" spans="1:135" s="35" customFormat="1" ht="16.5">
      <c r="A444" s="35" t="str">
        <f t="shared" si="15"/>
        <v>FRL2_VR             FRL2_VL</v>
      </c>
      <c r="B444" s="331"/>
      <c r="C444" s="248">
        <v>901012</v>
      </c>
      <c r="D444" s="283">
        <v>901</v>
      </c>
      <c r="F444" s="35" t="s">
        <v>1086</v>
      </c>
      <c r="O444" s="34" t="s">
        <v>1086</v>
      </c>
      <c r="P444" s="34" t="s">
        <v>1086</v>
      </c>
      <c r="Q444" s="58"/>
      <c r="R444" s="39"/>
      <c r="AH444" s="279"/>
      <c r="AJ444" s="58" t="s">
        <v>1117</v>
      </c>
      <c r="AK444" s="58"/>
      <c r="AL444" s="528">
        <v>3</v>
      </c>
      <c r="AM444" s="35">
        <v>901012</v>
      </c>
      <c r="AN444" s="35" t="s">
        <v>1670</v>
      </c>
      <c r="AO444" s="35" t="s">
        <v>1725</v>
      </c>
      <c r="AP444" s="35" t="s">
        <v>875</v>
      </c>
      <c r="AQ444" s="34" t="s">
        <v>2302</v>
      </c>
      <c r="AR444" s="35">
        <v>2</v>
      </c>
      <c r="AS444" s="35" t="s">
        <v>413</v>
      </c>
      <c r="AT444" s="35" t="s">
        <v>218</v>
      </c>
      <c r="AU444" s="35" t="s">
        <v>10</v>
      </c>
      <c r="AV444" s="35" t="s">
        <v>1724</v>
      </c>
      <c r="AW444" s="35" t="s">
        <v>873</v>
      </c>
      <c r="AX444" s="34" t="s">
        <v>2301</v>
      </c>
      <c r="AY444" s="35">
        <v>3</v>
      </c>
      <c r="AZ444" s="35" t="s">
        <v>2071</v>
      </c>
      <c r="BA444" s="35" t="s">
        <v>218</v>
      </c>
      <c r="BB444" s="35" t="s">
        <v>10</v>
      </c>
      <c r="BC444" s="35" t="s">
        <v>219</v>
      </c>
      <c r="BD444" s="35" t="s">
        <v>1742</v>
      </c>
      <c r="BE444" s="35" t="s">
        <v>10</v>
      </c>
      <c r="BF444" s="35" t="s">
        <v>10</v>
      </c>
      <c r="BG444" s="35">
        <v>1910</v>
      </c>
      <c r="BH444" s="35" t="s">
        <v>108</v>
      </c>
      <c r="BI444" s="35">
        <v>0.13</v>
      </c>
      <c r="BJ444" s="35" t="s">
        <v>1671</v>
      </c>
      <c r="BK444" s="35" t="s">
        <v>10</v>
      </c>
      <c r="BL444" s="35" t="s">
        <v>867</v>
      </c>
      <c r="BM444" s="35">
        <v>901012</v>
      </c>
      <c r="BW444" s="248"/>
      <c r="BX444" s="248"/>
      <c r="BY444" s="248"/>
      <c r="BZ444" s="248"/>
      <c r="CA444" s="248"/>
      <c r="CB444" s="248"/>
      <c r="CC444" s="248"/>
      <c r="CD444" s="248"/>
      <c r="CE444" s="248"/>
      <c r="CF444" s="248"/>
      <c r="CG444" s="248"/>
      <c r="CH444" s="248"/>
      <c r="CI444" s="248"/>
      <c r="CJ444" s="248"/>
      <c r="CK444" s="248"/>
      <c r="CL444" s="248"/>
      <c r="CM444" s="248"/>
      <c r="CN444" s="248"/>
      <c r="CO444" s="248"/>
      <c r="CP444" s="248"/>
      <c r="CQ444" s="248"/>
      <c r="CR444" s="248"/>
      <c r="CS444" s="248"/>
      <c r="CT444" s="248"/>
      <c r="CU444" s="248"/>
      <c r="CV444" s="248"/>
      <c r="CW444" s="248"/>
      <c r="CX444" s="248"/>
      <c r="CY444" s="248"/>
      <c r="CZ444" s="248"/>
      <c r="DA444" s="248"/>
      <c r="DB444" s="248"/>
      <c r="DC444" s="248"/>
      <c r="DD444" s="248"/>
      <c r="DE444" s="248"/>
      <c r="DF444" s="248"/>
      <c r="DG444" s="248"/>
      <c r="DH444" s="248"/>
      <c r="DI444" s="248"/>
      <c r="DJ444" s="248"/>
      <c r="DK444" s="248"/>
      <c r="DL444" s="248"/>
      <c r="DM444" s="248"/>
      <c r="DN444" s="248"/>
      <c r="DO444" s="248"/>
      <c r="DP444" s="248"/>
      <c r="DQ444" s="248"/>
      <c r="DR444" s="248"/>
      <c r="DS444" s="248"/>
      <c r="DT444" s="248"/>
      <c r="DU444" s="248"/>
      <c r="DV444" s="248"/>
      <c r="DW444" s="248"/>
      <c r="DX444" s="248"/>
      <c r="DY444" s="248"/>
      <c r="DZ444" s="248"/>
      <c r="EA444" s="248"/>
      <c r="EB444" s="248"/>
      <c r="EC444" s="248"/>
      <c r="ED444" s="248"/>
      <c r="EE444" s="248"/>
    </row>
    <row r="445" spans="1:135" s="35" customFormat="1" ht="16.5">
      <c r="A445" s="35" t="str">
        <f t="shared" si="15"/>
        <v>KS_CPL_C            SP_ILM</v>
      </c>
      <c r="B445" s="331"/>
      <c r="C445" s="248">
        <v>901017</v>
      </c>
      <c r="D445" s="283">
        <v>901</v>
      </c>
      <c r="F445" s="35" t="s">
        <v>1086</v>
      </c>
      <c r="G445" s="35" t="s">
        <v>2251</v>
      </c>
      <c r="H445" s="35" t="s">
        <v>610</v>
      </c>
      <c r="N445" s="35" t="s">
        <v>537</v>
      </c>
      <c r="O445" s="34" t="s">
        <v>1086</v>
      </c>
      <c r="P445" s="285" t="s">
        <v>1097</v>
      </c>
      <c r="Q445" s="58"/>
      <c r="R445" s="39"/>
      <c r="AH445" s="279"/>
      <c r="AJ445" s="58" t="s">
        <v>1117</v>
      </c>
      <c r="AK445" s="58"/>
      <c r="AL445" s="528">
        <v>3</v>
      </c>
      <c r="AM445" s="35">
        <v>901017</v>
      </c>
      <c r="AN445" s="35" t="s">
        <v>2076</v>
      </c>
      <c r="AO445" s="35" t="s">
        <v>416</v>
      </c>
      <c r="AP445" s="35" t="s">
        <v>632</v>
      </c>
      <c r="AQ445" s="34" t="s">
        <v>1758</v>
      </c>
      <c r="AR445" s="35">
        <v>1</v>
      </c>
      <c r="AS445" s="35" t="s">
        <v>1759</v>
      </c>
      <c r="AT445" s="35" t="s">
        <v>492</v>
      </c>
      <c r="AU445" s="35" t="s">
        <v>10</v>
      </c>
      <c r="AV445" s="35" t="s">
        <v>1726</v>
      </c>
      <c r="AW445" s="35" t="s">
        <v>872</v>
      </c>
      <c r="AX445" s="34" t="s">
        <v>2251</v>
      </c>
      <c r="AY445" s="35">
        <v>1</v>
      </c>
      <c r="AZ445" s="35" t="s">
        <v>540</v>
      </c>
      <c r="BA445" s="35" t="s">
        <v>10</v>
      </c>
      <c r="BB445" s="35" t="s">
        <v>10</v>
      </c>
      <c r="BC445" s="35" t="s">
        <v>483</v>
      </c>
      <c r="BD445" s="35" t="s">
        <v>1742</v>
      </c>
      <c r="BE445" s="35" t="s">
        <v>10</v>
      </c>
      <c r="BF445" s="35" t="s">
        <v>10</v>
      </c>
      <c r="BG445" s="35">
        <v>638</v>
      </c>
      <c r="BH445" s="35" t="s">
        <v>64</v>
      </c>
      <c r="BI445" s="35">
        <v>0.13</v>
      </c>
      <c r="BJ445" s="35" t="s">
        <v>1666</v>
      </c>
      <c r="BK445" s="35" t="s">
        <v>10</v>
      </c>
      <c r="BL445" s="35" t="s">
        <v>867</v>
      </c>
      <c r="BM445" s="35">
        <v>901017</v>
      </c>
      <c r="BW445" s="248"/>
      <c r="BX445" s="248"/>
      <c r="BY445" s="248"/>
      <c r="BZ445" s="248"/>
      <c r="CA445" s="248"/>
      <c r="CB445" s="248"/>
      <c r="CC445" s="248"/>
      <c r="CD445" s="248"/>
      <c r="CE445" s="248"/>
      <c r="CF445" s="248"/>
      <c r="CG445" s="248"/>
      <c r="CH445" s="248"/>
      <c r="CI445" s="248"/>
      <c r="CJ445" s="248"/>
      <c r="CK445" s="248"/>
      <c r="CL445" s="248"/>
      <c r="CM445" s="248"/>
      <c r="CN445" s="248"/>
      <c r="CO445" s="248"/>
      <c r="CP445" s="248"/>
      <c r="CQ445" s="248"/>
      <c r="CR445" s="248"/>
      <c r="CS445" s="248"/>
      <c r="CT445" s="248"/>
      <c r="CU445" s="248"/>
      <c r="CV445" s="248"/>
      <c r="CW445" s="248"/>
      <c r="CX445" s="248"/>
      <c r="CY445" s="248"/>
      <c r="CZ445" s="248"/>
      <c r="DA445" s="248"/>
      <c r="DB445" s="248"/>
      <c r="DC445" s="248"/>
      <c r="DD445" s="248"/>
      <c r="DE445" s="248"/>
      <c r="DF445" s="248"/>
      <c r="DG445" s="248"/>
      <c r="DH445" s="248"/>
      <c r="DI445" s="248"/>
      <c r="DJ445" s="248"/>
      <c r="DK445" s="248"/>
      <c r="DL445" s="248"/>
      <c r="DM445" s="248"/>
      <c r="DN445" s="248"/>
      <c r="DO445" s="248"/>
      <c r="DP445" s="248"/>
      <c r="DQ445" s="248"/>
      <c r="DR445" s="248"/>
      <c r="DS445" s="248"/>
      <c r="DT445" s="248"/>
      <c r="DU445" s="248"/>
      <c r="DV445" s="248"/>
      <c r="DW445" s="248"/>
      <c r="DX445" s="248"/>
      <c r="DY445" s="248"/>
      <c r="DZ445" s="248"/>
      <c r="EA445" s="248"/>
      <c r="EB445" s="248"/>
      <c r="EC445" s="248"/>
      <c r="ED445" s="248"/>
      <c r="EE445" s="248"/>
    </row>
    <row r="446" spans="1:135" s="35" customFormat="1" ht="16.5">
      <c r="A446" s="35" t="str">
        <f t="shared" si="15"/>
        <v>SP_LIN6             KS_CPM_D</v>
      </c>
      <c r="B446" s="331"/>
      <c r="C446" s="35">
        <v>901022</v>
      </c>
      <c r="D446" s="283">
        <v>901</v>
      </c>
      <c r="F446" s="35" t="s">
        <v>1086</v>
      </c>
      <c r="G446" s="35" t="s">
        <v>2188</v>
      </c>
      <c r="H446" s="35" t="s">
        <v>610</v>
      </c>
      <c r="N446" s="35" t="s">
        <v>537</v>
      </c>
      <c r="O446" s="34" t="s">
        <v>1097</v>
      </c>
      <c r="P446" s="34" t="s">
        <v>1086</v>
      </c>
      <c r="Q446" s="58"/>
      <c r="R446" s="39"/>
      <c r="AH446" s="279"/>
      <c r="AJ446" s="58" t="s">
        <v>1117</v>
      </c>
      <c r="AK446" s="58"/>
      <c r="AL446" s="528">
        <v>3</v>
      </c>
      <c r="AM446" s="35">
        <v>901022</v>
      </c>
      <c r="AN446" s="35" t="s">
        <v>1672</v>
      </c>
      <c r="AO446" s="35" t="s">
        <v>2186</v>
      </c>
      <c r="AP446" s="35" t="s">
        <v>2187</v>
      </c>
      <c r="AQ446" s="34" t="s">
        <v>2188</v>
      </c>
      <c r="AR446" s="35">
        <v>1</v>
      </c>
      <c r="AS446" s="35" t="s">
        <v>934</v>
      </c>
      <c r="AT446" s="35" t="s">
        <v>10</v>
      </c>
      <c r="AU446" s="35" t="s">
        <v>10</v>
      </c>
      <c r="AV446" s="35" t="s">
        <v>502</v>
      </c>
      <c r="AW446" s="35" t="s">
        <v>641</v>
      </c>
      <c r="AX446" s="34" t="s">
        <v>1776</v>
      </c>
      <c r="AY446" s="35">
        <v>12</v>
      </c>
      <c r="AZ446" s="35" t="s">
        <v>1389</v>
      </c>
      <c r="BA446" s="35" t="s">
        <v>255</v>
      </c>
      <c r="BB446" s="35" t="s">
        <v>10</v>
      </c>
      <c r="BC446" s="35" t="s">
        <v>479</v>
      </c>
      <c r="BD446" s="35" t="s">
        <v>1742</v>
      </c>
      <c r="BE446" s="35" t="s">
        <v>10</v>
      </c>
      <c r="BF446" s="35" t="s">
        <v>10</v>
      </c>
      <c r="BG446" s="35">
        <v>605</v>
      </c>
      <c r="BH446" s="35" t="s">
        <v>180</v>
      </c>
      <c r="BI446" s="35">
        <v>0.13</v>
      </c>
      <c r="BJ446" s="35" t="s">
        <v>1673</v>
      </c>
      <c r="BK446" s="35" t="s">
        <v>10</v>
      </c>
      <c r="BL446" s="35" t="s">
        <v>867</v>
      </c>
      <c r="BM446" s="35">
        <v>901022</v>
      </c>
    </row>
    <row r="447" spans="1:135" s="35" customFormat="1" ht="16.5">
      <c r="A447" s="35" t="str">
        <f t="shared" si="15"/>
        <v>SP_LIN6             KS_CPL_C</v>
      </c>
      <c r="B447" s="331"/>
      <c r="C447" s="35">
        <v>901023</v>
      </c>
      <c r="D447" s="283">
        <v>901</v>
      </c>
      <c r="E447" s="303"/>
      <c r="F447" s="35" t="s">
        <v>1086</v>
      </c>
      <c r="G447" s="35" t="s">
        <v>2188</v>
      </c>
      <c r="H447" s="35" t="s">
        <v>610</v>
      </c>
      <c r="N447" s="35" t="s">
        <v>537</v>
      </c>
      <c r="O447" s="34" t="s">
        <v>1097</v>
      </c>
      <c r="P447" s="34" t="s">
        <v>1086</v>
      </c>
      <c r="Q447" s="58"/>
      <c r="R447" s="39"/>
      <c r="AH447" s="279"/>
      <c r="AJ447" s="58" t="s">
        <v>1117</v>
      </c>
      <c r="AK447" s="58"/>
      <c r="AL447" s="528">
        <v>3</v>
      </c>
      <c r="AM447" s="35">
        <v>901023</v>
      </c>
      <c r="AN447" s="35" t="s">
        <v>2186</v>
      </c>
      <c r="AO447" s="35" t="s">
        <v>2186</v>
      </c>
      <c r="AP447" s="35" t="s">
        <v>2187</v>
      </c>
      <c r="AQ447" s="34" t="s">
        <v>2188</v>
      </c>
      <c r="AR447" s="35">
        <v>1</v>
      </c>
      <c r="AS447" s="35" t="s">
        <v>934</v>
      </c>
      <c r="AT447" s="35" t="s">
        <v>10</v>
      </c>
      <c r="AU447" s="35" t="s">
        <v>10</v>
      </c>
      <c r="AV447" s="35" t="s">
        <v>416</v>
      </c>
      <c r="AW447" s="35" t="s">
        <v>632</v>
      </c>
      <c r="AX447" s="34" t="s">
        <v>1758</v>
      </c>
      <c r="AY447" s="35">
        <v>12</v>
      </c>
      <c r="AZ447" s="35" t="s">
        <v>1759</v>
      </c>
      <c r="BA447" s="35" t="s">
        <v>492</v>
      </c>
      <c r="BB447" s="35" t="s">
        <v>10</v>
      </c>
      <c r="BC447" s="35" t="s">
        <v>479</v>
      </c>
      <c r="BD447" s="35" t="s">
        <v>1742</v>
      </c>
      <c r="BE447" s="35" t="s">
        <v>10</v>
      </c>
      <c r="BF447" s="35" t="s">
        <v>10</v>
      </c>
      <c r="BG447" s="35">
        <v>715</v>
      </c>
      <c r="BH447" s="35" t="s">
        <v>180</v>
      </c>
      <c r="BI447" s="35">
        <v>0.13</v>
      </c>
      <c r="BJ447" s="35" t="s">
        <v>1673</v>
      </c>
      <c r="BK447" s="35" t="s">
        <v>10</v>
      </c>
      <c r="BL447" s="35" t="s">
        <v>867</v>
      </c>
      <c r="BM447" s="35">
        <v>901023</v>
      </c>
    </row>
    <row r="448" spans="1:135">
      <c r="Q448" s="2"/>
      <c r="R448" s="2"/>
      <c r="S448" s="2"/>
      <c r="T448" s="2"/>
      <c r="U448" s="2"/>
      <c r="V448" s="2"/>
      <c r="X448" s="2"/>
      <c r="Y448" s="2"/>
      <c r="Z448" s="2"/>
      <c r="AA448" s="2"/>
      <c r="AB448" s="296"/>
      <c r="AC448" s="2"/>
      <c r="AD448" s="2"/>
      <c r="AE448" s="2"/>
      <c r="AF448" s="2"/>
      <c r="AG448" s="2"/>
      <c r="AH448" s="2"/>
      <c r="AI448" s="2"/>
      <c r="AJ448" s="2"/>
      <c r="AK448" s="2"/>
      <c r="AL448" s="529"/>
      <c r="AM448" s="2"/>
      <c r="AN448" s="2"/>
      <c r="AP448" s="2"/>
      <c r="AQ448" s="257"/>
      <c r="AR448" s="2"/>
      <c r="AS448" s="2"/>
      <c r="AT448" s="2"/>
      <c r="AU448" s="2"/>
      <c r="AV448" s="2"/>
      <c r="AW448" s="2"/>
      <c r="AX448" s="257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</row>
    <row r="449" spans="56:65">
      <c r="BD449" s="2"/>
      <c r="BE449" s="2"/>
      <c r="BF449" s="2"/>
      <c r="BG449" s="2"/>
      <c r="BH449" s="2"/>
      <c r="BI449" s="2"/>
      <c r="BJ449" s="2"/>
      <c r="BK449" s="2"/>
      <c r="BL449" s="2"/>
      <c r="BM449" s="2"/>
    </row>
    <row r="450" spans="56:65">
      <c r="BD450" s="2"/>
      <c r="BE450" s="2"/>
      <c r="BF450" s="2"/>
      <c r="BG450" s="2"/>
      <c r="BH450" s="2"/>
      <c r="BI450" s="2"/>
      <c r="BJ450" s="2"/>
      <c r="BK450" s="2"/>
      <c r="BL450" s="2"/>
      <c r="BM450" s="2"/>
    </row>
  </sheetData>
  <autoFilter ref="A1:EE44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83559" r:id="rId4" name="Button 7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560" r:id="rId5" name="Button 8">
              <controlPr locked="0" defaultSize="0" print="0" autoFill="0" autoPict="0" macro="[0]!fillruj_rovnake">
                <anchor moveWithCells="1" siz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1009650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561" r:id="rId6" name="Button 9">
              <controlPr defaultSize="0" print="0" autoFill="0" autoPict="0" macro="[0]!vypni_odkial_kam">
                <anchor moveWithCells="1" sizeWithCells="1">
                  <from>
                    <xdr:col>1</xdr:col>
                    <xdr:colOff>38100</xdr:colOff>
                    <xdr:row>0</xdr:row>
                    <xdr:rowOff>361950</xdr:rowOff>
                  </from>
                  <to>
                    <xdr:col>1</xdr:col>
                    <xdr:colOff>990600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562" r:id="rId7" name="Button 10">
              <controlPr defaultSize="0" print="0" autoFill="0" autoPict="0" macro="[0]!riadok_dieliku">
                <anchor moveWithCells="1" sizeWithCells="1">
                  <from>
                    <xdr:col>1</xdr:col>
                    <xdr:colOff>38100</xdr:colOff>
                    <xdr:row>0</xdr:row>
                    <xdr:rowOff>1200150</xdr:rowOff>
                  </from>
                  <to>
                    <xdr:col>1</xdr:col>
                    <xdr:colOff>542925</xdr:colOff>
                    <xdr:row>0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563" r:id="rId8" name="Button 11">
              <controlPr defaultSize="0" print="0" autoFill="0" autoPict="0" macro="[0]!zmena_v_riadku">
                <anchor moveWithCells="1" sizeWithCells="1">
                  <from>
                    <xdr:col>1</xdr:col>
                    <xdr:colOff>28575</xdr:colOff>
                    <xdr:row>0</xdr:row>
                    <xdr:rowOff>1504950</xdr:rowOff>
                  </from>
                  <to>
                    <xdr:col>1</xdr:col>
                    <xdr:colOff>800100</xdr:colOff>
                    <xdr:row>0</xdr:row>
                    <xdr:rowOff>1838325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4"/>
  <dimension ref="A1:BP354"/>
  <sheetViews>
    <sheetView zoomScale="90" zoomScaleNormal="90" workbookViewId="0">
      <pane xSplit="1" ySplit="1" topLeftCell="Q2" activePane="bottomRight" state="frozen"/>
      <selection pane="topRight" activeCell="B1" sqref="B1"/>
      <selection pane="bottomLeft" activeCell="A2" sqref="A2"/>
      <selection pane="bottomRight" activeCell="AG363" sqref="AG363"/>
    </sheetView>
  </sheetViews>
  <sheetFormatPr baseColWidth="10" defaultColWidth="9.140625" defaultRowHeight="15"/>
  <cols>
    <col min="1" max="1" width="18.85546875" customWidth="1"/>
    <col min="2" max="2" width="4.42578125" customWidth="1"/>
    <col min="3" max="3" width="4.7109375" customWidth="1"/>
    <col min="4" max="4" width="7.85546875" style="417" bestFit="1" customWidth="1"/>
    <col min="5" max="6" width="3.28515625" bestFit="1" customWidth="1"/>
    <col min="7" max="7" width="4.7109375" bestFit="1" customWidth="1"/>
    <col min="8" max="8" width="8" bestFit="1" customWidth="1"/>
    <col min="9" max="9" width="3.28515625" bestFit="1" customWidth="1"/>
    <col min="10" max="10" width="24.5703125" customWidth="1"/>
    <col min="11" max="11" width="3.28515625" bestFit="1" customWidth="1"/>
    <col min="12" max="12" width="6.5703125" customWidth="1"/>
    <col min="13" max="13" width="16.140625" style="276" customWidth="1"/>
    <col min="14" max="14" width="5.7109375" bestFit="1" customWidth="1"/>
    <col min="15" max="15" width="3.28515625" bestFit="1" customWidth="1"/>
    <col min="16" max="16" width="13.42578125" customWidth="1"/>
    <col min="17" max="24" width="3.28515625" bestFit="1" customWidth="1"/>
    <col min="25" max="25" width="4.7109375" bestFit="1" customWidth="1"/>
    <col min="27" max="27" width="42.28515625" customWidth="1"/>
    <col min="28" max="28" width="15.5703125" customWidth="1"/>
    <col min="29" max="29" width="42.85546875" customWidth="1"/>
    <col min="30" max="30" width="15" style="178" customWidth="1"/>
    <col min="31" max="31" width="6" bestFit="1" customWidth="1"/>
    <col min="32" max="32" width="26.85546875" bestFit="1" customWidth="1"/>
    <col min="33" max="33" width="16.28515625" bestFit="1" customWidth="1"/>
    <col min="34" max="34" width="12.5703125" bestFit="1" customWidth="1"/>
    <col min="35" max="35" width="15.42578125" bestFit="1" customWidth="1"/>
    <col min="36" max="36" width="14.42578125" bestFit="1" customWidth="1"/>
    <col min="37" max="37" width="22.140625" bestFit="1" customWidth="1"/>
    <col min="38" max="38" width="15.140625" bestFit="1" customWidth="1"/>
    <col min="39" max="39" width="15.28515625" bestFit="1" customWidth="1"/>
    <col min="40" max="40" width="15.140625" bestFit="1" customWidth="1"/>
    <col min="41" max="41" width="15.28515625" bestFit="1" customWidth="1"/>
    <col min="42" max="42" width="15" bestFit="1" customWidth="1"/>
    <col min="43" max="43" width="6.7109375" bestFit="1" customWidth="1"/>
  </cols>
  <sheetData>
    <row r="1" spans="1:68" s="10" customFormat="1" ht="144.75" customHeight="1">
      <c r="A1" s="11" t="s">
        <v>27</v>
      </c>
      <c r="B1" s="12" t="s">
        <v>28</v>
      </c>
      <c r="C1" s="13" t="s">
        <v>551</v>
      </c>
      <c r="D1" s="13" t="s">
        <v>552</v>
      </c>
      <c r="E1" s="13" t="s">
        <v>553</v>
      </c>
      <c r="F1" s="13" t="s">
        <v>554</v>
      </c>
      <c r="G1" s="13" t="s">
        <v>555</v>
      </c>
      <c r="H1" s="13" t="s">
        <v>556</v>
      </c>
      <c r="I1" s="13" t="s">
        <v>557</v>
      </c>
      <c r="J1" s="13" t="s">
        <v>2607</v>
      </c>
      <c r="K1" s="14" t="s">
        <v>558</v>
      </c>
      <c r="L1" s="61" t="s">
        <v>559</v>
      </c>
      <c r="M1" s="15" t="s">
        <v>560</v>
      </c>
      <c r="N1" s="14" t="s">
        <v>561</v>
      </c>
      <c r="O1" s="13" t="s">
        <v>562</v>
      </c>
      <c r="P1" s="16" t="s">
        <v>31</v>
      </c>
      <c r="Q1" s="17" t="s">
        <v>32</v>
      </c>
      <c r="R1" s="17" t="s">
        <v>33</v>
      </c>
      <c r="S1" s="17" t="s">
        <v>30</v>
      </c>
      <c r="T1" s="17" t="s">
        <v>563</v>
      </c>
      <c r="U1" s="17" t="s">
        <v>564</v>
      </c>
      <c r="V1" s="17" t="s">
        <v>565</v>
      </c>
      <c r="W1" s="17" t="s">
        <v>566</v>
      </c>
      <c r="X1" s="17" t="s">
        <v>567</v>
      </c>
      <c r="Y1" s="18" t="s">
        <v>568</v>
      </c>
      <c r="Z1" s="7"/>
      <c r="AA1" s="8" t="s">
        <v>354</v>
      </c>
      <c r="AB1" s="8" t="s">
        <v>355</v>
      </c>
      <c r="AC1" s="8" t="s">
        <v>356</v>
      </c>
      <c r="AD1" s="450" t="s">
        <v>7</v>
      </c>
      <c r="AE1" s="8" t="s">
        <v>8</v>
      </c>
      <c r="AF1" s="8" t="s">
        <v>357</v>
      </c>
      <c r="AG1" s="8" t="s">
        <v>358</v>
      </c>
      <c r="AH1" s="8" t="s">
        <v>359</v>
      </c>
      <c r="AI1" s="8" t="s">
        <v>9</v>
      </c>
      <c r="AJ1" s="8" t="s">
        <v>2608</v>
      </c>
      <c r="AK1" s="9" t="s">
        <v>0</v>
      </c>
      <c r="AL1" s="9" t="s">
        <v>2</v>
      </c>
      <c r="AM1" s="9" t="s">
        <v>3</v>
      </c>
      <c r="AN1" s="9" t="s">
        <v>4</v>
      </c>
      <c r="AO1" s="9" t="s">
        <v>5</v>
      </c>
      <c r="AP1" s="9" t="s">
        <v>6</v>
      </c>
      <c r="AQ1" s="9" t="s">
        <v>35</v>
      </c>
      <c r="AR1" s="9" t="s">
        <v>36</v>
      </c>
      <c r="AS1" s="9" t="s">
        <v>37</v>
      </c>
      <c r="AT1" s="9" t="s">
        <v>38</v>
      </c>
      <c r="AU1" s="9" t="s">
        <v>39</v>
      </c>
      <c r="AV1" s="9" t="s">
        <v>40</v>
      </c>
      <c r="AW1" s="9" t="s">
        <v>41</v>
      </c>
      <c r="AX1" s="9" t="s">
        <v>42</v>
      </c>
      <c r="AY1" s="9" t="s">
        <v>43</v>
      </c>
      <c r="AZ1" s="9" t="s">
        <v>44</v>
      </c>
      <c r="BA1" s="9" t="s">
        <v>45</v>
      </c>
      <c r="BB1" s="9" t="s">
        <v>46</v>
      </c>
      <c r="BC1" s="9" t="s">
        <v>47</v>
      </c>
      <c r="BD1" s="9" t="s">
        <v>48</v>
      </c>
      <c r="BE1" s="9" t="s">
        <v>49</v>
      </c>
      <c r="BF1" s="9" t="s">
        <v>50</v>
      </c>
      <c r="BG1" s="9" t="s">
        <v>51</v>
      </c>
      <c r="BH1" s="9" t="s">
        <v>52</v>
      </c>
      <c r="BI1" s="9" t="s">
        <v>53</v>
      </c>
      <c r="BJ1" s="9" t="s">
        <v>54</v>
      </c>
      <c r="BK1" s="9" t="s">
        <v>55</v>
      </c>
      <c r="BL1" s="8" t="s">
        <v>56</v>
      </c>
      <c r="BM1" s="8" t="s">
        <v>57</v>
      </c>
      <c r="BN1" s="8" t="s">
        <v>58</v>
      </c>
      <c r="BO1" s="8" t="s">
        <v>59</v>
      </c>
      <c r="BP1" s="8" t="s">
        <v>60</v>
      </c>
    </row>
    <row r="2" spans="1:68" s="35" customFormat="1" ht="15" customHeight="1">
      <c r="A2" s="46"/>
      <c r="B2" s="30"/>
      <c r="D2" s="284"/>
      <c r="J2" s="58"/>
      <c r="K2" s="39"/>
      <c r="M2" s="58"/>
      <c r="AA2" s="35" t="s">
        <v>407</v>
      </c>
      <c r="AD2" s="34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</row>
    <row r="3" spans="1:68" s="35" customFormat="1" ht="15" customHeight="1">
      <c r="A3" s="46"/>
      <c r="B3" s="30" t="s">
        <v>605</v>
      </c>
      <c r="D3" s="284"/>
      <c r="J3" s="58"/>
      <c r="K3" s="39"/>
      <c r="M3" s="58"/>
      <c r="AA3" s="35" t="s">
        <v>0</v>
      </c>
      <c r="AB3" s="34" t="s">
        <v>2374</v>
      </c>
      <c r="AC3" s="35" t="s">
        <v>239</v>
      </c>
      <c r="AD3" s="34" t="s">
        <v>2378</v>
      </c>
      <c r="AE3" s="35" t="s">
        <v>1</v>
      </c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</row>
    <row r="4" spans="1:68" s="35" customFormat="1" ht="15" customHeight="1">
      <c r="A4" s="46"/>
      <c r="B4" s="30" t="s">
        <v>605</v>
      </c>
      <c r="D4" s="284"/>
      <c r="J4" s="58"/>
      <c r="K4" s="39"/>
      <c r="M4" s="58"/>
      <c r="AA4" s="35" t="s">
        <v>2</v>
      </c>
      <c r="AB4" s="34" t="s">
        <v>2492</v>
      </c>
      <c r="AC4" s="35" t="s">
        <v>239</v>
      </c>
      <c r="AD4" s="34" t="s">
        <v>2493</v>
      </c>
      <c r="AE4" s="35" t="s">
        <v>1</v>
      </c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</row>
    <row r="5" spans="1:68" s="35" customFormat="1" ht="15" customHeight="1">
      <c r="A5" s="46"/>
      <c r="B5" s="30" t="s">
        <v>605</v>
      </c>
      <c r="C5" s="4"/>
      <c r="D5" s="411"/>
      <c r="J5" s="58"/>
      <c r="K5" s="39"/>
      <c r="M5" s="58"/>
      <c r="AA5" s="35" t="s">
        <v>354</v>
      </c>
      <c r="AB5" s="35" t="s">
        <v>355</v>
      </c>
      <c r="AC5" s="35" t="s">
        <v>356</v>
      </c>
      <c r="AD5" s="178" t="s">
        <v>1858</v>
      </c>
      <c r="AE5" s="35" t="s">
        <v>8</v>
      </c>
      <c r="AF5" s="35" t="s">
        <v>357</v>
      </c>
      <c r="AG5" s="35" t="s">
        <v>358</v>
      </c>
      <c r="AH5" s="35" t="s">
        <v>359</v>
      </c>
      <c r="AI5" s="35" t="s">
        <v>9</v>
      </c>
      <c r="AJ5" s="35" t="s">
        <v>360</v>
      </c>
      <c r="AK5" s="35" t="s">
        <v>0</v>
      </c>
      <c r="AL5" s="35" t="s">
        <v>2</v>
      </c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</row>
    <row r="6" spans="1:68" s="35" customFormat="1" ht="15" customHeight="1">
      <c r="A6" s="46"/>
      <c r="B6" s="30" t="s">
        <v>605</v>
      </c>
      <c r="C6" s="4"/>
      <c r="D6" s="411" t="s">
        <v>1086</v>
      </c>
      <c r="G6" s="35" t="s">
        <v>1085</v>
      </c>
      <c r="J6" s="58"/>
      <c r="K6" s="39"/>
      <c r="M6" s="58">
        <v>920005953</v>
      </c>
      <c r="Y6" s="35" t="s">
        <v>1117</v>
      </c>
      <c r="AA6" s="35" t="s">
        <v>384</v>
      </c>
      <c r="AB6" s="35" t="s">
        <v>639</v>
      </c>
      <c r="AC6" s="35" t="s">
        <v>416</v>
      </c>
      <c r="AD6" s="178" t="s">
        <v>1794</v>
      </c>
      <c r="AE6" s="3" t="s">
        <v>876</v>
      </c>
      <c r="AF6" s="35" t="s">
        <v>1070</v>
      </c>
      <c r="AG6" s="35" t="s">
        <v>385</v>
      </c>
      <c r="AH6" s="35" t="s">
        <v>10</v>
      </c>
      <c r="AI6" s="35" t="s">
        <v>372</v>
      </c>
      <c r="AJ6" s="35" t="s">
        <v>362</v>
      </c>
      <c r="AK6" s="35" t="s">
        <v>2374</v>
      </c>
      <c r="AL6" s="35" t="s">
        <v>2492</v>
      </c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</row>
    <row r="7" spans="1:68" s="35" customFormat="1" ht="15" customHeight="1">
      <c r="A7" s="46"/>
      <c r="B7" s="30" t="s">
        <v>605</v>
      </c>
      <c r="C7" s="4"/>
      <c r="D7" s="411" t="s">
        <v>1086</v>
      </c>
      <c r="G7" s="35" t="s">
        <v>1085</v>
      </c>
      <c r="J7" s="58"/>
      <c r="K7" s="39"/>
      <c r="M7" s="58">
        <v>920005954</v>
      </c>
      <c r="Y7" s="35" t="s">
        <v>1117</v>
      </c>
      <c r="AA7" s="35" t="s">
        <v>396</v>
      </c>
      <c r="AB7" s="35" t="s">
        <v>623</v>
      </c>
      <c r="AC7" s="35" t="s">
        <v>416</v>
      </c>
      <c r="AD7" s="178" t="s">
        <v>1741</v>
      </c>
      <c r="AE7" s="3" t="s">
        <v>1398</v>
      </c>
      <c r="AF7" s="35" t="s">
        <v>1071</v>
      </c>
      <c r="AG7" s="35" t="s">
        <v>385</v>
      </c>
      <c r="AH7" s="35" t="s">
        <v>10</v>
      </c>
      <c r="AI7" s="35" t="s">
        <v>397</v>
      </c>
      <c r="AJ7" s="35" t="s">
        <v>362</v>
      </c>
      <c r="AK7" s="35" t="s">
        <v>2374</v>
      </c>
      <c r="AL7" s="35" t="s">
        <v>2492</v>
      </c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</row>
    <row r="8" spans="1:68" s="35" customFormat="1" ht="15" customHeight="1">
      <c r="A8" s="46"/>
      <c r="B8" s="30" t="s">
        <v>605</v>
      </c>
      <c r="D8" s="284" t="s">
        <v>1086</v>
      </c>
      <c r="G8" s="35" t="s">
        <v>1085</v>
      </c>
      <c r="J8" s="58"/>
      <c r="K8" s="39"/>
      <c r="M8" s="58">
        <v>920005955</v>
      </c>
      <c r="Y8" s="35" t="s">
        <v>1117</v>
      </c>
      <c r="AA8" s="35" t="s">
        <v>877</v>
      </c>
      <c r="AB8" s="35" t="s">
        <v>632</v>
      </c>
      <c r="AC8" s="35" t="s">
        <v>416</v>
      </c>
      <c r="AD8" s="254" t="s">
        <v>1758</v>
      </c>
      <c r="AE8" s="35" t="s">
        <v>1759</v>
      </c>
      <c r="AF8" s="35" t="s">
        <v>1072</v>
      </c>
      <c r="AG8" s="35" t="s">
        <v>385</v>
      </c>
      <c r="AH8" s="35" t="s">
        <v>10</v>
      </c>
      <c r="AI8" s="35" t="s">
        <v>365</v>
      </c>
      <c r="AJ8" s="35" t="s">
        <v>362</v>
      </c>
      <c r="AK8" s="35" t="s">
        <v>2374</v>
      </c>
      <c r="AL8" s="35" t="s">
        <v>2492</v>
      </c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</row>
    <row r="9" spans="1:68" s="35" customFormat="1" ht="15" customHeight="1">
      <c r="A9" s="46"/>
      <c r="B9" s="30" t="s">
        <v>605</v>
      </c>
      <c r="C9" s="4"/>
      <c r="D9" s="411" t="s">
        <v>1086</v>
      </c>
      <c r="G9" s="35" t="s">
        <v>1085</v>
      </c>
      <c r="J9" s="58"/>
      <c r="K9" s="39"/>
      <c r="M9" s="58">
        <v>920005952</v>
      </c>
      <c r="Y9" s="35" t="s">
        <v>1117</v>
      </c>
      <c r="AA9" s="35" t="s">
        <v>387</v>
      </c>
      <c r="AB9" s="35" t="s">
        <v>646</v>
      </c>
      <c r="AC9" s="35" t="s">
        <v>416</v>
      </c>
      <c r="AD9" s="178" t="s">
        <v>1784</v>
      </c>
      <c r="AE9" s="3" t="s">
        <v>1785</v>
      </c>
      <c r="AF9" s="35" t="s">
        <v>1073</v>
      </c>
      <c r="AG9" s="35" t="s">
        <v>385</v>
      </c>
      <c r="AH9" s="35" t="s">
        <v>10</v>
      </c>
      <c r="AI9" s="35" t="s">
        <v>361</v>
      </c>
      <c r="AJ9" s="35" t="s">
        <v>362</v>
      </c>
      <c r="AK9" s="35" t="s">
        <v>2374</v>
      </c>
      <c r="AL9" s="35" t="s">
        <v>2492</v>
      </c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</row>
    <row r="10" spans="1:68" s="35" customFormat="1" ht="15" customHeight="1">
      <c r="A10" s="46"/>
      <c r="B10" s="30" t="s">
        <v>605</v>
      </c>
      <c r="D10" s="284" t="s">
        <v>1086</v>
      </c>
      <c r="G10" s="35" t="s">
        <v>1085</v>
      </c>
      <c r="J10" s="58"/>
      <c r="K10" s="39"/>
      <c r="M10" s="58">
        <v>920003407</v>
      </c>
      <c r="Y10" s="35" t="s">
        <v>1117</v>
      </c>
      <c r="AA10" s="35" t="s">
        <v>420</v>
      </c>
      <c r="AB10" s="35" t="s">
        <v>641</v>
      </c>
      <c r="AC10" s="35" t="s">
        <v>502</v>
      </c>
      <c r="AD10" s="178" t="s">
        <v>1776</v>
      </c>
      <c r="AE10" s="3" t="s">
        <v>1389</v>
      </c>
      <c r="AF10" s="35" t="s">
        <v>421</v>
      </c>
      <c r="AG10" s="35" t="s">
        <v>419</v>
      </c>
      <c r="AH10" s="35" t="s">
        <v>10</v>
      </c>
      <c r="AI10" s="35" t="s">
        <v>397</v>
      </c>
      <c r="AJ10" s="35" t="s">
        <v>362</v>
      </c>
      <c r="AK10" s="35" t="s">
        <v>2374</v>
      </c>
      <c r="AL10" s="35" t="s">
        <v>2492</v>
      </c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</row>
    <row r="11" spans="1:68" s="35" customFormat="1" ht="15" customHeight="1">
      <c r="A11" s="46"/>
      <c r="B11" s="30" t="s">
        <v>605</v>
      </c>
      <c r="D11" s="284" t="s">
        <v>1086</v>
      </c>
      <c r="G11" s="35" t="s">
        <v>1085</v>
      </c>
      <c r="J11" s="58"/>
      <c r="K11" s="39"/>
      <c r="M11" s="58">
        <v>920003232</v>
      </c>
      <c r="Y11" s="35" t="s">
        <v>1117</v>
      </c>
      <c r="AA11" s="35" t="s">
        <v>422</v>
      </c>
      <c r="AB11" s="35" t="s">
        <v>647</v>
      </c>
      <c r="AC11" s="35" t="s">
        <v>502</v>
      </c>
      <c r="AD11" s="178" t="s">
        <v>1786</v>
      </c>
      <c r="AE11" s="3" t="s">
        <v>1392</v>
      </c>
      <c r="AF11" s="35" t="s">
        <v>423</v>
      </c>
      <c r="AG11" s="35" t="s">
        <v>419</v>
      </c>
      <c r="AH11" s="35" t="s">
        <v>10</v>
      </c>
      <c r="AI11" s="35" t="s">
        <v>361</v>
      </c>
      <c r="AJ11" s="35" t="s">
        <v>362</v>
      </c>
      <c r="AK11" s="35" t="s">
        <v>2374</v>
      </c>
      <c r="AL11" s="35" t="s">
        <v>2492</v>
      </c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</row>
    <row r="12" spans="1:68" s="35" customFormat="1" ht="15" customHeight="1">
      <c r="A12" s="46"/>
      <c r="B12" s="30" t="s">
        <v>605</v>
      </c>
      <c r="D12" s="284" t="s">
        <v>1086</v>
      </c>
      <c r="G12" s="35" t="s">
        <v>1085</v>
      </c>
      <c r="J12" s="58"/>
      <c r="K12" s="39"/>
      <c r="M12" s="58">
        <v>920005953</v>
      </c>
      <c r="Y12" s="35" t="s">
        <v>1117</v>
      </c>
      <c r="AA12" s="35" t="s">
        <v>384</v>
      </c>
      <c r="AB12" s="35" t="s">
        <v>637</v>
      </c>
      <c r="AC12" s="35" t="s">
        <v>424</v>
      </c>
      <c r="AD12" s="178" t="s">
        <v>1770</v>
      </c>
      <c r="AE12" s="3" t="s">
        <v>1771</v>
      </c>
      <c r="AF12" s="35" t="s">
        <v>1070</v>
      </c>
      <c r="AG12" s="35" t="s">
        <v>385</v>
      </c>
      <c r="AH12" s="35" t="s">
        <v>10</v>
      </c>
      <c r="AI12" s="35" t="s">
        <v>372</v>
      </c>
      <c r="AJ12" s="35" t="s">
        <v>362</v>
      </c>
      <c r="AK12" s="35" t="s">
        <v>2374</v>
      </c>
      <c r="AL12" s="35" t="s">
        <v>2492</v>
      </c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</row>
    <row r="13" spans="1:68" s="35" customFormat="1" ht="15" customHeight="1">
      <c r="A13" s="46"/>
      <c r="B13" s="30" t="s">
        <v>605</v>
      </c>
      <c r="D13" s="284" t="s">
        <v>1086</v>
      </c>
      <c r="G13" s="35" t="s">
        <v>1085</v>
      </c>
      <c r="J13" s="58"/>
      <c r="K13" s="39"/>
      <c r="M13" s="58">
        <v>920005952</v>
      </c>
      <c r="Y13" s="35" t="s">
        <v>1117</v>
      </c>
      <c r="AA13" s="35" t="s">
        <v>387</v>
      </c>
      <c r="AB13" s="35" t="s">
        <v>651</v>
      </c>
      <c r="AC13" s="35" t="s">
        <v>424</v>
      </c>
      <c r="AD13" s="178" t="s">
        <v>1807</v>
      </c>
      <c r="AE13" s="3" t="s">
        <v>1808</v>
      </c>
      <c r="AF13" s="35" t="s">
        <v>1073</v>
      </c>
      <c r="AG13" s="35" t="s">
        <v>385</v>
      </c>
      <c r="AH13" s="35" t="s">
        <v>10</v>
      </c>
      <c r="AI13" s="35" t="s">
        <v>361</v>
      </c>
      <c r="AJ13" s="35" t="s">
        <v>362</v>
      </c>
      <c r="AK13" s="35" t="s">
        <v>2374</v>
      </c>
      <c r="AL13" s="35" t="s">
        <v>2492</v>
      </c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</row>
    <row r="14" spans="1:68" s="35" customFormat="1" ht="15" customHeight="1">
      <c r="A14" s="190" t="s">
        <v>2621</v>
      </c>
      <c r="B14" s="30" t="s">
        <v>605</v>
      </c>
      <c r="D14" s="284" t="s">
        <v>1086</v>
      </c>
      <c r="G14" s="35" t="s">
        <v>1085</v>
      </c>
      <c r="J14" s="58"/>
      <c r="K14" s="39"/>
      <c r="M14" s="454">
        <v>920002431</v>
      </c>
      <c r="Y14" s="35" t="s">
        <v>1117</v>
      </c>
      <c r="AA14" s="35" t="s">
        <v>880</v>
      </c>
      <c r="AB14" s="35" t="s">
        <v>635</v>
      </c>
      <c r="AC14" s="35" t="s">
        <v>881</v>
      </c>
      <c r="AD14" s="178" t="s">
        <v>2258</v>
      </c>
      <c r="AE14" s="3" t="s">
        <v>414</v>
      </c>
      <c r="AF14" s="35" t="s">
        <v>882</v>
      </c>
      <c r="AG14" s="35" t="s">
        <v>883</v>
      </c>
      <c r="AH14" s="35" t="s">
        <v>10</v>
      </c>
      <c r="AI14" s="35" t="s">
        <v>361</v>
      </c>
      <c r="AJ14" s="35" t="s">
        <v>362</v>
      </c>
      <c r="AK14" s="35" t="s">
        <v>2374</v>
      </c>
      <c r="AL14" s="35" t="s">
        <v>2492</v>
      </c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</row>
    <row r="15" spans="1:68" s="35" customFormat="1" ht="15" customHeight="1">
      <c r="A15" s="46"/>
      <c r="B15" s="30" t="s">
        <v>605</v>
      </c>
      <c r="D15" s="284" t="s">
        <v>1086</v>
      </c>
      <c r="G15" s="35" t="s">
        <v>1085</v>
      </c>
      <c r="J15" s="58"/>
      <c r="K15" s="39"/>
      <c r="M15" s="77">
        <v>920006551</v>
      </c>
      <c r="Y15" s="35" t="s">
        <v>1117</v>
      </c>
      <c r="AC15" s="180" t="s">
        <v>1099</v>
      </c>
      <c r="AD15" s="255" t="s">
        <v>2258</v>
      </c>
      <c r="AF15" s="35" t="s">
        <v>882</v>
      </c>
      <c r="AJ15" s="35" t="s">
        <v>362</v>
      </c>
      <c r="AK15" s="35" t="s">
        <v>2374</v>
      </c>
      <c r="AL15" s="35" t="s">
        <v>2492</v>
      </c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</row>
    <row r="16" spans="1:68" s="35" customFormat="1" ht="15" customHeight="1">
      <c r="A16" s="46"/>
      <c r="B16" s="30" t="s">
        <v>605</v>
      </c>
      <c r="D16" s="284" t="s">
        <v>1086</v>
      </c>
      <c r="G16" s="35" t="s">
        <v>1085</v>
      </c>
      <c r="J16" s="58"/>
      <c r="K16" s="39"/>
      <c r="M16" s="58">
        <v>920320256</v>
      </c>
      <c r="Y16" s="35" t="s">
        <v>1117</v>
      </c>
      <c r="AA16" s="35" t="s">
        <v>614</v>
      </c>
      <c r="AB16" s="35" t="s">
        <v>631</v>
      </c>
      <c r="AC16" s="35" t="s">
        <v>884</v>
      </c>
      <c r="AD16" s="178" t="s">
        <v>2304</v>
      </c>
      <c r="AE16" s="3" t="s">
        <v>649</v>
      </c>
      <c r="AF16" s="35" t="s">
        <v>885</v>
      </c>
      <c r="AG16" s="35" t="s">
        <v>886</v>
      </c>
      <c r="AH16" s="35" t="s">
        <v>10</v>
      </c>
      <c r="AI16" s="35" t="s">
        <v>361</v>
      </c>
      <c r="AJ16" s="35" t="s">
        <v>362</v>
      </c>
      <c r="AK16" s="35" t="s">
        <v>2374</v>
      </c>
      <c r="AL16" s="35" t="s">
        <v>2492</v>
      </c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</row>
    <row r="17" spans="1:63" s="35" customFormat="1" ht="15" customHeight="1">
      <c r="A17" s="46"/>
      <c r="B17" s="30" t="s">
        <v>605</v>
      </c>
      <c r="D17" s="284" t="s">
        <v>1086</v>
      </c>
      <c r="G17" s="35" t="s">
        <v>1085</v>
      </c>
      <c r="J17" s="58"/>
      <c r="K17" s="39"/>
      <c r="M17" s="58">
        <v>920004722</v>
      </c>
      <c r="Y17" s="35" t="s">
        <v>1117</v>
      </c>
      <c r="AA17" s="35" t="s">
        <v>887</v>
      </c>
      <c r="AB17" s="35" t="s">
        <v>657</v>
      </c>
      <c r="AC17" s="35" t="s">
        <v>888</v>
      </c>
      <c r="AD17" s="178" t="s">
        <v>2263</v>
      </c>
      <c r="AE17" s="3" t="s">
        <v>642</v>
      </c>
      <c r="AF17" s="35" t="s">
        <v>889</v>
      </c>
      <c r="AG17" s="35" t="s">
        <v>10</v>
      </c>
      <c r="AH17" s="35" t="s">
        <v>10</v>
      </c>
      <c r="AI17" s="35" t="s">
        <v>361</v>
      </c>
      <c r="AJ17" s="35" t="s">
        <v>362</v>
      </c>
      <c r="AK17" s="35" t="s">
        <v>2374</v>
      </c>
      <c r="AL17" s="35" t="s">
        <v>2492</v>
      </c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</row>
    <row r="18" spans="1:63" s="35" customFormat="1" ht="15" customHeight="1">
      <c r="A18" s="46"/>
      <c r="B18" s="30" t="s">
        <v>605</v>
      </c>
      <c r="D18" s="284" t="s">
        <v>1086</v>
      </c>
      <c r="G18" s="35" t="s">
        <v>1085</v>
      </c>
      <c r="J18" s="58"/>
      <c r="K18" s="39"/>
      <c r="M18" s="58">
        <v>920005718</v>
      </c>
      <c r="Y18" s="35" t="s">
        <v>1117</v>
      </c>
      <c r="AA18" s="35" t="s">
        <v>890</v>
      </c>
      <c r="AB18" s="35" t="s">
        <v>643</v>
      </c>
      <c r="AC18" s="35" t="s">
        <v>891</v>
      </c>
      <c r="AD18" s="178" t="s">
        <v>2305</v>
      </c>
      <c r="AE18" s="3" t="s">
        <v>636</v>
      </c>
      <c r="AF18" s="35" t="s">
        <v>892</v>
      </c>
      <c r="AG18" s="35" t="s">
        <v>385</v>
      </c>
      <c r="AH18" s="35" t="s">
        <v>10</v>
      </c>
      <c r="AI18" s="35" t="s">
        <v>425</v>
      </c>
      <c r="AJ18" s="35" t="s">
        <v>362</v>
      </c>
      <c r="AK18" s="35" t="s">
        <v>2374</v>
      </c>
      <c r="AL18" s="35" t="s">
        <v>2492</v>
      </c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</row>
    <row r="19" spans="1:63" s="35" customFormat="1" ht="15" customHeight="1">
      <c r="A19" s="46"/>
      <c r="B19" s="30" t="s">
        <v>605</v>
      </c>
      <c r="D19" s="284" t="s">
        <v>1086</v>
      </c>
      <c r="G19" s="35" t="s">
        <v>1085</v>
      </c>
      <c r="J19" s="58"/>
      <c r="K19" s="39"/>
      <c r="M19" s="58">
        <v>920004803</v>
      </c>
      <c r="Y19" s="35" t="s">
        <v>1117</v>
      </c>
      <c r="AA19" s="35" t="s">
        <v>893</v>
      </c>
      <c r="AB19" s="35" t="s">
        <v>654</v>
      </c>
      <c r="AC19" s="35" t="s">
        <v>894</v>
      </c>
      <c r="AD19" s="178" t="s">
        <v>2261</v>
      </c>
      <c r="AE19" s="3" t="s">
        <v>1813</v>
      </c>
      <c r="AF19" s="35" t="s">
        <v>895</v>
      </c>
      <c r="AG19" s="35" t="s">
        <v>10</v>
      </c>
      <c r="AH19" s="35" t="s">
        <v>10</v>
      </c>
      <c r="AI19" s="35" t="s">
        <v>361</v>
      </c>
      <c r="AJ19" s="35" t="s">
        <v>362</v>
      </c>
      <c r="AK19" s="35" t="s">
        <v>2374</v>
      </c>
      <c r="AL19" s="35" t="s">
        <v>2492</v>
      </c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</row>
    <row r="20" spans="1:63" s="35" customFormat="1" ht="15" customHeight="1">
      <c r="A20" s="46"/>
      <c r="B20" s="30" t="s">
        <v>605</v>
      </c>
      <c r="D20" s="284" t="s">
        <v>1086</v>
      </c>
      <c r="G20" s="35" t="s">
        <v>1085</v>
      </c>
      <c r="J20" s="58"/>
      <c r="K20" s="39"/>
      <c r="M20" s="77">
        <v>920002381</v>
      </c>
      <c r="Y20" s="35" t="s">
        <v>1117</v>
      </c>
      <c r="AA20" s="35" t="s">
        <v>426</v>
      </c>
      <c r="AB20" s="35" t="s">
        <v>624</v>
      </c>
      <c r="AC20" s="35" t="s">
        <v>896</v>
      </c>
      <c r="AD20" s="178" t="s">
        <v>2254</v>
      </c>
      <c r="AE20" s="3" t="s">
        <v>350</v>
      </c>
      <c r="AF20" s="35" t="s">
        <v>427</v>
      </c>
      <c r="AG20" s="35" t="s">
        <v>377</v>
      </c>
      <c r="AH20" s="35" t="s">
        <v>10</v>
      </c>
      <c r="AI20" s="35" t="s">
        <v>390</v>
      </c>
      <c r="AJ20" s="35" t="s">
        <v>362</v>
      </c>
      <c r="AK20" s="35" t="s">
        <v>2374</v>
      </c>
      <c r="AL20" s="35" t="s">
        <v>2492</v>
      </c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</row>
    <row r="21" spans="1:63" s="35" customFormat="1" ht="15" customHeight="1">
      <c r="A21" s="46"/>
      <c r="B21" s="30" t="s">
        <v>605</v>
      </c>
      <c r="D21" s="284" t="s">
        <v>1086</v>
      </c>
      <c r="G21" s="35" t="s">
        <v>1085</v>
      </c>
      <c r="J21" s="58"/>
      <c r="K21" s="39"/>
      <c r="M21" s="77">
        <v>920002380</v>
      </c>
      <c r="Y21" s="35" t="s">
        <v>1117</v>
      </c>
      <c r="AC21" s="180" t="s">
        <v>1100</v>
      </c>
      <c r="AD21" s="255" t="s">
        <v>2254</v>
      </c>
      <c r="AF21" s="35" t="s">
        <v>427</v>
      </c>
      <c r="AJ21" s="35" t="s">
        <v>362</v>
      </c>
      <c r="AK21" s="35" t="s">
        <v>2374</v>
      </c>
      <c r="AL21" s="35" t="s">
        <v>2492</v>
      </c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</row>
    <row r="22" spans="1:63" s="35" customFormat="1" ht="15" customHeight="1">
      <c r="A22" s="46"/>
      <c r="B22" s="30" t="s">
        <v>605</v>
      </c>
      <c r="D22" s="284" t="s">
        <v>1086</v>
      </c>
      <c r="G22" s="35" t="s">
        <v>1085</v>
      </c>
      <c r="J22" s="58"/>
      <c r="K22" s="39"/>
      <c r="M22" s="77">
        <v>920002887</v>
      </c>
      <c r="Y22" s="35" t="s">
        <v>1117</v>
      </c>
      <c r="AC22" s="180" t="s">
        <v>1101</v>
      </c>
      <c r="AD22" s="255" t="s">
        <v>2254</v>
      </c>
      <c r="AF22" s="35" t="s">
        <v>427</v>
      </c>
      <c r="AJ22" s="35" t="s">
        <v>362</v>
      </c>
      <c r="AK22" s="35" t="s">
        <v>2374</v>
      </c>
      <c r="AL22" s="35" t="s">
        <v>2492</v>
      </c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</row>
    <row r="23" spans="1:63" s="35" customFormat="1" ht="15" customHeight="1">
      <c r="A23" s="46"/>
      <c r="B23" s="30" t="s">
        <v>605</v>
      </c>
      <c r="D23" s="284" t="s">
        <v>1086</v>
      </c>
      <c r="G23" s="35" t="s">
        <v>1085</v>
      </c>
      <c r="J23" s="58" t="s">
        <v>1343</v>
      </c>
      <c r="K23" s="39"/>
      <c r="M23" s="104">
        <v>920007290</v>
      </c>
      <c r="Y23" s="35" t="s">
        <v>1117</v>
      </c>
      <c r="AA23" s="35" t="s">
        <v>428</v>
      </c>
      <c r="AB23" s="35" t="s">
        <v>626</v>
      </c>
      <c r="AC23" s="35" t="s">
        <v>897</v>
      </c>
      <c r="AD23" s="178" t="s">
        <v>2255</v>
      </c>
      <c r="AE23" s="3" t="s">
        <v>1158</v>
      </c>
      <c r="AF23" s="35" t="s">
        <v>429</v>
      </c>
      <c r="AG23" s="35" t="s">
        <v>10</v>
      </c>
      <c r="AH23" s="35" t="s">
        <v>10</v>
      </c>
      <c r="AI23" s="35" t="s">
        <v>361</v>
      </c>
      <c r="AJ23" s="35" t="s">
        <v>362</v>
      </c>
      <c r="AK23" s="35" t="s">
        <v>2374</v>
      </c>
      <c r="AL23" s="35" t="s">
        <v>2492</v>
      </c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</row>
    <row r="24" spans="1:63" s="35" customFormat="1" ht="15" customHeight="1">
      <c r="A24" s="46"/>
      <c r="B24" s="30" t="s">
        <v>605</v>
      </c>
      <c r="D24" s="284" t="s">
        <v>1086</v>
      </c>
      <c r="G24" s="35" t="s">
        <v>1085</v>
      </c>
      <c r="J24" s="58"/>
      <c r="M24" s="58">
        <v>920003759</v>
      </c>
      <c r="Y24" s="35" t="s">
        <v>1117</v>
      </c>
      <c r="AC24" s="181" t="s">
        <v>1098</v>
      </c>
      <c r="AD24" s="255" t="s">
        <v>2255</v>
      </c>
      <c r="AF24" s="35" t="s">
        <v>429</v>
      </c>
      <c r="AJ24" s="35" t="s">
        <v>362</v>
      </c>
      <c r="AK24" s="35" t="s">
        <v>2374</v>
      </c>
      <c r="AL24" s="35" t="s">
        <v>2492</v>
      </c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</row>
    <row r="25" spans="1:63" s="35" customFormat="1" ht="15" customHeight="1">
      <c r="A25" s="46"/>
      <c r="B25" s="30" t="s">
        <v>605</v>
      </c>
      <c r="D25" s="284" t="s">
        <v>1084</v>
      </c>
      <c r="G25" s="35" t="s">
        <v>1084</v>
      </c>
      <c r="I25" s="35" t="s">
        <v>550</v>
      </c>
      <c r="J25" s="58" t="s">
        <v>1344</v>
      </c>
      <c r="K25" s="39"/>
      <c r="M25" s="58">
        <v>990002626</v>
      </c>
      <c r="Y25" s="35" t="s">
        <v>1117</v>
      </c>
      <c r="AA25" s="35" t="s">
        <v>386</v>
      </c>
      <c r="AB25" s="35" t="s">
        <v>898</v>
      </c>
      <c r="AC25" s="35" t="s">
        <v>10</v>
      </c>
      <c r="AD25" s="34" t="s">
        <v>898</v>
      </c>
      <c r="AE25" s="3" t="s">
        <v>1158</v>
      </c>
      <c r="AF25" s="35" t="s">
        <v>430</v>
      </c>
      <c r="AG25" s="35" t="s">
        <v>10</v>
      </c>
      <c r="AH25" s="35" t="s">
        <v>626</v>
      </c>
      <c r="AI25" s="35" t="s">
        <v>10</v>
      </c>
      <c r="AJ25" s="35" t="s">
        <v>362</v>
      </c>
      <c r="AK25" s="35" t="s">
        <v>2374</v>
      </c>
      <c r="AL25" s="35" t="s">
        <v>2492</v>
      </c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</row>
    <row r="26" spans="1:63" s="35" customFormat="1" ht="15" customHeight="1">
      <c r="A26" s="46"/>
      <c r="B26" s="30" t="s">
        <v>605</v>
      </c>
      <c r="D26" s="284" t="s">
        <v>1083</v>
      </c>
      <c r="G26" s="35" t="s">
        <v>1084</v>
      </c>
      <c r="I26" s="35" t="s">
        <v>550</v>
      </c>
      <c r="J26" s="58" t="s">
        <v>1324</v>
      </c>
      <c r="K26" s="39"/>
      <c r="M26" s="58">
        <v>990000248</v>
      </c>
      <c r="Y26" s="35" t="s">
        <v>1117</v>
      </c>
      <c r="AA26" s="35" t="s">
        <v>434</v>
      </c>
      <c r="AB26" s="35" t="s">
        <v>899</v>
      </c>
      <c r="AC26" s="35" t="s">
        <v>891</v>
      </c>
      <c r="AD26" s="34" t="s">
        <v>2325</v>
      </c>
      <c r="AE26" s="3" t="s">
        <v>814</v>
      </c>
      <c r="AF26" s="35" t="s">
        <v>435</v>
      </c>
      <c r="AG26" s="35" t="s">
        <v>10</v>
      </c>
      <c r="AH26" s="35" t="s">
        <v>626</v>
      </c>
      <c r="AI26" s="35" t="s">
        <v>436</v>
      </c>
      <c r="AJ26" s="35" t="s">
        <v>362</v>
      </c>
      <c r="AK26" s="35" t="s">
        <v>2374</v>
      </c>
      <c r="AL26" s="35" t="s">
        <v>2492</v>
      </c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</row>
    <row r="27" spans="1:63" s="35" customFormat="1" ht="15" customHeight="1">
      <c r="A27" s="46"/>
      <c r="B27" s="30" t="s">
        <v>605</v>
      </c>
      <c r="D27" s="284" t="s">
        <v>1083</v>
      </c>
      <c r="G27" s="35" t="s">
        <v>1084</v>
      </c>
      <c r="I27" s="35" t="s">
        <v>550</v>
      </c>
      <c r="J27" s="58" t="s">
        <v>1325</v>
      </c>
      <c r="K27" s="39"/>
      <c r="M27" s="58">
        <v>990000130</v>
      </c>
      <c r="Y27" s="35" t="s">
        <v>1117</v>
      </c>
      <c r="AA27" s="35" t="s">
        <v>437</v>
      </c>
      <c r="AB27" s="35" t="s">
        <v>900</v>
      </c>
      <c r="AC27" s="35" t="s">
        <v>896</v>
      </c>
      <c r="AD27" s="34" t="s">
        <v>2326</v>
      </c>
      <c r="AE27" s="3" t="s">
        <v>1372</v>
      </c>
      <c r="AF27" s="35" t="s">
        <v>438</v>
      </c>
      <c r="AG27" s="35" t="s">
        <v>10</v>
      </c>
      <c r="AH27" s="35" t="s">
        <v>626</v>
      </c>
      <c r="AI27" s="35" t="s">
        <v>425</v>
      </c>
      <c r="AJ27" s="35" t="s">
        <v>362</v>
      </c>
      <c r="AK27" s="35" t="s">
        <v>2374</v>
      </c>
      <c r="AL27" s="35" t="s">
        <v>2492</v>
      </c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</row>
    <row r="28" spans="1:63" s="35" customFormat="1" ht="15" customHeight="1">
      <c r="A28" s="46"/>
      <c r="B28" s="30" t="s">
        <v>605</v>
      </c>
      <c r="D28" s="284" t="s">
        <v>1086</v>
      </c>
      <c r="G28" s="35" t="s">
        <v>1085</v>
      </c>
      <c r="J28" s="58" t="s">
        <v>1342</v>
      </c>
      <c r="K28" s="39"/>
      <c r="M28" s="104">
        <v>920007428</v>
      </c>
      <c r="Y28" s="35" t="s">
        <v>1117</v>
      </c>
      <c r="AA28" s="35" t="s">
        <v>462</v>
      </c>
      <c r="AB28" s="35" t="s">
        <v>633</v>
      </c>
      <c r="AC28" s="35" t="s">
        <v>901</v>
      </c>
      <c r="AD28" s="178" t="s">
        <v>2257</v>
      </c>
      <c r="AE28" s="3" t="s">
        <v>1414</v>
      </c>
      <c r="AF28" s="35" t="s">
        <v>463</v>
      </c>
      <c r="AG28" s="35" t="s">
        <v>10</v>
      </c>
      <c r="AH28" s="35" t="s">
        <v>10</v>
      </c>
      <c r="AI28" s="35" t="s">
        <v>372</v>
      </c>
      <c r="AJ28" s="35" t="s">
        <v>362</v>
      </c>
      <c r="AK28" s="35" t="s">
        <v>2374</v>
      </c>
      <c r="AL28" s="35" t="s">
        <v>2492</v>
      </c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</row>
    <row r="29" spans="1:63" s="35" customFormat="1" ht="15" customHeight="1">
      <c r="A29" s="46"/>
      <c r="B29" s="30" t="s">
        <v>605</v>
      </c>
      <c r="D29" s="284" t="s">
        <v>1086</v>
      </c>
      <c r="G29" s="35" t="s">
        <v>1085</v>
      </c>
      <c r="J29" s="58"/>
      <c r="M29" s="58">
        <v>920003759</v>
      </c>
      <c r="Y29" s="35" t="s">
        <v>1117</v>
      </c>
      <c r="AC29" s="181" t="s">
        <v>1098</v>
      </c>
      <c r="AD29" s="255" t="s">
        <v>2257</v>
      </c>
      <c r="AF29" s="35" t="s">
        <v>463</v>
      </c>
      <c r="AJ29" s="35" t="s">
        <v>362</v>
      </c>
      <c r="AK29" s="35" t="s">
        <v>2374</v>
      </c>
      <c r="AL29" s="35" t="s">
        <v>2492</v>
      </c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</row>
    <row r="30" spans="1:63" s="35" customFormat="1" ht="15" customHeight="1">
      <c r="A30" s="46"/>
      <c r="B30" s="30" t="s">
        <v>605</v>
      </c>
      <c r="D30" s="284" t="s">
        <v>1084</v>
      </c>
      <c r="G30" s="35" t="s">
        <v>1084</v>
      </c>
      <c r="I30" s="35" t="s">
        <v>550</v>
      </c>
      <c r="J30" s="58" t="s">
        <v>1345</v>
      </c>
      <c r="K30" s="39"/>
      <c r="M30" s="58">
        <v>990002626</v>
      </c>
      <c r="Y30" s="35" t="s">
        <v>1117</v>
      </c>
      <c r="AA30" s="35" t="s">
        <v>386</v>
      </c>
      <c r="AB30" s="35" t="s">
        <v>508</v>
      </c>
      <c r="AC30" s="35" t="s">
        <v>10</v>
      </c>
      <c r="AD30" s="34" t="s">
        <v>508</v>
      </c>
      <c r="AE30" s="3" t="s">
        <v>1414</v>
      </c>
      <c r="AF30" s="35" t="s">
        <v>430</v>
      </c>
      <c r="AG30" s="35" t="s">
        <v>10</v>
      </c>
      <c r="AH30" s="35" t="s">
        <v>633</v>
      </c>
      <c r="AI30" s="35" t="s">
        <v>10</v>
      </c>
      <c r="AJ30" s="35" t="s">
        <v>362</v>
      </c>
      <c r="AK30" s="35" t="s">
        <v>2374</v>
      </c>
      <c r="AL30" s="35" t="s">
        <v>2492</v>
      </c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</row>
    <row r="31" spans="1:63" s="35" customFormat="1" ht="15" customHeight="1">
      <c r="A31" s="46"/>
      <c r="B31" s="30" t="s">
        <v>605</v>
      </c>
      <c r="D31" s="284" t="s">
        <v>1083</v>
      </c>
      <c r="G31" s="35" t="s">
        <v>1084</v>
      </c>
      <c r="I31" s="35" t="s">
        <v>550</v>
      </c>
      <c r="J31" s="58" t="s">
        <v>1332</v>
      </c>
      <c r="K31" s="39"/>
      <c r="M31" s="58">
        <v>990000249</v>
      </c>
      <c r="Y31" s="35" t="s">
        <v>1117</v>
      </c>
      <c r="AA31" s="35" t="s">
        <v>441</v>
      </c>
      <c r="AB31" s="35" t="s">
        <v>902</v>
      </c>
      <c r="AC31" s="35" t="s">
        <v>903</v>
      </c>
      <c r="AD31" s="34" t="s">
        <v>2327</v>
      </c>
      <c r="AE31" s="3" t="s">
        <v>1414</v>
      </c>
      <c r="AF31" s="35" t="s">
        <v>442</v>
      </c>
      <c r="AG31" s="35" t="s">
        <v>10</v>
      </c>
      <c r="AH31" s="35" t="s">
        <v>633</v>
      </c>
      <c r="AI31" s="35" t="s">
        <v>366</v>
      </c>
      <c r="AJ31" s="35" t="s">
        <v>362</v>
      </c>
      <c r="AK31" s="35" t="s">
        <v>2374</v>
      </c>
      <c r="AL31" s="35" t="s">
        <v>2492</v>
      </c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</row>
    <row r="32" spans="1:63" s="35" customFormat="1" ht="15" customHeight="1">
      <c r="A32" s="46"/>
      <c r="B32" s="30" t="s">
        <v>605</v>
      </c>
      <c r="D32" s="284" t="s">
        <v>1083</v>
      </c>
      <c r="G32" s="35" t="s">
        <v>1084</v>
      </c>
      <c r="I32" s="35" t="s">
        <v>550</v>
      </c>
      <c r="J32" s="58" t="s">
        <v>1333</v>
      </c>
      <c r="K32" s="39"/>
      <c r="M32" s="58">
        <v>990000296</v>
      </c>
      <c r="Y32" s="35" t="s">
        <v>1117</v>
      </c>
      <c r="AA32" s="35" t="s">
        <v>439</v>
      </c>
      <c r="AB32" s="35" t="s">
        <v>904</v>
      </c>
      <c r="AC32" s="35" t="s">
        <v>888</v>
      </c>
      <c r="AD32" s="34" t="s">
        <v>2328</v>
      </c>
      <c r="AE32" s="3" t="s">
        <v>1414</v>
      </c>
      <c r="AF32" s="35" t="s">
        <v>440</v>
      </c>
      <c r="AG32" s="35" t="s">
        <v>10</v>
      </c>
      <c r="AH32" s="35" t="s">
        <v>633</v>
      </c>
      <c r="AI32" s="35" t="s">
        <v>372</v>
      </c>
      <c r="AJ32" s="35" t="s">
        <v>362</v>
      </c>
      <c r="AK32" s="35" t="s">
        <v>2374</v>
      </c>
      <c r="AL32" s="35" t="s">
        <v>2492</v>
      </c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</row>
    <row r="33" spans="1:63" s="35" customFormat="1" ht="15" customHeight="1">
      <c r="A33" s="46"/>
      <c r="B33" s="30" t="s">
        <v>605</v>
      </c>
      <c r="D33" s="284" t="s">
        <v>1083</v>
      </c>
      <c r="G33" s="35" t="s">
        <v>1084</v>
      </c>
      <c r="I33" s="35" t="s">
        <v>550</v>
      </c>
      <c r="J33" s="58" t="s">
        <v>1334</v>
      </c>
      <c r="K33" s="39"/>
      <c r="M33" s="58">
        <v>990000250</v>
      </c>
      <c r="Y33" s="35" t="s">
        <v>1117</v>
      </c>
      <c r="AA33" s="35" t="s">
        <v>431</v>
      </c>
      <c r="AB33" s="35" t="s">
        <v>905</v>
      </c>
      <c r="AC33" s="35" t="s">
        <v>906</v>
      </c>
      <c r="AD33" s="34" t="s">
        <v>2329</v>
      </c>
      <c r="AE33" s="3" t="s">
        <v>1414</v>
      </c>
      <c r="AF33" s="35" t="s">
        <v>432</v>
      </c>
      <c r="AG33" s="35" t="s">
        <v>10</v>
      </c>
      <c r="AH33" s="35" t="s">
        <v>633</v>
      </c>
      <c r="AI33" s="35" t="s">
        <v>433</v>
      </c>
      <c r="AJ33" s="35" t="s">
        <v>362</v>
      </c>
      <c r="AK33" s="35" t="s">
        <v>2374</v>
      </c>
      <c r="AL33" s="35" t="s">
        <v>2492</v>
      </c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</row>
    <row r="34" spans="1:63" s="35" customFormat="1" ht="15" customHeight="1">
      <c r="A34" s="46"/>
      <c r="B34" s="30" t="s">
        <v>605</v>
      </c>
      <c r="D34" s="284" t="s">
        <v>1083</v>
      </c>
      <c r="G34" s="35" t="s">
        <v>1084</v>
      </c>
      <c r="I34" s="35" t="s">
        <v>550</v>
      </c>
      <c r="J34" s="58" t="s">
        <v>1335</v>
      </c>
      <c r="K34" s="39"/>
      <c r="M34" s="58">
        <v>990000250</v>
      </c>
      <c r="Y34" s="35" t="s">
        <v>1117</v>
      </c>
      <c r="AA34" s="35" t="s">
        <v>431</v>
      </c>
      <c r="AB34" s="35" t="s">
        <v>907</v>
      </c>
      <c r="AC34" s="35" t="s">
        <v>1298</v>
      </c>
      <c r="AD34" s="34" t="s">
        <v>2330</v>
      </c>
      <c r="AE34" s="3" t="s">
        <v>1414</v>
      </c>
      <c r="AF34" s="35" t="s">
        <v>432</v>
      </c>
      <c r="AG34" s="35" t="s">
        <v>10</v>
      </c>
      <c r="AH34" s="35" t="s">
        <v>633</v>
      </c>
      <c r="AI34" s="35" t="s">
        <v>433</v>
      </c>
      <c r="AJ34" s="35" t="s">
        <v>362</v>
      </c>
      <c r="AK34" s="35" t="s">
        <v>2374</v>
      </c>
      <c r="AL34" s="35" t="s">
        <v>2492</v>
      </c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</row>
    <row r="35" spans="1:63" s="35" customFormat="1" ht="15" customHeight="1">
      <c r="A35" s="46"/>
      <c r="B35" s="30" t="s">
        <v>605</v>
      </c>
      <c r="D35" s="284" t="s">
        <v>1083</v>
      </c>
      <c r="G35" s="35" t="s">
        <v>1084</v>
      </c>
      <c r="I35" s="35" t="s">
        <v>550</v>
      </c>
      <c r="J35" s="58" t="s">
        <v>1336</v>
      </c>
      <c r="K35" s="39"/>
      <c r="M35" s="58">
        <v>990000247</v>
      </c>
      <c r="Y35" s="35" t="s">
        <v>1117</v>
      </c>
      <c r="AA35" s="35" t="s">
        <v>448</v>
      </c>
      <c r="AB35" s="35" t="s">
        <v>908</v>
      </c>
      <c r="AC35" s="35" t="s">
        <v>909</v>
      </c>
      <c r="AD35" s="34" t="s">
        <v>2331</v>
      </c>
      <c r="AE35" s="3" t="s">
        <v>1414</v>
      </c>
      <c r="AF35" s="35" t="s">
        <v>449</v>
      </c>
      <c r="AG35" s="35" t="s">
        <v>10</v>
      </c>
      <c r="AH35" s="35" t="s">
        <v>633</v>
      </c>
      <c r="AI35" s="35" t="s">
        <v>397</v>
      </c>
      <c r="AJ35" s="35" t="s">
        <v>362</v>
      </c>
      <c r="AK35" s="35" t="s">
        <v>2374</v>
      </c>
      <c r="AL35" s="35" t="s">
        <v>2492</v>
      </c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</row>
    <row r="36" spans="1:63" s="35" customFormat="1" ht="15" customHeight="1">
      <c r="A36" s="46"/>
      <c r="B36" s="30" t="s">
        <v>605</v>
      </c>
      <c r="D36" s="284" t="s">
        <v>1086</v>
      </c>
      <c r="G36" s="35" t="s">
        <v>1085</v>
      </c>
      <c r="J36" s="58"/>
      <c r="K36" s="39"/>
      <c r="M36" s="58">
        <v>920004844</v>
      </c>
      <c r="Y36" s="35" t="s">
        <v>1117</v>
      </c>
      <c r="AA36" s="35" t="s">
        <v>910</v>
      </c>
      <c r="AB36" s="35" t="s">
        <v>658</v>
      </c>
      <c r="AC36" s="35" t="s">
        <v>548</v>
      </c>
      <c r="AD36" s="178" t="s">
        <v>2306</v>
      </c>
      <c r="AE36" s="3" t="s">
        <v>1308</v>
      </c>
      <c r="AF36" s="35" t="s">
        <v>911</v>
      </c>
      <c r="AG36" s="35" t="s">
        <v>10</v>
      </c>
      <c r="AH36" s="35" t="s">
        <v>10</v>
      </c>
      <c r="AI36" s="35" t="s">
        <v>373</v>
      </c>
      <c r="AJ36" s="35" t="s">
        <v>362</v>
      </c>
      <c r="AK36" s="35" t="s">
        <v>2374</v>
      </c>
      <c r="AL36" s="35" t="s">
        <v>2492</v>
      </c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</row>
    <row r="37" spans="1:63" s="35" customFormat="1" ht="15" customHeight="1">
      <c r="A37" s="46"/>
      <c r="B37" s="30" t="s">
        <v>605</v>
      </c>
      <c r="D37" s="284" t="s">
        <v>1086</v>
      </c>
      <c r="G37" s="35" t="s">
        <v>1085</v>
      </c>
      <c r="J37" s="58"/>
      <c r="K37" s="39"/>
      <c r="M37" s="58">
        <v>920006457</v>
      </c>
      <c r="Y37" s="35" t="s">
        <v>1117</v>
      </c>
      <c r="AA37" s="35" t="s">
        <v>374</v>
      </c>
      <c r="AB37" s="35" t="s">
        <v>630</v>
      </c>
      <c r="AC37" s="35" t="s">
        <v>912</v>
      </c>
      <c r="AD37" s="178" t="s">
        <v>2256</v>
      </c>
      <c r="AE37" s="3" t="s">
        <v>1378</v>
      </c>
      <c r="AF37" s="35" t="s">
        <v>375</v>
      </c>
      <c r="AG37" s="35" t="s">
        <v>376</v>
      </c>
      <c r="AH37" s="35" t="s">
        <v>10</v>
      </c>
      <c r="AI37" s="35" t="s">
        <v>361</v>
      </c>
      <c r="AJ37" s="35" t="s">
        <v>362</v>
      </c>
      <c r="AK37" s="35" t="s">
        <v>2374</v>
      </c>
      <c r="AL37" s="35" t="s">
        <v>2492</v>
      </c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</row>
    <row r="38" spans="1:63" s="35" customFormat="1" ht="15" customHeight="1">
      <c r="A38" s="46"/>
      <c r="B38" s="30" t="s">
        <v>605</v>
      </c>
      <c r="D38" s="284" t="s">
        <v>1086</v>
      </c>
      <c r="G38" s="35" t="s">
        <v>1085</v>
      </c>
      <c r="J38" s="58"/>
      <c r="K38" s="39"/>
      <c r="M38" s="58">
        <v>920004162</v>
      </c>
      <c r="Y38" s="35" t="s">
        <v>1117</v>
      </c>
      <c r="AA38" s="35" t="s">
        <v>913</v>
      </c>
      <c r="AB38" s="35" t="s">
        <v>656</v>
      </c>
      <c r="AC38" s="35" t="s">
        <v>914</v>
      </c>
      <c r="AD38" s="178" t="s">
        <v>2262</v>
      </c>
      <c r="AE38" s="3" t="s">
        <v>464</v>
      </c>
      <c r="AF38" s="35" t="s">
        <v>916</v>
      </c>
      <c r="AG38" s="35" t="s">
        <v>10</v>
      </c>
      <c r="AH38" s="35" t="s">
        <v>10</v>
      </c>
      <c r="AI38" s="35" t="s">
        <v>361</v>
      </c>
      <c r="AJ38" s="35" t="s">
        <v>362</v>
      </c>
      <c r="AK38" s="35" t="s">
        <v>2374</v>
      </c>
      <c r="AL38" s="35" t="s">
        <v>2492</v>
      </c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</row>
    <row r="39" spans="1:63" s="35" customFormat="1" ht="15" customHeight="1">
      <c r="A39" s="46"/>
      <c r="B39" s="30" t="s">
        <v>605</v>
      </c>
      <c r="D39" s="284" t="s">
        <v>1086</v>
      </c>
      <c r="G39" s="35" t="s">
        <v>1085</v>
      </c>
      <c r="J39" s="58"/>
      <c r="K39" s="39"/>
      <c r="M39" s="58">
        <v>920004245</v>
      </c>
      <c r="Y39" s="35" t="s">
        <v>1117</v>
      </c>
      <c r="AC39" s="180" t="s">
        <v>1102</v>
      </c>
      <c r="AD39" s="255" t="s">
        <v>2262</v>
      </c>
      <c r="AF39" s="35" t="s">
        <v>916</v>
      </c>
      <c r="AJ39" s="35" t="s">
        <v>362</v>
      </c>
      <c r="AK39" s="35" t="s">
        <v>2374</v>
      </c>
      <c r="AL39" s="35" t="s">
        <v>2492</v>
      </c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</row>
    <row r="40" spans="1:63" s="35" customFormat="1" ht="15" customHeight="1">
      <c r="A40" s="46"/>
      <c r="B40" s="30" t="s">
        <v>605</v>
      </c>
      <c r="D40" s="284" t="s">
        <v>1086</v>
      </c>
      <c r="G40" s="35" t="s">
        <v>1085</v>
      </c>
      <c r="J40" s="58"/>
      <c r="K40" s="39"/>
      <c r="M40" s="58">
        <v>920004246</v>
      </c>
      <c r="Y40" s="35" t="s">
        <v>1117</v>
      </c>
      <c r="AC40" s="180" t="s">
        <v>1103</v>
      </c>
      <c r="AD40" s="255" t="s">
        <v>2262</v>
      </c>
      <c r="AF40" s="35" t="s">
        <v>916</v>
      </c>
      <c r="AJ40" s="35" t="s">
        <v>362</v>
      </c>
      <c r="AK40" s="35" t="s">
        <v>2374</v>
      </c>
      <c r="AL40" s="35" t="s">
        <v>2492</v>
      </c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</row>
    <row r="41" spans="1:63" s="35" customFormat="1" ht="15" customHeight="1">
      <c r="A41" s="46"/>
      <c r="B41" s="30" t="s">
        <v>605</v>
      </c>
      <c r="D41" s="284" t="s">
        <v>1086</v>
      </c>
      <c r="G41" s="35" t="s">
        <v>1085</v>
      </c>
      <c r="J41" s="58"/>
      <c r="K41" s="39"/>
      <c r="M41" s="58">
        <v>920004955</v>
      </c>
      <c r="Y41" s="35" t="s">
        <v>1117</v>
      </c>
      <c r="AA41" s="35" t="s">
        <v>917</v>
      </c>
      <c r="AB41" s="35" t="s">
        <v>670</v>
      </c>
      <c r="AC41" s="35" t="s">
        <v>894</v>
      </c>
      <c r="AD41" s="178" t="s">
        <v>2307</v>
      </c>
      <c r="AE41" s="3" t="s">
        <v>485</v>
      </c>
      <c r="AF41" s="35" t="s">
        <v>918</v>
      </c>
      <c r="AG41" s="35" t="s">
        <v>10</v>
      </c>
      <c r="AH41" s="35" t="s">
        <v>10</v>
      </c>
      <c r="AI41" s="35" t="s">
        <v>361</v>
      </c>
      <c r="AJ41" s="35" t="s">
        <v>362</v>
      </c>
      <c r="AK41" s="35" t="s">
        <v>2374</v>
      </c>
      <c r="AL41" s="35" t="s">
        <v>2492</v>
      </c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</row>
    <row r="42" spans="1:63" s="35" customFormat="1" ht="15" customHeight="1">
      <c r="A42" s="46"/>
      <c r="B42" s="30" t="s">
        <v>605</v>
      </c>
      <c r="D42" s="284" t="s">
        <v>1086</v>
      </c>
      <c r="G42" s="35" t="s">
        <v>1085</v>
      </c>
      <c r="J42" s="58"/>
      <c r="M42" s="104" t="s">
        <v>1302</v>
      </c>
      <c r="Y42" s="35" t="s">
        <v>1117</v>
      </c>
      <c r="AA42" s="35" t="s">
        <v>403</v>
      </c>
      <c r="AB42" s="35" t="s">
        <v>621</v>
      </c>
      <c r="AC42" s="35" t="s">
        <v>896</v>
      </c>
      <c r="AD42" s="178" t="s">
        <v>2303</v>
      </c>
      <c r="AE42" s="35" t="s">
        <v>414</v>
      </c>
      <c r="AF42" s="35" t="s">
        <v>450</v>
      </c>
      <c r="AG42" s="35" t="s">
        <v>395</v>
      </c>
      <c r="AH42" s="35" t="s">
        <v>10</v>
      </c>
      <c r="AI42" s="35" t="s">
        <v>361</v>
      </c>
      <c r="AJ42" s="35" t="s">
        <v>362</v>
      </c>
      <c r="AK42" s="35" t="s">
        <v>2374</v>
      </c>
      <c r="AL42" s="35" t="s">
        <v>2492</v>
      </c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</row>
    <row r="43" spans="1:63" s="35" customFormat="1" ht="15" customHeight="1">
      <c r="A43" s="46"/>
      <c r="B43" s="30" t="s">
        <v>605</v>
      </c>
      <c r="D43" s="284" t="s">
        <v>1086</v>
      </c>
      <c r="G43" s="35" t="s">
        <v>1085</v>
      </c>
      <c r="J43" s="58"/>
      <c r="K43" s="39"/>
      <c r="M43" s="104">
        <v>920004805</v>
      </c>
      <c r="Y43" s="35" t="s">
        <v>1117</v>
      </c>
      <c r="AA43" s="35" t="s">
        <v>919</v>
      </c>
      <c r="AB43" s="35" t="s">
        <v>640</v>
      </c>
      <c r="AC43" s="35" t="s">
        <v>920</v>
      </c>
      <c r="AD43" s="178" t="s">
        <v>2267</v>
      </c>
      <c r="AE43" s="3" t="s">
        <v>1857</v>
      </c>
      <c r="AF43" s="35" t="s">
        <v>921</v>
      </c>
      <c r="AG43" s="35" t="s">
        <v>10</v>
      </c>
      <c r="AH43" s="35" t="s">
        <v>10</v>
      </c>
      <c r="AI43" s="35" t="s">
        <v>365</v>
      </c>
      <c r="AJ43" s="35" t="s">
        <v>362</v>
      </c>
      <c r="AK43" s="35" t="s">
        <v>2374</v>
      </c>
      <c r="AL43" s="35" t="s">
        <v>2492</v>
      </c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</row>
    <row r="44" spans="1:63" s="35" customFormat="1" ht="15" customHeight="1">
      <c r="A44" s="46"/>
      <c r="B44" s="30" t="s">
        <v>605</v>
      </c>
      <c r="D44" s="284" t="s">
        <v>1086</v>
      </c>
      <c r="G44" s="35" t="s">
        <v>1085</v>
      </c>
      <c r="J44" s="58"/>
      <c r="K44" s="39"/>
      <c r="M44" s="174">
        <v>920004663</v>
      </c>
      <c r="Y44" s="35" t="s">
        <v>1117</v>
      </c>
      <c r="AA44" s="35" t="s">
        <v>923</v>
      </c>
      <c r="AB44" s="35" t="s">
        <v>634</v>
      </c>
      <c r="AC44" s="35" t="s">
        <v>920</v>
      </c>
      <c r="AD44" s="178" t="s">
        <v>2280</v>
      </c>
      <c r="AE44" s="3" t="s">
        <v>1768</v>
      </c>
      <c r="AF44" s="35" t="s">
        <v>924</v>
      </c>
      <c r="AG44" s="35" t="s">
        <v>10</v>
      </c>
      <c r="AH44" s="35" t="s">
        <v>10</v>
      </c>
      <c r="AI44" s="35" t="s">
        <v>361</v>
      </c>
      <c r="AJ44" s="35" t="s">
        <v>362</v>
      </c>
      <c r="AK44" s="35" t="s">
        <v>2374</v>
      </c>
      <c r="AL44" s="35" t="s">
        <v>2492</v>
      </c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</row>
    <row r="45" spans="1:63" s="395" customFormat="1" ht="15" customHeight="1">
      <c r="A45" s="393"/>
      <c r="B45" s="394" t="s">
        <v>605</v>
      </c>
      <c r="C45" s="401" t="s">
        <v>608</v>
      </c>
      <c r="D45" s="412" t="s">
        <v>1086</v>
      </c>
      <c r="G45" s="395" t="s">
        <v>1085</v>
      </c>
      <c r="J45" s="396"/>
      <c r="K45" s="397"/>
      <c r="M45" s="398">
        <v>920002309</v>
      </c>
      <c r="Y45" s="395" t="s">
        <v>1117</v>
      </c>
      <c r="AC45" s="399" t="s">
        <v>1104</v>
      </c>
      <c r="AD45" s="400" t="s">
        <v>2280</v>
      </c>
      <c r="AF45" s="395" t="s">
        <v>924</v>
      </c>
      <c r="AJ45" s="395" t="s">
        <v>362</v>
      </c>
      <c r="AK45" s="395">
        <v>0</v>
      </c>
      <c r="AL45" s="395">
        <v>0</v>
      </c>
      <c r="AS45" s="394"/>
      <c r="AT45" s="394"/>
      <c r="AU45" s="394"/>
      <c r="AV45" s="394"/>
      <c r="AW45" s="394"/>
      <c r="AX45" s="394"/>
      <c r="AY45" s="394"/>
      <c r="AZ45" s="394"/>
      <c r="BA45" s="394"/>
      <c r="BB45" s="394"/>
      <c r="BC45" s="394"/>
      <c r="BD45" s="394"/>
      <c r="BE45" s="394"/>
      <c r="BF45" s="394"/>
      <c r="BG45" s="394"/>
      <c r="BH45" s="394"/>
      <c r="BI45" s="394"/>
      <c r="BJ45" s="394"/>
      <c r="BK45" s="394"/>
    </row>
    <row r="46" spans="1:63" s="35" customFormat="1" ht="15" customHeight="1">
      <c r="A46" s="46"/>
      <c r="B46" s="30" t="s">
        <v>605</v>
      </c>
      <c r="D46" s="284" t="s">
        <v>1086</v>
      </c>
      <c r="G46" s="35" t="s">
        <v>1085</v>
      </c>
      <c r="J46" s="58"/>
      <c r="K46" s="39"/>
      <c r="M46" s="104">
        <v>920004956</v>
      </c>
      <c r="Y46" s="35" t="s">
        <v>1117</v>
      </c>
      <c r="AA46" s="35" t="s">
        <v>919</v>
      </c>
      <c r="AB46" s="35" t="s">
        <v>664</v>
      </c>
      <c r="AC46" s="35" t="s">
        <v>920</v>
      </c>
      <c r="AD46" s="178" t="s">
        <v>2264</v>
      </c>
      <c r="AE46" s="3" t="s">
        <v>1257</v>
      </c>
      <c r="AF46" s="35" t="s">
        <v>925</v>
      </c>
      <c r="AG46" s="35" t="s">
        <v>10</v>
      </c>
      <c r="AH46" s="35" t="s">
        <v>10</v>
      </c>
      <c r="AI46" s="35" t="s">
        <v>390</v>
      </c>
      <c r="AJ46" s="35" t="s">
        <v>362</v>
      </c>
      <c r="AK46" s="35" t="s">
        <v>2374</v>
      </c>
      <c r="AL46" s="35" t="s">
        <v>2492</v>
      </c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</row>
    <row r="47" spans="1:63" s="32" customFormat="1" ht="15" customHeight="1">
      <c r="A47" s="46"/>
      <c r="B47" s="30" t="s">
        <v>605</v>
      </c>
      <c r="C47" s="35"/>
      <c r="D47" s="284" t="s">
        <v>1086</v>
      </c>
      <c r="E47" s="35"/>
      <c r="G47" s="35" t="s">
        <v>1085</v>
      </c>
      <c r="J47" s="58"/>
      <c r="M47" s="104" t="s">
        <v>1302</v>
      </c>
      <c r="Y47" s="35" t="s">
        <v>1117</v>
      </c>
      <c r="AA47" s="35" t="s">
        <v>926</v>
      </c>
      <c r="AB47" s="35" t="s">
        <v>1259</v>
      </c>
      <c r="AC47" s="35" t="s">
        <v>920</v>
      </c>
      <c r="AD47" s="178" t="s">
        <v>2253</v>
      </c>
      <c r="AE47" s="3" t="s">
        <v>1738</v>
      </c>
      <c r="AF47" s="35" t="s">
        <v>927</v>
      </c>
      <c r="AG47" s="35" t="s">
        <v>395</v>
      </c>
      <c r="AH47" s="35" t="s">
        <v>10</v>
      </c>
      <c r="AI47" s="35" t="s">
        <v>366</v>
      </c>
      <c r="AJ47" s="35" t="s">
        <v>362</v>
      </c>
      <c r="AK47" s="35" t="s">
        <v>2374</v>
      </c>
      <c r="AL47" s="35" t="s">
        <v>2492</v>
      </c>
      <c r="AM47" s="35"/>
      <c r="AN47" s="35"/>
      <c r="AO47" s="35"/>
      <c r="AP47" s="35"/>
      <c r="AQ47" s="35"/>
      <c r="AR47" s="35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</row>
    <row r="48" spans="1:63" s="35" customFormat="1" ht="15" customHeight="1">
      <c r="A48" s="46"/>
      <c r="B48" s="30" t="s">
        <v>605</v>
      </c>
      <c r="D48" s="284" t="s">
        <v>1086</v>
      </c>
      <c r="G48" s="35" t="s">
        <v>1089</v>
      </c>
      <c r="H48" s="35" t="s">
        <v>1086</v>
      </c>
      <c r="J48" s="58"/>
      <c r="K48" s="39"/>
      <c r="L48" s="35" t="s">
        <v>10</v>
      </c>
      <c r="M48" s="104">
        <v>990001561</v>
      </c>
      <c r="Y48" s="35" t="s">
        <v>1117</v>
      </c>
      <c r="AA48" s="35" t="s">
        <v>1161</v>
      </c>
      <c r="AB48" s="35" t="s">
        <v>513</v>
      </c>
      <c r="AC48" s="35" t="s">
        <v>10</v>
      </c>
      <c r="AD48" s="34" t="s">
        <v>513</v>
      </c>
      <c r="AE48" s="4" t="s">
        <v>2107</v>
      </c>
      <c r="AF48" s="35" t="s">
        <v>1678</v>
      </c>
      <c r="AG48" s="35" t="s">
        <v>10</v>
      </c>
      <c r="AH48" s="35" t="s">
        <v>10</v>
      </c>
      <c r="AI48" s="35" t="s">
        <v>10</v>
      </c>
      <c r="AJ48" s="35" t="s">
        <v>362</v>
      </c>
      <c r="AK48" s="35" t="s">
        <v>2374</v>
      </c>
      <c r="AL48" s="35" t="s">
        <v>2492</v>
      </c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</row>
    <row r="49" spans="1:63" s="186" customFormat="1" ht="15" customHeight="1">
      <c r="A49" s="190"/>
      <c r="B49" s="187" t="s">
        <v>605</v>
      </c>
      <c r="D49" s="413" t="s">
        <v>1086</v>
      </c>
      <c r="G49" s="186" t="s">
        <v>1089</v>
      </c>
      <c r="H49" s="186" t="s">
        <v>1086</v>
      </c>
      <c r="J49" s="188"/>
      <c r="K49" s="483"/>
      <c r="L49" s="484" t="s">
        <v>1120</v>
      </c>
      <c r="M49" s="485">
        <v>990000862</v>
      </c>
      <c r="N49" s="484"/>
      <c r="O49" s="484"/>
      <c r="P49" s="484"/>
      <c r="Q49" s="484"/>
      <c r="R49" s="484"/>
      <c r="S49" s="484"/>
      <c r="T49" s="484"/>
      <c r="U49" s="484"/>
      <c r="V49" s="484"/>
      <c r="W49" s="484"/>
      <c r="X49" s="484"/>
      <c r="Y49" s="484" t="s">
        <v>1117</v>
      </c>
      <c r="Z49" s="484"/>
      <c r="AA49" s="484" t="s">
        <v>509</v>
      </c>
      <c r="AB49" s="484" t="s">
        <v>1677</v>
      </c>
      <c r="AC49" s="484" t="s">
        <v>10</v>
      </c>
      <c r="AD49" s="257" t="s">
        <v>1677</v>
      </c>
      <c r="AE49" s="484" t="s">
        <v>1061</v>
      </c>
      <c r="AF49" s="484" t="s">
        <v>510</v>
      </c>
      <c r="AG49" s="484" t="s">
        <v>10</v>
      </c>
      <c r="AH49" s="484" t="s">
        <v>10</v>
      </c>
      <c r="AI49" s="484" t="s">
        <v>10</v>
      </c>
      <c r="AJ49" s="484" t="s">
        <v>362</v>
      </c>
      <c r="AK49" s="484" t="s">
        <v>2374</v>
      </c>
      <c r="AL49" s="484" t="s">
        <v>2492</v>
      </c>
      <c r="AS49" s="187"/>
      <c r="AT49" s="187"/>
      <c r="AU49" s="187"/>
      <c r="AV49" s="187"/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</row>
    <row r="50" spans="1:63" s="35" customFormat="1" ht="15" customHeight="1">
      <c r="A50" s="46"/>
      <c r="B50" s="30" t="s">
        <v>605</v>
      </c>
      <c r="D50" s="284" t="s">
        <v>1086</v>
      </c>
      <c r="G50" s="35" t="s">
        <v>1089</v>
      </c>
      <c r="H50" s="35" t="s">
        <v>1086</v>
      </c>
      <c r="J50" s="58"/>
      <c r="K50" s="483"/>
      <c r="L50" s="484" t="s">
        <v>1120</v>
      </c>
      <c r="M50" s="485">
        <v>990003226</v>
      </c>
      <c r="N50" s="484"/>
      <c r="O50" s="484"/>
      <c r="P50" s="484"/>
      <c r="Q50" s="484"/>
      <c r="R50" s="484"/>
      <c r="S50" s="484"/>
      <c r="T50" s="484"/>
      <c r="U50" s="484"/>
      <c r="V50" s="484"/>
      <c r="W50" s="484"/>
      <c r="X50" s="484"/>
      <c r="Y50" s="484" t="s">
        <v>1117</v>
      </c>
      <c r="Z50" s="484"/>
      <c r="AA50" s="484" t="s">
        <v>541</v>
      </c>
      <c r="AB50" s="484" t="s">
        <v>1152</v>
      </c>
      <c r="AC50" s="35" t="s">
        <v>10</v>
      </c>
      <c r="AD50" s="34" t="s">
        <v>1152</v>
      </c>
      <c r="AE50" s="3" t="s">
        <v>409</v>
      </c>
      <c r="AF50" s="35" t="s">
        <v>613</v>
      </c>
      <c r="AG50" s="35" t="s">
        <v>10</v>
      </c>
      <c r="AH50" s="35" t="s">
        <v>10</v>
      </c>
      <c r="AI50" s="35" t="s">
        <v>10</v>
      </c>
      <c r="AJ50" s="35" t="s">
        <v>362</v>
      </c>
      <c r="AK50" s="35" t="s">
        <v>2374</v>
      </c>
      <c r="AL50" s="35" t="s">
        <v>2492</v>
      </c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</row>
    <row r="51" spans="1:63" s="35" customFormat="1" ht="15" customHeight="1">
      <c r="A51" s="46"/>
      <c r="B51" s="30" t="s">
        <v>605</v>
      </c>
      <c r="D51" s="284" t="s">
        <v>1086</v>
      </c>
      <c r="G51" s="35" t="s">
        <v>1089</v>
      </c>
      <c r="H51" s="35" t="s">
        <v>1086</v>
      </c>
      <c r="J51" s="58"/>
      <c r="K51" s="483"/>
      <c r="L51" s="484" t="s">
        <v>1120</v>
      </c>
      <c r="M51" s="485">
        <v>990003226</v>
      </c>
      <c r="N51" s="484"/>
      <c r="O51" s="484"/>
      <c r="P51" s="484"/>
      <c r="Q51" s="484"/>
      <c r="R51" s="484"/>
      <c r="S51" s="484"/>
      <c r="T51" s="484"/>
      <c r="U51" s="484"/>
      <c r="V51" s="484"/>
      <c r="W51" s="484"/>
      <c r="X51" s="484"/>
      <c r="Y51" s="484" t="s">
        <v>1117</v>
      </c>
      <c r="Z51" s="484"/>
      <c r="AA51" s="484" t="s">
        <v>541</v>
      </c>
      <c r="AB51" s="484" t="s">
        <v>1205</v>
      </c>
      <c r="AC51" s="35" t="s">
        <v>10</v>
      </c>
      <c r="AD51" s="34" t="s">
        <v>1205</v>
      </c>
      <c r="AE51" s="35" t="s">
        <v>1156</v>
      </c>
      <c r="AF51" s="35" t="s">
        <v>613</v>
      </c>
      <c r="AG51" s="35" t="s">
        <v>10</v>
      </c>
      <c r="AH51" s="35" t="s">
        <v>10</v>
      </c>
      <c r="AI51" s="35" t="s">
        <v>10</v>
      </c>
      <c r="AJ51" s="35" t="s">
        <v>362</v>
      </c>
      <c r="AK51" s="35" t="s">
        <v>2374</v>
      </c>
      <c r="AL51" s="35" t="s">
        <v>2492</v>
      </c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</row>
    <row r="52" spans="1:63" s="35" customFormat="1" ht="15" customHeight="1">
      <c r="A52" s="46"/>
      <c r="B52" s="30" t="s">
        <v>605</v>
      </c>
      <c r="D52" s="284" t="s">
        <v>1086</v>
      </c>
      <c r="G52" s="35" t="s">
        <v>1089</v>
      </c>
      <c r="H52" s="35" t="s">
        <v>1086</v>
      </c>
      <c r="J52" s="58"/>
      <c r="K52" s="483"/>
      <c r="L52" s="484" t="s">
        <v>1120</v>
      </c>
      <c r="M52" s="485">
        <v>990002921</v>
      </c>
      <c r="N52" s="484"/>
      <c r="O52" s="484"/>
      <c r="P52" s="484"/>
      <c r="Q52" s="484"/>
      <c r="R52" s="484"/>
      <c r="S52" s="484"/>
      <c r="T52" s="484"/>
      <c r="U52" s="484"/>
      <c r="V52" s="484"/>
      <c r="W52" s="484"/>
      <c r="X52" s="484"/>
      <c r="Y52" s="484" t="s">
        <v>1117</v>
      </c>
      <c r="Z52" s="484"/>
      <c r="AA52" s="484" t="s">
        <v>1208</v>
      </c>
      <c r="AB52" s="484" t="s">
        <v>1206</v>
      </c>
      <c r="AC52" s="35" t="s">
        <v>10</v>
      </c>
      <c r="AD52" s="34" t="s">
        <v>1206</v>
      </c>
      <c r="AE52" s="35" t="s">
        <v>543</v>
      </c>
      <c r="AF52" s="35" t="s">
        <v>1207</v>
      </c>
      <c r="AG52" s="35" t="s">
        <v>10</v>
      </c>
      <c r="AH52" s="35" t="s">
        <v>10</v>
      </c>
      <c r="AI52" s="35" t="s">
        <v>10</v>
      </c>
      <c r="AJ52" s="35" t="s">
        <v>362</v>
      </c>
      <c r="AK52" s="35" t="s">
        <v>2374</v>
      </c>
      <c r="AL52" s="35" t="s">
        <v>2492</v>
      </c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</row>
    <row r="53" spans="1:63" s="35" customFormat="1" ht="15" customHeight="1">
      <c r="A53" s="46"/>
      <c r="B53" s="30" t="s">
        <v>605</v>
      </c>
      <c r="D53" s="284" t="s">
        <v>1086</v>
      </c>
      <c r="G53" s="35" t="s">
        <v>1089</v>
      </c>
      <c r="H53" s="35" t="s">
        <v>1086</v>
      </c>
      <c r="J53" s="58"/>
      <c r="K53" s="483"/>
      <c r="L53" s="484" t="s">
        <v>1120</v>
      </c>
      <c r="M53" s="485">
        <v>990003226</v>
      </c>
      <c r="N53" s="484"/>
      <c r="O53" s="484"/>
      <c r="P53" s="484"/>
      <c r="Q53" s="484"/>
      <c r="R53" s="484"/>
      <c r="S53" s="484"/>
      <c r="T53" s="484"/>
      <c r="U53" s="484"/>
      <c r="V53" s="484"/>
      <c r="W53" s="484"/>
      <c r="X53" s="484"/>
      <c r="Y53" s="484" t="s">
        <v>1117</v>
      </c>
      <c r="Z53" s="484"/>
      <c r="AA53" s="484" t="s">
        <v>541</v>
      </c>
      <c r="AB53" s="484" t="s">
        <v>929</v>
      </c>
      <c r="AC53" s="35" t="s">
        <v>10</v>
      </c>
      <c r="AD53" s="34" t="s">
        <v>929</v>
      </c>
      <c r="AE53" s="35" t="s">
        <v>1069</v>
      </c>
      <c r="AF53" s="35" t="s">
        <v>613</v>
      </c>
      <c r="AG53" s="35" t="s">
        <v>10</v>
      </c>
      <c r="AH53" s="35" t="s">
        <v>10</v>
      </c>
      <c r="AI53" s="35" t="s">
        <v>10</v>
      </c>
      <c r="AJ53" s="35" t="s">
        <v>362</v>
      </c>
      <c r="AK53" s="35" t="s">
        <v>2374</v>
      </c>
      <c r="AL53" s="35" t="s">
        <v>2492</v>
      </c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</row>
    <row r="54" spans="1:63" s="35" customFormat="1" ht="15" customHeight="1">
      <c r="A54" s="46"/>
      <c r="B54" s="30" t="s">
        <v>605</v>
      </c>
      <c r="D54" s="284" t="s">
        <v>1086</v>
      </c>
      <c r="G54" s="35" t="s">
        <v>1089</v>
      </c>
      <c r="H54" s="35" t="s">
        <v>1086</v>
      </c>
      <c r="J54" s="58"/>
      <c r="K54" s="483"/>
      <c r="L54" s="484" t="s">
        <v>10</v>
      </c>
      <c r="M54" s="485">
        <v>990001067</v>
      </c>
      <c r="N54" s="484"/>
      <c r="O54" s="484"/>
      <c r="P54" s="484"/>
      <c r="Q54" s="484"/>
      <c r="R54" s="484"/>
      <c r="S54" s="484"/>
      <c r="T54" s="484"/>
      <c r="U54" s="484"/>
      <c r="V54" s="484"/>
      <c r="W54" s="484"/>
      <c r="X54" s="484"/>
      <c r="Y54" s="484" t="s">
        <v>1117</v>
      </c>
      <c r="Z54" s="484"/>
      <c r="AA54" s="484" t="s">
        <v>928</v>
      </c>
      <c r="AB54" s="484" t="s">
        <v>1214</v>
      </c>
      <c r="AC54" s="35" t="s">
        <v>10</v>
      </c>
      <c r="AD54" s="34" t="s">
        <v>1214</v>
      </c>
      <c r="AE54" s="35" t="s">
        <v>1687</v>
      </c>
      <c r="AF54" s="35" t="s">
        <v>1155</v>
      </c>
      <c r="AG54" s="35" t="s">
        <v>10</v>
      </c>
      <c r="AH54" s="35" t="s">
        <v>10</v>
      </c>
      <c r="AI54" s="35" t="s">
        <v>10</v>
      </c>
      <c r="AJ54" s="35" t="s">
        <v>362</v>
      </c>
      <c r="AK54" s="35" t="s">
        <v>2374</v>
      </c>
      <c r="AL54" s="35" t="s">
        <v>2492</v>
      </c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</row>
    <row r="55" spans="1:63" s="35" customFormat="1" ht="15" customHeight="1">
      <c r="A55" s="46"/>
      <c r="B55" s="30" t="s">
        <v>605</v>
      </c>
      <c r="D55" s="284" t="s">
        <v>1086</v>
      </c>
      <c r="G55" s="35" t="s">
        <v>1089</v>
      </c>
      <c r="H55" s="35" t="s">
        <v>1086</v>
      </c>
      <c r="J55" s="58"/>
      <c r="K55" s="483"/>
      <c r="L55" s="484" t="s">
        <v>1120</v>
      </c>
      <c r="M55" s="485">
        <v>990003226</v>
      </c>
      <c r="N55" s="484"/>
      <c r="O55" s="484"/>
      <c r="P55" s="484"/>
      <c r="Q55" s="484"/>
      <c r="R55" s="484"/>
      <c r="S55" s="484"/>
      <c r="T55" s="484"/>
      <c r="U55" s="484"/>
      <c r="V55" s="484"/>
      <c r="W55" s="484"/>
      <c r="X55" s="484"/>
      <c r="Y55" s="484" t="s">
        <v>1117</v>
      </c>
      <c r="Z55" s="484"/>
      <c r="AA55" s="484" t="s">
        <v>541</v>
      </c>
      <c r="AB55" s="484" t="s">
        <v>930</v>
      </c>
      <c r="AC55" s="35" t="s">
        <v>10</v>
      </c>
      <c r="AD55" s="34" t="s">
        <v>930</v>
      </c>
      <c r="AE55" s="3" t="s">
        <v>2108</v>
      </c>
      <c r="AF55" s="35" t="s">
        <v>613</v>
      </c>
      <c r="AG55" s="35" t="s">
        <v>10</v>
      </c>
      <c r="AH55" s="35" t="s">
        <v>10</v>
      </c>
      <c r="AI55" s="35" t="s">
        <v>10</v>
      </c>
      <c r="AJ55" s="35" t="s">
        <v>362</v>
      </c>
      <c r="AK55" s="35" t="s">
        <v>2374</v>
      </c>
      <c r="AL55" s="35" t="s">
        <v>2492</v>
      </c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</row>
    <row r="56" spans="1:63" s="35" customFormat="1" ht="15" customHeight="1">
      <c r="A56" s="46"/>
      <c r="B56" s="30" t="s">
        <v>605</v>
      </c>
      <c r="D56" s="284" t="s">
        <v>1086</v>
      </c>
      <c r="G56" s="35" t="s">
        <v>1089</v>
      </c>
      <c r="H56" s="35" t="s">
        <v>1086</v>
      </c>
      <c r="J56" s="58"/>
      <c r="K56" s="483"/>
      <c r="L56" s="484" t="s">
        <v>10</v>
      </c>
      <c r="M56" s="485">
        <v>990002320</v>
      </c>
      <c r="N56" s="484"/>
      <c r="O56" s="484"/>
      <c r="P56" s="484"/>
      <c r="Q56" s="484"/>
      <c r="R56" s="484"/>
      <c r="S56" s="484"/>
      <c r="T56" s="484"/>
      <c r="U56" s="484"/>
      <c r="V56" s="484"/>
      <c r="W56" s="484"/>
      <c r="X56" s="484"/>
      <c r="Y56" s="484" t="s">
        <v>1117</v>
      </c>
      <c r="Z56" s="484"/>
      <c r="AA56" s="484" t="s">
        <v>415</v>
      </c>
      <c r="AB56" s="484" t="s">
        <v>1183</v>
      </c>
      <c r="AC56" s="35" t="s">
        <v>10</v>
      </c>
      <c r="AD56" s="34" t="s">
        <v>1183</v>
      </c>
      <c r="AE56" s="3" t="s">
        <v>2109</v>
      </c>
      <c r="AF56" s="35" t="s">
        <v>443</v>
      </c>
      <c r="AG56" s="35" t="s">
        <v>10</v>
      </c>
      <c r="AH56" s="35" t="s">
        <v>10</v>
      </c>
      <c r="AI56" s="35" t="s">
        <v>10</v>
      </c>
      <c r="AJ56" s="35" t="s">
        <v>362</v>
      </c>
      <c r="AK56" s="35" t="s">
        <v>2374</v>
      </c>
      <c r="AL56" s="35" t="s">
        <v>2492</v>
      </c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</row>
    <row r="57" spans="1:63" s="35" customFormat="1" ht="15" customHeight="1">
      <c r="A57" s="46"/>
      <c r="B57" s="30" t="s">
        <v>605</v>
      </c>
      <c r="D57" s="284" t="s">
        <v>1086</v>
      </c>
      <c r="G57" s="35" t="s">
        <v>1089</v>
      </c>
      <c r="H57" s="35" t="s">
        <v>1086</v>
      </c>
      <c r="J57" s="58"/>
      <c r="K57" s="483"/>
      <c r="L57" s="484" t="s">
        <v>1120</v>
      </c>
      <c r="M57" s="485">
        <v>990001620</v>
      </c>
      <c r="N57" s="484"/>
      <c r="O57" s="484"/>
      <c r="P57" s="484"/>
      <c r="Q57" s="484"/>
      <c r="R57" s="484"/>
      <c r="S57" s="484"/>
      <c r="T57" s="484"/>
      <c r="U57" s="484"/>
      <c r="V57" s="484"/>
      <c r="W57" s="484"/>
      <c r="X57" s="484"/>
      <c r="Y57" s="484" t="s">
        <v>1117</v>
      </c>
      <c r="Z57" s="484"/>
      <c r="AA57" s="484" t="s">
        <v>368</v>
      </c>
      <c r="AB57" s="484" t="s">
        <v>931</v>
      </c>
      <c r="AC57" s="35" t="s">
        <v>10</v>
      </c>
      <c r="AD57" s="34" t="s">
        <v>931</v>
      </c>
      <c r="AE57" s="3" t="s">
        <v>464</v>
      </c>
      <c r="AF57" s="35" t="s">
        <v>369</v>
      </c>
      <c r="AG57" s="35" t="s">
        <v>10</v>
      </c>
      <c r="AH57" s="35" t="s">
        <v>10</v>
      </c>
      <c r="AI57" s="35" t="s">
        <v>10</v>
      </c>
      <c r="AJ57" s="35" t="s">
        <v>362</v>
      </c>
      <c r="AK57" s="35" t="s">
        <v>2374</v>
      </c>
      <c r="AL57" s="35" t="s">
        <v>2492</v>
      </c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</row>
    <row r="58" spans="1:63" s="35" customFormat="1" ht="15" customHeight="1">
      <c r="A58" s="46"/>
      <c r="B58" s="30" t="s">
        <v>605</v>
      </c>
      <c r="D58" s="284" t="s">
        <v>1086</v>
      </c>
      <c r="G58" s="35" t="s">
        <v>1089</v>
      </c>
      <c r="H58" s="35" t="s">
        <v>1086</v>
      </c>
      <c r="J58" s="58"/>
      <c r="K58" s="483"/>
      <c r="L58" s="484" t="s">
        <v>1120</v>
      </c>
      <c r="M58" s="485">
        <v>990003226</v>
      </c>
      <c r="N58" s="484"/>
      <c r="O58" s="484"/>
      <c r="P58" s="484"/>
      <c r="Q58" s="484"/>
      <c r="R58" s="484"/>
      <c r="S58" s="484"/>
      <c r="T58" s="484"/>
      <c r="U58" s="484"/>
      <c r="V58" s="484"/>
      <c r="W58" s="484"/>
      <c r="X58" s="484"/>
      <c r="Y58" s="484" t="s">
        <v>1117</v>
      </c>
      <c r="Z58" s="484"/>
      <c r="AA58" s="484" t="s">
        <v>541</v>
      </c>
      <c r="AB58" s="484" t="s">
        <v>933</v>
      </c>
      <c r="AC58" s="35" t="s">
        <v>10</v>
      </c>
      <c r="AD58" s="34" t="s">
        <v>933</v>
      </c>
      <c r="AE58" s="3" t="s">
        <v>984</v>
      </c>
      <c r="AF58" s="35" t="s">
        <v>613</v>
      </c>
      <c r="AG58" s="35" t="s">
        <v>10</v>
      </c>
      <c r="AH58" s="35" t="s">
        <v>10</v>
      </c>
      <c r="AI58" s="35" t="s">
        <v>10</v>
      </c>
      <c r="AJ58" s="35" t="s">
        <v>362</v>
      </c>
      <c r="AK58" s="35" t="s">
        <v>2374</v>
      </c>
      <c r="AL58" s="35" t="s">
        <v>2492</v>
      </c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</row>
    <row r="59" spans="1:63" s="35" customFormat="1" ht="15" customHeight="1">
      <c r="A59" s="46"/>
      <c r="B59" s="30" t="s">
        <v>605</v>
      </c>
      <c r="D59" s="284" t="s">
        <v>1086</v>
      </c>
      <c r="G59" s="35" t="s">
        <v>1089</v>
      </c>
      <c r="H59" s="35" t="s">
        <v>1086</v>
      </c>
      <c r="J59" s="58"/>
      <c r="K59" s="483"/>
      <c r="L59" s="484" t="s">
        <v>1120</v>
      </c>
      <c r="M59" s="485">
        <v>990003226</v>
      </c>
      <c r="N59" s="484"/>
      <c r="O59" s="484"/>
      <c r="P59" s="484"/>
      <c r="Q59" s="484"/>
      <c r="R59" s="484"/>
      <c r="S59" s="484"/>
      <c r="T59" s="484"/>
      <c r="U59" s="484"/>
      <c r="V59" s="484"/>
      <c r="W59" s="484"/>
      <c r="X59" s="484"/>
      <c r="Y59" s="484" t="s">
        <v>1117</v>
      </c>
      <c r="Z59" s="484"/>
      <c r="AA59" s="484" t="s">
        <v>541</v>
      </c>
      <c r="AB59" s="484" t="s">
        <v>1209</v>
      </c>
      <c r="AC59" s="35" t="s">
        <v>10</v>
      </c>
      <c r="AD59" s="34" t="s">
        <v>1209</v>
      </c>
      <c r="AE59" s="3" t="s">
        <v>1309</v>
      </c>
      <c r="AF59" s="35" t="s">
        <v>613</v>
      </c>
      <c r="AG59" s="35" t="s">
        <v>10</v>
      </c>
      <c r="AH59" s="35" t="s">
        <v>10</v>
      </c>
      <c r="AI59" s="35" t="s">
        <v>10</v>
      </c>
      <c r="AJ59" s="35" t="s">
        <v>362</v>
      </c>
      <c r="AK59" s="35" t="s">
        <v>2374</v>
      </c>
      <c r="AL59" s="35" t="s">
        <v>2492</v>
      </c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</row>
    <row r="60" spans="1:63" s="35" customFormat="1" ht="15" customHeight="1">
      <c r="A60" s="46"/>
      <c r="B60" s="30" t="s">
        <v>605</v>
      </c>
      <c r="D60" s="284" t="s">
        <v>1086</v>
      </c>
      <c r="G60" s="35" t="s">
        <v>1089</v>
      </c>
      <c r="H60" s="35" t="s">
        <v>1086</v>
      </c>
      <c r="J60" s="58"/>
      <c r="K60" s="483"/>
      <c r="L60" s="484" t="s">
        <v>1120</v>
      </c>
      <c r="M60" s="485">
        <v>990001620</v>
      </c>
      <c r="N60" s="484"/>
      <c r="O60" s="484"/>
      <c r="P60" s="484"/>
      <c r="Q60" s="484"/>
      <c r="R60" s="484"/>
      <c r="S60" s="484"/>
      <c r="T60" s="484"/>
      <c r="U60" s="484"/>
      <c r="V60" s="484"/>
      <c r="W60" s="484"/>
      <c r="X60" s="484"/>
      <c r="Y60" s="484" t="s">
        <v>1117</v>
      </c>
      <c r="Z60" s="484"/>
      <c r="AA60" s="484" t="s">
        <v>368</v>
      </c>
      <c r="AB60" s="484" t="s">
        <v>935</v>
      </c>
      <c r="AC60" s="35" t="s">
        <v>10</v>
      </c>
      <c r="AD60" s="34" t="s">
        <v>935</v>
      </c>
      <c r="AE60" s="3" t="s">
        <v>1936</v>
      </c>
      <c r="AF60" s="35" t="s">
        <v>369</v>
      </c>
      <c r="AG60" s="35" t="s">
        <v>10</v>
      </c>
      <c r="AH60" s="35" t="s">
        <v>10</v>
      </c>
      <c r="AI60" s="35" t="s">
        <v>10</v>
      </c>
      <c r="AJ60" s="35" t="s">
        <v>362</v>
      </c>
      <c r="AK60" s="35" t="s">
        <v>2374</v>
      </c>
      <c r="AL60" s="35" t="s">
        <v>2492</v>
      </c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</row>
    <row r="61" spans="1:63" s="35" customFormat="1" ht="15" customHeight="1">
      <c r="A61" s="46"/>
      <c r="B61" s="30" t="s">
        <v>605</v>
      </c>
      <c r="D61" s="284" t="s">
        <v>1086</v>
      </c>
      <c r="G61" s="35" t="s">
        <v>1089</v>
      </c>
      <c r="H61" s="35" t="s">
        <v>1086</v>
      </c>
      <c r="J61" s="58"/>
      <c r="K61" s="483"/>
      <c r="L61" s="484" t="s">
        <v>1120</v>
      </c>
      <c r="M61" s="485">
        <v>990001620</v>
      </c>
      <c r="N61" s="484"/>
      <c r="O61" s="484"/>
      <c r="P61" s="484"/>
      <c r="Q61" s="484"/>
      <c r="R61" s="484"/>
      <c r="S61" s="484"/>
      <c r="T61" s="484"/>
      <c r="U61" s="484"/>
      <c r="V61" s="484"/>
      <c r="W61" s="484"/>
      <c r="X61" s="484"/>
      <c r="Y61" s="484" t="s">
        <v>1117</v>
      </c>
      <c r="Z61" s="484"/>
      <c r="AA61" s="484" t="s">
        <v>368</v>
      </c>
      <c r="AB61" s="484" t="s">
        <v>936</v>
      </c>
      <c r="AC61" s="35" t="s">
        <v>10</v>
      </c>
      <c r="AD61" s="34" t="s">
        <v>936</v>
      </c>
      <c r="AE61" s="3" t="s">
        <v>1925</v>
      </c>
      <c r="AF61" s="35" t="s">
        <v>369</v>
      </c>
      <c r="AG61" s="35" t="s">
        <v>10</v>
      </c>
      <c r="AH61" s="35" t="s">
        <v>10</v>
      </c>
      <c r="AI61" s="35" t="s">
        <v>10</v>
      </c>
      <c r="AJ61" s="35" t="s">
        <v>362</v>
      </c>
      <c r="AK61" s="35" t="s">
        <v>2374</v>
      </c>
      <c r="AL61" s="35" t="s">
        <v>2492</v>
      </c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</row>
    <row r="62" spans="1:63" s="35" customFormat="1" ht="15" customHeight="1">
      <c r="A62" s="46"/>
      <c r="B62" s="30" t="s">
        <v>605</v>
      </c>
      <c r="D62" s="284" t="s">
        <v>1086</v>
      </c>
      <c r="G62" s="35" t="s">
        <v>1089</v>
      </c>
      <c r="H62" s="35" t="s">
        <v>1086</v>
      </c>
      <c r="J62" s="58"/>
      <c r="K62" s="483"/>
      <c r="L62" s="484" t="s">
        <v>1120</v>
      </c>
      <c r="M62" s="485">
        <v>990003226</v>
      </c>
      <c r="N62" s="484"/>
      <c r="O62" s="484"/>
      <c r="P62" s="484"/>
      <c r="Q62" s="484"/>
      <c r="R62" s="484"/>
      <c r="S62" s="484"/>
      <c r="T62" s="484"/>
      <c r="U62" s="484"/>
      <c r="V62" s="484"/>
      <c r="W62" s="484"/>
      <c r="X62" s="484"/>
      <c r="Y62" s="484" t="s">
        <v>1117</v>
      </c>
      <c r="Z62" s="484"/>
      <c r="AA62" s="484" t="s">
        <v>541</v>
      </c>
      <c r="AB62" s="484" t="s">
        <v>1193</v>
      </c>
      <c r="AC62" s="35" t="s">
        <v>10</v>
      </c>
      <c r="AD62" s="34" t="s">
        <v>1193</v>
      </c>
      <c r="AE62" s="3" t="s">
        <v>1257</v>
      </c>
      <c r="AF62" s="35" t="s">
        <v>613</v>
      </c>
      <c r="AG62" s="35" t="s">
        <v>10</v>
      </c>
      <c r="AH62" s="35" t="s">
        <v>10</v>
      </c>
      <c r="AI62" s="35" t="s">
        <v>10</v>
      </c>
      <c r="AJ62" s="35" t="s">
        <v>362</v>
      </c>
      <c r="AK62" s="35" t="s">
        <v>2374</v>
      </c>
      <c r="AL62" s="35" t="s">
        <v>2492</v>
      </c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</row>
    <row r="63" spans="1:63" s="186" customFormat="1" ht="15" customHeight="1">
      <c r="A63" s="190"/>
      <c r="B63" s="187" t="s">
        <v>605</v>
      </c>
      <c r="D63" s="413" t="s">
        <v>1086</v>
      </c>
      <c r="G63" s="484" t="s">
        <v>1089</v>
      </c>
      <c r="H63" s="484" t="s">
        <v>1086</v>
      </c>
      <c r="J63" s="188"/>
      <c r="K63" s="483"/>
      <c r="L63" s="484" t="s">
        <v>1120</v>
      </c>
      <c r="M63" s="485">
        <v>990000862</v>
      </c>
      <c r="N63" s="484"/>
      <c r="O63" s="484"/>
      <c r="P63" s="484"/>
      <c r="Q63" s="484"/>
      <c r="R63" s="484"/>
      <c r="S63" s="484"/>
      <c r="T63" s="484"/>
      <c r="U63" s="484"/>
      <c r="V63" s="484"/>
      <c r="W63" s="484"/>
      <c r="X63" s="484"/>
      <c r="Y63" s="484" t="s">
        <v>1117</v>
      </c>
      <c r="Z63" s="484"/>
      <c r="AA63" s="484" t="s">
        <v>509</v>
      </c>
      <c r="AB63" s="484" t="s">
        <v>937</v>
      </c>
      <c r="AC63" s="186" t="s">
        <v>10</v>
      </c>
      <c r="AD63" s="257" t="s">
        <v>937</v>
      </c>
      <c r="AE63" s="484" t="s">
        <v>2110</v>
      </c>
      <c r="AF63" s="484" t="s">
        <v>510</v>
      </c>
      <c r="AG63" s="484" t="s">
        <v>10</v>
      </c>
      <c r="AH63" s="484" t="s">
        <v>10</v>
      </c>
      <c r="AI63" s="484" t="s">
        <v>10</v>
      </c>
      <c r="AJ63" s="484" t="s">
        <v>362</v>
      </c>
      <c r="AK63" s="484" t="s">
        <v>2374</v>
      </c>
      <c r="AL63" s="484" t="s">
        <v>2492</v>
      </c>
      <c r="AS63" s="187"/>
      <c r="AT63" s="187"/>
      <c r="AU63" s="187"/>
      <c r="AV63" s="187"/>
      <c r="AW63" s="187"/>
      <c r="AX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</row>
    <row r="64" spans="1:63" s="186" customFormat="1" ht="15" customHeight="1">
      <c r="A64" s="190"/>
      <c r="B64" s="187" t="s">
        <v>605</v>
      </c>
      <c r="D64" s="413" t="s">
        <v>1086</v>
      </c>
      <c r="G64" s="484" t="s">
        <v>1089</v>
      </c>
      <c r="H64" s="484" t="s">
        <v>1086</v>
      </c>
      <c r="J64" s="188"/>
      <c r="K64" s="483"/>
      <c r="L64" s="484" t="s">
        <v>1120</v>
      </c>
      <c r="M64" s="485">
        <v>990000862</v>
      </c>
      <c r="N64" s="484"/>
      <c r="O64" s="484"/>
      <c r="P64" s="484"/>
      <c r="Q64" s="484"/>
      <c r="R64" s="484"/>
      <c r="S64" s="484"/>
      <c r="T64" s="484"/>
      <c r="U64" s="484"/>
      <c r="V64" s="484"/>
      <c r="W64" s="484"/>
      <c r="X64" s="484"/>
      <c r="Y64" s="484" t="s">
        <v>1117</v>
      </c>
      <c r="Z64" s="484"/>
      <c r="AA64" s="484" t="s">
        <v>509</v>
      </c>
      <c r="AB64" s="484" t="s">
        <v>941</v>
      </c>
      <c r="AC64" s="186" t="s">
        <v>10</v>
      </c>
      <c r="AD64" s="257" t="s">
        <v>941</v>
      </c>
      <c r="AE64" s="484" t="s">
        <v>2111</v>
      </c>
      <c r="AF64" s="484" t="s">
        <v>510</v>
      </c>
      <c r="AG64" s="484" t="s">
        <v>10</v>
      </c>
      <c r="AH64" s="484" t="s">
        <v>10</v>
      </c>
      <c r="AI64" s="484" t="s">
        <v>10</v>
      </c>
      <c r="AJ64" s="484" t="s">
        <v>362</v>
      </c>
      <c r="AK64" s="484" t="s">
        <v>2374</v>
      </c>
      <c r="AL64" s="484" t="s">
        <v>2492</v>
      </c>
      <c r="AS64" s="187"/>
      <c r="AT64" s="187"/>
      <c r="AU64" s="187"/>
      <c r="AV64" s="187"/>
      <c r="AW64" s="187"/>
      <c r="AX64" s="187"/>
      <c r="AY64" s="187"/>
      <c r="AZ64" s="187"/>
      <c r="BA64" s="187"/>
      <c r="BB64" s="187"/>
      <c r="BC64" s="187"/>
      <c r="BD64" s="187"/>
      <c r="BE64" s="187"/>
      <c r="BF64" s="187"/>
      <c r="BG64" s="187"/>
      <c r="BH64" s="187"/>
      <c r="BI64" s="187"/>
      <c r="BJ64" s="187"/>
      <c r="BK64" s="187"/>
    </row>
    <row r="65" spans="1:63" s="35" customFormat="1" ht="15" customHeight="1">
      <c r="A65" s="46"/>
      <c r="B65" s="30" t="s">
        <v>605</v>
      </c>
      <c r="D65" s="284" t="s">
        <v>1086</v>
      </c>
      <c r="G65" s="484" t="s">
        <v>1089</v>
      </c>
      <c r="H65" s="484" t="s">
        <v>1086</v>
      </c>
      <c r="J65" s="58"/>
      <c r="K65" s="483"/>
      <c r="L65" s="484" t="s">
        <v>1120</v>
      </c>
      <c r="M65" s="485">
        <v>990002921</v>
      </c>
      <c r="N65" s="484"/>
      <c r="O65" s="484"/>
      <c r="P65" s="484"/>
      <c r="Q65" s="484"/>
      <c r="R65" s="484"/>
      <c r="S65" s="484"/>
      <c r="T65" s="484"/>
      <c r="U65" s="484"/>
      <c r="V65" s="484"/>
      <c r="W65" s="484"/>
      <c r="X65" s="484"/>
      <c r="Y65" s="484" t="s">
        <v>1117</v>
      </c>
      <c r="Z65" s="484"/>
      <c r="AA65" s="484" t="s">
        <v>1208</v>
      </c>
      <c r="AB65" s="484" t="s">
        <v>1210</v>
      </c>
      <c r="AC65" s="35" t="s">
        <v>10</v>
      </c>
      <c r="AD65" s="257" t="s">
        <v>1210</v>
      </c>
      <c r="AE65" s="484" t="s">
        <v>1748</v>
      </c>
      <c r="AF65" s="484" t="s">
        <v>1207</v>
      </c>
      <c r="AG65" s="484" t="s">
        <v>10</v>
      </c>
      <c r="AH65" s="484" t="s">
        <v>10</v>
      </c>
      <c r="AI65" s="484" t="s">
        <v>10</v>
      </c>
      <c r="AJ65" s="484" t="s">
        <v>362</v>
      </c>
      <c r="AK65" s="484" t="s">
        <v>2374</v>
      </c>
      <c r="AL65" s="484" t="s">
        <v>2492</v>
      </c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</row>
    <row r="66" spans="1:63" s="35" customFormat="1" ht="15" customHeight="1">
      <c r="A66" s="46"/>
      <c r="B66" s="30" t="s">
        <v>605</v>
      </c>
      <c r="D66" s="284" t="s">
        <v>1086</v>
      </c>
      <c r="G66" s="484" t="s">
        <v>1089</v>
      </c>
      <c r="H66" s="484" t="s">
        <v>1086</v>
      </c>
      <c r="J66" s="58"/>
      <c r="K66" s="483"/>
      <c r="L66" s="484" t="s">
        <v>1120</v>
      </c>
      <c r="M66" s="485">
        <v>990003306</v>
      </c>
      <c r="N66" s="484"/>
      <c r="O66" s="484"/>
      <c r="P66" s="484"/>
      <c r="Q66" s="484"/>
      <c r="R66" s="484"/>
      <c r="S66" s="484"/>
      <c r="T66" s="484"/>
      <c r="U66" s="484"/>
      <c r="V66" s="484"/>
      <c r="W66" s="484"/>
      <c r="X66" s="484"/>
      <c r="Y66" s="484" t="s">
        <v>1117</v>
      </c>
      <c r="Z66" s="484"/>
      <c r="AA66" s="484" t="s">
        <v>1197</v>
      </c>
      <c r="AB66" s="484" t="s">
        <v>2429</v>
      </c>
      <c r="AC66" s="35" t="s">
        <v>10</v>
      </c>
      <c r="AD66" s="257" t="s">
        <v>2429</v>
      </c>
      <c r="AE66" s="484" t="s">
        <v>2430</v>
      </c>
      <c r="AF66" s="484" t="s">
        <v>1195</v>
      </c>
      <c r="AG66" s="484" t="s">
        <v>10</v>
      </c>
      <c r="AH66" s="484" t="s">
        <v>10</v>
      </c>
      <c r="AI66" s="484" t="s">
        <v>10</v>
      </c>
      <c r="AJ66" s="484" t="s">
        <v>362</v>
      </c>
      <c r="AK66" s="484" t="s">
        <v>2374</v>
      </c>
      <c r="AL66" s="484" t="s">
        <v>2492</v>
      </c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</row>
    <row r="67" spans="1:63" s="186" customFormat="1" ht="15" customHeight="1">
      <c r="A67" s="190"/>
      <c r="B67" s="187" t="s">
        <v>605</v>
      </c>
      <c r="D67" s="413" t="s">
        <v>1086</v>
      </c>
      <c r="G67" s="484" t="s">
        <v>1089</v>
      </c>
      <c r="H67" s="484" t="s">
        <v>1086</v>
      </c>
      <c r="J67" s="188"/>
      <c r="K67" s="483"/>
      <c r="L67" s="484" t="s">
        <v>1120</v>
      </c>
      <c r="M67" s="485">
        <v>990000862</v>
      </c>
      <c r="N67" s="484"/>
      <c r="O67" s="484"/>
      <c r="P67" s="484"/>
      <c r="Q67" s="484"/>
      <c r="R67" s="484"/>
      <c r="S67" s="484"/>
      <c r="T67" s="484"/>
      <c r="U67" s="484"/>
      <c r="V67" s="484"/>
      <c r="W67" s="484"/>
      <c r="X67" s="484"/>
      <c r="Y67" s="484" t="s">
        <v>1117</v>
      </c>
      <c r="Z67" s="484"/>
      <c r="AA67" s="484" t="s">
        <v>509</v>
      </c>
      <c r="AB67" s="484" t="s">
        <v>942</v>
      </c>
      <c r="AC67" s="186" t="s">
        <v>10</v>
      </c>
      <c r="AD67" s="257" t="s">
        <v>942</v>
      </c>
      <c r="AE67" s="484" t="s">
        <v>2112</v>
      </c>
      <c r="AF67" s="484" t="s">
        <v>510</v>
      </c>
      <c r="AG67" s="484" t="s">
        <v>10</v>
      </c>
      <c r="AH67" s="484" t="s">
        <v>10</v>
      </c>
      <c r="AI67" s="484" t="s">
        <v>10</v>
      </c>
      <c r="AJ67" s="484" t="s">
        <v>362</v>
      </c>
      <c r="AK67" s="484" t="s">
        <v>2374</v>
      </c>
      <c r="AL67" s="484" t="s">
        <v>2492</v>
      </c>
      <c r="AS67" s="187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  <c r="BI67" s="187"/>
      <c r="BJ67" s="187"/>
      <c r="BK67" s="187"/>
    </row>
    <row r="68" spans="1:63" s="35" customFormat="1" ht="15" customHeight="1">
      <c r="A68" s="347"/>
      <c r="B68" s="30" t="s">
        <v>605</v>
      </c>
      <c r="D68" s="284" t="s">
        <v>1084</v>
      </c>
      <c r="G68" s="35" t="s">
        <v>1084</v>
      </c>
      <c r="I68" s="35" t="s">
        <v>550</v>
      </c>
      <c r="J68" s="58"/>
      <c r="K68" s="483"/>
      <c r="L68" s="484"/>
      <c r="M68" s="485">
        <v>990004983</v>
      </c>
      <c r="N68" s="484"/>
      <c r="O68" s="484"/>
      <c r="P68" s="484"/>
      <c r="Q68" s="484"/>
      <c r="R68" s="484"/>
      <c r="S68" s="484"/>
      <c r="T68" s="484"/>
      <c r="U68" s="484"/>
      <c r="V68" s="484"/>
      <c r="W68" s="484"/>
      <c r="X68" s="484"/>
      <c r="Y68" s="484" t="s">
        <v>1117</v>
      </c>
      <c r="Z68" s="484"/>
      <c r="AA68" s="484" t="s">
        <v>2416</v>
      </c>
      <c r="AB68" s="484" t="s">
        <v>512</v>
      </c>
      <c r="AC68" s="35" t="s">
        <v>10</v>
      </c>
      <c r="AD68" s="34" t="s">
        <v>512</v>
      </c>
      <c r="AE68" s="35" t="s">
        <v>1414</v>
      </c>
      <c r="AF68" s="35" t="s">
        <v>2475</v>
      </c>
      <c r="AG68" s="35" t="s">
        <v>10</v>
      </c>
      <c r="AH68" s="35" t="s">
        <v>2257</v>
      </c>
      <c r="AI68" s="35" t="s">
        <v>10</v>
      </c>
      <c r="AJ68" s="35" t="s">
        <v>362</v>
      </c>
      <c r="AK68" s="35" t="s">
        <v>2374</v>
      </c>
      <c r="AL68" s="35" t="s">
        <v>2492</v>
      </c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</row>
    <row r="69" spans="1:63" s="35" customFormat="1" ht="15" customHeight="1">
      <c r="A69" s="347"/>
      <c r="B69" s="30" t="s">
        <v>605</v>
      </c>
      <c r="D69" s="284" t="s">
        <v>1084</v>
      </c>
      <c r="G69" s="35" t="s">
        <v>1084</v>
      </c>
      <c r="I69" s="35" t="s">
        <v>550</v>
      </c>
      <c r="J69" s="58"/>
      <c r="K69" s="483"/>
      <c r="L69" s="484"/>
      <c r="M69" s="485">
        <v>990004982</v>
      </c>
      <c r="N69" s="484"/>
      <c r="O69" s="484"/>
      <c r="P69" s="484"/>
      <c r="Q69" s="484"/>
      <c r="R69" s="484"/>
      <c r="S69" s="484"/>
      <c r="T69" s="484"/>
      <c r="U69" s="484"/>
      <c r="V69" s="484"/>
      <c r="W69" s="484"/>
      <c r="X69" s="484"/>
      <c r="Y69" s="484" t="s">
        <v>1117</v>
      </c>
      <c r="Z69" s="484"/>
      <c r="AA69" s="484" t="s">
        <v>2417</v>
      </c>
      <c r="AB69" s="484" t="s">
        <v>504</v>
      </c>
      <c r="AC69" s="35" t="s">
        <v>10</v>
      </c>
      <c r="AD69" s="34" t="s">
        <v>504</v>
      </c>
      <c r="AE69" s="35" t="s">
        <v>1158</v>
      </c>
      <c r="AF69" s="35" t="s">
        <v>2476</v>
      </c>
      <c r="AG69" s="35" t="s">
        <v>10</v>
      </c>
      <c r="AH69" s="35" t="s">
        <v>2255</v>
      </c>
      <c r="AI69" s="35" t="s">
        <v>10</v>
      </c>
      <c r="AJ69" s="35" t="s">
        <v>362</v>
      </c>
      <c r="AK69" s="35" t="s">
        <v>2374</v>
      </c>
      <c r="AL69" s="35" t="s">
        <v>2492</v>
      </c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</row>
    <row r="70" spans="1:63" s="35" customFormat="1" ht="15" customHeight="1">
      <c r="A70" s="46"/>
      <c r="B70" s="30" t="s">
        <v>605</v>
      </c>
      <c r="D70" s="284" t="s">
        <v>1086</v>
      </c>
      <c r="G70" s="35" t="s">
        <v>1085</v>
      </c>
      <c r="J70" s="58"/>
      <c r="K70" s="486"/>
      <c r="L70" s="484"/>
      <c r="M70" s="486" t="s">
        <v>1302</v>
      </c>
      <c r="N70" s="484"/>
      <c r="O70" s="484"/>
      <c r="P70" s="484"/>
      <c r="Q70" s="484"/>
      <c r="R70" s="484"/>
      <c r="S70" s="484"/>
      <c r="T70" s="484"/>
      <c r="U70" s="484"/>
      <c r="V70" s="484"/>
      <c r="W70" s="484"/>
      <c r="X70" s="484"/>
      <c r="Y70" s="484" t="s">
        <v>1117</v>
      </c>
      <c r="Z70" s="484"/>
      <c r="AA70" s="484" t="s">
        <v>388</v>
      </c>
      <c r="AB70" s="484" t="s">
        <v>1319</v>
      </c>
      <c r="AC70" s="35" t="s">
        <v>424</v>
      </c>
      <c r="AD70" s="34" t="s">
        <v>1847</v>
      </c>
      <c r="AE70" s="35" t="s">
        <v>938</v>
      </c>
      <c r="AF70" s="35" t="s">
        <v>992</v>
      </c>
      <c r="AG70" s="35" t="s">
        <v>383</v>
      </c>
      <c r="AH70" s="35" t="s">
        <v>10</v>
      </c>
      <c r="AI70" s="35" t="s">
        <v>378</v>
      </c>
      <c r="AJ70" s="35" t="s">
        <v>362</v>
      </c>
      <c r="AK70" s="35" t="s">
        <v>2374</v>
      </c>
      <c r="AL70" s="35" t="s">
        <v>2492</v>
      </c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</row>
    <row r="71" spans="1:63" s="35" customFormat="1" ht="15" customHeight="1">
      <c r="A71" s="46"/>
      <c r="B71" s="30" t="s">
        <v>605</v>
      </c>
      <c r="D71" s="284" t="s">
        <v>1086</v>
      </c>
      <c r="G71" s="35" t="s">
        <v>1085</v>
      </c>
      <c r="J71" s="58"/>
      <c r="K71" s="486"/>
      <c r="L71" s="484"/>
      <c r="M71" s="486" t="s">
        <v>1302</v>
      </c>
      <c r="N71" s="484"/>
      <c r="O71" s="484"/>
      <c r="P71" s="484"/>
      <c r="Q71" s="484"/>
      <c r="R71" s="484"/>
      <c r="S71" s="484"/>
      <c r="T71" s="484"/>
      <c r="U71" s="484"/>
      <c r="V71" s="484"/>
      <c r="W71" s="484"/>
      <c r="X71" s="484"/>
      <c r="Y71" s="484" t="s">
        <v>1117</v>
      </c>
      <c r="Z71" s="484"/>
      <c r="AA71" s="484" t="s">
        <v>945</v>
      </c>
      <c r="AB71" s="484" t="s">
        <v>1318</v>
      </c>
      <c r="AC71" s="35" t="s">
        <v>424</v>
      </c>
      <c r="AD71" s="34" t="s">
        <v>1845</v>
      </c>
      <c r="AE71" s="35" t="s">
        <v>1088</v>
      </c>
      <c r="AF71" s="35" t="s">
        <v>946</v>
      </c>
      <c r="AG71" s="35" t="s">
        <v>383</v>
      </c>
      <c r="AH71" s="35" t="s">
        <v>10</v>
      </c>
      <c r="AI71" s="35" t="s">
        <v>382</v>
      </c>
      <c r="AJ71" s="35" t="s">
        <v>362</v>
      </c>
      <c r="AK71" s="35" t="s">
        <v>2374</v>
      </c>
      <c r="AL71" s="35" t="s">
        <v>10</v>
      </c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</row>
    <row r="72" spans="1:63" s="35" customFormat="1" ht="15" customHeight="1">
      <c r="A72" s="46"/>
      <c r="B72" s="30" t="s">
        <v>605</v>
      </c>
      <c r="D72" s="284" t="s">
        <v>1086</v>
      </c>
      <c r="G72" s="35" t="s">
        <v>1085</v>
      </c>
      <c r="J72" s="58"/>
      <c r="K72" s="486"/>
      <c r="L72" s="484"/>
      <c r="M72" s="486" t="s">
        <v>1302</v>
      </c>
      <c r="N72" s="484"/>
      <c r="O72" s="484"/>
      <c r="P72" s="484"/>
      <c r="Q72" s="484"/>
      <c r="R72" s="484"/>
      <c r="S72" s="484"/>
      <c r="T72" s="484"/>
      <c r="U72" s="484"/>
      <c r="V72" s="484"/>
      <c r="W72" s="484"/>
      <c r="X72" s="484"/>
      <c r="Y72" s="484" t="s">
        <v>1117</v>
      </c>
      <c r="Z72" s="484"/>
      <c r="AA72" s="484" t="s">
        <v>945</v>
      </c>
      <c r="AB72" s="484" t="s">
        <v>668</v>
      </c>
      <c r="AC72" s="35" t="s">
        <v>947</v>
      </c>
      <c r="AD72" s="178" t="s">
        <v>2266</v>
      </c>
      <c r="AE72" s="3" t="s">
        <v>1844</v>
      </c>
      <c r="AF72" s="35" t="s">
        <v>946</v>
      </c>
      <c r="AG72" s="35" t="s">
        <v>383</v>
      </c>
      <c r="AH72" s="35" t="s">
        <v>10</v>
      </c>
      <c r="AI72" s="35" t="s">
        <v>382</v>
      </c>
      <c r="AJ72" s="35" t="s">
        <v>362</v>
      </c>
      <c r="AK72" s="35" t="s">
        <v>2374</v>
      </c>
      <c r="AL72" s="35" t="s">
        <v>2492</v>
      </c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</row>
    <row r="73" spans="1:63" s="35" customFormat="1" ht="15" customHeight="1">
      <c r="A73" s="46"/>
      <c r="B73" s="30" t="s">
        <v>605</v>
      </c>
      <c r="D73" s="284" t="s">
        <v>1086</v>
      </c>
      <c r="G73" s="35" t="s">
        <v>1085</v>
      </c>
      <c r="J73" s="58"/>
      <c r="K73" s="486"/>
      <c r="L73" s="484"/>
      <c r="M73" s="486" t="s">
        <v>1302</v>
      </c>
      <c r="N73" s="484"/>
      <c r="O73" s="484"/>
      <c r="P73" s="484"/>
      <c r="Q73" s="484"/>
      <c r="R73" s="484"/>
      <c r="S73" s="484"/>
      <c r="T73" s="484"/>
      <c r="U73" s="484"/>
      <c r="V73" s="484"/>
      <c r="W73" s="484"/>
      <c r="X73" s="484"/>
      <c r="Y73" s="484" t="s">
        <v>1117</v>
      </c>
      <c r="Z73" s="484"/>
      <c r="AA73" s="484" t="s">
        <v>465</v>
      </c>
      <c r="AB73" s="484" t="s">
        <v>666</v>
      </c>
      <c r="AC73" s="35" t="s">
        <v>948</v>
      </c>
      <c r="AD73" s="34" t="s">
        <v>2265</v>
      </c>
      <c r="AE73" s="35" t="s">
        <v>1844</v>
      </c>
      <c r="AF73" s="35" t="s">
        <v>466</v>
      </c>
      <c r="AG73" s="35" t="s">
        <v>391</v>
      </c>
      <c r="AH73" s="35" t="s">
        <v>10</v>
      </c>
      <c r="AI73" s="35" t="s">
        <v>378</v>
      </c>
      <c r="AJ73" s="35" t="s">
        <v>362</v>
      </c>
      <c r="AK73" s="35" t="s">
        <v>2374</v>
      </c>
      <c r="AL73" s="35" t="s">
        <v>10</v>
      </c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</row>
    <row r="74" spans="1:63" s="35" customFormat="1" ht="15" customHeight="1">
      <c r="A74" s="46"/>
      <c r="B74" s="30" t="s">
        <v>605</v>
      </c>
      <c r="D74" s="284" t="s">
        <v>1086</v>
      </c>
      <c r="G74" s="35" t="s">
        <v>1089</v>
      </c>
      <c r="H74" s="35" t="s">
        <v>1086</v>
      </c>
      <c r="J74" s="58"/>
      <c r="K74" s="483"/>
      <c r="L74" s="484" t="s">
        <v>10</v>
      </c>
      <c r="M74" s="486">
        <v>990002320</v>
      </c>
      <c r="N74" s="484"/>
      <c r="O74" s="484"/>
      <c r="P74" s="484"/>
      <c r="Q74" s="484"/>
      <c r="R74" s="484"/>
      <c r="S74" s="484"/>
      <c r="T74" s="484"/>
      <c r="U74" s="484"/>
      <c r="V74" s="484"/>
      <c r="W74" s="484"/>
      <c r="X74" s="484"/>
      <c r="Y74" s="484" t="s">
        <v>1117</v>
      </c>
      <c r="Z74" s="484"/>
      <c r="AA74" s="484" t="s">
        <v>415</v>
      </c>
      <c r="AB74" s="484" t="s">
        <v>949</v>
      </c>
      <c r="AC74" s="35" t="s">
        <v>10</v>
      </c>
      <c r="AD74" s="34" t="s">
        <v>949</v>
      </c>
      <c r="AE74" s="3" t="s">
        <v>511</v>
      </c>
      <c r="AF74" s="35" t="s">
        <v>443</v>
      </c>
      <c r="AG74" s="35" t="s">
        <v>10</v>
      </c>
      <c r="AH74" s="35" t="s">
        <v>10</v>
      </c>
      <c r="AI74" s="35" t="s">
        <v>10</v>
      </c>
      <c r="AJ74" s="35" t="s">
        <v>362</v>
      </c>
      <c r="AK74" s="35" t="s">
        <v>2374</v>
      </c>
      <c r="AL74" s="35" t="s">
        <v>2492</v>
      </c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</row>
    <row r="75" spans="1:63" s="35" customFormat="1" ht="15" customHeight="1">
      <c r="A75" s="46"/>
      <c r="B75" s="30" t="s">
        <v>605</v>
      </c>
      <c r="D75" s="284" t="s">
        <v>1086</v>
      </c>
      <c r="G75" s="35" t="s">
        <v>1089</v>
      </c>
      <c r="H75" s="35" t="s">
        <v>1086</v>
      </c>
      <c r="J75" s="58"/>
      <c r="K75" s="39"/>
      <c r="L75" s="35" t="s">
        <v>10</v>
      </c>
      <c r="M75" s="58">
        <v>990002229</v>
      </c>
      <c r="Y75" s="35" t="s">
        <v>1117</v>
      </c>
      <c r="AA75" s="35" t="s">
        <v>1154</v>
      </c>
      <c r="AB75" s="35" t="s">
        <v>950</v>
      </c>
      <c r="AC75" s="35" t="s">
        <v>10</v>
      </c>
      <c r="AD75" s="34" t="s">
        <v>950</v>
      </c>
      <c r="AE75" s="3" t="s">
        <v>1499</v>
      </c>
      <c r="AF75" s="35" t="s">
        <v>1153</v>
      </c>
      <c r="AG75" s="35" t="s">
        <v>10</v>
      </c>
      <c r="AH75" s="35" t="s">
        <v>10</v>
      </c>
      <c r="AI75" s="35" t="s">
        <v>10</v>
      </c>
      <c r="AJ75" s="35" t="s">
        <v>362</v>
      </c>
      <c r="AK75" s="35" t="s">
        <v>2374</v>
      </c>
      <c r="AL75" s="35" t="s">
        <v>2492</v>
      </c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</row>
    <row r="76" spans="1:63" s="35" customFormat="1" ht="15" customHeight="1">
      <c r="A76" s="46"/>
      <c r="B76" s="30" t="s">
        <v>605</v>
      </c>
      <c r="D76" s="284" t="s">
        <v>1086</v>
      </c>
      <c r="G76" s="35" t="s">
        <v>1089</v>
      </c>
      <c r="H76" s="35" t="s">
        <v>1086</v>
      </c>
      <c r="J76" s="58"/>
      <c r="K76" s="39"/>
      <c r="L76" s="35" t="s">
        <v>10</v>
      </c>
      <c r="M76" s="58">
        <v>990001067</v>
      </c>
      <c r="Y76" s="35" t="s">
        <v>1117</v>
      </c>
      <c r="AA76" s="35" t="s">
        <v>928</v>
      </c>
      <c r="AB76" s="35" t="s">
        <v>951</v>
      </c>
      <c r="AC76" s="35" t="s">
        <v>10</v>
      </c>
      <c r="AD76" s="34" t="s">
        <v>951</v>
      </c>
      <c r="AE76" s="3" t="s">
        <v>2113</v>
      </c>
      <c r="AF76" s="35" t="s">
        <v>1155</v>
      </c>
      <c r="AG76" s="35" t="s">
        <v>10</v>
      </c>
      <c r="AH76" s="35" t="s">
        <v>10</v>
      </c>
      <c r="AI76" s="35" t="s">
        <v>10</v>
      </c>
      <c r="AJ76" s="35" t="s">
        <v>362</v>
      </c>
      <c r="AK76" s="35" t="s">
        <v>2374</v>
      </c>
      <c r="AL76" s="35" t="s">
        <v>2492</v>
      </c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</row>
    <row r="77" spans="1:63" s="35" customFormat="1" ht="15" customHeight="1">
      <c r="A77" s="46"/>
      <c r="B77" s="30" t="s">
        <v>605</v>
      </c>
      <c r="D77" s="284" t="s">
        <v>1086</v>
      </c>
      <c r="G77" s="35" t="s">
        <v>1089</v>
      </c>
      <c r="H77" s="35" t="s">
        <v>1086</v>
      </c>
      <c r="J77" s="58"/>
      <c r="K77" s="39"/>
      <c r="L77" s="35" t="s">
        <v>10</v>
      </c>
      <c r="M77" s="58">
        <v>990000695</v>
      </c>
      <c r="Y77" s="35" t="s">
        <v>1117</v>
      </c>
      <c r="AA77" s="35" t="s">
        <v>1161</v>
      </c>
      <c r="AB77" s="35" t="s">
        <v>952</v>
      </c>
      <c r="AC77" s="35" t="s">
        <v>10</v>
      </c>
      <c r="AD77" s="34" t="s">
        <v>952</v>
      </c>
      <c r="AE77" s="35" t="s">
        <v>1313</v>
      </c>
      <c r="AF77" s="35" t="s">
        <v>1160</v>
      </c>
      <c r="AG77" s="35" t="s">
        <v>10</v>
      </c>
      <c r="AH77" s="35" t="s">
        <v>10</v>
      </c>
      <c r="AI77" s="35" t="s">
        <v>10</v>
      </c>
      <c r="AJ77" s="35" t="s">
        <v>362</v>
      </c>
      <c r="AK77" s="35" t="s">
        <v>2374</v>
      </c>
      <c r="AL77" s="35" t="s">
        <v>2492</v>
      </c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</row>
    <row r="78" spans="1:63" s="35" customFormat="1" ht="15" customHeight="1">
      <c r="A78" s="46"/>
      <c r="B78" s="30" t="s">
        <v>605</v>
      </c>
      <c r="D78" s="284" t="s">
        <v>1086</v>
      </c>
      <c r="G78" s="35" t="s">
        <v>1089</v>
      </c>
      <c r="H78" s="35" t="s">
        <v>1086</v>
      </c>
      <c r="J78" s="58"/>
      <c r="K78" s="39"/>
      <c r="L78" s="35" t="s">
        <v>1120</v>
      </c>
      <c r="M78" s="58">
        <v>990001620</v>
      </c>
      <c r="Y78" s="35" t="s">
        <v>1117</v>
      </c>
      <c r="AA78" s="35" t="s">
        <v>368</v>
      </c>
      <c r="AB78" s="35" t="s">
        <v>953</v>
      </c>
      <c r="AC78" s="35" t="s">
        <v>10</v>
      </c>
      <c r="AD78" s="34" t="s">
        <v>953</v>
      </c>
      <c r="AE78" s="3" t="s">
        <v>514</v>
      </c>
      <c r="AF78" s="35" t="s">
        <v>369</v>
      </c>
      <c r="AG78" s="35" t="s">
        <v>10</v>
      </c>
      <c r="AH78" s="35" t="s">
        <v>10</v>
      </c>
      <c r="AI78" s="35" t="s">
        <v>10</v>
      </c>
      <c r="AJ78" s="35" t="s">
        <v>362</v>
      </c>
      <c r="AK78" s="35" t="s">
        <v>2374</v>
      </c>
      <c r="AL78" s="35" t="s">
        <v>2492</v>
      </c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</row>
    <row r="79" spans="1:63" s="35" customFormat="1" ht="15" customHeight="1">
      <c r="A79" s="46"/>
      <c r="B79" s="30" t="s">
        <v>605</v>
      </c>
      <c r="D79" s="284" t="s">
        <v>1086</v>
      </c>
      <c r="G79" s="35" t="s">
        <v>1089</v>
      </c>
      <c r="H79" s="35" t="s">
        <v>1086</v>
      </c>
      <c r="J79" s="58"/>
      <c r="K79" s="39"/>
      <c r="L79" s="35" t="s">
        <v>10</v>
      </c>
      <c r="M79" s="58">
        <v>990002320</v>
      </c>
      <c r="Y79" s="35" t="s">
        <v>1117</v>
      </c>
      <c r="AA79" s="35" t="s">
        <v>415</v>
      </c>
      <c r="AB79" s="35" t="s">
        <v>1201</v>
      </c>
      <c r="AC79" s="35" t="s">
        <v>10</v>
      </c>
      <c r="AD79" s="34" t="s">
        <v>1201</v>
      </c>
      <c r="AE79" s="3" t="s">
        <v>536</v>
      </c>
      <c r="AF79" s="35" t="s">
        <v>443</v>
      </c>
      <c r="AG79" s="35" t="s">
        <v>10</v>
      </c>
      <c r="AH79" s="35" t="s">
        <v>10</v>
      </c>
      <c r="AI79" s="35" t="s">
        <v>10</v>
      </c>
      <c r="AJ79" s="35" t="s">
        <v>362</v>
      </c>
      <c r="AK79" s="35" t="s">
        <v>2374</v>
      </c>
      <c r="AL79" s="35" t="s">
        <v>2492</v>
      </c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</row>
    <row r="80" spans="1:63" s="35" customFormat="1" ht="15" customHeight="1">
      <c r="A80" s="46"/>
      <c r="B80" s="30" t="s">
        <v>605</v>
      </c>
      <c r="D80" s="284" t="s">
        <v>1086</v>
      </c>
      <c r="G80" s="35" t="s">
        <v>1089</v>
      </c>
      <c r="H80" s="35" t="s">
        <v>1086</v>
      </c>
      <c r="J80" s="58"/>
      <c r="K80" s="39"/>
      <c r="L80" s="35" t="s">
        <v>10</v>
      </c>
      <c r="M80" s="58">
        <v>990002320</v>
      </c>
      <c r="Y80" s="35" t="s">
        <v>1117</v>
      </c>
      <c r="AA80" s="35" t="s">
        <v>415</v>
      </c>
      <c r="AB80" s="35" t="s">
        <v>1202</v>
      </c>
      <c r="AC80" s="35" t="s">
        <v>10</v>
      </c>
      <c r="AD80" s="34" t="s">
        <v>1202</v>
      </c>
      <c r="AE80" s="3" t="s">
        <v>499</v>
      </c>
      <c r="AF80" s="35" t="s">
        <v>443</v>
      </c>
      <c r="AG80" s="35" t="s">
        <v>10</v>
      </c>
      <c r="AH80" s="35" t="s">
        <v>10</v>
      </c>
      <c r="AI80" s="35" t="s">
        <v>10</v>
      </c>
      <c r="AJ80" s="35" t="s">
        <v>362</v>
      </c>
      <c r="AK80" s="35" t="s">
        <v>2374</v>
      </c>
      <c r="AL80" s="35" t="s">
        <v>2492</v>
      </c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</row>
    <row r="81" spans="1:64" s="35" customFormat="1" ht="15" customHeight="1">
      <c r="A81" s="46"/>
      <c r="B81" s="30" t="s">
        <v>605</v>
      </c>
      <c r="D81" s="284" t="s">
        <v>1086</v>
      </c>
      <c r="G81" s="35" t="s">
        <v>1089</v>
      </c>
      <c r="H81" s="35" t="s">
        <v>1086</v>
      </c>
      <c r="J81" s="58"/>
      <c r="K81" s="39"/>
      <c r="L81" s="35" t="s">
        <v>10</v>
      </c>
      <c r="M81" s="58">
        <v>990002320</v>
      </c>
      <c r="Y81" s="35" t="s">
        <v>1117</v>
      </c>
      <c r="AA81" s="35" t="s">
        <v>415</v>
      </c>
      <c r="AB81" s="35" t="s">
        <v>1203</v>
      </c>
      <c r="AC81" s="35" t="s">
        <v>10</v>
      </c>
      <c r="AD81" s="34" t="s">
        <v>1203</v>
      </c>
      <c r="AE81" s="3" t="s">
        <v>499</v>
      </c>
      <c r="AF81" s="35" t="s">
        <v>443</v>
      </c>
      <c r="AG81" s="35" t="s">
        <v>10</v>
      </c>
      <c r="AH81" s="35" t="s">
        <v>10</v>
      </c>
      <c r="AI81" s="35" t="s">
        <v>10</v>
      </c>
      <c r="AJ81" s="35" t="s">
        <v>362</v>
      </c>
      <c r="AK81" s="35" t="s">
        <v>2374</v>
      </c>
      <c r="AL81" s="35" t="s">
        <v>2492</v>
      </c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</row>
    <row r="82" spans="1:64" s="35" customFormat="1" ht="15" customHeight="1">
      <c r="A82" s="46"/>
      <c r="B82" s="30" t="s">
        <v>605</v>
      </c>
      <c r="D82" s="284" t="s">
        <v>1086</v>
      </c>
      <c r="G82" s="35" t="s">
        <v>1085</v>
      </c>
      <c r="J82" s="58"/>
      <c r="K82" s="39"/>
      <c r="M82" s="58">
        <v>920005955</v>
      </c>
      <c r="Y82" s="35" t="s">
        <v>1117</v>
      </c>
      <c r="AA82" s="39" t="s">
        <v>877</v>
      </c>
      <c r="AB82" s="39" t="s">
        <v>648</v>
      </c>
      <c r="AC82" s="39" t="s">
        <v>424</v>
      </c>
      <c r="AD82" s="178" t="s">
        <v>1796</v>
      </c>
      <c r="AE82" s="3" t="s">
        <v>1613</v>
      </c>
      <c r="AF82" s="39" t="s">
        <v>1072</v>
      </c>
      <c r="AG82" s="39" t="s">
        <v>385</v>
      </c>
      <c r="AH82" s="39" t="s">
        <v>10</v>
      </c>
      <c r="AI82" s="39" t="s">
        <v>365</v>
      </c>
      <c r="AJ82" s="39" t="s">
        <v>362</v>
      </c>
      <c r="AK82" s="35" t="s">
        <v>2374</v>
      </c>
      <c r="AL82" s="35" t="s">
        <v>2492</v>
      </c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</row>
    <row r="83" spans="1:64" s="35" customFormat="1" ht="15" customHeight="1">
      <c r="A83" s="46"/>
      <c r="B83" s="30" t="s">
        <v>605</v>
      </c>
      <c r="D83" s="284" t="s">
        <v>1086</v>
      </c>
      <c r="G83" s="35" t="s">
        <v>1085</v>
      </c>
      <c r="J83" s="58"/>
      <c r="K83" s="39"/>
      <c r="M83" s="58">
        <v>920004806</v>
      </c>
      <c r="Y83" s="35" t="s">
        <v>1117</v>
      </c>
      <c r="AA83" s="39" t="s">
        <v>919</v>
      </c>
      <c r="AB83" s="39" t="s">
        <v>672</v>
      </c>
      <c r="AC83" s="39" t="s">
        <v>920</v>
      </c>
      <c r="AD83" s="178" t="s">
        <v>2259</v>
      </c>
      <c r="AE83" s="3" t="s">
        <v>1768</v>
      </c>
      <c r="AF83" s="39" t="s">
        <v>922</v>
      </c>
      <c r="AG83" s="39" t="s">
        <v>10</v>
      </c>
      <c r="AH83" s="39" t="s">
        <v>10</v>
      </c>
      <c r="AI83" s="39" t="s">
        <v>392</v>
      </c>
      <c r="AJ83" s="39" t="s">
        <v>362</v>
      </c>
      <c r="AK83" s="35" t="s">
        <v>2374</v>
      </c>
      <c r="AL83" s="35" t="s">
        <v>2492</v>
      </c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</row>
    <row r="84" spans="1:64" s="35" customFormat="1" ht="15" customHeight="1">
      <c r="A84" s="46"/>
      <c r="B84" s="30" t="s">
        <v>605</v>
      </c>
      <c r="D84" s="284" t="s">
        <v>1086</v>
      </c>
      <c r="G84" s="35" t="s">
        <v>1089</v>
      </c>
      <c r="H84" s="35" t="s">
        <v>1086</v>
      </c>
      <c r="J84" s="58"/>
      <c r="K84" s="39"/>
      <c r="L84" s="35" t="s">
        <v>2549</v>
      </c>
      <c r="M84" s="58">
        <v>990001987</v>
      </c>
      <c r="Y84" s="35" t="s">
        <v>1117</v>
      </c>
      <c r="AA84" s="35" t="s">
        <v>368</v>
      </c>
      <c r="AB84" s="35" t="s">
        <v>956</v>
      </c>
      <c r="AC84" s="35" t="s">
        <v>10</v>
      </c>
      <c r="AD84" s="34" t="s">
        <v>956</v>
      </c>
      <c r="AE84" s="3" t="s">
        <v>350</v>
      </c>
      <c r="AF84" s="35" t="s">
        <v>957</v>
      </c>
      <c r="AG84" s="35" t="s">
        <v>10</v>
      </c>
      <c r="AH84" s="35" t="s">
        <v>10</v>
      </c>
      <c r="AI84" s="35" t="s">
        <v>10</v>
      </c>
      <c r="AJ84" s="35" t="s">
        <v>362</v>
      </c>
      <c r="AK84" s="35" t="s">
        <v>2374</v>
      </c>
      <c r="AL84" s="35" t="s">
        <v>2492</v>
      </c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</row>
    <row r="85" spans="1:64" s="35" customFormat="1" ht="15" customHeight="1">
      <c r="A85" s="46"/>
      <c r="B85" s="30" t="s">
        <v>605</v>
      </c>
      <c r="D85" s="284" t="s">
        <v>1086</v>
      </c>
      <c r="G85" s="35" t="s">
        <v>1085</v>
      </c>
      <c r="H85" s="35" t="s">
        <v>1086</v>
      </c>
      <c r="J85" s="58"/>
      <c r="K85" s="39"/>
      <c r="L85" s="35" t="s">
        <v>10</v>
      </c>
      <c r="M85" s="77">
        <v>990002938</v>
      </c>
      <c r="Y85" s="35" t="s">
        <v>1117</v>
      </c>
      <c r="AA85" s="39" t="s">
        <v>1208</v>
      </c>
      <c r="AB85" s="39" t="s">
        <v>1163</v>
      </c>
      <c r="AC85" s="39" t="s">
        <v>10</v>
      </c>
      <c r="AD85" s="256" t="s">
        <v>1163</v>
      </c>
      <c r="AE85" s="3" t="s">
        <v>1257</v>
      </c>
      <c r="AF85" s="39" t="s">
        <v>1304</v>
      </c>
      <c r="AG85" s="39" t="s">
        <v>10</v>
      </c>
      <c r="AH85" s="39" t="s">
        <v>10</v>
      </c>
      <c r="AI85" s="39" t="s">
        <v>10</v>
      </c>
      <c r="AJ85" s="39" t="s">
        <v>362</v>
      </c>
      <c r="AK85" s="35" t="s">
        <v>2374</v>
      </c>
      <c r="AL85" s="35" t="s">
        <v>2492</v>
      </c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</row>
    <row r="86" spans="1:64" s="35" customFormat="1" ht="15" customHeight="1">
      <c r="A86" s="46"/>
      <c r="B86" s="30" t="s">
        <v>605</v>
      </c>
      <c r="D86" s="284" t="s">
        <v>1086</v>
      </c>
      <c r="G86" s="35" t="s">
        <v>1085</v>
      </c>
      <c r="H86" s="35" t="s">
        <v>1086</v>
      </c>
      <c r="J86" s="58"/>
      <c r="K86" s="39"/>
      <c r="L86" s="35" t="s">
        <v>10</v>
      </c>
      <c r="M86" s="77">
        <v>990002229</v>
      </c>
      <c r="Y86" s="35" t="s">
        <v>1117</v>
      </c>
      <c r="AA86" s="39" t="s">
        <v>1154</v>
      </c>
      <c r="AB86" s="39" t="s">
        <v>1162</v>
      </c>
      <c r="AC86" s="39" t="s">
        <v>10</v>
      </c>
      <c r="AD86" s="256" t="s">
        <v>1162</v>
      </c>
      <c r="AE86" s="3" t="s">
        <v>2114</v>
      </c>
      <c r="AF86" s="39" t="s">
        <v>1153</v>
      </c>
      <c r="AG86" s="39" t="s">
        <v>10</v>
      </c>
      <c r="AH86" s="39" t="s">
        <v>10</v>
      </c>
      <c r="AI86" s="39" t="s">
        <v>10</v>
      </c>
      <c r="AJ86" s="39" t="s">
        <v>362</v>
      </c>
      <c r="AK86" s="35" t="s">
        <v>2374</v>
      </c>
      <c r="AL86" s="35" t="s">
        <v>2492</v>
      </c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</row>
    <row r="87" spans="1:64" s="35" customFormat="1" ht="15" customHeight="1">
      <c r="A87" s="46"/>
      <c r="B87" s="30" t="s">
        <v>605</v>
      </c>
      <c r="D87" s="284" t="s">
        <v>1086</v>
      </c>
      <c r="G87" s="35" t="s">
        <v>1085</v>
      </c>
      <c r="H87" s="35" t="s">
        <v>1086</v>
      </c>
      <c r="J87" s="58"/>
      <c r="K87" s="39"/>
      <c r="L87" s="35" t="s">
        <v>10</v>
      </c>
      <c r="M87" s="77">
        <v>990001898</v>
      </c>
      <c r="Y87" s="35" t="s">
        <v>1117</v>
      </c>
      <c r="AA87" s="35" t="s">
        <v>1161</v>
      </c>
      <c r="AB87" s="39" t="s">
        <v>1164</v>
      </c>
      <c r="AC87" s="39" t="s">
        <v>10</v>
      </c>
      <c r="AD87" s="256" t="s">
        <v>1164</v>
      </c>
      <c r="AE87" s="3" t="s">
        <v>518</v>
      </c>
      <c r="AF87" s="39" t="s">
        <v>1212</v>
      </c>
      <c r="AG87" s="39" t="s">
        <v>10</v>
      </c>
      <c r="AH87" s="39" t="s">
        <v>10</v>
      </c>
      <c r="AI87" s="39" t="s">
        <v>10</v>
      </c>
      <c r="AJ87" s="39" t="s">
        <v>362</v>
      </c>
      <c r="AK87" s="35" t="s">
        <v>2374</v>
      </c>
      <c r="AL87" s="35" t="s">
        <v>2492</v>
      </c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</row>
    <row r="88" spans="1:64" s="35" customFormat="1" ht="15" customHeight="1">
      <c r="A88" s="46"/>
      <c r="B88" s="30" t="s">
        <v>605</v>
      </c>
      <c r="D88" s="284" t="s">
        <v>1086</v>
      </c>
      <c r="G88" s="35" t="s">
        <v>1085</v>
      </c>
      <c r="H88" s="35" t="s">
        <v>1086</v>
      </c>
      <c r="J88" s="58"/>
      <c r="K88" s="39"/>
      <c r="L88" s="35" t="s">
        <v>1120</v>
      </c>
      <c r="M88" s="77">
        <v>990002312</v>
      </c>
      <c r="Y88" s="35" t="s">
        <v>1117</v>
      </c>
      <c r="AA88" s="39" t="s">
        <v>940</v>
      </c>
      <c r="AB88" s="39" t="s">
        <v>1165</v>
      </c>
      <c r="AC88" s="39" t="s">
        <v>10</v>
      </c>
      <c r="AD88" s="256" t="s">
        <v>1165</v>
      </c>
      <c r="AE88" s="3" t="s">
        <v>2115</v>
      </c>
      <c r="AF88" s="39" t="s">
        <v>1213</v>
      </c>
      <c r="AG88" s="39" t="s">
        <v>10</v>
      </c>
      <c r="AH88" s="39" t="s">
        <v>10</v>
      </c>
      <c r="AI88" s="39" t="s">
        <v>10</v>
      </c>
      <c r="AJ88" s="39" t="s">
        <v>362</v>
      </c>
      <c r="AK88" s="35" t="s">
        <v>2374</v>
      </c>
      <c r="AL88" s="35" t="s">
        <v>2492</v>
      </c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</row>
    <row r="89" spans="1:64" s="35" customFormat="1" ht="15" customHeight="1">
      <c r="A89" s="46"/>
      <c r="B89" s="30" t="s">
        <v>605</v>
      </c>
      <c r="D89" s="284" t="s">
        <v>1086</v>
      </c>
      <c r="G89" s="35" t="s">
        <v>1085</v>
      </c>
      <c r="H89" s="35" t="s">
        <v>1086</v>
      </c>
      <c r="J89" s="58"/>
      <c r="K89" s="39"/>
      <c r="L89" s="35" t="s">
        <v>1120</v>
      </c>
      <c r="M89" s="77">
        <v>990002312</v>
      </c>
      <c r="Y89" s="35" t="s">
        <v>1117</v>
      </c>
      <c r="AA89" s="39" t="s">
        <v>940</v>
      </c>
      <c r="AB89" s="39" t="s">
        <v>1166</v>
      </c>
      <c r="AC89" s="39" t="s">
        <v>10</v>
      </c>
      <c r="AD89" s="256" t="s">
        <v>1166</v>
      </c>
      <c r="AE89" s="3" t="s">
        <v>2116</v>
      </c>
      <c r="AF89" s="39" t="s">
        <v>1213</v>
      </c>
      <c r="AG89" s="39" t="s">
        <v>10</v>
      </c>
      <c r="AH89" s="39" t="s">
        <v>10</v>
      </c>
      <c r="AI89" s="39" t="s">
        <v>10</v>
      </c>
      <c r="AJ89" s="39" t="s">
        <v>362</v>
      </c>
      <c r="AK89" s="35" t="s">
        <v>2374</v>
      </c>
      <c r="AL89" s="35" t="s">
        <v>2492</v>
      </c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</row>
    <row r="90" spans="1:64" s="35" customFormat="1" ht="15" customHeight="1">
      <c r="A90" s="46"/>
      <c r="B90" s="30" t="s">
        <v>605</v>
      </c>
      <c r="D90" s="284" t="s">
        <v>1086</v>
      </c>
      <c r="G90" s="35" t="s">
        <v>1085</v>
      </c>
      <c r="H90" s="35" t="s">
        <v>1086</v>
      </c>
      <c r="J90" s="58"/>
      <c r="K90" s="39"/>
      <c r="L90" s="35" t="s">
        <v>10</v>
      </c>
      <c r="M90" s="77">
        <v>990002320</v>
      </c>
      <c r="Y90" s="35" t="s">
        <v>1117</v>
      </c>
      <c r="AA90" s="39" t="s">
        <v>415</v>
      </c>
      <c r="AB90" s="39" t="s">
        <v>1167</v>
      </c>
      <c r="AC90" s="39" t="s">
        <v>10</v>
      </c>
      <c r="AD90" s="256" t="s">
        <v>1167</v>
      </c>
      <c r="AE90" s="3" t="s">
        <v>2117</v>
      </c>
      <c r="AF90" s="39" t="s">
        <v>443</v>
      </c>
      <c r="AG90" s="39" t="s">
        <v>10</v>
      </c>
      <c r="AH90" s="39" t="s">
        <v>10</v>
      </c>
      <c r="AI90" s="39" t="s">
        <v>10</v>
      </c>
      <c r="AJ90" s="39" t="s">
        <v>362</v>
      </c>
      <c r="AK90" s="35" t="s">
        <v>2374</v>
      </c>
      <c r="AL90" s="35" t="s">
        <v>2492</v>
      </c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</row>
    <row r="91" spans="1:64" s="35" customFormat="1" ht="15" customHeight="1">
      <c r="A91" s="46"/>
      <c r="B91" s="30" t="s">
        <v>605</v>
      </c>
      <c r="D91" s="284" t="s">
        <v>1086</v>
      </c>
      <c r="G91" s="35" t="s">
        <v>1085</v>
      </c>
      <c r="H91" s="35" t="s">
        <v>1086</v>
      </c>
      <c r="J91" s="58"/>
      <c r="K91" s="39"/>
      <c r="L91" s="35" t="s">
        <v>1120</v>
      </c>
      <c r="M91" s="77">
        <v>990001620</v>
      </c>
      <c r="Y91" s="35" t="s">
        <v>1117</v>
      </c>
      <c r="AA91" s="39" t="s">
        <v>368</v>
      </c>
      <c r="AB91" s="39" t="s">
        <v>939</v>
      </c>
      <c r="AC91" s="39" t="s">
        <v>10</v>
      </c>
      <c r="AD91" s="256" t="s">
        <v>939</v>
      </c>
      <c r="AE91" s="3" t="s">
        <v>2118</v>
      </c>
      <c r="AF91" s="39" t="s">
        <v>369</v>
      </c>
      <c r="AG91" s="39" t="s">
        <v>10</v>
      </c>
      <c r="AH91" s="39" t="s">
        <v>10</v>
      </c>
      <c r="AI91" s="39" t="s">
        <v>10</v>
      </c>
      <c r="AJ91" s="39" t="s">
        <v>362</v>
      </c>
      <c r="AK91" s="35" t="s">
        <v>2374</v>
      </c>
      <c r="AL91" s="35" t="s">
        <v>2492</v>
      </c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</row>
    <row r="92" spans="1:64" s="35" customFormat="1" ht="15" customHeight="1">
      <c r="A92" s="46"/>
      <c r="B92" s="30" t="s">
        <v>605</v>
      </c>
      <c r="D92" s="284" t="s">
        <v>1086</v>
      </c>
      <c r="G92" s="35" t="s">
        <v>1085</v>
      </c>
      <c r="H92" s="35" t="s">
        <v>1086</v>
      </c>
      <c r="J92" s="58"/>
      <c r="K92" s="39"/>
      <c r="L92" s="35" t="s">
        <v>1120</v>
      </c>
      <c r="M92" s="77">
        <v>990003226</v>
      </c>
      <c r="Y92" s="35" t="s">
        <v>1117</v>
      </c>
      <c r="AA92" s="39" t="s">
        <v>541</v>
      </c>
      <c r="AB92" s="39" t="s">
        <v>1169</v>
      </c>
      <c r="AC92" s="39" t="s">
        <v>10</v>
      </c>
      <c r="AD92" s="256" t="s">
        <v>1169</v>
      </c>
      <c r="AE92" s="3" t="s">
        <v>1958</v>
      </c>
      <c r="AF92" s="39" t="s">
        <v>613</v>
      </c>
      <c r="AG92" s="39" t="s">
        <v>10</v>
      </c>
      <c r="AH92" s="39" t="s">
        <v>10</v>
      </c>
      <c r="AI92" s="39" t="s">
        <v>10</v>
      </c>
      <c r="AJ92" s="39" t="s">
        <v>362</v>
      </c>
      <c r="AK92" s="35" t="s">
        <v>2374</v>
      </c>
      <c r="AL92" s="35" t="s">
        <v>2492</v>
      </c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</row>
    <row r="93" spans="1:64" s="35" customFormat="1" ht="15" customHeight="1">
      <c r="A93" s="46"/>
      <c r="B93" s="30" t="s">
        <v>605</v>
      </c>
      <c r="D93" s="284" t="s">
        <v>1086</v>
      </c>
      <c r="G93" s="35" t="s">
        <v>1085</v>
      </c>
      <c r="H93" s="35" t="s">
        <v>1086</v>
      </c>
      <c r="J93" s="58"/>
      <c r="K93" s="39"/>
      <c r="L93" s="35" t="s">
        <v>1120</v>
      </c>
      <c r="M93" s="77">
        <v>990001620</v>
      </c>
      <c r="Y93" s="35" t="s">
        <v>1117</v>
      </c>
      <c r="AA93" s="39" t="s">
        <v>368</v>
      </c>
      <c r="AB93" s="39" t="s">
        <v>1215</v>
      </c>
      <c r="AC93" s="39" t="s">
        <v>10</v>
      </c>
      <c r="AD93" s="256" t="s">
        <v>1215</v>
      </c>
      <c r="AE93" s="3" t="s">
        <v>1442</v>
      </c>
      <c r="AF93" s="39" t="s">
        <v>369</v>
      </c>
      <c r="AG93" s="39" t="s">
        <v>10</v>
      </c>
      <c r="AH93" s="39" t="s">
        <v>10</v>
      </c>
      <c r="AI93" s="39" t="s">
        <v>10</v>
      </c>
      <c r="AJ93" s="39" t="s">
        <v>362</v>
      </c>
      <c r="AK93" s="35" t="s">
        <v>2374</v>
      </c>
      <c r="AL93" s="35" t="s">
        <v>2492</v>
      </c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</row>
    <row r="94" spans="1:64" s="35" customFormat="1" ht="15" customHeight="1">
      <c r="A94" s="46"/>
      <c r="B94" s="30" t="s">
        <v>605</v>
      </c>
      <c r="D94" s="284" t="s">
        <v>1086</v>
      </c>
      <c r="G94" s="35" t="s">
        <v>1085</v>
      </c>
      <c r="H94" s="35" t="s">
        <v>1086</v>
      </c>
      <c r="J94" s="58"/>
      <c r="K94" s="39"/>
      <c r="L94" s="35" t="s">
        <v>1120</v>
      </c>
      <c r="M94" s="77">
        <v>990001620</v>
      </c>
      <c r="Y94" s="35" t="s">
        <v>1117</v>
      </c>
      <c r="AA94" s="39" t="s">
        <v>368</v>
      </c>
      <c r="AB94" s="39" t="s">
        <v>1171</v>
      </c>
      <c r="AC94" s="39" t="s">
        <v>10</v>
      </c>
      <c r="AD94" s="256" t="s">
        <v>1171</v>
      </c>
      <c r="AE94" s="3" t="s">
        <v>1311</v>
      </c>
      <c r="AF94" s="39" t="s">
        <v>369</v>
      </c>
      <c r="AG94" s="39" t="s">
        <v>10</v>
      </c>
      <c r="AH94" s="39" t="s">
        <v>10</v>
      </c>
      <c r="AI94" s="39" t="s">
        <v>10</v>
      </c>
      <c r="AJ94" s="39" t="s">
        <v>362</v>
      </c>
      <c r="AK94" s="35" t="s">
        <v>2374</v>
      </c>
      <c r="AL94" s="35" t="s">
        <v>2492</v>
      </c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</row>
    <row r="95" spans="1:64" s="35" customFormat="1" ht="15" customHeight="1">
      <c r="A95" s="46"/>
      <c r="B95" s="30" t="s">
        <v>605</v>
      </c>
      <c r="D95" s="284" t="s">
        <v>1086</v>
      </c>
      <c r="G95" s="35" t="s">
        <v>1085</v>
      </c>
      <c r="H95" s="35" t="s">
        <v>1086</v>
      </c>
      <c r="J95" s="58"/>
      <c r="K95" s="39"/>
      <c r="L95" s="35" t="s">
        <v>1120</v>
      </c>
      <c r="M95" s="77">
        <v>990003091</v>
      </c>
      <c r="Y95" s="35" t="s">
        <v>1117</v>
      </c>
      <c r="AA95" s="39" t="s">
        <v>1154</v>
      </c>
      <c r="AB95" s="39" t="s">
        <v>1216</v>
      </c>
      <c r="AC95" s="39" t="s">
        <v>10</v>
      </c>
      <c r="AD95" s="256" t="s">
        <v>1216</v>
      </c>
      <c r="AE95" s="3" t="s">
        <v>934</v>
      </c>
      <c r="AF95" s="39" t="s">
        <v>1217</v>
      </c>
      <c r="AG95" s="39" t="s">
        <v>10</v>
      </c>
      <c r="AH95" s="39" t="s">
        <v>10</v>
      </c>
      <c r="AI95" s="39" t="s">
        <v>10</v>
      </c>
      <c r="AJ95" s="39" t="s">
        <v>362</v>
      </c>
      <c r="AK95" s="35" t="s">
        <v>2374</v>
      </c>
      <c r="AL95" s="35" t="s">
        <v>2492</v>
      </c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</row>
    <row r="96" spans="1:64" s="35" customFormat="1" ht="15" customHeight="1">
      <c r="A96" s="46"/>
      <c r="B96" s="30" t="s">
        <v>605</v>
      </c>
      <c r="D96" s="284" t="s">
        <v>1086</v>
      </c>
      <c r="G96" s="35" t="s">
        <v>1085</v>
      </c>
      <c r="H96" s="35" t="s">
        <v>1086</v>
      </c>
      <c r="J96" s="58"/>
      <c r="K96" s="39"/>
      <c r="L96" s="35" t="s">
        <v>2549</v>
      </c>
      <c r="M96" s="77">
        <v>990001669</v>
      </c>
      <c r="Y96" s="35" t="s">
        <v>1117</v>
      </c>
      <c r="AA96" s="39" t="s">
        <v>1347</v>
      </c>
      <c r="AB96" s="39" t="s">
        <v>1686</v>
      </c>
      <c r="AC96" s="39" t="s">
        <v>10</v>
      </c>
      <c r="AD96" s="256" t="s">
        <v>1686</v>
      </c>
      <c r="AE96" s="3" t="s">
        <v>603</v>
      </c>
      <c r="AF96" s="39" t="s">
        <v>1346</v>
      </c>
      <c r="AG96" s="39" t="s">
        <v>10</v>
      </c>
      <c r="AH96" s="39" t="s">
        <v>10</v>
      </c>
      <c r="AI96" s="39" t="s">
        <v>10</v>
      </c>
      <c r="AJ96" s="39" t="s">
        <v>362</v>
      </c>
      <c r="AK96" s="35" t="s">
        <v>2374</v>
      </c>
      <c r="AL96" s="35" t="s">
        <v>2492</v>
      </c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</row>
    <row r="97" spans="1:63" s="35" customFormat="1" ht="15" customHeight="1">
      <c r="A97" s="46"/>
      <c r="B97" s="30" t="s">
        <v>605</v>
      </c>
      <c r="D97" s="284" t="s">
        <v>1086</v>
      </c>
      <c r="G97" s="35" t="s">
        <v>1085</v>
      </c>
      <c r="J97" s="58"/>
      <c r="K97" s="104"/>
      <c r="M97" s="104" t="s">
        <v>1302</v>
      </c>
      <c r="Y97" s="35" t="s">
        <v>1117</v>
      </c>
      <c r="AA97" s="35" t="s">
        <v>1038</v>
      </c>
      <c r="AB97" s="35" t="s">
        <v>815</v>
      </c>
      <c r="AC97" s="35" t="s">
        <v>502</v>
      </c>
      <c r="AD97" s="178" t="s">
        <v>1800</v>
      </c>
      <c r="AE97" s="3" t="s">
        <v>686</v>
      </c>
      <c r="AF97" s="35" t="s">
        <v>1039</v>
      </c>
      <c r="AG97" s="35" t="s">
        <v>878</v>
      </c>
      <c r="AH97" s="35" t="s">
        <v>10</v>
      </c>
      <c r="AI97" s="35" t="s">
        <v>366</v>
      </c>
      <c r="AJ97" s="35" t="s">
        <v>362</v>
      </c>
      <c r="AK97" s="35" t="s">
        <v>2374</v>
      </c>
      <c r="AL97" s="35" t="s">
        <v>2492</v>
      </c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</row>
    <row r="98" spans="1:63" s="35" customFormat="1" ht="15" customHeight="1">
      <c r="A98" s="46"/>
      <c r="B98" s="30" t="s">
        <v>605</v>
      </c>
      <c r="D98" s="284" t="s">
        <v>1083</v>
      </c>
      <c r="G98" s="35" t="s">
        <v>1084</v>
      </c>
      <c r="I98" s="35" t="s">
        <v>550</v>
      </c>
      <c r="J98" s="58" t="s">
        <v>1341</v>
      </c>
      <c r="K98" s="39"/>
      <c r="M98" s="104">
        <v>990000250</v>
      </c>
      <c r="Y98" s="35" t="s">
        <v>1117</v>
      </c>
      <c r="AA98" s="35" t="s">
        <v>431</v>
      </c>
      <c r="AB98" s="35" t="s">
        <v>1040</v>
      </c>
      <c r="AC98" s="35" t="s">
        <v>1041</v>
      </c>
      <c r="AD98" s="34" t="s">
        <v>2349</v>
      </c>
      <c r="AE98" s="3" t="s">
        <v>1414</v>
      </c>
      <c r="AF98" s="35" t="s">
        <v>432</v>
      </c>
      <c r="AG98" s="35" t="s">
        <v>10</v>
      </c>
      <c r="AH98" s="35" t="s">
        <v>633</v>
      </c>
      <c r="AI98" s="35" t="s">
        <v>433</v>
      </c>
      <c r="AJ98" s="35" t="s">
        <v>362</v>
      </c>
      <c r="AK98" s="35" t="s">
        <v>2374</v>
      </c>
      <c r="AL98" s="35" t="s">
        <v>2492</v>
      </c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</row>
    <row r="99" spans="1:63" s="35" customFormat="1" ht="15" customHeight="1">
      <c r="A99" s="46"/>
      <c r="B99" s="30" t="s">
        <v>605</v>
      </c>
      <c r="D99" s="284" t="s">
        <v>1086</v>
      </c>
      <c r="G99" s="35" t="s">
        <v>1085</v>
      </c>
      <c r="J99" s="58"/>
      <c r="K99" s="104"/>
      <c r="M99" s="104" t="s">
        <v>1302</v>
      </c>
      <c r="Y99" s="35" t="s">
        <v>1117</v>
      </c>
      <c r="AA99" s="35" t="s">
        <v>981</v>
      </c>
      <c r="AB99" s="35" t="s">
        <v>816</v>
      </c>
      <c r="AC99" s="35" t="s">
        <v>920</v>
      </c>
      <c r="AD99" s="178" t="s">
        <v>2260</v>
      </c>
      <c r="AE99" s="3" t="s">
        <v>1799</v>
      </c>
      <c r="AF99" s="35" t="s">
        <v>982</v>
      </c>
      <c r="AG99" s="35" t="s">
        <v>395</v>
      </c>
      <c r="AH99" s="35" t="s">
        <v>10</v>
      </c>
      <c r="AI99" s="35" t="s">
        <v>402</v>
      </c>
      <c r="AJ99" s="35" t="s">
        <v>362</v>
      </c>
      <c r="AK99" s="35" t="s">
        <v>2374</v>
      </c>
      <c r="AL99" s="35" t="s">
        <v>2492</v>
      </c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</row>
    <row r="100" spans="1:63" s="35" customFormat="1" ht="15" customHeight="1">
      <c r="A100" s="46"/>
      <c r="B100" s="30" t="s">
        <v>605</v>
      </c>
      <c r="D100" s="284" t="s">
        <v>1086</v>
      </c>
      <c r="E100" s="35" t="s">
        <v>2342</v>
      </c>
      <c r="G100" s="35" t="s">
        <v>1085</v>
      </c>
      <c r="J100" s="58"/>
      <c r="K100" s="104"/>
      <c r="M100" s="104"/>
      <c r="Y100" s="35" t="s">
        <v>1117</v>
      </c>
      <c r="AA100" s="3" t="s">
        <v>2341</v>
      </c>
      <c r="AB100" s="3" t="s">
        <v>625</v>
      </c>
      <c r="AC100" s="3" t="s">
        <v>1688</v>
      </c>
      <c r="AD100" s="178" t="s">
        <v>2224</v>
      </c>
      <c r="AE100" s="3" t="s">
        <v>1745</v>
      </c>
      <c r="AF100" s="3" t="s">
        <v>2341</v>
      </c>
      <c r="AG100" s="3" t="s">
        <v>10</v>
      </c>
      <c r="AH100" s="3" t="s">
        <v>10</v>
      </c>
      <c r="AI100" s="3" t="s">
        <v>373</v>
      </c>
      <c r="AJ100" s="3" t="s">
        <v>362</v>
      </c>
      <c r="AK100" s="35" t="s">
        <v>2374</v>
      </c>
      <c r="AL100" s="35" t="s">
        <v>2492</v>
      </c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</row>
    <row r="101" spans="1:63" s="35" customFormat="1" ht="15" customHeight="1">
      <c r="A101" s="46"/>
      <c r="B101" s="30" t="s">
        <v>605</v>
      </c>
      <c r="D101" s="284" t="s">
        <v>1086</v>
      </c>
      <c r="E101" s="35" t="s">
        <v>2342</v>
      </c>
      <c r="G101" s="35" t="s">
        <v>1085</v>
      </c>
      <c r="J101" s="58"/>
      <c r="K101" s="104"/>
      <c r="M101" s="104"/>
      <c r="Y101" s="35" t="s">
        <v>1117</v>
      </c>
      <c r="AA101" s="3" t="s">
        <v>2341</v>
      </c>
      <c r="AB101" s="3" t="s">
        <v>252</v>
      </c>
      <c r="AC101" s="3" t="s">
        <v>2149</v>
      </c>
      <c r="AD101" s="178" t="s">
        <v>2235</v>
      </c>
      <c r="AE101" s="3" t="s">
        <v>1311</v>
      </c>
      <c r="AF101" s="3" t="s">
        <v>2341</v>
      </c>
      <c r="AG101" s="3" t="s">
        <v>10</v>
      </c>
      <c r="AH101" s="3" t="s">
        <v>10</v>
      </c>
      <c r="AI101" s="3" t="s">
        <v>373</v>
      </c>
      <c r="AJ101" s="3" t="s">
        <v>362</v>
      </c>
      <c r="AK101" s="35" t="s">
        <v>2374</v>
      </c>
      <c r="AL101" s="35" t="s">
        <v>2492</v>
      </c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</row>
    <row r="102" spans="1:63" s="35" customFormat="1" ht="15" customHeight="1">
      <c r="A102" s="46"/>
      <c r="B102" s="30" t="s">
        <v>605</v>
      </c>
      <c r="D102" s="284" t="s">
        <v>1086</v>
      </c>
      <c r="E102" s="35" t="s">
        <v>2343</v>
      </c>
      <c r="G102" s="35" t="s">
        <v>1085</v>
      </c>
      <c r="J102" s="58"/>
      <c r="K102" s="104"/>
      <c r="M102" s="104"/>
      <c r="Y102" s="35" t="s">
        <v>1117</v>
      </c>
      <c r="AA102" s="3" t="s">
        <v>2341</v>
      </c>
      <c r="AB102" s="3" t="s">
        <v>532</v>
      </c>
      <c r="AC102" s="3" t="s">
        <v>2145</v>
      </c>
      <c r="AD102" s="178" t="s">
        <v>2225</v>
      </c>
      <c r="AE102" s="3" t="s">
        <v>1748</v>
      </c>
      <c r="AF102" s="3" t="s">
        <v>2341</v>
      </c>
      <c r="AG102" s="3" t="s">
        <v>10</v>
      </c>
      <c r="AH102" s="3" t="s">
        <v>10</v>
      </c>
      <c r="AI102" s="3" t="s">
        <v>373</v>
      </c>
      <c r="AJ102" s="3" t="s">
        <v>362</v>
      </c>
      <c r="AK102" s="35" t="s">
        <v>2374</v>
      </c>
      <c r="AL102" s="35" t="s">
        <v>2492</v>
      </c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</row>
    <row r="103" spans="1:63" s="35" customFormat="1" ht="15" customHeight="1">
      <c r="A103" s="46"/>
      <c r="B103" s="30" t="s">
        <v>605</v>
      </c>
      <c r="D103" s="284" t="s">
        <v>1086</v>
      </c>
      <c r="E103" s="35" t="s">
        <v>2342</v>
      </c>
      <c r="G103" s="35" t="s">
        <v>1085</v>
      </c>
      <c r="J103" s="58"/>
      <c r="K103" s="104"/>
      <c r="M103" s="104"/>
      <c r="Y103" s="35" t="s">
        <v>1117</v>
      </c>
      <c r="AA103" s="3" t="s">
        <v>2341</v>
      </c>
      <c r="AB103" s="3" t="s">
        <v>272</v>
      </c>
      <c r="AC103" s="3" t="s">
        <v>1692</v>
      </c>
      <c r="AD103" s="178" t="s">
        <v>2229</v>
      </c>
      <c r="AE103" s="3" t="s">
        <v>1381</v>
      </c>
      <c r="AF103" s="3" t="s">
        <v>2341</v>
      </c>
      <c r="AG103" s="3" t="s">
        <v>10</v>
      </c>
      <c r="AH103" s="3" t="s">
        <v>10</v>
      </c>
      <c r="AI103" s="3" t="s">
        <v>373</v>
      </c>
      <c r="AJ103" s="3" t="s">
        <v>362</v>
      </c>
      <c r="AK103" s="35" t="s">
        <v>2374</v>
      </c>
      <c r="AL103" s="35" t="s">
        <v>2492</v>
      </c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</row>
    <row r="104" spans="1:63" s="35" customFormat="1" ht="15" customHeight="1">
      <c r="A104" s="46"/>
      <c r="B104" s="30" t="s">
        <v>605</v>
      </c>
      <c r="D104" s="284" t="s">
        <v>1086</v>
      </c>
      <c r="E104" s="35" t="s">
        <v>2343</v>
      </c>
      <c r="G104" s="35" t="s">
        <v>1085</v>
      </c>
      <c r="J104" s="58"/>
      <c r="K104" s="104"/>
      <c r="M104" s="104"/>
      <c r="Y104" s="35" t="s">
        <v>1117</v>
      </c>
      <c r="AA104" s="3" t="s">
        <v>2341</v>
      </c>
      <c r="AB104" s="3" t="s">
        <v>662</v>
      </c>
      <c r="AC104" s="3" t="s">
        <v>2150</v>
      </c>
      <c r="AD104" s="178" t="s">
        <v>2236</v>
      </c>
      <c r="AE104" s="3" t="s">
        <v>1157</v>
      </c>
      <c r="AF104" s="3" t="s">
        <v>2341</v>
      </c>
      <c r="AG104" s="3" t="s">
        <v>10</v>
      </c>
      <c r="AH104" s="3" t="s">
        <v>10</v>
      </c>
      <c r="AI104" s="3" t="s">
        <v>373</v>
      </c>
      <c r="AJ104" s="3" t="s">
        <v>362</v>
      </c>
      <c r="AK104" s="35" t="s">
        <v>2374</v>
      </c>
      <c r="AL104" s="35" t="s">
        <v>2492</v>
      </c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</row>
    <row r="105" spans="1:63" s="35" customFormat="1" ht="15" customHeight="1">
      <c r="A105" s="46"/>
      <c r="B105" s="30" t="s">
        <v>605</v>
      </c>
      <c r="D105" s="284" t="s">
        <v>1086</v>
      </c>
      <c r="E105" s="35" t="s">
        <v>2343</v>
      </c>
      <c r="G105" s="35" t="s">
        <v>1085</v>
      </c>
      <c r="J105" s="58"/>
      <c r="K105" s="104"/>
      <c r="M105" s="104"/>
      <c r="Y105" s="35" t="s">
        <v>1117</v>
      </c>
      <c r="AA105" s="3" t="s">
        <v>2341</v>
      </c>
      <c r="AB105" s="3" t="s">
        <v>534</v>
      </c>
      <c r="AC105" s="3" t="s">
        <v>2147</v>
      </c>
      <c r="AD105" s="178" t="s">
        <v>2231</v>
      </c>
      <c r="AE105" s="3" t="s">
        <v>411</v>
      </c>
      <c r="AF105" s="3" t="s">
        <v>2341</v>
      </c>
      <c r="AG105" s="3" t="s">
        <v>10</v>
      </c>
      <c r="AH105" s="3" t="s">
        <v>10</v>
      </c>
      <c r="AI105" s="3" t="s">
        <v>373</v>
      </c>
      <c r="AJ105" s="3" t="s">
        <v>362</v>
      </c>
      <c r="AK105" s="35" t="s">
        <v>2374</v>
      </c>
      <c r="AL105" s="35" t="s">
        <v>2492</v>
      </c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</row>
    <row r="106" spans="1:63" s="35" customFormat="1" ht="15" customHeight="1">
      <c r="A106" s="46"/>
      <c r="B106" s="30" t="s">
        <v>605</v>
      </c>
      <c r="D106" s="284" t="s">
        <v>1086</v>
      </c>
      <c r="E106" s="35" t="s">
        <v>2343</v>
      </c>
      <c r="G106" s="35" t="s">
        <v>1085</v>
      </c>
      <c r="J106" s="58"/>
      <c r="K106" s="104"/>
      <c r="M106" s="104"/>
      <c r="Y106" s="35" t="s">
        <v>1117</v>
      </c>
      <c r="AA106" s="3" t="s">
        <v>2341</v>
      </c>
      <c r="AB106" s="3" t="s">
        <v>535</v>
      </c>
      <c r="AC106" s="3" t="s">
        <v>2148</v>
      </c>
      <c r="AD106" s="178" t="s">
        <v>2232</v>
      </c>
      <c r="AE106" s="3" t="s">
        <v>1254</v>
      </c>
      <c r="AF106" s="3" t="s">
        <v>2341</v>
      </c>
      <c r="AG106" s="3" t="s">
        <v>10</v>
      </c>
      <c r="AH106" s="3" t="s">
        <v>10</v>
      </c>
      <c r="AI106" s="3" t="s">
        <v>373</v>
      </c>
      <c r="AJ106" s="3" t="s">
        <v>362</v>
      </c>
      <c r="AK106" s="35" t="s">
        <v>2374</v>
      </c>
      <c r="AL106" s="35" t="s">
        <v>2492</v>
      </c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</row>
    <row r="107" spans="1:63" s="35" customFormat="1" ht="15" customHeight="1">
      <c r="A107" s="46"/>
      <c r="B107" s="30" t="s">
        <v>605</v>
      </c>
      <c r="D107" s="284" t="s">
        <v>1086</v>
      </c>
      <c r="E107" s="35" t="s">
        <v>2343</v>
      </c>
      <c r="G107" s="35" t="s">
        <v>1085</v>
      </c>
      <c r="J107" s="58"/>
      <c r="K107" s="104"/>
      <c r="M107" s="104"/>
      <c r="Y107" s="35" t="s">
        <v>1117</v>
      </c>
      <c r="AA107" s="3" t="s">
        <v>2341</v>
      </c>
      <c r="AB107" s="3" t="s">
        <v>671</v>
      </c>
      <c r="AC107" s="3" t="s">
        <v>1727</v>
      </c>
      <c r="AD107" s="178" t="s">
        <v>2237</v>
      </c>
      <c r="AE107" s="3" t="s">
        <v>497</v>
      </c>
      <c r="AF107" s="3" t="s">
        <v>2341</v>
      </c>
      <c r="AG107" s="3" t="s">
        <v>10</v>
      </c>
      <c r="AH107" s="3" t="s">
        <v>10</v>
      </c>
      <c r="AI107" s="3" t="s">
        <v>373</v>
      </c>
      <c r="AJ107" s="3" t="s">
        <v>362</v>
      </c>
      <c r="AK107" s="35" t="s">
        <v>2374</v>
      </c>
      <c r="AL107" s="35" t="s">
        <v>2492</v>
      </c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</row>
    <row r="108" spans="1:63" s="35" customFormat="1" ht="15" customHeight="1">
      <c r="A108" s="46"/>
      <c r="B108" s="30" t="s">
        <v>605</v>
      </c>
      <c r="D108" s="284" t="s">
        <v>1086</v>
      </c>
      <c r="E108" s="35" t="s">
        <v>2343</v>
      </c>
      <c r="G108" s="35" t="s">
        <v>1085</v>
      </c>
      <c r="J108" s="58"/>
      <c r="K108" s="104"/>
      <c r="M108" s="104"/>
      <c r="Y108" s="35" t="s">
        <v>1117</v>
      </c>
      <c r="AA108" s="3" t="s">
        <v>2341</v>
      </c>
      <c r="AB108" s="3" t="s">
        <v>250</v>
      </c>
      <c r="AC108" s="3" t="s">
        <v>2146</v>
      </c>
      <c r="AD108" s="178" t="s">
        <v>2228</v>
      </c>
      <c r="AE108" s="3" t="s">
        <v>1170</v>
      </c>
      <c r="AF108" s="3" t="s">
        <v>2341</v>
      </c>
      <c r="AG108" s="3" t="s">
        <v>10</v>
      </c>
      <c r="AH108" s="3" t="s">
        <v>10</v>
      </c>
      <c r="AI108" s="3" t="s">
        <v>373</v>
      </c>
      <c r="AJ108" s="3" t="s">
        <v>362</v>
      </c>
      <c r="AK108" s="35" t="s">
        <v>2374</v>
      </c>
      <c r="AL108" s="35" t="s">
        <v>2492</v>
      </c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</row>
    <row r="109" spans="1:63" s="35" customFormat="1" ht="15" customHeight="1">
      <c r="A109" s="46"/>
      <c r="B109" s="30" t="s">
        <v>605</v>
      </c>
      <c r="D109" s="284" t="s">
        <v>1093</v>
      </c>
      <c r="E109" s="35" t="s">
        <v>2342</v>
      </c>
      <c r="G109" s="35" t="s">
        <v>1085</v>
      </c>
      <c r="J109" s="58"/>
      <c r="K109" s="104"/>
      <c r="M109" s="104"/>
      <c r="Y109" s="35" t="s">
        <v>1116</v>
      </c>
      <c r="AA109" s="3" t="s">
        <v>2341</v>
      </c>
      <c r="AB109" s="3" t="s">
        <v>1189</v>
      </c>
      <c r="AC109" s="3" t="s">
        <v>1695</v>
      </c>
      <c r="AD109" s="178" t="s">
        <v>2233</v>
      </c>
      <c r="AE109" s="3" t="s">
        <v>1394</v>
      </c>
      <c r="AF109" s="3" t="s">
        <v>2341</v>
      </c>
      <c r="AG109" s="3" t="s">
        <v>10</v>
      </c>
      <c r="AH109" s="3" t="s">
        <v>10</v>
      </c>
      <c r="AI109" s="3" t="s">
        <v>373</v>
      </c>
      <c r="AJ109" s="3" t="s">
        <v>362</v>
      </c>
      <c r="AK109" s="35" t="s">
        <v>2374</v>
      </c>
      <c r="AL109" s="35" t="s">
        <v>2492</v>
      </c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</row>
    <row r="110" spans="1:63" s="35" customFormat="1" ht="15" customHeight="1">
      <c r="A110" s="46"/>
      <c r="B110" s="30" t="s">
        <v>605</v>
      </c>
      <c r="D110" s="284" t="s">
        <v>1093</v>
      </c>
      <c r="E110" s="35" t="s">
        <v>2342</v>
      </c>
      <c r="G110" s="35" t="s">
        <v>1085</v>
      </c>
      <c r="J110" s="58"/>
      <c r="K110" s="104"/>
      <c r="M110" s="104"/>
      <c r="Y110" s="35" t="s">
        <v>1116</v>
      </c>
      <c r="AA110" s="3" t="s">
        <v>2341</v>
      </c>
      <c r="AB110" s="3" t="s">
        <v>1190</v>
      </c>
      <c r="AC110" s="3" t="s">
        <v>1696</v>
      </c>
      <c r="AD110" s="178" t="s">
        <v>2234</v>
      </c>
      <c r="AE110" s="3" t="s">
        <v>1394</v>
      </c>
      <c r="AF110" s="3" t="s">
        <v>2341</v>
      </c>
      <c r="AG110" s="3" t="s">
        <v>10</v>
      </c>
      <c r="AH110" s="3" t="s">
        <v>10</v>
      </c>
      <c r="AI110" s="3" t="s">
        <v>373</v>
      </c>
      <c r="AJ110" s="3" t="s">
        <v>362</v>
      </c>
      <c r="AK110" s="35" t="s">
        <v>2374</v>
      </c>
      <c r="AL110" s="35" t="s">
        <v>2492</v>
      </c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</row>
    <row r="111" spans="1:63" s="35" customFormat="1" ht="15" customHeight="1">
      <c r="A111" s="46"/>
      <c r="B111" s="30" t="s">
        <v>605</v>
      </c>
      <c r="D111" s="284" t="s">
        <v>1293</v>
      </c>
      <c r="E111" s="35" t="s">
        <v>2342</v>
      </c>
      <c r="G111" s="35" t="s">
        <v>1085</v>
      </c>
      <c r="J111" s="58"/>
      <c r="K111" s="104"/>
      <c r="M111" s="104"/>
      <c r="Y111" s="35" t="s">
        <v>1116</v>
      </c>
      <c r="AA111" s="3" t="s">
        <v>2341</v>
      </c>
      <c r="AB111" s="3" t="s">
        <v>1188</v>
      </c>
      <c r="AC111" s="3" t="s">
        <v>1689</v>
      </c>
      <c r="AD111" s="178" t="s">
        <v>2226</v>
      </c>
      <c r="AE111" s="3" t="s">
        <v>628</v>
      </c>
      <c r="AF111" s="3" t="s">
        <v>2341</v>
      </c>
      <c r="AG111" s="3" t="s">
        <v>10</v>
      </c>
      <c r="AH111" s="3" t="s">
        <v>10</v>
      </c>
      <c r="AI111" s="3" t="s">
        <v>373</v>
      </c>
      <c r="AJ111" s="3" t="s">
        <v>362</v>
      </c>
      <c r="AK111" s="35" t="s">
        <v>2374</v>
      </c>
      <c r="AL111" s="35" t="s">
        <v>2492</v>
      </c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</row>
    <row r="112" spans="1:63" s="35" customFormat="1" ht="15" customHeight="1">
      <c r="A112" s="46"/>
      <c r="B112" s="30" t="s">
        <v>605</v>
      </c>
      <c r="D112" s="284" t="s">
        <v>1293</v>
      </c>
      <c r="E112" s="35" t="s">
        <v>2342</v>
      </c>
      <c r="G112" s="35" t="s">
        <v>1085</v>
      </c>
      <c r="J112" s="58"/>
      <c r="K112" s="104"/>
      <c r="M112" s="104"/>
      <c r="Y112" s="35" t="s">
        <v>1116</v>
      </c>
      <c r="AA112" s="3" t="s">
        <v>2341</v>
      </c>
      <c r="AB112" s="3" t="s">
        <v>1187</v>
      </c>
      <c r="AC112" s="3" t="s">
        <v>1690</v>
      </c>
      <c r="AD112" s="178" t="s">
        <v>2227</v>
      </c>
      <c r="AE112" s="3" t="s">
        <v>628</v>
      </c>
      <c r="AF112" s="3" t="s">
        <v>2341</v>
      </c>
      <c r="AG112" s="3" t="s">
        <v>10</v>
      </c>
      <c r="AH112" s="3" t="s">
        <v>10</v>
      </c>
      <c r="AI112" s="3" t="s">
        <v>373</v>
      </c>
      <c r="AJ112" s="3" t="s">
        <v>362</v>
      </c>
      <c r="AK112" s="35" t="s">
        <v>2374</v>
      </c>
      <c r="AL112" s="35" t="s">
        <v>2492</v>
      </c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</row>
    <row r="113" spans="1:63" s="35" customFormat="1" ht="15" customHeight="1">
      <c r="A113" s="46"/>
      <c r="B113" s="30" t="s">
        <v>606</v>
      </c>
      <c r="D113" s="284"/>
      <c r="J113" s="58"/>
      <c r="K113" s="39"/>
      <c r="M113" s="58"/>
      <c r="Y113" s="35" t="s">
        <v>1117</v>
      </c>
      <c r="AA113" s="35" t="s">
        <v>282</v>
      </c>
      <c r="AD113" s="34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</row>
    <row r="114" spans="1:63" s="35" customFormat="1" ht="15" customHeight="1">
      <c r="A114" s="46"/>
      <c r="B114" s="30" t="s">
        <v>606</v>
      </c>
      <c r="D114" s="284"/>
      <c r="J114" s="58"/>
      <c r="K114" s="39"/>
      <c r="M114" s="58"/>
      <c r="Y114" s="35" t="s">
        <v>1117</v>
      </c>
      <c r="AA114" s="35" t="s">
        <v>0</v>
      </c>
      <c r="AB114" s="34" t="s">
        <v>678</v>
      </c>
      <c r="AC114" s="35" t="s">
        <v>679</v>
      </c>
      <c r="AD114" s="178" t="s">
        <v>2377</v>
      </c>
      <c r="AE114" s="35" t="s">
        <v>1</v>
      </c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</row>
    <row r="115" spans="1:63" s="35" customFormat="1" ht="15" customHeight="1">
      <c r="A115" s="46"/>
      <c r="B115" s="30" t="s">
        <v>606</v>
      </c>
      <c r="D115" s="284"/>
      <c r="J115" s="58"/>
      <c r="K115" s="39"/>
      <c r="M115" s="58"/>
      <c r="Y115" s="35" t="s">
        <v>1117</v>
      </c>
      <c r="AA115" s="35" t="s">
        <v>2</v>
      </c>
      <c r="AB115" s="34" t="s">
        <v>680</v>
      </c>
      <c r="AC115" s="35" t="s">
        <v>1255</v>
      </c>
      <c r="AD115" s="178" t="s">
        <v>1859</v>
      </c>
      <c r="AE115" s="35" t="s">
        <v>1</v>
      </c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</row>
    <row r="116" spans="1:63" s="35" customFormat="1" ht="15" customHeight="1">
      <c r="A116" s="46"/>
      <c r="B116" s="30" t="s">
        <v>606</v>
      </c>
      <c r="D116" s="284"/>
      <c r="J116" s="58"/>
      <c r="K116" s="39"/>
      <c r="M116" s="58"/>
      <c r="Y116" s="35" t="s">
        <v>1117</v>
      </c>
      <c r="AA116" s="35" t="s">
        <v>3</v>
      </c>
      <c r="AB116" s="34" t="s">
        <v>681</v>
      </c>
      <c r="AC116" s="35" t="s">
        <v>1198</v>
      </c>
      <c r="AD116" s="178" t="s">
        <v>2376</v>
      </c>
      <c r="AE116" s="35" t="s">
        <v>1</v>
      </c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</row>
    <row r="117" spans="1:63" s="35" customFormat="1" ht="15" customHeight="1">
      <c r="A117" s="46"/>
      <c r="B117" s="30" t="s">
        <v>606</v>
      </c>
      <c r="D117" s="284"/>
      <c r="J117" s="58"/>
      <c r="K117" s="39"/>
      <c r="M117" s="58"/>
      <c r="Y117" s="35" t="s">
        <v>1117</v>
      </c>
      <c r="AA117" s="35" t="s">
        <v>4</v>
      </c>
      <c r="AB117" s="34" t="s">
        <v>682</v>
      </c>
      <c r="AC117" s="35" t="s">
        <v>1256</v>
      </c>
      <c r="AD117" s="178" t="s">
        <v>1439</v>
      </c>
      <c r="AE117" s="35" t="s">
        <v>1</v>
      </c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</row>
    <row r="118" spans="1:63" s="35" customFormat="1" ht="15" customHeight="1">
      <c r="A118" s="46"/>
      <c r="B118" s="30" t="s">
        <v>606</v>
      </c>
      <c r="D118" s="284"/>
      <c r="J118" s="58"/>
      <c r="K118" s="39"/>
      <c r="M118" s="58"/>
      <c r="Y118" s="35" t="s">
        <v>1117</v>
      </c>
      <c r="AA118" s="35" t="s">
        <v>5</v>
      </c>
      <c r="AB118" s="35" t="s">
        <v>2358</v>
      </c>
      <c r="AC118" s="35" t="s">
        <v>2360</v>
      </c>
      <c r="AD118" s="35" t="s">
        <v>2376</v>
      </c>
      <c r="AE118" s="35" t="s">
        <v>1</v>
      </c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</row>
    <row r="119" spans="1:63" s="35" customFormat="1" ht="15" customHeight="1">
      <c r="A119" s="46"/>
      <c r="B119" s="30" t="s">
        <v>606</v>
      </c>
      <c r="D119" s="284"/>
      <c r="J119" s="58"/>
      <c r="K119" s="39"/>
      <c r="M119" s="58"/>
      <c r="Y119" s="35" t="s">
        <v>1117</v>
      </c>
      <c r="AA119" s="35" t="s">
        <v>6</v>
      </c>
      <c r="AB119" s="35" t="s">
        <v>2359</v>
      </c>
      <c r="AC119" s="35" t="s">
        <v>2361</v>
      </c>
      <c r="AD119" s="35" t="s">
        <v>1439</v>
      </c>
      <c r="AE119" s="35" t="s">
        <v>1</v>
      </c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</row>
    <row r="120" spans="1:63" s="35" customFormat="1" ht="15" customHeight="1">
      <c r="A120" s="46"/>
      <c r="B120" s="30" t="s">
        <v>606</v>
      </c>
      <c r="D120" s="284"/>
      <c r="J120" s="58"/>
      <c r="K120" s="39"/>
      <c r="M120" s="58"/>
      <c r="Y120" s="35" t="s">
        <v>1117</v>
      </c>
      <c r="AA120" s="35" t="s">
        <v>354</v>
      </c>
      <c r="AB120" s="35" t="s">
        <v>355</v>
      </c>
      <c r="AC120" s="35" t="s">
        <v>356</v>
      </c>
      <c r="AD120" s="34" t="s">
        <v>7</v>
      </c>
      <c r="AE120" s="35" t="s">
        <v>8</v>
      </c>
      <c r="AF120" s="35" t="s">
        <v>357</v>
      </c>
      <c r="AG120" s="35" t="s">
        <v>358</v>
      </c>
      <c r="AH120" s="35" t="s">
        <v>359</v>
      </c>
      <c r="AI120" s="35" t="s">
        <v>9</v>
      </c>
      <c r="AJ120" s="35" t="s">
        <v>360</v>
      </c>
      <c r="AK120" s="35" t="s">
        <v>0</v>
      </c>
      <c r="AL120" s="35" t="s">
        <v>2</v>
      </c>
      <c r="AM120" s="35" t="s">
        <v>3</v>
      </c>
      <c r="AN120" s="35" t="s">
        <v>4</v>
      </c>
      <c r="AO120" s="35" t="s">
        <v>5</v>
      </c>
      <c r="AP120" s="35" t="s">
        <v>6</v>
      </c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</row>
    <row r="121" spans="1:63" s="35" customFormat="1" ht="15" customHeight="1">
      <c r="A121" s="190" t="s">
        <v>2621</v>
      </c>
      <c r="B121" s="30" t="s">
        <v>606</v>
      </c>
      <c r="D121" s="284"/>
      <c r="J121" s="58"/>
      <c r="K121" s="39"/>
      <c r="M121" s="58">
        <v>950000056</v>
      </c>
      <c r="Y121" s="35" t="s">
        <v>1117</v>
      </c>
      <c r="AA121" s="35" t="s">
        <v>2362</v>
      </c>
      <c r="AB121" s="35" t="s">
        <v>2363</v>
      </c>
      <c r="AC121" s="35" t="s">
        <v>10</v>
      </c>
      <c r="AD121" s="34" t="s">
        <v>10</v>
      </c>
      <c r="AE121" s="35" t="s">
        <v>1910</v>
      </c>
      <c r="AF121" s="35" t="s">
        <v>2364</v>
      </c>
      <c r="AG121" s="58" t="s">
        <v>10</v>
      </c>
      <c r="AH121" s="58" t="s">
        <v>10</v>
      </c>
      <c r="AI121" s="58" t="s">
        <v>10</v>
      </c>
      <c r="AJ121" s="58" t="s">
        <v>362</v>
      </c>
      <c r="AK121" s="58" t="s">
        <v>10</v>
      </c>
      <c r="AL121" s="58" t="s">
        <v>10</v>
      </c>
      <c r="AM121" s="192" t="s">
        <v>681</v>
      </c>
      <c r="AN121" s="192" t="s">
        <v>682</v>
      </c>
      <c r="AO121" s="58" t="s">
        <v>10</v>
      </c>
      <c r="AP121" s="58" t="s">
        <v>10</v>
      </c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</row>
    <row r="122" spans="1:63" s="35" customFormat="1" ht="15" customHeight="1">
      <c r="A122" s="46"/>
      <c r="B122" s="30" t="s">
        <v>606</v>
      </c>
      <c r="D122" s="284" t="s">
        <v>1086</v>
      </c>
      <c r="G122" s="35" t="s">
        <v>1085</v>
      </c>
      <c r="J122" s="58"/>
      <c r="K122" s="39"/>
      <c r="M122" s="58">
        <v>920002414</v>
      </c>
      <c r="Y122" s="35" t="s">
        <v>1117</v>
      </c>
      <c r="AA122" s="35" t="s">
        <v>958</v>
      </c>
      <c r="AB122" s="35" t="s">
        <v>683</v>
      </c>
      <c r="AC122" s="35" t="s">
        <v>959</v>
      </c>
      <c r="AD122" s="178" t="s">
        <v>1867</v>
      </c>
      <c r="AE122" s="35" t="s">
        <v>477</v>
      </c>
      <c r="AF122" s="35" t="s">
        <v>960</v>
      </c>
      <c r="AG122" s="35" t="s">
        <v>10</v>
      </c>
      <c r="AH122" s="35" t="s">
        <v>10</v>
      </c>
      <c r="AI122" s="35" t="s">
        <v>361</v>
      </c>
      <c r="AJ122" s="35" t="s">
        <v>362</v>
      </c>
      <c r="AK122" s="35" t="s">
        <v>678</v>
      </c>
      <c r="AL122" s="35" t="s">
        <v>680</v>
      </c>
      <c r="AM122" s="35" t="s">
        <v>681</v>
      </c>
      <c r="AN122" s="35" t="s">
        <v>682</v>
      </c>
      <c r="AO122" s="35" t="s">
        <v>2358</v>
      </c>
      <c r="AP122" s="35" t="s">
        <v>2359</v>
      </c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</row>
    <row r="123" spans="1:63" s="35" customFormat="1" ht="15" customHeight="1">
      <c r="A123" s="46"/>
      <c r="B123" s="30" t="s">
        <v>606</v>
      </c>
      <c r="D123" s="284" t="s">
        <v>1086</v>
      </c>
      <c r="G123" s="35" t="s">
        <v>1085</v>
      </c>
      <c r="J123" s="58"/>
      <c r="K123" s="39"/>
      <c r="M123" s="58">
        <v>920002404</v>
      </c>
      <c r="Y123" s="35" t="s">
        <v>1117</v>
      </c>
      <c r="AC123" s="182" t="s">
        <v>1107</v>
      </c>
      <c r="AD123" s="255" t="s">
        <v>1867</v>
      </c>
      <c r="AF123" s="35" t="s">
        <v>960</v>
      </c>
      <c r="AJ123" s="35" t="s">
        <v>362</v>
      </c>
      <c r="AK123" s="35" t="s">
        <v>678</v>
      </c>
      <c r="AL123" s="35" t="s">
        <v>680</v>
      </c>
      <c r="AM123" s="35" t="s">
        <v>681</v>
      </c>
      <c r="AN123" s="35" t="s">
        <v>682</v>
      </c>
      <c r="AO123" s="35" t="s">
        <v>2358</v>
      </c>
      <c r="AP123" s="35" t="s">
        <v>2359</v>
      </c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</row>
    <row r="124" spans="1:63" s="35" customFormat="1">
      <c r="A124" s="46"/>
      <c r="B124" s="30" t="s">
        <v>606</v>
      </c>
      <c r="D124" s="284" t="s">
        <v>1086</v>
      </c>
      <c r="G124" s="35" t="s">
        <v>1085</v>
      </c>
      <c r="J124" s="58"/>
      <c r="K124" s="39"/>
      <c r="M124" s="58">
        <v>920004298</v>
      </c>
      <c r="Y124" s="35" t="s">
        <v>1117</v>
      </c>
      <c r="AA124" s="35" t="s">
        <v>468</v>
      </c>
      <c r="AB124" s="35" t="s">
        <v>693</v>
      </c>
      <c r="AC124" s="35" t="s">
        <v>961</v>
      </c>
      <c r="AD124" s="178" t="s">
        <v>2268</v>
      </c>
      <c r="AE124" s="2" t="s">
        <v>410</v>
      </c>
      <c r="AF124" s="35" t="s">
        <v>469</v>
      </c>
      <c r="AG124" s="35" t="s">
        <v>470</v>
      </c>
      <c r="AH124" s="35" t="s">
        <v>10</v>
      </c>
      <c r="AI124" s="35" t="s">
        <v>361</v>
      </c>
      <c r="AJ124" s="35" t="s">
        <v>362</v>
      </c>
      <c r="AK124" s="35" t="s">
        <v>10</v>
      </c>
      <c r="AL124" s="35" t="s">
        <v>10</v>
      </c>
      <c r="AM124" s="35" t="s">
        <v>681</v>
      </c>
      <c r="AN124" s="35" t="s">
        <v>682</v>
      </c>
      <c r="AO124" s="35" t="s">
        <v>2358</v>
      </c>
      <c r="AP124" s="35" t="s">
        <v>2359</v>
      </c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</row>
    <row r="125" spans="1:63" s="35" customFormat="1" ht="15" customHeight="1">
      <c r="A125" s="46"/>
      <c r="B125" s="30" t="s">
        <v>606</v>
      </c>
      <c r="D125" s="284" t="s">
        <v>1086</v>
      </c>
      <c r="G125" s="35" t="s">
        <v>1085</v>
      </c>
      <c r="J125" s="58"/>
      <c r="K125" s="39"/>
      <c r="M125" s="58">
        <v>920007314</v>
      </c>
      <c r="Y125" s="35" t="s">
        <v>1117</v>
      </c>
      <c r="AA125" s="35" t="s">
        <v>447</v>
      </c>
      <c r="AB125" s="35" t="s">
        <v>962</v>
      </c>
      <c r="AC125" s="35" t="s">
        <v>963</v>
      </c>
      <c r="AD125" s="34" t="s">
        <v>2308</v>
      </c>
      <c r="AE125" s="35" t="s">
        <v>1156</v>
      </c>
      <c r="AF125" s="35" t="s">
        <v>964</v>
      </c>
      <c r="AG125" s="35" t="s">
        <v>10</v>
      </c>
      <c r="AH125" s="35" t="s">
        <v>10</v>
      </c>
      <c r="AI125" s="35" t="s">
        <v>10</v>
      </c>
      <c r="AJ125" s="35" t="s">
        <v>362</v>
      </c>
      <c r="AK125" s="35" t="s">
        <v>678</v>
      </c>
      <c r="AL125" s="35" t="s">
        <v>680</v>
      </c>
      <c r="AM125" s="35" t="s">
        <v>681</v>
      </c>
      <c r="AN125" s="35" t="s">
        <v>682</v>
      </c>
      <c r="AO125" s="35" t="s">
        <v>2358</v>
      </c>
      <c r="AP125" s="35" t="s">
        <v>2359</v>
      </c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</row>
    <row r="126" spans="1:63" s="35" customFormat="1" ht="15" customHeight="1">
      <c r="A126" s="46"/>
      <c r="B126" s="30" t="s">
        <v>606</v>
      </c>
      <c r="D126" s="284" t="s">
        <v>1083</v>
      </c>
      <c r="G126" s="35" t="s">
        <v>1084</v>
      </c>
      <c r="I126" s="35" t="s">
        <v>550</v>
      </c>
      <c r="J126" s="58" t="s">
        <v>1326</v>
      </c>
      <c r="K126" s="39"/>
      <c r="M126" s="58">
        <v>990000296</v>
      </c>
      <c r="Y126" s="35" t="s">
        <v>1117</v>
      </c>
      <c r="AA126" s="35" t="s">
        <v>439</v>
      </c>
      <c r="AB126" s="35" t="s">
        <v>965</v>
      </c>
      <c r="AC126" s="35" t="s">
        <v>966</v>
      </c>
      <c r="AD126" s="34" t="s">
        <v>2193</v>
      </c>
      <c r="AE126" s="35" t="s">
        <v>1372</v>
      </c>
      <c r="AF126" s="35" t="s">
        <v>440</v>
      </c>
      <c r="AG126" s="35" t="s">
        <v>10</v>
      </c>
      <c r="AH126" s="35" t="s">
        <v>626</v>
      </c>
      <c r="AI126" s="35" t="s">
        <v>372</v>
      </c>
      <c r="AJ126" s="35" t="s">
        <v>362</v>
      </c>
      <c r="AK126" s="35" t="s">
        <v>10</v>
      </c>
      <c r="AL126" s="35" t="s">
        <v>680</v>
      </c>
      <c r="AM126" s="35" t="s">
        <v>10</v>
      </c>
      <c r="AN126" s="35" t="s">
        <v>682</v>
      </c>
      <c r="AO126" s="35" t="s">
        <v>10</v>
      </c>
      <c r="AP126" s="35" t="s">
        <v>2359</v>
      </c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</row>
    <row r="127" spans="1:63" s="35" customFormat="1" ht="15" customHeight="1">
      <c r="A127" s="46"/>
      <c r="B127" s="30" t="s">
        <v>606</v>
      </c>
      <c r="D127" s="284" t="s">
        <v>1083</v>
      </c>
      <c r="G127" s="35" t="s">
        <v>1084</v>
      </c>
      <c r="I127" s="35" t="s">
        <v>550</v>
      </c>
      <c r="J127" s="58" t="s">
        <v>1327</v>
      </c>
      <c r="K127" s="39"/>
      <c r="M127" s="58">
        <v>990000249</v>
      </c>
      <c r="Y127" s="35" t="s">
        <v>1117</v>
      </c>
      <c r="AA127" s="35" t="s">
        <v>441</v>
      </c>
      <c r="AB127" s="35" t="s">
        <v>967</v>
      </c>
      <c r="AC127" s="35" t="s">
        <v>968</v>
      </c>
      <c r="AD127" s="34" t="s">
        <v>2332</v>
      </c>
      <c r="AE127" s="2" t="s">
        <v>1158</v>
      </c>
      <c r="AF127" s="35" t="s">
        <v>442</v>
      </c>
      <c r="AG127" s="35" t="s">
        <v>10</v>
      </c>
      <c r="AH127" s="35" t="s">
        <v>626</v>
      </c>
      <c r="AI127" s="35" t="s">
        <v>366</v>
      </c>
      <c r="AJ127" s="35" t="s">
        <v>362</v>
      </c>
      <c r="AK127" s="35" t="s">
        <v>678</v>
      </c>
      <c r="AL127" s="35" t="s">
        <v>680</v>
      </c>
      <c r="AM127" s="35" t="s">
        <v>681</v>
      </c>
      <c r="AN127" s="35" t="s">
        <v>682</v>
      </c>
      <c r="AO127" s="35" t="s">
        <v>2358</v>
      </c>
      <c r="AP127" s="35" t="s">
        <v>2359</v>
      </c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</row>
    <row r="128" spans="1:63" s="35" customFormat="1" ht="15" customHeight="1">
      <c r="A128" s="46"/>
      <c r="B128" s="30" t="s">
        <v>606</v>
      </c>
      <c r="D128" s="284" t="s">
        <v>1083</v>
      </c>
      <c r="G128" s="35" t="s">
        <v>1084</v>
      </c>
      <c r="I128" s="35" t="s">
        <v>550</v>
      </c>
      <c r="J128" s="58" t="s">
        <v>1337</v>
      </c>
      <c r="K128" s="39"/>
      <c r="M128" s="58">
        <v>990000090</v>
      </c>
      <c r="Y128" s="35" t="s">
        <v>1117</v>
      </c>
      <c r="AA128" s="35" t="s">
        <v>460</v>
      </c>
      <c r="AB128" s="35" t="s">
        <v>969</v>
      </c>
      <c r="AC128" s="35" t="s">
        <v>970</v>
      </c>
      <c r="AD128" s="34" t="s">
        <v>2333</v>
      </c>
      <c r="AE128" s="2" t="s">
        <v>1414</v>
      </c>
      <c r="AF128" s="35" t="s">
        <v>461</v>
      </c>
      <c r="AG128" s="35" t="s">
        <v>10</v>
      </c>
      <c r="AH128" s="35" t="s">
        <v>633</v>
      </c>
      <c r="AI128" s="35" t="s">
        <v>459</v>
      </c>
      <c r="AJ128" s="35" t="s">
        <v>362</v>
      </c>
      <c r="AK128" s="35" t="s">
        <v>678</v>
      </c>
      <c r="AL128" s="35" t="s">
        <v>680</v>
      </c>
      <c r="AM128" s="35" t="s">
        <v>681</v>
      </c>
      <c r="AN128" s="35" t="s">
        <v>682</v>
      </c>
      <c r="AO128" s="35" t="s">
        <v>2358</v>
      </c>
      <c r="AP128" s="35" t="s">
        <v>2359</v>
      </c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</row>
    <row r="129" spans="1:63" s="35" customFormat="1" ht="15" customHeight="1">
      <c r="A129" s="46"/>
      <c r="B129" s="30" t="s">
        <v>606</v>
      </c>
      <c r="D129" s="284" t="s">
        <v>1086</v>
      </c>
      <c r="G129" s="35" t="s">
        <v>1085</v>
      </c>
      <c r="J129" s="58"/>
      <c r="K129" s="39"/>
      <c r="M129" s="58">
        <v>920004351</v>
      </c>
      <c r="Y129" s="35" t="s">
        <v>1117</v>
      </c>
      <c r="AA129" s="35" t="s">
        <v>971</v>
      </c>
      <c r="AB129" s="35" t="s">
        <v>696</v>
      </c>
      <c r="AC129" s="35" t="s">
        <v>970</v>
      </c>
      <c r="AD129" s="178" t="s">
        <v>2269</v>
      </c>
      <c r="AE129" s="35" t="s">
        <v>345</v>
      </c>
      <c r="AF129" s="35" t="s">
        <v>972</v>
      </c>
      <c r="AG129" s="35" t="s">
        <v>10</v>
      </c>
      <c r="AH129" s="35" t="s">
        <v>10</v>
      </c>
      <c r="AI129" s="35" t="s">
        <v>361</v>
      </c>
      <c r="AJ129" s="35" t="s">
        <v>362</v>
      </c>
      <c r="AK129" s="35" t="s">
        <v>678</v>
      </c>
      <c r="AL129" s="35" t="s">
        <v>680</v>
      </c>
      <c r="AM129" s="35" t="s">
        <v>681</v>
      </c>
      <c r="AN129" s="35" t="s">
        <v>682</v>
      </c>
      <c r="AO129" s="35" t="s">
        <v>2358</v>
      </c>
      <c r="AP129" s="35" t="s">
        <v>2359</v>
      </c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</row>
    <row r="130" spans="1:63" s="35" customFormat="1">
      <c r="A130" s="46"/>
      <c r="B130" s="30" t="s">
        <v>606</v>
      </c>
      <c r="D130" s="284" t="s">
        <v>1086</v>
      </c>
      <c r="G130" s="35" t="s">
        <v>1085</v>
      </c>
      <c r="J130" s="58"/>
      <c r="K130" s="39"/>
      <c r="M130" s="58">
        <v>920004298</v>
      </c>
      <c r="Y130" s="35" t="s">
        <v>1117</v>
      </c>
      <c r="AA130" s="35" t="s">
        <v>468</v>
      </c>
      <c r="AB130" s="35" t="s">
        <v>702</v>
      </c>
      <c r="AC130" s="35" t="s">
        <v>973</v>
      </c>
      <c r="AD130" s="178" t="s">
        <v>2270</v>
      </c>
      <c r="AE130" s="2" t="s">
        <v>1069</v>
      </c>
      <c r="AF130" s="35" t="s">
        <v>469</v>
      </c>
      <c r="AG130" s="35" t="s">
        <v>470</v>
      </c>
      <c r="AH130" s="35" t="s">
        <v>10</v>
      </c>
      <c r="AI130" s="35" t="s">
        <v>361</v>
      </c>
      <c r="AJ130" s="35" t="s">
        <v>362</v>
      </c>
      <c r="AK130" s="35" t="s">
        <v>678</v>
      </c>
      <c r="AL130" s="35" t="s">
        <v>680</v>
      </c>
      <c r="AM130" s="35" t="s">
        <v>681</v>
      </c>
      <c r="AN130" s="35" t="s">
        <v>682</v>
      </c>
      <c r="AO130" s="35" t="s">
        <v>2358</v>
      </c>
      <c r="AP130" s="35" t="s">
        <v>2359</v>
      </c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</row>
    <row r="131" spans="1:63" s="35" customFormat="1">
      <c r="A131" s="46"/>
      <c r="B131" s="30" t="s">
        <v>606</v>
      </c>
      <c r="D131" s="284" t="s">
        <v>1086</v>
      </c>
      <c r="G131" s="35" t="s">
        <v>1085</v>
      </c>
      <c r="J131" s="58"/>
      <c r="K131" s="39"/>
      <c r="M131" s="58">
        <v>920004298</v>
      </c>
      <c r="Y131" s="35" t="s">
        <v>1117</v>
      </c>
      <c r="AA131" s="35" t="s">
        <v>468</v>
      </c>
      <c r="AB131" s="35" t="s">
        <v>705</v>
      </c>
      <c r="AC131" s="35" t="s">
        <v>973</v>
      </c>
      <c r="AD131" s="178" t="s">
        <v>2271</v>
      </c>
      <c r="AE131" s="2" t="s">
        <v>1898</v>
      </c>
      <c r="AF131" s="35" t="s">
        <v>469</v>
      </c>
      <c r="AG131" s="35" t="s">
        <v>470</v>
      </c>
      <c r="AH131" s="35" t="s">
        <v>10</v>
      </c>
      <c r="AI131" s="35" t="s">
        <v>361</v>
      </c>
      <c r="AJ131" s="35" t="s">
        <v>362</v>
      </c>
      <c r="AK131" s="35" t="s">
        <v>678</v>
      </c>
      <c r="AL131" s="35" t="s">
        <v>680</v>
      </c>
      <c r="AM131" s="35" t="s">
        <v>681</v>
      </c>
      <c r="AN131" s="35" t="s">
        <v>682</v>
      </c>
      <c r="AO131" s="35" t="s">
        <v>2358</v>
      </c>
      <c r="AP131" s="35" t="s">
        <v>2359</v>
      </c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</row>
    <row r="132" spans="1:63" s="35" customFormat="1" ht="15" customHeight="1">
      <c r="A132" s="46"/>
      <c r="B132" s="30" t="s">
        <v>606</v>
      </c>
      <c r="D132" s="284" t="s">
        <v>1086</v>
      </c>
      <c r="G132" s="35" t="s">
        <v>1085</v>
      </c>
      <c r="J132" s="58"/>
      <c r="K132" s="39"/>
      <c r="M132" s="58">
        <v>920002369</v>
      </c>
      <c r="Y132" s="35" t="s">
        <v>1117</v>
      </c>
      <c r="AA132" s="35" t="s">
        <v>974</v>
      </c>
      <c r="AB132" s="35" t="s">
        <v>700</v>
      </c>
      <c r="AC132" s="35" t="s">
        <v>914</v>
      </c>
      <c r="AD132" s="178" t="s">
        <v>2309</v>
      </c>
      <c r="AE132" s="2" t="s">
        <v>516</v>
      </c>
      <c r="AF132" s="35" t="s">
        <v>975</v>
      </c>
      <c r="AG132" s="35" t="s">
        <v>10</v>
      </c>
      <c r="AH132" s="35" t="s">
        <v>10</v>
      </c>
      <c r="AI132" s="35" t="s">
        <v>361</v>
      </c>
      <c r="AJ132" s="35" t="s">
        <v>362</v>
      </c>
      <c r="AK132" s="35" t="s">
        <v>678</v>
      </c>
      <c r="AL132" s="35" t="s">
        <v>680</v>
      </c>
      <c r="AM132" s="35" t="s">
        <v>681</v>
      </c>
      <c r="AN132" s="35" t="s">
        <v>682</v>
      </c>
      <c r="AO132" s="35" t="s">
        <v>2358</v>
      </c>
      <c r="AP132" s="35" t="s">
        <v>2359</v>
      </c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</row>
    <row r="133" spans="1:63" s="35" customFormat="1" ht="15" customHeight="1">
      <c r="A133" s="46"/>
      <c r="B133" s="30" t="s">
        <v>606</v>
      </c>
      <c r="D133" s="284" t="s">
        <v>1086</v>
      </c>
      <c r="G133" s="35" t="s">
        <v>1085</v>
      </c>
      <c r="J133" s="58"/>
      <c r="K133" s="39"/>
      <c r="M133" s="58">
        <v>920002644</v>
      </c>
      <c r="Y133" s="35" t="s">
        <v>1117</v>
      </c>
      <c r="AC133" s="180" t="s">
        <v>1108</v>
      </c>
      <c r="AD133" s="255" t="s">
        <v>2309</v>
      </c>
      <c r="AF133" s="35" t="s">
        <v>975</v>
      </c>
      <c r="AJ133" s="35" t="s">
        <v>362</v>
      </c>
      <c r="AK133" s="35" t="s">
        <v>678</v>
      </c>
      <c r="AL133" s="35" t="s">
        <v>680</v>
      </c>
      <c r="AM133" s="35" t="s">
        <v>681</v>
      </c>
      <c r="AN133" s="35" t="s">
        <v>682</v>
      </c>
      <c r="AO133" s="35" t="s">
        <v>2358</v>
      </c>
      <c r="AP133" s="35" t="s">
        <v>2359</v>
      </c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</row>
    <row r="134" spans="1:63" s="35" customFormat="1">
      <c r="A134" s="46"/>
      <c r="B134" s="30" t="s">
        <v>606</v>
      </c>
      <c r="D134" s="284" t="s">
        <v>1086</v>
      </c>
      <c r="G134" s="35" t="s">
        <v>1085</v>
      </c>
      <c r="J134" s="58"/>
      <c r="K134" s="39"/>
      <c r="M134" s="58">
        <v>920004298</v>
      </c>
      <c r="Y134" s="35" t="s">
        <v>1117</v>
      </c>
      <c r="AA134" s="35" t="s">
        <v>468</v>
      </c>
      <c r="AB134" s="35" t="s">
        <v>713</v>
      </c>
      <c r="AC134" s="35" t="s">
        <v>973</v>
      </c>
      <c r="AD134" s="178" t="s">
        <v>2275</v>
      </c>
      <c r="AE134" s="2" t="s">
        <v>686</v>
      </c>
      <c r="AF134" s="35" t="s">
        <v>469</v>
      </c>
      <c r="AG134" s="35" t="s">
        <v>470</v>
      </c>
      <c r="AH134" s="35" t="s">
        <v>10</v>
      </c>
      <c r="AI134" s="35" t="s">
        <v>361</v>
      </c>
      <c r="AJ134" s="35" t="s">
        <v>362</v>
      </c>
      <c r="AK134" s="35" t="s">
        <v>678</v>
      </c>
      <c r="AL134" s="35" t="s">
        <v>680</v>
      </c>
      <c r="AM134" s="35" t="s">
        <v>681</v>
      </c>
      <c r="AN134" s="35" t="s">
        <v>682</v>
      </c>
      <c r="AO134" s="35" t="s">
        <v>2358</v>
      </c>
      <c r="AP134" s="35" t="s">
        <v>2359</v>
      </c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</row>
    <row r="135" spans="1:63" s="35" customFormat="1">
      <c r="A135" s="46"/>
      <c r="B135" s="30" t="s">
        <v>606</v>
      </c>
      <c r="D135" s="284" t="s">
        <v>1086</v>
      </c>
      <c r="G135" s="35" t="s">
        <v>1085</v>
      </c>
      <c r="J135" s="58"/>
      <c r="K135" s="39"/>
      <c r="M135" s="58">
        <v>920004298</v>
      </c>
      <c r="Y135" s="35" t="s">
        <v>1117</v>
      </c>
      <c r="AA135" s="35" t="s">
        <v>468</v>
      </c>
      <c r="AB135" s="35" t="s">
        <v>712</v>
      </c>
      <c r="AC135" s="35" t="s">
        <v>973</v>
      </c>
      <c r="AD135" s="178" t="s">
        <v>2274</v>
      </c>
      <c r="AE135" s="2" t="s">
        <v>915</v>
      </c>
      <c r="AF135" s="35" t="s">
        <v>469</v>
      </c>
      <c r="AG135" s="35" t="s">
        <v>470</v>
      </c>
      <c r="AH135" s="35" t="s">
        <v>10</v>
      </c>
      <c r="AI135" s="35" t="s">
        <v>361</v>
      </c>
      <c r="AJ135" s="35" t="s">
        <v>362</v>
      </c>
      <c r="AK135" s="35" t="s">
        <v>678</v>
      </c>
      <c r="AL135" s="35" t="s">
        <v>680</v>
      </c>
      <c r="AM135" s="35" t="s">
        <v>681</v>
      </c>
      <c r="AN135" s="35" t="s">
        <v>682</v>
      </c>
      <c r="AO135" s="35" t="s">
        <v>2358</v>
      </c>
      <c r="AP135" s="35" t="s">
        <v>2359</v>
      </c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</row>
    <row r="136" spans="1:63" s="35" customFormat="1" ht="15" customHeight="1">
      <c r="A136" s="46"/>
      <c r="B136" s="30" t="s">
        <v>606</v>
      </c>
      <c r="D136" s="284" t="s">
        <v>1086</v>
      </c>
      <c r="G136" s="35" t="s">
        <v>1089</v>
      </c>
      <c r="H136" s="35" t="s">
        <v>1086</v>
      </c>
      <c r="J136" s="58"/>
      <c r="K136" s="39"/>
      <c r="L136" s="35" t="s">
        <v>1120</v>
      </c>
      <c r="M136" s="58">
        <v>990001620</v>
      </c>
      <c r="Y136" s="35" t="s">
        <v>1117</v>
      </c>
      <c r="AA136" s="35" t="s">
        <v>368</v>
      </c>
      <c r="AB136" s="35" t="s">
        <v>1299</v>
      </c>
      <c r="AC136" s="35" t="s">
        <v>10</v>
      </c>
      <c r="AD136" s="34" t="s">
        <v>1299</v>
      </c>
      <c r="AE136" s="35" t="s">
        <v>2119</v>
      </c>
      <c r="AF136" s="35" t="s">
        <v>369</v>
      </c>
      <c r="AG136" s="35" t="s">
        <v>10</v>
      </c>
      <c r="AH136" s="35" t="s">
        <v>10</v>
      </c>
      <c r="AI136" s="35" t="s">
        <v>10</v>
      </c>
      <c r="AJ136" s="35" t="s">
        <v>362</v>
      </c>
      <c r="AK136" s="35" t="s">
        <v>10</v>
      </c>
      <c r="AL136" s="35" t="s">
        <v>10</v>
      </c>
      <c r="AM136" s="35" t="s">
        <v>681</v>
      </c>
      <c r="AN136" s="35" t="s">
        <v>682</v>
      </c>
      <c r="AO136" s="35" t="s">
        <v>2358</v>
      </c>
      <c r="AP136" s="35" t="s">
        <v>2359</v>
      </c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</row>
    <row r="137" spans="1:63" s="35" customFormat="1" ht="15" customHeight="1">
      <c r="A137" s="190" t="s">
        <v>2621</v>
      </c>
      <c r="B137" s="30" t="s">
        <v>606</v>
      </c>
      <c r="D137" s="284" t="s">
        <v>1086</v>
      </c>
      <c r="F137" s="32"/>
      <c r="G137" s="35" t="s">
        <v>1085</v>
      </c>
      <c r="H137" s="32"/>
      <c r="I137" s="32"/>
      <c r="J137" s="58"/>
      <c r="K137" s="62"/>
      <c r="L137" s="32"/>
      <c r="M137" s="58" t="s">
        <v>1300</v>
      </c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5" t="s">
        <v>1117</v>
      </c>
      <c r="Z137" s="32"/>
      <c r="AA137" s="35" t="s">
        <v>976</v>
      </c>
      <c r="AB137" s="35" t="s">
        <v>471</v>
      </c>
      <c r="AC137" s="35" t="s">
        <v>10</v>
      </c>
      <c r="AD137" s="456" t="s">
        <v>976</v>
      </c>
      <c r="AE137" s="3" t="s">
        <v>1902</v>
      </c>
      <c r="AF137" s="35" t="s">
        <v>1323</v>
      </c>
      <c r="AG137" s="35" t="s">
        <v>10</v>
      </c>
      <c r="AH137" s="35" t="s">
        <v>10</v>
      </c>
      <c r="AI137" s="35" t="s">
        <v>10</v>
      </c>
      <c r="AJ137" s="35" t="s">
        <v>362</v>
      </c>
      <c r="AK137" s="35" t="s">
        <v>10</v>
      </c>
      <c r="AL137" s="35" t="s">
        <v>10</v>
      </c>
      <c r="AM137" s="35" t="s">
        <v>681</v>
      </c>
      <c r="AN137" s="35" t="s">
        <v>682</v>
      </c>
      <c r="AO137" s="35" t="s">
        <v>2358</v>
      </c>
      <c r="AP137" s="35" t="s">
        <v>2359</v>
      </c>
      <c r="AS137" s="4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</row>
    <row r="138" spans="1:63" s="35" customFormat="1" ht="15" customHeight="1">
      <c r="A138" s="46"/>
      <c r="B138" s="30" t="s">
        <v>606</v>
      </c>
      <c r="D138" s="284" t="s">
        <v>1085</v>
      </c>
      <c r="G138" s="35" t="s">
        <v>1085</v>
      </c>
      <c r="J138" s="58"/>
      <c r="K138" s="39"/>
      <c r="M138" s="58">
        <v>990004382</v>
      </c>
      <c r="Y138" s="35" t="s">
        <v>1117</v>
      </c>
      <c r="AA138" s="35" t="s">
        <v>467</v>
      </c>
      <c r="AB138" s="35" t="s">
        <v>978</v>
      </c>
      <c r="AC138" s="35" t="s">
        <v>10</v>
      </c>
      <c r="AD138" s="34" t="s">
        <v>978</v>
      </c>
      <c r="AE138" s="2" t="s">
        <v>477</v>
      </c>
      <c r="AF138" s="35" t="s">
        <v>1172</v>
      </c>
      <c r="AG138" s="35" t="s">
        <v>10</v>
      </c>
      <c r="AH138" s="35" t="s">
        <v>683</v>
      </c>
      <c r="AI138" s="35" t="s">
        <v>10</v>
      </c>
      <c r="AJ138" s="35" t="s">
        <v>362</v>
      </c>
      <c r="AK138" s="35" t="s">
        <v>678</v>
      </c>
      <c r="AL138" s="35" t="s">
        <v>680</v>
      </c>
      <c r="AM138" s="35" t="s">
        <v>681</v>
      </c>
      <c r="AN138" s="35" t="s">
        <v>682</v>
      </c>
      <c r="AO138" s="35" t="s">
        <v>2358</v>
      </c>
      <c r="AP138" s="35" t="s">
        <v>2359</v>
      </c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</row>
    <row r="139" spans="1:63" s="35" customFormat="1" ht="15" customHeight="1">
      <c r="A139" s="46"/>
      <c r="B139" s="30" t="s">
        <v>606</v>
      </c>
      <c r="D139" s="284" t="s">
        <v>1086</v>
      </c>
      <c r="G139" s="35" t="s">
        <v>1085</v>
      </c>
      <c r="J139" s="58"/>
      <c r="K139" s="39"/>
      <c r="M139" s="58">
        <v>920003881</v>
      </c>
      <c r="Y139" s="35" t="s">
        <v>1117</v>
      </c>
      <c r="AA139" s="35" t="s">
        <v>398</v>
      </c>
      <c r="AB139" s="35" t="s">
        <v>720</v>
      </c>
      <c r="AC139" s="35" t="s">
        <v>719</v>
      </c>
      <c r="AD139" s="34" t="s">
        <v>2276</v>
      </c>
      <c r="AE139" s="35" t="s">
        <v>1910</v>
      </c>
      <c r="AF139" s="35" t="s">
        <v>979</v>
      </c>
      <c r="AG139" s="35" t="s">
        <v>10</v>
      </c>
      <c r="AH139" s="35" t="s">
        <v>10</v>
      </c>
      <c r="AI139" s="35" t="s">
        <v>365</v>
      </c>
      <c r="AJ139" s="35" t="s">
        <v>362</v>
      </c>
      <c r="AK139" s="35" t="s">
        <v>10</v>
      </c>
      <c r="AL139" s="35" t="s">
        <v>10</v>
      </c>
      <c r="AM139" s="35" t="s">
        <v>681</v>
      </c>
      <c r="AN139" s="35" t="s">
        <v>682</v>
      </c>
      <c r="AO139" s="35" t="s">
        <v>10</v>
      </c>
      <c r="AP139" s="35" t="s">
        <v>10</v>
      </c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</row>
    <row r="140" spans="1:63" s="35" customFormat="1" ht="15" customHeight="1">
      <c r="A140" s="46"/>
      <c r="B140" s="30" t="s">
        <v>606</v>
      </c>
      <c r="D140" s="284" t="s">
        <v>1086</v>
      </c>
      <c r="G140" s="35" t="s">
        <v>1089</v>
      </c>
      <c r="H140" s="35" t="s">
        <v>1086</v>
      </c>
      <c r="J140" s="58"/>
      <c r="K140" s="39"/>
      <c r="L140" s="35" t="s">
        <v>1120</v>
      </c>
      <c r="M140" s="58">
        <v>990001883</v>
      </c>
      <c r="Y140" s="35" t="s">
        <v>1117</v>
      </c>
      <c r="AA140" s="35" t="s">
        <v>940</v>
      </c>
      <c r="AB140" s="35" t="s">
        <v>980</v>
      </c>
      <c r="AC140" s="35" t="s">
        <v>10</v>
      </c>
      <c r="AD140" s="34" t="s">
        <v>980</v>
      </c>
      <c r="AE140" s="35" t="s">
        <v>2120</v>
      </c>
      <c r="AF140" s="35" t="s">
        <v>1173</v>
      </c>
      <c r="AG140" s="35" t="s">
        <v>10</v>
      </c>
      <c r="AH140" s="35" t="s">
        <v>10</v>
      </c>
      <c r="AI140" s="35" t="s">
        <v>10</v>
      </c>
      <c r="AJ140" s="35" t="s">
        <v>362</v>
      </c>
      <c r="AK140" s="35" t="s">
        <v>10</v>
      </c>
      <c r="AL140" s="35" t="s">
        <v>10</v>
      </c>
      <c r="AM140" s="35" t="s">
        <v>681</v>
      </c>
      <c r="AN140" s="35" t="s">
        <v>682</v>
      </c>
      <c r="AO140" s="35" t="s">
        <v>10</v>
      </c>
      <c r="AP140" s="35" t="s">
        <v>10</v>
      </c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</row>
    <row r="141" spans="1:63" s="35" customFormat="1" ht="15" customHeight="1">
      <c r="A141" s="46"/>
      <c r="B141" s="30" t="s">
        <v>606</v>
      </c>
      <c r="D141" s="284" t="s">
        <v>1086</v>
      </c>
      <c r="G141" s="35" t="s">
        <v>1089</v>
      </c>
      <c r="H141" s="35" t="s">
        <v>1086</v>
      </c>
      <c r="J141" s="58"/>
      <c r="K141" s="39"/>
      <c r="L141" s="35" t="s">
        <v>1120</v>
      </c>
      <c r="M141" s="58">
        <v>990001883</v>
      </c>
      <c r="Y141" s="35" t="s">
        <v>1117</v>
      </c>
      <c r="AA141" s="35" t="s">
        <v>940</v>
      </c>
      <c r="AB141" s="35" t="s">
        <v>1194</v>
      </c>
      <c r="AC141" s="35" t="s">
        <v>10</v>
      </c>
      <c r="AD141" s="34" t="s">
        <v>1194</v>
      </c>
      <c r="AE141" s="2" t="s">
        <v>686</v>
      </c>
      <c r="AF141" s="35" t="s">
        <v>1173</v>
      </c>
      <c r="AG141" s="35" t="s">
        <v>10</v>
      </c>
      <c r="AH141" s="35" t="s">
        <v>10</v>
      </c>
      <c r="AI141" s="35" t="s">
        <v>10</v>
      </c>
      <c r="AJ141" s="35" t="s">
        <v>362</v>
      </c>
      <c r="AK141" s="35" t="s">
        <v>678</v>
      </c>
      <c r="AL141" s="35" t="s">
        <v>680</v>
      </c>
      <c r="AM141" s="35" t="s">
        <v>681</v>
      </c>
      <c r="AN141" s="35" t="s">
        <v>682</v>
      </c>
      <c r="AO141" s="35" t="s">
        <v>2358</v>
      </c>
      <c r="AP141" s="35" t="s">
        <v>2359</v>
      </c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</row>
    <row r="142" spans="1:63" s="35" customFormat="1" ht="15" customHeight="1">
      <c r="A142" s="46"/>
      <c r="B142" s="30" t="s">
        <v>606</v>
      </c>
      <c r="D142" s="284" t="s">
        <v>1086</v>
      </c>
      <c r="G142" s="35" t="s">
        <v>1089</v>
      </c>
      <c r="H142" s="35" t="s">
        <v>1086</v>
      </c>
      <c r="J142" s="58"/>
      <c r="K142" s="39"/>
      <c r="L142" s="30" t="s">
        <v>1120</v>
      </c>
      <c r="M142" s="58">
        <v>990003306</v>
      </c>
      <c r="Y142" s="35" t="s">
        <v>1117</v>
      </c>
      <c r="AA142" s="35" t="s">
        <v>1197</v>
      </c>
      <c r="AB142" s="35" t="s">
        <v>1196</v>
      </c>
      <c r="AC142" s="35" t="s">
        <v>10</v>
      </c>
      <c r="AD142" s="34" t="s">
        <v>1196</v>
      </c>
      <c r="AE142" s="35" t="s">
        <v>515</v>
      </c>
      <c r="AF142" s="35" t="s">
        <v>1195</v>
      </c>
      <c r="AG142" s="35" t="s">
        <v>10</v>
      </c>
      <c r="AH142" s="35" t="s">
        <v>10</v>
      </c>
      <c r="AI142" s="35" t="s">
        <v>10</v>
      </c>
      <c r="AJ142" s="35" t="s">
        <v>362</v>
      </c>
      <c r="AK142" s="35" t="s">
        <v>678</v>
      </c>
      <c r="AL142" s="35" t="s">
        <v>680</v>
      </c>
      <c r="AM142" s="35" t="s">
        <v>681</v>
      </c>
      <c r="AN142" s="35" t="s">
        <v>682</v>
      </c>
      <c r="AO142" s="35" t="s">
        <v>2358</v>
      </c>
      <c r="AP142" s="35" t="s">
        <v>2359</v>
      </c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</row>
    <row r="143" spans="1:63" s="35" customFormat="1" ht="15" customHeight="1">
      <c r="A143" s="46"/>
      <c r="B143" s="30" t="s">
        <v>606</v>
      </c>
      <c r="D143" s="284" t="s">
        <v>1085</v>
      </c>
      <c r="G143" s="35" t="s">
        <v>1085</v>
      </c>
      <c r="J143" s="58"/>
      <c r="K143" s="39"/>
      <c r="M143" s="58">
        <v>990004399</v>
      </c>
      <c r="Y143" s="35" t="s">
        <v>1117</v>
      </c>
      <c r="AA143" s="35" t="s">
        <v>467</v>
      </c>
      <c r="AB143" s="35" t="s">
        <v>943</v>
      </c>
      <c r="AC143" s="35" t="s">
        <v>10</v>
      </c>
      <c r="AD143" s="34" t="s">
        <v>943</v>
      </c>
      <c r="AE143" s="2" t="s">
        <v>346</v>
      </c>
      <c r="AF143" s="35" t="s">
        <v>944</v>
      </c>
      <c r="AG143" s="35" t="s">
        <v>10</v>
      </c>
      <c r="AH143" s="35" t="s">
        <v>10</v>
      </c>
      <c r="AI143" s="35" t="s">
        <v>10</v>
      </c>
      <c r="AJ143" s="35" t="s">
        <v>362</v>
      </c>
      <c r="AK143" s="35" t="s">
        <v>678</v>
      </c>
      <c r="AL143" s="35" t="s">
        <v>680</v>
      </c>
      <c r="AM143" s="35" t="s">
        <v>681</v>
      </c>
      <c r="AN143" s="35" t="s">
        <v>682</v>
      </c>
      <c r="AO143" s="35" t="s">
        <v>2358</v>
      </c>
      <c r="AP143" s="35" t="s">
        <v>2359</v>
      </c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</row>
    <row r="144" spans="1:63" s="35" customFormat="1" ht="15" customHeight="1">
      <c r="A144" s="46"/>
      <c r="B144" s="30" t="s">
        <v>606</v>
      </c>
      <c r="D144" s="284" t="s">
        <v>1086</v>
      </c>
      <c r="G144" s="35" t="s">
        <v>1085</v>
      </c>
      <c r="J144" s="58"/>
      <c r="K144" s="39"/>
      <c r="M144" s="58">
        <v>920004037</v>
      </c>
      <c r="Y144" s="35" t="s">
        <v>1117</v>
      </c>
      <c r="AA144" s="35" t="s">
        <v>417</v>
      </c>
      <c r="AB144" s="35" t="s">
        <v>685</v>
      </c>
      <c r="AC144" s="35" t="s">
        <v>502</v>
      </c>
      <c r="AD144" s="178" t="s">
        <v>1870</v>
      </c>
      <c r="AE144" s="2" t="s">
        <v>1392</v>
      </c>
      <c r="AF144" s="35" t="s">
        <v>418</v>
      </c>
      <c r="AG144" s="35" t="s">
        <v>419</v>
      </c>
      <c r="AH144" s="35" t="s">
        <v>10</v>
      </c>
      <c r="AI144" s="35" t="s">
        <v>372</v>
      </c>
      <c r="AJ144" s="35" t="s">
        <v>362</v>
      </c>
      <c r="AK144" s="35" t="s">
        <v>678</v>
      </c>
      <c r="AL144" s="35" t="s">
        <v>680</v>
      </c>
      <c r="AM144" s="35" t="s">
        <v>681</v>
      </c>
      <c r="AN144" s="35" t="s">
        <v>682</v>
      </c>
      <c r="AO144" s="35" t="s">
        <v>2358</v>
      </c>
      <c r="AP144" s="35" t="s">
        <v>2359</v>
      </c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</row>
    <row r="145" spans="1:63" s="35" customFormat="1" ht="15" customHeight="1">
      <c r="A145" s="46"/>
      <c r="B145" s="30" t="s">
        <v>606</v>
      </c>
      <c r="D145" s="284" t="s">
        <v>1086</v>
      </c>
      <c r="E145" s="35" t="s">
        <v>2342</v>
      </c>
      <c r="G145" s="35" t="s">
        <v>1085</v>
      </c>
      <c r="J145" s="58"/>
      <c r="K145" s="39"/>
      <c r="M145" s="58"/>
      <c r="Y145" s="35" t="s">
        <v>1117</v>
      </c>
      <c r="AA145" s="3" t="s">
        <v>2341</v>
      </c>
      <c r="AB145" s="3" t="s">
        <v>325</v>
      </c>
      <c r="AC145" s="3" t="s">
        <v>1728</v>
      </c>
      <c r="AD145" s="178" t="s">
        <v>2238</v>
      </c>
      <c r="AE145" s="3" t="s">
        <v>1865</v>
      </c>
      <c r="AF145" s="3" t="s">
        <v>2341</v>
      </c>
      <c r="AG145" s="3" t="s">
        <v>10</v>
      </c>
      <c r="AH145" s="3" t="s">
        <v>10</v>
      </c>
      <c r="AI145" s="3" t="s">
        <v>373</v>
      </c>
      <c r="AJ145" s="3" t="s">
        <v>362</v>
      </c>
      <c r="AK145" s="35" t="s">
        <v>678</v>
      </c>
      <c r="AL145" s="35" t="s">
        <v>680</v>
      </c>
      <c r="AM145" s="35" t="s">
        <v>681</v>
      </c>
      <c r="AN145" s="35" t="s">
        <v>682</v>
      </c>
      <c r="AO145" s="35" t="s">
        <v>2358</v>
      </c>
      <c r="AP145" s="35" t="s">
        <v>2359</v>
      </c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</row>
    <row r="146" spans="1:63" s="35" customFormat="1" ht="15" customHeight="1">
      <c r="A146" s="46"/>
      <c r="B146" s="30" t="s">
        <v>606</v>
      </c>
      <c r="D146" s="284" t="s">
        <v>1086</v>
      </c>
      <c r="E146" s="35" t="s">
        <v>2342</v>
      </c>
      <c r="G146" s="35" t="s">
        <v>1085</v>
      </c>
      <c r="J146" s="58"/>
      <c r="K146" s="39"/>
      <c r="M146" s="58"/>
      <c r="Y146" s="35" t="s">
        <v>1117</v>
      </c>
      <c r="AA146" s="3" t="s">
        <v>2341</v>
      </c>
      <c r="AB146" s="3" t="s">
        <v>533</v>
      </c>
      <c r="AC146" s="3" t="s">
        <v>1703</v>
      </c>
      <c r="AD146" s="178" t="s">
        <v>2240</v>
      </c>
      <c r="AE146" s="3" t="s">
        <v>1687</v>
      </c>
      <c r="AF146" s="3" t="s">
        <v>2341</v>
      </c>
      <c r="AG146" s="3" t="s">
        <v>10</v>
      </c>
      <c r="AH146" s="3" t="s">
        <v>10</v>
      </c>
      <c r="AI146" s="3" t="s">
        <v>373</v>
      </c>
      <c r="AJ146" s="3" t="s">
        <v>362</v>
      </c>
      <c r="AK146" s="35" t="s">
        <v>678</v>
      </c>
      <c r="AL146" s="35" t="s">
        <v>680</v>
      </c>
      <c r="AM146" s="35" t="s">
        <v>681</v>
      </c>
      <c r="AN146" s="35" t="s">
        <v>682</v>
      </c>
      <c r="AO146" s="35" t="s">
        <v>2358</v>
      </c>
      <c r="AP146" s="35" t="s">
        <v>2359</v>
      </c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</row>
    <row r="147" spans="1:63" s="35" customFormat="1" ht="15" customHeight="1">
      <c r="A147" s="46"/>
      <c r="B147" s="30" t="s">
        <v>606</v>
      </c>
      <c r="D147" s="284" t="s">
        <v>1086</v>
      </c>
      <c r="E147" s="35" t="s">
        <v>2342</v>
      </c>
      <c r="G147" s="35" t="s">
        <v>1085</v>
      </c>
      <c r="J147" s="58"/>
      <c r="K147" s="39"/>
      <c r="M147" s="58"/>
      <c r="Y147" s="35" t="s">
        <v>1117</v>
      </c>
      <c r="AA147" s="3" t="s">
        <v>2341</v>
      </c>
      <c r="AB147" s="3" t="s">
        <v>531</v>
      </c>
      <c r="AC147" s="3" t="s">
        <v>1730</v>
      </c>
      <c r="AD147" s="178" t="s">
        <v>2241</v>
      </c>
      <c r="AE147" s="3" t="s">
        <v>1310</v>
      </c>
      <c r="AF147" s="3" t="s">
        <v>2341</v>
      </c>
      <c r="AG147" s="3" t="s">
        <v>10</v>
      </c>
      <c r="AH147" s="3" t="s">
        <v>10</v>
      </c>
      <c r="AI147" s="3" t="s">
        <v>373</v>
      </c>
      <c r="AJ147" s="3" t="s">
        <v>362</v>
      </c>
      <c r="AK147" s="35" t="s">
        <v>678</v>
      </c>
      <c r="AL147" s="35" t="s">
        <v>680</v>
      </c>
      <c r="AM147" s="35" t="s">
        <v>681</v>
      </c>
      <c r="AN147" s="35" t="s">
        <v>682</v>
      </c>
      <c r="AO147" s="35" t="s">
        <v>2358</v>
      </c>
      <c r="AP147" s="35" t="s">
        <v>2359</v>
      </c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</row>
    <row r="148" spans="1:63" s="35" customFormat="1" ht="15" customHeight="1">
      <c r="A148" s="46"/>
      <c r="B148" s="30" t="s">
        <v>606</v>
      </c>
      <c r="D148" s="284" t="s">
        <v>1086</v>
      </c>
      <c r="E148" s="35" t="s">
        <v>2342</v>
      </c>
      <c r="G148" s="35" t="s">
        <v>1085</v>
      </c>
      <c r="J148" s="58"/>
      <c r="K148" s="39"/>
      <c r="M148" s="58"/>
      <c r="Y148" s="35" t="s">
        <v>1117</v>
      </c>
      <c r="AA148" s="3" t="s">
        <v>2341</v>
      </c>
      <c r="AB148" s="3" t="s">
        <v>684</v>
      </c>
      <c r="AC148" s="3" t="s">
        <v>1706</v>
      </c>
      <c r="AD148" s="178" t="s">
        <v>2239</v>
      </c>
      <c r="AE148" s="3" t="s">
        <v>519</v>
      </c>
      <c r="AF148" s="3" t="s">
        <v>2341</v>
      </c>
      <c r="AG148" s="3" t="s">
        <v>10</v>
      </c>
      <c r="AH148" s="3" t="s">
        <v>10</v>
      </c>
      <c r="AI148" s="3" t="s">
        <v>373</v>
      </c>
      <c r="AJ148" s="3" t="s">
        <v>362</v>
      </c>
      <c r="AK148" s="35" t="s">
        <v>678</v>
      </c>
      <c r="AL148" s="35" t="s">
        <v>680</v>
      </c>
      <c r="AM148" s="35" t="s">
        <v>681</v>
      </c>
      <c r="AN148" s="35" t="s">
        <v>682</v>
      </c>
      <c r="AO148" s="35" t="s">
        <v>2358</v>
      </c>
      <c r="AP148" s="35" t="s">
        <v>2359</v>
      </c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</row>
    <row r="149" spans="1:63" s="35" customFormat="1" ht="15" customHeight="1">
      <c r="A149" s="46"/>
      <c r="B149" s="30" t="s">
        <v>606</v>
      </c>
      <c r="D149" s="284" t="s">
        <v>1086</v>
      </c>
      <c r="E149" s="35" t="s">
        <v>2342</v>
      </c>
      <c r="G149" s="35" t="s">
        <v>1085</v>
      </c>
      <c r="J149" s="58"/>
      <c r="K149" s="39"/>
      <c r="M149" s="58"/>
      <c r="Y149" s="35" t="s">
        <v>1117</v>
      </c>
      <c r="AA149" s="3" t="s">
        <v>2341</v>
      </c>
      <c r="AB149" s="3" t="s">
        <v>701</v>
      </c>
      <c r="AC149" s="3" t="s">
        <v>1731</v>
      </c>
      <c r="AD149" s="178" t="s">
        <v>2242</v>
      </c>
      <c r="AE149" s="3" t="s">
        <v>408</v>
      </c>
      <c r="AF149" s="3" t="s">
        <v>2341</v>
      </c>
      <c r="AG149" s="3" t="s">
        <v>10</v>
      </c>
      <c r="AH149" s="3" t="s">
        <v>10</v>
      </c>
      <c r="AI149" s="3" t="s">
        <v>373</v>
      </c>
      <c r="AJ149" s="3" t="s">
        <v>362</v>
      </c>
      <c r="AK149" s="3" t="s">
        <v>10</v>
      </c>
      <c r="AL149" s="3" t="s">
        <v>10</v>
      </c>
      <c r="AM149" s="35" t="s">
        <v>681</v>
      </c>
      <c r="AN149" s="35" t="s">
        <v>682</v>
      </c>
      <c r="AO149" s="35" t="s">
        <v>2358</v>
      </c>
      <c r="AP149" s="35" t="s">
        <v>2359</v>
      </c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</row>
    <row r="150" spans="1:63" s="35" customFormat="1" ht="15" customHeight="1">
      <c r="A150" s="46"/>
      <c r="B150" s="30" t="s">
        <v>606</v>
      </c>
      <c r="D150" s="284" t="s">
        <v>1086</v>
      </c>
      <c r="E150" s="35" t="s">
        <v>2342</v>
      </c>
      <c r="G150" s="35" t="s">
        <v>1085</v>
      </c>
      <c r="J150" s="58"/>
      <c r="K150" s="39"/>
      <c r="M150" s="58"/>
      <c r="Y150" s="35" t="s">
        <v>1117</v>
      </c>
      <c r="AA150" s="3" t="s">
        <v>2341</v>
      </c>
      <c r="AB150" s="3" t="s">
        <v>602</v>
      </c>
      <c r="AC150" s="3" t="s">
        <v>1707</v>
      </c>
      <c r="AD150" s="178" t="s">
        <v>2243</v>
      </c>
      <c r="AE150" s="3" t="s">
        <v>1374</v>
      </c>
      <c r="AF150" s="3" t="s">
        <v>2341</v>
      </c>
      <c r="AG150" s="3" t="s">
        <v>10</v>
      </c>
      <c r="AH150" s="3" t="s">
        <v>10</v>
      </c>
      <c r="AI150" s="3" t="s">
        <v>373</v>
      </c>
      <c r="AJ150" s="3" t="s">
        <v>362</v>
      </c>
      <c r="AK150" s="35" t="s">
        <v>678</v>
      </c>
      <c r="AL150" s="3" t="s">
        <v>10</v>
      </c>
      <c r="AM150" s="35" t="s">
        <v>681</v>
      </c>
      <c r="AN150" s="3" t="s">
        <v>10</v>
      </c>
      <c r="AO150" s="35" t="s">
        <v>2358</v>
      </c>
      <c r="AP150" s="248" t="s">
        <v>10</v>
      </c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</row>
    <row r="151" spans="1:63" s="35" customFormat="1" ht="14.25" customHeight="1">
      <c r="A151" s="46"/>
      <c r="B151" s="30" t="s">
        <v>607</v>
      </c>
      <c r="D151" s="284"/>
      <c r="J151" s="58"/>
      <c r="K151" s="39"/>
      <c r="M151" s="58"/>
      <c r="Y151" s="35" t="s">
        <v>1117</v>
      </c>
      <c r="AA151" s="35" t="s">
        <v>285</v>
      </c>
      <c r="AD151" s="34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</row>
    <row r="152" spans="1:63" s="35" customFormat="1" ht="15" customHeight="1">
      <c r="A152" s="46"/>
      <c r="B152" s="30" t="s">
        <v>607</v>
      </c>
      <c r="D152" s="284"/>
      <c r="J152" s="58"/>
      <c r="K152" s="39"/>
      <c r="M152" s="58"/>
      <c r="Y152" s="35" t="s">
        <v>1117</v>
      </c>
      <c r="AA152" s="35" t="s">
        <v>0</v>
      </c>
      <c r="AB152" s="34" t="s">
        <v>722</v>
      </c>
      <c r="AC152" s="35" t="s">
        <v>599</v>
      </c>
      <c r="AD152" s="178" t="s">
        <v>1912</v>
      </c>
      <c r="AE152" s="35" t="s">
        <v>1</v>
      </c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</row>
    <row r="153" spans="1:63" s="35" customFormat="1" ht="15" customHeight="1">
      <c r="A153" s="46"/>
      <c r="B153" s="30" t="s">
        <v>607</v>
      </c>
      <c r="D153" s="284"/>
      <c r="J153" s="58"/>
      <c r="K153" s="39"/>
      <c r="M153" s="58"/>
      <c r="Y153" s="35" t="s">
        <v>1117</v>
      </c>
      <c r="AA153" s="35" t="s">
        <v>354</v>
      </c>
      <c r="AB153" s="35" t="s">
        <v>355</v>
      </c>
      <c r="AC153" s="35" t="s">
        <v>356</v>
      </c>
      <c r="AD153" s="34" t="s">
        <v>7</v>
      </c>
      <c r="AE153" s="35" t="s">
        <v>8</v>
      </c>
      <c r="AF153" s="35" t="s">
        <v>357</v>
      </c>
      <c r="AG153" s="35" t="s">
        <v>358</v>
      </c>
      <c r="AH153" s="35" t="s">
        <v>359</v>
      </c>
      <c r="AI153" s="35" t="s">
        <v>9</v>
      </c>
      <c r="AJ153" s="35" t="s">
        <v>360</v>
      </c>
      <c r="AK153" s="35" t="s">
        <v>0</v>
      </c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</row>
    <row r="154" spans="1:63" s="35" customFormat="1" ht="15" customHeight="1">
      <c r="A154" s="46"/>
      <c r="B154" s="30" t="s">
        <v>607</v>
      </c>
      <c r="D154" s="284" t="s">
        <v>1086</v>
      </c>
      <c r="G154" s="35" t="s">
        <v>1085</v>
      </c>
      <c r="J154" s="58"/>
      <c r="K154" s="39"/>
      <c r="M154" s="58">
        <v>920003556</v>
      </c>
      <c r="Y154" s="35" t="s">
        <v>1117</v>
      </c>
      <c r="AA154" s="35" t="s">
        <v>398</v>
      </c>
      <c r="AB154" s="35" t="s">
        <v>724</v>
      </c>
      <c r="AC154" s="35" t="s">
        <v>983</v>
      </c>
      <c r="AD154" s="178" t="s">
        <v>2312</v>
      </c>
      <c r="AE154" s="3" t="s">
        <v>540</v>
      </c>
      <c r="AF154" s="35" t="s">
        <v>399</v>
      </c>
      <c r="AG154" s="35" t="s">
        <v>10</v>
      </c>
      <c r="AH154" s="35" t="s">
        <v>10</v>
      </c>
      <c r="AI154" s="35" t="s">
        <v>361</v>
      </c>
      <c r="AJ154" s="35" t="s">
        <v>362</v>
      </c>
      <c r="AK154" s="35" t="s">
        <v>722</v>
      </c>
      <c r="AL154" s="32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</row>
    <row r="155" spans="1:63" s="35" customFormat="1" ht="15" customHeight="1">
      <c r="A155" s="190" t="s">
        <v>2621</v>
      </c>
      <c r="B155" s="30" t="s">
        <v>607</v>
      </c>
      <c r="D155" s="284" t="s">
        <v>1086</v>
      </c>
      <c r="G155" s="35" t="s">
        <v>1085</v>
      </c>
      <c r="J155" s="58"/>
      <c r="K155" s="39"/>
      <c r="M155" s="454">
        <v>920002369</v>
      </c>
      <c r="Y155" s="35" t="s">
        <v>1117</v>
      </c>
      <c r="AA155" s="35" t="s">
        <v>985</v>
      </c>
      <c r="AB155" s="35" t="s">
        <v>723</v>
      </c>
      <c r="AC155" s="35" t="s">
        <v>986</v>
      </c>
      <c r="AD155" s="178" t="s">
        <v>2277</v>
      </c>
      <c r="AE155" s="3" t="s">
        <v>694</v>
      </c>
      <c r="AF155" s="35" t="s">
        <v>987</v>
      </c>
      <c r="AG155" s="35" t="s">
        <v>10</v>
      </c>
      <c r="AH155" s="35" t="s">
        <v>10</v>
      </c>
      <c r="AI155" s="35" t="s">
        <v>372</v>
      </c>
      <c r="AJ155" s="35" t="s">
        <v>362</v>
      </c>
      <c r="AK155" s="35" t="s">
        <v>722</v>
      </c>
      <c r="AL155" s="32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</row>
    <row r="156" spans="1:63" s="35" customFormat="1" ht="15" customHeight="1">
      <c r="A156" s="46"/>
      <c r="B156" s="30" t="s">
        <v>607</v>
      </c>
      <c r="D156" s="284" t="s">
        <v>1086</v>
      </c>
      <c r="G156" s="35" t="s">
        <v>1085</v>
      </c>
      <c r="J156" s="58"/>
      <c r="K156" s="39"/>
      <c r="M156" s="175">
        <v>920002370</v>
      </c>
      <c r="Y156" s="35" t="s">
        <v>1117</v>
      </c>
      <c r="AC156" s="180" t="s">
        <v>1108</v>
      </c>
      <c r="AD156" s="255" t="s">
        <v>2277</v>
      </c>
      <c r="AF156" s="35" t="s">
        <v>987</v>
      </c>
      <c r="AJ156" s="35" t="s">
        <v>362</v>
      </c>
      <c r="AK156" s="35" t="s">
        <v>722</v>
      </c>
      <c r="AL156" s="32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</row>
    <row r="157" spans="1:63" s="35" customFormat="1" ht="15" customHeight="1">
      <c r="A157" s="46"/>
      <c r="B157" s="30" t="s">
        <v>607</v>
      </c>
      <c r="D157" s="284" t="s">
        <v>1083</v>
      </c>
      <c r="G157" s="35" t="s">
        <v>1084</v>
      </c>
      <c r="I157" s="35" t="s">
        <v>550</v>
      </c>
      <c r="J157" s="58" t="s">
        <v>1328</v>
      </c>
      <c r="K157" s="39"/>
      <c r="M157" s="58">
        <v>990000248</v>
      </c>
      <c r="Y157" s="35" t="s">
        <v>1117</v>
      </c>
      <c r="AA157" s="35" t="s">
        <v>434</v>
      </c>
      <c r="AB157" s="35" t="s">
        <v>988</v>
      </c>
      <c r="AC157" s="35" t="s">
        <v>986</v>
      </c>
      <c r="AD157" s="34" t="s">
        <v>2334</v>
      </c>
      <c r="AE157" s="3" t="s">
        <v>1158</v>
      </c>
      <c r="AF157" s="35" t="s">
        <v>435</v>
      </c>
      <c r="AG157" s="35" t="s">
        <v>10</v>
      </c>
      <c r="AH157" s="35" t="s">
        <v>626</v>
      </c>
      <c r="AI157" s="35" t="s">
        <v>436</v>
      </c>
      <c r="AJ157" s="35" t="s">
        <v>362</v>
      </c>
      <c r="AK157" s="35" t="s">
        <v>722</v>
      </c>
      <c r="AL157" s="32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</row>
    <row r="158" spans="1:63" s="35" customFormat="1" ht="15" customHeight="1">
      <c r="A158" s="46"/>
      <c r="B158" s="30" t="s">
        <v>607</v>
      </c>
      <c r="D158" s="284" t="s">
        <v>1086</v>
      </c>
      <c r="G158" s="35" t="s">
        <v>1089</v>
      </c>
      <c r="H158" s="35" t="s">
        <v>1086</v>
      </c>
      <c r="J158" s="58"/>
      <c r="K158" s="39"/>
      <c r="L158" s="35" t="s">
        <v>1120</v>
      </c>
      <c r="M158" s="58">
        <v>990001620</v>
      </c>
      <c r="Y158" s="35" t="s">
        <v>1117</v>
      </c>
      <c r="AA158" s="35" t="s">
        <v>368</v>
      </c>
      <c r="AB158" s="35" t="s">
        <v>932</v>
      </c>
      <c r="AC158" s="35" t="s">
        <v>10</v>
      </c>
      <c r="AD158" s="34" t="s">
        <v>932</v>
      </c>
      <c r="AE158" s="3" t="s">
        <v>2121</v>
      </c>
      <c r="AF158" s="35" t="s">
        <v>369</v>
      </c>
      <c r="AG158" s="35" t="s">
        <v>10</v>
      </c>
      <c r="AH158" s="35" t="s">
        <v>10</v>
      </c>
      <c r="AI158" s="35" t="s">
        <v>10</v>
      </c>
      <c r="AJ158" s="35" t="s">
        <v>362</v>
      </c>
      <c r="AK158" s="35" t="s">
        <v>722</v>
      </c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</row>
    <row r="159" spans="1:63" s="35" customFormat="1" ht="15" customHeight="1">
      <c r="A159" s="46"/>
      <c r="B159" s="30" t="s">
        <v>608</v>
      </c>
      <c r="D159" s="284"/>
      <c r="J159" s="58"/>
      <c r="K159" s="39"/>
      <c r="M159" s="58"/>
      <c r="AA159" s="35" t="s">
        <v>70</v>
      </c>
      <c r="AD159" s="34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</row>
    <row r="160" spans="1:63" s="35" customFormat="1" ht="15" customHeight="1">
      <c r="A160" s="46"/>
      <c r="B160" s="30" t="s">
        <v>608</v>
      </c>
      <c r="D160" s="284"/>
      <c r="J160" s="58"/>
      <c r="K160" s="39"/>
      <c r="M160" s="58"/>
      <c r="AA160" s="35" t="s">
        <v>0</v>
      </c>
      <c r="AB160" s="34" t="s">
        <v>727</v>
      </c>
      <c r="AC160" s="35" t="s">
        <v>347</v>
      </c>
      <c r="AD160" s="178" t="s">
        <v>1919</v>
      </c>
      <c r="AE160" s="35" t="s">
        <v>1</v>
      </c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</row>
    <row r="161" spans="1:63" s="35" customFormat="1" ht="15" customHeight="1">
      <c r="A161" s="46"/>
      <c r="B161" s="30" t="s">
        <v>608</v>
      </c>
      <c r="D161" s="284"/>
      <c r="J161" s="58"/>
      <c r="K161" s="39"/>
      <c r="M161" s="58"/>
      <c r="AA161" s="35" t="s">
        <v>2</v>
      </c>
      <c r="AB161" s="34" t="s">
        <v>728</v>
      </c>
      <c r="AC161" s="35" t="s">
        <v>348</v>
      </c>
      <c r="AD161" s="178" t="s">
        <v>1921</v>
      </c>
      <c r="AE161" s="35" t="s">
        <v>1</v>
      </c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</row>
    <row r="162" spans="1:63" s="35" customFormat="1" ht="15" customHeight="1">
      <c r="A162" s="46"/>
      <c r="B162" s="30" t="s">
        <v>608</v>
      </c>
      <c r="D162" s="284"/>
      <c r="J162" s="58"/>
      <c r="K162" s="39"/>
      <c r="M162" s="58"/>
      <c r="AA162" s="35" t="s">
        <v>3</v>
      </c>
      <c r="AB162" s="34" t="s">
        <v>729</v>
      </c>
      <c r="AC162" s="35" t="s">
        <v>349</v>
      </c>
      <c r="AD162" s="178" t="s">
        <v>1922</v>
      </c>
      <c r="AE162" s="35" t="s">
        <v>1</v>
      </c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</row>
    <row r="163" spans="1:63" s="35" customFormat="1" ht="15" customHeight="1">
      <c r="A163" s="46"/>
      <c r="B163" s="30" t="s">
        <v>608</v>
      </c>
      <c r="D163" s="284"/>
      <c r="J163" s="58"/>
      <c r="K163" s="39"/>
      <c r="M163" s="58"/>
      <c r="AA163" s="35" t="s">
        <v>354</v>
      </c>
      <c r="AB163" s="35" t="s">
        <v>355</v>
      </c>
      <c r="AC163" s="35" t="s">
        <v>356</v>
      </c>
      <c r="AD163" s="34" t="s">
        <v>7</v>
      </c>
      <c r="AE163" s="35" t="s">
        <v>8</v>
      </c>
      <c r="AF163" s="35" t="s">
        <v>357</v>
      </c>
      <c r="AG163" s="35" t="s">
        <v>358</v>
      </c>
      <c r="AH163" s="35" t="s">
        <v>359</v>
      </c>
      <c r="AI163" s="35" t="s">
        <v>9</v>
      </c>
      <c r="AJ163" s="35" t="s">
        <v>360</v>
      </c>
      <c r="AK163" s="35" t="s">
        <v>0</v>
      </c>
      <c r="AL163" s="35" t="s">
        <v>2</v>
      </c>
      <c r="AM163" s="35" t="s">
        <v>3</v>
      </c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</row>
    <row r="164" spans="1:63" s="32" customFormat="1" ht="15" customHeight="1">
      <c r="A164" s="49"/>
      <c r="B164" s="30" t="s">
        <v>608</v>
      </c>
      <c r="C164" s="35"/>
      <c r="D164" s="284" t="s">
        <v>1086</v>
      </c>
      <c r="E164" s="35"/>
      <c r="G164" s="35" t="s">
        <v>1085</v>
      </c>
      <c r="J164" s="59"/>
      <c r="K164" s="62"/>
      <c r="M164" s="58">
        <v>920006346</v>
      </c>
      <c r="Y164" s="35" t="s">
        <v>1117</v>
      </c>
      <c r="AA164" s="35" t="s">
        <v>404</v>
      </c>
      <c r="AB164" s="35" t="s">
        <v>747</v>
      </c>
      <c r="AC164" s="35" t="s">
        <v>989</v>
      </c>
      <c r="AD164" s="178" t="s">
        <v>2279</v>
      </c>
      <c r="AE164" s="3" t="s">
        <v>517</v>
      </c>
      <c r="AF164" s="35" t="s">
        <v>405</v>
      </c>
      <c r="AG164" s="35" t="s">
        <v>406</v>
      </c>
      <c r="AH164" s="35" t="s">
        <v>10</v>
      </c>
      <c r="AI164" s="35" t="s">
        <v>365</v>
      </c>
      <c r="AJ164" s="35" t="s">
        <v>362</v>
      </c>
      <c r="AK164" s="35" t="s">
        <v>10</v>
      </c>
      <c r="AL164" s="35" t="s">
        <v>10</v>
      </c>
      <c r="AM164" s="35" t="s">
        <v>729</v>
      </c>
      <c r="AN164" s="35"/>
      <c r="AO164" s="35"/>
      <c r="AP164" s="35"/>
      <c r="AQ164" s="35"/>
      <c r="AR164" s="35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</row>
    <row r="165" spans="1:63" s="35" customFormat="1" ht="15" customHeight="1">
      <c r="A165" s="49"/>
      <c r="B165" s="30" t="s">
        <v>608</v>
      </c>
      <c r="D165" s="284" t="s">
        <v>1086</v>
      </c>
      <c r="G165" s="35" t="s">
        <v>1085</v>
      </c>
      <c r="J165" s="58"/>
      <c r="K165" s="39"/>
      <c r="M165" s="174">
        <v>920002165</v>
      </c>
      <c r="Y165" s="35" t="s">
        <v>1117</v>
      </c>
      <c r="AA165" s="35" t="s">
        <v>526</v>
      </c>
      <c r="AB165" s="35" t="s">
        <v>735</v>
      </c>
      <c r="AC165" s="35" t="s">
        <v>920</v>
      </c>
      <c r="AD165" s="178" t="s">
        <v>2278</v>
      </c>
      <c r="AE165" s="3" t="s">
        <v>879</v>
      </c>
      <c r="AF165" s="35" t="s">
        <v>990</v>
      </c>
      <c r="AG165" s="35" t="s">
        <v>10</v>
      </c>
      <c r="AH165" s="35" t="s">
        <v>10</v>
      </c>
      <c r="AI165" s="35" t="s">
        <v>372</v>
      </c>
      <c r="AJ165" s="35" t="s">
        <v>362</v>
      </c>
      <c r="AK165" s="35" t="s">
        <v>727</v>
      </c>
      <c r="AL165" s="35" t="s">
        <v>10</v>
      </c>
      <c r="AM165" s="35" t="s">
        <v>10</v>
      </c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</row>
    <row r="166" spans="1:63" s="35" customFormat="1" ht="15" customHeight="1">
      <c r="A166" s="49"/>
      <c r="B166" s="30" t="s">
        <v>608</v>
      </c>
      <c r="D166" s="284" t="s">
        <v>1086</v>
      </c>
      <c r="G166" s="35" t="s">
        <v>1085</v>
      </c>
      <c r="J166" s="58"/>
      <c r="K166" s="39"/>
      <c r="M166" s="77">
        <v>920002309</v>
      </c>
      <c r="Y166" s="35" t="s">
        <v>1117</v>
      </c>
      <c r="AC166" s="180" t="s">
        <v>1104</v>
      </c>
      <c r="AD166" s="255" t="s">
        <v>2278</v>
      </c>
      <c r="AF166" s="35" t="s">
        <v>990</v>
      </c>
      <c r="AJ166" s="35" t="s">
        <v>362</v>
      </c>
      <c r="AK166" s="35" t="s">
        <v>727</v>
      </c>
      <c r="AL166" s="35" t="s">
        <v>10</v>
      </c>
      <c r="AM166" s="35" t="s">
        <v>10</v>
      </c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</row>
    <row r="167" spans="1:63" s="405" customFormat="1" ht="15" customHeight="1">
      <c r="A167" s="402"/>
      <c r="B167" s="403" t="s">
        <v>605</v>
      </c>
      <c r="C167" s="404" t="s">
        <v>608</v>
      </c>
      <c r="D167" s="414" t="s">
        <v>1086</v>
      </c>
      <c r="G167" s="405" t="s">
        <v>1085</v>
      </c>
      <c r="J167" s="406"/>
      <c r="K167" s="407"/>
      <c r="M167" s="408">
        <v>920002309</v>
      </c>
      <c r="Y167" s="405" t="s">
        <v>1117</v>
      </c>
      <c r="AC167" s="409" t="s">
        <v>1104</v>
      </c>
      <c r="AD167" s="410" t="s">
        <v>2280</v>
      </c>
      <c r="AF167" s="405" t="s">
        <v>924</v>
      </c>
      <c r="AJ167" s="405" t="s">
        <v>362</v>
      </c>
      <c r="AK167" s="405" t="s">
        <v>727</v>
      </c>
      <c r="AL167" s="405" t="s">
        <v>10</v>
      </c>
      <c r="AM167" s="405" t="s">
        <v>10</v>
      </c>
      <c r="AS167" s="403"/>
      <c r="AT167" s="403"/>
      <c r="AU167" s="403"/>
      <c r="AV167" s="403"/>
      <c r="AW167" s="403"/>
      <c r="AX167" s="403"/>
      <c r="AY167" s="403"/>
      <c r="AZ167" s="403"/>
      <c r="BA167" s="403"/>
      <c r="BB167" s="403"/>
      <c r="BC167" s="403"/>
      <c r="BD167" s="403"/>
      <c r="BE167" s="403"/>
      <c r="BF167" s="403"/>
      <c r="BG167" s="403"/>
      <c r="BH167" s="403"/>
      <c r="BI167" s="403"/>
      <c r="BJ167" s="403"/>
      <c r="BK167" s="403"/>
    </row>
    <row r="168" spans="1:63" s="35" customFormat="1" ht="15" customHeight="1">
      <c r="A168" s="49"/>
      <c r="B168" s="30" t="s">
        <v>608</v>
      </c>
      <c r="D168" s="284" t="s">
        <v>1086</v>
      </c>
      <c r="E168" s="35" t="s">
        <v>2342</v>
      </c>
      <c r="G168" s="35" t="s">
        <v>1085</v>
      </c>
      <c r="J168" s="58"/>
      <c r="K168" s="39"/>
      <c r="M168" s="77"/>
      <c r="Y168" s="35" t="s">
        <v>1117</v>
      </c>
      <c r="AA168" s="3" t="s">
        <v>2341</v>
      </c>
      <c r="AB168" s="3" t="s">
        <v>732</v>
      </c>
      <c r="AC168" s="3" t="s">
        <v>1712</v>
      </c>
      <c r="AD168" s="178" t="s">
        <v>2246</v>
      </c>
      <c r="AE168" s="3" t="s">
        <v>1168</v>
      </c>
      <c r="AF168" s="3" t="s">
        <v>2341</v>
      </c>
      <c r="AG168" s="3" t="s">
        <v>10</v>
      </c>
      <c r="AH168" s="3" t="s">
        <v>10</v>
      </c>
      <c r="AI168" s="3" t="s">
        <v>373</v>
      </c>
      <c r="AJ168" s="3" t="s">
        <v>362</v>
      </c>
      <c r="AK168" s="35" t="s">
        <v>727</v>
      </c>
      <c r="AL168" s="3" t="s">
        <v>10</v>
      </c>
      <c r="AM168" s="3" t="s">
        <v>10</v>
      </c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</row>
    <row r="169" spans="1:63" s="35" customFormat="1" ht="15" customHeight="1">
      <c r="A169" s="49"/>
      <c r="B169" s="30" t="s">
        <v>608</v>
      </c>
      <c r="D169" s="284" t="s">
        <v>1086</v>
      </c>
      <c r="E169" s="35" t="s">
        <v>2342</v>
      </c>
      <c r="G169" s="35" t="s">
        <v>1085</v>
      </c>
      <c r="J169" s="58"/>
      <c r="K169" s="39"/>
      <c r="M169" s="77"/>
      <c r="Y169" s="35" t="s">
        <v>1117</v>
      </c>
      <c r="AA169" s="3" t="s">
        <v>2341</v>
      </c>
      <c r="AB169" s="3" t="s">
        <v>121</v>
      </c>
      <c r="AC169" s="3" t="s">
        <v>1713</v>
      </c>
      <c r="AD169" s="178" t="s">
        <v>2247</v>
      </c>
      <c r="AE169" s="3" t="s">
        <v>1168</v>
      </c>
      <c r="AF169" s="3" t="s">
        <v>2341</v>
      </c>
      <c r="AG169" s="3" t="s">
        <v>10</v>
      </c>
      <c r="AH169" s="3" t="s">
        <v>10</v>
      </c>
      <c r="AI169" s="3" t="s">
        <v>373</v>
      </c>
      <c r="AJ169" s="3" t="s">
        <v>362</v>
      </c>
      <c r="AK169" s="35" t="s">
        <v>727</v>
      </c>
      <c r="AL169" s="3" t="s">
        <v>10</v>
      </c>
      <c r="AM169" s="3" t="s">
        <v>10</v>
      </c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</row>
    <row r="170" spans="1:63" s="35" customFormat="1" ht="15" customHeight="1">
      <c r="A170" s="49"/>
      <c r="B170" s="30" t="s">
        <v>608</v>
      </c>
      <c r="D170" s="284" t="s">
        <v>1086</v>
      </c>
      <c r="E170" s="35" t="s">
        <v>2342</v>
      </c>
      <c r="G170" s="35" t="s">
        <v>1085</v>
      </c>
      <c r="J170" s="58"/>
      <c r="K170" s="39"/>
      <c r="M170" s="77"/>
      <c r="Y170" s="35" t="s">
        <v>1117</v>
      </c>
      <c r="AA170" s="35" t="s">
        <v>2341</v>
      </c>
      <c r="AB170" s="35" t="s">
        <v>529</v>
      </c>
      <c r="AC170" s="35" t="s">
        <v>1710</v>
      </c>
      <c r="AD170" s="34" t="s">
        <v>2244</v>
      </c>
      <c r="AE170" s="35" t="s">
        <v>497</v>
      </c>
      <c r="AF170" s="35" t="s">
        <v>2341</v>
      </c>
      <c r="AG170" s="35" t="s">
        <v>10</v>
      </c>
      <c r="AH170" s="35" t="s">
        <v>10</v>
      </c>
      <c r="AI170" s="35" t="s">
        <v>373</v>
      </c>
      <c r="AJ170" s="35" t="s">
        <v>362</v>
      </c>
      <c r="AK170" s="35" t="s">
        <v>727</v>
      </c>
      <c r="AL170" s="35" t="s">
        <v>10</v>
      </c>
      <c r="AM170" s="35" t="s">
        <v>10</v>
      </c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</row>
    <row r="171" spans="1:63" s="35" customFormat="1" ht="15" customHeight="1">
      <c r="A171" s="49"/>
      <c r="B171" s="30" t="s">
        <v>608</v>
      </c>
      <c r="D171" s="284" t="s">
        <v>1086</v>
      </c>
      <c r="E171" s="35" t="s">
        <v>2342</v>
      </c>
      <c r="G171" s="35" t="s">
        <v>1085</v>
      </c>
      <c r="J171" s="58"/>
      <c r="K171" s="39"/>
      <c r="M171" s="77"/>
      <c r="Y171" s="35" t="s">
        <v>1117</v>
      </c>
      <c r="AA171" s="35" t="s">
        <v>2341</v>
      </c>
      <c r="AB171" s="35" t="s">
        <v>542</v>
      </c>
      <c r="AC171" s="35" t="s">
        <v>1711</v>
      </c>
      <c r="AD171" s="34" t="s">
        <v>2245</v>
      </c>
      <c r="AE171" s="35" t="s">
        <v>1925</v>
      </c>
      <c r="AF171" s="35" t="s">
        <v>2341</v>
      </c>
      <c r="AG171" s="35" t="s">
        <v>10</v>
      </c>
      <c r="AH171" s="35" t="s">
        <v>10</v>
      </c>
      <c r="AI171" s="35" t="s">
        <v>373</v>
      </c>
      <c r="AJ171" s="35" t="s">
        <v>362</v>
      </c>
      <c r="AK171" s="35" t="s">
        <v>727</v>
      </c>
      <c r="AL171" s="35" t="s">
        <v>10</v>
      </c>
      <c r="AM171" s="35" t="s">
        <v>10</v>
      </c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</row>
    <row r="172" spans="1:63" s="35" customFormat="1" ht="15" customHeight="1">
      <c r="A172" s="46"/>
      <c r="B172" s="30" t="s">
        <v>749</v>
      </c>
      <c r="D172" s="284"/>
      <c r="J172" s="58"/>
      <c r="K172" s="39"/>
      <c r="M172" s="58"/>
      <c r="AA172" s="35" t="s">
        <v>750</v>
      </c>
      <c r="AD172" s="34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</row>
    <row r="173" spans="1:63" s="35" customFormat="1" ht="15" customHeight="1">
      <c r="A173" s="46"/>
      <c r="B173" s="30" t="s">
        <v>749</v>
      </c>
      <c r="D173" s="284"/>
      <c r="J173" s="58"/>
      <c r="K173" s="39"/>
      <c r="M173" s="58"/>
      <c r="AA173" s="35" t="s">
        <v>0</v>
      </c>
      <c r="AB173" s="34" t="s">
        <v>1681</v>
      </c>
      <c r="AC173" s="35" t="s">
        <v>2521</v>
      </c>
      <c r="AD173" s="34" t="s">
        <v>2473</v>
      </c>
      <c r="AE173" s="35" t="s">
        <v>1</v>
      </c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</row>
    <row r="174" spans="1:63" s="35" customFormat="1" ht="15" customHeight="1">
      <c r="A174" s="46"/>
      <c r="B174" s="30" t="s">
        <v>749</v>
      </c>
      <c r="D174" s="284"/>
      <c r="J174" s="58"/>
      <c r="K174" s="39"/>
      <c r="M174" s="58"/>
      <c r="AA174" s="35" t="s">
        <v>2</v>
      </c>
      <c r="AB174" s="34" t="s">
        <v>2459</v>
      </c>
      <c r="AC174" s="35" t="s">
        <v>2460</v>
      </c>
      <c r="AD174" s="34" t="s">
        <v>2473</v>
      </c>
      <c r="AE174" s="35" t="s">
        <v>1</v>
      </c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</row>
    <row r="175" spans="1:63" s="35" customFormat="1" ht="15" customHeight="1">
      <c r="A175" s="46"/>
      <c r="B175" s="30" t="s">
        <v>749</v>
      </c>
      <c r="D175" s="284"/>
      <c r="J175" s="58"/>
      <c r="K175" s="39"/>
      <c r="M175" s="104"/>
      <c r="AA175" s="35" t="s">
        <v>354</v>
      </c>
      <c r="AB175" s="35" t="s">
        <v>355</v>
      </c>
      <c r="AC175" s="35" t="s">
        <v>356</v>
      </c>
      <c r="AD175" s="34" t="s">
        <v>7</v>
      </c>
      <c r="AE175" s="35" t="s">
        <v>8</v>
      </c>
      <c r="AF175" s="35" t="s">
        <v>357</v>
      </c>
      <c r="AG175" s="35" t="s">
        <v>358</v>
      </c>
      <c r="AH175" s="35" t="s">
        <v>359</v>
      </c>
      <c r="AI175" s="35" t="s">
        <v>9</v>
      </c>
      <c r="AJ175" s="35" t="s">
        <v>360</v>
      </c>
      <c r="AK175" s="35" t="s">
        <v>0</v>
      </c>
      <c r="AL175" s="35" t="s">
        <v>2</v>
      </c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</row>
    <row r="176" spans="1:63" s="35" customFormat="1" ht="15" customHeight="1">
      <c r="A176" s="46"/>
      <c r="B176" s="30" t="s">
        <v>749</v>
      </c>
      <c r="D176" s="284" t="s">
        <v>1086</v>
      </c>
      <c r="G176" s="35" t="s">
        <v>1085</v>
      </c>
      <c r="J176" s="58"/>
      <c r="K176" s="104"/>
      <c r="M176" s="104" t="s">
        <v>1302</v>
      </c>
      <c r="Y176" s="35" t="s">
        <v>1117</v>
      </c>
      <c r="AA176" s="35" t="s">
        <v>991</v>
      </c>
      <c r="AB176" s="35" t="s">
        <v>751</v>
      </c>
      <c r="AC176" s="35" t="s">
        <v>502</v>
      </c>
      <c r="AD176" s="34" t="s">
        <v>1935</v>
      </c>
      <c r="AE176" s="35" t="s">
        <v>1936</v>
      </c>
      <c r="AF176" s="35" t="s">
        <v>992</v>
      </c>
      <c r="AG176" s="35" t="s">
        <v>383</v>
      </c>
      <c r="AH176" s="35" t="s">
        <v>10</v>
      </c>
      <c r="AI176" s="35" t="s">
        <v>379</v>
      </c>
      <c r="AJ176" s="35" t="s">
        <v>362</v>
      </c>
      <c r="AK176" s="35" t="s">
        <v>1681</v>
      </c>
      <c r="AL176" s="35" t="s">
        <v>2459</v>
      </c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</row>
    <row r="177" spans="1:63" s="35" customFormat="1" ht="15" customHeight="1">
      <c r="A177" s="46"/>
      <c r="B177" s="30" t="s">
        <v>749</v>
      </c>
      <c r="D177" s="284" t="s">
        <v>1086</v>
      </c>
      <c r="G177" s="35" t="s">
        <v>1085</v>
      </c>
      <c r="J177" s="58"/>
      <c r="K177" s="104"/>
      <c r="M177" s="104" t="s">
        <v>1302</v>
      </c>
      <c r="Y177" s="35" t="s">
        <v>1117</v>
      </c>
      <c r="AA177" s="35" t="s">
        <v>993</v>
      </c>
      <c r="AB177" s="35" t="s">
        <v>752</v>
      </c>
      <c r="AC177" s="35" t="s">
        <v>994</v>
      </c>
      <c r="AD177" s="34" t="s">
        <v>1937</v>
      </c>
      <c r="AE177" s="35" t="s">
        <v>2474</v>
      </c>
      <c r="AF177" s="35" t="s">
        <v>995</v>
      </c>
      <c r="AG177" s="35" t="s">
        <v>383</v>
      </c>
      <c r="AH177" s="35" t="s">
        <v>10</v>
      </c>
      <c r="AI177" s="35" t="s">
        <v>381</v>
      </c>
      <c r="AJ177" s="35" t="s">
        <v>362</v>
      </c>
      <c r="AK177" s="35" t="s">
        <v>1681</v>
      </c>
      <c r="AL177" s="35" t="s">
        <v>10</v>
      </c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</row>
    <row r="178" spans="1:63" s="35" customFormat="1" ht="15" customHeight="1">
      <c r="A178" s="46"/>
      <c r="B178" s="30" t="s">
        <v>749</v>
      </c>
      <c r="D178" s="284" t="s">
        <v>1083</v>
      </c>
      <c r="G178" s="35" t="s">
        <v>1084</v>
      </c>
      <c r="I178" s="35" t="s">
        <v>550</v>
      </c>
      <c r="J178" s="58" t="s">
        <v>1338</v>
      </c>
      <c r="K178" s="39"/>
      <c r="M178" s="104">
        <v>990000250</v>
      </c>
      <c r="Y178" s="35" t="s">
        <v>1117</v>
      </c>
      <c r="AA178" s="35" t="s">
        <v>431</v>
      </c>
      <c r="AB178" s="35" t="s">
        <v>996</v>
      </c>
      <c r="AC178" s="35" t="s">
        <v>997</v>
      </c>
      <c r="AD178" s="34" t="s">
        <v>2335</v>
      </c>
      <c r="AE178" s="35" t="s">
        <v>1414</v>
      </c>
      <c r="AF178" s="35" t="s">
        <v>432</v>
      </c>
      <c r="AG178" s="35" t="s">
        <v>10</v>
      </c>
      <c r="AH178" s="35" t="s">
        <v>633</v>
      </c>
      <c r="AI178" s="35" t="s">
        <v>433</v>
      </c>
      <c r="AJ178" s="35" t="s">
        <v>362</v>
      </c>
      <c r="AK178" s="35" t="s">
        <v>1681</v>
      </c>
      <c r="AL178" s="35" t="s">
        <v>2459</v>
      </c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</row>
    <row r="179" spans="1:63" s="35" customFormat="1" ht="15" customHeight="1">
      <c r="A179" s="46"/>
      <c r="B179" s="30" t="s">
        <v>749</v>
      </c>
      <c r="D179" s="284" t="s">
        <v>1086</v>
      </c>
      <c r="E179" s="35" t="s">
        <v>2342</v>
      </c>
      <c r="G179" s="35" t="s">
        <v>1085</v>
      </c>
      <c r="J179" s="58"/>
      <c r="K179" s="39"/>
      <c r="M179" s="104"/>
      <c r="Y179" s="35" t="s">
        <v>1117</v>
      </c>
      <c r="AA179" s="35" t="s">
        <v>2341</v>
      </c>
      <c r="AB179" s="35" t="s">
        <v>249</v>
      </c>
      <c r="AC179" s="35" t="s">
        <v>1733</v>
      </c>
      <c r="AD179" s="34" t="s">
        <v>2250</v>
      </c>
      <c r="AE179" s="35" t="s">
        <v>477</v>
      </c>
      <c r="AF179" s="35" t="s">
        <v>2341</v>
      </c>
      <c r="AG179" s="35" t="s">
        <v>10</v>
      </c>
      <c r="AH179" s="35" t="s">
        <v>10</v>
      </c>
      <c r="AI179" s="35" t="s">
        <v>373</v>
      </c>
      <c r="AJ179" s="35" t="s">
        <v>362</v>
      </c>
      <c r="AK179" s="35" t="s">
        <v>1681</v>
      </c>
      <c r="AL179" s="35" t="s">
        <v>2459</v>
      </c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</row>
    <row r="180" spans="1:63" s="35" customFormat="1" ht="15" customHeight="1">
      <c r="A180" s="46"/>
      <c r="B180" s="30" t="s">
        <v>749</v>
      </c>
      <c r="D180" s="284" t="s">
        <v>1086</v>
      </c>
      <c r="G180" s="35" t="s">
        <v>1085</v>
      </c>
      <c r="J180" s="58"/>
      <c r="K180" s="104"/>
      <c r="M180" s="104" t="s">
        <v>1302</v>
      </c>
      <c r="Y180" s="35" t="s">
        <v>1117</v>
      </c>
      <c r="AA180" s="35" t="s">
        <v>993</v>
      </c>
      <c r="AB180" s="35" t="s">
        <v>2464</v>
      </c>
      <c r="AC180" s="35" t="s">
        <v>2463</v>
      </c>
      <c r="AD180" s="34" t="s">
        <v>2465</v>
      </c>
      <c r="AE180" s="35" t="s">
        <v>2474</v>
      </c>
      <c r="AF180" s="35" t="s">
        <v>995</v>
      </c>
      <c r="AG180" s="35" t="s">
        <v>383</v>
      </c>
      <c r="AH180" s="35" t="s">
        <v>10</v>
      </c>
      <c r="AI180" s="35" t="s">
        <v>381</v>
      </c>
      <c r="AJ180" s="35" t="s">
        <v>362</v>
      </c>
      <c r="AK180" s="35" t="s">
        <v>10</v>
      </c>
      <c r="AL180" s="35" t="s">
        <v>2459</v>
      </c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</row>
    <row r="181" spans="1:63" s="35" customFormat="1" ht="15" customHeight="1">
      <c r="A181" s="46"/>
      <c r="B181" s="30" t="s">
        <v>754</v>
      </c>
      <c r="D181" s="284" t="s">
        <v>1086</v>
      </c>
      <c r="G181" s="35" t="s">
        <v>1085</v>
      </c>
      <c r="J181" s="58"/>
      <c r="K181" s="39"/>
      <c r="M181" s="58"/>
      <c r="AA181" s="35" t="s">
        <v>755</v>
      </c>
      <c r="AD181" s="34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</row>
    <row r="182" spans="1:63" s="186" customFormat="1" ht="15" customHeight="1">
      <c r="A182" s="190"/>
      <c r="B182" s="488" t="s">
        <v>754</v>
      </c>
      <c r="C182" s="484"/>
      <c r="D182" s="489"/>
      <c r="E182" s="484"/>
      <c r="F182" s="484"/>
      <c r="G182" s="484"/>
      <c r="H182" s="484"/>
      <c r="I182" s="484"/>
      <c r="J182" s="485"/>
      <c r="K182" s="483"/>
      <c r="L182" s="484"/>
      <c r="M182" s="485"/>
      <c r="N182" s="484"/>
      <c r="O182" s="484"/>
      <c r="P182" s="484"/>
      <c r="Q182" s="484"/>
      <c r="R182" s="484"/>
      <c r="S182" s="484"/>
      <c r="T182" s="484"/>
      <c r="U182" s="484"/>
      <c r="V182" s="484"/>
      <c r="W182" s="484"/>
      <c r="X182" s="484"/>
      <c r="Y182" s="484"/>
      <c r="Z182" s="484"/>
      <c r="AA182" s="484" t="s">
        <v>0</v>
      </c>
      <c r="AB182" s="257" t="s">
        <v>756</v>
      </c>
      <c r="AC182" s="484" t="s">
        <v>2564</v>
      </c>
      <c r="AD182" s="257" t="s">
        <v>1942</v>
      </c>
      <c r="AE182" s="484" t="s">
        <v>1</v>
      </c>
      <c r="AS182" s="187"/>
      <c r="AT182" s="187"/>
      <c r="AU182" s="187"/>
      <c r="AV182" s="187"/>
      <c r="AW182" s="187"/>
      <c r="AX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</row>
    <row r="183" spans="1:63" s="35" customFormat="1" ht="15" customHeight="1">
      <c r="A183" s="46"/>
      <c r="B183" s="30" t="s">
        <v>754</v>
      </c>
      <c r="D183" s="284"/>
      <c r="J183" s="58"/>
      <c r="K183" s="39"/>
      <c r="M183" s="58"/>
      <c r="AA183" s="35" t="s">
        <v>354</v>
      </c>
      <c r="AB183" s="35" t="s">
        <v>355</v>
      </c>
      <c r="AC183" s="35" t="s">
        <v>356</v>
      </c>
      <c r="AD183" s="34" t="s">
        <v>7</v>
      </c>
      <c r="AE183" s="35" t="s">
        <v>8</v>
      </c>
      <c r="AF183" s="35" t="s">
        <v>357</v>
      </c>
      <c r="AG183" s="35" t="s">
        <v>358</v>
      </c>
      <c r="AH183" s="35" t="s">
        <v>359</v>
      </c>
      <c r="AI183" s="35" t="s">
        <v>9</v>
      </c>
      <c r="AJ183" s="35" t="s">
        <v>360</v>
      </c>
      <c r="AK183" s="35" t="s">
        <v>0</v>
      </c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</row>
    <row r="184" spans="1:63" s="35" customFormat="1" ht="15" customHeight="1">
      <c r="A184" s="46"/>
      <c r="B184" s="30" t="s">
        <v>754</v>
      </c>
      <c r="D184" s="284" t="s">
        <v>1083</v>
      </c>
      <c r="G184" s="35" t="s">
        <v>1084</v>
      </c>
      <c r="I184" s="35" t="s">
        <v>550</v>
      </c>
      <c r="J184" s="58" t="s">
        <v>1329</v>
      </c>
      <c r="K184" s="39"/>
      <c r="M184" s="58">
        <v>990000247</v>
      </c>
      <c r="Y184" s="35" t="s">
        <v>1117</v>
      </c>
      <c r="AA184" s="35" t="s">
        <v>448</v>
      </c>
      <c r="AB184" s="35" t="s">
        <v>998</v>
      </c>
      <c r="AC184" s="35" t="s">
        <v>999</v>
      </c>
      <c r="AD184" s="34" t="s">
        <v>2336</v>
      </c>
      <c r="AE184" s="35" t="s">
        <v>1372</v>
      </c>
      <c r="AF184" s="35" t="s">
        <v>449</v>
      </c>
      <c r="AG184" s="35" t="s">
        <v>10</v>
      </c>
      <c r="AH184" s="35" t="s">
        <v>626</v>
      </c>
      <c r="AI184" s="35" t="s">
        <v>397</v>
      </c>
      <c r="AJ184" s="35" t="s">
        <v>362</v>
      </c>
      <c r="AK184" s="35" t="s">
        <v>756</v>
      </c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</row>
    <row r="185" spans="1:63" s="35" customFormat="1" ht="15" customHeight="1">
      <c r="A185" s="46"/>
      <c r="B185" s="30" t="s">
        <v>758</v>
      </c>
      <c r="D185" s="284"/>
      <c r="J185" s="58"/>
      <c r="K185" s="39"/>
      <c r="M185" s="58"/>
      <c r="AA185" s="35" t="s">
        <v>328</v>
      </c>
      <c r="AD185" s="34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</row>
    <row r="186" spans="1:63" s="35" customFormat="1" ht="15" customHeight="1">
      <c r="A186" s="46"/>
      <c r="B186" s="30" t="s">
        <v>758</v>
      </c>
      <c r="D186" s="284"/>
      <c r="J186" s="58"/>
      <c r="K186" s="39"/>
      <c r="M186" s="58"/>
      <c r="AA186" s="35" t="s">
        <v>0</v>
      </c>
      <c r="AB186" s="34" t="s">
        <v>759</v>
      </c>
      <c r="AC186" s="35" t="s">
        <v>1317</v>
      </c>
      <c r="AD186" s="34" t="s">
        <v>1944</v>
      </c>
      <c r="AE186" s="35" t="s">
        <v>1</v>
      </c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</row>
    <row r="187" spans="1:63" s="35" customFormat="1" ht="15" customHeight="1">
      <c r="A187" s="46"/>
      <c r="B187" s="30" t="s">
        <v>758</v>
      </c>
      <c r="D187" s="284"/>
      <c r="J187" s="58"/>
      <c r="K187" s="39"/>
      <c r="M187" s="58"/>
      <c r="AA187" s="35" t="s">
        <v>354</v>
      </c>
      <c r="AB187" s="35" t="s">
        <v>355</v>
      </c>
      <c r="AC187" s="35" t="s">
        <v>356</v>
      </c>
      <c r="AD187" s="34" t="s">
        <v>7</v>
      </c>
      <c r="AE187" s="35" t="s">
        <v>8</v>
      </c>
      <c r="AF187" s="35" t="s">
        <v>357</v>
      </c>
      <c r="AG187" s="35" t="s">
        <v>358</v>
      </c>
      <c r="AH187" s="35" t="s">
        <v>359</v>
      </c>
      <c r="AI187" s="35" t="s">
        <v>9</v>
      </c>
      <c r="AJ187" s="35" t="s">
        <v>360</v>
      </c>
      <c r="AK187" s="35" t="s">
        <v>0</v>
      </c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</row>
    <row r="188" spans="1:63" s="35" customFormat="1" ht="15" customHeight="1">
      <c r="A188" s="46"/>
      <c r="B188" s="30" t="s">
        <v>758</v>
      </c>
      <c r="D188" s="284" t="s">
        <v>1086</v>
      </c>
      <c r="G188" s="35" t="s">
        <v>1085</v>
      </c>
      <c r="J188" s="58"/>
      <c r="K188" s="39"/>
      <c r="M188" s="58">
        <v>920006711</v>
      </c>
      <c r="Y188" s="35" t="s">
        <v>1117</v>
      </c>
      <c r="AA188" s="35" t="s">
        <v>370</v>
      </c>
      <c r="AB188" s="35" t="s">
        <v>2554</v>
      </c>
      <c r="AC188" s="35" t="s">
        <v>2553</v>
      </c>
      <c r="AD188" s="34" t="s">
        <v>2281</v>
      </c>
      <c r="AE188" s="35" t="s">
        <v>482</v>
      </c>
      <c r="AF188" s="35" t="s">
        <v>371</v>
      </c>
      <c r="AG188" s="35" t="s">
        <v>10</v>
      </c>
      <c r="AH188" s="35" t="s">
        <v>10</v>
      </c>
      <c r="AI188" s="35" t="s">
        <v>372</v>
      </c>
      <c r="AJ188" s="35" t="s">
        <v>362</v>
      </c>
      <c r="AK188" s="35" t="s">
        <v>759</v>
      </c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</row>
    <row r="189" spans="1:63" s="35" customFormat="1" ht="15" customHeight="1">
      <c r="A189" s="46"/>
      <c r="B189" s="30" t="s">
        <v>1000</v>
      </c>
      <c r="D189" s="284"/>
      <c r="J189" s="58"/>
      <c r="K189" s="39"/>
      <c r="M189" s="58"/>
      <c r="AA189" s="35" t="s">
        <v>284</v>
      </c>
      <c r="AD189" s="34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</row>
    <row r="190" spans="1:63" s="35" customFormat="1" ht="15" customHeight="1">
      <c r="A190" s="46"/>
      <c r="B190" s="30" t="s">
        <v>1000</v>
      </c>
      <c r="D190" s="284"/>
      <c r="J190" s="58"/>
      <c r="K190" s="39"/>
      <c r="M190" s="58"/>
      <c r="AA190" s="35" t="s">
        <v>0</v>
      </c>
      <c r="AB190" s="34" t="s">
        <v>761</v>
      </c>
      <c r="AC190" s="35" t="s">
        <v>762</v>
      </c>
      <c r="AD190" s="34" t="s">
        <v>1944</v>
      </c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</row>
    <row r="191" spans="1:63" s="35" customFormat="1" ht="15" customHeight="1">
      <c r="A191" s="46"/>
      <c r="B191" s="30" t="s">
        <v>1000</v>
      </c>
      <c r="D191" s="284"/>
      <c r="J191" s="58"/>
      <c r="K191" s="39"/>
      <c r="M191" s="58"/>
      <c r="AA191" s="35" t="s">
        <v>354</v>
      </c>
      <c r="AB191" s="35" t="s">
        <v>355</v>
      </c>
      <c r="AC191" s="35" t="s">
        <v>356</v>
      </c>
      <c r="AD191" s="34" t="s">
        <v>7</v>
      </c>
      <c r="AE191" s="35" t="s">
        <v>8</v>
      </c>
      <c r="AF191" s="35" t="s">
        <v>357</v>
      </c>
      <c r="AG191" s="35" t="s">
        <v>358</v>
      </c>
      <c r="AH191" s="35" t="s">
        <v>359</v>
      </c>
      <c r="AI191" s="35" t="s">
        <v>9</v>
      </c>
      <c r="AJ191" s="35" t="s">
        <v>360</v>
      </c>
      <c r="AK191" s="35" t="s">
        <v>0</v>
      </c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</row>
    <row r="192" spans="1:63" s="35" customFormat="1" ht="15" customHeight="1">
      <c r="A192" s="46"/>
      <c r="B192" s="30" t="s">
        <v>1000</v>
      </c>
      <c r="D192" s="284" t="s">
        <v>1083</v>
      </c>
      <c r="G192" s="35" t="s">
        <v>1084</v>
      </c>
      <c r="I192" s="35" t="s">
        <v>550</v>
      </c>
      <c r="J192" s="58" t="s">
        <v>1326</v>
      </c>
      <c r="K192" s="39"/>
      <c r="M192" s="58">
        <v>990000296</v>
      </c>
      <c r="Y192" s="35" t="s">
        <v>1117</v>
      </c>
      <c r="AA192" s="35" t="s">
        <v>439</v>
      </c>
      <c r="AB192" s="35" t="s">
        <v>965</v>
      </c>
      <c r="AC192" s="35" t="s">
        <v>966</v>
      </c>
      <c r="AD192" s="34" t="s">
        <v>2194</v>
      </c>
      <c r="AE192" s="4" t="s">
        <v>1158</v>
      </c>
      <c r="AF192" s="35" t="s">
        <v>440</v>
      </c>
      <c r="AG192" s="35" t="s">
        <v>10</v>
      </c>
      <c r="AH192" s="35" t="s">
        <v>626</v>
      </c>
      <c r="AI192" s="35" t="s">
        <v>372</v>
      </c>
      <c r="AJ192" s="35" t="s">
        <v>362</v>
      </c>
      <c r="AK192" s="35" t="s">
        <v>761</v>
      </c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</row>
    <row r="193" spans="1:63" s="35" customFormat="1" ht="15" customHeight="1">
      <c r="A193" s="50"/>
      <c r="B193" s="30" t="s">
        <v>1006</v>
      </c>
      <c r="D193" s="284"/>
      <c r="J193" s="58"/>
      <c r="K193" s="39"/>
      <c r="M193" s="58"/>
      <c r="AA193" s="35" t="s">
        <v>773</v>
      </c>
      <c r="AD193" s="34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</row>
    <row r="194" spans="1:63" s="35" customFormat="1" ht="15" customHeight="1">
      <c r="A194" s="46"/>
      <c r="B194" s="30" t="s">
        <v>1006</v>
      </c>
      <c r="D194" s="284"/>
      <c r="J194" s="58"/>
      <c r="K194" s="39"/>
      <c r="M194" s="104"/>
      <c r="AA194" s="35" t="s">
        <v>0</v>
      </c>
      <c r="AB194" s="34" t="s">
        <v>774</v>
      </c>
      <c r="AC194" s="35" t="s">
        <v>2165</v>
      </c>
      <c r="AD194" s="34" t="s">
        <v>1948</v>
      </c>
      <c r="AE194" s="35" t="s">
        <v>1</v>
      </c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</row>
    <row r="195" spans="1:63" s="35" customFormat="1" ht="15" customHeight="1">
      <c r="A195" s="46"/>
      <c r="B195" s="30" t="s">
        <v>1006</v>
      </c>
      <c r="D195" s="284"/>
      <c r="J195" s="58"/>
      <c r="K195" s="39"/>
      <c r="M195" s="104"/>
      <c r="AA195" s="35" t="s">
        <v>2</v>
      </c>
      <c r="AB195" s="34" t="s">
        <v>2166</v>
      </c>
      <c r="AC195" s="35" t="s">
        <v>2167</v>
      </c>
      <c r="AD195" s="34" t="s">
        <v>1948</v>
      </c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</row>
    <row r="196" spans="1:63" s="35" customFormat="1" ht="15" customHeight="1">
      <c r="A196" s="46"/>
      <c r="B196" s="30" t="s">
        <v>1006</v>
      </c>
      <c r="D196" s="284"/>
      <c r="J196" s="58"/>
      <c r="K196" s="39"/>
      <c r="M196" s="104"/>
      <c r="AA196" s="35" t="s">
        <v>354</v>
      </c>
      <c r="AB196" s="35" t="s">
        <v>355</v>
      </c>
      <c r="AC196" s="35" t="s">
        <v>356</v>
      </c>
      <c r="AD196" s="34" t="s">
        <v>7</v>
      </c>
      <c r="AE196" s="35" t="s">
        <v>8</v>
      </c>
      <c r="AF196" s="35" t="s">
        <v>357</v>
      </c>
      <c r="AG196" s="35" t="s">
        <v>358</v>
      </c>
      <c r="AH196" s="35" t="s">
        <v>359</v>
      </c>
      <c r="AI196" s="35" t="s">
        <v>9</v>
      </c>
      <c r="AJ196" s="35" t="s">
        <v>360</v>
      </c>
      <c r="AK196" s="35" t="s">
        <v>0</v>
      </c>
      <c r="AL196" s="35" t="s">
        <v>2</v>
      </c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</row>
    <row r="197" spans="1:63" s="35" customFormat="1" ht="15" customHeight="1">
      <c r="A197" s="46"/>
      <c r="B197" s="30" t="s">
        <v>1006</v>
      </c>
      <c r="D197" s="284" t="s">
        <v>1086</v>
      </c>
      <c r="G197" s="35" t="s">
        <v>1085</v>
      </c>
      <c r="J197" s="58"/>
      <c r="K197" s="39"/>
      <c r="M197" s="104">
        <v>920002339</v>
      </c>
      <c r="Y197" s="35" t="s">
        <v>1117</v>
      </c>
      <c r="AA197" s="35" t="s">
        <v>917</v>
      </c>
      <c r="AB197" s="35" t="s">
        <v>775</v>
      </c>
      <c r="AC197" s="35" t="s">
        <v>1007</v>
      </c>
      <c r="AD197" s="34" t="s">
        <v>2282</v>
      </c>
      <c r="AE197" s="4" t="s">
        <v>1312</v>
      </c>
      <c r="AF197" s="35" t="s">
        <v>1004</v>
      </c>
      <c r="AG197" s="35" t="s">
        <v>10</v>
      </c>
      <c r="AH197" s="35" t="s">
        <v>10</v>
      </c>
      <c r="AI197" s="35" t="s">
        <v>361</v>
      </c>
      <c r="AJ197" s="35" t="s">
        <v>362</v>
      </c>
      <c r="AK197" s="35" t="s">
        <v>774</v>
      </c>
      <c r="AL197" s="35" t="s">
        <v>2166</v>
      </c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</row>
    <row r="198" spans="1:63" s="186" customFormat="1" ht="15" customHeight="1">
      <c r="A198" s="190" t="s">
        <v>2621</v>
      </c>
      <c r="B198" s="187">
        <v>216</v>
      </c>
      <c r="D198" s="413" t="s">
        <v>1086</v>
      </c>
      <c r="G198" s="186" t="s">
        <v>1085</v>
      </c>
      <c r="J198" s="188"/>
      <c r="K198" s="189"/>
      <c r="M198" s="372">
        <v>920002645</v>
      </c>
      <c r="Y198" s="186" t="s">
        <v>1117</v>
      </c>
      <c r="AC198" s="180" t="s">
        <v>1108</v>
      </c>
      <c r="AD198" s="455" t="s">
        <v>2282</v>
      </c>
      <c r="AF198" s="35" t="s">
        <v>1004</v>
      </c>
      <c r="AJ198" s="35" t="s">
        <v>362</v>
      </c>
      <c r="AK198" s="35" t="s">
        <v>774</v>
      </c>
      <c r="AL198" s="35" t="s">
        <v>2166</v>
      </c>
      <c r="AS198" s="187"/>
      <c r="AT198" s="187"/>
      <c r="AU198" s="187"/>
      <c r="AV198" s="187"/>
      <c r="AW198" s="187"/>
      <c r="AX198" s="187"/>
      <c r="AY198" s="187"/>
      <c r="AZ198" s="187"/>
      <c r="BA198" s="187"/>
      <c r="BB198" s="187"/>
      <c r="BC198" s="187"/>
      <c r="BD198" s="187"/>
      <c r="BE198" s="187"/>
      <c r="BF198" s="187"/>
      <c r="BG198" s="187"/>
      <c r="BH198" s="187"/>
      <c r="BI198" s="187"/>
      <c r="BJ198" s="187"/>
      <c r="BK198" s="187"/>
    </row>
    <row r="199" spans="1:63" s="35" customFormat="1" ht="15" customHeight="1">
      <c r="A199" s="46"/>
      <c r="B199" s="30" t="s">
        <v>1006</v>
      </c>
      <c r="D199" s="284" t="s">
        <v>1083</v>
      </c>
      <c r="G199" s="35" t="s">
        <v>1084</v>
      </c>
      <c r="I199" s="35" t="s">
        <v>550</v>
      </c>
      <c r="J199" s="58" t="s">
        <v>1339</v>
      </c>
      <c r="K199" s="39"/>
      <c r="M199" s="104">
        <v>990000296</v>
      </c>
      <c r="Y199" s="35" t="s">
        <v>1117</v>
      </c>
      <c r="AA199" s="35" t="s">
        <v>439</v>
      </c>
      <c r="AB199" s="35" t="s">
        <v>1008</v>
      </c>
      <c r="AC199" s="35" t="s">
        <v>1009</v>
      </c>
      <c r="AD199" s="34" t="s">
        <v>2337</v>
      </c>
      <c r="AE199" s="4" t="s">
        <v>1414</v>
      </c>
      <c r="AF199" s="35" t="s">
        <v>440</v>
      </c>
      <c r="AG199" s="35" t="s">
        <v>10</v>
      </c>
      <c r="AH199" s="35" t="s">
        <v>633</v>
      </c>
      <c r="AI199" s="35" t="s">
        <v>372</v>
      </c>
      <c r="AJ199" s="35" t="s">
        <v>362</v>
      </c>
      <c r="AK199" s="35" t="s">
        <v>774</v>
      </c>
      <c r="AL199" s="35" t="s">
        <v>2166</v>
      </c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</row>
    <row r="200" spans="1:63" s="35" customFormat="1" ht="15" customHeight="1">
      <c r="A200" s="46"/>
      <c r="B200" s="30" t="s">
        <v>1006</v>
      </c>
      <c r="D200" s="284" t="s">
        <v>1086</v>
      </c>
      <c r="G200" s="35" t="s">
        <v>1085</v>
      </c>
      <c r="J200" s="58"/>
      <c r="K200" s="104"/>
      <c r="M200" s="104" t="s">
        <v>1302</v>
      </c>
      <c r="Y200" s="35" t="s">
        <v>1117</v>
      </c>
      <c r="AA200" s="35" t="s">
        <v>1180</v>
      </c>
      <c r="AB200" s="35" t="s">
        <v>783</v>
      </c>
      <c r="AC200" s="35" t="s">
        <v>888</v>
      </c>
      <c r="AD200" s="34" t="s">
        <v>2314</v>
      </c>
      <c r="AE200" s="4" t="s">
        <v>714</v>
      </c>
      <c r="AF200" s="35" t="s">
        <v>1179</v>
      </c>
      <c r="AG200" s="35" t="s">
        <v>1178</v>
      </c>
      <c r="AH200" s="35" t="s">
        <v>10</v>
      </c>
      <c r="AI200" s="35" t="s">
        <v>361</v>
      </c>
      <c r="AJ200" s="35" t="s">
        <v>362</v>
      </c>
      <c r="AK200" s="35" t="s">
        <v>774</v>
      </c>
      <c r="AL200" s="35" t="s">
        <v>2166</v>
      </c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</row>
    <row r="201" spans="1:63" s="35" customFormat="1" ht="15" customHeight="1">
      <c r="A201" s="46"/>
      <c r="B201" s="30" t="s">
        <v>1006</v>
      </c>
      <c r="D201" s="284" t="s">
        <v>1086</v>
      </c>
      <c r="G201" s="35" t="s">
        <v>1085</v>
      </c>
      <c r="J201" s="58"/>
      <c r="K201" s="104"/>
      <c r="M201" s="104" t="s">
        <v>1302</v>
      </c>
      <c r="Y201" s="35" t="s">
        <v>1117</v>
      </c>
      <c r="AA201" s="35" t="s">
        <v>981</v>
      </c>
      <c r="AB201" s="35" t="s">
        <v>780</v>
      </c>
      <c r="AC201" s="35" t="s">
        <v>1007</v>
      </c>
      <c r="AD201" s="34" t="s">
        <v>2313</v>
      </c>
      <c r="AE201" s="4" t="s">
        <v>1958</v>
      </c>
      <c r="AF201" s="35" t="s">
        <v>982</v>
      </c>
      <c r="AG201" s="35" t="s">
        <v>395</v>
      </c>
      <c r="AH201" s="35" t="s">
        <v>10</v>
      </c>
      <c r="AI201" s="35" t="s">
        <v>402</v>
      </c>
      <c r="AJ201" s="35" t="s">
        <v>362</v>
      </c>
      <c r="AK201" s="35" t="s">
        <v>774</v>
      </c>
      <c r="AL201" s="35" t="s">
        <v>2166</v>
      </c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</row>
    <row r="202" spans="1:63" s="35" customFormat="1" ht="15" customHeight="1">
      <c r="A202" s="46"/>
      <c r="B202" s="30" t="s">
        <v>1006</v>
      </c>
      <c r="D202" s="284" t="s">
        <v>1086</v>
      </c>
      <c r="G202" s="35" t="s">
        <v>1085</v>
      </c>
      <c r="J202" s="58"/>
      <c r="K202" s="104"/>
      <c r="M202" s="104" t="s">
        <v>1302</v>
      </c>
      <c r="Y202" s="35" t="s">
        <v>1117</v>
      </c>
      <c r="AA202" s="35" t="s">
        <v>403</v>
      </c>
      <c r="AB202" s="35" t="s">
        <v>779</v>
      </c>
      <c r="AC202" s="35" t="s">
        <v>920</v>
      </c>
      <c r="AD202" s="34" t="s">
        <v>2284</v>
      </c>
      <c r="AE202" s="4" t="s">
        <v>1307</v>
      </c>
      <c r="AF202" s="35" t="s">
        <v>450</v>
      </c>
      <c r="AG202" s="35" t="s">
        <v>395</v>
      </c>
      <c r="AH202" s="35" t="s">
        <v>10</v>
      </c>
      <c r="AI202" s="35" t="s">
        <v>361</v>
      </c>
      <c r="AJ202" s="35" t="s">
        <v>362</v>
      </c>
      <c r="AK202" s="35" t="s">
        <v>774</v>
      </c>
      <c r="AL202" s="35" t="s">
        <v>2166</v>
      </c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</row>
    <row r="203" spans="1:63" s="35" customFormat="1" ht="15" customHeight="1">
      <c r="A203" s="46"/>
      <c r="B203" s="30" t="s">
        <v>1006</v>
      </c>
      <c r="D203" s="284" t="s">
        <v>1086</v>
      </c>
      <c r="G203" s="35" t="s">
        <v>1085</v>
      </c>
      <c r="J203" s="58"/>
      <c r="K203" s="104"/>
      <c r="M203" s="104" t="s">
        <v>1302</v>
      </c>
      <c r="Y203" s="35" t="s">
        <v>1117</v>
      </c>
      <c r="AA203" s="35" t="s">
        <v>1012</v>
      </c>
      <c r="AB203" s="35" t="s">
        <v>827</v>
      </c>
      <c r="AC203" s="35" t="s">
        <v>920</v>
      </c>
      <c r="AD203" s="34" t="s">
        <v>2283</v>
      </c>
      <c r="AE203" s="4" t="s">
        <v>955</v>
      </c>
      <c r="AF203" s="35" t="s">
        <v>1013</v>
      </c>
      <c r="AG203" s="35" t="s">
        <v>395</v>
      </c>
      <c r="AH203" s="35" t="s">
        <v>10</v>
      </c>
      <c r="AI203" s="35" t="s">
        <v>378</v>
      </c>
      <c r="AJ203" s="35" t="s">
        <v>362</v>
      </c>
      <c r="AK203" s="35" t="s">
        <v>774</v>
      </c>
      <c r="AL203" s="35" t="s">
        <v>2166</v>
      </c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</row>
    <row r="204" spans="1:63" s="35" customFormat="1" ht="15" customHeight="1">
      <c r="A204" s="46"/>
      <c r="B204" s="30" t="s">
        <v>1006</v>
      </c>
      <c r="D204" s="284" t="s">
        <v>1094</v>
      </c>
      <c r="E204" s="35" t="s">
        <v>2342</v>
      </c>
      <c r="G204" s="35" t="s">
        <v>1085</v>
      </c>
      <c r="J204" s="58"/>
      <c r="K204" s="104"/>
      <c r="M204" s="104"/>
      <c r="Y204" s="35" t="s">
        <v>1116</v>
      </c>
      <c r="AA204" s="4" t="s">
        <v>2341</v>
      </c>
      <c r="AB204" s="4" t="s">
        <v>1191</v>
      </c>
      <c r="AC204" s="4" t="s">
        <v>1717</v>
      </c>
      <c r="AD204" s="34" t="s">
        <v>2249</v>
      </c>
      <c r="AE204" s="4" t="s">
        <v>1930</v>
      </c>
      <c r="AF204" s="4" t="s">
        <v>2341</v>
      </c>
      <c r="AG204" s="4" t="s">
        <v>10</v>
      </c>
      <c r="AH204" s="4" t="s">
        <v>10</v>
      </c>
      <c r="AI204" s="4" t="s">
        <v>373</v>
      </c>
      <c r="AJ204" s="4" t="s">
        <v>362</v>
      </c>
      <c r="AK204" s="35" t="s">
        <v>774</v>
      </c>
      <c r="AL204" s="35" t="s">
        <v>2166</v>
      </c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</row>
    <row r="205" spans="1:63" s="35" customFormat="1" ht="15" customHeight="1">
      <c r="A205" s="46"/>
      <c r="B205" s="30" t="s">
        <v>1006</v>
      </c>
      <c r="D205" s="284" t="s">
        <v>1094</v>
      </c>
      <c r="E205" s="35" t="s">
        <v>2342</v>
      </c>
      <c r="G205" s="35" t="s">
        <v>1085</v>
      </c>
      <c r="J205" s="58"/>
      <c r="K205" s="104"/>
      <c r="M205" s="104"/>
      <c r="Y205" s="35" t="s">
        <v>1116</v>
      </c>
      <c r="AA205" s="4" t="s">
        <v>2341</v>
      </c>
      <c r="AB205" s="4" t="s">
        <v>1192</v>
      </c>
      <c r="AC205" s="4" t="s">
        <v>1715</v>
      </c>
      <c r="AD205" s="34" t="s">
        <v>2248</v>
      </c>
      <c r="AE205" s="4" t="s">
        <v>1930</v>
      </c>
      <c r="AF205" s="4" t="s">
        <v>2341</v>
      </c>
      <c r="AG205" s="4" t="s">
        <v>10</v>
      </c>
      <c r="AH205" s="4" t="s">
        <v>10</v>
      </c>
      <c r="AI205" s="4" t="s">
        <v>373</v>
      </c>
      <c r="AJ205" s="4" t="s">
        <v>362</v>
      </c>
      <c r="AK205" s="35" t="s">
        <v>774</v>
      </c>
      <c r="AL205" s="35" t="s">
        <v>2166</v>
      </c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</row>
    <row r="206" spans="1:63" s="35" customFormat="1" ht="15" customHeight="1">
      <c r="A206" s="46"/>
      <c r="B206" s="30">
        <v>218</v>
      </c>
      <c r="D206" s="284"/>
      <c r="J206" s="58"/>
      <c r="K206" s="104"/>
      <c r="M206" s="104"/>
      <c r="AA206" s="35" t="s">
        <v>765</v>
      </c>
      <c r="AD206" s="34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</row>
    <row r="207" spans="1:63" s="35" customFormat="1" ht="15" customHeight="1">
      <c r="A207" s="46"/>
      <c r="B207" s="30">
        <v>218</v>
      </c>
      <c r="D207" s="284"/>
      <c r="J207" s="58"/>
      <c r="K207" s="39"/>
      <c r="M207" s="58"/>
      <c r="AA207" s="35" t="s">
        <v>0</v>
      </c>
      <c r="AB207" s="35" t="s">
        <v>2373</v>
      </c>
      <c r="AC207" s="35" t="s">
        <v>766</v>
      </c>
      <c r="AD207" s="35" t="s">
        <v>1970</v>
      </c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</row>
    <row r="208" spans="1:63" s="32" customFormat="1" ht="15" customHeight="1">
      <c r="A208" s="46"/>
      <c r="B208" s="30">
        <v>218</v>
      </c>
      <c r="C208" s="35"/>
      <c r="D208" s="284"/>
      <c r="G208" s="35"/>
      <c r="J208" s="59"/>
      <c r="K208" s="62"/>
      <c r="M208" s="59"/>
      <c r="Y208" s="35"/>
      <c r="AA208" s="35" t="s">
        <v>354</v>
      </c>
      <c r="AB208" s="35" t="s">
        <v>355</v>
      </c>
      <c r="AC208" s="35" t="s">
        <v>356</v>
      </c>
      <c r="AD208" s="34" t="s">
        <v>7</v>
      </c>
      <c r="AE208" s="35" t="s">
        <v>8</v>
      </c>
      <c r="AF208" s="35" t="s">
        <v>357</v>
      </c>
      <c r="AG208" s="35" t="s">
        <v>358</v>
      </c>
      <c r="AH208" s="35" t="s">
        <v>359</v>
      </c>
      <c r="AI208" s="35" t="s">
        <v>9</v>
      </c>
      <c r="AJ208" s="35" t="s">
        <v>360</v>
      </c>
      <c r="AK208" s="35" t="s">
        <v>0</v>
      </c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</row>
    <row r="209" spans="1:63" s="32" customFormat="1" ht="15" customHeight="1">
      <c r="A209" s="46"/>
      <c r="B209" s="30">
        <v>218</v>
      </c>
      <c r="C209" s="35"/>
      <c r="D209" s="284" t="s">
        <v>1086</v>
      </c>
      <c r="E209" s="35"/>
      <c r="G209" s="35" t="s">
        <v>1085</v>
      </c>
      <c r="J209" s="59"/>
      <c r="K209" s="62"/>
      <c r="M209" s="104">
        <v>920002339</v>
      </c>
      <c r="Y209" s="35" t="s">
        <v>1117</v>
      </c>
      <c r="AA209" s="35" t="s">
        <v>917</v>
      </c>
      <c r="AB209" s="35" t="s">
        <v>767</v>
      </c>
      <c r="AC209" s="35" t="s">
        <v>1003</v>
      </c>
      <c r="AD209" s="178" t="s">
        <v>2285</v>
      </c>
      <c r="AE209" s="35" t="s">
        <v>521</v>
      </c>
      <c r="AF209" s="35" t="s">
        <v>1004</v>
      </c>
      <c r="AG209" s="35" t="s">
        <v>10</v>
      </c>
      <c r="AH209" s="35" t="s">
        <v>10</v>
      </c>
      <c r="AI209" s="35" t="s">
        <v>361</v>
      </c>
      <c r="AJ209" s="35" t="s">
        <v>362</v>
      </c>
      <c r="AK209" s="35" t="s">
        <v>2373</v>
      </c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</row>
    <row r="210" spans="1:63" s="32" customFormat="1" ht="15" customHeight="1">
      <c r="A210" s="190" t="s">
        <v>2621</v>
      </c>
      <c r="B210" s="187">
        <v>218</v>
      </c>
      <c r="C210" s="186"/>
      <c r="D210" s="413" t="s">
        <v>1086</v>
      </c>
      <c r="E210" s="186"/>
      <c r="F210" s="186"/>
      <c r="G210" s="186" t="s">
        <v>1085</v>
      </c>
      <c r="H210" s="186"/>
      <c r="I210" s="186"/>
      <c r="J210" s="188"/>
      <c r="K210" s="189"/>
      <c r="L210" s="186"/>
      <c r="M210" s="372">
        <v>920002645</v>
      </c>
      <c r="N210" s="186"/>
      <c r="O210" s="186"/>
      <c r="P210" s="186"/>
      <c r="Q210" s="186"/>
      <c r="R210" s="186"/>
      <c r="S210" s="186"/>
      <c r="T210" s="186"/>
      <c r="U210" s="186"/>
      <c r="V210" s="186"/>
      <c r="W210" s="186"/>
      <c r="X210" s="186"/>
      <c r="Y210" s="186" t="s">
        <v>1117</v>
      </c>
      <c r="AA210" s="35"/>
      <c r="AB210" s="35"/>
      <c r="AC210" s="180" t="s">
        <v>1108</v>
      </c>
      <c r="AD210" s="455" t="s">
        <v>2285</v>
      </c>
      <c r="AE210" s="35"/>
      <c r="AF210" s="35" t="s">
        <v>1004</v>
      </c>
      <c r="AG210" s="35"/>
      <c r="AH210" s="35"/>
      <c r="AI210" s="35"/>
      <c r="AJ210" s="35" t="s">
        <v>362</v>
      </c>
      <c r="AK210" s="35" t="s">
        <v>2373</v>
      </c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</row>
    <row r="211" spans="1:63" s="32" customFormat="1" ht="15" customHeight="1">
      <c r="A211" s="46"/>
      <c r="B211" s="30">
        <v>218</v>
      </c>
      <c r="C211" s="35"/>
      <c r="D211" s="284" t="s">
        <v>1086</v>
      </c>
      <c r="E211" s="35"/>
      <c r="G211" s="35" t="s">
        <v>1085</v>
      </c>
      <c r="J211" s="58"/>
      <c r="K211" s="104"/>
      <c r="M211" s="104" t="s">
        <v>1302</v>
      </c>
      <c r="Y211" s="35" t="s">
        <v>1117</v>
      </c>
      <c r="AA211" s="35" t="s">
        <v>981</v>
      </c>
      <c r="AB211" s="35" t="s">
        <v>769</v>
      </c>
      <c r="AC211" s="35" t="s">
        <v>1003</v>
      </c>
      <c r="AD211" s="178" t="s">
        <v>2286</v>
      </c>
      <c r="AE211" s="35" t="s">
        <v>521</v>
      </c>
      <c r="AF211" s="35" t="s">
        <v>982</v>
      </c>
      <c r="AG211" s="35" t="s">
        <v>395</v>
      </c>
      <c r="AH211" s="35" t="s">
        <v>10</v>
      </c>
      <c r="AI211" s="35" t="s">
        <v>402</v>
      </c>
      <c r="AJ211" s="35" t="s">
        <v>362</v>
      </c>
      <c r="AK211" s="35" t="s">
        <v>2373</v>
      </c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</row>
    <row r="212" spans="1:63" s="32" customFormat="1" ht="15" customHeight="1">
      <c r="A212" s="46"/>
      <c r="B212" s="30">
        <v>218</v>
      </c>
      <c r="C212" s="35"/>
      <c r="D212" s="284" t="s">
        <v>1086</v>
      </c>
      <c r="E212" s="35"/>
      <c r="G212" s="35" t="s">
        <v>1085</v>
      </c>
      <c r="J212" s="58"/>
      <c r="K212" s="104"/>
      <c r="M212" s="104" t="s">
        <v>1302</v>
      </c>
      <c r="Y212" s="35" t="s">
        <v>1117</v>
      </c>
      <c r="AA212" s="35" t="s">
        <v>1177</v>
      </c>
      <c r="AB212" s="35" t="s">
        <v>768</v>
      </c>
      <c r="AC212" s="35" t="s">
        <v>1005</v>
      </c>
      <c r="AD212" s="178" t="s">
        <v>2315</v>
      </c>
      <c r="AE212" s="3" t="s">
        <v>1174</v>
      </c>
      <c r="AF212" s="35" t="s">
        <v>1176</v>
      </c>
      <c r="AG212" s="35" t="s">
        <v>1178</v>
      </c>
      <c r="AH212" s="35" t="s">
        <v>10</v>
      </c>
      <c r="AI212" s="35" t="s">
        <v>366</v>
      </c>
      <c r="AJ212" s="35" t="s">
        <v>362</v>
      </c>
      <c r="AK212" s="35" t="s">
        <v>2373</v>
      </c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</row>
    <row r="213" spans="1:63" s="35" customFormat="1" ht="15" customHeight="1">
      <c r="A213" s="46"/>
      <c r="B213" s="30">
        <v>218</v>
      </c>
      <c r="D213" s="284" t="s">
        <v>1083</v>
      </c>
      <c r="G213" s="35" t="s">
        <v>1084</v>
      </c>
      <c r="I213" s="35" t="s">
        <v>550</v>
      </c>
      <c r="J213" s="58" t="s">
        <v>1340</v>
      </c>
      <c r="K213" s="39"/>
      <c r="M213" s="104">
        <v>990000296</v>
      </c>
      <c r="Y213" s="35" t="s">
        <v>1117</v>
      </c>
      <c r="AA213" s="35" t="s">
        <v>439</v>
      </c>
      <c r="AB213" s="35" t="s">
        <v>1010</v>
      </c>
      <c r="AC213" s="35" t="s">
        <v>1011</v>
      </c>
      <c r="AD213" s="34" t="s">
        <v>2338</v>
      </c>
      <c r="AE213" s="3" t="s">
        <v>1414</v>
      </c>
      <c r="AF213" s="35" t="s">
        <v>440</v>
      </c>
      <c r="AG213" s="35" t="s">
        <v>10</v>
      </c>
      <c r="AH213" s="35" t="s">
        <v>633</v>
      </c>
      <c r="AI213" s="35" t="s">
        <v>372</v>
      </c>
      <c r="AJ213" s="35" t="s">
        <v>362</v>
      </c>
      <c r="AK213" s="35" t="s">
        <v>2373</v>
      </c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</row>
    <row r="214" spans="1:63" s="35" customFormat="1" ht="15" customHeight="1">
      <c r="A214" s="46"/>
      <c r="B214" s="30">
        <v>218</v>
      </c>
      <c r="D214" s="284" t="s">
        <v>1085</v>
      </c>
      <c r="G214" s="35" t="s">
        <v>1085</v>
      </c>
      <c r="J214" s="58"/>
      <c r="K214" s="104"/>
      <c r="M214" s="104">
        <v>990004886</v>
      </c>
      <c r="Y214" s="35" t="s">
        <v>1117</v>
      </c>
      <c r="AA214" s="35" t="s">
        <v>2369</v>
      </c>
      <c r="AB214" s="35" t="s">
        <v>2370</v>
      </c>
      <c r="AC214" s="35" t="s">
        <v>10</v>
      </c>
      <c r="AD214" s="34" t="s">
        <v>2371</v>
      </c>
      <c r="AE214" s="35" t="s">
        <v>642</v>
      </c>
      <c r="AF214" s="35" t="s">
        <v>2372</v>
      </c>
      <c r="AG214" s="35" t="s">
        <v>10</v>
      </c>
      <c r="AH214" s="35" t="s">
        <v>10</v>
      </c>
      <c r="AI214" s="35" t="s">
        <v>10</v>
      </c>
      <c r="AJ214" s="35" t="s">
        <v>362</v>
      </c>
      <c r="AK214" s="35" t="s">
        <v>2373</v>
      </c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</row>
    <row r="215" spans="1:63" s="35" customFormat="1" ht="15" customHeight="1">
      <c r="A215" s="46"/>
      <c r="B215" s="30" t="s">
        <v>1014</v>
      </c>
      <c r="D215" s="284"/>
      <c r="J215" s="58"/>
      <c r="K215" s="39"/>
      <c r="M215" s="104"/>
      <c r="AA215" s="35" t="s">
        <v>326</v>
      </c>
      <c r="AD215" s="34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</row>
    <row r="216" spans="1:63" s="35" customFormat="1" ht="15" customHeight="1">
      <c r="A216" s="46"/>
      <c r="B216" s="30" t="s">
        <v>1014</v>
      </c>
      <c r="D216" s="284"/>
      <c r="J216" s="58"/>
      <c r="K216" s="39"/>
      <c r="M216" s="104"/>
      <c r="AA216" s="35" t="s">
        <v>0</v>
      </c>
      <c r="AB216" s="34" t="s">
        <v>786</v>
      </c>
      <c r="AC216" s="348" t="s">
        <v>2440</v>
      </c>
      <c r="AD216" s="34" t="s">
        <v>1977</v>
      </c>
      <c r="AE216" s="35" t="s">
        <v>1</v>
      </c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</row>
    <row r="217" spans="1:63" s="35" customFormat="1" ht="15" customHeight="1">
      <c r="A217" s="46"/>
      <c r="B217" s="30" t="s">
        <v>1014</v>
      </c>
      <c r="D217" s="284"/>
      <c r="J217" s="58"/>
      <c r="K217" s="39"/>
      <c r="M217" s="104"/>
      <c r="AA217" s="35" t="s">
        <v>2</v>
      </c>
      <c r="AB217" s="34" t="s">
        <v>787</v>
      </c>
      <c r="AC217" s="348" t="s">
        <v>2441</v>
      </c>
      <c r="AD217" s="34" t="s">
        <v>1979</v>
      </c>
      <c r="AE217" s="35" t="s">
        <v>1</v>
      </c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</row>
    <row r="218" spans="1:63" s="35" customFormat="1" ht="15" customHeight="1">
      <c r="A218" s="46"/>
      <c r="B218" s="30" t="s">
        <v>1014</v>
      </c>
      <c r="D218" s="284"/>
      <c r="J218" s="58"/>
      <c r="K218" s="39"/>
      <c r="M218" s="58"/>
      <c r="AA218" s="35" t="s">
        <v>3</v>
      </c>
      <c r="AB218" s="34" t="s">
        <v>788</v>
      </c>
      <c r="AC218" s="179" t="s">
        <v>1980</v>
      </c>
      <c r="AD218" s="178" t="s">
        <v>1981</v>
      </c>
      <c r="AE218" s="35" t="s">
        <v>1</v>
      </c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</row>
    <row r="219" spans="1:63" s="35" customFormat="1" ht="15" customHeight="1">
      <c r="A219" s="46"/>
      <c r="B219" s="30" t="s">
        <v>1014</v>
      </c>
      <c r="D219" s="284"/>
      <c r="J219" s="58"/>
      <c r="K219" s="39"/>
      <c r="M219" s="58"/>
      <c r="AA219" s="35" t="s">
        <v>4</v>
      </c>
      <c r="AB219" s="34" t="s">
        <v>2442</v>
      </c>
      <c r="AC219" s="348" t="s">
        <v>2443</v>
      </c>
      <c r="AD219" s="34" t="s">
        <v>2497</v>
      </c>
      <c r="AE219" s="35" t="s">
        <v>1</v>
      </c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</row>
    <row r="220" spans="1:63" s="35" customFormat="1" ht="15" customHeight="1">
      <c r="A220" s="190" t="s">
        <v>2621</v>
      </c>
      <c r="B220" s="30" t="s">
        <v>1014</v>
      </c>
      <c r="D220" s="284"/>
      <c r="J220" s="58"/>
      <c r="K220" s="39"/>
      <c r="M220" s="58"/>
      <c r="AA220" s="185" t="s">
        <v>5</v>
      </c>
      <c r="AB220" s="34" t="s">
        <v>2494</v>
      </c>
      <c r="AC220" s="348" t="s">
        <v>2495</v>
      </c>
      <c r="AD220" s="34" t="s">
        <v>2496</v>
      </c>
      <c r="AE220" s="35" t="s">
        <v>1</v>
      </c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  <c r="BJ220" s="30"/>
      <c r="BK220" s="30"/>
    </row>
    <row r="221" spans="1:63" s="35" customFormat="1" ht="15" customHeight="1">
      <c r="A221" s="46"/>
      <c r="B221" s="30" t="s">
        <v>1014</v>
      </c>
      <c r="D221" s="284"/>
      <c r="J221" s="58"/>
      <c r="K221" s="39"/>
      <c r="M221" s="58"/>
      <c r="AA221" s="35" t="s">
        <v>354</v>
      </c>
      <c r="AB221" s="35" t="s">
        <v>355</v>
      </c>
      <c r="AC221" s="35" t="s">
        <v>356</v>
      </c>
      <c r="AD221" s="34" t="s">
        <v>7</v>
      </c>
      <c r="AE221" s="35" t="s">
        <v>8</v>
      </c>
      <c r="AF221" s="35" t="s">
        <v>357</v>
      </c>
      <c r="AG221" s="35" t="s">
        <v>358</v>
      </c>
      <c r="AH221" s="35" t="s">
        <v>359</v>
      </c>
      <c r="AI221" s="35" t="s">
        <v>9</v>
      </c>
      <c r="AJ221" s="35" t="s">
        <v>360</v>
      </c>
      <c r="AK221" s="35" t="s">
        <v>0</v>
      </c>
      <c r="AL221" s="35" t="s">
        <v>2</v>
      </c>
      <c r="AM221" s="35" t="s">
        <v>3</v>
      </c>
      <c r="AN221" s="35" t="s">
        <v>4</v>
      </c>
      <c r="AO221" s="35" t="s">
        <v>5</v>
      </c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</row>
    <row r="222" spans="1:63" s="35" customFormat="1" ht="15" customHeight="1">
      <c r="A222" s="46"/>
      <c r="B222" s="30" t="s">
        <v>1014</v>
      </c>
      <c r="D222" s="284" t="s">
        <v>1092</v>
      </c>
      <c r="G222" s="35" t="s">
        <v>1085</v>
      </c>
      <c r="J222" s="58"/>
      <c r="K222" s="39"/>
      <c r="M222" s="104" t="s">
        <v>1302</v>
      </c>
      <c r="Y222" s="35" t="s">
        <v>1119</v>
      </c>
      <c r="AA222" s="35" t="s">
        <v>1001</v>
      </c>
      <c r="AB222" s="35" t="s">
        <v>793</v>
      </c>
      <c r="AC222" s="35" t="s">
        <v>424</v>
      </c>
      <c r="AD222" s="178" t="s">
        <v>1986</v>
      </c>
      <c r="AE222" s="2" t="s">
        <v>822</v>
      </c>
      <c r="AF222" s="35" t="s">
        <v>1002</v>
      </c>
      <c r="AG222" s="35" t="s">
        <v>383</v>
      </c>
      <c r="AH222" s="35" t="s">
        <v>10</v>
      </c>
      <c r="AI222" s="35" t="s">
        <v>380</v>
      </c>
      <c r="AJ222" s="35" t="s">
        <v>362</v>
      </c>
      <c r="AK222" s="35" t="s">
        <v>10</v>
      </c>
      <c r="AL222" s="35" t="s">
        <v>10</v>
      </c>
      <c r="AM222" s="35" t="s">
        <v>788</v>
      </c>
      <c r="AN222" s="35" t="s">
        <v>10</v>
      </c>
      <c r="AO222" s="35" t="s">
        <v>10</v>
      </c>
      <c r="AQ222" s="30"/>
      <c r="AR222" s="30"/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</row>
    <row r="223" spans="1:63" s="35" customFormat="1" ht="15" customHeight="1">
      <c r="A223" s="46"/>
      <c r="B223" s="30" t="s">
        <v>1014</v>
      </c>
      <c r="D223" s="284" t="s">
        <v>1092</v>
      </c>
      <c r="G223" s="35" t="s">
        <v>1085</v>
      </c>
      <c r="J223" s="58"/>
      <c r="K223" s="39"/>
      <c r="M223" s="104" t="s">
        <v>1302</v>
      </c>
      <c r="Y223" s="35" t="s">
        <v>1119</v>
      </c>
      <c r="AA223" s="35" t="s">
        <v>993</v>
      </c>
      <c r="AB223" s="35" t="s">
        <v>800</v>
      </c>
      <c r="AC223" s="35" t="s">
        <v>547</v>
      </c>
      <c r="AD223" s="178" t="s">
        <v>1990</v>
      </c>
      <c r="AE223" s="2" t="s">
        <v>1991</v>
      </c>
      <c r="AF223" s="35" t="s">
        <v>995</v>
      </c>
      <c r="AG223" s="35" t="s">
        <v>383</v>
      </c>
      <c r="AH223" s="35" t="s">
        <v>10</v>
      </c>
      <c r="AI223" s="35" t="s">
        <v>381</v>
      </c>
      <c r="AJ223" s="35" t="s">
        <v>362</v>
      </c>
      <c r="AK223" s="35" t="s">
        <v>786</v>
      </c>
      <c r="AL223" s="35" t="s">
        <v>787</v>
      </c>
      <c r="AM223" s="35" t="s">
        <v>788</v>
      </c>
      <c r="AN223" s="35" t="s">
        <v>2442</v>
      </c>
      <c r="AO223" s="35" t="s">
        <v>2494</v>
      </c>
      <c r="AQ223" s="30"/>
      <c r="AR223" s="30"/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</row>
    <row r="224" spans="1:63" s="35" customFormat="1" ht="15" customHeight="1">
      <c r="A224" s="46"/>
      <c r="B224" s="30" t="s">
        <v>1014</v>
      </c>
      <c r="D224" s="284" t="s">
        <v>1092</v>
      </c>
      <c r="G224" s="35" t="s">
        <v>1085</v>
      </c>
      <c r="J224" s="58"/>
      <c r="K224" s="39"/>
      <c r="M224" s="104" t="s">
        <v>1302</v>
      </c>
      <c r="Y224" s="35" t="s">
        <v>1119</v>
      </c>
      <c r="AA224" s="35" t="s">
        <v>1015</v>
      </c>
      <c r="AB224" s="35" t="s">
        <v>795</v>
      </c>
      <c r="AC224" s="35" t="s">
        <v>1016</v>
      </c>
      <c r="AD224" s="178" t="s">
        <v>2288</v>
      </c>
      <c r="AE224" s="2" t="s">
        <v>1988</v>
      </c>
      <c r="AF224" s="35" t="s">
        <v>1017</v>
      </c>
      <c r="AG224" s="35" t="s">
        <v>451</v>
      </c>
      <c r="AH224" s="35" t="s">
        <v>10</v>
      </c>
      <c r="AI224" s="35" t="s">
        <v>503</v>
      </c>
      <c r="AJ224" s="35" t="s">
        <v>362</v>
      </c>
      <c r="AK224" s="35" t="s">
        <v>10</v>
      </c>
      <c r="AL224" s="35" t="s">
        <v>787</v>
      </c>
      <c r="AM224" s="35" t="s">
        <v>788</v>
      </c>
      <c r="AN224" s="35" t="s">
        <v>2442</v>
      </c>
      <c r="AO224" s="35" t="s">
        <v>10</v>
      </c>
      <c r="AQ224" s="30"/>
      <c r="AR224" s="30"/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</row>
    <row r="225" spans="1:61" s="35" customFormat="1" ht="15" customHeight="1">
      <c r="A225" s="46"/>
      <c r="B225" s="30" t="s">
        <v>1014</v>
      </c>
      <c r="D225" s="284" t="s">
        <v>1092</v>
      </c>
      <c r="G225" s="35" t="s">
        <v>1085</v>
      </c>
      <c r="J225" s="58"/>
      <c r="K225" s="39"/>
      <c r="M225" s="104" t="s">
        <v>1302</v>
      </c>
      <c r="Y225" s="35" t="s">
        <v>1119</v>
      </c>
      <c r="AA225" s="35" t="s">
        <v>388</v>
      </c>
      <c r="AB225" s="35" t="s">
        <v>797</v>
      </c>
      <c r="AC225" s="35" t="s">
        <v>1018</v>
      </c>
      <c r="AD225" s="178" t="s">
        <v>2289</v>
      </c>
      <c r="AE225" s="2" t="s">
        <v>1989</v>
      </c>
      <c r="AF225" s="35" t="s">
        <v>389</v>
      </c>
      <c r="AG225" s="35" t="s">
        <v>383</v>
      </c>
      <c r="AH225" s="35" t="s">
        <v>10</v>
      </c>
      <c r="AI225" s="35" t="s">
        <v>378</v>
      </c>
      <c r="AJ225" s="35" t="s">
        <v>362</v>
      </c>
      <c r="AK225" s="35" t="s">
        <v>10</v>
      </c>
      <c r="AL225" s="35" t="s">
        <v>787</v>
      </c>
      <c r="AM225" s="35" t="s">
        <v>788</v>
      </c>
      <c r="AN225" s="35" t="s">
        <v>2442</v>
      </c>
      <c r="AO225" s="35" t="s">
        <v>10</v>
      </c>
      <c r="AQ225" s="30"/>
      <c r="AR225" s="30"/>
      <c r="AS225" s="30"/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</row>
    <row r="226" spans="1:61" s="35" customFormat="1" ht="15" customHeight="1">
      <c r="A226" s="46"/>
      <c r="B226" s="30" t="s">
        <v>1014</v>
      </c>
      <c r="D226" s="284" t="s">
        <v>1092</v>
      </c>
      <c r="G226" s="35" t="s">
        <v>1085</v>
      </c>
      <c r="J226" s="58"/>
      <c r="K226" s="39"/>
      <c r="M226" s="104" t="s">
        <v>1302</v>
      </c>
      <c r="Y226" s="35" t="s">
        <v>1119</v>
      </c>
      <c r="AA226" s="35" t="s">
        <v>10</v>
      </c>
      <c r="AB226" s="35" t="s">
        <v>789</v>
      </c>
      <c r="AC226" s="35" t="s">
        <v>1267</v>
      </c>
      <c r="AD226" s="178" t="s">
        <v>2290</v>
      </c>
      <c r="AE226" s="2" t="s">
        <v>488</v>
      </c>
      <c r="AF226" s="35" t="s">
        <v>1019</v>
      </c>
      <c r="AG226" s="35" t="s">
        <v>507</v>
      </c>
      <c r="AH226" s="35" t="s">
        <v>10</v>
      </c>
      <c r="AI226" s="35" t="s">
        <v>380</v>
      </c>
      <c r="AJ226" s="35" t="s">
        <v>362</v>
      </c>
      <c r="AK226" s="35" t="s">
        <v>786</v>
      </c>
      <c r="AL226" s="35" t="s">
        <v>787</v>
      </c>
      <c r="AM226" s="58" t="s">
        <v>10</v>
      </c>
      <c r="AN226" s="58" t="s">
        <v>10</v>
      </c>
      <c r="AO226" s="35" t="s">
        <v>2494</v>
      </c>
      <c r="AQ226" s="30"/>
      <c r="AR226" s="30"/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</row>
    <row r="227" spans="1:61" s="381" customFormat="1" ht="15" customHeight="1">
      <c r="A227" s="389" t="s">
        <v>1231</v>
      </c>
      <c r="B227" s="390" t="s">
        <v>1014</v>
      </c>
      <c r="D227" s="415" t="s">
        <v>1086</v>
      </c>
      <c r="G227" s="381" t="s">
        <v>1089</v>
      </c>
      <c r="H227" s="381" t="s">
        <v>1086</v>
      </c>
      <c r="J227" s="386"/>
      <c r="K227" s="387"/>
      <c r="L227" s="381" t="s">
        <v>10</v>
      </c>
      <c r="M227" s="386">
        <v>990002320</v>
      </c>
      <c r="Y227" s="381" t="s">
        <v>1117</v>
      </c>
      <c r="AA227" s="381" t="s">
        <v>415</v>
      </c>
      <c r="AB227" s="381" t="s">
        <v>1020</v>
      </c>
      <c r="AC227" s="381" t="s">
        <v>10</v>
      </c>
      <c r="AD227" s="385" t="s">
        <v>1020</v>
      </c>
      <c r="AE227" s="381" t="s">
        <v>514</v>
      </c>
      <c r="AF227" s="381" t="s">
        <v>443</v>
      </c>
      <c r="AG227" s="381" t="s">
        <v>10</v>
      </c>
      <c r="AH227" s="381" t="s">
        <v>10</v>
      </c>
      <c r="AI227" s="381" t="s">
        <v>10</v>
      </c>
      <c r="AJ227" s="381" t="s">
        <v>362</v>
      </c>
      <c r="AK227" s="381" t="s">
        <v>786</v>
      </c>
      <c r="AL227" s="381" t="s">
        <v>787</v>
      </c>
      <c r="AM227" s="381" t="s">
        <v>788</v>
      </c>
      <c r="AN227" s="381" t="s">
        <v>2442</v>
      </c>
      <c r="AO227" s="381" t="s">
        <v>2494</v>
      </c>
      <c r="AQ227" s="390"/>
      <c r="AR227" s="390"/>
      <c r="AS227" s="390"/>
      <c r="AT227" s="390"/>
      <c r="AU227" s="390"/>
      <c r="AV227" s="390"/>
      <c r="AW227" s="390"/>
      <c r="AX227" s="390"/>
      <c r="AY227" s="390"/>
      <c r="AZ227" s="390"/>
      <c r="BA227" s="390"/>
      <c r="BB227" s="390"/>
      <c r="BC227" s="390"/>
      <c r="BD227" s="390"/>
      <c r="BE227" s="390"/>
      <c r="BF227" s="390"/>
      <c r="BG227" s="390"/>
      <c r="BH227" s="390"/>
      <c r="BI227" s="390"/>
    </row>
    <row r="228" spans="1:61" s="484" customFormat="1" ht="15" customHeight="1">
      <c r="A228" s="487"/>
      <c r="B228" s="488" t="s">
        <v>1014</v>
      </c>
      <c r="D228" s="489" t="s">
        <v>1092</v>
      </c>
      <c r="G228" s="484" t="s">
        <v>1089</v>
      </c>
      <c r="H228" s="484" t="s">
        <v>1211</v>
      </c>
      <c r="J228" s="485"/>
      <c r="K228" s="483"/>
      <c r="L228" s="484" t="s">
        <v>10</v>
      </c>
      <c r="M228" s="485">
        <v>990002320</v>
      </c>
      <c r="Y228" s="484" t="s">
        <v>1270</v>
      </c>
      <c r="AA228" s="484" t="s">
        <v>415</v>
      </c>
      <c r="AB228" s="484" t="s">
        <v>1020</v>
      </c>
      <c r="AC228" s="484" t="s">
        <v>10</v>
      </c>
      <c r="AD228" s="257" t="s">
        <v>1020</v>
      </c>
      <c r="AE228" s="484" t="s">
        <v>514</v>
      </c>
      <c r="AF228" s="484" t="s">
        <v>443</v>
      </c>
      <c r="AG228" s="484" t="s">
        <v>10</v>
      </c>
      <c r="AH228" s="484" t="s">
        <v>10</v>
      </c>
      <c r="AI228" s="484" t="s">
        <v>10</v>
      </c>
      <c r="AJ228" s="484" t="s">
        <v>362</v>
      </c>
      <c r="AK228" s="484" t="s">
        <v>786</v>
      </c>
      <c r="AL228" s="484" t="s">
        <v>787</v>
      </c>
      <c r="AM228" s="484" t="s">
        <v>788</v>
      </c>
      <c r="AN228" s="484" t="s">
        <v>2442</v>
      </c>
      <c r="AO228" s="484" t="s">
        <v>2494</v>
      </c>
      <c r="AQ228" s="488"/>
      <c r="AR228" s="488"/>
      <c r="AS228" s="488"/>
      <c r="AT228" s="488"/>
      <c r="AU228" s="488"/>
      <c r="AV228" s="488"/>
      <c r="AW228" s="488"/>
      <c r="AX228" s="488"/>
      <c r="AY228" s="488"/>
      <c r="AZ228" s="488"/>
      <c r="BA228" s="488"/>
      <c r="BB228" s="488"/>
      <c r="BC228" s="488"/>
      <c r="BD228" s="488"/>
      <c r="BE228" s="488"/>
      <c r="BF228" s="488"/>
      <c r="BG228" s="488"/>
      <c r="BH228" s="488"/>
      <c r="BI228" s="488"/>
    </row>
    <row r="229" spans="1:61" s="35" customFormat="1" ht="15" customHeight="1">
      <c r="A229" s="46"/>
      <c r="B229" s="30" t="s">
        <v>1014</v>
      </c>
      <c r="D229" s="284" t="s">
        <v>1092</v>
      </c>
      <c r="G229" s="35" t="s">
        <v>1089</v>
      </c>
      <c r="H229" s="35" t="s">
        <v>1211</v>
      </c>
      <c r="J229" s="58"/>
      <c r="K229" s="39"/>
      <c r="L229" s="35" t="s">
        <v>10</v>
      </c>
      <c r="M229" s="58">
        <v>990002320</v>
      </c>
      <c r="Y229" s="35" t="s">
        <v>1270</v>
      </c>
      <c r="AA229" s="35" t="s">
        <v>415</v>
      </c>
      <c r="AB229" s="35" t="s">
        <v>1021</v>
      </c>
      <c r="AC229" s="35" t="s">
        <v>10</v>
      </c>
      <c r="AD229" s="34" t="s">
        <v>1021</v>
      </c>
      <c r="AE229" s="2" t="s">
        <v>2090</v>
      </c>
      <c r="AF229" s="35" t="s">
        <v>443</v>
      </c>
      <c r="AG229" s="35" t="s">
        <v>10</v>
      </c>
      <c r="AH229" s="35" t="s">
        <v>10</v>
      </c>
      <c r="AI229" s="35" t="s">
        <v>10</v>
      </c>
      <c r="AJ229" s="35" t="s">
        <v>362</v>
      </c>
      <c r="AK229" s="35" t="s">
        <v>786</v>
      </c>
      <c r="AL229" s="35" t="s">
        <v>787</v>
      </c>
      <c r="AM229" s="35" t="s">
        <v>788</v>
      </c>
      <c r="AN229" s="35" t="s">
        <v>2442</v>
      </c>
      <c r="AO229" s="35" t="s">
        <v>2494</v>
      </c>
      <c r="AQ229" s="30"/>
      <c r="AR229" s="30"/>
      <c r="AS229" s="30"/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0"/>
      <c r="BE229" s="30"/>
      <c r="BF229" s="30"/>
      <c r="BG229" s="30"/>
      <c r="BH229" s="30"/>
      <c r="BI229" s="30"/>
    </row>
    <row r="230" spans="1:61" s="35" customFormat="1" ht="15" customHeight="1">
      <c r="A230" s="46"/>
      <c r="B230" s="30" t="s">
        <v>1014</v>
      </c>
      <c r="D230" s="284" t="s">
        <v>1092</v>
      </c>
      <c r="G230" s="35" t="s">
        <v>1089</v>
      </c>
      <c r="H230" s="35" t="s">
        <v>1091</v>
      </c>
      <c r="J230" s="58"/>
      <c r="K230" s="39"/>
      <c r="L230" s="35" t="s">
        <v>10</v>
      </c>
      <c r="M230" s="58">
        <v>990002320</v>
      </c>
      <c r="Y230" s="35" t="s">
        <v>1119</v>
      </c>
      <c r="AA230" s="35" t="s">
        <v>415</v>
      </c>
      <c r="AB230" s="35" t="s">
        <v>1022</v>
      </c>
      <c r="AC230" s="35" t="s">
        <v>10</v>
      </c>
      <c r="AD230" s="34" t="s">
        <v>1022</v>
      </c>
      <c r="AE230" s="2" t="s">
        <v>2091</v>
      </c>
      <c r="AF230" s="35" t="s">
        <v>443</v>
      </c>
      <c r="AG230" s="35" t="s">
        <v>10</v>
      </c>
      <c r="AH230" s="35" t="s">
        <v>10</v>
      </c>
      <c r="AI230" s="35" t="s">
        <v>10</v>
      </c>
      <c r="AJ230" s="35" t="s">
        <v>362</v>
      </c>
      <c r="AK230" s="35" t="s">
        <v>786</v>
      </c>
      <c r="AL230" s="35" t="s">
        <v>787</v>
      </c>
      <c r="AM230" s="35" t="s">
        <v>788</v>
      </c>
      <c r="AN230" s="35" t="s">
        <v>2442</v>
      </c>
      <c r="AO230" s="35" t="s">
        <v>2494</v>
      </c>
      <c r="AQ230" s="30"/>
      <c r="AR230" s="30"/>
      <c r="AS230" s="30"/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</row>
    <row r="231" spans="1:61" s="35" customFormat="1" ht="15" customHeight="1">
      <c r="A231" s="46"/>
      <c r="B231" s="30" t="s">
        <v>1014</v>
      </c>
      <c r="D231" s="284" t="s">
        <v>1092</v>
      </c>
      <c r="G231" s="35" t="s">
        <v>1089</v>
      </c>
      <c r="H231" s="35" t="s">
        <v>1091</v>
      </c>
      <c r="J231" s="58"/>
      <c r="K231" s="39"/>
      <c r="L231" s="35" t="s">
        <v>10</v>
      </c>
      <c r="M231" s="58">
        <v>990002320</v>
      </c>
      <c r="Y231" s="35" t="s">
        <v>1119</v>
      </c>
      <c r="AA231" s="35" t="s">
        <v>415</v>
      </c>
      <c r="AB231" s="35" t="s">
        <v>1023</v>
      </c>
      <c r="AC231" s="35" t="s">
        <v>10</v>
      </c>
      <c r="AD231" s="34" t="s">
        <v>1023</v>
      </c>
      <c r="AE231" s="2" t="s">
        <v>2122</v>
      </c>
      <c r="AF231" s="35" t="s">
        <v>443</v>
      </c>
      <c r="AG231" s="35" t="s">
        <v>10</v>
      </c>
      <c r="AH231" s="35" t="s">
        <v>10</v>
      </c>
      <c r="AI231" s="35" t="s">
        <v>10</v>
      </c>
      <c r="AJ231" s="35" t="s">
        <v>362</v>
      </c>
      <c r="AK231" s="35" t="s">
        <v>786</v>
      </c>
      <c r="AL231" s="35" t="s">
        <v>787</v>
      </c>
      <c r="AM231" s="35" t="s">
        <v>788</v>
      </c>
      <c r="AN231" s="35" t="s">
        <v>2442</v>
      </c>
      <c r="AO231" s="35" t="s">
        <v>2494</v>
      </c>
      <c r="AQ231" s="30"/>
      <c r="AR231" s="30"/>
      <c r="AS231" s="30"/>
      <c r="AT231" s="30"/>
      <c r="AU231" s="30"/>
      <c r="AV231" s="3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</row>
    <row r="232" spans="1:61" s="35" customFormat="1" ht="15" customHeight="1">
      <c r="A232" s="46"/>
      <c r="B232" s="30" t="s">
        <v>1014</v>
      </c>
      <c r="D232" s="284" t="s">
        <v>1092</v>
      </c>
      <c r="G232" s="35" t="s">
        <v>1089</v>
      </c>
      <c r="H232" s="35" t="s">
        <v>1091</v>
      </c>
      <c r="J232" s="58"/>
      <c r="K232" s="39"/>
      <c r="L232" s="35" t="s">
        <v>10</v>
      </c>
      <c r="M232" s="58">
        <v>990002320</v>
      </c>
      <c r="Y232" s="35" t="s">
        <v>1119</v>
      </c>
      <c r="AA232" s="35" t="s">
        <v>415</v>
      </c>
      <c r="AB232" s="35" t="s">
        <v>1024</v>
      </c>
      <c r="AC232" s="35" t="s">
        <v>10</v>
      </c>
      <c r="AD232" s="34" t="s">
        <v>1024</v>
      </c>
      <c r="AE232" s="2" t="s">
        <v>2123</v>
      </c>
      <c r="AF232" s="35" t="s">
        <v>443</v>
      </c>
      <c r="AG232" s="35" t="s">
        <v>10</v>
      </c>
      <c r="AH232" s="35" t="s">
        <v>10</v>
      </c>
      <c r="AI232" s="35" t="s">
        <v>10</v>
      </c>
      <c r="AJ232" s="35" t="s">
        <v>362</v>
      </c>
      <c r="AK232" s="35" t="s">
        <v>786</v>
      </c>
      <c r="AL232" s="35" t="s">
        <v>787</v>
      </c>
      <c r="AM232" s="35" t="s">
        <v>788</v>
      </c>
      <c r="AN232" s="35" t="s">
        <v>2442</v>
      </c>
      <c r="AO232" s="35" t="s">
        <v>2494</v>
      </c>
      <c r="AQ232" s="30"/>
      <c r="AR232" s="30"/>
      <c r="AS232" s="30"/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0"/>
      <c r="BE232" s="30"/>
      <c r="BF232" s="30"/>
      <c r="BG232" s="30"/>
      <c r="BH232" s="30"/>
      <c r="BI232" s="30"/>
    </row>
    <row r="233" spans="1:61" s="35" customFormat="1" ht="15" customHeight="1">
      <c r="A233" s="46"/>
      <c r="B233" s="30" t="s">
        <v>1014</v>
      </c>
      <c r="D233" s="284" t="s">
        <v>1092</v>
      </c>
      <c r="G233" s="35" t="s">
        <v>1089</v>
      </c>
      <c r="H233" s="35" t="s">
        <v>1091</v>
      </c>
      <c r="J233" s="58"/>
      <c r="K233" s="39"/>
      <c r="L233" s="35" t="s">
        <v>1120</v>
      </c>
      <c r="M233" s="58">
        <v>990003226</v>
      </c>
      <c r="Y233" s="35" t="s">
        <v>1119</v>
      </c>
      <c r="AA233" s="35" t="s">
        <v>541</v>
      </c>
      <c r="AB233" s="35" t="s">
        <v>444</v>
      </c>
      <c r="AC233" s="35" t="s">
        <v>10</v>
      </c>
      <c r="AD233" s="34" t="s">
        <v>444</v>
      </c>
      <c r="AE233" s="2" t="s">
        <v>2124</v>
      </c>
      <c r="AF233" s="35" t="s">
        <v>613</v>
      </c>
      <c r="AG233" s="35" t="s">
        <v>10</v>
      </c>
      <c r="AH233" s="35" t="s">
        <v>10</v>
      </c>
      <c r="AI233" s="35" t="s">
        <v>10</v>
      </c>
      <c r="AJ233" s="35" t="s">
        <v>362</v>
      </c>
      <c r="AK233" s="35" t="s">
        <v>786</v>
      </c>
      <c r="AL233" s="35" t="s">
        <v>787</v>
      </c>
      <c r="AM233" s="35" t="s">
        <v>788</v>
      </c>
      <c r="AN233" s="35" t="s">
        <v>2442</v>
      </c>
      <c r="AO233" s="35" t="s">
        <v>2494</v>
      </c>
      <c r="AQ233" s="30"/>
      <c r="AR233" s="30"/>
      <c r="AS233" s="30"/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</row>
    <row r="234" spans="1:61" s="35" customFormat="1" ht="15" customHeight="1">
      <c r="A234" s="46"/>
      <c r="B234" s="30" t="s">
        <v>1014</v>
      </c>
      <c r="D234" s="284" t="s">
        <v>1092</v>
      </c>
      <c r="G234" s="35" t="s">
        <v>1089</v>
      </c>
      <c r="H234" s="35" t="s">
        <v>1091</v>
      </c>
      <c r="J234" s="58"/>
      <c r="K234" s="39"/>
      <c r="L234" s="35" t="s">
        <v>1120</v>
      </c>
      <c r="M234" s="58">
        <v>990002035</v>
      </c>
      <c r="Y234" s="35" t="s">
        <v>1119</v>
      </c>
      <c r="AA234" s="35" t="s">
        <v>1186</v>
      </c>
      <c r="AB234" s="35" t="s">
        <v>445</v>
      </c>
      <c r="AC234" s="35" t="s">
        <v>10</v>
      </c>
      <c r="AD234" s="34" t="s">
        <v>445</v>
      </c>
      <c r="AE234" s="2" t="s">
        <v>1199</v>
      </c>
      <c r="AF234" s="35" t="s">
        <v>1185</v>
      </c>
      <c r="AG234" s="35" t="s">
        <v>10</v>
      </c>
      <c r="AH234" s="35" t="s">
        <v>10</v>
      </c>
      <c r="AI234" s="35" t="s">
        <v>10</v>
      </c>
      <c r="AJ234" s="35" t="s">
        <v>362</v>
      </c>
      <c r="AK234" s="35" t="s">
        <v>786</v>
      </c>
      <c r="AL234" s="35" t="s">
        <v>787</v>
      </c>
      <c r="AM234" s="35" t="s">
        <v>788</v>
      </c>
      <c r="AN234" s="35" t="s">
        <v>2442</v>
      </c>
      <c r="AO234" s="35" t="s">
        <v>2494</v>
      </c>
      <c r="AQ234" s="30"/>
      <c r="AR234" s="30"/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</row>
    <row r="235" spans="1:61" s="35" customFormat="1" ht="15" customHeight="1">
      <c r="A235" s="46"/>
      <c r="B235" s="30" t="s">
        <v>1014</v>
      </c>
      <c r="D235" s="284" t="s">
        <v>1092</v>
      </c>
      <c r="G235" s="35" t="s">
        <v>1089</v>
      </c>
      <c r="H235" s="35" t="s">
        <v>1091</v>
      </c>
      <c r="J235" s="58"/>
      <c r="K235" s="39"/>
      <c r="L235" s="35" t="s">
        <v>1120</v>
      </c>
      <c r="M235" s="58">
        <v>990002035</v>
      </c>
      <c r="Y235" s="35" t="s">
        <v>1119</v>
      </c>
      <c r="AA235" s="35" t="s">
        <v>1186</v>
      </c>
      <c r="AB235" s="35" t="s">
        <v>446</v>
      </c>
      <c r="AC235" s="35" t="s">
        <v>10</v>
      </c>
      <c r="AD235" s="34" t="s">
        <v>446</v>
      </c>
      <c r="AE235" s="2" t="s">
        <v>2125</v>
      </c>
      <c r="AF235" s="35" t="s">
        <v>1185</v>
      </c>
      <c r="AG235" s="35" t="s">
        <v>10</v>
      </c>
      <c r="AH235" s="35" t="s">
        <v>10</v>
      </c>
      <c r="AI235" s="35" t="s">
        <v>10</v>
      </c>
      <c r="AJ235" s="35" t="s">
        <v>362</v>
      </c>
      <c r="AK235" s="35" t="s">
        <v>786</v>
      </c>
      <c r="AL235" s="35" t="s">
        <v>787</v>
      </c>
      <c r="AM235" s="35" t="s">
        <v>788</v>
      </c>
      <c r="AN235" s="35" t="s">
        <v>2442</v>
      </c>
      <c r="AO235" s="35" t="s">
        <v>2494</v>
      </c>
      <c r="AQ235" s="30"/>
      <c r="AR235" s="30"/>
      <c r="AS235" s="30"/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</row>
    <row r="236" spans="1:61" s="35" customFormat="1" ht="15" customHeight="1">
      <c r="A236" s="46"/>
      <c r="B236" s="30" t="s">
        <v>1014</v>
      </c>
      <c r="D236" s="284" t="s">
        <v>1092</v>
      </c>
      <c r="G236" s="35" t="s">
        <v>1089</v>
      </c>
      <c r="H236" s="35" t="s">
        <v>1091</v>
      </c>
      <c r="J236" s="58"/>
      <c r="K236" s="39"/>
      <c r="L236" s="35" t="s">
        <v>1120</v>
      </c>
      <c r="M236" s="58">
        <v>990002035</v>
      </c>
      <c r="Y236" s="35" t="s">
        <v>1119</v>
      </c>
      <c r="AA236" s="35" t="s">
        <v>1186</v>
      </c>
      <c r="AB236" s="35" t="s">
        <v>615</v>
      </c>
      <c r="AC236" s="35" t="s">
        <v>10</v>
      </c>
      <c r="AD236" s="34" t="s">
        <v>615</v>
      </c>
      <c r="AE236" s="2" t="s">
        <v>2126</v>
      </c>
      <c r="AF236" s="35" t="s">
        <v>1185</v>
      </c>
      <c r="AG236" s="35" t="s">
        <v>10</v>
      </c>
      <c r="AH236" s="35" t="s">
        <v>10</v>
      </c>
      <c r="AI236" s="35" t="s">
        <v>10</v>
      </c>
      <c r="AJ236" s="35" t="s">
        <v>362</v>
      </c>
      <c r="AK236" s="35" t="s">
        <v>786</v>
      </c>
      <c r="AL236" s="35" t="s">
        <v>787</v>
      </c>
      <c r="AM236" s="35" t="s">
        <v>788</v>
      </c>
      <c r="AN236" s="35" t="s">
        <v>2442</v>
      </c>
      <c r="AO236" s="35" t="s">
        <v>2494</v>
      </c>
      <c r="AQ236" s="30"/>
      <c r="AR236" s="30"/>
      <c r="AS236" s="30"/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</row>
    <row r="237" spans="1:61" s="35" customFormat="1" ht="15" customHeight="1">
      <c r="A237" s="46"/>
      <c r="B237" s="30" t="s">
        <v>1014</v>
      </c>
      <c r="D237" s="284" t="s">
        <v>1092</v>
      </c>
      <c r="G237" s="35" t="s">
        <v>1089</v>
      </c>
      <c r="H237" s="35" t="s">
        <v>1091</v>
      </c>
      <c r="J237" s="58"/>
      <c r="K237" s="39"/>
      <c r="L237" s="35" t="s">
        <v>1120</v>
      </c>
      <c r="M237" s="58">
        <v>990002035</v>
      </c>
      <c r="Y237" s="35" t="s">
        <v>1119</v>
      </c>
      <c r="AA237" s="35" t="s">
        <v>1186</v>
      </c>
      <c r="AB237" s="35" t="s">
        <v>616</v>
      </c>
      <c r="AC237" s="35" t="s">
        <v>10</v>
      </c>
      <c r="AD237" s="34" t="s">
        <v>616</v>
      </c>
      <c r="AE237" s="2" t="s">
        <v>2127</v>
      </c>
      <c r="AF237" s="35" t="s">
        <v>1185</v>
      </c>
      <c r="AG237" s="35" t="s">
        <v>10</v>
      </c>
      <c r="AH237" s="35" t="s">
        <v>10</v>
      </c>
      <c r="AI237" s="35" t="s">
        <v>10</v>
      </c>
      <c r="AJ237" s="35" t="s">
        <v>362</v>
      </c>
      <c r="AK237" s="35" t="s">
        <v>786</v>
      </c>
      <c r="AL237" s="35" t="s">
        <v>787</v>
      </c>
      <c r="AM237" s="35" t="s">
        <v>788</v>
      </c>
      <c r="AN237" s="35" t="s">
        <v>2442</v>
      </c>
      <c r="AO237" s="35" t="s">
        <v>2494</v>
      </c>
      <c r="AQ237" s="30"/>
      <c r="AR237" s="30"/>
      <c r="AS237" s="30"/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</row>
    <row r="238" spans="1:61" s="35" customFormat="1" ht="15" customHeight="1">
      <c r="A238" s="46"/>
      <c r="B238" s="30" t="s">
        <v>1014</v>
      </c>
      <c r="D238" s="284" t="s">
        <v>1092</v>
      </c>
      <c r="G238" s="35" t="s">
        <v>1089</v>
      </c>
      <c r="H238" s="35" t="s">
        <v>1091</v>
      </c>
      <c r="J238" s="58"/>
      <c r="K238" s="39"/>
      <c r="L238" s="35" t="s">
        <v>1120</v>
      </c>
      <c r="M238" s="58">
        <v>990003226</v>
      </c>
      <c r="Y238" s="35" t="s">
        <v>1119</v>
      </c>
      <c r="AA238" s="35" t="s">
        <v>541</v>
      </c>
      <c r="AB238" s="35" t="s">
        <v>1025</v>
      </c>
      <c r="AC238" s="35" t="s">
        <v>10</v>
      </c>
      <c r="AD238" s="34" t="s">
        <v>1025</v>
      </c>
      <c r="AE238" s="2" t="s">
        <v>2106</v>
      </c>
      <c r="AF238" s="35" t="s">
        <v>613</v>
      </c>
      <c r="AG238" s="35" t="s">
        <v>10</v>
      </c>
      <c r="AH238" s="35" t="s">
        <v>10</v>
      </c>
      <c r="AI238" s="35" t="s">
        <v>10</v>
      </c>
      <c r="AJ238" s="35" t="s">
        <v>362</v>
      </c>
      <c r="AK238" s="35" t="s">
        <v>786</v>
      </c>
      <c r="AL238" s="35" t="s">
        <v>787</v>
      </c>
      <c r="AM238" s="35" t="s">
        <v>788</v>
      </c>
      <c r="AN238" s="35" t="s">
        <v>2442</v>
      </c>
      <c r="AO238" s="35" t="s">
        <v>2494</v>
      </c>
      <c r="AQ238" s="30"/>
      <c r="AR238" s="30"/>
      <c r="AS238" s="30"/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0"/>
      <c r="BE238" s="30"/>
      <c r="BF238" s="30"/>
      <c r="BG238" s="30"/>
      <c r="BH238" s="30"/>
      <c r="BI238" s="30"/>
    </row>
    <row r="239" spans="1:61" s="35" customFormat="1" ht="15" customHeight="1">
      <c r="A239" s="46"/>
      <c r="B239" s="30" t="s">
        <v>1014</v>
      </c>
      <c r="D239" s="284" t="s">
        <v>1092</v>
      </c>
      <c r="G239" s="35" t="s">
        <v>1089</v>
      </c>
      <c r="H239" s="35" t="s">
        <v>1091</v>
      </c>
      <c r="J239" s="58"/>
      <c r="K239" s="39"/>
      <c r="L239" s="35" t="s">
        <v>10</v>
      </c>
      <c r="M239" s="58">
        <v>990002086</v>
      </c>
      <c r="Y239" s="35" t="s">
        <v>1119</v>
      </c>
      <c r="AA239" s="35" t="s">
        <v>1161</v>
      </c>
      <c r="AB239" s="35" t="s">
        <v>1219</v>
      </c>
      <c r="AC239" s="35" t="s">
        <v>10</v>
      </c>
      <c r="AD239" s="34" t="s">
        <v>1219</v>
      </c>
      <c r="AE239" s="2" t="s">
        <v>2128</v>
      </c>
      <c r="AF239" s="35" t="s">
        <v>1218</v>
      </c>
      <c r="AG239" s="35" t="s">
        <v>10</v>
      </c>
      <c r="AH239" s="35" t="s">
        <v>10</v>
      </c>
      <c r="AI239" s="35" t="s">
        <v>10</v>
      </c>
      <c r="AJ239" s="35" t="s">
        <v>362</v>
      </c>
      <c r="AK239" s="35" t="s">
        <v>786</v>
      </c>
      <c r="AL239" s="35" t="s">
        <v>787</v>
      </c>
      <c r="AM239" s="35" t="s">
        <v>788</v>
      </c>
      <c r="AN239" s="35" t="s">
        <v>2442</v>
      </c>
      <c r="AO239" s="35" t="s">
        <v>2494</v>
      </c>
      <c r="AQ239" s="30"/>
      <c r="AR239" s="30"/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</row>
    <row r="240" spans="1:61" s="35" customFormat="1" ht="15" customHeight="1">
      <c r="A240" s="46"/>
      <c r="B240" s="30" t="s">
        <v>1014</v>
      </c>
      <c r="D240" s="284" t="s">
        <v>1092</v>
      </c>
      <c r="G240" s="35" t="s">
        <v>1089</v>
      </c>
      <c r="H240" s="35" t="s">
        <v>1091</v>
      </c>
      <c r="J240" s="58"/>
      <c r="K240" s="39"/>
      <c r="L240" s="35" t="s">
        <v>10</v>
      </c>
      <c r="M240" s="58">
        <v>990002086</v>
      </c>
      <c r="Y240" s="35" t="s">
        <v>1119</v>
      </c>
      <c r="AA240" s="35" t="s">
        <v>1161</v>
      </c>
      <c r="AB240" s="35" t="s">
        <v>1220</v>
      </c>
      <c r="AC240" s="35" t="s">
        <v>10</v>
      </c>
      <c r="AD240" s="34" t="s">
        <v>1220</v>
      </c>
      <c r="AE240" s="2" t="s">
        <v>2129</v>
      </c>
      <c r="AF240" s="35" t="s">
        <v>1218</v>
      </c>
      <c r="AG240" s="35" t="s">
        <v>10</v>
      </c>
      <c r="AH240" s="35" t="s">
        <v>10</v>
      </c>
      <c r="AI240" s="35" t="s">
        <v>10</v>
      </c>
      <c r="AJ240" s="35" t="s">
        <v>362</v>
      </c>
      <c r="AK240" s="35" t="s">
        <v>786</v>
      </c>
      <c r="AL240" s="35" t="s">
        <v>787</v>
      </c>
      <c r="AM240" s="35" t="s">
        <v>788</v>
      </c>
      <c r="AN240" s="35" t="s">
        <v>2442</v>
      </c>
      <c r="AO240" s="35" t="s">
        <v>2494</v>
      </c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</row>
    <row r="241" spans="1:61" s="35" customFormat="1" ht="15" customHeight="1">
      <c r="A241" s="46"/>
      <c r="B241" s="30" t="s">
        <v>1014</v>
      </c>
      <c r="D241" s="284" t="s">
        <v>1092</v>
      </c>
      <c r="G241" s="35" t="s">
        <v>1089</v>
      </c>
      <c r="H241" s="35" t="s">
        <v>1091</v>
      </c>
      <c r="J241" s="58"/>
      <c r="K241" s="39"/>
      <c r="L241" s="35" t="s">
        <v>1120</v>
      </c>
      <c r="M241" s="58">
        <v>990001620</v>
      </c>
      <c r="Y241" s="35" t="s">
        <v>1119</v>
      </c>
      <c r="AA241" s="35" t="s">
        <v>368</v>
      </c>
      <c r="AB241" s="35" t="s">
        <v>1026</v>
      </c>
      <c r="AC241" s="35" t="s">
        <v>10</v>
      </c>
      <c r="AD241" s="34" t="s">
        <v>1026</v>
      </c>
      <c r="AE241" s="35" t="s">
        <v>2130</v>
      </c>
      <c r="AF241" s="35" t="s">
        <v>369</v>
      </c>
      <c r="AG241" s="35" t="s">
        <v>10</v>
      </c>
      <c r="AH241" s="35" t="s">
        <v>10</v>
      </c>
      <c r="AI241" s="35" t="s">
        <v>10</v>
      </c>
      <c r="AJ241" s="35" t="s">
        <v>362</v>
      </c>
      <c r="AK241" s="35" t="s">
        <v>786</v>
      </c>
      <c r="AL241" s="35" t="s">
        <v>787</v>
      </c>
      <c r="AM241" s="35" t="s">
        <v>788</v>
      </c>
      <c r="AN241" s="35" t="s">
        <v>2442</v>
      </c>
      <c r="AO241" s="35" t="s">
        <v>2494</v>
      </c>
      <c r="AQ241" s="30"/>
      <c r="AR241" s="30"/>
      <c r="AS241" s="30"/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</row>
    <row r="242" spans="1:61" s="35" customFormat="1" ht="15" customHeight="1">
      <c r="A242" s="46"/>
      <c r="B242" s="30" t="s">
        <v>1014</v>
      </c>
      <c r="D242" s="284" t="s">
        <v>1092</v>
      </c>
      <c r="G242" s="35" t="s">
        <v>1089</v>
      </c>
      <c r="H242" s="35" t="s">
        <v>1091</v>
      </c>
      <c r="J242" s="58"/>
      <c r="K242" s="39"/>
      <c r="L242" s="35" t="s">
        <v>10</v>
      </c>
      <c r="M242" s="58">
        <v>990004362</v>
      </c>
      <c r="Y242" s="35" t="s">
        <v>1119</v>
      </c>
      <c r="AA242" s="35" t="s">
        <v>1272</v>
      </c>
      <c r="AB242" s="35" t="s">
        <v>1200</v>
      </c>
      <c r="AC242" s="35" t="s">
        <v>10</v>
      </c>
      <c r="AD242" s="34" t="s">
        <v>1200</v>
      </c>
      <c r="AE242" s="2" t="s">
        <v>2131</v>
      </c>
      <c r="AF242" s="35" t="s">
        <v>1271</v>
      </c>
      <c r="AG242" s="35" t="s">
        <v>10</v>
      </c>
      <c r="AH242" s="35" t="s">
        <v>10</v>
      </c>
      <c r="AI242" s="35" t="s">
        <v>10</v>
      </c>
      <c r="AJ242" s="35" t="s">
        <v>362</v>
      </c>
      <c r="AK242" s="35" t="s">
        <v>786</v>
      </c>
      <c r="AL242" s="35" t="s">
        <v>787</v>
      </c>
      <c r="AM242" s="35" t="s">
        <v>788</v>
      </c>
      <c r="AN242" s="35" t="s">
        <v>2442</v>
      </c>
      <c r="AO242" s="35" t="s">
        <v>2494</v>
      </c>
      <c r="AQ242" s="30"/>
      <c r="AR242" s="30"/>
      <c r="AS242" s="30"/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</row>
    <row r="243" spans="1:61" s="35" customFormat="1" ht="15" customHeight="1">
      <c r="A243" s="46"/>
      <c r="B243" s="30" t="s">
        <v>1014</v>
      </c>
      <c r="D243" s="284" t="s">
        <v>1092</v>
      </c>
      <c r="G243" s="35" t="s">
        <v>1085</v>
      </c>
      <c r="J243" s="58"/>
      <c r="K243" s="39"/>
      <c r="M243" s="104" t="s">
        <v>1302</v>
      </c>
      <c r="Y243" s="35" t="s">
        <v>1119</v>
      </c>
      <c r="AA243" s="35" t="s">
        <v>1027</v>
      </c>
      <c r="AB243" s="35" t="s">
        <v>790</v>
      </c>
      <c r="AC243" s="35" t="s">
        <v>1028</v>
      </c>
      <c r="AD243" s="178" t="s">
        <v>2287</v>
      </c>
      <c r="AE243" s="2" t="s">
        <v>1983</v>
      </c>
      <c r="AF243" s="35" t="s">
        <v>1029</v>
      </c>
      <c r="AG243" s="35" t="s">
        <v>451</v>
      </c>
      <c r="AH243" s="35" t="s">
        <v>10</v>
      </c>
      <c r="AI243" s="35" t="s">
        <v>361</v>
      </c>
      <c r="AJ243" s="35" t="s">
        <v>362</v>
      </c>
      <c r="AK243" s="35" t="s">
        <v>786</v>
      </c>
      <c r="AL243" s="35" t="s">
        <v>10</v>
      </c>
      <c r="AM243" s="35" t="s">
        <v>10</v>
      </c>
      <c r="AN243" s="35" t="s">
        <v>10</v>
      </c>
      <c r="AO243" s="35" t="s">
        <v>2494</v>
      </c>
      <c r="AQ243" s="30"/>
      <c r="AR243" s="30"/>
      <c r="AS243" s="30"/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</row>
    <row r="244" spans="1:61" s="35" customFormat="1" ht="15" customHeight="1">
      <c r="A244" s="46"/>
      <c r="B244" s="30" t="s">
        <v>1014</v>
      </c>
      <c r="D244" s="284" t="s">
        <v>1092</v>
      </c>
      <c r="G244" s="35" t="s">
        <v>1085</v>
      </c>
      <c r="J244" s="58"/>
      <c r="K244" s="39"/>
      <c r="M244" s="104" t="s">
        <v>1302</v>
      </c>
      <c r="Y244" s="35" t="s">
        <v>1119</v>
      </c>
      <c r="AA244" s="35" t="s">
        <v>1030</v>
      </c>
      <c r="AB244" s="35" t="s">
        <v>803</v>
      </c>
      <c r="AC244" s="35" t="s">
        <v>1032</v>
      </c>
      <c r="AD244" s="178" t="s">
        <v>2291</v>
      </c>
      <c r="AE244" s="2" t="s">
        <v>1992</v>
      </c>
      <c r="AF244" s="35" t="s">
        <v>1031</v>
      </c>
      <c r="AG244" s="35" t="s">
        <v>451</v>
      </c>
      <c r="AH244" s="35" t="s">
        <v>10</v>
      </c>
      <c r="AI244" s="35" t="s">
        <v>402</v>
      </c>
      <c r="AJ244" s="35" t="s">
        <v>362</v>
      </c>
      <c r="AK244" s="35" t="s">
        <v>786</v>
      </c>
      <c r="AL244" s="35" t="s">
        <v>10</v>
      </c>
      <c r="AM244" s="35" t="s">
        <v>10</v>
      </c>
      <c r="AN244" s="35" t="s">
        <v>10</v>
      </c>
      <c r="AO244" s="35" t="s">
        <v>10</v>
      </c>
      <c r="AQ244" s="30"/>
      <c r="AR244" s="30"/>
      <c r="AS244" s="30"/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</row>
    <row r="245" spans="1:61" s="35" customFormat="1" ht="15" customHeight="1">
      <c r="A245" s="46"/>
      <c r="B245" s="30">
        <v>219</v>
      </c>
      <c r="D245" s="284" t="s">
        <v>1092</v>
      </c>
      <c r="G245" s="35" t="s">
        <v>1085</v>
      </c>
      <c r="J245" s="58"/>
      <c r="K245" s="39"/>
      <c r="M245" s="104" t="s">
        <v>1302</v>
      </c>
      <c r="Y245" s="35" t="s">
        <v>1119</v>
      </c>
      <c r="AA245" s="35" t="s">
        <v>1269</v>
      </c>
      <c r="AB245" s="35" t="s">
        <v>1260</v>
      </c>
      <c r="AD245" s="178" t="s">
        <v>2292</v>
      </c>
      <c r="AE245" s="2" t="s">
        <v>1540</v>
      </c>
      <c r="AF245" s="35" t="s">
        <v>1268</v>
      </c>
      <c r="AJ245" s="35" t="s">
        <v>362</v>
      </c>
      <c r="AK245" s="35" t="s">
        <v>10</v>
      </c>
      <c r="AL245" s="35" t="s">
        <v>10</v>
      </c>
      <c r="AM245" s="35" t="s">
        <v>788</v>
      </c>
      <c r="AN245" s="35" t="s">
        <v>2442</v>
      </c>
      <c r="AO245" s="35" t="s">
        <v>10</v>
      </c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</row>
    <row r="246" spans="1:61" s="35" customFormat="1" ht="15" customHeight="1">
      <c r="A246" s="46"/>
      <c r="B246" s="30">
        <v>219</v>
      </c>
      <c r="D246" s="284" t="s">
        <v>1092</v>
      </c>
      <c r="G246" s="35" t="s">
        <v>1085</v>
      </c>
      <c r="H246" s="35" t="s">
        <v>1091</v>
      </c>
      <c r="J246" s="58"/>
      <c r="K246" s="39"/>
      <c r="L246" s="35" t="s">
        <v>1120</v>
      </c>
      <c r="M246" s="58">
        <v>990003226</v>
      </c>
      <c r="Y246" s="35" t="s">
        <v>1119</v>
      </c>
      <c r="AA246" s="35" t="s">
        <v>541</v>
      </c>
      <c r="AB246" s="35" t="s">
        <v>1273</v>
      </c>
      <c r="AD246" s="34" t="s">
        <v>1273</v>
      </c>
      <c r="AE246" s="2" t="s">
        <v>2132</v>
      </c>
      <c r="AF246" s="35" t="s">
        <v>613</v>
      </c>
      <c r="AJ246" s="35" t="s">
        <v>362</v>
      </c>
      <c r="AK246" s="35" t="s">
        <v>786</v>
      </c>
      <c r="AL246" s="35" t="s">
        <v>787</v>
      </c>
      <c r="AM246" s="35" t="s">
        <v>788</v>
      </c>
      <c r="AN246" s="35" t="s">
        <v>2442</v>
      </c>
      <c r="AO246" s="35" t="s">
        <v>2494</v>
      </c>
      <c r="AQ246" s="30"/>
      <c r="AR246" s="30"/>
      <c r="AS246" s="30"/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</row>
    <row r="247" spans="1:61" s="35" customFormat="1" ht="15" customHeight="1">
      <c r="A247" s="46"/>
      <c r="B247" s="30">
        <v>219</v>
      </c>
      <c r="D247" s="284" t="s">
        <v>1092</v>
      </c>
      <c r="G247" s="35" t="s">
        <v>1085</v>
      </c>
      <c r="J247" s="58"/>
      <c r="K247" s="39"/>
      <c r="M247" s="104" t="s">
        <v>1302</v>
      </c>
      <c r="Y247" s="35" t="s">
        <v>1119</v>
      </c>
      <c r="AA247" s="35" t="s">
        <v>2437</v>
      </c>
      <c r="AB247" s="35" t="s">
        <v>2500</v>
      </c>
      <c r="AC247" s="35" t="s">
        <v>2499</v>
      </c>
      <c r="AD247" s="34" t="s">
        <v>2501</v>
      </c>
      <c r="AE247" s="35" t="s">
        <v>2502</v>
      </c>
      <c r="AF247" s="35" t="s">
        <v>2438</v>
      </c>
      <c r="AG247" s="35" t="s">
        <v>451</v>
      </c>
      <c r="AH247" s="35" t="s">
        <v>10</v>
      </c>
      <c r="AI247" s="35" t="s">
        <v>381</v>
      </c>
      <c r="AJ247" s="35" t="s">
        <v>362</v>
      </c>
      <c r="AK247" s="35" t="s">
        <v>10</v>
      </c>
      <c r="AL247" s="35" t="s">
        <v>10</v>
      </c>
      <c r="AM247" s="35" t="s">
        <v>10</v>
      </c>
      <c r="AN247" s="35" t="s">
        <v>10</v>
      </c>
      <c r="AO247" s="35" t="s">
        <v>2494</v>
      </c>
      <c r="AQ247" s="30"/>
      <c r="AR247" s="30"/>
      <c r="AS247" s="30"/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</row>
    <row r="248" spans="1:61" s="35" customFormat="1" ht="15" customHeight="1">
      <c r="A248" s="46"/>
      <c r="B248" s="30">
        <v>222</v>
      </c>
      <c r="D248" s="284"/>
      <c r="J248" s="58"/>
      <c r="K248" s="39"/>
      <c r="M248" s="58"/>
      <c r="AA248" s="3" t="s">
        <v>1997</v>
      </c>
      <c r="AB248" s="3"/>
      <c r="AC248" s="3"/>
      <c r="AD248" s="178"/>
      <c r="AE248" s="3"/>
      <c r="AF248" s="3"/>
      <c r="AG248" s="3"/>
      <c r="AH248" s="3"/>
      <c r="AI248" s="3"/>
      <c r="AJ248" s="3"/>
      <c r="AK248" s="3"/>
      <c r="AL248" s="3"/>
      <c r="AM248" s="3"/>
      <c r="AQ248" s="30"/>
      <c r="AR248" s="30"/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</row>
    <row r="249" spans="1:61" s="484" customFormat="1" ht="15" customHeight="1">
      <c r="A249" s="487"/>
      <c r="B249" s="488">
        <v>222</v>
      </c>
      <c r="D249" s="489"/>
      <c r="J249" s="485"/>
      <c r="K249" s="483"/>
      <c r="M249" s="485"/>
      <c r="AA249" s="484" t="s">
        <v>0</v>
      </c>
      <c r="AB249" s="257" t="s">
        <v>1998</v>
      </c>
      <c r="AC249" s="484" t="s">
        <v>2565</v>
      </c>
      <c r="AD249" s="257" t="s">
        <v>2000</v>
      </c>
      <c r="AE249" s="484" t="s">
        <v>1</v>
      </c>
      <c r="AQ249" s="488"/>
      <c r="AR249" s="488"/>
      <c r="AS249" s="488"/>
      <c r="AT249" s="488"/>
      <c r="AU249" s="488"/>
      <c r="AV249" s="488"/>
      <c r="AW249" s="488"/>
      <c r="AX249" s="488"/>
      <c r="AY249" s="488"/>
      <c r="AZ249" s="488"/>
      <c r="BA249" s="488"/>
      <c r="BB249" s="488"/>
      <c r="BC249" s="488"/>
      <c r="BD249" s="488"/>
      <c r="BE249" s="488"/>
      <c r="BF249" s="488"/>
      <c r="BG249" s="488"/>
      <c r="BH249" s="488"/>
      <c r="BI249" s="488"/>
    </row>
    <row r="250" spans="1:61" s="484" customFormat="1" ht="15" customHeight="1">
      <c r="A250" s="487"/>
      <c r="B250" s="488">
        <v>222</v>
      </c>
      <c r="D250" s="489"/>
      <c r="J250" s="485"/>
      <c r="K250" s="483"/>
      <c r="M250" s="485"/>
      <c r="AA250" s="484" t="s">
        <v>2</v>
      </c>
      <c r="AB250" s="257" t="s">
        <v>2001</v>
      </c>
      <c r="AC250" s="484" t="s">
        <v>2566</v>
      </c>
      <c r="AD250" s="257" t="s">
        <v>2003</v>
      </c>
      <c r="AE250" s="484" t="s">
        <v>1</v>
      </c>
      <c r="AQ250" s="488"/>
      <c r="AR250" s="488"/>
      <c r="AS250" s="488"/>
      <c r="AT250" s="488"/>
      <c r="AU250" s="488"/>
      <c r="AV250" s="488"/>
      <c r="AW250" s="488"/>
      <c r="AX250" s="488"/>
      <c r="AY250" s="488"/>
      <c r="AZ250" s="488"/>
      <c r="BA250" s="488"/>
      <c r="BB250" s="488"/>
      <c r="BC250" s="488"/>
      <c r="BD250" s="488"/>
      <c r="BE250" s="488"/>
      <c r="BF250" s="488"/>
      <c r="BG250" s="488"/>
      <c r="BH250" s="488"/>
      <c r="BI250" s="488"/>
    </row>
    <row r="251" spans="1:61" s="484" customFormat="1" ht="15" customHeight="1">
      <c r="A251" s="487"/>
      <c r="B251" s="488">
        <v>222</v>
      </c>
      <c r="D251" s="489"/>
      <c r="J251" s="485"/>
      <c r="K251" s="483"/>
      <c r="M251" s="485"/>
      <c r="AA251" s="484" t="s">
        <v>3</v>
      </c>
      <c r="AB251" s="257" t="s">
        <v>2004</v>
      </c>
      <c r="AC251" s="484" t="s">
        <v>2567</v>
      </c>
      <c r="AD251" s="257" t="s">
        <v>2006</v>
      </c>
      <c r="AE251" s="484" t="s">
        <v>1</v>
      </c>
      <c r="AQ251" s="488"/>
      <c r="AR251" s="488"/>
      <c r="AS251" s="488"/>
      <c r="AT251" s="488"/>
      <c r="AU251" s="488"/>
      <c r="AV251" s="488"/>
      <c r="AW251" s="488"/>
      <c r="AX251" s="488"/>
      <c r="AY251" s="488"/>
      <c r="AZ251" s="488"/>
      <c r="BA251" s="488"/>
      <c r="BB251" s="488"/>
      <c r="BC251" s="488"/>
      <c r="BD251" s="488"/>
      <c r="BE251" s="488"/>
      <c r="BF251" s="488"/>
      <c r="BG251" s="488"/>
      <c r="BH251" s="488"/>
      <c r="BI251" s="488"/>
    </row>
    <row r="252" spans="1:61" s="484" customFormat="1" ht="15" customHeight="1">
      <c r="A252" s="487"/>
      <c r="B252" s="488">
        <v>222</v>
      </c>
      <c r="D252" s="489"/>
      <c r="J252" s="485"/>
      <c r="K252" s="483"/>
      <c r="M252" s="485"/>
      <c r="AA252" s="484" t="s">
        <v>4</v>
      </c>
      <c r="AB252" s="257" t="s">
        <v>2447</v>
      </c>
      <c r="AC252" s="484" t="s">
        <v>2568</v>
      </c>
      <c r="AD252" s="257" t="s">
        <v>2444</v>
      </c>
      <c r="AE252" s="484" t="s">
        <v>1</v>
      </c>
      <c r="AQ252" s="488"/>
      <c r="AR252" s="488"/>
      <c r="AS252" s="488"/>
      <c r="AT252" s="488"/>
      <c r="AU252" s="488"/>
      <c r="AV252" s="488"/>
      <c r="AW252" s="488"/>
      <c r="AX252" s="488"/>
      <c r="AY252" s="488"/>
      <c r="AZ252" s="488"/>
      <c r="BA252" s="488"/>
      <c r="BB252" s="488"/>
      <c r="BC252" s="488"/>
      <c r="BD252" s="488"/>
      <c r="BE252" s="488"/>
      <c r="BF252" s="488"/>
      <c r="BG252" s="488"/>
      <c r="BH252" s="488"/>
      <c r="BI252" s="488"/>
    </row>
    <row r="253" spans="1:61" s="35" customFormat="1" ht="15" customHeight="1">
      <c r="A253" s="46"/>
      <c r="B253" s="30">
        <v>222</v>
      </c>
      <c r="D253" s="284"/>
      <c r="J253" s="58"/>
      <c r="K253" s="39"/>
      <c r="M253" s="58"/>
      <c r="AA253" s="35" t="s">
        <v>354</v>
      </c>
      <c r="AB253" s="35" t="s">
        <v>355</v>
      </c>
      <c r="AC253" s="35" t="s">
        <v>356</v>
      </c>
      <c r="AD253" s="34" t="s">
        <v>7</v>
      </c>
      <c r="AE253" s="35" t="s">
        <v>8</v>
      </c>
      <c r="AF253" s="35" t="s">
        <v>357</v>
      </c>
      <c r="AG253" s="35" t="s">
        <v>358</v>
      </c>
      <c r="AH253" s="35" t="s">
        <v>359</v>
      </c>
      <c r="AI253" s="35" t="s">
        <v>9</v>
      </c>
      <c r="AJ253" s="35" t="s">
        <v>2079</v>
      </c>
      <c r="AK253" s="35" t="s">
        <v>2080</v>
      </c>
      <c r="AL253" s="35" t="s">
        <v>360</v>
      </c>
      <c r="AM253" s="35" t="s">
        <v>0</v>
      </c>
      <c r="AN253" s="35" t="s">
        <v>2</v>
      </c>
      <c r="AO253" s="35" t="s">
        <v>3</v>
      </c>
      <c r="AP253" s="35" t="s">
        <v>4</v>
      </c>
      <c r="AQ253" s="30"/>
      <c r="AR253" s="30"/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</row>
    <row r="254" spans="1:61" s="35" customFormat="1" ht="15" customHeight="1">
      <c r="A254" s="46"/>
      <c r="B254" s="30">
        <v>222</v>
      </c>
      <c r="D254" s="284" t="s">
        <v>2144</v>
      </c>
      <c r="G254" s="35" t="s">
        <v>1085</v>
      </c>
      <c r="J254" s="58"/>
      <c r="K254" s="39"/>
      <c r="M254" s="58" t="s">
        <v>1302</v>
      </c>
      <c r="Y254" s="35" t="s">
        <v>1119</v>
      </c>
      <c r="AA254" s="35" t="s">
        <v>2548</v>
      </c>
      <c r="AB254" s="35" t="s">
        <v>2012</v>
      </c>
      <c r="AC254" s="35" t="s">
        <v>2352</v>
      </c>
      <c r="AD254" s="34" t="s">
        <v>2013</v>
      </c>
      <c r="AE254" s="35" t="s">
        <v>2014</v>
      </c>
      <c r="AF254" s="35" t="s">
        <v>995</v>
      </c>
      <c r="AG254" s="35" t="s">
        <v>383</v>
      </c>
      <c r="AH254" s="35" t="s">
        <v>10</v>
      </c>
      <c r="AI254" s="35" t="s">
        <v>381</v>
      </c>
      <c r="AJ254" s="35" t="s">
        <v>2081</v>
      </c>
      <c r="AK254" s="35" t="s">
        <v>10</v>
      </c>
      <c r="AL254" s="35" t="s">
        <v>362</v>
      </c>
      <c r="AM254" s="35" t="s">
        <v>1998</v>
      </c>
      <c r="AN254" s="35" t="s">
        <v>2001</v>
      </c>
      <c r="AO254" s="35" t="s">
        <v>2004</v>
      </c>
      <c r="AP254" s="35" t="s">
        <v>2447</v>
      </c>
      <c r="AQ254" s="30"/>
      <c r="AR254" s="30"/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</row>
    <row r="255" spans="1:61" s="35" customFormat="1" ht="15" customHeight="1">
      <c r="A255" s="46"/>
      <c r="B255" s="30">
        <v>222</v>
      </c>
      <c r="D255" s="284" t="s">
        <v>2144</v>
      </c>
      <c r="G255" s="35" t="s">
        <v>1085</v>
      </c>
      <c r="J255" s="58"/>
      <c r="K255" s="39"/>
      <c r="M255" s="58" t="s">
        <v>1302</v>
      </c>
      <c r="Y255" s="35" t="s">
        <v>1119</v>
      </c>
      <c r="AA255" s="35" t="s">
        <v>991</v>
      </c>
      <c r="AB255" s="35" t="s">
        <v>2016</v>
      </c>
      <c r="AC255" s="35" t="s">
        <v>2353</v>
      </c>
      <c r="AD255" s="34" t="s">
        <v>2017</v>
      </c>
      <c r="AE255" s="35" t="s">
        <v>2014</v>
      </c>
      <c r="AF255" s="35" t="s">
        <v>992</v>
      </c>
      <c r="AG255" s="35" t="s">
        <v>383</v>
      </c>
      <c r="AH255" s="35" t="s">
        <v>10</v>
      </c>
      <c r="AI255" s="35" t="s">
        <v>379</v>
      </c>
      <c r="AJ255" s="35" t="s">
        <v>2081</v>
      </c>
      <c r="AK255" s="35" t="s">
        <v>10</v>
      </c>
      <c r="AL255" s="35" t="s">
        <v>362</v>
      </c>
      <c r="AM255" s="35" t="s">
        <v>1998</v>
      </c>
      <c r="AN255" s="35" t="s">
        <v>2001</v>
      </c>
      <c r="AO255" s="35" t="s">
        <v>2004</v>
      </c>
      <c r="AP255" s="35" t="s">
        <v>2447</v>
      </c>
      <c r="AQ255" s="30"/>
      <c r="AR255" s="30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</row>
    <row r="256" spans="1:61" s="35" customFormat="1" ht="15" customHeight="1">
      <c r="A256" s="46"/>
      <c r="B256" s="30">
        <v>222</v>
      </c>
      <c r="D256" s="284" t="s">
        <v>2144</v>
      </c>
      <c r="G256" s="35" t="s">
        <v>1085</v>
      </c>
      <c r="J256" s="58"/>
      <c r="K256" s="39"/>
      <c r="M256" s="58" t="s">
        <v>1302</v>
      </c>
      <c r="Y256" s="35" t="s">
        <v>1119</v>
      </c>
      <c r="AA256" s="35" t="s">
        <v>1001</v>
      </c>
      <c r="AB256" s="35" t="s">
        <v>2008</v>
      </c>
      <c r="AC256" s="35" t="s">
        <v>2350</v>
      </c>
      <c r="AD256" s="34" t="s">
        <v>2351</v>
      </c>
      <c r="AE256" s="35" t="s">
        <v>2009</v>
      </c>
      <c r="AF256" s="35" t="s">
        <v>1002</v>
      </c>
      <c r="AG256" s="35" t="s">
        <v>383</v>
      </c>
      <c r="AH256" s="35" t="s">
        <v>10</v>
      </c>
      <c r="AI256" s="35" t="s">
        <v>380</v>
      </c>
      <c r="AJ256" s="35" t="s">
        <v>2081</v>
      </c>
      <c r="AK256" s="35" t="s">
        <v>10</v>
      </c>
      <c r="AL256" s="35" t="s">
        <v>362</v>
      </c>
      <c r="AM256" s="35" t="s">
        <v>1998</v>
      </c>
      <c r="AN256" s="35" t="s">
        <v>10</v>
      </c>
      <c r="AO256" s="35" t="s">
        <v>10</v>
      </c>
      <c r="AP256" s="35" t="s">
        <v>10</v>
      </c>
      <c r="AQ256" s="30"/>
      <c r="AR256" s="30"/>
      <c r="AS256" s="30"/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</row>
    <row r="257" spans="1:61" s="35" customFormat="1" ht="15" customHeight="1">
      <c r="A257" s="46"/>
      <c r="B257" s="30">
        <v>222</v>
      </c>
      <c r="D257" s="284" t="s">
        <v>2144</v>
      </c>
      <c r="G257" s="35" t="s">
        <v>1085</v>
      </c>
      <c r="J257" s="58"/>
      <c r="K257" s="39"/>
      <c r="M257" s="58" t="s">
        <v>1302</v>
      </c>
      <c r="Y257" s="35" t="s">
        <v>1119</v>
      </c>
      <c r="AA257" s="35" t="s">
        <v>2082</v>
      </c>
      <c r="AB257" s="35" t="s">
        <v>789</v>
      </c>
      <c r="AC257" s="35" t="s">
        <v>1267</v>
      </c>
      <c r="AD257" s="34" t="s">
        <v>2290</v>
      </c>
      <c r="AE257" s="35" t="s">
        <v>488</v>
      </c>
      <c r="AF257" s="35" t="s">
        <v>1019</v>
      </c>
      <c r="AG257" s="35" t="s">
        <v>507</v>
      </c>
      <c r="AH257" s="35" t="s">
        <v>10</v>
      </c>
      <c r="AI257" s="35" t="s">
        <v>2083</v>
      </c>
      <c r="AJ257" s="35" t="s">
        <v>2084</v>
      </c>
      <c r="AK257" s="35" t="s">
        <v>2085</v>
      </c>
      <c r="AL257" s="35" t="s">
        <v>362</v>
      </c>
      <c r="AM257" s="35" t="s">
        <v>1998</v>
      </c>
      <c r="AN257" s="35" t="s">
        <v>2001</v>
      </c>
      <c r="AO257" s="35" t="s">
        <v>10</v>
      </c>
      <c r="AP257" s="35" t="s">
        <v>10</v>
      </c>
      <c r="AQ257" s="30"/>
      <c r="AR257" s="30"/>
      <c r="AS257" s="30"/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</row>
    <row r="258" spans="1:61" s="35" customFormat="1" ht="15" customHeight="1">
      <c r="A258" s="46"/>
      <c r="B258" s="30">
        <v>222</v>
      </c>
      <c r="D258" s="284" t="s">
        <v>2144</v>
      </c>
      <c r="G258" s="35" t="s">
        <v>1085</v>
      </c>
      <c r="J258" s="58"/>
      <c r="K258" s="39"/>
      <c r="M258" s="58" t="s">
        <v>1302</v>
      </c>
      <c r="Y258" s="35" t="s">
        <v>1119</v>
      </c>
      <c r="AA258" s="3" t="s">
        <v>2086</v>
      </c>
      <c r="AB258" s="2" t="s">
        <v>1260</v>
      </c>
      <c r="AC258" s="2" t="s">
        <v>1718</v>
      </c>
      <c r="AD258" s="257" t="s">
        <v>2292</v>
      </c>
      <c r="AE258" s="3" t="s">
        <v>1540</v>
      </c>
      <c r="AF258" s="3" t="s">
        <v>1268</v>
      </c>
      <c r="AG258" s="3" t="s">
        <v>507</v>
      </c>
      <c r="AH258" s="3" t="s">
        <v>10</v>
      </c>
      <c r="AI258" s="3" t="s">
        <v>2087</v>
      </c>
      <c r="AJ258" s="3" t="s">
        <v>2088</v>
      </c>
      <c r="AK258" s="3" t="s">
        <v>2089</v>
      </c>
      <c r="AL258" s="3" t="s">
        <v>362</v>
      </c>
      <c r="AM258" s="3" t="s">
        <v>10</v>
      </c>
      <c r="AN258" s="3" t="s">
        <v>10</v>
      </c>
      <c r="AO258" s="3" t="s">
        <v>2004</v>
      </c>
      <c r="AP258" s="4" t="s">
        <v>2447</v>
      </c>
      <c r="AQ258" s="30"/>
      <c r="AR258" s="30"/>
      <c r="AS258" s="30"/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</row>
    <row r="259" spans="1:61" s="35" customFormat="1" ht="15" customHeight="1">
      <c r="A259" s="46"/>
      <c r="B259" s="30">
        <v>222</v>
      </c>
      <c r="D259" s="284" t="s">
        <v>2144</v>
      </c>
      <c r="G259" s="35" t="s">
        <v>1085</v>
      </c>
      <c r="J259" s="58"/>
      <c r="K259" s="39"/>
      <c r="M259" s="58" t="s">
        <v>1302</v>
      </c>
      <c r="Y259" s="35" t="s">
        <v>1119</v>
      </c>
      <c r="AA259" s="35" t="s">
        <v>1001</v>
      </c>
      <c r="AB259" s="35" t="s">
        <v>2355</v>
      </c>
      <c r="AC259" s="35" t="s">
        <v>2354</v>
      </c>
      <c r="AD259" s="34" t="s">
        <v>2356</v>
      </c>
      <c r="AE259" s="35" t="s">
        <v>2105</v>
      </c>
      <c r="AF259" s="35" t="s">
        <v>1002</v>
      </c>
      <c r="AG259" s="35" t="s">
        <v>383</v>
      </c>
      <c r="AH259" s="35" t="s">
        <v>10</v>
      </c>
      <c r="AI259" s="35" t="s">
        <v>380</v>
      </c>
      <c r="AJ259" s="35" t="s">
        <v>2081</v>
      </c>
      <c r="AK259" s="35" t="s">
        <v>10</v>
      </c>
      <c r="AL259" s="35" t="s">
        <v>362</v>
      </c>
      <c r="AM259" s="35" t="s">
        <v>10</v>
      </c>
      <c r="AN259" s="35" t="s">
        <v>10</v>
      </c>
      <c r="AO259" s="35" t="s">
        <v>2004</v>
      </c>
      <c r="AP259" s="4" t="s">
        <v>10</v>
      </c>
      <c r="AQ259" s="30"/>
      <c r="AR259" s="30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</row>
    <row r="260" spans="1:61" s="381" customFormat="1" ht="15" customHeight="1">
      <c r="A260" s="389" t="s">
        <v>1231</v>
      </c>
      <c r="B260" s="390">
        <v>222</v>
      </c>
      <c r="D260" s="415" t="s">
        <v>1086</v>
      </c>
      <c r="G260" s="381" t="s">
        <v>1089</v>
      </c>
      <c r="H260" s="381" t="s">
        <v>1086</v>
      </c>
      <c r="J260" s="386"/>
      <c r="K260" s="387"/>
      <c r="L260" s="381" t="s">
        <v>10</v>
      </c>
      <c r="M260" s="386">
        <v>990002320</v>
      </c>
      <c r="Y260" s="381" t="s">
        <v>1117</v>
      </c>
      <c r="AA260" s="383" t="s">
        <v>415</v>
      </c>
      <c r="AB260" s="381" t="s">
        <v>1020</v>
      </c>
      <c r="AC260" s="381" t="s">
        <v>10</v>
      </c>
      <c r="AD260" s="385" t="s">
        <v>1020</v>
      </c>
      <c r="AE260" s="383" t="s">
        <v>514</v>
      </c>
      <c r="AF260" s="383" t="s">
        <v>443</v>
      </c>
      <c r="AG260" s="383" t="s">
        <v>10</v>
      </c>
      <c r="AH260" s="383" t="s">
        <v>10</v>
      </c>
      <c r="AI260" s="383" t="s">
        <v>10</v>
      </c>
      <c r="AJ260" s="383" t="s">
        <v>10</v>
      </c>
      <c r="AK260" s="383" t="s">
        <v>10</v>
      </c>
      <c r="AL260" s="383" t="s">
        <v>362</v>
      </c>
      <c r="AM260" s="383" t="s">
        <v>1998</v>
      </c>
      <c r="AN260" s="383" t="s">
        <v>2001</v>
      </c>
      <c r="AO260" s="383" t="s">
        <v>2004</v>
      </c>
      <c r="AP260" s="381" t="s">
        <v>2447</v>
      </c>
      <c r="AQ260" s="390"/>
      <c r="AR260" s="390"/>
      <c r="AS260" s="390"/>
      <c r="AT260" s="390"/>
      <c r="AU260" s="390"/>
      <c r="AV260" s="390"/>
      <c r="AW260" s="390"/>
      <c r="AX260" s="390"/>
      <c r="AY260" s="390"/>
      <c r="AZ260" s="390"/>
      <c r="BA260" s="390"/>
      <c r="BB260" s="390"/>
      <c r="BC260" s="390"/>
      <c r="BD260" s="390"/>
      <c r="BE260" s="390"/>
      <c r="BF260" s="390"/>
      <c r="BG260" s="390"/>
      <c r="BH260" s="390"/>
      <c r="BI260" s="390"/>
    </row>
    <row r="261" spans="1:61" s="186" customFormat="1" ht="15" customHeight="1">
      <c r="A261" s="190" t="s">
        <v>1231</v>
      </c>
      <c r="B261" s="187">
        <v>222</v>
      </c>
      <c r="D261" s="418" t="s">
        <v>2144</v>
      </c>
      <c r="G261" s="186" t="s">
        <v>1089</v>
      </c>
      <c r="H261" s="192" t="s">
        <v>1211</v>
      </c>
      <c r="J261" s="188"/>
      <c r="K261" s="189"/>
      <c r="L261" s="186" t="s">
        <v>10</v>
      </c>
      <c r="M261" s="188">
        <v>990002320</v>
      </c>
      <c r="Y261" s="192" t="s">
        <v>1270</v>
      </c>
      <c r="AA261" s="184" t="s">
        <v>415</v>
      </c>
      <c r="AB261" s="183" t="s">
        <v>1020</v>
      </c>
      <c r="AC261" s="183" t="s">
        <v>10</v>
      </c>
      <c r="AD261" s="191" t="s">
        <v>1020</v>
      </c>
      <c r="AE261" s="184" t="s">
        <v>514</v>
      </c>
      <c r="AF261" s="184" t="s">
        <v>443</v>
      </c>
      <c r="AG261" s="184" t="s">
        <v>10</v>
      </c>
      <c r="AH261" s="184" t="s">
        <v>10</v>
      </c>
      <c r="AI261" s="184" t="s">
        <v>10</v>
      </c>
      <c r="AJ261" s="184" t="s">
        <v>10</v>
      </c>
      <c r="AK261" s="184" t="s">
        <v>10</v>
      </c>
      <c r="AL261" s="184" t="s">
        <v>362</v>
      </c>
      <c r="AM261" s="184" t="s">
        <v>1998</v>
      </c>
      <c r="AN261" s="184" t="s">
        <v>2001</v>
      </c>
      <c r="AO261" s="184" t="s">
        <v>2004</v>
      </c>
      <c r="AP261" s="183" t="s">
        <v>2447</v>
      </c>
      <c r="AQ261" s="187"/>
      <c r="AR261" s="187"/>
      <c r="AS261" s="187"/>
      <c r="AT261" s="187"/>
      <c r="AU261" s="187"/>
      <c r="AV261" s="187"/>
      <c r="AW261" s="187"/>
      <c r="AX261" s="187"/>
      <c r="AY261" s="187"/>
      <c r="AZ261" s="187"/>
      <c r="BA261" s="187"/>
      <c r="BB261" s="187"/>
      <c r="BC261" s="187"/>
      <c r="BD261" s="187"/>
      <c r="BE261" s="187"/>
      <c r="BF261" s="187"/>
      <c r="BG261" s="187"/>
      <c r="BH261" s="187"/>
      <c r="BI261" s="187"/>
    </row>
    <row r="262" spans="1:61" s="35" customFormat="1" ht="15" customHeight="1">
      <c r="A262" s="46"/>
      <c r="B262" s="30">
        <v>222</v>
      </c>
      <c r="D262" s="284" t="s">
        <v>2144</v>
      </c>
      <c r="G262" s="35" t="s">
        <v>1089</v>
      </c>
      <c r="H262" s="35" t="s">
        <v>1091</v>
      </c>
      <c r="J262" s="58"/>
      <c r="K262" s="39"/>
      <c r="L262" s="35" t="s">
        <v>10</v>
      </c>
      <c r="M262" s="58">
        <v>990002320</v>
      </c>
      <c r="Y262" s="35" t="s">
        <v>1119</v>
      </c>
      <c r="AA262" s="3" t="s">
        <v>415</v>
      </c>
      <c r="AB262" s="2" t="s">
        <v>2092</v>
      </c>
      <c r="AC262" s="2" t="s">
        <v>10</v>
      </c>
      <c r="AD262" s="257" t="s">
        <v>2092</v>
      </c>
      <c r="AE262" s="3" t="s">
        <v>2093</v>
      </c>
      <c r="AF262" s="3" t="s">
        <v>443</v>
      </c>
      <c r="AG262" s="3" t="s">
        <v>10</v>
      </c>
      <c r="AH262" s="3" t="s">
        <v>10</v>
      </c>
      <c r="AI262" s="3" t="s">
        <v>10</v>
      </c>
      <c r="AJ262" s="3" t="s">
        <v>10</v>
      </c>
      <c r="AK262" s="3" t="s">
        <v>10</v>
      </c>
      <c r="AL262" s="3" t="s">
        <v>362</v>
      </c>
      <c r="AM262" s="3" t="s">
        <v>1998</v>
      </c>
      <c r="AN262" s="3" t="s">
        <v>2001</v>
      </c>
      <c r="AO262" s="3" t="s">
        <v>2004</v>
      </c>
      <c r="AP262" s="4" t="s">
        <v>2447</v>
      </c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</row>
    <row r="263" spans="1:61" s="35" customFormat="1" ht="15" customHeight="1">
      <c r="A263" s="46"/>
      <c r="B263" s="30">
        <v>222</v>
      </c>
      <c r="D263" s="284" t="s">
        <v>2144</v>
      </c>
      <c r="G263" s="35" t="s">
        <v>1089</v>
      </c>
      <c r="H263" s="35" t="s">
        <v>1091</v>
      </c>
      <c r="J263" s="58"/>
      <c r="K263" s="39"/>
      <c r="L263" s="35" t="s">
        <v>10</v>
      </c>
      <c r="M263" s="58">
        <v>990002320</v>
      </c>
      <c r="Y263" s="35" t="s">
        <v>1119</v>
      </c>
      <c r="AA263" s="3" t="s">
        <v>415</v>
      </c>
      <c r="AB263" s="2" t="s">
        <v>2094</v>
      </c>
      <c r="AC263" s="2" t="s">
        <v>10</v>
      </c>
      <c r="AD263" s="257" t="s">
        <v>2094</v>
      </c>
      <c r="AE263" s="3" t="s">
        <v>2095</v>
      </c>
      <c r="AF263" s="3" t="s">
        <v>443</v>
      </c>
      <c r="AG263" s="3" t="s">
        <v>10</v>
      </c>
      <c r="AH263" s="3" t="s">
        <v>10</v>
      </c>
      <c r="AI263" s="3" t="s">
        <v>10</v>
      </c>
      <c r="AJ263" s="3" t="s">
        <v>10</v>
      </c>
      <c r="AK263" s="3" t="s">
        <v>10</v>
      </c>
      <c r="AL263" s="3" t="s">
        <v>362</v>
      </c>
      <c r="AM263" s="3" t="s">
        <v>1998</v>
      </c>
      <c r="AN263" s="3" t="s">
        <v>2001</v>
      </c>
      <c r="AO263" s="3" t="s">
        <v>2004</v>
      </c>
      <c r="AP263" s="4" t="s">
        <v>2447</v>
      </c>
      <c r="AQ263" s="30"/>
      <c r="AR263" s="30"/>
      <c r="AS263" s="30"/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</row>
    <row r="264" spans="1:61" s="35" customFormat="1" ht="15" customHeight="1">
      <c r="A264" s="46"/>
      <c r="B264" s="30">
        <v>222</v>
      </c>
      <c r="D264" s="284" t="s">
        <v>2144</v>
      </c>
      <c r="G264" s="35" t="s">
        <v>1089</v>
      </c>
      <c r="H264" s="35" t="s">
        <v>1091</v>
      </c>
      <c r="J264" s="58"/>
      <c r="K264" s="39"/>
      <c r="L264" s="35" t="s">
        <v>10</v>
      </c>
      <c r="M264" s="58">
        <v>990002320</v>
      </c>
      <c r="Y264" s="35" t="s">
        <v>1119</v>
      </c>
      <c r="AA264" s="3" t="s">
        <v>415</v>
      </c>
      <c r="AB264" s="2" t="s">
        <v>2096</v>
      </c>
      <c r="AC264" s="2" t="s">
        <v>10</v>
      </c>
      <c r="AD264" s="257" t="s">
        <v>2096</v>
      </c>
      <c r="AE264" s="3" t="s">
        <v>2097</v>
      </c>
      <c r="AF264" s="3" t="s">
        <v>443</v>
      </c>
      <c r="AG264" s="3" t="s">
        <v>10</v>
      </c>
      <c r="AH264" s="3" t="s">
        <v>10</v>
      </c>
      <c r="AI264" s="3" t="s">
        <v>10</v>
      </c>
      <c r="AJ264" s="3" t="s">
        <v>10</v>
      </c>
      <c r="AK264" s="3" t="s">
        <v>10</v>
      </c>
      <c r="AL264" s="3" t="s">
        <v>362</v>
      </c>
      <c r="AM264" s="3" t="s">
        <v>1998</v>
      </c>
      <c r="AN264" s="3" t="s">
        <v>2001</v>
      </c>
      <c r="AO264" s="3" t="s">
        <v>2004</v>
      </c>
      <c r="AP264" s="4" t="s">
        <v>2447</v>
      </c>
      <c r="AQ264" s="30"/>
      <c r="AR264" s="30"/>
      <c r="AS264" s="30"/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</row>
    <row r="265" spans="1:61" s="35" customFormat="1" ht="15" customHeight="1">
      <c r="A265" s="46"/>
      <c r="B265" s="30">
        <v>222</v>
      </c>
      <c r="D265" s="284" t="s">
        <v>2144</v>
      </c>
      <c r="G265" s="35" t="s">
        <v>1089</v>
      </c>
      <c r="H265" s="35" t="s">
        <v>1091</v>
      </c>
      <c r="J265" s="58"/>
      <c r="K265" s="39"/>
      <c r="L265" s="35" t="s">
        <v>10</v>
      </c>
      <c r="M265" s="58">
        <v>990002320</v>
      </c>
      <c r="Y265" s="35" t="s">
        <v>1119</v>
      </c>
      <c r="AA265" s="3" t="s">
        <v>415</v>
      </c>
      <c r="AB265" s="2" t="s">
        <v>2098</v>
      </c>
      <c r="AC265" s="2" t="s">
        <v>10</v>
      </c>
      <c r="AD265" s="257" t="s">
        <v>2098</v>
      </c>
      <c r="AE265" s="3" t="s">
        <v>2099</v>
      </c>
      <c r="AF265" s="3" t="s">
        <v>443</v>
      </c>
      <c r="AG265" s="3" t="s">
        <v>10</v>
      </c>
      <c r="AH265" s="3" t="s">
        <v>10</v>
      </c>
      <c r="AI265" s="3" t="s">
        <v>10</v>
      </c>
      <c r="AJ265" s="3" t="s">
        <v>10</v>
      </c>
      <c r="AK265" s="3" t="s">
        <v>10</v>
      </c>
      <c r="AL265" s="3" t="s">
        <v>362</v>
      </c>
      <c r="AM265" s="3" t="s">
        <v>1998</v>
      </c>
      <c r="AN265" s="3" t="s">
        <v>2001</v>
      </c>
      <c r="AO265" s="3" t="s">
        <v>2004</v>
      </c>
      <c r="AP265" s="4" t="s">
        <v>2447</v>
      </c>
      <c r="AQ265" s="30"/>
      <c r="AR265" s="30"/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</row>
    <row r="266" spans="1:61" s="35" customFormat="1" ht="15" customHeight="1">
      <c r="A266" s="46"/>
      <c r="B266" s="30">
        <v>222</v>
      </c>
      <c r="D266" s="284" t="s">
        <v>2144</v>
      </c>
      <c r="G266" s="35" t="s">
        <v>1089</v>
      </c>
      <c r="H266" s="35" t="s">
        <v>1091</v>
      </c>
      <c r="J266" s="58"/>
      <c r="K266" s="39"/>
      <c r="L266" s="35" t="s">
        <v>10</v>
      </c>
      <c r="M266" s="58">
        <v>990002320</v>
      </c>
      <c r="Y266" s="35" t="s">
        <v>1119</v>
      </c>
      <c r="AA266" s="3" t="s">
        <v>415</v>
      </c>
      <c r="AB266" s="2" t="s">
        <v>2100</v>
      </c>
      <c r="AC266" s="2" t="s">
        <v>10</v>
      </c>
      <c r="AD266" s="257" t="s">
        <v>2100</v>
      </c>
      <c r="AE266" s="3" t="s">
        <v>2101</v>
      </c>
      <c r="AF266" s="3" t="s">
        <v>443</v>
      </c>
      <c r="AG266" s="3" t="s">
        <v>10</v>
      </c>
      <c r="AH266" s="3" t="s">
        <v>10</v>
      </c>
      <c r="AI266" s="3" t="s">
        <v>10</v>
      </c>
      <c r="AJ266" s="3" t="s">
        <v>10</v>
      </c>
      <c r="AK266" s="3" t="s">
        <v>10</v>
      </c>
      <c r="AL266" s="3" t="s">
        <v>362</v>
      </c>
      <c r="AM266" s="3" t="s">
        <v>1998</v>
      </c>
      <c r="AN266" s="3" t="s">
        <v>2001</v>
      </c>
      <c r="AO266" s="3" t="s">
        <v>2004</v>
      </c>
      <c r="AP266" s="4" t="s">
        <v>2447</v>
      </c>
      <c r="AQ266" s="30"/>
      <c r="AR266" s="30"/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</row>
    <row r="267" spans="1:61" s="35" customFormat="1" ht="15" customHeight="1">
      <c r="A267" s="46"/>
      <c r="B267" s="30">
        <v>222</v>
      </c>
      <c r="D267" s="284" t="s">
        <v>2144</v>
      </c>
      <c r="G267" s="35" t="s">
        <v>1089</v>
      </c>
      <c r="H267" s="35" t="s">
        <v>1091</v>
      </c>
      <c r="J267" s="58"/>
      <c r="K267" s="39"/>
      <c r="L267" s="35" t="s">
        <v>10</v>
      </c>
      <c r="M267" s="58">
        <v>990002320</v>
      </c>
      <c r="Y267" s="35" t="s">
        <v>1119</v>
      </c>
      <c r="AA267" s="3" t="s">
        <v>415</v>
      </c>
      <c r="AB267" s="2" t="s">
        <v>2102</v>
      </c>
      <c r="AC267" s="2" t="s">
        <v>10</v>
      </c>
      <c r="AD267" s="257" t="s">
        <v>2102</v>
      </c>
      <c r="AE267" s="3" t="s">
        <v>2103</v>
      </c>
      <c r="AF267" s="3" t="s">
        <v>443</v>
      </c>
      <c r="AG267" s="3" t="s">
        <v>10</v>
      </c>
      <c r="AH267" s="3" t="s">
        <v>10</v>
      </c>
      <c r="AI267" s="3" t="s">
        <v>10</v>
      </c>
      <c r="AJ267" s="3" t="s">
        <v>10</v>
      </c>
      <c r="AK267" s="3" t="s">
        <v>10</v>
      </c>
      <c r="AL267" s="3" t="s">
        <v>362</v>
      </c>
      <c r="AM267" s="3" t="s">
        <v>1998</v>
      </c>
      <c r="AN267" s="3" t="s">
        <v>2001</v>
      </c>
      <c r="AO267" s="3" t="s">
        <v>2004</v>
      </c>
      <c r="AP267" s="4" t="s">
        <v>2447</v>
      </c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</row>
    <row r="268" spans="1:61" s="35" customFormat="1" ht="15" customHeight="1">
      <c r="A268" s="46"/>
      <c r="B268" s="30">
        <v>222</v>
      </c>
      <c r="D268" s="284" t="s">
        <v>2144</v>
      </c>
      <c r="G268" s="35" t="s">
        <v>1089</v>
      </c>
      <c r="H268" s="35" t="s">
        <v>1091</v>
      </c>
      <c r="J268" s="58"/>
      <c r="K268" s="39"/>
      <c r="L268" s="35" t="s">
        <v>10</v>
      </c>
      <c r="M268" s="58">
        <v>990003751</v>
      </c>
      <c r="Y268" s="35" t="s">
        <v>1119</v>
      </c>
      <c r="AA268" s="4" t="s">
        <v>1208</v>
      </c>
      <c r="AB268" s="4" t="s">
        <v>2104</v>
      </c>
      <c r="AC268" s="4" t="s">
        <v>10</v>
      </c>
      <c r="AD268" s="34" t="s">
        <v>2104</v>
      </c>
      <c r="AE268" s="4" t="s">
        <v>2105</v>
      </c>
      <c r="AF268" s="4" t="s">
        <v>2192</v>
      </c>
      <c r="AG268" s="4" t="s">
        <v>10</v>
      </c>
      <c r="AH268" s="4" t="s">
        <v>10</v>
      </c>
      <c r="AI268" s="4" t="s">
        <v>10</v>
      </c>
      <c r="AJ268" s="4" t="s">
        <v>10</v>
      </c>
      <c r="AK268" s="4" t="s">
        <v>10</v>
      </c>
      <c r="AL268" s="4" t="s">
        <v>362</v>
      </c>
      <c r="AM268" s="4" t="s">
        <v>1998</v>
      </c>
      <c r="AN268" s="4" t="s">
        <v>2001</v>
      </c>
      <c r="AO268" s="4" t="s">
        <v>2004</v>
      </c>
      <c r="AP268" s="4" t="s">
        <v>2447</v>
      </c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</row>
    <row r="269" spans="1:61" s="32" customFormat="1" ht="15" customHeight="1">
      <c r="A269" s="46"/>
      <c r="B269" s="30">
        <v>222</v>
      </c>
      <c r="D269" s="284" t="s">
        <v>2144</v>
      </c>
      <c r="G269" s="35" t="s">
        <v>1089</v>
      </c>
      <c r="H269" s="35" t="s">
        <v>1091</v>
      </c>
      <c r="J269" s="59"/>
      <c r="K269" s="62"/>
      <c r="L269" s="35" t="s">
        <v>1120</v>
      </c>
      <c r="M269" s="58">
        <v>990003226</v>
      </c>
      <c r="Y269" s="35" t="s">
        <v>1119</v>
      </c>
      <c r="AA269" s="4" t="s">
        <v>541</v>
      </c>
      <c r="AB269" s="4" t="s">
        <v>2154</v>
      </c>
      <c r="AC269" s="4" t="s">
        <v>10</v>
      </c>
      <c r="AD269" s="34" t="s">
        <v>2154</v>
      </c>
      <c r="AE269" s="4" t="s">
        <v>2155</v>
      </c>
      <c r="AF269" s="4" t="s">
        <v>613</v>
      </c>
      <c r="AG269" s="4" t="s">
        <v>10</v>
      </c>
      <c r="AH269" s="4" t="s">
        <v>10</v>
      </c>
      <c r="AI269" s="4" t="s">
        <v>10</v>
      </c>
      <c r="AJ269" s="4" t="s">
        <v>10</v>
      </c>
      <c r="AK269" s="4" t="s">
        <v>10</v>
      </c>
      <c r="AL269" s="4" t="s">
        <v>362</v>
      </c>
      <c r="AM269" s="4" t="s">
        <v>1998</v>
      </c>
      <c r="AN269" s="4" t="s">
        <v>2001</v>
      </c>
      <c r="AO269" s="4" t="s">
        <v>2004</v>
      </c>
      <c r="AP269" s="4" t="s">
        <v>2447</v>
      </c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</row>
    <row r="270" spans="1:61" s="32" customFormat="1" ht="15" customHeight="1">
      <c r="A270" s="46"/>
      <c r="B270" s="30">
        <v>222</v>
      </c>
      <c r="D270" s="284" t="s">
        <v>2144</v>
      </c>
      <c r="G270" s="35" t="s">
        <v>1089</v>
      </c>
      <c r="H270" s="35" t="s">
        <v>1091</v>
      </c>
      <c r="J270" s="59"/>
      <c r="K270" s="62"/>
      <c r="L270" s="35" t="s">
        <v>10</v>
      </c>
      <c r="M270" s="58">
        <v>990002320</v>
      </c>
      <c r="Y270" s="35" t="s">
        <v>1119</v>
      </c>
      <c r="AA270" s="4" t="s">
        <v>415</v>
      </c>
      <c r="AB270" s="4" t="s">
        <v>2156</v>
      </c>
      <c r="AC270" s="4" t="s">
        <v>10</v>
      </c>
      <c r="AD270" s="34" t="s">
        <v>2156</v>
      </c>
      <c r="AE270" s="4" t="s">
        <v>2157</v>
      </c>
      <c r="AF270" s="4" t="s">
        <v>443</v>
      </c>
      <c r="AG270" s="4" t="s">
        <v>10</v>
      </c>
      <c r="AH270" s="4" t="s">
        <v>10</v>
      </c>
      <c r="AI270" s="4" t="s">
        <v>10</v>
      </c>
      <c r="AJ270" s="4" t="s">
        <v>10</v>
      </c>
      <c r="AK270" s="4" t="s">
        <v>10</v>
      </c>
      <c r="AL270" s="4" t="s">
        <v>362</v>
      </c>
      <c r="AM270" s="4" t="s">
        <v>1998</v>
      </c>
      <c r="AN270" s="4" t="s">
        <v>2001</v>
      </c>
      <c r="AO270" s="4" t="s">
        <v>2004</v>
      </c>
      <c r="AP270" s="4" t="s">
        <v>2447</v>
      </c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</row>
    <row r="271" spans="1:61" s="32" customFormat="1" ht="15" customHeight="1">
      <c r="A271" s="46"/>
      <c r="B271" s="30">
        <v>222</v>
      </c>
      <c r="D271" s="284" t="s">
        <v>2144</v>
      </c>
      <c r="G271" s="35" t="s">
        <v>1089</v>
      </c>
      <c r="H271" s="35" t="s">
        <v>1091</v>
      </c>
      <c r="J271" s="59"/>
      <c r="K271" s="62"/>
      <c r="L271" s="35" t="s">
        <v>10</v>
      </c>
      <c r="M271" s="58">
        <v>990002320</v>
      </c>
      <c r="Y271" s="35" t="s">
        <v>1119</v>
      </c>
      <c r="AA271" s="4" t="s">
        <v>415</v>
      </c>
      <c r="AB271" s="4" t="s">
        <v>2158</v>
      </c>
      <c r="AC271" s="4" t="s">
        <v>10</v>
      </c>
      <c r="AD271" s="34" t="s">
        <v>2158</v>
      </c>
      <c r="AE271" s="4" t="s">
        <v>2159</v>
      </c>
      <c r="AF271" s="4" t="s">
        <v>443</v>
      </c>
      <c r="AG271" s="4" t="s">
        <v>10</v>
      </c>
      <c r="AH271" s="4" t="s">
        <v>10</v>
      </c>
      <c r="AI271" s="4" t="s">
        <v>10</v>
      </c>
      <c r="AJ271" s="4" t="s">
        <v>10</v>
      </c>
      <c r="AK271" s="4" t="s">
        <v>10</v>
      </c>
      <c r="AL271" s="4" t="s">
        <v>362</v>
      </c>
      <c r="AM271" s="4" t="s">
        <v>1998</v>
      </c>
      <c r="AN271" s="4" t="s">
        <v>2001</v>
      </c>
      <c r="AO271" s="4" t="s">
        <v>2004</v>
      </c>
      <c r="AP271" s="4" t="s">
        <v>2447</v>
      </c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</row>
    <row r="272" spans="1:61" s="32" customFormat="1" ht="15" customHeight="1">
      <c r="A272" s="46"/>
      <c r="B272" s="30">
        <v>222</v>
      </c>
      <c r="D272" s="284" t="s">
        <v>2144</v>
      </c>
      <c r="G272" s="35" t="s">
        <v>1089</v>
      </c>
      <c r="H272" s="35" t="s">
        <v>1091</v>
      </c>
      <c r="J272" s="59"/>
      <c r="K272" s="62"/>
      <c r="L272" s="35" t="s">
        <v>1120</v>
      </c>
      <c r="M272" s="58">
        <v>990003226</v>
      </c>
      <c r="Y272" s="35" t="s">
        <v>1119</v>
      </c>
      <c r="AA272" s="4" t="s">
        <v>541</v>
      </c>
      <c r="AB272" s="4" t="s">
        <v>2160</v>
      </c>
      <c r="AC272" s="4" t="s">
        <v>10</v>
      </c>
      <c r="AD272" s="34" t="s">
        <v>2160</v>
      </c>
      <c r="AE272" s="4" t="s">
        <v>2161</v>
      </c>
      <c r="AF272" s="4" t="s">
        <v>613</v>
      </c>
      <c r="AG272" s="4" t="s">
        <v>10</v>
      </c>
      <c r="AH272" s="4" t="s">
        <v>10</v>
      </c>
      <c r="AI272" s="4" t="s">
        <v>10</v>
      </c>
      <c r="AJ272" s="4" t="s">
        <v>10</v>
      </c>
      <c r="AK272" s="4" t="s">
        <v>10</v>
      </c>
      <c r="AL272" s="4" t="s">
        <v>362</v>
      </c>
      <c r="AM272" s="4" t="s">
        <v>1998</v>
      </c>
      <c r="AN272" s="4" t="s">
        <v>2001</v>
      </c>
      <c r="AO272" s="4" t="s">
        <v>2004</v>
      </c>
      <c r="AP272" s="4" t="s">
        <v>2447</v>
      </c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</row>
    <row r="273" spans="1:63" s="35" customFormat="1" ht="15" customHeight="1">
      <c r="A273" s="46"/>
      <c r="B273" s="30">
        <v>230</v>
      </c>
      <c r="D273" s="284"/>
      <c r="J273" s="58"/>
      <c r="K273" s="39"/>
      <c r="M273" s="58"/>
      <c r="AA273" s="35" t="s">
        <v>330</v>
      </c>
      <c r="AD273" s="34"/>
      <c r="AP273" s="4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</row>
    <row r="274" spans="1:63" s="35" customFormat="1" ht="15" customHeight="1">
      <c r="A274" s="46"/>
      <c r="B274" s="30">
        <v>230</v>
      </c>
      <c r="D274" s="284"/>
      <c r="J274" s="58"/>
      <c r="K274" s="39"/>
      <c r="M274" s="104"/>
      <c r="AA274" s="35" t="s">
        <v>0</v>
      </c>
      <c r="AB274" s="34" t="s">
        <v>806</v>
      </c>
      <c r="AC274" s="35" t="s">
        <v>2168</v>
      </c>
      <c r="AD274" s="34" t="s">
        <v>2027</v>
      </c>
      <c r="AE274" s="35" t="s">
        <v>1</v>
      </c>
      <c r="AS274" s="30"/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</row>
    <row r="275" spans="1:63" s="35" customFormat="1" ht="15" customHeight="1">
      <c r="A275" s="46"/>
      <c r="B275" s="30">
        <v>230</v>
      </c>
      <c r="D275" s="284"/>
      <c r="J275" s="58"/>
      <c r="K275" s="39"/>
      <c r="M275" s="104"/>
      <c r="AA275" s="35" t="s">
        <v>354</v>
      </c>
      <c r="AB275" s="35" t="s">
        <v>355</v>
      </c>
      <c r="AC275" s="35" t="s">
        <v>356</v>
      </c>
      <c r="AD275" s="34" t="s">
        <v>7</v>
      </c>
      <c r="AE275" s="35" t="s">
        <v>8</v>
      </c>
      <c r="AF275" s="35" t="s">
        <v>357</v>
      </c>
      <c r="AG275" s="35" t="s">
        <v>358</v>
      </c>
      <c r="AH275" s="35" t="s">
        <v>359</v>
      </c>
      <c r="AI275" s="35" t="s">
        <v>9</v>
      </c>
      <c r="AJ275" s="35" t="s">
        <v>360</v>
      </c>
      <c r="AK275" s="35" t="s">
        <v>0</v>
      </c>
      <c r="AS275" s="30"/>
      <c r="AT275" s="30"/>
      <c r="AU275" s="30"/>
      <c r="AV275" s="3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</row>
    <row r="276" spans="1:63" s="35" customFormat="1" ht="15" customHeight="1">
      <c r="A276" s="46"/>
      <c r="B276" s="30">
        <v>230</v>
      </c>
      <c r="D276" s="284" t="s">
        <v>1086</v>
      </c>
      <c r="G276" s="35" t="s">
        <v>1085</v>
      </c>
      <c r="J276" s="58"/>
      <c r="K276" s="104"/>
      <c r="M276" s="104" t="s">
        <v>1302</v>
      </c>
      <c r="N276" s="104"/>
      <c r="Y276" s="35" t="s">
        <v>1117</v>
      </c>
      <c r="AA276" s="35" t="s">
        <v>10</v>
      </c>
      <c r="AB276" s="35" t="s">
        <v>808</v>
      </c>
      <c r="AC276" s="35" t="s">
        <v>1033</v>
      </c>
      <c r="AD276" s="178" t="s">
        <v>2316</v>
      </c>
      <c r="AE276" s="3" t="s">
        <v>1314</v>
      </c>
      <c r="AF276" s="35" t="s">
        <v>1034</v>
      </c>
      <c r="AG276" s="35" t="s">
        <v>10</v>
      </c>
      <c r="AH276" s="35" t="s">
        <v>10</v>
      </c>
      <c r="AI276" s="35" t="s">
        <v>393</v>
      </c>
      <c r="AJ276" s="35" t="s">
        <v>362</v>
      </c>
      <c r="AK276" s="35" t="s">
        <v>806</v>
      </c>
      <c r="AS276" s="30"/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</row>
    <row r="277" spans="1:63" s="35" customFormat="1" ht="15.75" customHeight="1">
      <c r="A277" s="50"/>
      <c r="B277" s="30">
        <v>261</v>
      </c>
      <c r="D277" s="284"/>
      <c r="J277" s="58"/>
      <c r="K277" s="39"/>
      <c r="M277" s="104"/>
      <c r="AA277" s="51" t="s">
        <v>809</v>
      </c>
      <c r="AB277" s="51"/>
      <c r="AC277" s="51"/>
      <c r="AD277" s="176"/>
      <c r="AE277" s="51"/>
      <c r="AS277" s="30"/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</row>
    <row r="278" spans="1:63" s="35" customFormat="1" ht="15.75" customHeight="1">
      <c r="A278" s="50"/>
      <c r="B278" s="30">
        <v>261</v>
      </c>
      <c r="D278" s="284"/>
      <c r="J278" s="58"/>
      <c r="K278" s="39"/>
      <c r="M278" s="104"/>
      <c r="AA278" s="51" t="s">
        <v>0</v>
      </c>
      <c r="AB278" s="176" t="s">
        <v>810</v>
      </c>
      <c r="AC278" s="35" t="s">
        <v>2432</v>
      </c>
      <c r="AD278" s="34" t="s">
        <v>2028</v>
      </c>
      <c r="AE278" s="51" t="s">
        <v>1</v>
      </c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</row>
    <row r="279" spans="1:63" s="35" customFormat="1" ht="15" customHeight="1">
      <c r="A279" s="50"/>
      <c r="B279" s="30">
        <v>261</v>
      </c>
      <c r="D279" s="284"/>
      <c r="J279" s="58"/>
      <c r="K279" s="39"/>
      <c r="M279" s="58"/>
      <c r="AA279" s="35" t="s">
        <v>354</v>
      </c>
      <c r="AB279" s="35" t="s">
        <v>355</v>
      </c>
      <c r="AC279" s="35" t="s">
        <v>356</v>
      </c>
      <c r="AD279" s="34" t="s">
        <v>7</v>
      </c>
      <c r="AE279" s="35" t="s">
        <v>8</v>
      </c>
      <c r="AF279" s="35" t="s">
        <v>357</v>
      </c>
      <c r="AG279" s="35" t="s">
        <v>358</v>
      </c>
      <c r="AH279" s="35" t="s">
        <v>359</v>
      </c>
      <c r="AI279" s="35" t="s">
        <v>9</v>
      </c>
      <c r="AJ279" s="35" t="s">
        <v>360</v>
      </c>
      <c r="AK279" s="35" t="s">
        <v>0</v>
      </c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</row>
    <row r="280" spans="1:63" s="35" customFormat="1" ht="15" customHeight="1">
      <c r="A280" s="50"/>
      <c r="B280" s="30">
        <v>261</v>
      </c>
      <c r="D280" s="284" t="s">
        <v>1083</v>
      </c>
      <c r="G280" s="35" t="s">
        <v>1084</v>
      </c>
      <c r="I280" s="35" t="s">
        <v>550</v>
      </c>
      <c r="J280" s="58" t="s">
        <v>1330</v>
      </c>
      <c r="K280" s="39"/>
      <c r="M280" s="58">
        <v>990000296</v>
      </c>
      <c r="Y280" s="35" t="s">
        <v>1117</v>
      </c>
      <c r="AA280" s="35" t="s">
        <v>439</v>
      </c>
      <c r="AB280" s="35" t="s">
        <v>1035</v>
      </c>
      <c r="AC280" s="35" t="s">
        <v>1036</v>
      </c>
      <c r="AD280" s="34" t="s">
        <v>2339</v>
      </c>
      <c r="AE280" s="3" t="s">
        <v>1372</v>
      </c>
      <c r="AF280" s="35" t="s">
        <v>440</v>
      </c>
      <c r="AG280" s="35" t="s">
        <v>10</v>
      </c>
      <c r="AH280" s="35" t="s">
        <v>626</v>
      </c>
      <c r="AI280" s="35" t="s">
        <v>372</v>
      </c>
      <c r="AJ280" s="35" t="s">
        <v>362</v>
      </c>
      <c r="AK280" s="35" t="s">
        <v>810</v>
      </c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</row>
    <row r="281" spans="1:63" s="35" customFormat="1" ht="15" customHeight="1">
      <c r="A281" s="46"/>
      <c r="B281" s="30">
        <v>267</v>
      </c>
      <c r="D281" s="284"/>
      <c r="J281" s="58"/>
      <c r="K281" s="39"/>
      <c r="M281" s="58"/>
      <c r="AA281" s="35" t="s">
        <v>332</v>
      </c>
      <c r="AD281" s="34"/>
      <c r="AS281" s="30"/>
      <c r="AT281" s="30"/>
      <c r="AU281" s="30"/>
      <c r="AV281" s="3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</row>
    <row r="282" spans="1:63" s="35" customFormat="1" ht="15" customHeight="1">
      <c r="A282" s="46"/>
      <c r="B282" s="30">
        <v>267</v>
      </c>
      <c r="D282" s="284"/>
      <c r="J282" s="58"/>
      <c r="K282" s="39"/>
      <c r="M282" s="58"/>
      <c r="AA282" s="35" t="s">
        <v>0</v>
      </c>
      <c r="AB282" s="34" t="s">
        <v>812</v>
      </c>
      <c r="AC282" s="35" t="s">
        <v>1037</v>
      </c>
      <c r="AD282" s="178" t="s">
        <v>2032</v>
      </c>
      <c r="AE282" s="35" t="s">
        <v>1</v>
      </c>
      <c r="AS282" s="30"/>
      <c r="AT282" s="30"/>
      <c r="AU282" s="30"/>
      <c r="AV282" s="3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</row>
    <row r="283" spans="1:63" s="35" customFormat="1" ht="15" customHeight="1">
      <c r="A283" s="46"/>
      <c r="B283" s="30">
        <v>267</v>
      </c>
      <c r="D283" s="284"/>
      <c r="J283" s="58"/>
      <c r="K283" s="39"/>
      <c r="M283" s="58"/>
      <c r="AA283" s="35" t="s">
        <v>354</v>
      </c>
      <c r="AB283" s="35" t="s">
        <v>355</v>
      </c>
      <c r="AC283" s="35" t="s">
        <v>356</v>
      </c>
      <c r="AD283" s="34" t="s">
        <v>7</v>
      </c>
      <c r="AE283" s="35" t="s">
        <v>8</v>
      </c>
      <c r="AF283" s="35" t="s">
        <v>357</v>
      </c>
      <c r="AG283" s="35" t="s">
        <v>358</v>
      </c>
      <c r="AH283" s="35" t="s">
        <v>359</v>
      </c>
      <c r="AI283" s="35" t="s">
        <v>9</v>
      </c>
      <c r="AJ283" s="35" t="s">
        <v>360</v>
      </c>
      <c r="AK283" s="35" t="s">
        <v>0</v>
      </c>
      <c r="AS283" s="30"/>
      <c r="AT283" s="30"/>
      <c r="AU283" s="30"/>
      <c r="AV283" s="30"/>
      <c r="AW283" s="30"/>
      <c r="AX283" s="30"/>
      <c r="AY283" s="30"/>
      <c r="AZ283" s="30"/>
      <c r="BA283" s="30"/>
      <c r="BB283" s="30"/>
      <c r="BC283" s="30"/>
      <c r="BD283" s="30"/>
      <c r="BE283" s="30"/>
      <c r="BF283" s="30"/>
      <c r="BG283" s="30"/>
      <c r="BH283" s="30"/>
      <c r="BI283" s="30"/>
      <c r="BJ283" s="30"/>
      <c r="BK283" s="30"/>
    </row>
    <row r="284" spans="1:63" s="35" customFormat="1" ht="15" customHeight="1">
      <c r="A284" s="46"/>
      <c r="B284" s="30">
        <v>267</v>
      </c>
      <c r="D284" s="284" t="s">
        <v>1086</v>
      </c>
      <c r="G284" s="35" t="s">
        <v>1085</v>
      </c>
      <c r="J284" s="58"/>
      <c r="K284" s="39"/>
      <c r="M284" s="58">
        <v>920003686</v>
      </c>
      <c r="Y284" s="35" t="s">
        <v>1117</v>
      </c>
      <c r="AA284" s="35" t="s">
        <v>394</v>
      </c>
      <c r="AB284" s="35" t="s">
        <v>813</v>
      </c>
      <c r="AC284" s="35" t="s">
        <v>424</v>
      </c>
      <c r="AD284" s="178" t="s">
        <v>2034</v>
      </c>
      <c r="AE284" s="35" t="s">
        <v>489</v>
      </c>
      <c r="AF284" s="35" t="s">
        <v>453</v>
      </c>
      <c r="AG284" s="35" t="s">
        <v>10</v>
      </c>
      <c r="AH284" s="35" t="s">
        <v>10</v>
      </c>
      <c r="AI284" s="35" t="s">
        <v>361</v>
      </c>
      <c r="AJ284" s="35" t="s">
        <v>362</v>
      </c>
      <c r="AK284" s="35" t="s">
        <v>812</v>
      </c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</row>
    <row r="285" spans="1:63" s="35" customFormat="1" ht="15" customHeight="1">
      <c r="A285" s="46"/>
      <c r="B285" s="30">
        <v>267</v>
      </c>
      <c r="D285" s="284" t="s">
        <v>1086</v>
      </c>
      <c r="G285" s="35" t="s">
        <v>1085</v>
      </c>
      <c r="J285" s="58"/>
      <c r="K285" s="39"/>
      <c r="M285" s="58">
        <v>920003686</v>
      </c>
      <c r="Y285" s="35" t="s">
        <v>1117</v>
      </c>
      <c r="AA285" s="35" t="s">
        <v>394</v>
      </c>
      <c r="AB285" s="35" t="s">
        <v>1264</v>
      </c>
      <c r="AC285" s="35" t="s">
        <v>920</v>
      </c>
      <c r="AD285" s="178" t="s">
        <v>2317</v>
      </c>
      <c r="AE285" s="3" t="s">
        <v>2035</v>
      </c>
      <c r="AF285" s="35" t="s">
        <v>453</v>
      </c>
      <c r="AG285" s="35" t="s">
        <v>10</v>
      </c>
      <c r="AH285" s="35" t="s">
        <v>10</v>
      </c>
      <c r="AI285" s="35" t="s">
        <v>361</v>
      </c>
      <c r="AJ285" s="35" t="s">
        <v>362</v>
      </c>
      <c r="AK285" s="35" t="s">
        <v>812</v>
      </c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</row>
    <row r="286" spans="1:63" s="35" customFormat="1" ht="15" customHeight="1">
      <c r="A286" s="46"/>
      <c r="B286" s="30">
        <v>267</v>
      </c>
      <c r="D286" s="284" t="s">
        <v>1086</v>
      </c>
      <c r="G286" s="35" t="s">
        <v>1085</v>
      </c>
      <c r="J286" s="58"/>
      <c r="K286" s="39"/>
      <c r="M286" s="58">
        <v>940001518</v>
      </c>
      <c r="Y286" s="35" t="s">
        <v>1117</v>
      </c>
      <c r="AA286" s="3" t="s">
        <v>1087</v>
      </c>
      <c r="AB286" s="3" t="s">
        <v>2133</v>
      </c>
      <c r="AC286" s="35" t="s">
        <v>10</v>
      </c>
      <c r="AD286" s="34" t="s">
        <v>10</v>
      </c>
      <c r="AE286" s="3" t="s">
        <v>2135</v>
      </c>
      <c r="AF286" s="3" t="s">
        <v>2137</v>
      </c>
      <c r="AG286" s="35" t="s">
        <v>10</v>
      </c>
      <c r="AH286" s="35" t="s">
        <v>10</v>
      </c>
      <c r="AI286" s="35" t="s">
        <v>10</v>
      </c>
      <c r="AJ286" s="35" t="s">
        <v>2138</v>
      </c>
      <c r="AK286" s="35" t="s">
        <v>812</v>
      </c>
      <c r="AS286" s="30"/>
      <c r="AT286" s="30"/>
      <c r="AU286" s="30"/>
      <c r="AV286" s="30"/>
      <c r="AW286" s="30"/>
      <c r="AX286" s="30"/>
      <c r="AY286" s="30"/>
      <c r="AZ286" s="30"/>
      <c r="BA286" s="30"/>
      <c r="BB286" s="30"/>
      <c r="BC286" s="30"/>
      <c r="BD286" s="30"/>
      <c r="BE286" s="30"/>
      <c r="BF286" s="30"/>
      <c r="BG286" s="30"/>
      <c r="BH286" s="30"/>
      <c r="BI286" s="30"/>
      <c r="BJ286" s="30"/>
      <c r="BK286" s="30"/>
    </row>
    <row r="287" spans="1:63" s="35" customFormat="1" ht="15" customHeight="1">
      <c r="A287" s="46"/>
      <c r="B287" s="30">
        <v>267</v>
      </c>
      <c r="D287" s="284" t="s">
        <v>1086</v>
      </c>
      <c r="G287" s="35" t="s">
        <v>1085</v>
      </c>
      <c r="J287" s="58"/>
      <c r="K287" s="39"/>
      <c r="M287" s="58">
        <v>940001518</v>
      </c>
      <c r="Y287" s="35" t="s">
        <v>1117</v>
      </c>
      <c r="AA287" s="35" t="s">
        <v>1087</v>
      </c>
      <c r="AB287" s="35" t="s">
        <v>2134</v>
      </c>
      <c r="AC287" s="35" t="s">
        <v>10</v>
      </c>
      <c r="AD287" s="34" t="s">
        <v>10</v>
      </c>
      <c r="AE287" s="35" t="s">
        <v>2136</v>
      </c>
      <c r="AF287" s="35" t="s">
        <v>2137</v>
      </c>
      <c r="AG287" s="35" t="s">
        <v>10</v>
      </c>
      <c r="AH287" s="35" t="s">
        <v>10</v>
      </c>
      <c r="AI287" s="35" t="s">
        <v>10</v>
      </c>
      <c r="AJ287" s="35" t="s">
        <v>2546</v>
      </c>
      <c r="AK287" s="35" t="s">
        <v>812</v>
      </c>
      <c r="AS287" s="30"/>
      <c r="AT287" s="30"/>
      <c r="AU287" s="30"/>
      <c r="AV287" s="3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</row>
    <row r="288" spans="1:63" s="35" customFormat="1" ht="15" customHeight="1">
      <c r="A288" s="46"/>
      <c r="B288" s="30">
        <v>267</v>
      </c>
      <c r="D288" s="284" t="s">
        <v>1086</v>
      </c>
      <c r="G288" s="35" t="s">
        <v>1085</v>
      </c>
      <c r="J288" s="58"/>
      <c r="K288" s="39"/>
      <c r="M288" s="58">
        <v>920003065</v>
      </c>
      <c r="Y288" s="35" t="s">
        <v>1117</v>
      </c>
      <c r="AA288" s="35" t="s">
        <v>1082</v>
      </c>
      <c r="AB288" s="35" t="s">
        <v>1080</v>
      </c>
      <c r="AD288" s="34" t="s">
        <v>1080</v>
      </c>
      <c r="AE288" s="3" t="s">
        <v>489</v>
      </c>
      <c r="AF288" s="35" t="s">
        <v>1081</v>
      </c>
      <c r="AG288" s="35" t="s">
        <v>10</v>
      </c>
      <c r="AH288" s="35" t="s">
        <v>813</v>
      </c>
      <c r="AJ288" s="35" t="s">
        <v>362</v>
      </c>
      <c r="AK288" s="35" t="s">
        <v>812</v>
      </c>
      <c r="AS288" s="30"/>
      <c r="AT288" s="30"/>
      <c r="AU288" s="30"/>
      <c r="AV288" s="3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</row>
    <row r="289" spans="1:63" s="35" customFormat="1" ht="15" customHeight="1">
      <c r="A289" s="46"/>
      <c r="B289" s="30">
        <v>267</v>
      </c>
      <c r="D289" s="284" t="s">
        <v>1086</v>
      </c>
      <c r="G289" s="35" t="s">
        <v>1085</v>
      </c>
      <c r="J289" s="58"/>
      <c r="K289" s="39"/>
      <c r="M289" s="58">
        <v>920003065</v>
      </c>
      <c r="Y289" s="35" t="s">
        <v>1117</v>
      </c>
      <c r="AA289" s="35" t="s">
        <v>1082</v>
      </c>
      <c r="AB289" s="35" t="s">
        <v>1266</v>
      </c>
      <c r="AD289" s="34" t="s">
        <v>1266</v>
      </c>
      <c r="AE289" s="3" t="s">
        <v>2035</v>
      </c>
      <c r="AF289" s="35" t="s">
        <v>1081</v>
      </c>
      <c r="AG289" s="35" t="s">
        <v>10</v>
      </c>
      <c r="AH289" s="35" t="s">
        <v>1264</v>
      </c>
      <c r="AJ289" s="35" t="s">
        <v>362</v>
      </c>
      <c r="AK289" s="35" t="s">
        <v>812</v>
      </c>
      <c r="AS289" s="30"/>
      <c r="AT289" s="30"/>
      <c r="AU289" s="30"/>
      <c r="AV289" s="30"/>
      <c r="AW289" s="30"/>
      <c r="AX289" s="30"/>
      <c r="AY289" s="30"/>
      <c r="AZ289" s="30"/>
      <c r="BA289" s="30"/>
      <c r="BB289" s="30"/>
      <c r="BC289" s="30"/>
      <c r="BD289" s="30"/>
      <c r="BE289" s="30"/>
      <c r="BF289" s="30"/>
      <c r="BG289" s="30"/>
      <c r="BH289" s="30"/>
      <c r="BI289" s="30"/>
      <c r="BJ289" s="30"/>
      <c r="BK289" s="30"/>
    </row>
    <row r="290" spans="1:63" s="484" customFormat="1" ht="15" customHeight="1">
      <c r="A290" s="487"/>
      <c r="B290" s="488">
        <v>295</v>
      </c>
      <c r="D290" s="489"/>
      <c r="J290" s="485"/>
      <c r="K290" s="483"/>
      <c r="M290" s="485"/>
      <c r="AA290" s="484" t="s">
        <v>2580</v>
      </c>
      <c r="AD290" s="257"/>
      <c r="AS290" s="488"/>
      <c r="AT290" s="488"/>
      <c r="AU290" s="488"/>
      <c r="AV290" s="488"/>
      <c r="AW290" s="488"/>
      <c r="AX290" s="488"/>
      <c r="AY290" s="488"/>
      <c r="AZ290" s="488"/>
      <c r="BA290" s="488"/>
      <c r="BB290" s="488"/>
      <c r="BC290" s="488"/>
      <c r="BD290" s="488"/>
      <c r="BE290" s="488"/>
      <c r="BF290" s="488"/>
      <c r="BG290" s="488"/>
      <c r="BH290" s="488"/>
      <c r="BI290" s="488"/>
      <c r="BJ290" s="488"/>
      <c r="BK290" s="488"/>
    </row>
    <row r="291" spans="1:63" s="484" customFormat="1" ht="15" customHeight="1">
      <c r="A291" s="490"/>
      <c r="B291" s="488">
        <v>295</v>
      </c>
      <c r="D291" s="489"/>
      <c r="J291" s="485"/>
      <c r="K291" s="483"/>
      <c r="M291" s="485"/>
      <c r="AA291" s="484" t="s">
        <v>2587</v>
      </c>
      <c r="AB291" s="484" t="s">
        <v>2582</v>
      </c>
      <c r="AC291" s="484" t="s">
        <v>2588</v>
      </c>
      <c r="AD291" s="257" t="s">
        <v>2589</v>
      </c>
      <c r="AE291" s="484" t="s">
        <v>1</v>
      </c>
      <c r="AS291" s="488"/>
      <c r="AT291" s="488"/>
      <c r="AU291" s="488"/>
      <c r="AV291" s="488"/>
      <c r="AW291" s="488"/>
      <c r="AX291" s="488"/>
      <c r="AY291" s="488"/>
      <c r="AZ291" s="488"/>
      <c r="BA291" s="488"/>
      <c r="BB291" s="488"/>
      <c r="BC291" s="488"/>
      <c r="BD291" s="488"/>
      <c r="BE291" s="488"/>
      <c r="BF291" s="488"/>
      <c r="BG291" s="488"/>
      <c r="BH291" s="488"/>
      <c r="BI291" s="488"/>
      <c r="BJ291" s="488"/>
      <c r="BK291" s="488"/>
    </row>
    <row r="292" spans="1:63" s="484" customFormat="1" ht="15" customHeight="1">
      <c r="A292" s="487"/>
      <c r="B292" s="488">
        <v>295</v>
      </c>
      <c r="D292" s="489"/>
      <c r="J292" s="485"/>
      <c r="K292" s="483"/>
      <c r="M292" s="486"/>
      <c r="AA292" s="484" t="s">
        <v>354</v>
      </c>
      <c r="AB292" s="484" t="s">
        <v>355</v>
      </c>
      <c r="AC292" s="484" t="s">
        <v>356</v>
      </c>
      <c r="AD292" s="257" t="s">
        <v>7</v>
      </c>
      <c r="AE292" s="484" t="s">
        <v>8</v>
      </c>
      <c r="AF292" s="484" t="s">
        <v>357</v>
      </c>
      <c r="AG292" s="484" t="s">
        <v>358</v>
      </c>
      <c r="AH292" s="484" t="s">
        <v>359</v>
      </c>
      <c r="AI292" s="484" t="s">
        <v>9</v>
      </c>
      <c r="AJ292" s="484" t="s">
        <v>360</v>
      </c>
      <c r="AK292" s="484" t="s">
        <v>0</v>
      </c>
      <c r="AS292" s="488"/>
      <c r="AT292" s="488"/>
      <c r="AU292" s="488"/>
      <c r="AV292" s="488"/>
      <c r="AW292" s="488"/>
      <c r="AX292" s="488"/>
      <c r="AY292" s="488"/>
      <c r="AZ292" s="488"/>
      <c r="BA292" s="488"/>
      <c r="BB292" s="488"/>
      <c r="BC292" s="488"/>
      <c r="BD292" s="488"/>
      <c r="BE292" s="488"/>
      <c r="BF292" s="488"/>
      <c r="BG292" s="488"/>
      <c r="BH292" s="488"/>
      <c r="BI292" s="488"/>
      <c r="BJ292" s="488"/>
      <c r="BK292" s="488"/>
    </row>
    <row r="293" spans="1:63" s="35" customFormat="1" ht="15" customHeight="1">
      <c r="A293" s="46"/>
      <c r="B293" s="30">
        <v>321</v>
      </c>
      <c r="D293" s="284"/>
      <c r="J293" s="58"/>
      <c r="K293" s="104"/>
      <c r="M293" s="104"/>
      <c r="AA293" s="35" t="s">
        <v>1274</v>
      </c>
      <c r="AD293" s="34"/>
      <c r="AS293" s="30"/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</row>
    <row r="294" spans="1:63" s="35" customFormat="1" ht="15" customHeight="1">
      <c r="A294" s="46"/>
      <c r="B294" s="30">
        <v>321</v>
      </c>
      <c r="D294" s="284"/>
      <c r="J294" s="58"/>
      <c r="K294" s="104"/>
      <c r="M294" s="104"/>
      <c r="AA294" s="35" t="s">
        <v>0</v>
      </c>
      <c r="AB294" s="34" t="s">
        <v>1275</v>
      </c>
      <c r="AC294" s="35" t="s">
        <v>1276</v>
      </c>
      <c r="AD294" s="178" t="s">
        <v>2039</v>
      </c>
      <c r="AE294" s="35" t="s">
        <v>1</v>
      </c>
      <c r="AS294" s="30"/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</row>
    <row r="295" spans="1:63" s="35" customFormat="1" ht="15" customHeight="1">
      <c r="A295" s="46"/>
      <c r="B295" s="30">
        <v>321</v>
      </c>
      <c r="D295" s="284"/>
      <c r="J295" s="58"/>
      <c r="K295" s="104"/>
      <c r="M295" s="104"/>
      <c r="AA295" s="35" t="s">
        <v>354</v>
      </c>
      <c r="AB295" s="35" t="s">
        <v>355</v>
      </c>
      <c r="AC295" s="35" t="s">
        <v>356</v>
      </c>
      <c r="AD295" s="34" t="s">
        <v>7</v>
      </c>
      <c r="AE295" s="35" t="s">
        <v>8</v>
      </c>
      <c r="AF295" s="35" t="s">
        <v>357</v>
      </c>
      <c r="AG295" s="35" t="s">
        <v>358</v>
      </c>
      <c r="AH295" s="35" t="s">
        <v>359</v>
      </c>
      <c r="AI295" s="35" t="s">
        <v>9</v>
      </c>
      <c r="AJ295" s="35" t="s">
        <v>360</v>
      </c>
      <c r="AK295" s="35" t="s">
        <v>0</v>
      </c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</row>
    <row r="296" spans="1:63" s="35" customFormat="1" ht="15" customHeight="1">
      <c r="A296" s="46"/>
      <c r="B296" s="30">
        <v>321</v>
      </c>
      <c r="D296" s="284" t="s">
        <v>1086</v>
      </c>
      <c r="G296" s="35" t="s">
        <v>1085</v>
      </c>
      <c r="J296" s="58"/>
      <c r="K296" s="104"/>
      <c r="M296" s="104">
        <v>920004209</v>
      </c>
      <c r="Y296" s="35" t="s">
        <v>1117</v>
      </c>
      <c r="AA296" s="35" t="s">
        <v>505</v>
      </c>
      <c r="AB296" s="35" t="s">
        <v>1278</v>
      </c>
      <c r="AC296" s="35" t="s">
        <v>1277</v>
      </c>
      <c r="AD296" s="178" t="s">
        <v>2293</v>
      </c>
      <c r="AE296" s="35" t="s">
        <v>1279</v>
      </c>
      <c r="AF296" s="35" t="s">
        <v>506</v>
      </c>
      <c r="AG296" s="35" t="s">
        <v>10</v>
      </c>
      <c r="AH296" s="35" t="s">
        <v>10</v>
      </c>
      <c r="AI296" s="35" t="s">
        <v>361</v>
      </c>
      <c r="AJ296" s="35" t="s">
        <v>362</v>
      </c>
      <c r="AK296" s="35" t="s">
        <v>1275</v>
      </c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</row>
    <row r="297" spans="1:63" s="35" customFormat="1" ht="15" customHeight="1">
      <c r="A297" s="46"/>
      <c r="B297" s="30">
        <v>321</v>
      </c>
      <c r="D297" s="284" t="s">
        <v>1083</v>
      </c>
      <c r="G297" s="35" t="s">
        <v>1084</v>
      </c>
      <c r="J297" s="58" t="s">
        <v>1331</v>
      </c>
      <c r="K297" s="104"/>
      <c r="M297" s="104">
        <v>990000250</v>
      </c>
      <c r="Y297" s="35" t="s">
        <v>1117</v>
      </c>
      <c r="AA297" s="35" t="s">
        <v>431</v>
      </c>
      <c r="AB297" s="35" t="s">
        <v>1286</v>
      </c>
      <c r="AC297" s="35" t="s">
        <v>1287</v>
      </c>
      <c r="AD297" s="34" t="s">
        <v>2340</v>
      </c>
      <c r="AE297" s="3" t="s">
        <v>814</v>
      </c>
      <c r="AF297" s="35" t="s">
        <v>432</v>
      </c>
      <c r="AG297" s="35" t="s">
        <v>10</v>
      </c>
      <c r="AH297" s="35" t="s">
        <v>626</v>
      </c>
      <c r="AI297" s="35" t="s">
        <v>433</v>
      </c>
      <c r="AJ297" s="35" t="s">
        <v>362</v>
      </c>
      <c r="AK297" s="35" t="s">
        <v>1275</v>
      </c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</row>
    <row r="298" spans="1:63" s="35" customFormat="1" ht="15" customHeight="1">
      <c r="A298" s="46"/>
      <c r="B298" s="30">
        <v>321</v>
      </c>
      <c r="D298" s="284" t="s">
        <v>1086</v>
      </c>
      <c r="G298" s="35" t="s">
        <v>1085</v>
      </c>
      <c r="J298" s="58"/>
      <c r="K298" s="104"/>
      <c r="L298" s="35" t="s">
        <v>10</v>
      </c>
      <c r="M298" s="104">
        <v>990003206</v>
      </c>
      <c r="Y298" s="35" t="s">
        <v>1117</v>
      </c>
      <c r="AA298" s="35" t="s">
        <v>1208</v>
      </c>
      <c r="AB298" s="35" t="s">
        <v>1288</v>
      </c>
      <c r="AC298" s="35" t="s">
        <v>10</v>
      </c>
      <c r="AD298" s="34" t="s">
        <v>1288</v>
      </c>
      <c r="AE298" s="35" t="s">
        <v>874</v>
      </c>
      <c r="AF298" s="35" t="s">
        <v>1305</v>
      </c>
      <c r="AG298" s="35" t="s">
        <v>10</v>
      </c>
      <c r="AH298" s="35" t="s">
        <v>10</v>
      </c>
      <c r="AI298" s="35" t="s">
        <v>10</v>
      </c>
      <c r="AJ298" s="35" t="s">
        <v>362</v>
      </c>
      <c r="AK298" s="35" t="s">
        <v>1275</v>
      </c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</row>
    <row r="299" spans="1:63" s="35" customFormat="1" ht="15" customHeight="1">
      <c r="A299" s="46"/>
      <c r="B299" s="30">
        <v>325</v>
      </c>
      <c r="D299" s="284"/>
      <c r="J299" s="58"/>
      <c r="K299" s="39"/>
      <c r="M299" s="104"/>
      <c r="AA299" s="35" t="s">
        <v>336</v>
      </c>
      <c r="AD299" s="34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</row>
    <row r="300" spans="1:63" s="35" customFormat="1" ht="15" customHeight="1">
      <c r="A300" s="46"/>
      <c r="B300" s="30">
        <v>325</v>
      </c>
      <c r="D300" s="284"/>
      <c r="J300" s="58"/>
      <c r="K300" s="39"/>
      <c r="M300" s="104"/>
      <c r="AA300" s="35" t="s">
        <v>0</v>
      </c>
      <c r="AB300" s="34" t="s">
        <v>818</v>
      </c>
      <c r="AC300" s="35" t="s">
        <v>1204</v>
      </c>
      <c r="AD300" s="178" t="s">
        <v>2046</v>
      </c>
      <c r="AE300" s="35" t="s">
        <v>1</v>
      </c>
      <c r="AS300" s="30"/>
      <c r="AT300" s="30"/>
      <c r="AU300" s="30"/>
      <c r="AV300" s="3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</row>
    <row r="301" spans="1:63" s="35" customFormat="1" ht="15" customHeight="1">
      <c r="A301" s="46"/>
      <c r="B301" s="30">
        <v>325</v>
      </c>
      <c r="D301" s="284"/>
      <c r="J301" s="58"/>
      <c r="K301" s="39"/>
      <c r="M301" s="104"/>
      <c r="AA301" s="35" t="s">
        <v>354</v>
      </c>
      <c r="AB301" s="35" t="s">
        <v>355</v>
      </c>
      <c r="AC301" s="35" t="s">
        <v>356</v>
      </c>
      <c r="AD301" s="34" t="s">
        <v>7</v>
      </c>
      <c r="AE301" s="35" t="s">
        <v>8</v>
      </c>
      <c r="AF301" s="35" t="s">
        <v>357</v>
      </c>
      <c r="AG301" s="35" t="s">
        <v>358</v>
      </c>
      <c r="AH301" s="35" t="s">
        <v>359</v>
      </c>
      <c r="AI301" s="35" t="s">
        <v>9</v>
      </c>
      <c r="AJ301" s="35" t="s">
        <v>360</v>
      </c>
      <c r="AK301" s="35" t="s">
        <v>0</v>
      </c>
      <c r="AS301" s="30"/>
      <c r="AT301" s="30"/>
      <c r="AU301" s="30"/>
      <c r="AV301" s="30"/>
      <c r="AW301" s="30"/>
      <c r="AX301" s="30"/>
      <c r="AY301" s="30"/>
      <c r="AZ301" s="30"/>
      <c r="BA301" s="30"/>
      <c r="BB301" s="30"/>
      <c r="BC301" s="30"/>
      <c r="BD301" s="30"/>
      <c r="BE301" s="30"/>
      <c r="BF301" s="30"/>
      <c r="BG301" s="30"/>
      <c r="BH301" s="30"/>
      <c r="BI301" s="30"/>
      <c r="BJ301" s="30"/>
      <c r="BK301" s="30"/>
    </row>
    <row r="302" spans="1:63" s="35" customFormat="1" ht="15" customHeight="1">
      <c r="A302" s="46"/>
      <c r="B302" s="30">
        <v>325</v>
      </c>
      <c r="D302" s="284" t="s">
        <v>1086</v>
      </c>
      <c r="G302" s="35" t="s">
        <v>1085</v>
      </c>
      <c r="J302" s="58"/>
      <c r="K302" s="104"/>
      <c r="M302" s="104" t="s">
        <v>1302</v>
      </c>
      <c r="Y302" s="35" t="s">
        <v>1117</v>
      </c>
      <c r="AA302" s="35" t="s">
        <v>400</v>
      </c>
      <c r="AB302" s="35" t="s">
        <v>819</v>
      </c>
      <c r="AC302" s="35" t="s">
        <v>424</v>
      </c>
      <c r="AD302" s="178" t="s">
        <v>2047</v>
      </c>
      <c r="AE302" s="3" t="s">
        <v>638</v>
      </c>
      <c r="AF302" s="35" t="s">
        <v>401</v>
      </c>
      <c r="AG302" s="35" t="s">
        <v>878</v>
      </c>
      <c r="AH302" s="35" t="s">
        <v>10</v>
      </c>
      <c r="AI302" s="35" t="s">
        <v>365</v>
      </c>
      <c r="AJ302" s="35" t="s">
        <v>362</v>
      </c>
      <c r="AK302" s="35" t="s">
        <v>818</v>
      </c>
      <c r="AS302" s="30"/>
      <c r="AT302" s="30"/>
      <c r="AU302" s="30"/>
      <c r="AV302" s="3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</row>
    <row r="303" spans="1:63" s="35" customFormat="1" ht="15" customHeight="1">
      <c r="A303" s="46"/>
      <c r="B303" s="30">
        <v>325</v>
      </c>
      <c r="D303" s="284" t="s">
        <v>1086</v>
      </c>
      <c r="G303" s="35" t="s">
        <v>1085</v>
      </c>
      <c r="J303" s="58"/>
      <c r="K303" s="104"/>
      <c r="M303" s="104" t="s">
        <v>1302</v>
      </c>
      <c r="Y303" s="35" t="s">
        <v>1117</v>
      </c>
      <c r="AA303" s="35" t="s">
        <v>1042</v>
      </c>
      <c r="AB303" s="35" t="s">
        <v>721</v>
      </c>
      <c r="AC303" s="35" t="s">
        <v>920</v>
      </c>
      <c r="AD303" s="178" t="s">
        <v>2294</v>
      </c>
      <c r="AE303" s="3" t="s">
        <v>1738</v>
      </c>
      <c r="AF303" s="35" t="s">
        <v>1043</v>
      </c>
      <c r="AG303" s="35" t="s">
        <v>395</v>
      </c>
      <c r="AH303" s="35" t="s">
        <v>10</v>
      </c>
      <c r="AI303" s="35" t="s">
        <v>381</v>
      </c>
      <c r="AJ303" s="35" t="s">
        <v>362</v>
      </c>
      <c r="AK303" s="35" t="s">
        <v>818</v>
      </c>
      <c r="AS303" s="30"/>
      <c r="AT303" s="30"/>
      <c r="AU303" s="30"/>
      <c r="AV303" s="3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</row>
    <row r="304" spans="1:63" s="35" customFormat="1" ht="15" customHeight="1">
      <c r="A304" s="46"/>
      <c r="B304" s="30">
        <v>327</v>
      </c>
      <c r="D304" s="284"/>
      <c r="J304" s="58"/>
      <c r="K304" s="39"/>
      <c r="M304" s="104"/>
      <c r="AA304" s="35" t="s">
        <v>336</v>
      </c>
      <c r="AD304" s="34"/>
      <c r="AS304" s="30"/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0"/>
      <c r="BE304" s="30"/>
      <c r="BF304" s="30"/>
      <c r="BG304" s="30"/>
      <c r="BH304" s="30"/>
      <c r="BI304" s="30"/>
      <c r="BJ304" s="30"/>
      <c r="BK304" s="30"/>
    </row>
    <row r="305" spans="1:63" s="35" customFormat="1" ht="15" customHeight="1">
      <c r="A305" s="46"/>
      <c r="B305" s="30">
        <v>327</v>
      </c>
      <c r="D305" s="284"/>
      <c r="J305" s="58"/>
      <c r="K305" s="39"/>
      <c r="M305" s="104"/>
      <c r="AA305" s="35" t="s">
        <v>0</v>
      </c>
      <c r="AB305" s="34" t="s">
        <v>821</v>
      </c>
      <c r="AC305" s="35" t="s">
        <v>351</v>
      </c>
      <c r="AD305" s="178" t="s">
        <v>2048</v>
      </c>
      <c r="AE305" s="35" t="s">
        <v>1</v>
      </c>
      <c r="AS305" s="30"/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</row>
    <row r="306" spans="1:63" s="35" customFormat="1" ht="15" customHeight="1">
      <c r="A306" s="46"/>
      <c r="B306" s="30">
        <v>327</v>
      </c>
      <c r="D306" s="284"/>
      <c r="J306" s="58"/>
      <c r="K306" s="39"/>
      <c r="M306" s="104"/>
      <c r="AA306" s="35" t="s">
        <v>354</v>
      </c>
      <c r="AB306" s="35" t="s">
        <v>355</v>
      </c>
      <c r="AC306" s="35" t="s">
        <v>356</v>
      </c>
      <c r="AD306" s="34" t="s">
        <v>7</v>
      </c>
      <c r="AE306" s="35" t="s">
        <v>8</v>
      </c>
      <c r="AF306" s="35" t="s">
        <v>357</v>
      </c>
      <c r="AG306" s="35" t="s">
        <v>358</v>
      </c>
      <c r="AH306" s="35" t="s">
        <v>359</v>
      </c>
      <c r="AI306" s="35" t="s">
        <v>9</v>
      </c>
      <c r="AJ306" s="35" t="s">
        <v>360</v>
      </c>
      <c r="AK306" s="35" t="s">
        <v>0</v>
      </c>
      <c r="AS306" s="30"/>
      <c r="AT306" s="30"/>
      <c r="AU306" s="30"/>
      <c r="AV306" s="3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</row>
    <row r="307" spans="1:63" s="35" customFormat="1" ht="15" customHeight="1">
      <c r="A307" s="46"/>
      <c r="B307" s="30">
        <v>328</v>
      </c>
      <c r="D307" s="284"/>
      <c r="J307" s="58"/>
      <c r="K307" s="39"/>
      <c r="M307" s="104"/>
      <c r="AA307" s="35" t="s">
        <v>336</v>
      </c>
      <c r="AD307" s="34"/>
      <c r="AS307" s="30"/>
      <c r="AT307" s="30"/>
      <c r="AU307" s="30"/>
      <c r="AV307" s="30"/>
      <c r="AW307" s="30"/>
      <c r="AX307" s="30"/>
      <c r="AY307" s="30"/>
      <c r="AZ307" s="30"/>
      <c r="BA307" s="30"/>
      <c r="BB307" s="30"/>
      <c r="BC307" s="30"/>
      <c r="BD307" s="30"/>
      <c r="BE307" s="30"/>
      <c r="BF307" s="30"/>
      <c r="BG307" s="30"/>
      <c r="BH307" s="30"/>
      <c r="BI307" s="30"/>
      <c r="BJ307" s="30"/>
      <c r="BK307" s="30"/>
    </row>
    <row r="308" spans="1:63" s="35" customFormat="1" ht="15" customHeight="1">
      <c r="A308" s="46"/>
      <c r="B308" s="30">
        <v>328</v>
      </c>
      <c r="D308" s="284"/>
      <c r="J308" s="58"/>
      <c r="K308" s="39"/>
      <c r="M308" s="104"/>
      <c r="AA308" s="35" t="s">
        <v>0</v>
      </c>
      <c r="AB308" s="34" t="s">
        <v>824</v>
      </c>
      <c r="AC308" s="35" t="s">
        <v>825</v>
      </c>
      <c r="AD308" s="34" t="s">
        <v>1619</v>
      </c>
      <c r="AE308" s="35" t="s">
        <v>1</v>
      </c>
      <c r="AS308" s="30"/>
      <c r="AT308" s="30"/>
      <c r="AU308" s="30"/>
      <c r="AV308" s="3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</row>
    <row r="309" spans="1:63" s="35" customFormat="1" ht="15" customHeight="1">
      <c r="A309" s="46"/>
      <c r="B309" s="30">
        <v>328</v>
      </c>
      <c r="D309" s="284"/>
      <c r="J309" s="58"/>
      <c r="K309" s="39"/>
      <c r="M309" s="104"/>
      <c r="AA309" s="35" t="s">
        <v>354</v>
      </c>
      <c r="AB309" s="35" t="s">
        <v>355</v>
      </c>
      <c r="AC309" s="35" t="s">
        <v>356</v>
      </c>
      <c r="AD309" s="34" t="s">
        <v>7</v>
      </c>
      <c r="AE309" s="35" t="s">
        <v>8</v>
      </c>
      <c r="AF309" s="35" t="s">
        <v>357</v>
      </c>
      <c r="AG309" s="35" t="s">
        <v>358</v>
      </c>
      <c r="AH309" s="35" t="s">
        <v>359</v>
      </c>
      <c r="AI309" s="35" t="s">
        <v>9</v>
      </c>
      <c r="AJ309" s="35" t="s">
        <v>360</v>
      </c>
      <c r="AK309" s="35" t="s">
        <v>0</v>
      </c>
      <c r="AS309" s="30"/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</row>
    <row r="310" spans="1:63" s="32" customFormat="1" ht="15" customHeight="1">
      <c r="A310" s="48"/>
      <c r="B310" s="30">
        <v>328</v>
      </c>
      <c r="C310" s="35"/>
      <c r="D310" s="284" t="s">
        <v>1086</v>
      </c>
      <c r="E310" s="35"/>
      <c r="G310" s="35" t="s">
        <v>1085</v>
      </c>
      <c r="J310" s="58"/>
      <c r="K310" s="104"/>
      <c r="M310" s="104" t="s">
        <v>1302</v>
      </c>
      <c r="Y310" s="35" t="s">
        <v>1117</v>
      </c>
      <c r="AA310" s="35" t="s">
        <v>1044</v>
      </c>
      <c r="AB310" s="35" t="s">
        <v>826</v>
      </c>
      <c r="AC310" s="35" t="s">
        <v>1045</v>
      </c>
      <c r="AD310" s="178" t="s">
        <v>2052</v>
      </c>
      <c r="AE310" s="3" t="s">
        <v>876</v>
      </c>
      <c r="AF310" s="35" t="s">
        <v>1046</v>
      </c>
      <c r="AG310" s="35" t="s">
        <v>383</v>
      </c>
      <c r="AH310" s="35" t="s">
        <v>10</v>
      </c>
      <c r="AI310" s="35" t="s">
        <v>452</v>
      </c>
      <c r="AJ310" s="35" t="s">
        <v>362</v>
      </c>
      <c r="AK310" s="35" t="s">
        <v>824</v>
      </c>
      <c r="AL310" s="35"/>
      <c r="AM310" s="35"/>
      <c r="AN310" s="35"/>
      <c r="AO310" s="35"/>
      <c r="AP310" s="35"/>
      <c r="AQ310" s="35"/>
      <c r="AR310" s="35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</row>
    <row r="311" spans="1:63" s="32" customFormat="1" ht="15" customHeight="1">
      <c r="A311" s="46"/>
      <c r="B311" s="30">
        <v>328</v>
      </c>
      <c r="C311" s="35"/>
      <c r="D311" s="284" t="s">
        <v>1086</v>
      </c>
      <c r="E311" s="35"/>
      <c r="G311" s="35" t="s">
        <v>1085</v>
      </c>
      <c r="J311" s="58"/>
      <c r="K311" s="104"/>
      <c r="M311" s="104" t="s">
        <v>1302</v>
      </c>
      <c r="Y311" s="35" t="s">
        <v>1117</v>
      </c>
      <c r="AA311" s="35" t="s">
        <v>993</v>
      </c>
      <c r="AB311" s="35" t="s">
        <v>1265</v>
      </c>
      <c r="AC311" s="35" t="s">
        <v>920</v>
      </c>
      <c r="AD311" s="178" t="s">
        <v>2295</v>
      </c>
      <c r="AE311" s="3" t="s">
        <v>955</v>
      </c>
      <c r="AF311" s="35" t="s">
        <v>995</v>
      </c>
      <c r="AG311" s="35" t="s">
        <v>383</v>
      </c>
      <c r="AH311" s="35" t="s">
        <v>10</v>
      </c>
      <c r="AI311" s="35" t="s">
        <v>1047</v>
      </c>
      <c r="AJ311" s="35" t="s">
        <v>362</v>
      </c>
      <c r="AK311" s="35" t="s">
        <v>824</v>
      </c>
      <c r="AL311" s="35"/>
      <c r="AM311" s="35"/>
      <c r="AN311" s="35"/>
      <c r="AO311" s="35"/>
      <c r="AP311" s="35"/>
      <c r="AQ311" s="35"/>
      <c r="AR311" s="35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</row>
    <row r="312" spans="1:63" s="35" customFormat="1" ht="15" customHeight="1">
      <c r="A312" s="46"/>
      <c r="B312" s="30" t="s">
        <v>1048</v>
      </c>
      <c r="D312" s="284"/>
      <c r="J312" s="58"/>
      <c r="K312" s="39"/>
      <c r="M312" s="104"/>
      <c r="AA312" s="35" t="s">
        <v>829</v>
      </c>
      <c r="AD312" s="34"/>
      <c r="AS312" s="30"/>
      <c r="AT312" s="30"/>
      <c r="AU312" s="30"/>
      <c r="AV312" s="3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</row>
    <row r="313" spans="1:63" s="35" customFormat="1" ht="15" customHeight="1">
      <c r="A313" s="46"/>
      <c r="B313" s="30" t="s">
        <v>1048</v>
      </c>
      <c r="D313" s="284"/>
      <c r="J313" s="58"/>
      <c r="K313" s="39"/>
      <c r="M313" s="104"/>
      <c r="AA313" s="35" t="s">
        <v>0</v>
      </c>
      <c r="AB313" s="34" t="s">
        <v>830</v>
      </c>
      <c r="AC313" s="35" t="s">
        <v>831</v>
      </c>
      <c r="AD313" s="34" t="s">
        <v>866</v>
      </c>
      <c r="AE313" s="35" t="s">
        <v>1</v>
      </c>
      <c r="AS313" s="30"/>
      <c r="AT313" s="30"/>
      <c r="AU313" s="30"/>
      <c r="AV313" s="30"/>
      <c r="AW313" s="30"/>
      <c r="AX313" s="30"/>
      <c r="AY313" s="30"/>
      <c r="AZ313" s="30"/>
      <c r="BA313" s="30"/>
      <c r="BB313" s="30"/>
      <c r="BC313" s="30"/>
      <c r="BD313" s="30"/>
      <c r="BE313" s="30"/>
      <c r="BF313" s="30"/>
      <c r="BG313" s="30"/>
      <c r="BH313" s="30"/>
      <c r="BI313" s="30"/>
      <c r="BJ313" s="30"/>
      <c r="BK313" s="30"/>
    </row>
    <row r="314" spans="1:63" s="35" customFormat="1" ht="15" customHeight="1">
      <c r="A314" s="46"/>
      <c r="B314" s="30" t="s">
        <v>1048</v>
      </c>
      <c r="D314" s="284"/>
      <c r="J314" s="58"/>
      <c r="K314" s="39"/>
      <c r="M314" s="104"/>
      <c r="AA314" s="35" t="s">
        <v>354</v>
      </c>
      <c r="AB314" s="35" t="s">
        <v>355</v>
      </c>
      <c r="AC314" s="35" t="s">
        <v>356</v>
      </c>
      <c r="AD314" s="34" t="s">
        <v>7</v>
      </c>
      <c r="AE314" s="35" t="s">
        <v>8</v>
      </c>
      <c r="AF314" s="35" t="s">
        <v>357</v>
      </c>
      <c r="AG314" s="35" t="s">
        <v>358</v>
      </c>
      <c r="AH314" s="35" t="s">
        <v>359</v>
      </c>
      <c r="AI314" s="35" t="s">
        <v>9</v>
      </c>
      <c r="AJ314" s="35" t="s">
        <v>360</v>
      </c>
      <c r="AK314" s="35" t="s">
        <v>0</v>
      </c>
      <c r="AS314" s="30"/>
      <c r="AT314" s="30"/>
      <c r="AU314" s="30"/>
      <c r="AV314" s="3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</row>
    <row r="315" spans="1:63" s="32" customFormat="1" ht="15" customHeight="1">
      <c r="A315" s="46"/>
      <c r="B315" s="30" t="s">
        <v>1048</v>
      </c>
      <c r="C315" s="35"/>
      <c r="D315" s="284" t="s">
        <v>1086</v>
      </c>
      <c r="E315" s="35"/>
      <c r="G315" s="35" t="s">
        <v>1085</v>
      </c>
      <c r="J315" s="58"/>
      <c r="K315" s="104"/>
      <c r="M315" s="104" t="s">
        <v>1302</v>
      </c>
      <c r="Y315" s="35" t="s">
        <v>1117</v>
      </c>
      <c r="AA315" s="35" t="s">
        <v>1049</v>
      </c>
      <c r="AB315" s="35" t="s">
        <v>834</v>
      </c>
      <c r="AC315" s="35" t="s">
        <v>1050</v>
      </c>
      <c r="AD315" s="178" t="s">
        <v>2296</v>
      </c>
      <c r="AE315" s="3" t="s">
        <v>2055</v>
      </c>
      <c r="AF315" s="35" t="s">
        <v>1051</v>
      </c>
      <c r="AG315" s="35" t="s">
        <v>391</v>
      </c>
      <c r="AH315" s="35" t="s">
        <v>10</v>
      </c>
      <c r="AI315" s="35" t="s">
        <v>380</v>
      </c>
      <c r="AJ315" s="35" t="s">
        <v>362</v>
      </c>
      <c r="AK315" s="35" t="s">
        <v>830</v>
      </c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</row>
    <row r="316" spans="1:63" s="32" customFormat="1" ht="15" customHeight="1">
      <c r="A316" s="46"/>
      <c r="B316" s="30" t="s">
        <v>1048</v>
      </c>
      <c r="C316" s="35"/>
      <c r="D316" s="284" t="s">
        <v>1086</v>
      </c>
      <c r="E316" s="35"/>
      <c r="G316" s="35" t="s">
        <v>1085</v>
      </c>
      <c r="J316" s="58"/>
      <c r="K316" s="104"/>
      <c r="M316" s="104" t="s">
        <v>1302</v>
      </c>
      <c r="Y316" s="35" t="s">
        <v>1117</v>
      </c>
      <c r="AA316" s="35" t="s">
        <v>1044</v>
      </c>
      <c r="AB316" s="35" t="s">
        <v>832</v>
      </c>
      <c r="AC316" s="35" t="s">
        <v>545</v>
      </c>
      <c r="AD316" s="178" t="s">
        <v>2318</v>
      </c>
      <c r="AE316" s="3" t="s">
        <v>2056</v>
      </c>
      <c r="AF316" s="35" t="s">
        <v>1046</v>
      </c>
      <c r="AG316" s="35" t="s">
        <v>383</v>
      </c>
      <c r="AH316" s="35" t="s">
        <v>10</v>
      </c>
      <c r="AI316" s="35" t="s">
        <v>452</v>
      </c>
      <c r="AJ316" s="35" t="s">
        <v>362</v>
      </c>
      <c r="AK316" s="35" t="s">
        <v>830</v>
      </c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</row>
    <row r="317" spans="1:63" s="32" customFormat="1" ht="15" customHeight="1">
      <c r="A317" s="46"/>
      <c r="B317" s="30">
        <v>329</v>
      </c>
      <c r="C317" s="35"/>
      <c r="D317" s="284" t="s">
        <v>1086</v>
      </c>
      <c r="E317" s="35"/>
      <c r="G317" s="35" t="s">
        <v>1085</v>
      </c>
      <c r="H317" s="35" t="s">
        <v>1086</v>
      </c>
      <c r="J317" s="58"/>
      <c r="K317" s="104"/>
      <c r="L317" s="35" t="s">
        <v>1120</v>
      </c>
      <c r="M317" s="104">
        <v>990001933</v>
      </c>
      <c r="Y317" s="35" t="s">
        <v>1117</v>
      </c>
      <c r="AA317" s="35" t="s">
        <v>415</v>
      </c>
      <c r="AB317" s="35" t="s">
        <v>1181</v>
      </c>
      <c r="AC317" s="35" t="s">
        <v>10</v>
      </c>
      <c r="AD317" s="34" t="s">
        <v>1181</v>
      </c>
      <c r="AE317" s="3" t="s">
        <v>2139</v>
      </c>
      <c r="AF317" s="35" t="s">
        <v>1175</v>
      </c>
      <c r="AG317" s="35" t="s">
        <v>10</v>
      </c>
      <c r="AH317" s="35" t="s">
        <v>10</v>
      </c>
      <c r="AI317" s="35" t="s">
        <v>10</v>
      </c>
      <c r="AJ317" s="35" t="s">
        <v>362</v>
      </c>
      <c r="AK317" s="35" t="s">
        <v>830</v>
      </c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</row>
    <row r="318" spans="1:63" s="35" customFormat="1" ht="15" customHeight="1">
      <c r="A318" s="46"/>
      <c r="B318" s="30">
        <v>329</v>
      </c>
      <c r="D318" s="284" t="s">
        <v>1086</v>
      </c>
      <c r="G318" s="35" t="s">
        <v>1089</v>
      </c>
      <c r="H318" s="35" t="s">
        <v>1086</v>
      </c>
      <c r="J318" s="58"/>
      <c r="K318" s="39"/>
      <c r="L318" s="186" t="s">
        <v>10</v>
      </c>
      <c r="M318" s="58">
        <v>990000695</v>
      </c>
      <c r="Y318" s="35" t="s">
        <v>1117</v>
      </c>
      <c r="AA318" s="35" t="s">
        <v>1161</v>
      </c>
      <c r="AB318" s="35" t="s">
        <v>1159</v>
      </c>
      <c r="AC318" s="35" t="s">
        <v>10</v>
      </c>
      <c r="AD318" s="34" t="s">
        <v>1159</v>
      </c>
      <c r="AE318" s="3" t="s">
        <v>2140</v>
      </c>
      <c r="AF318" s="35" t="s">
        <v>1160</v>
      </c>
      <c r="AG318" s="35" t="s">
        <v>10</v>
      </c>
      <c r="AH318" s="35" t="s">
        <v>10</v>
      </c>
      <c r="AI318" s="35" t="s">
        <v>10</v>
      </c>
      <c r="AJ318" s="35" t="s">
        <v>362</v>
      </c>
      <c r="AK318" s="35" t="s">
        <v>830</v>
      </c>
      <c r="AS318" s="30"/>
      <c r="AT318" s="30"/>
      <c r="AU318" s="30"/>
      <c r="AV318" s="30"/>
      <c r="AW318" s="30"/>
      <c r="AX318" s="30"/>
      <c r="AY318" s="30"/>
      <c r="AZ318" s="30"/>
      <c r="BA318" s="30"/>
      <c r="BB318" s="30"/>
      <c r="BC318" s="30"/>
      <c r="BD318" s="30"/>
      <c r="BE318" s="30"/>
      <c r="BF318" s="30"/>
      <c r="BG318" s="30"/>
      <c r="BH318" s="30"/>
      <c r="BI318" s="30"/>
      <c r="BJ318" s="30"/>
      <c r="BK318" s="30"/>
    </row>
    <row r="319" spans="1:63" s="484" customFormat="1" ht="15" customHeight="1">
      <c r="A319" s="487"/>
      <c r="B319" s="488">
        <v>329</v>
      </c>
      <c r="D319" s="489" t="s">
        <v>1086</v>
      </c>
      <c r="G319" s="484" t="s">
        <v>1089</v>
      </c>
      <c r="H319" s="484" t="s">
        <v>1086</v>
      </c>
      <c r="J319" s="485"/>
      <c r="K319" s="483"/>
      <c r="L319" s="484" t="s">
        <v>1120</v>
      </c>
      <c r="M319" s="485">
        <v>990000862</v>
      </c>
      <c r="Y319" s="484" t="s">
        <v>1117</v>
      </c>
      <c r="AA319" s="484" t="s">
        <v>509</v>
      </c>
      <c r="AB319" s="484" t="s">
        <v>954</v>
      </c>
      <c r="AC319" s="484" t="s">
        <v>10</v>
      </c>
      <c r="AD319" s="257" t="s">
        <v>954</v>
      </c>
      <c r="AE319" s="484" t="s">
        <v>519</v>
      </c>
      <c r="AF319" s="484" t="s">
        <v>510</v>
      </c>
      <c r="AG319" s="484" t="s">
        <v>10</v>
      </c>
      <c r="AH319" s="484" t="s">
        <v>10</v>
      </c>
      <c r="AI319" s="484" t="s">
        <v>10</v>
      </c>
      <c r="AJ319" s="484" t="s">
        <v>362</v>
      </c>
      <c r="AK319" s="484" t="s">
        <v>830</v>
      </c>
      <c r="AS319" s="488"/>
      <c r="AT319" s="488"/>
      <c r="AU319" s="488"/>
      <c r="AV319" s="488"/>
      <c r="AW319" s="488"/>
      <c r="AX319" s="488"/>
      <c r="AY319" s="488"/>
      <c r="AZ319" s="488"/>
      <c r="BA319" s="488"/>
      <c r="BB319" s="488"/>
      <c r="BC319" s="488"/>
      <c r="BD319" s="488"/>
      <c r="BE319" s="488"/>
      <c r="BF319" s="488"/>
      <c r="BG319" s="488"/>
      <c r="BH319" s="488"/>
      <c r="BI319" s="488"/>
      <c r="BJ319" s="488"/>
      <c r="BK319" s="488"/>
    </row>
    <row r="320" spans="1:63" s="35" customFormat="1" ht="15" customHeight="1">
      <c r="A320" s="46"/>
      <c r="B320" s="30" t="s">
        <v>1052</v>
      </c>
      <c r="D320" s="284"/>
      <c r="J320" s="58"/>
      <c r="K320" s="39"/>
      <c r="M320" s="104"/>
      <c r="AA320" s="35" t="s">
        <v>280</v>
      </c>
      <c r="AD320" s="34"/>
      <c r="AS320" s="30"/>
      <c r="AT320" s="30"/>
      <c r="AU320" s="30"/>
      <c r="AV320" s="3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</row>
    <row r="321" spans="1:63" s="35" customFormat="1" ht="15" customHeight="1">
      <c r="A321" s="190" t="s">
        <v>2621</v>
      </c>
      <c r="B321" s="30" t="s">
        <v>1052</v>
      </c>
      <c r="D321" s="284"/>
      <c r="J321" s="58"/>
      <c r="K321" s="39"/>
      <c r="M321" s="58"/>
      <c r="AA321" s="35" t="s">
        <v>0</v>
      </c>
      <c r="AB321" s="34" t="s">
        <v>1680</v>
      </c>
      <c r="AC321" s="305" t="s">
        <v>2348</v>
      </c>
      <c r="AD321" s="34" t="s">
        <v>2059</v>
      </c>
      <c r="AE321" s="35" t="s">
        <v>1</v>
      </c>
      <c r="AS321" s="30"/>
      <c r="AT321" s="30"/>
      <c r="AU321" s="30"/>
      <c r="AV321" s="30"/>
      <c r="AW321" s="30"/>
      <c r="AX321" s="30"/>
      <c r="AY321" s="30"/>
      <c r="AZ321" s="30"/>
      <c r="BA321" s="30"/>
      <c r="BB321" s="30"/>
      <c r="BC321" s="30"/>
      <c r="BD321" s="30"/>
      <c r="BE321" s="30"/>
      <c r="BF321" s="30"/>
      <c r="BG321" s="30"/>
      <c r="BH321" s="30"/>
      <c r="BI321" s="30"/>
      <c r="BJ321" s="30"/>
      <c r="BK321" s="30"/>
    </row>
    <row r="322" spans="1:63" s="35" customFormat="1" ht="15" customHeight="1">
      <c r="A322" s="190" t="s">
        <v>2621</v>
      </c>
      <c r="B322" s="30" t="s">
        <v>1052</v>
      </c>
      <c r="D322" s="284"/>
      <c r="J322" s="58"/>
      <c r="K322" s="39"/>
      <c r="M322" s="58"/>
      <c r="AA322" s="35" t="s">
        <v>2</v>
      </c>
      <c r="AB322" s="34" t="s">
        <v>2415</v>
      </c>
      <c r="AC322" s="35" t="s">
        <v>1679</v>
      </c>
      <c r="AD322" s="34" t="s">
        <v>2058</v>
      </c>
      <c r="AE322" s="35" t="s">
        <v>1</v>
      </c>
      <c r="AS322" s="30"/>
      <c r="AT322" s="30"/>
      <c r="AU322" s="30"/>
      <c r="AV322" s="30"/>
      <c r="AW322" s="30"/>
      <c r="AX322" s="30"/>
      <c r="AY322" s="30"/>
      <c r="AZ322" s="30"/>
      <c r="BA322" s="30"/>
      <c r="BB322" s="30"/>
      <c r="BC322" s="30"/>
      <c r="BD322" s="30"/>
      <c r="BE322" s="30"/>
      <c r="BF322" s="30"/>
      <c r="BG322" s="30"/>
      <c r="BH322" s="30"/>
      <c r="BI322" s="30"/>
      <c r="BJ322" s="30"/>
      <c r="BK322" s="30"/>
    </row>
    <row r="323" spans="1:63" s="35" customFormat="1" ht="15" customHeight="1">
      <c r="A323" s="46"/>
      <c r="B323" s="30" t="s">
        <v>1052</v>
      </c>
      <c r="D323" s="284"/>
      <c r="J323" s="58"/>
      <c r="K323" s="39"/>
      <c r="M323" s="58"/>
      <c r="AA323" s="35" t="s">
        <v>354</v>
      </c>
      <c r="AB323" s="35" t="s">
        <v>355</v>
      </c>
      <c r="AC323" s="35" t="s">
        <v>356</v>
      </c>
      <c r="AD323" s="34" t="s">
        <v>7</v>
      </c>
      <c r="AE323" s="35" t="s">
        <v>8</v>
      </c>
      <c r="AF323" s="35" t="s">
        <v>357</v>
      </c>
      <c r="AG323" s="35" t="s">
        <v>358</v>
      </c>
      <c r="AH323" s="35" t="s">
        <v>359</v>
      </c>
      <c r="AI323" s="35" t="s">
        <v>9</v>
      </c>
      <c r="AJ323" s="35" t="s">
        <v>360</v>
      </c>
      <c r="AK323" s="35" t="s">
        <v>0</v>
      </c>
      <c r="AL323" s="35" t="s">
        <v>2</v>
      </c>
      <c r="AS323" s="30"/>
      <c r="AT323" s="30"/>
      <c r="AU323" s="30"/>
      <c r="AV323" s="30"/>
      <c r="AW323" s="30"/>
      <c r="AX323" s="30"/>
      <c r="AY323" s="30"/>
      <c r="AZ323" s="30"/>
      <c r="BA323" s="30"/>
      <c r="BB323" s="30"/>
      <c r="BC323" s="30"/>
      <c r="BD323" s="30"/>
      <c r="BE323" s="30"/>
      <c r="BF323" s="30"/>
      <c r="BG323" s="30"/>
      <c r="BH323" s="30"/>
      <c r="BI323" s="30"/>
      <c r="BJ323" s="30"/>
      <c r="BK323" s="30"/>
    </row>
    <row r="324" spans="1:63" s="35" customFormat="1" ht="15" customHeight="1">
      <c r="A324" s="46"/>
      <c r="B324" s="30" t="s">
        <v>1052</v>
      </c>
      <c r="D324" s="416" t="s">
        <v>1295</v>
      </c>
      <c r="G324" s="35" t="s">
        <v>1085</v>
      </c>
      <c r="J324" s="58"/>
      <c r="K324" s="39"/>
      <c r="M324" s="58">
        <v>920006096</v>
      </c>
      <c r="Y324" s="35" t="s">
        <v>1119</v>
      </c>
      <c r="AA324" s="35" t="s">
        <v>447</v>
      </c>
      <c r="AB324" s="35" t="s">
        <v>844</v>
      </c>
      <c r="AC324" s="35" t="s">
        <v>1053</v>
      </c>
      <c r="AD324" s="178" t="s">
        <v>2320</v>
      </c>
      <c r="AE324" s="3" t="s">
        <v>1315</v>
      </c>
      <c r="AF324" s="35" t="s">
        <v>1054</v>
      </c>
      <c r="AG324" s="35" t="s">
        <v>10</v>
      </c>
      <c r="AH324" s="35" t="s">
        <v>10</v>
      </c>
      <c r="AI324" s="35" t="s">
        <v>425</v>
      </c>
      <c r="AJ324" s="35" t="s">
        <v>362</v>
      </c>
      <c r="AK324" s="58" t="s">
        <v>10</v>
      </c>
      <c r="AL324" s="35" t="s">
        <v>2415</v>
      </c>
      <c r="AS324" s="30"/>
      <c r="AT324" s="30"/>
      <c r="AU324" s="30"/>
      <c r="AV324" s="30"/>
      <c r="AW324" s="30"/>
      <c r="AX324" s="30"/>
      <c r="AY324" s="30"/>
      <c r="AZ324" s="30"/>
      <c r="BA324" s="30"/>
      <c r="BB324" s="30"/>
      <c r="BC324" s="30"/>
      <c r="BD324" s="30"/>
      <c r="BE324" s="30"/>
      <c r="BF324" s="30"/>
      <c r="BG324" s="30"/>
      <c r="BH324" s="30"/>
      <c r="BI324" s="30"/>
      <c r="BJ324" s="30"/>
      <c r="BK324" s="30"/>
    </row>
    <row r="325" spans="1:63" s="35" customFormat="1" ht="15" customHeight="1">
      <c r="A325" s="46"/>
      <c r="B325" s="30" t="s">
        <v>1052</v>
      </c>
      <c r="D325" s="416" t="s">
        <v>1295</v>
      </c>
      <c r="E325" s="35" t="s">
        <v>617</v>
      </c>
      <c r="F325" s="35" t="s">
        <v>1085</v>
      </c>
      <c r="G325" s="35" t="s">
        <v>1085</v>
      </c>
      <c r="J325" s="58"/>
      <c r="K325" s="39"/>
      <c r="M325" s="174">
        <v>920006998</v>
      </c>
      <c r="Y325" s="35" t="s">
        <v>1119</v>
      </c>
      <c r="AA325" s="35" t="s">
        <v>1055</v>
      </c>
      <c r="AB325" s="35" t="s">
        <v>838</v>
      </c>
      <c r="AC325" s="35" t="s">
        <v>546</v>
      </c>
      <c r="AD325" s="178" t="s">
        <v>2297</v>
      </c>
      <c r="AE325" s="3" t="s">
        <v>2060</v>
      </c>
      <c r="AF325" s="35" t="s">
        <v>1056</v>
      </c>
      <c r="AG325" s="35" t="s">
        <v>10</v>
      </c>
      <c r="AH325" s="35" t="s">
        <v>10</v>
      </c>
      <c r="AI325" s="35" t="s">
        <v>425</v>
      </c>
      <c r="AJ325" s="35" t="s">
        <v>362</v>
      </c>
      <c r="AK325" s="35" t="s">
        <v>1680</v>
      </c>
      <c r="AL325" s="35" t="s">
        <v>2415</v>
      </c>
      <c r="AS325" s="30"/>
      <c r="AT325" s="30"/>
      <c r="AU325" s="30"/>
      <c r="AV325" s="30"/>
      <c r="AW325" s="30"/>
      <c r="AX325" s="30"/>
      <c r="AY325" s="30"/>
      <c r="AZ325" s="30"/>
      <c r="BA325" s="30"/>
      <c r="BB325" s="30"/>
      <c r="BC325" s="30"/>
      <c r="BD325" s="30"/>
      <c r="BE325" s="30"/>
      <c r="BF325" s="30"/>
      <c r="BG325" s="30"/>
      <c r="BH325" s="30"/>
      <c r="BI325" s="30"/>
      <c r="BJ325" s="30"/>
      <c r="BK325" s="30"/>
    </row>
    <row r="326" spans="1:63" s="35" customFormat="1" ht="15" customHeight="1">
      <c r="A326" s="46"/>
      <c r="B326" s="30" t="s">
        <v>1052</v>
      </c>
      <c r="D326" s="416" t="s">
        <v>1295</v>
      </c>
      <c r="G326" s="35" t="s">
        <v>1085</v>
      </c>
      <c r="J326" s="58"/>
      <c r="K326" s="39"/>
      <c r="M326" s="77">
        <v>920007000</v>
      </c>
      <c r="Y326" s="35" t="s">
        <v>1119</v>
      </c>
      <c r="AC326" s="180" t="s">
        <v>1109</v>
      </c>
      <c r="AD326" s="255" t="s">
        <v>2297</v>
      </c>
      <c r="AF326" s="35" t="s">
        <v>1056</v>
      </c>
      <c r="AJ326" s="35" t="s">
        <v>362</v>
      </c>
      <c r="AK326" s="35" t="s">
        <v>1680</v>
      </c>
      <c r="AL326" s="35" t="s">
        <v>2415</v>
      </c>
      <c r="AS326" s="30"/>
      <c r="AT326" s="30"/>
      <c r="AU326" s="30"/>
      <c r="AV326" s="30"/>
      <c r="AW326" s="30"/>
      <c r="AX326" s="30"/>
      <c r="AY326" s="30"/>
      <c r="AZ326" s="30"/>
      <c r="BA326" s="30"/>
      <c r="BB326" s="30"/>
      <c r="BC326" s="30"/>
      <c r="BD326" s="30"/>
      <c r="BE326" s="30"/>
      <c r="BF326" s="30"/>
      <c r="BG326" s="30"/>
      <c r="BH326" s="30"/>
      <c r="BI326" s="30"/>
      <c r="BJ326" s="30"/>
      <c r="BK326" s="30"/>
    </row>
    <row r="327" spans="1:63" s="35" customFormat="1" ht="15" customHeight="1">
      <c r="A327" s="46"/>
      <c r="B327" s="30" t="s">
        <v>1052</v>
      </c>
      <c r="D327" s="416" t="s">
        <v>1295</v>
      </c>
      <c r="G327" s="35" t="s">
        <v>1085</v>
      </c>
      <c r="J327" s="58"/>
      <c r="K327" s="39"/>
      <c r="M327" s="77">
        <v>920007001</v>
      </c>
      <c r="Y327" s="35" t="s">
        <v>1119</v>
      </c>
      <c r="AC327" s="180" t="s">
        <v>1110</v>
      </c>
      <c r="AD327" s="255" t="s">
        <v>2297</v>
      </c>
      <c r="AF327" s="35" t="s">
        <v>1056</v>
      </c>
      <c r="AJ327" s="35" t="s">
        <v>362</v>
      </c>
      <c r="AK327" s="35" t="s">
        <v>1680</v>
      </c>
      <c r="AL327" s="35" t="s">
        <v>2415</v>
      </c>
      <c r="AS327" s="30"/>
      <c r="AT327" s="30"/>
      <c r="AU327" s="30"/>
      <c r="AV327" s="30"/>
      <c r="AW327" s="30"/>
      <c r="AX327" s="30"/>
      <c r="AY327" s="30"/>
      <c r="AZ327" s="30"/>
      <c r="BA327" s="30"/>
      <c r="BB327" s="30"/>
      <c r="BC327" s="30"/>
      <c r="BD327" s="30"/>
      <c r="BE327" s="30"/>
      <c r="BF327" s="30"/>
      <c r="BG327" s="30"/>
      <c r="BH327" s="30"/>
      <c r="BI327" s="30"/>
      <c r="BJ327" s="30"/>
      <c r="BK327" s="30"/>
    </row>
    <row r="328" spans="1:63" s="35" customFormat="1" ht="15" customHeight="1">
      <c r="A328" s="46"/>
      <c r="B328" s="30" t="s">
        <v>1052</v>
      </c>
      <c r="D328" s="416" t="s">
        <v>1295</v>
      </c>
      <c r="G328" s="35" t="s">
        <v>1085</v>
      </c>
      <c r="J328" s="58"/>
      <c r="K328" s="39"/>
      <c r="M328" s="77">
        <v>920007002</v>
      </c>
      <c r="Y328" s="35" t="s">
        <v>1119</v>
      </c>
      <c r="AC328" s="180" t="s">
        <v>1111</v>
      </c>
      <c r="AD328" s="255" t="s">
        <v>2297</v>
      </c>
      <c r="AF328" s="35" t="s">
        <v>1056</v>
      </c>
      <c r="AJ328" s="35" t="s">
        <v>362</v>
      </c>
      <c r="AK328" s="35" t="s">
        <v>1680</v>
      </c>
      <c r="AL328" s="35" t="s">
        <v>2415</v>
      </c>
      <c r="AS328" s="30"/>
      <c r="AT328" s="30"/>
      <c r="AU328" s="30"/>
      <c r="AV328" s="30"/>
      <c r="AW328" s="30"/>
      <c r="AX328" s="30"/>
      <c r="AY328" s="30"/>
      <c r="AZ328" s="30"/>
      <c r="BA328" s="30"/>
      <c r="BB328" s="30"/>
      <c r="BC328" s="30"/>
      <c r="BD328" s="30"/>
      <c r="BE328" s="30"/>
      <c r="BF328" s="30"/>
      <c r="BG328" s="30"/>
      <c r="BH328" s="30"/>
      <c r="BI328" s="30"/>
      <c r="BJ328" s="30"/>
      <c r="BK328" s="30"/>
    </row>
    <row r="329" spans="1:63" s="35" customFormat="1" ht="15" customHeight="1">
      <c r="A329" s="190" t="s">
        <v>2621</v>
      </c>
      <c r="B329" s="30" t="s">
        <v>1052</v>
      </c>
      <c r="D329" s="416" t="s">
        <v>1295</v>
      </c>
      <c r="G329" s="35" t="s">
        <v>1085</v>
      </c>
      <c r="J329" s="58"/>
      <c r="K329" s="39"/>
      <c r="M329" s="365">
        <v>930001202</v>
      </c>
      <c r="P329" s="192" t="s">
        <v>2622</v>
      </c>
      <c r="Y329" s="35" t="s">
        <v>1119</v>
      </c>
      <c r="AA329" s="35" t="s">
        <v>363</v>
      </c>
      <c r="AB329" s="35" t="s">
        <v>10</v>
      </c>
      <c r="AC329" s="35" t="s">
        <v>10</v>
      </c>
      <c r="AD329" s="34" t="s">
        <v>10</v>
      </c>
      <c r="AE329" s="35" t="s">
        <v>10</v>
      </c>
      <c r="AF329" s="35" t="s">
        <v>454</v>
      </c>
      <c r="AG329" s="35" t="s">
        <v>10</v>
      </c>
      <c r="AH329" s="192" t="s">
        <v>2297</v>
      </c>
      <c r="AI329" s="35" t="s">
        <v>10</v>
      </c>
      <c r="AJ329" s="35" t="s">
        <v>362</v>
      </c>
      <c r="AK329" s="35" t="s">
        <v>1680</v>
      </c>
      <c r="AL329" s="35" t="s">
        <v>2415</v>
      </c>
      <c r="AS329" s="30"/>
      <c r="AT329" s="30"/>
      <c r="AU329" s="30"/>
      <c r="AV329" s="30"/>
      <c r="AW329" s="30"/>
      <c r="AX329" s="30"/>
      <c r="AY329" s="30"/>
      <c r="AZ329" s="30"/>
      <c r="BA329" s="30"/>
      <c r="BB329" s="30"/>
      <c r="BC329" s="30"/>
      <c r="BD329" s="30"/>
      <c r="BE329" s="30"/>
      <c r="BF329" s="30"/>
      <c r="BG329" s="30"/>
      <c r="BH329" s="30"/>
      <c r="BI329" s="30"/>
      <c r="BJ329" s="30"/>
      <c r="BK329" s="30"/>
    </row>
    <row r="330" spans="1:63" s="35" customFormat="1" ht="15" customHeight="1">
      <c r="A330" s="46"/>
      <c r="B330" s="30" t="s">
        <v>1052</v>
      </c>
      <c r="D330" s="416" t="s">
        <v>1295</v>
      </c>
      <c r="G330" s="35" t="s">
        <v>1085</v>
      </c>
      <c r="J330" s="58"/>
      <c r="K330" s="171"/>
      <c r="M330" s="171" t="s">
        <v>1301</v>
      </c>
      <c r="Y330" s="35" t="s">
        <v>1119</v>
      </c>
      <c r="AA330" s="35" t="s">
        <v>1057</v>
      </c>
      <c r="AB330" s="35" t="s">
        <v>847</v>
      </c>
      <c r="AC330" s="35" t="s">
        <v>1058</v>
      </c>
      <c r="AD330" s="178" t="s">
        <v>2321</v>
      </c>
      <c r="AE330" s="3" t="s">
        <v>2062</v>
      </c>
      <c r="AF330" s="35" t="s">
        <v>1059</v>
      </c>
      <c r="AG330" s="35" t="s">
        <v>455</v>
      </c>
      <c r="AH330" s="35" t="s">
        <v>10</v>
      </c>
      <c r="AI330" s="35" t="s">
        <v>456</v>
      </c>
      <c r="AJ330" s="35" t="s">
        <v>362</v>
      </c>
      <c r="AK330" s="35" t="s">
        <v>1680</v>
      </c>
      <c r="AL330" s="35" t="s">
        <v>2415</v>
      </c>
      <c r="AS330" s="30"/>
      <c r="AT330" s="30"/>
      <c r="AU330" s="30"/>
      <c r="AV330" s="30"/>
      <c r="AW330" s="30"/>
      <c r="AX330" s="30"/>
      <c r="AY330" s="30"/>
      <c r="AZ330" s="30"/>
      <c r="BA330" s="30"/>
      <c r="BB330" s="30"/>
      <c r="BC330" s="30"/>
      <c r="BD330" s="30"/>
      <c r="BE330" s="30"/>
      <c r="BF330" s="30"/>
      <c r="BG330" s="30"/>
      <c r="BH330" s="30"/>
      <c r="BI330" s="30"/>
      <c r="BJ330" s="30"/>
      <c r="BK330" s="30"/>
    </row>
    <row r="331" spans="1:63" s="35" customFormat="1" ht="15" customHeight="1">
      <c r="A331" s="46"/>
      <c r="B331" s="30" t="s">
        <v>1052</v>
      </c>
      <c r="D331" s="416" t="s">
        <v>1295</v>
      </c>
      <c r="G331" s="35" t="s">
        <v>1085</v>
      </c>
      <c r="J331" s="58"/>
      <c r="K331" s="171"/>
      <c r="M331" s="171" t="s">
        <v>1301</v>
      </c>
      <c r="Y331" s="35" t="s">
        <v>1119</v>
      </c>
      <c r="AA331" s="35" t="s">
        <v>1057</v>
      </c>
      <c r="AB331" s="35" t="s">
        <v>849</v>
      </c>
      <c r="AC331" s="35" t="s">
        <v>1060</v>
      </c>
      <c r="AD331" s="178" t="s">
        <v>2299</v>
      </c>
      <c r="AE331" s="3" t="s">
        <v>1562</v>
      </c>
      <c r="AF331" s="35" t="s">
        <v>1059</v>
      </c>
      <c r="AG331" s="35" t="s">
        <v>455</v>
      </c>
      <c r="AH331" s="35" t="s">
        <v>10</v>
      </c>
      <c r="AI331" s="35" t="s">
        <v>456</v>
      </c>
      <c r="AJ331" s="35" t="s">
        <v>362</v>
      </c>
      <c r="AK331" s="35" t="s">
        <v>1680</v>
      </c>
      <c r="AL331" s="35" t="s">
        <v>2415</v>
      </c>
      <c r="AS331" s="30"/>
      <c r="AT331" s="30"/>
      <c r="AU331" s="30"/>
      <c r="AV331" s="30"/>
      <c r="AW331" s="30"/>
      <c r="AX331" s="30"/>
      <c r="AY331" s="30"/>
      <c r="AZ331" s="30"/>
      <c r="BA331" s="30"/>
      <c r="BB331" s="30"/>
      <c r="BC331" s="30"/>
      <c r="BD331" s="30"/>
      <c r="BE331" s="30"/>
      <c r="BF331" s="30"/>
      <c r="BG331" s="30"/>
      <c r="BH331" s="30"/>
      <c r="BI331" s="30"/>
      <c r="BJ331" s="30"/>
      <c r="BK331" s="30"/>
    </row>
    <row r="332" spans="1:63" s="35" customFormat="1" ht="15" customHeight="1">
      <c r="A332" s="46"/>
      <c r="B332" s="30" t="s">
        <v>1052</v>
      </c>
      <c r="D332" s="416" t="s">
        <v>1295</v>
      </c>
      <c r="G332" s="35" t="s">
        <v>1085</v>
      </c>
      <c r="J332" s="58"/>
      <c r="K332" s="171"/>
      <c r="M332" s="171" t="s">
        <v>1301</v>
      </c>
      <c r="Y332" s="35" t="s">
        <v>1119</v>
      </c>
      <c r="AA332" s="35" t="s">
        <v>1057</v>
      </c>
      <c r="AB332" s="35" t="s">
        <v>837</v>
      </c>
      <c r="AC332" s="35" t="s">
        <v>1062</v>
      </c>
      <c r="AD332" s="178" t="s">
        <v>2298</v>
      </c>
      <c r="AE332" s="3" t="s">
        <v>520</v>
      </c>
      <c r="AF332" s="35" t="s">
        <v>1059</v>
      </c>
      <c r="AG332" s="35" t="s">
        <v>455</v>
      </c>
      <c r="AH332" s="35" t="s">
        <v>10</v>
      </c>
      <c r="AI332" s="35" t="s">
        <v>456</v>
      </c>
      <c r="AJ332" s="35" t="s">
        <v>362</v>
      </c>
      <c r="AK332" s="35" t="s">
        <v>1680</v>
      </c>
      <c r="AL332" s="35" t="s">
        <v>2415</v>
      </c>
      <c r="AS332" s="30"/>
      <c r="AT332" s="30"/>
      <c r="AU332" s="30"/>
      <c r="AV332" s="3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</row>
    <row r="333" spans="1:63" s="35" customFormat="1" ht="15" customHeight="1">
      <c r="A333" s="46"/>
      <c r="B333" s="30" t="s">
        <v>1052</v>
      </c>
      <c r="D333" s="416" t="s">
        <v>1295</v>
      </c>
      <c r="G333" s="35" t="s">
        <v>1085</v>
      </c>
      <c r="J333" s="58"/>
      <c r="K333" s="171"/>
      <c r="M333" s="171" t="s">
        <v>1301</v>
      </c>
      <c r="Y333" s="35" t="s">
        <v>1119</v>
      </c>
      <c r="AA333" s="35" t="s">
        <v>474</v>
      </c>
      <c r="AB333" s="35" t="s">
        <v>841</v>
      </c>
      <c r="AC333" s="35" t="s">
        <v>1062</v>
      </c>
      <c r="AD333" s="178" t="s">
        <v>2319</v>
      </c>
      <c r="AE333" s="3" t="s">
        <v>549</v>
      </c>
      <c r="AF333" s="35" t="s">
        <v>475</v>
      </c>
      <c r="AG333" s="35" t="s">
        <v>458</v>
      </c>
      <c r="AH333" s="35" t="s">
        <v>10</v>
      </c>
      <c r="AI333" s="35" t="s">
        <v>457</v>
      </c>
      <c r="AJ333" s="35" t="s">
        <v>362</v>
      </c>
      <c r="AK333" s="35" t="s">
        <v>1680</v>
      </c>
      <c r="AL333" s="35" t="s">
        <v>2415</v>
      </c>
      <c r="AS333" s="30"/>
      <c r="AT333" s="30"/>
      <c r="AU333" s="30"/>
      <c r="AV333" s="3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</row>
    <row r="334" spans="1:63" s="35" customFormat="1" ht="15" customHeight="1">
      <c r="A334" s="46"/>
      <c r="B334" s="30" t="s">
        <v>1052</v>
      </c>
      <c r="D334" s="416" t="s">
        <v>1295</v>
      </c>
      <c r="G334" s="35" t="s">
        <v>1085</v>
      </c>
      <c r="J334" s="58"/>
      <c r="K334" s="171"/>
      <c r="M334" s="171" t="s">
        <v>1301</v>
      </c>
      <c r="Y334" s="35" t="s">
        <v>1119</v>
      </c>
      <c r="AA334" s="35" t="s">
        <v>473</v>
      </c>
      <c r="AB334" s="35" t="s">
        <v>860</v>
      </c>
      <c r="AC334" s="35" t="s">
        <v>1062</v>
      </c>
      <c r="AD334" s="178" t="s">
        <v>2322</v>
      </c>
      <c r="AE334" s="3" t="s">
        <v>2065</v>
      </c>
      <c r="AF334" s="35" t="s">
        <v>472</v>
      </c>
      <c r="AG334" s="35" t="s">
        <v>458</v>
      </c>
      <c r="AH334" s="35" t="s">
        <v>10</v>
      </c>
      <c r="AI334" s="35" t="s">
        <v>364</v>
      </c>
      <c r="AJ334" s="35" t="s">
        <v>362</v>
      </c>
      <c r="AK334" s="35" t="s">
        <v>1680</v>
      </c>
      <c r="AL334" s="35" t="s">
        <v>2415</v>
      </c>
      <c r="AS334" s="30"/>
      <c r="AT334" s="30"/>
      <c r="AU334" s="30"/>
      <c r="AV334" s="30"/>
      <c r="AW334" s="30"/>
      <c r="AX334" s="30"/>
      <c r="AY334" s="30"/>
      <c r="AZ334" s="30"/>
      <c r="BA334" s="30"/>
      <c r="BB334" s="30"/>
      <c r="BC334" s="30"/>
      <c r="BD334" s="30"/>
      <c r="BE334" s="30"/>
      <c r="BF334" s="30"/>
      <c r="BG334" s="30"/>
      <c r="BH334" s="30"/>
      <c r="BI334" s="30"/>
      <c r="BJ334" s="30"/>
      <c r="BK334" s="30"/>
    </row>
    <row r="335" spans="1:63" s="32" customFormat="1" ht="15" customHeight="1">
      <c r="A335" s="50"/>
      <c r="B335" s="30" t="s">
        <v>1052</v>
      </c>
      <c r="C335" s="35"/>
      <c r="D335" s="416" t="s">
        <v>1295</v>
      </c>
      <c r="G335" s="35" t="s">
        <v>1089</v>
      </c>
      <c r="H335" s="35" t="s">
        <v>1086</v>
      </c>
      <c r="J335" s="59"/>
      <c r="K335" s="62"/>
      <c r="L335" s="35" t="s">
        <v>1120</v>
      </c>
      <c r="M335" s="58">
        <v>990001932</v>
      </c>
      <c r="Y335" s="35" t="s">
        <v>1119</v>
      </c>
      <c r="AA335" s="35" t="s">
        <v>367</v>
      </c>
      <c r="AB335" s="35" t="s">
        <v>1182</v>
      </c>
      <c r="AC335" s="35" t="s">
        <v>10</v>
      </c>
      <c r="AD335" s="34" t="s">
        <v>1182</v>
      </c>
      <c r="AE335" s="3" t="s">
        <v>764</v>
      </c>
      <c r="AF335" s="35" t="s">
        <v>528</v>
      </c>
      <c r="AG335" s="35" t="s">
        <v>10</v>
      </c>
      <c r="AH335" s="35" t="s">
        <v>10</v>
      </c>
      <c r="AI335" s="35" t="s">
        <v>10</v>
      </c>
      <c r="AJ335" s="35" t="s">
        <v>362</v>
      </c>
      <c r="AK335" s="35" t="s">
        <v>1680</v>
      </c>
      <c r="AL335" s="35" t="s">
        <v>2415</v>
      </c>
      <c r="AN335" s="35"/>
      <c r="AO335" s="35"/>
      <c r="AP335" s="35"/>
      <c r="AQ335" s="35"/>
      <c r="AR335" s="35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</row>
    <row r="336" spans="1:63" s="35" customFormat="1" ht="15" customHeight="1">
      <c r="A336" s="46"/>
      <c r="B336" s="30" t="s">
        <v>1052</v>
      </c>
      <c r="D336" s="416" t="s">
        <v>1295</v>
      </c>
      <c r="G336" s="35" t="s">
        <v>1089</v>
      </c>
      <c r="H336" s="35" t="s">
        <v>1085</v>
      </c>
      <c r="J336" s="58"/>
      <c r="K336" s="39"/>
      <c r="L336" s="35" t="s">
        <v>2470</v>
      </c>
      <c r="M336" s="58">
        <v>990001669</v>
      </c>
      <c r="Y336" s="35" t="s">
        <v>1119</v>
      </c>
      <c r="AA336" s="35" t="s">
        <v>1347</v>
      </c>
      <c r="AB336" s="35" t="s">
        <v>1063</v>
      </c>
      <c r="AC336" s="35" t="s">
        <v>10</v>
      </c>
      <c r="AD336" s="34" t="s">
        <v>1063</v>
      </c>
      <c r="AE336" s="3" t="s">
        <v>2060</v>
      </c>
      <c r="AF336" s="35" t="s">
        <v>1346</v>
      </c>
      <c r="AG336" s="35" t="s">
        <v>10</v>
      </c>
      <c r="AH336" s="35" t="s">
        <v>10</v>
      </c>
      <c r="AI336" s="35" t="s">
        <v>10</v>
      </c>
      <c r="AJ336" s="35" t="s">
        <v>362</v>
      </c>
      <c r="AK336" s="35" t="s">
        <v>1680</v>
      </c>
      <c r="AL336" s="35" t="s">
        <v>2415</v>
      </c>
      <c r="AS336" s="30"/>
      <c r="AT336" s="30"/>
      <c r="AU336" s="30"/>
      <c r="AV336" s="30"/>
      <c r="AW336" s="30"/>
      <c r="AX336" s="30"/>
      <c r="AY336" s="30"/>
      <c r="AZ336" s="30"/>
      <c r="BA336" s="30"/>
      <c r="BB336" s="30"/>
      <c r="BC336" s="30"/>
      <c r="BD336" s="30"/>
      <c r="BE336" s="30"/>
      <c r="BF336" s="30"/>
      <c r="BG336" s="30"/>
      <c r="BH336" s="30"/>
      <c r="BI336" s="30"/>
      <c r="BJ336" s="30"/>
      <c r="BK336" s="30"/>
    </row>
    <row r="337" spans="1:63" s="35" customFormat="1" ht="15" customHeight="1">
      <c r="A337" s="46"/>
      <c r="B337" s="30" t="s">
        <v>1052</v>
      </c>
      <c r="D337" s="416" t="s">
        <v>1295</v>
      </c>
      <c r="G337" s="35" t="s">
        <v>1089</v>
      </c>
      <c r="H337" s="35" t="s">
        <v>1086</v>
      </c>
      <c r="J337" s="58"/>
      <c r="K337" s="39"/>
      <c r="L337" s="35" t="s">
        <v>1120</v>
      </c>
      <c r="M337" s="58">
        <v>990003090</v>
      </c>
      <c r="Y337" s="35" t="s">
        <v>1119</v>
      </c>
      <c r="AA337" s="35" t="s">
        <v>1682</v>
      </c>
      <c r="AB337" s="35" t="s">
        <v>1683</v>
      </c>
      <c r="AC337" s="35" t="s">
        <v>10</v>
      </c>
      <c r="AD337" s="34" t="s">
        <v>1683</v>
      </c>
      <c r="AE337" s="3" t="s">
        <v>2141</v>
      </c>
      <c r="AF337" s="35" t="s">
        <v>1684</v>
      </c>
      <c r="AG337" s="35" t="s">
        <v>10</v>
      </c>
      <c r="AH337" s="35" t="s">
        <v>10</v>
      </c>
      <c r="AI337" s="35" t="s">
        <v>10</v>
      </c>
      <c r="AJ337" s="35" t="s">
        <v>362</v>
      </c>
      <c r="AK337" s="35" t="s">
        <v>1680</v>
      </c>
      <c r="AL337" s="35" t="s">
        <v>2415</v>
      </c>
      <c r="AS337" s="30"/>
      <c r="AT337" s="30"/>
      <c r="AU337" s="30"/>
      <c r="AV337" s="30"/>
      <c r="AW337" s="30"/>
      <c r="AX337" s="30"/>
      <c r="AY337" s="30"/>
      <c r="AZ337" s="30"/>
      <c r="BA337" s="30"/>
      <c r="BB337" s="30"/>
      <c r="BC337" s="30"/>
      <c r="BD337" s="30"/>
      <c r="BE337" s="30"/>
      <c r="BF337" s="30"/>
      <c r="BG337" s="30"/>
      <c r="BH337" s="30"/>
      <c r="BI337" s="30"/>
      <c r="BJ337" s="30"/>
      <c r="BK337" s="30"/>
    </row>
    <row r="338" spans="1:63" s="35" customFormat="1" ht="15" customHeight="1">
      <c r="A338" s="371"/>
      <c r="B338" s="30">
        <v>656</v>
      </c>
      <c r="D338" s="284"/>
      <c r="J338" s="58"/>
      <c r="K338" s="39"/>
      <c r="M338" s="58"/>
      <c r="AA338" s="35" t="s">
        <v>2536</v>
      </c>
      <c r="AR338" s="30"/>
      <c r="AS338" s="30"/>
      <c r="AT338" s="30"/>
      <c r="AU338" s="30"/>
      <c r="AV338" s="30"/>
      <c r="AW338" s="30"/>
      <c r="AX338" s="30"/>
      <c r="AY338" s="30"/>
      <c r="AZ338" s="30"/>
      <c r="BA338" s="30"/>
      <c r="BB338" s="30"/>
      <c r="BC338" s="30"/>
      <c r="BD338" s="30"/>
      <c r="BE338" s="30"/>
      <c r="BF338" s="30"/>
      <c r="BG338" s="30"/>
      <c r="BH338" s="30"/>
      <c r="BI338" s="30"/>
      <c r="BJ338" s="30"/>
    </row>
    <row r="339" spans="1:63" s="35" customFormat="1" ht="15" customHeight="1">
      <c r="A339" s="371"/>
      <c r="B339" s="30">
        <v>656</v>
      </c>
      <c r="D339" s="284"/>
      <c r="J339" s="58"/>
      <c r="K339" s="39"/>
      <c r="M339" s="58"/>
      <c r="AA339" s="35" t="s">
        <v>0</v>
      </c>
      <c r="AB339" s="35" t="s">
        <v>2537</v>
      </c>
      <c r="AC339" s="35" t="s">
        <v>2538</v>
      </c>
      <c r="AD339" s="35" t="s">
        <v>2541</v>
      </c>
      <c r="AR339" s="30"/>
      <c r="AS339" s="30"/>
      <c r="AT339" s="30"/>
      <c r="AU339" s="30"/>
      <c r="AV339" s="30"/>
      <c r="AW339" s="30"/>
      <c r="AX339" s="30"/>
      <c r="AY339" s="30"/>
      <c r="AZ339" s="30"/>
      <c r="BA339" s="30"/>
      <c r="BB339" s="30"/>
      <c r="BC339" s="30"/>
      <c r="BD339" s="30"/>
      <c r="BE339" s="30"/>
      <c r="BF339" s="30"/>
      <c r="BG339" s="30"/>
      <c r="BH339" s="30"/>
      <c r="BI339" s="30"/>
      <c r="BJ339" s="30"/>
    </row>
    <row r="340" spans="1:63" s="35" customFormat="1" ht="15" customHeight="1">
      <c r="A340" s="371"/>
      <c r="B340" s="30">
        <v>656</v>
      </c>
      <c r="D340" s="284"/>
      <c r="J340" s="58"/>
      <c r="K340" s="39"/>
      <c r="M340" s="58"/>
      <c r="AA340" s="35" t="s">
        <v>354</v>
      </c>
      <c r="AB340" s="35" t="s">
        <v>355</v>
      </c>
      <c r="AC340" s="35" t="s">
        <v>356</v>
      </c>
      <c r="AD340" s="34" t="s">
        <v>7</v>
      </c>
      <c r="AE340" s="35" t="s">
        <v>8</v>
      </c>
      <c r="AF340" s="35" t="s">
        <v>357</v>
      </c>
      <c r="AG340" s="35" t="s">
        <v>358</v>
      </c>
      <c r="AH340" s="35" t="s">
        <v>359</v>
      </c>
      <c r="AI340" s="35" t="s">
        <v>9</v>
      </c>
      <c r="AJ340" s="35" t="s">
        <v>360</v>
      </c>
      <c r="AK340" s="35" t="s">
        <v>0</v>
      </c>
      <c r="AR340" s="30"/>
      <c r="AS340" s="30"/>
      <c r="AT340" s="30"/>
      <c r="AU340" s="30"/>
      <c r="AV340" s="30"/>
      <c r="AW340" s="30"/>
      <c r="AX340" s="30"/>
      <c r="AY340" s="30"/>
      <c r="AZ340" s="30"/>
      <c r="BA340" s="30"/>
      <c r="BB340" s="30"/>
      <c r="BC340" s="30"/>
      <c r="BD340" s="30"/>
      <c r="BE340" s="30"/>
      <c r="BF340" s="30"/>
      <c r="BG340" s="30"/>
      <c r="BH340" s="30"/>
      <c r="BI340" s="30"/>
      <c r="BJ340" s="30"/>
    </row>
    <row r="341" spans="1:63" s="35" customFormat="1" ht="15" customHeight="1">
      <c r="A341" s="371"/>
      <c r="B341" s="30">
        <v>656</v>
      </c>
      <c r="D341" s="284" t="s">
        <v>1086</v>
      </c>
      <c r="G341" s="35" t="s">
        <v>1085</v>
      </c>
      <c r="J341" s="58"/>
      <c r="K341" s="39"/>
      <c r="M341" s="104" t="s">
        <v>1302</v>
      </c>
      <c r="Y341" s="35" t="s">
        <v>1117</v>
      </c>
      <c r="AA341" s="35" t="s">
        <v>945</v>
      </c>
      <c r="AB341" s="35" t="s">
        <v>1318</v>
      </c>
      <c r="AC341" s="35" t="s">
        <v>424</v>
      </c>
      <c r="AD341" s="34" t="s">
        <v>1845</v>
      </c>
      <c r="AE341" s="35" t="s">
        <v>938</v>
      </c>
      <c r="AF341" s="35" t="s">
        <v>946</v>
      </c>
      <c r="AG341" s="35" t="s">
        <v>383</v>
      </c>
      <c r="AH341" s="35" t="s">
        <v>10</v>
      </c>
      <c r="AI341" s="35" t="s">
        <v>382</v>
      </c>
      <c r="AJ341" s="35" t="s">
        <v>362</v>
      </c>
      <c r="AK341" s="35" t="s">
        <v>2537</v>
      </c>
      <c r="AR341" s="30"/>
      <c r="AS341" s="30"/>
      <c r="AT341" s="30"/>
      <c r="AU341" s="30"/>
      <c r="AV341" s="30"/>
      <c r="AW341" s="30"/>
      <c r="AX341" s="30"/>
      <c r="AY341" s="30"/>
      <c r="AZ341" s="30"/>
      <c r="BA341" s="30"/>
      <c r="BB341" s="30"/>
      <c r="BC341" s="30"/>
      <c r="BD341" s="30"/>
      <c r="BE341" s="30"/>
      <c r="BF341" s="30"/>
      <c r="BG341" s="30"/>
      <c r="BH341" s="30"/>
      <c r="BI341" s="30"/>
      <c r="BJ341" s="30"/>
    </row>
    <row r="342" spans="1:63" s="35" customFormat="1" ht="15" customHeight="1">
      <c r="A342" s="371"/>
      <c r="B342" s="30">
        <v>656</v>
      </c>
      <c r="D342" s="284" t="s">
        <v>1086</v>
      </c>
      <c r="G342" s="35" t="s">
        <v>1085</v>
      </c>
      <c r="J342" s="58"/>
      <c r="K342" s="39"/>
      <c r="M342" s="104" t="s">
        <v>1302</v>
      </c>
      <c r="Y342" s="35" t="s">
        <v>1117</v>
      </c>
      <c r="AA342" s="35" t="s">
        <v>465</v>
      </c>
      <c r="AB342" s="35" t="s">
        <v>666</v>
      </c>
      <c r="AC342" s="35" t="s">
        <v>948</v>
      </c>
      <c r="AD342" s="34" t="s">
        <v>2265</v>
      </c>
      <c r="AE342" s="35" t="s">
        <v>1844</v>
      </c>
      <c r="AF342" s="35" t="s">
        <v>466</v>
      </c>
      <c r="AG342" s="35" t="s">
        <v>391</v>
      </c>
      <c r="AH342" s="35" t="s">
        <v>10</v>
      </c>
      <c r="AI342" s="35" t="s">
        <v>378</v>
      </c>
      <c r="AJ342" s="35" t="s">
        <v>362</v>
      </c>
      <c r="AK342" s="35" t="s">
        <v>2537</v>
      </c>
      <c r="AR342" s="30"/>
      <c r="AS342" s="30"/>
      <c r="AT342" s="30"/>
      <c r="AU342" s="30"/>
      <c r="AV342" s="30"/>
      <c r="AW342" s="30"/>
      <c r="AX342" s="30"/>
      <c r="AY342" s="30"/>
      <c r="AZ342" s="30"/>
      <c r="BA342" s="30"/>
      <c r="BB342" s="30"/>
      <c r="BC342" s="30"/>
      <c r="BD342" s="30"/>
      <c r="BE342" s="30"/>
      <c r="BF342" s="30"/>
      <c r="BG342" s="30"/>
      <c r="BH342" s="30"/>
      <c r="BI342" s="30"/>
      <c r="BJ342" s="30"/>
    </row>
    <row r="343" spans="1:63" s="35" customFormat="1" ht="15" customHeight="1">
      <c r="A343" s="46"/>
      <c r="B343" s="30" t="s">
        <v>1064</v>
      </c>
      <c r="D343" s="284"/>
      <c r="J343" s="58"/>
      <c r="K343" s="39"/>
      <c r="M343" s="58"/>
      <c r="AA343" s="35" t="s">
        <v>69</v>
      </c>
      <c r="AD343" s="34"/>
      <c r="AS343" s="30"/>
      <c r="AT343" s="30"/>
      <c r="AU343" s="30"/>
      <c r="AV343" s="30"/>
      <c r="AW343" s="30"/>
      <c r="AX343" s="30"/>
      <c r="AY343" s="30"/>
      <c r="AZ343" s="30"/>
      <c r="BA343" s="30"/>
      <c r="BB343" s="30"/>
      <c r="BC343" s="30"/>
      <c r="BD343" s="30"/>
      <c r="BE343" s="30"/>
      <c r="BF343" s="30"/>
      <c r="BG343" s="30"/>
      <c r="BH343" s="30"/>
      <c r="BI343" s="30"/>
      <c r="BJ343" s="30"/>
      <c r="BK343" s="30"/>
    </row>
    <row r="344" spans="1:63" s="35" customFormat="1" ht="15" customHeight="1">
      <c r="A344" s="46"/>
      <c r="B344" s="30" t="s">
        <v>1064</v>
      </c>
      <c r="D344" s="284"/>
      <c r="J344" s="58"/>
      <c r="K344" s="39"/>
      <c r="M344" s="58"/>
      <c r="AA344" s="35" t="s">
        <v>0</v>
      </c>
      <c r="AB344" s="34" t="s">
        <v>865</v>
      </c>
      <c r="AC344" s="35" t="s">
        <v>352</v>
      </c>
      <c r="AD344" s="178" t="s">
        <v>2066</v>
      </c>
      <c r="AE344" s="35" t="s">
        <v>1</v>
      </c>
      <c r="AS344" s="30"/>
      <c r="AT344" s="30"/>
      <c r="AU344" s="30"/>
      <c r="AV344" s="30"/>
      <c r="AW344" s="30"/>
      <c r="AX344" s="30"/>
      <c r="AY344" s="30"/>
      <c r="AZ344" s="30"/>
      <c r="BA344" s="30"/>
      <c r="BB344" s="30"/>
      <c r="BC344" s="30"/>
      <c r="BD344" s="30"/>
      <c r="BE344" s="30"/>
      <c r="BF344" s="30"/>
      <c r="BG344" s="30"/>
      <c r="BH344" s="30"/>
      <c r="BI344" s="30"/>
      <c r="BJ344" s="30"/>
      <c r="BK344" s="30"/>
    </row>
    <row r="345" spans="1:63" s="35" customFormat="1" ht="15" customHeight="1">
      <c r="A345" s="46"/>
      <c r="B345" s="30" t="s">
        <v>1064</v>
      </c>
      <c r="D345" s="284"/>
      <c r="J345" s="58"/>
      <c r="K345" s="39"/>
      <c r="M345" s="58"/>
      <c r="AA345" s="35" t="s">
        <v>2</v>
      </c>
      <c r="AB345" s="34" t="s">
        <v>867</v>
      </c>
      <c r="AC345" s="35" t="s">
        <v>353</v>
      </c>
      <c r="AD345" s="178" t="s">
        <v>1658</v>
      </c>
      <c r="AE345" s="35" t="s">
        <v>1</v>
      </c>
      <c r="AS345" s="30"/>
      <c r="AT345" s="30"/>
      <c r="AU345" s="30"/>
      <c r="AV345" s="30"/>
      <c r="AW345" s="30"/>
      <c r="AX345" s="30"/>
      <c r="AY345" s="30"/>
      <c r="AZ345" s="30"/>
      <c r="BA345" s="30"/>
      <c r="BB345" s="30"/>
      <c r="BC345" s="30"/>
      <c r="BD345" s="30"/>
      <c r="BE345" s="30"/>
      <c r="BF345" s="30"/>
      <c r="BG345" s="30"/>
      <c r="BH345" s="30"/>
      <c r="BI345" s="30"/>
      <c r="BJ345" s="30"/>
      <c r="BK345" s="30"/>
    </row>
    <row r="346" spans="1:63" s="32" customFormat="1" ht="15" customHeight="1">
      <c r="A346" s="50"/>
      <c r="B346" s="30" t="s">
        <v>1064</v>
      </c>
      <c r="C346" s="35"/>
      <c r="D346" s="284"/>
      <c r="G346" s="35"/>
      <c r="J346" s="59"/>
      <c r="K346" s="62"/>
      <c r="M346" s="59"/>
      <c r="Y346" s="35"/>
      <c r="AA346" s="35" t="s">
        <v>354</v>
      </c>
      <c r="AB346" s="35" t="s">
        <v>355</v>
      </c>
      <c r="AC346" s="35" t="s">
        <v>356</v>
      </c>
      <c r="AD346" s="34" t="s">
        <v>7</v>
      </c>
      <c r="AE346" s="35" t="s">
        <v>8</v>
      </c>
      <c r="AF346" s="35" t="s">
        <v>357</v>
      </c>
      <c r="AG346" s="35" t="s">
        <v>358</v>
      </c>
      <c r="AH346" s="35" t="s">
        <v>359</v>
      </c>
      <c r="AI346" s="35" t="s">
        <v>9</v>
      </c>
      <c r="AJ346" s="35" t="s">
        <v>360</v>
      </c>
      <c r="AK346" s="35" t="s">
        <v>0</v>
      </c>
      <c r="AL346" s="35" t="s">
        <v>2</v>
      </c>
      <c r="AM346" s="35"/>
      <c r="AN346" s="35"/>
      <c r="AO346" s="35"/>
      <c r="AP346" s="35"/>
      <c r="AQ346" s="35"/>
      <c r="AR346" s="35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</row>
    <row r="347" spans="1:63" s="35" customFormat="1" ht="15" customHeight="1">
      <c r="A347" s="46"/>
      <c r="B347" s="30" t="s">
        <v>1064</v>
      </c>
      <c r="D347" s="284" t="s">
        <v>1086</v>
      </c>
      <c r="G347" s="35" t="s">
        <v>1085</v>
      </c>
      <c r="J347" s="58"/>
      <c r="K347" s="39"/>
      <c r="M347" s="58">
        <v>920006457</v>
      </c>
      <c r="Y347" s="35" t="s">
        <v>1117</v>
      </c>
      <c r="AA347" s="35" t="s">
        <v>374</v>
      </c>
      <c r="AB347" s="35" t="s">
        <v>869</v>
      </c>
      <c r="AC347" s="35" t="s">
        <v>1065</v>
      </c>
      <c r="AD347" s="178" t="s">
        <v>2323</v>
      </c>
      <c r="AE347" s="3" t="s">
        <v>1316</v>
      </c>
      <c r="AF347" s="35" t="s">
        <v>375</v>
      </c>
      <c r="AG347" s="35" t="s">
        <v>376</v>
      </c>
      <c r="AH347" s="35" t="s">
        <v>10</v>
      </c>
      <c r="AI347" s="35" t="s">
        <v>361</v>
      </c>
      <c r="AJ347" s="35" t="s">
        <v>362</v>
      </c>
      <c r="AK347" s="35" t="s">
        <v>865</v>
      </c>
      <c r="AL347" s="35" t="s">
        <v>10</v>
      </c>
      <c r="AS347" s="30"/>
      <c r="AT347" s="30"/>
      <c r="AU347" s="30"/>
      <c r="AV347" s="30"/>
      <c r="AW347" s="30"/>
      <c r="AX347" s="30"/>
      <c r="AY347" s="30"/>
      <c r="AZ347" s="30"/>
      <c r="BA347" s="30"/>
      <c r="BB347" s="30"/>
      <c r="BC347" s="30"/>
      <c r="BD347" s="30"/>
      <c r="BE347" s="30"/>
      <c r="BF347" s="30"/>
      <c r="BG347" s="30"/>
      <c r="BH347" s="30"/>
      <c r="BI347" s="30"/>
      <c r="BJ347" s="30"/>
      <c r="BK347" s="30"/>
    </row>
    <row r="348" spans="1:63" s="35" customFormat="1">
      <c r="A348" s="46"/>
      <c r="B348" s="30" t="s">
        <v>1064</v>
      </c>
      <c r="D348" s="284" t="s">
        <v>1086</v>
      </c>
      <c r="G348" s="35" t="s">
        <v>1085</v>
      </c>
      <c r="J348" s="58"/>
      <c r="K348" s="39"/>
      <c r="M348" s="58">
        <v>920004298</v>
      </c>
      <c r="Y348" s="35" t="s">
        <v>1117</v>
      </c>
      <c r="AA348" s="35" t="s">
        <v>468</v>
      </c>
      <c r="AB348" s="35" t="s">
        <v>873</v>
      </c>
      <c r="AC348" s="35" t="s">
        <v>1065</v>
      </c>
      <c r="AD348" s="178" t="s">
        <v>2301</v>
      </c>
      <c r="AE348" s="3" t="s">
        <v>2071</v>
      </c>
      <c r="AF348" s="35" t="s">
        <v>469</v>
      </c>
      <c r="AG348" s="35" t="s">
        <v>470</v>
      </c>
      <c r="AH348" s="35" t="s">
        <v>10</v>
      </c>
      <c r="AI348" s="35" t="s">
        <v>361</v>
      </c>
      <c r="AJ348" s="35" t="s">
        <v>362</v>
      </c>
      <c r="AK348" s="35" t="s">
        <v>10</v>
      </c>
      <c r="AL348" s="35" t="s">
        <v>867</v>
      </c>
      <c r="AS348" s="30"/>
      <c r="AT348" s="30"/>
      <c r="AU348" s="30"/>
      <c r="AV348" s="30"/>
      <c r="AW348" s="30"/>
      <c r="AX348" s="30"/>
      <c r="AY348" s="30"/>
      <c r="AZ348" s="30"/>
      <c r="BA348" s="30"/>
      <c r="BB348" s="30"/>
      <c r="BC348" s="30"/>
      <c r="BD348" s="30"/>
      <c r="BE348" s="30"/>
      <c r="BF348" s="30"/>
      <c r="BG348" s="30"/>
      <c r="BH348" s="30"/>
      <c r="BI348" s="30"/>
      <c r="BJ348" s="30"/>
      <c r="BK348" s="30"/>
    </row>
    <row r="349" spans="1:63" s="35" customFormat="1" ht="15" customHeight="1">
      <c r="A349" s="46"/>
      <c r="B349" s="30" t="s">
        <v>1064</v>
      </c>
      <c r="D349" s="284" t="s">
        <v>1086</v>
      </c>
      <c r="G349" s="35" t="s">
        <v>1085</v>
      </c>
      <c r="J349" s="58"/>
      <c r="K349" s="39"/>
      <c r="M349" s="58">
        <v>920006457</v>
      </c>
      <c r="Y349" s="35" t="s">
        <v>1117</v>
      </c>
      <c r="AA349" s="35" t="s">
        <v>374</v>
      </c>
      <c r="AB349" s="35" t="s">
        <v>870</v>
      </c>
      <c r="AC349" s="35" t="s">
        <v>1066</v>
      </c>
      <c r="AD349" s="178" t="s">
        <v>2300</v>
      </c>
      <c r="AE349" s="3" t="s">
        <v>413</v>
      </c>
      <c r="AF349" s="35" t="s">
        <v>375</v>
      </c>
      <c r="AG349" s="35" t="s">
        <v>376</v>
      </c>
      <c r="AH349" s="35" t="s">
        <v>10</v>
      </c>
      <c r="AI349" s="35" t="s">
        <v>361</v>
      </c>
      <c r="AJ349" s="35" t="s">
        <v>362</v>
      </c>
      <c r="AK349" s="35" t="s">
        <v>865</v>
      </c>
      <c r="AL349" s="35" t="s">
        <v>10</v>
      </c>
      <c r="AS349" s="30"/>
      <c r="AT349" s="30"/>
      <c r="AU349" s="30"/>
      <c r="AV349" s="30"/>
      <c r="AW349" s="30"/>
      <c r="AX349" s="30"/>
      <c r="AY349" s="30"/>
      <c r="AZ349" s="30"/>
      <c r="BA349" s="30"/>
      <c r="BB349" s="30"/>
      <c r="BC349" s="30"/>
      <c r="BD349" s="30"/>
      <c r="BE349" s="30"/>
      <c r="BF349" s="30"/>
      <c r="BG349" s="30"/>
      <c r="BH349" s="30"/>
      <c r="BI349" s="30"/>
      <c r="BJ349" s="30"/>
      <c r="BK349" s="30"/>
    </row>
    <row r="350" spans="1:63" s="35" customFormat="1" ht="15" customHeight="1">
      <c r="A350" s="46"/>
      <c r="B350" s="30" t="s">
        <v>1064</v>
      </c>
      <c r="D350" s="284" t="s">
        <v>1086</v>
      </c>
      <c r="G350" s="35" t="s">
        <v>1085</v>
      </c>
      <c r="J350" s="58"/>
      <c r="K350" s="39"/>
      <c r="M350" s="58">
        <v>920004302</v>
      </c>
      <c r="Y350" s="35" t="s">
        <v>1117</v>
      </c>
      <c r="AA350" s="35" t="s">
        <v>1067</v>
      </c>
      <c r="AB350" s="35" t="s">
        <v>875</v>
      </c>
      <c r="AC350" s="35" t="s">
        <v>1066</v>
      </c>
      <c r="AD350" s="178" t="s">
        <v>2302</v>
      </c>
      <c r="AE350" s="3" t="s">
        <v>413</v>
      </c>
      <c r="AF350" s="35" t="s">
        <v>1068</v>
      </c>
      <c r="AG350" s="35" t="s">
        <v>470</v>
      </c>
      <c r="AH350" s="35" t="s">
        <v>10</v>
      </c>
      <c r="AI350" s="35" t="s">
        <v>372</v>
      </c>
      <c r="AJ350" s="35" t="s">
        <v>362</v>
      </c>
      <c r="AK350" s="35" t="s">
        <v>10</v>
      </c>
      <c r="AL350" s="35" t="s">
        <v>867</v>
      </c>
      <c r="AS350" s="30"/>
      <c r="AT350" s="30"/>
      <c r="AU350" s="30"/>
      <c r="AV350" s="30"/>
      <c r="AW350" s="30"/>
      <c r="AX350" s="30"/>
      <c r="AY350" s="30"/>
      <c r="AZ350" s="30"/>
      <c r="BA350" s="30"/>
      <c r="BB350" s="30"/>
      <c r="BC350" s="30"/>
      <c r="BD350" s="30"/>
      <c r="BE350" s="30"/>
      <c r="BF350" s="30"/>
      <c r="BG350" s="30"/>
      <c r="BH350" s="30"/>
      <c r="BI350" s="30"/>
      <c r="BJ350" s="30"/>
      <c r="BK350" s="30"/>
    </row>
    <row r="351" spans="1:63" s="35" customFormat="1" ht="15" customHeight="1">
      <c r="A351" s="46"/>
      <c r="B351" s="30">
        <v>901</v>
      </c>
      <c r="D351" s="284" t="s">
        <v>1086</v>
      </c>
      <c r="G351" s="35" t="s">
        <v>1089</v>
      </c>
      <c r="H351" s="35" t="s">
        <v>1086</v>
      </c>
      <c r="J351" s="58"/>
      <c r="K351" s="39"/>
      <c r="L351" s="35" t="s">
        <v>1120</v>
      </c>
      <c r="M351" s="58">
        <v>990001620</v>
      </c>
      <c r="Y351" s="35" t="s">
        <v>1117</v>
      </c>
      <c r="AA351" s="35" t="s">
        <v>940</v>
      </c>
      <c r="AB351" s="35" t="s">
        <v>1184</v>
      </c>
      <c r="AC351" s="35" t="s">
        <v>10</v>
      </c>
      <c r="AD351" s="34" t="s">
        <v>1184</v>
      </c>
      <c r="AE351" s="3" t="s">
        <v>2142</v>
      </c>
      <c r="AF351" s="35" t="s">
        <v>369</v>
      </c>
      <c r="AG351" s="35" t="s">
        <v>10</v>
      </c>
      <c r="AH351" s="35" t="s">
        <v>10</v>
      </c>
      <c r="AI351" s="35" t="s">
        <v>10</v>
      </c>
      <c r="AJ351" s="35" t="s">
        <v>362</v>
      </c>
      <c r="AK351" s="35" t="s">
        <v>865</v>
      </c>
      <c r="AL351" s="35" t="s">
        <v>867</v>
      </c>
      <c r="AM351" s="30"/>
      <c r="AN351" s="30"/>
      <c r="AO351" s="30"/>
      <c r="AP351" s="30"/>
      <c r="AQ351" s="30"/>
      <c r="AR351" s="30"/>
      <c r="AS351" s="30"/>
      <c r="AT351" s="30"/>
      <c r="AU351" s="30"/>
      <c r="AV351" s="30"/>
      <c r="AW351" s="30"/>
      <c r="AX351" s="30"/>
      <c r="AY351" s="30"/>
      <c r="AZ351" s="30"/>
      <c r="BA351" s="30"/>
      <c r="BB351" s="30"/>
      <c r="BC351" s="30"/>
      <c r="BD351" s="30"/>
      <c r="BE351" s="30"/>
      <c r="BF351" s="30"/>
      <c r="BG351" s="30"/>
      <c r="BH351" s="30"/>
      <c r="BI351" s="30"/>
      <c r="BJ351" s="30"/>
      <c r="BK351" s="30"/>
    </row>
    <row r="352" spans="1:63" ht="15" customHeight="1">
      <c r="B352" s="30">
        <v>901</v>
      </c>
      <c r="D352" s="284" t="s">
        <v>1086</v>
      </c>
      <c r="E352" s="35" t="s">
        <v>2342</v>
      </c>
      <c r="G352" s="35" t="s">
        <v>1085</v>
      </c>
      <c r="L352" s="2"/>
      <c r="Y352" s="35" t="s">
        <v>1117</v>
      </c>
      <c r="AA352" s="3" t="s">
        <v>2341</v>
      </c>
      <c r="AB352" s="3" t="s">
        <v>872</v>
      </c>
      <c r="AC352" s="3" t="s">
        <v>1726</v>
      </c>
      <c r="AD352" s="178" t="s">
        <v>2251</v>
      </c>
      <c r="AE352" s="3" t="s">
        <v>540</v>
      </c>
      <c r="AF352" s="3" t="s">
        <v>2341</v>
      </c>
      <c r="AG352" s="3" t="s">
        <v>10</v>
      </c>
      <c r="AH352" s="3" t="s">
        <v>10</v>
      </c>
      <c r="AI352" s="3" t="s">
        <v>373</v>
      </c>
      <c r="AJ352" s="3" t="s">
        <v>362</v>
      </c>
      <c r="AK352" s="3" t="s">
        <v>10</v>
      </c>
      <c r="AL352" s="35" t="s">
        <v>867</v>
      </c>
    </row>
    <row r="353" spans="1:38" s="4" customFormat="1" ht="15" customHeight="1">
      <c r="A353" s="1"/>
      <c r="B353" s="30">
        <v>901</v>
      </c>
      <c r="D353" s="411" t="s">
        <v>1086</v>
      </c>
      <c r="E353" s="4" t="s">
        <v>2342</v>
      </c>
      <c r="G353" s="35" t="s">
        <v>1085</v>
      </c>
      <c r="M353" s="56"/>
      <c r="Y353" s="4" t="s">
        <v>1117</v>
      </c>
      <c r="AA353" s="4" t="s">
        <v>2341</v>
      </c>
      <c r="AB353" s="4" t="s">
        <v>2187</v>
      </c>
      <c r="AC353" s="4" t="s">
        <v>2186</v>
      </c>
      <c r="AD353" s="34" t="s">
        <v>2188</v>
      </c>
      <c r="AE353" s="4" t="s">
        <v>412</v>
      </c>
      <c r="AF353" s="4" t="s">
        <v>2341</v>
      </c>
      <c r="AG353" s="4" t="s">
        <v>10</v>
      </c>
      <c r="AH353" s="4" t="s">
        <v>10</v>
      </c>
      <c r="AI353" s="4" t="s">
        <v>373</v>
      </c>
      <c r="AJ353" s="4" t="s">
        <v>362</v>
      </c>
      <c r="AK353" s="4" t="s">
        <v>10</v>
      </c>
      <c r="AL353" s="35" t="s">
        <v>867</v>
      </c>
    </row>
    <row r="354" spans="1:38">
      <c r="L354" s="2"/>
    </row>
  </sheetData>
  <autoFilter ref="A1:BP35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84584" r:id="rId4" name="Button 8">
              <controlPr defaultSize="0" print="0" autoFill="0" autoPict="0" macro="[0]!zmena_v_riadku_BOM">
                <anchor moveWithCells="1" sizeWithCells="1">
                  <from>
                    <xdr:col>0</xdr:col>
                    <xdr:colOff>66675</xdr:colOff>
                    <xdr:row>0</xdr:row>
                    <xdr:rowOff>1238250</xdr:rowOff>
                  </from>
                  <to>
                    <xdr:col>0</xdr:col>
                    <xdr:colOff>704850</xdr:colOff>
                    <xdr:row>0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4670" r:id="rId5" name="Button 94">
              <controlPr defaultSize="0" print="0" autoFill="0" autoPict="0" macro="[0]!osadzanie_KSK">
                <anchor moveWithCells="1" sizeWithCells="1">
                  <from>
                    <xdr:col>0</xdr:col>
                    <xdr:colOff>85725</xdr:colOff>
                    <xdr:row>0</xdr:row>
                    <xdr:rowOff>114300</xdr:rowOff>
                  </from>
                  <to>
                    <xdr:col>0</xdr:col>
                    <xdr:colOff>847725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8"/>
  <dimension ref="A1:IN230"/>
  <sheetViews>
    <sheetView zoomScale="80" zoomScaleNormal="80" workbookViewId="0">
      <pane xSplit="10" ySplit="3" topLeftCell="M4" activePane="bottomRight" state="frozen"/>
      <selection pane="topRight" activeCell="K1" sqref="K1"/>
      <selection pane="bottomLeft" activeCell="A4" sqref="A4"/>
      <selection pane="bottomRight" activeCell="C8" sqref="C8"/>
    </sheetView>
  </sheetViews>
  <sheetFormatPr baseColWidth="10" defaultColWidth="11.42578125" defaultRowHeight="15"/>
  <cols>
    <col min="1" max="1" width="15.85546875" style="63" customWidth="1"/>
    <col min="2" max="2" width="23.140625" style="63" customWidth="1"/>
    <col min="3" max="3" width="7.28515625" style="63" customWidth="1"/>
    <col min="4" max="4" width="4.28515625" style="78" customWidth="1"/>
    <col min="5" max="5" width="17" style="78" customWidth="1"/>
    <col min="6" max="6" width="12" style="63" bestFit="1" customWidth="1"/>
    <col min="7" max="7" width="3.140625" style="78" bestFit="1" customWidth="1"/>
    <col min="8" max="8" width="12.5703125" style="63" customWidth="1"/>
    <col min="9" max="9" width="3.140625" style="63" bestFit="1" customWidth="1"/>
    <col min="10" max="10" width="3.140625" style="377" bestFit="1" customWidth="1"/>
    <col min="11" max="11" width="4.28515625" style="63" customWidth="1"/>
    <col min="12" max="12" width="57.5703125" style="63" customWidth="1"/>
    <col min="13" max="13" width="34.5703125" style="63" customWidth="1"/>
    <col min="14" max="14" width="10.28515625" style="63" customWidth="1"/>
    <col min="15" max="15" width="9.85546875" style="78" customWidth="1"/>
    <col min="16" max="16" width="12.42578125" style="63" customWidth="1"/>
    <col min="17" max="17" width="20" style="63" customWidth="1"/>
    <col min="18" max="18" width="15.140625" style="63" customWidth="1"/>
    <col min="19" max="19" width="19.7109375" style="63" customWidth="1"/>
    <col min="20" max="21" width="7.5703125" style="63" customWidth="1"/>
    <col min="22" max="22" width="6.5703125" style="63" customWidth="1"/>
    <col min="23" max="23" width="9.7109375" style="313" customWidth="1"/>
    <col min="24" max="24" width="6.85546875" style="63" customWidth="1"/>
    <col min="25" max="27" width="3.5703125" style="63" customWidth="1"/>
    <col min="28" max="28" width="13.42578125" style="63" customWidth="1"/>
    <col min="29" max="30" width="15" style="63" customWidth="1"/>
    <col min="31" max="31" width="13.7109375" style="63" bestFit="1" customWidth="1"/>
    <col min="32" max="32" width="10.7109375" style="63" customWidth="1"/>
    <col min="33" max="248" width="11.42578125" style="63" customWidth="1"/>
    <col min="249" max="16384" width="11.42578125" style="3"/>
  </cols>
  <sheetData>
    <row r="1" spans="1:248" ht="113.25">
      <c r="A1" s="194" t="s">
        <v>2195</v>
      </c>
      <c r="B1" s="195" t="s">
        <v>2196</v>
      </c>
      <c r="C1" s="196" t="s">
        <v>2197</v>
      </c>
      <c r="D1" s="197" t="s">
        <v>2198</v>
      </c>
      <c r="E1" s="359" t="s">
        <v>2199</v>
      </c>
      <c r="F1" s="198" t="s">
        <v>2200</v>
      </c>
      <c r="G1" s="199" t="s">
        <v>2201</v>
      </c>
      <c r="H1" s="198" t="s">
        <v>2202</v>
      </c>
      <c r="I1" s="199" t="s">
        <v>2201</v>
      </c>
      <c r="J1" s="373" t="s">
        <v>2203</v>
      </c>
      <c r="K1" s="200" t="s">
        <v>2204</v>
      </c>
      <c r="L1" s="201" t="s">
        <v>2205</v>
      </c>
      <c r="M1" s="202" t="s">
        <v>27</v>
      </c>
      <c r="N1" s="203" t="s">
        <v>2206</v>
      </c>
      <c r="O1" s="203" t="s">
        <v>2207</v>
      </c>
      <c r="P1" s="204" t="s">
        <v>2208</v>
      </c>
      <c r="Q1" s="204" t="s">
        <v>2209</v>
      </c>
      <c r="R1" s="204" t="s">
        <v>2210</v>
      </c>
      <c r="S1" s="204" t="s">
        <v>2211</v>
      </c>
      <c r="T1" s="204" t="s">
        <v>2212</v>
      </c>
      <c r="U1" s="205"/>
      <c r="V1" s="205" t="s">
        <v>2213</v>
      </c>
      <c r="W1" s="298" t="s">
        <v>2214</v>
      </c>
      <c r="X1" s="206" t="s">
        <v>2215</v>
      </c>
      <c r="Y1" s="207" t="s">
        <v>2216</v>
      </c>
      <c r="Z1" s="207" t="s">
        <v>2217</v>
      </c>
      <c r="AA1" s="207" t="s">
        <v>2218</v>
      </c>
      <c r="AB1" s="197" t="s">
        <v>2219</v>
      </c>
      <c r="AC1" s="208" t="s">
        <v>1093</v>
      </c>
      <c r="AD1" s="208" t="s">
        <v>1094</v>
      </c>
      <c r="AE1" s="208" t="s">
        <v>1293</v>
      </c>
      <c r="AF1" s="209"/>
      <c r="AG1" s="210"/>
      <c r="AH1" s="210"/>
      <c r="AI1" s="210"/>
      <c r="AJ1" s="211"/>
      <c r="AK1" s="211"/>
      <c r="AL1" s="211"/>
      <c r="AM1" s="212"/>
      <c r="AN1" s="212"/>
      <c r="AO1" s="212"/>
      <c r="AP1" s="212"/>
      <c r="AQ1" s="212"/>
      <c r="AR1" s="212"/>
      <c r="AS1" s="212"/>
      <c r="AT1" s="212"/>
      <c r="AU1" s="212"/>
      <c r="AV1" s="212"/>
      <c r="AW1" s="212"/>
      <c r="AX1" s="212"/>
      <c r="AY1" s="212"/>
      <c r="AZ1" s="212"/>
      <c r="BA1" s="212"/>
      <c r="BB1" s="212"/>
      <c r="BC1" s="212"/>
      <c r="BD1" s="212"/>
      <c r="BE1" s="212"/>
      <c r="BF1" s="212"/>
      <c r="BG1" s="212"/>
      <c r="BH1" s="212"/>
      <c r="BI1" s="212"/>
      <c r="BJ1" s="212"/>
      <c r="BK1" s="212"/>
      <c r="BL1" s="212"/>
      <c r="BM1" s="212"/>
      <c r="BN1" s="212"/>
      <c r="BO1" s="212"/>
      <c r="BP1" s="212"/>
      <c r="BQ1" s="212"/>
      <c r="BR1" s="212"/>
      <c r="BS1" s="212"/>
      <c r="BT1" s="212"/>
      <c r="BU1" s="212"/>
      <c r="BV1" s="212"/>
      <c r="BW1" s="212"/>
      <c r="BX1" s="212"/>
      <c r="BY1" s="212"/>
      <c r="BZ1" s="212"/>
      <c r="CA1" s="212"/>
      <c r="CB1" s="212"/>
      <c r="CC1" s="212"/>
      <c r="CD1" s="212"/>
      <c r="CE1" s="212"/>
      <c r="CF1" s="212"/>
      <c r="CG1" s="212"/>
      <c r="CH1" s="212"/>
      <c r="CI1" s="212"/>
      <c r="CJ1" s="212"/>
      <c r="CK1" s="212"/>
      <c r="CL1" s="212"/>
      <c r="CM1" s="212"/>
      <c r="CN1" s="212"/>
      <c r="CO1" s="212"/>
      <c r="CP1" s="212"/>
      <c r="CQ1" s="212"/>
      <c r="CR1" s="212"/>
      <c r="CS1" s="212"/>
      <c r="CT1" s="212"/>
      <c r="CU1" s="212"/>
      <c r="CV1" s="212"/>
      <c r="CW1" s="212"/>
      <c r="CX1" s="212"/>
      <c r="CY1" s="212"/>
      <c r="CZ1" s="212"/>
      <c r="DA1" s="212"/>
      <c r="DB1" s="212"/>
      <c r="DC1" s="212"/>
      <c r="DD1" s="212"/>
      <c r="DE1" s="212"/>
      <c r="DF1" s="212"/>
      <c r="DG1" s="212"/>
      <c r="DH1" s="212"/>
      <c r="DI1" s="212"/>
      <c r="DJ1" s="212"/>
      <c r="DK1" s="212"/>
      <c r="DL1" s="212"/>
      <c r="DM1" s="212"/>
      <c r="DN1" s="212"/>
      <c r="DO1" s="212"/>
      <c r="DP1" s="212"/>
      <c r="DQ1" s="212"/>
      <c r="DR1" s="212"/>
      <c r="DS1" s="212"/>
      <c r="DT1" s="212"/>
      <c r="DU1" s="212"/>
      <c r="DV1" s="212"/>
      <c r="DW1" s="212"/>
      <c r="DX1" s="212"/>
      <c r="DY1" s="212"/>
      <c r="DZ1" s="212"/>
      <c r="EA1" s="212"/>
      <c r="EB1" s="212"/>
      <c r="EC1" s="212"/>
      <c r="ED1" s="212"/>
      <c r="EE1" s="212"/>
      <c r="EF1" s="212"/>
      <c r="EG1" s="212"/>
      <c r="EH1" s="212"/>
      <c r="EI1" s="212"/>
      <c r="EJ1" s="212"/>
      <c r="EK1" s="212"/>
      <c r="EL1" s="212"/>
      <c r="EM1" s="212"/>
      <c r="EN1" s="212"/>
      <c r="EO1" s="212"/>
      <c r="EP1" s="212"/>
      <c r="EQ1" s="212"/>
      <c r="ER1" s="212"/>
      <c r="ES1" s="212"/>
      <c r="ET1" s="212"/>
      <c r="EU1" s="212"/>
      <c r="EV1" s="212"/>
      <c r="EW1" s="212"/>
      <c r="EX1" s="212"/>
      <c r="EY1" s="212"/>
      <c r="EZ1" s="212"/>
      <c r="FA1" s="212"/>
      <c r="FB1" s="212"/>
      <c r="FC1" s="212"/>
      <c r="FD1" s="212"/>
      <c r="FE1" s="212"/>
      <c r="FF1" s="212"/>
      <c r="FG1" s="212"/>
      <c r="FH1" s="212"/>
      <c r="FI1" s="212"/>
      <c r="FJ1" s="212"/>
      <c r="FK1" s="212"/>
      <c r="FL1" s="212"/>
      <c r="FM1" s="212"/>
      <c r="FN1" s="212"/>
      <c r="FO1" s="212"/>
      <c r="FP1" s="212"/>
      <c r="FQ1" s="212"/>
      <c r="FR1" s="212"/>
      <c r="FS1" s="212"/>
      <c r="FT1" s="212"/>
      <c r="FU1" s="212"/>
      <c r="FV1" s="212"/>
      <c r="FW1" s="212"/>
      <c r="FX1" s="212"/>
      <c r="FY1" s="212"/>
      <c r="FZ1" s="212"/>
      <c r="GA1" s="212"/>
      <c r="GB1" s="212"/>
      <c r="GC1" s="212"/>
      <c r="GD1" s="212"/>
      <c r="GE1" s="212"/>
      <c r="GF1" s="212"/>
      <c r="GG1" s="212"/>
      <c r="GH1" s="212"/>
      <c r="GI1" s="212"/>
      <c r="GJ1" s="212"/>
      <c r="GK1" s="212"/>
      <c r="GL1" s="212"/>
      <c r="GM1" s="212"/>
      <c r="GN1" s="212"/>
      <c r="GO1" s="212"/>
      <c r="GP1" s="212"/>
      <c r="GQ1" s="212"/>
      <c r="GR1" s="212"/>
      <c r="GS1" s="212"/>
      <c r="GT1" s="212"/>
      <c r="GU1" s="212"/>
      <c r="GV1" s="212"/>
      <c r="GW1" s="212"/>
      <c r="GX1" s="212"/>
      <c r="GY1" s="212"/>
      <c r="GZ1" s="212"/>
      <c r="HA1" s="212"/>
      <c r="HB1" s="212"/>
      <c r="HC1" s="212"/>
      <c r="HD1" s="212"/>
      <c r="HE1" s="212"/>
      <c r="HF1" s="212"/>
      <c r="HG1" s="212"/>
      <c r="HH1" s="212"/>
      <c r="HI1" s="212"/>
      <c r="HJ1" s="212"/>
      <c r="HK1" s="212"/>
      <c r="HL1" s="212"/>
      <c r="HM1" s="212"/>
      <c r="HN1" s="212"/>
      <c r="HO1" s="212"/>
      <c r="HP1" s="212"/>
      <c r="HQ1" s="212"/>
      <c r="HR1" s="212"/>
      <c r="HS1" s="212"/>
      <c r="HT1" s="212"/>
      <c r="HU1" s="212"/>
      <c r="HV1" s="212"/>
      <c r="HW1" s="212"/>
      <c r="HX1" s="212"/>
      <c r="HY1" s="212"/>
      <c r="HZ1" s="212"/>
      <c r="IA1" s="212"/>
      <c r="IB1" s="212"/>
      <c r="IC1" s="212"/>
      <c r="ID1" s="212"/>
      <c r="IE1" s="212"/>
      <c r="IF1" s="212"/>
      <c r="IG1" s="212"/>
      <c r="IH1" s="212"/>
      <c r="II1" s="212"/>
      <c r="IJ1" s="212"/>
      <c r="IK1" s="212"/>
      <c r="IL1" s="212"/>
      <c r="IM1" s="212"/>
      <c r="IN1" s="212"/>
    </row>
    <row r="2" spans="1:248" s="2" customFormat="1" ht="18.75" hidden="1" customHeight="1">
      <c r="A2" s="213"/>
      <c r="B2" s="214"/>
      <c r="C2" s="215"/>
      <c r="D2" s="216"/>
      <c r="E2" s="263"/>
      <c r="F2" s="217"/>
      <c r="G2" s="218"/>
      <c r="H2" s="217"/>
      <c r="I2" s="218"/>
      <c r="J2" s="374"/>
      <c r="K2" s="219"/>
      <c r="L2" s="220"/>
      <c r="M2" s="221"/>
      <c r="N2" s="222"/>
      <c r="O2" s="222"/>
      <c r="P2" s="223"/>
      <c r="Q2" s="223"/>
      <c r="R2" s="223"/>
      <c r="S2" s="224" t="s">
        <v>2220</v>
      </c>
      <c r="T2" s="223"/>
      <c r="U2" s="223"/>
      <c r="V2" s="223"/>
      <c r="W2" s="299"/>
      <c r="X2" s="225"/>
      <c r="Y2" s="226"/>
      <c r="Z2" s="226"/>
      <c r="AA2" s="226"/>
      <c r="AB2" s="216"/>
      <c r="AC2" s="227"/>
      <c r="AD2" s="227"/>
      <c r="AE2" s="228"/>
      <c r="AF2" s="228"/>
      <c r="AG2" s="229"/>
      <c r="AH2" s="229"/>
      <c r="AI2" s="229"/>
      <c r="AJ2" s="211"/>
      <c r="AK2" s="211"/>
      <c r="AL2" s="211"/>
      <c r="AM2" s="212"/>
      <c r="AN2" s="212"/>
      <c r="AO2" s="212"/>
      <c r="AP2" s="212"/>
      <c r="AQ2" s="212"/>
      <c r="AR2" s="212"/>
      <c r="AS2" s="212"/>
      <c r="AT2" s="212"/>
      <c r="AU2" s="212"/>
      <c r="AV2" s="212"/>
      <c r="AW2" s="212"/>
      <c r="AX2" s="212"/>
      <c r="AY2" s="212"/>
      <c r="AZ2" s="212"/>
      <c r="BA2" s="212"/>
      <c r="BB2" s="212"/>
      <c r="BC2" s="212"/>
      <c r="BD2" s="212"/>
      <c r="BE2" s="212"/>
      <c r="BF2" s="212"/>
      <c r="BG2" s="212"/>
      <c r="BH2" s="212"/>
      <c r="BI2" s="212"/>
      <c r="BJ2" s="212"/>
      <c r="BK2" s="212"/>
      <c r="BL2" s="212"/>
      <c r="BM2" s="212"/>
      <c r="BN2" s="212"/>
      <c r="BO2" s="212"/>
      <c r="BP2" s="212"/>
      <c r="BQ2" s="212"/>
      <c r="BR2" s="212"/>
      <c r="BS2" s="212"/>
      <c r="BT2" s="212"/>
      <c r="BU2" s="212"/>
      <c r="BV2" s="212"/>
      <c r="BW2" s="212"/>
      <c r="BX2" s="212"/>
      <c r="BY2" s="212"/>
      <c r="BZ2" s="212"/>
      <c r="CA2" s="212"/>
      <c r="CB2" s="212"/>
      <c r="CC2" s="212"/>
      <c r="CD2" s="212"/>
      <c r="CE2" s="212"/>
      <c r="CF2" s="212"/>
      <c r="CG2" s="212"/>
      <c r="CH2" s="212"/>
      <c r="CI2" s="212"/>
      <c r="CJ2" s="212"/>
      <c r="CK2" s="212"/>
      <c r="CL2" s="212"/>
      <c r="CM2" s="212"/>
      <c r="CN2" s="212"/>
      <c r="CO2" s="212"/>
      <c r="CP2" s="212"/>
      <c r="CQ2" s="212"/>
      <c r="CR2" s="212"/>
      <c r="CS2" s="212"/>
      <c r="CT2" s="212"/>
      <c r="CU2" s="212"/>
      <c r="CV2" s="212"/>
      <c r="CW2" s="212"/>
      <c r="CX2" s="212"/>
      <c r="CY2" s="212"/>
      <c r="CZ2" s="212"/>
      <c r="DA2" s="212"/>
      <c r="DB2" s="212"/>
      <c r="DC2" s="212"/>
      <c r="DD2" s="212"/>
      <c r="DE2" s="212"/>
      <c r="DF2" s="212"/>
      <c r="DG2" s="212"/>
      <c r="DH2" s="212"/>
      <c r="DI2" s="212"/>
      <c r="DJ2" s="212"/>
      <c r="DK2" s="212"/>
      <c r="DL2" s="212"/>
      <c r="DM2" s="212"/>
      <c r="DN2" s="212"/>
      <c r="DO2" s="212"/>
      <c r="DP2" s="212"/>
      <c r="DQ2" s="212"/>
      <c r="DR2" s="212"/>
      <c r="DS2" s="212"/>
      <c r="DT2" s="212"/>
      <c r="DU2" s="212"/>
      <c r="DV2" s="212"/>
      <c r="DW2" s="212"/>
      <c r="DX2" s="212"/>
      <c r="DY2" s="212"/>
      <c r="DZ2" s="212"/>
      <c r="EA2" s="212"/>
      <c r="EB2" s="212"/>
      <c r="EC2" s="212"/>
      <c r="ED2" s="212"/>
      <c r="EE2" s="212"/>
      <c r="EF2" s="212"/>
      <c r="EG2" s="212"/>
      <c r="EH2" s="212"/>
      <c r="EI2" s="212"/>
      <c r="EJ2" s="212"/>
      <c r="EK2" s="212"/>
      <c r="EL2" s="212"/>
      <c r="EM2" s="212"/>
      <c r="EN2" s="212"/>
      <c r="EO2" s="212"/>
      <c r="EP2" s="212"/>
      <c r="EQ2" s="212"/>
      <c r="ER2" s="212"/>
      <c r="ES2" s="212"/>
      <c r="ET2" s="212"/>
      <c r="EU2" s="212"/>
      <c r="EV2" s="212"/>
      <c r="EW2" s="212"/>
      <c r="EX2" s="212"/>
      <c r="EY2" s="212"/>
      <c r="EZ2" s="212"/>
      <c r="FA2" s="212"/>
      <c r="FB2" s="212"/>
      <c r="FC2" s="212"/>
      <c r="FD2" s="212"/>
      <c r="FE2" s="212"/>
      <c r="FF2" s="212"/>
      <c r="FG2" s="212"/>
      <c r="FH2" s="212"/>
      <c r="FI2" s="212"/>
      <c r="FJ2" s="212"/>
      <c r="FK2" s="212"/>
      <c r="FL2" s="212"/>
      <c r="FM2" s="212"/>
      <c r="FN2" s="212"/>
      <c r="FO2" s="212"/>
      <c r="FP2" s="212"/>
      <c r="FQ2" s="212"/>
      <c r="FR2" s="212"/>
      <c r="FS2" s="212"/>
      <c r="FT2" s="212"/>
      <c r="FU2" s="212"/>
      <c r="FV2" s="212"/>
      <c r="FW2" s="212"/>
      <c r="FX2" s="212"/>
      <c r="FY2" s="212"/>
      <c r="FZ2" s="212"/>
      <c r="GA2" s="212"/>
      <c r="GB2" s="212"/>
      <c r="GC2" s="212"/>
      <c r="GD2" s="212"/>
      <c r="GE2" s="212"/>
      <c r="GF2" s="212"/>
      <c r="GG2" s="212"/>
      <c r="GH2" s="212"/>
      <c r="GI2" s="212"/>
      <c r="GJ2" s="212"/>
      <c r="GK2" s="212"/>
      <c r="GL2" s="212"/>
      <c r="GM2" s="212"/>
      <c r="GN2" s="212"/>
      <c r="GO2" s="212"/>
      <c r="GP2" s="212"/>
      <c r="GQ2" s="212"/>
      <c r="GR2" s="212"/>
      <c r="GS2" s="212"/>
      <c r="GT2" s="212"/>
      <c r="GU2" s="212"/>
      <c r="GV2" s="212"/>
      <c r="GW2" s="212"/>
      <c r="GX2" s="212"/>
      <c r="GY2" s="212"/>
      <c r="GZ2" s="212"/>
      <c r="HA2" s="212"/>
      <c r="HB2" s="212"/>
      <c r="HC2" s="212"/>
      <c r="HD2" s="212"/>
      <c r="HE2" s="212"/>
      <c r="HF2" s="212"/>
      <c r="HG2" s="212"/>
      <c r="HH2" s="212"/>
      <c r="HI2" s="212"/>
      <c r="HJ2" s="212"/>
      <c r="HK2" s="212"/>
      <c r="HL2" s="212"/>
      <c r="HM2" s="212"/>
      <c r="HN2" s="212"/>
      <c r="HO2" s="212"/>
      <c r="HP2" s="212"/>
      <c r="HQ2" s="212"/>
      <c r="HR2" s="212"/>
      <c r="HS2" s="212"/>
      <c r="HT2" s="212"/>
      <c r="HU2" s="212"/>
      <c r="HV2" s="212"/>
      <c r="HW2" s="212"/>
      <c r="HX2" s="212"/>
      <c r="HY2" s="212"/>
      <c r="HZ2" s="212"/>
      <c r="IA2" s="212"/>
      <c r="IB2" s="212"/>
      <c r="IC2" s="212"/>
      <c r="ID2" s="212"/>
      <c r="IE2" s="212"/>
      <c r="IF2" s="212"/>
      <c r="IG2" s="212"/>
      <c r="IH2" s="212"/>
      <c r="II2" s="212"/>
      <c r="IJ2" s="212"/>
      <c r="IK2" s="212"/>
      <c r="IL2" s="212"/>
      <c r="IM2" s="212"/>
      <c r="IN2" s="212"/>
    </row>
    <row r="3" spans="1:248" ht="18.75">
      <c r="A3" s="230"/>
      <c r="B3" s="230"/>
      <c r="C3" s="231"/>
      <c r="D3" s="231"/>
      <c r="E3" s="232"/>
      <c r="F3" s="233"/>
      <c r="G3" s="232"/>
      <c r="H3" s="233"/>
      <c r="I3" s="231"/>
      <c r="J3" s="375"/>
      <c r="K3" s="231"/>
      <c r="L3" s="230"/>
      <c r="M3" s="234"/>
      <c r="N3" s="235"/>
      <c r="O3" s="235"/>
      <c r="P3" s="236"/>
      <c r="Q3" s="237"/>
      <c r="R3" s="237"/>
      <c r="S3" s="238">
        <v>2048</v>
      </c>
      <c r="T3" s="238"/>
      <c r="U3" s="238"/>
      <c r="V3" s="238"/>
      <c r="W3" s="300"/>
      <c r="X3" s="239"/>
      <c r="Y3" s="239"/>
      <c r="Z3" s="239"/>
      <c r="AA3" s="239"/>
      <c r="AB3" s="231"/>
      <c r="AC3" s="240"/>
      <c r="AD3" s="240"/>
      <c r="AE3" s="240"/>
      <c r="AF3" s="241"/>
      <c r="AG3" s="241"/>
      <c r="AH3" s="241"/>
      <c r="AI3" s="241"/>
      <c r="AJ3" s="241"/>
      <c r="AK3" s="241"/>
      <c r="AL3" s="241"/>
    </row>
    <row r="4" spans="1:248" s="164" customFormat="1" ht="15" customHeight="1">
      <c r="A4" s="242" t="s">
        <v>2162</v>
      </c>
      <c r="B4" s="35" t="s">
        <v>407</v>
      </c>
      <c r="C4" s="35"/>
      <c r="D4" s="58" t="s">
        <v>550</v>
      </c>
      <c r="E4" s="351" t="str">
        <f t="shared" ref="E4:E53" si="0">CONCATENATE(IF(AC4&gt;0,$AC$1," ")," ",IF(AD4&gt;0,$AD$1," ")," ",IF(AE4&gt;0,$AE$1," ")," ",IF(AF4&gt;0,$AF$1," ")," ",IF(AG4&gt;0,$AG$1," ")," ",IF(AH4&gt;0,$AH$1," ")," ",IF(AI4&gt;0,$AI$1," ")," ",IF(AJ4&gt;0,$AJ$1," ")," ",IF(AK4&gt;0,$AK$1," "))</f>
        <v xml:space="preserve">VT01   VT04            </v>
      </c>
      <c r="F4" s="243" t="str">
        <f t="shared" ref="F4:F53" si="1">LEFT(Q4,11)</f>
        <v>9J1_974_000</v>
      </c>
      <c r="G4" s="244" t="s">
        <v>1117</v>
      </c>
      <c r="H4" s="243" t="str">
        <f t="shared" ref="H4:H53" si="2">CONCATENATE(IF(MID(Q4,5,3)="974","1J21"),LEFT(F4,3),RIGHT(F4,3))</f>
        <v>1J219J1000</v>
      </c>
      <c r="I4" s="243" t="str">
        <f t="shared" ref="I4:I53" si="3">IF(G4=0,"00",IF(LEN(G4)=1,CONCATENATE(G4,0),G4))</f>
        <v>B0</v>
      </c>
      <c r="J4" s="279" t="s">
        <v>1116</v>
      </c>
      <c r="K4" s="58"/>
      <c r="L4" s="35" t="s">
        <v>239</v>
      </c>
      <c r="M4" s="46">
        <v>6005.6014999999998</v>
      </c>
      <c r="N4" s="314"/>
      <c r="O4" s="228">
        <v>1917</v>
      </c>
      <c r="P4" s="47"/>
      <c r="Q4" s="35" t="s">
        <v>2374</v>
      </c>
      <c r="R4" s="243" t="str">
        <f>IF(J4&lt;&gt;"",CONCATENATE(H4,I4,J4),CONCATENATE(H4,I4,K4))</f>
        <v>1J219J1000B0A</v>
      </c>
      <c r="S4" s="245" t="str">
        <f t="shared" ref="S4:S53" si="4">IF(N4="-","KEIN LIEFERUMFANG",IF(AND(N4&lt;=S$3,O4=""),"AKTUELL",IF(O4=N4,"KEIN SERIENEINSATZ",IF(N4&gt;S$3,"NOCH NICHT AKTUELL",IF(AND(N4&lt;S$3,O4&lt;S$3),"NICHT AKTUELL",IF(N4&lt;=S$3,"AKTUELL"))))))</f>
        <v>NICHT AKTUELL</v>
      </c>
      <c r="T4" s="245"/>
      <c r="U4" s="245"/>
      <c r="V4" s="245"/>
      <c r="W4" s="301">
        <v>0.85</v>
      </c>
      <c r="X4" s="35"/>
      <c r="Y4" s="35" t="s">
        <v>550</v>
      </c>
      <c r="Z4" s="35" t="s">
        <v>550</v>
      </c>
      <c r="AA4" s="35" t="s">
        <v>10</v>
      </c>
      <c r="AB4" s="47" t="s">
        <v>2221</v>
      </c>
      <c r="AC4" s="75" t="s">
        <v>2182</v>
      </c>
      <c r="AD4" s="39"/>
      <c r="AE4" s="75" t="s">
        <v>2184</v>
      </c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</row>
    <row r="5" spans="1:248" s="164" customFormat="1" ht="15" customHeight="1">
      <c r="A5" s="242" t="s">
        <v>2162</v>
      </c>
      <c r="B5" s="35" t="s">
        <v>407</v>
      </c>
      <c r="C5" s="35"/>
      <c r="D5" s="58" t="s">
        <v>550</v>
      </c>
      <c r="E5" s="351" t="str">
        <f t="shared" si="0"/>
        <v xml:space="preserve">VT01   VT04            </v>
      </c>
      <c r="F5" s="243" t="str">
        <f t="shared" si="1"/>
        <v>9J1_974_000</v>
      </c>
      <c r="G5" s="244" t="s">
        <v>1117</v>
      </c>
      <c r="H5" s="243" t="str">
        <f t="shared" si="2"/>
        <v>1J219J1000</v>
      </c>
      <c r="I5" s="243" t="str">
        <f t="shared" si="3"/>
        <v>B0</v>
      </c>
      <c r="J5" s="42" t="s">
        <v>1117</v>
      </c>
      <c r="K5" s="58"/>
      <c r="L5" s="35" t="s">
        <v>239</v>
      </c>
      <c r="M5" s="46">
        <v>6005.6014999999998</v>
      </c>
      <c r="N5" s="314">
        <v>1918</v>
      </c>
      <c r="O5" s="228">
        <v>2024</v>
      </c>
      <c r="P5" s="47" t="s">
        <v>2375</v>
      </c>
      <c r="Q5" s="35" t="s">
        <v>2374</v>
      </c>
      <c r="R5" s="243" t="str">
        <f>IF(J5&lt;&gt;"",CONCATENATE(H5,I5,J5),CONCATENATE(H5,I5,#REF!))</f>
        <v>1J219J1000B0B</v>
      </c>
      <c r="S5" s="245" t="str">
        <f t="shared" si="4"/>
        <v>NICHT AKTUELL</v>
      </c>
      <c r="T5" s="245"/>
      <c r="U5" s="245"/>
      <c r="V5" s="245"/>
      <c r="W5" s="301">
        <v>0.85</v>
      </c>
      <c r="X5" s="35"/>
      <c r="Y5" s="35" t="s">
        <v>550</v>
      </c>
      <c r="Z5" s="35" t="s">
        <v>550</v>
      </c>
      <c r="AA5" s="35" t="s">
        <v>10</v>
      </c>
      <c r="AB5" s="47" t="s">
        <v>2221</v>
      </c>
      <c r="AC5" s="75" t="s">
        <v>2399</v>
      </c>
      <c r="AD5" s="39"/>
      <c r="AE5" s="75" t="s">
        <v>2400</v>
      </c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</row>
    <row r="6" spans="1:248" s="164" customFormat="1" ht="15" customHeight="1">
      <c r="A6" s="242" t="s">
        <v>2162</v>
      </c>
      <c r="B6" s="35" t="s">
        <v>407</v>
      </c>
      <c r="C6" s="35"/>
      <c r="D6" s="58" t="s">
        <v>550</v>
      </c>
      <c r="E6" s="351" t="str">
        <f t="shared" ref="E6" si="5">CONCATENATE(IF(AC6&gt;0,$AC$1," ")," ",IF(AD6&gt;0,$AD$1," ")," ",IF(AE6&gt;0,$AE$1," ")," ",IF(AF6&gt;0,$AF$1," ")," ",IF(AG6&gt;0,$AG$1," ")," ",IF(AH6&gt;0,$AH$1," ")," ",IF(AI6&gt;0,$AI$1," ")," ",IF(AJ6&gt;0,$AJ$1," ")," ",IF(AK6&gt;0,$AK$1," "))</f>
        <v xml:space="preserve">VT01   VT04            </v>
      </c>
      <c r="F6" s="243" t="str">
        <f t="shared" ref="F6" si="6">LEFT(Q6,11)</f>
        <v>9J1_974_000</v>
      </c>
      <c r="G6" s="244" t="s">
        <v>1117</v>
      </c>
      <c r="H6" s="243" t="str">
        <f t="shared" ref="H6" si="7">CONCATENATE(IF(MID(Q6,5,3)="974","1J21"),LEFT(F6,3),RIGHT(F6,3))</f>
        <v>1J219J1000</v>
      </c>
      <c r="I6" s="243" t="str">
        <f t="shared" ref="I6" si="8">IF(G6=0,"00",IF(LEN(G6)=1,CONCATENATE(G6,0),G6))</f>
        <v>B0</v>
      </c>
      <c r="J6" s="42" t="s">
        <v>2077</v>
      </c>
      <c r="K6" s="58"/>
      <c r="L6" s="35" t="s">
        <v>239</v>
      </c>
      <c r="M6" s="46">
        <v>6005.6014999999998</v>
      </c>
      <c r="N6" s="314">
        <v>2025</v>
      </c>
      <c r="O6" s="228">
        <v>2047</v>
      </c>
      <c r="P6" s="47" t="s">
        <v>2375</v>
      </c>
      <c r="Q6" s="35" t="s">
        <v>2374</v>
      </c>
      <c r="R6" s="243" t="str">
        <f>IF(J6&lt;&gt;"",CONCATENATE(H6,I6,J6),CONCATENATE(H6,I6,#REF!))</f>
        <v>1J219J1000B0C</v>
      </c>
      <c r="S6" s="245" t="str">
        <f t="shared" ref="S6" si="9">IF(N6="-","KEIN LIEFERUMFANG",IF(AND(N6&lt;=S$3,O6=""),"AKTUELL",IF(O6=N6,"KEIN SERIENEINSATZ",IF(N6&gt;S$3,"NOCH NICHT AKTUELL",IF(AND(N6&lt;S$3,O6&lt;S$3),"NICHT AKTUELL",IF(N6&lt;=S$3,"AKTUELL"))))))</f>
        <v>NICHT AKTUELL</v>
      </c>
      <c r="T6" s="245"/>
      <c r="U6" s="245"/>
      <c r="V6" s="245"/>
      <c r="W6" s="301">
        <v>0.85</v>
      </c>
      <c r="X6" s="35"/>
      <c r="Y6" s="35" t="s">
        <v>550</v>
      </c>
      <c r="Z6" s="35" t="s">
        <v>550</v>
      </c>
      <c r="AA6" s="35" t="s">
        <v>10</v>
      </c>
      <c r="AB6" s="47" t="s">
        <v>2221</v>
      </c>
      <c r="AC6" s="75" t="s">
        <v>2399</v>
      </c>
      <c r="AD6" s="39"/>
      <c r="AE6" s="75" t="s">
        <v>2400</v>
      </c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</row>
    <row r="7" spans="1:248" s="164" customFormat="1" ht="15" customHeight="1">
      <c r="A7" s="242" t="s">
        <v>2162</v>
      </c>
      <c r="B7" s="35" t="s">
        <v>407</v>
      </c>
      <c r="C7" s="35"/>
      <c r="D7" s="58" t="s">
        <v>550</v>
      </c>
      <c r="E7" s="351" t="str">
        <f t="shared" ref="E7" si="10">CONCATENATE(IF(AC7&gt;0,$AC$1," ")," ",IF(AD7&gt;0,$AD$1," ")," ",IF(AE7&gt;0,$AE$1," ")," ",IF(AF7&gt;0,$AF$1," ")," ",IF(AG7&gt;0,$AG$1," ")," ",IF(AH7&gt;0,$AH$1," ")," ",IF(AI7&gt;0,$AI$1," ")," ",IF(AJ7&gt;0,$AJ$1," ")," ",IF(AK7&gt;0,$AK$1," "))</f>
        <v xml:space="preserve">VT01   VT04            </v>
      </c>
      <c r="F7" s="243" t="str">
        <f t="shared" ref="F7" si="11">LEFT(Q7,11)</f>
        <v>9J1_974_000</v>
      </c>
      <c r="G7" s="244" t="s">
        <v>1117</v>
      </c>
      <c r="H7" s="243" t="str">
        <f t="shared" ref="H7" si="12">CONCATENATE(IF(MID(Q7,5,3)="974","1J21"),LEFT(F7,3),RIGHT(F7,3))</f>
        <v>1J219J1000</v>
      </c>
      <c r="I7" s="243" t="str">
        <f t="shared" ref="I7" si="13">IF(G7=0,"00",IF(LEN(G7)=1,CONCATENATE(G7,0),G7))</f>
        <v>B0</v>
      </c>
      <c r="J7" s="42"/>
      <c r="K7" s="419" t="s">
        <v>2181</v>
      </c>
      <c r="L7" s="35" t="s">
        <v>239</v>
      </c>
      <c r="M7" s="190">
        <v>7204</v>
      </c>
      <c r="N7" s="314">
        <v>2048</v>
      </c>
      <c r="O7" s="228"/>
      <c r="P7" s="47"/>
      <c r="Q7" s="35" t="s">
        <v>2374</v>
      </c>
      <c r="R7" s="243" t="str">
        <f>IF(K7&lt;&gt;"",CONCATENATE(H7,I7,K7),CONCATENATE(H7,I7,#REF!))</f>
        <v>1J219J1000B0D</v>
      </c>
      <c r="S7" s="245" t="str">
        <f t="shared" ref="S7" si="14">IF(N7="-","KEIN LIEFERUMFANG",IF(AND(N7&lt;=S$3,O7=""),"AKTUELL",IF(O7=N7,"KEIN SERIENEINSATZ",IF(N7&gt;S$3,"NOCH NICHT AKTUELL",IF(AND(N7&lt;S$3,O7&lt;S$3),"NICHT AKTUELL",IF(N7&lt;=S$3,"AKTUELL"))))))</f>
        <v>AKTUELL</v>
      </c>
      <c r="T7" s="245"/>
      <c r="U7" s="245"/>
      <c r="V7" s="245"/>
      <c r="W7" s="301">
        <v>0.85</v>
      </c>
      <c r="X7" s="35"/>
      <c r="Y7" s="35" t="s">
        <v>550</v>
      </c>
      <c r="Z7" s="35" t="s">
        <v>550</v>
      </c>
      <c r="AA7" s="35" t="s">
        <v>10</v>
      </c>
      <c r="AB7" s="47" t="s">
        <v>2221</v>
      </c>
      <c r="AC7" s="75" t="s">
        <v>2399</v>
      </c>
      <c r="AD7" s="39"/>
      <c r="AE7" s="75" t="s">
        <v>2400</v>
      </c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</row>
    <row r="8" spans="1:248" s="164" customFormat="1" ht="15" customHeight="1">
      <c r="A8" s="242" t="s">
        <v>2162</v>
      </c>
      <c r="B8" s="35" t="s">
        <v>407</v>
      </c>
      <c r="C8" s="35"/>
      <c r="D8" s="58" t="s">
        <v>550</v>
      </c>
      <c r="E8" s="351" t="str">
        <f>CONCATENATE(IF(AC8&gt;0,$AC$1," ")," ",IF(AD8&gt;0,$AD$1," ")," ",IF(AE8&gt;0,$AE$1," ")," ",IF(AF8&gt;0,$AF$1," ")," ",IF(AG8&gt;0,$AG$1," ")," ",IF(AH8&gt;0,$AH$1," ")," ",IF(AI8&gt;0,$AI$1," ")," ",IF(AJ8&gt;0,$AJ$1," ")," ",IF(AK8&gt;0,$AK$1," "))</f>
        <v xml:space="preserve">VT01   VT04            </v>
      </c>
      <c r="F8" s="243" t="str">
        <f>LEFT(Q8,11)</f>
        <v>9J1_974_000</v>
      </c>
      <c r="G8" s="244" t="s">
        <v>2077</v>
      </c>
      <c r="H8" s="243" t="str">
        <f>CONCATENATE(IF(MID(Q8,5,3)="974","1J21"),LEFT(F8,3),RIGHT(F8,3))</f>
        <v>1J219J1000</v>
      </c>
      <c r="I8" s="243" t="str">
        <f>IF(G8=0,"00",IF(LEN(G8)=1,CONCATENATE(G8,0),G8))</f>
        <v>C0</v>
      </c>
      <c r="J8" s="42" t="s">
        <v>1116</v>
      </c>
      <c r="K8" s="58"/>
      <c r="L8" s="35" t="s">
        <v>239</v>
      </c>
      <c r="M8" s="46">
        <v>6620</v>
      </c>
      <c r="N8" s="314">
        <v>1950</v>
      </c>
      <c r="O8" s="228">
        <v>2020</v>
      </c>
      <c r="P8" s="47" t="s">
        <v>2457</v>
      </c>
      <c r="Q8" s="35" t="s">
        <v>2492</v>
      </c>
      <c r="R8" s="243" t="str">
        <f>IF(J8&lt;&gt;"",CONCATENATE(H8,I8,J8),CONCATENATE(H8,I8,#REF!))</f>
        <v>1J219J1000C0A</v>
      </c>
      <c r="S8" s="245" t="str">
        <f>IF(N8="-","KEIN LIEFERUMFANG",IF(AND(N8&lt;=S$3,O8=""),"AKTUELL",IF(O8=N8,"KEIN SERIENEINSATZ",IF(N8&gt;S$3,"NOCH NICHT AKTUELL",IF(AND(N8&lt;S$3,O8&lt;S$3),"NICHT AKTUELL",IF(N8&lt;=S$3,"AKTUELL"))))))</f>
        <v>NICHT AKTUELL</v>
      </c>
      <c r="T8" s="245"/>
      <c r="U8" s="245"/>
      <c r="V8" s="245"/>
      <c r="W8" s="301">
        <v>0</v>
      </c>
      <c r="X8" s="35"/>
      <c r="Y8" s="35" t="s">
        <v>550</v>
      </c>
      <c r="Z8" s="35" t="s">
        <v>550</v>
      </c>
      <c r="AA8" s="35" t="s">
        <v>10</v>
      </c>
      <c r="AB8" s="47" t="s">
        <v>2221</v>
      </c>
      <c r="AC8" s="75" t="s">
        <v>2399</v>
      </c>
      <c r="AD8" s="39"/>
      <c r="AE8" s="75" t="s">
        <v>2400</v>
      </c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</row>
    <row r="9" spans="1:248" s="164" customFormat="1" ht="15" customHeight="1">
      <c r="A9" s="242" t="s">
        <v>2162</v>
      </c>
      <c r="B9" s="35" t="s">
        <v>407</v>
      </c>
      <c r="C9" s="35"/>
      <c r="D9" s="58" t="s">
        <v>550</v>
      </c>
      <c r="E9" s="351" t="str">
        <f>CONCATENATE(IF(AC9&gt;0,$AC$1," ")," ",IF(AD9&gt;0,$AD$1," ")," ",IF(AE9&gt;0,$AE$1," ")," ",IF(AF9&gt;0,$AF$1," ")," ",IF(AG9&gt;0,$AG$1," ")," ",IF(AH9&gt;0,$AH$1," ")," ",IF(AI9&gt;0,$AI$1," ")," ",IF(AJ9&gt;0,$AJ$1," ")," ",IF(AK9&gt;0,$AK$1," "))</f>
        <v xml:space="preserve">VT01   VT04            </v>
      </c>
      <c r="F9" s="243" t="str">
        <f>LEFT(Q9,11)</f>
        <v>9J1_974_000</v>
      </c>
      <c r="G9" s="244" t="s">
        <v>2077</v>
      </c>
      <c r="H9" s="243" t="str">
        <f>CONCATENATE(IF(MID(Q9,5,3)="974","1J21"),LEFT(F9,3),RIGHT(F9,3))</f>
        <v>1J219J1000</v>
      </c>
      <c r="I9" s="243" t="str">
        <f>IF(G9=0,"00",IF(LEN(G9)=1,CONCATENATE(G9,0),G9))</f>
        <v>C0</v>
      </c>
      <c r="J9" s="42" t="s">
        <v>1117</v>
      </c>
      <c r="K9" s="58"/>
      <c r="L9" s="35" t="s">
        <v>239</v>
      </c>
      <c r="M9" s="46">
        <v>6620.6614</v>
      </c>
      <c r="N9" s="314">
        <v>2003</v>
      </c>
      <c r="O9" s="228">
        <v>2020</v>
      </c>
      <c r="P9" s="47"/>
      <c r="Q9" s="35" t="s">
        <v>2492</v>
      </c>
      <c r="R9" s="243" t="str">
        <f>IF(J9&lt;&gt;"",CONCATENATE(H9,I9,J9),CONCATENATE(H9,I9,#REF!))</f>
        <v>1J219J1000C0B</v>
      </c>
      <c r="S9" s="245" t="str">
        <f>IF(N9="-","KEIN LIEFERUMFANG",IF(AND(N9&lt;=S$3,O9=""),"AKTUELL",IF(O9=N9,"KEIN SERIENEINSATZ",IF(N9&gt;S$3,"NOCH NICHT AKTUELL",IF(AND(N9&lt;S$3,O9&lt;S$3),"NICHT AKTUELL",IF(N9&lt;=S$3,"AKTUELL"))))))</f>
        <v>NICHT AKTUELL</v>
      </c>
      <c r="T9" s="245"/>
      <c r="U9" s="245"/>
      <c r="V9" s="245"/>
      <c r="W9" s="301">
        <v>0</v>
      </c>
      <c r="X9" s="35"/>
      <c r="Y9" s="35" t="s">
        <v>550</v>
      </c>
      <c r="Z9" s="35" t="s">
        <v>550</v>
      </c>
      <c r="AA9" s="35" t="s">
        <v>10</v>
      </c>
      <c r="AB9" s="47" t="s">
        <v>2221</v>
      </c>
      <c r="AC9" s="75" t="s">
        <v>2399</v>
      </c>
      <c r="AD9" s="39"/>
      <c r="AE9" s="75" t="s">
        <v>2400</v>
      </c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</row>
    <row r="10" spans="1:248" s="164" customFormat="1" ht="15" customHeight="1">
      <c r="A10" s="242" t="s">
        <v>2162</v>
      </c>
      <c r="B10" s="35" t="s">
        <v>407</v>
      </c>
      <c r="C10" s="35"/>
      <c r="D10" s="58" t="s">
        <v>550</v>
      </c>
      <c r="E10" s="351" t="str">
        <f>CONCATENATE(IF(AC10&gt;0,$AC$1," ")," ",IF(AD10&gt;0,$AD$1," ")," ",IF(AE10&gt;0,$AE$1," ")," ",IF(AF10&gt;0,$AF$1," ")," ",IF(AG10&gt;0,$AG$1," ")," ",IF(AH10&gt;0,$AH$1," ")," ",IF(AI10&gt;0,$AI$1," ")," ",IF(AJ10&gt;0,$AJ$1," ")," ",IF(AK10&gt;0,$AK$1," "))</f>
        <v xml:space="preserve">VT01   VT04            </v>
      </c>
      <c r="F10" s="243" t="str">
        <f>LEFT(Q10,11)</f>
        <v>9J1_974_000</v>
      </c>
      <c r="G10" s="244" t="s">
        <v>2077</v>
      </c>
      <c r="H10" s="243" t="str">
        <f>CONCATENATE(IF(MID(Q10,5,3)="974","1J21"),LEFT(F10,3),RIGHT(F10,3))</f>
        <v>1J219J1000</v>
      </c>
      <c r="I10" s="243" t="str">
        <f>IF(G10=0,"00",IF(LEN(G10)=1,CONCATENATE(G10,0),G10))</f>
        <v>C0</v>
      </c>
      <c r="J10" s="42" t="s">
        <v>2077</v>
      </c>
      <c r="K10" s="58"/>
      <c r="L10" s="35" t="s">
        <v>239</v>
      </c>
      <c r="M10" s="46">
        <v>6620.6628000000001</v>
      </c>
      <c r="N10" s="314">
        <v>2021</v>
      </c>
      <c r="O10" s="228">
        <v>2047</v>
      </c>
      <c r="P10" s="47"/>
      <c r="Q10" s="35" t="s">
        <v>2492</v>
      </c>
      <c r="R10" s="243" t="str">
        <f>IF(J10&lt;&gt;"",CONCATENATE(H10,I10,J10),CONCATENATE(H10,I10,#REF!))</f>
        <v>1J219J1000C0C</v>
      </c>
      <c r="S10" s="245" t="str">
        <f>IF(N10="-","KEIN LIEFERUMFANG",IF(AND(N10&lt;=S$3,O10=""),"AKTUELL",IF(O10=N10,"KEIN SERIENEINSATZ",IF(N10&gt;S$3,"NOCH NICHT AKTUELL",IF(AND(N10&lt;S$3,O10&lt;S$3),"NICHT AKTUELL",IF(N10&lt;=S$3,"AKTUELL"))))))</f>
        <v>NICHT AKTUELL</v>
      </c>
      <c r="T10" s="245"/>
      <c r="U10" s="245"/>
      <c r="V10" s="245"/>
      <c r="W10" s="301">
        <v>0</v>
      </c>
      <c r="X10" s="35"/>
      <c r="Y10" s="35" t="s">
        <v>550</v>
      </c>
      <c r="Z10" s="35" t="s">
        <v>550</v>
      </c>
      <c r="AA10" s="35" t="s">
        <v>10</v>
      </c>
      <c r="AB10" s="47" t="s">
        <v>2221</v>
      </c>
      <c r="AC10" s="75" t="s">
        <v>2399</v>
      </c>
      <c r="AD10" s="39"/>
      <c r="AE10" s="75" t="s">
        <v>2400</v>
      </c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35"/>
      <c r="HT10" s="35"/>
      <c r="HU10" s="35"/>
      <c r="HV10" s="35"/>
      <c r="HW10" s="35"/>
      <c r="HX10" s="35"/>
      <c r="HY10" s="35"/>
      <c r="HZ10" s="35"/>
      <c r="IA10" s="35"/>
      <c r="IB10" s="35"/>
      <c r="IC10" s="35"/>
      <c r="ID10" s="35"/>
      <c r="IE10" s="35"/>
      <c r="IF10" s="35"/>
      <c r="IG10" s="35"/>
      <c r="IH10" s="35"/>
      <c r="II10" s="35"/>
      <c r="IJ10" s="35"/>
      <c r="IK10" s="35"/>
      <c r="IL10" s="35"/>
      <c r="IM10" s="35"/>
      <c r="IN10" s="35"/>
    </row>
    <row r="11" spans="1:248" s="164" customFormat="1" ht="15" customHeight="1">
      <c r="A11" s="242" t="s">
        <v>2162</v>
      </c>
      <c r="B11" s="35" t="s">
        <v>407</v>
      </c>
      <c r="C11" s="35"/>
      <c r="D11" s="58" t="s">
        <v>550</v>
      </c>
      <c r="E11" s="351" t="str">
        <f>CONCATENATE(IF(AC11&gt;0,$AC$1," ")," ",IF(AD11&gt;0,$AD$1," ")," ",IF(AE11&gt;0,$AE$1," ")," ",IF(AF11&gt;0,$AF$1," ")," ",IF(AG11&gt;0,$AG$1," ")," ",IF(AH11&gt;0,$AH$1," ")," ",IF(AI11&gt;0,$AI$1," ")," ",IF(AJ11&gt;0,$AJ$1," ")," ",IF(AK11&gt;0,$AK$1," "))</f>
        <v xml:space="preserve">VT01   VT04            </v>
      </c>
      <c r="F11" s="243" t="str">
        <f>LEFT(Q11,11)</f>
        <v>9J1_974_000</v>
      </c>
      <c r="G11" s="244" t="s">
        <v>2077</v>
      </c>
      <c r="H11" s="243" t="str">
        <f>CONCATENATE(IF(MID(Q11,5,3)="974","1J21"),LEFT(F11,3),RIGHT(F11,3))</f>
        <v>1J219J1000</v>
      </c>
      <c r="I11" s="243" t="str">
        <f>IF(G11=0,"00",IF(LEN(G11)=1,CONCATENATE(G11,0),G11))</f>
        <v>C0</v>
      </c>
      <c r="J11" s="42"/>
      <c r="K11" s="419" t="s">
        <v>2181</v>
      </c>
      <c r="L11" s="35" t="s">
        <v>239</v>
      </c>
      <c r="M11" s="190">
        <v>7204</v>
      </c>
      <c r="N11" s="314">
        <v>2048</v>
      </c>
      <c r="O11" s="228"/>
      <c r="P11" s="47"/>
      <c r="Q11" s="35" t="s">
        <v>2492</v>
      </c>
      <c r="R11" s="243" t="str">
        <f>IF(K11&lt;&gt;"",CONCATENATE(H11,I11,K11),CONCATENATE(H11,I11,#REF!))</f>
        <v>1J219J1000C0D</v>
      </c>
      <c r="S11" s="245" t="str">
        <f>IF(N11="-","KEIN LIEFERUMFANG",IF(AND(N11&lt;=S$3,O11=""),"AKTUELL",IF(O11=N11,"KEIN SERIENEINSATZ",IF(N11&gt;S$3,"NOCH NICHT AKTUELL",IF(AND(N11&lt;S$3,O11&lt;S$3),"NICHT AKTUELL",IF(N11&lt;=S$3,"AKTUELL"))))))</f>
        <v>AKTUELL</v>
      </c>
      <c r="T11" s="245"/>
      <c r="U11" s="245"/>
      <c r="V11" s="245"/>
      <c r="W11" s="301">
        <v>0</v>
      </c>
      <c r="X11" s="35"/>
      <c r="Y11" s="35" t="s">
        <v>550</v>
      </c>
      <c r="Z11" s="35" t="s">
        <v>550</v>
      </c>
      <c r="AA11" s="35" t="s">
        <v>10</v>
      </c>
      <c r="AB11" s="47" t="s">
        <v>2221</v>
      </c>
      <c r="AC11" s="75" t="s">
        <v>2399</v>
      </c>
      <c r="AD11" s="39"/>
      <c r="AE11" s="75" t="s">
        <v>2400</v>
      </c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/>
      <c r="GQ11" s="35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</row>
    <row r="12" spans="1:248" s="164" customFormat="1">
      <c r="A12" s="242" t="s">
        <v>2162</v>
      </c>
      <c r="B12" s="35" t="s">
        <v>282</v>
      </c>
      <c r="C12" s="35"/>
      <c r="D12" s="58" t="s">
        <v>550</v>
      </c>
      <c r="E12" s="351" t="str">
        <f t="shared" si="0"/>
        <v xml:space="preserve">                 </v>
      </c>
      <c r="F12" s="243" t="str">
        <f t="shared" si="1"/>
        <v>9J1_974_029</v>
      </c>
      <c r="G12" s="244">
        <f t="shared" ref="G12:G54" si="15">IF(LEN(Q12)=11,0,MID(Q12,13,2))</f>
        <v>0</v>
      </c>
      <c r="H12" s="243" t="str">
        <f t="shared" si="2"/>
        <v>1J219J1029</v>
      </c>
      <c r="I12" s="243" t="str">
        <f t="shared" si="3"/>
        <v>00</v>
      </c>
      <c r="J12" s="279" t="s">
        <v>2398</v>
      </c>
      <c r="K12" s="56"/>
      <c r="L12" s="4" t="s">
        <v>1438</v>
      </c>
      <c r="M12" s="46">
        <v>6015</v>
      </c>
      <c r="N12" s="314">
        <v>1918</v>
      </c>
      <c r="O12" s="228">
        <v>1932</v>
      </c>
      <c r="P12" s="47" t="s">
        <v>2375</v>
      </c>
      <c r="Q12" s="35" t="s">
        <v>678</v>
      </c>
      <c r="R12" s="243" t="str">
        <f>IF(J12&lt;&gt;"",CONCATENATE(H12,I12,J12),CONCATENATE(H12,I12,#REF!))</f>
        <v>1J219J102900E</v>
      </c>
      <c r="S12" s="245" t="str">
        <f t="shared" si="4"/>
        <v>NICHT AKTUELL</v>
      </c>
      <c r="T12" s="245"/>
      <c r="U12" s="245"/>
      <c r="V12" s="245"/>
      <c r="W12" s="301">
        <v>0.29120000000000001</v>
      </c>
      <c r="X12" s="35"/>
      <c r="Y12" s="35" t="s">
        <v>10</v>
      </c>
      <c r="Z12" s="35" t="s">
        <v>550</v>
      </c>
      <c r="AA12" s="35" t="s">
        <v>10</v>
      </c>
      <c r="AB12" s="35"/>
      <c r="AC12" s="39"/>
      <c r="AD12" s="39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5"/>
      <c r="EZ12" s="35"/>
      <c r="FA12" s="35"/>
      <c r="FB12" s="35"/>
      <c r="FC12" s="35"/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35"/>
      <c r="GD12" s="35"/>
      <c r="GE12" s="35"/>
      <c r="GF12" s="35"/>
      <c r="GG12" s="35"/>
      <c r="GH12" s="35"/>
      <c r="GI12" s="35"/>
      <c r="GJ12" s="35"/>
      <c r="GK12" s="35"/>
      <c r="GL12" s="35"/>
      <c r="GM12" s="35"/>
      <c r="GN12" s="35"/>
      <c r="GO12" s="35"/>
      <c r="GP12" s="35"/>
      <c r="GQ12" s="35"/>
      <c r="GR12" s="35"/>
      <c r="GS12" s="35"/>
      <c r="GT12" s="35"/>
      <c r="GU12" s="35"/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35"/>
      <c r="HT12" s="35"/>
      <c r="HU12" s="35"/>
      <c r="HV12" s="35"/>
      <c r="HW12" s="35"/>
      <c r="HX12" s="35"/>
      <c r="HY12" s="35"/>
      <c r="HZ12" s="35"/>
      <c r="IA12" s="35"/>
      <c r="IB12" s="35"/>
      <c r="IC12" s="35"/>
      <c r="ID12" s="35"/>
      <c r="IE12" s="35"/>
      <c r="IF12" s="35"/>
      <c r="IG12" s="35"/>
      <c r="IH12" s="35"/>
      <c r="II12" s="35"/>
      <c r="IJ12" s="35"/>
      <c r="IK12" s="35"/>
      <c r="IL12" s="35"/>
      <c r="IM12" s="35"/>
      <c r="IN12" s="35"/>
    </row>
    <row r="13" spans="1:248" s="164" customFormat="1">
      <c r="A13" s="242" t="s">
        <v>2162</v>
      </c>
      <c r="B13" s="35" t="s">
        <v>282</v>
      </c>
      <c r="C13" s="35"/>
      <c r="D13" s="58" t="s">
        <v>550</v>
      </c>
      <c r="E13" s="351" t="str">
        <f t="shared" si="0"/>
        <v xml:space="preserve">                 </v>
      </c>
      <c r="F13" s="243" t="str">
        <f t="shared" si="1"/>
        <v>9J1_974_029</v>
      </c>
      <c r="G13" s="244">
        <f>IF(LEN(Q13)=11,0,MID(Q13,13,2))</f>
        <v>0</v>
      </c>
      <c r="H13" s="243" t="str">
        <f t="shared" si="2"/>
        <v>1J219J1029</v>
      </c>
      <c r="I13" s="243" t="str">
        <f t="shared" si="3"/>
        <v>00</v>
      </c>
      <c r="J13" s="279" t="s">
        <v>2428</v>
      </c>
      <c r="K13" s="56"/>
      <c r="L13" s="4" t="s">
        <v>1438</v>
      </c>
      <c r="M13" s="46">
        <v>6025</v>
      </c>
      <c r="N13" s="314">
        <v>1933</v>
      </c>
      <c r="O13" s="228">
        <v>2012</v>
      </c>
      <c r="P13" s="47" t="s">
        <v>2418</v>
      </c>
      <c r="Q13" s="35" t="s">
        <v>678</v>
      </c>
      <c r="R13" s="243" t="str">
        <f>IF(J13&lt;&gt;"",CONCATENATE(H13,I13,J13),CONCATENATE(H13,I13,#REF!))</f>
        <v>1J219J102900F</v>
      </c>
      <c r="S13" s="245" t="str">
        <f t="shared" si="4"/>
        <v>NICHT AKTUELL</v>
      </c>
      <c r="T13" s="245"/>
      <c r="U13" s="245"/>
      <c r="V13" s="245"/>
      <c r="W13" s="301">
        <v>0.29120000000000001</v>
      </c>
      <c r="X13" s="35"/>
      <c r="Y13" s="35" t="s">
        <v>10</v>
      </c>
      <c r="Z13" s="35" t="s">
        <v>550</v>
      </c>
      <c r="AA13" s="35" t="s">
        <v>10</v>
      </c>
      <c r="AB13" s="35"/>
      <c r="AC13" s="39"/>
      <c r="AD13" s="39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5"/>
      <c r="GE13" s="35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5"/>
      <c r="GQ13" s="35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5"/>
      <c r="IA13" s="35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35"/>
      <c r="IN13" s="35"/>
    </row>
    <row r="14" spans="1:248" s="164" customFormat="1">
      <c r="A14" s="242" t="s">
        <v>2162</v>
      </c>
      <c r="B14" s="35" t="s">
        <v>282</v>
      </c>
      <c r="C14" s="35"/>
      <c r="D14" s="58" t="s">
        <v>550</v>
      </c>
      <c r="E14" s="351" t="str">
        <f>CONCATENATE(IF(AC14&gt;0,$AC$1," ")," ",IF(AD14&gt;0,$AD$1," ")," ",IF(AE14&gt;0,$AE$1," ")," ",IF(AF14&gt;0,$AF$1," ")," ",IF(AG14&gt;0,$AG$1," ")," ",IF(AH14&gt;0,$AH$1," ")," ",IF(AI14&gt;0,$AI$1," ")," ",IF(AJ14&gt;0,$AJ$1," ")," ",IF(AK14&gt;0,$AK$1," "))</f>
        <v xml:space="preserve">                 </v>
      </c>
      <c r="F14" s="243" t="str">
        <f>LEFT(Q14,11)</f>
        <v>9J1_974_029</v>
      </c>
      <c r="G14" s="244">
        <f>IF(LEN(Q14)=11,0,MID(Q14,13,2))</f>
        <v>0</v>
      </c>
      <c r="H14" s="243" t="str">
        <f>CONCATENATE(IF(MID(Q14,5,3)="974","1J21"),LEFT(F14,3),RIGHT(F14,3))</f>
        <v>1J219J1029</v>
      </c>
      <c r="I14" s="243" t="str">
        <f>IF(G14=0,"00",IF(LEN(G14)=1,CONCATENATE(G14,0),G14))</f>
        <v>00</v>
      </c>
      <c r="J14" s="279" t="s">
        <v>2449</v>
      </c>
      <c r="K14" s="58"/>
      <c r="L14" s="4" t="s">
        <v>1438</v>
      </c>
      <c r="M14" s="46">
        <v>6025.6053000000002</v>
      </c>
      <c r="N14" s="314">
        <v>2013</v>
      </c>
      <c r="O14" s="228"/>
      <c r="P14" s="47" t="s">
        <v>2457</v>
      </c>
      <c r="Q14" s="35" t="s">
        <v>678</v>
      </c>
      <c r="R14" s="243" t="str">
        <f>IF(J14&lt;&gt;"",CONCATENATE(H14,I14,J14),CONCATENATE(H14,I14,#REF!))</f>
        <v>1J219J102900G</v>
      </c>
      <c r="S14" s="245" t="str">
        <f>IF(N14="-","KEIN LIEFERUMFANG",IF(AND(N14&lt;=S$3,O14=""),"AKTUELL",IF(O14=N14,"KEIN SERIENEINSATZ",IF(N14&gt;S$3,"NOCH NICHT AKTUELL",IF(AND(N14&lt;S$3,O14&lt;S$3),"NICHT AKTUELL",IF(N14&lt;=S$3,"AKTUELL"))))))</f>
        <v>AKTUELL</v>
      </c>
      <c r="T14" s="245"/>
      <c r="U14" s="245"/>
      <c r="V14" s="245"/>
      <c r="W14" s="301">
        <v>0.29120000000000001</v>
      </c>
      <c r="X14" s="35"/>
      <c r="Y14" s="35" t="s">
        <v>10</v>
      </c>
      <c r="Z14" s="35" t="s">
        <v>550</v>
      </c>
      <c r="AA14" s="35" t="s">
        <v>10</v>
      </c>
      <c r="AB14" s="35"/>
      <c r="AC14" s="39"/>
      <c r="AD14" s="39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35"/>
      <c r="GD14" s="35"/>
      <c r="GE14" s="35"/>
      <c r="GF14" s="35"/>
      <c r="GG14" s="35"/>
      <c r="GH14" s="35"/>
      <c r="GI14" s="35"/>
      <c r="GJ14" s="35"/>
      <c r="GK14" s="35"/>
      <c r="GL14" s="35"/>
      <c r="GM14" s="35"/>
      <c r="GN14" s="35"/>
      <c r="GO14" s="35"/>
      <c r="GP14" s="35"/>
      <c r="GQ14" s="35"/>
      <c r="GR14" s="35"/>
      <c r="GS14" s="35"/>
      <c r="GT14" s="35"/>
      <c r="GU14" s="35"/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35"/>
      <c r="HT14" s="35"/>
      <c r="HU14" s="35"/>
      <c r="HV14" s="35"/>
      <c r="HW14" s="35"/>
      <c r="HX14" s="35"/>
      <c r="HY14" s="35"/>
      <c r="HZ14" s="35"/>
      <c r="IA14" s="35"/>
      <c r="IB14" s="35"/>
      <c r="IC14" s="35"/>
      <c r="ID14" s="35"/>
      <c r="IE14" s="35"/>
      <c r="IF14" s="35"/>
      <c r="IG14" s="35"/>
      <c r="IH14" s="35"/>
      <c r="II14" s="35"/>
      <c r="IJ14" s="35"/>
      <c r="IK14" s="35"/>
      <c r="IL14" s="35"/>
      <c r="IM14" s="35"/>
      <c r="IN14" s="35"/>
    </row>
    <row r="15" spans="1:248" s="164" customFormat="1">
      <c r="A15" s="242" t="s">
        <v>2162</v>
      </c>
      <c r="B15" s="35" t="s">
        <v>282</v>
      </c>
      <c r="C15" s="35"/>
      <c r="D15" s="58" t="s">
        <v>550</v>
      </c>
      <c r="E15" s="351" t="str">
        <f t="shared" si="0"/>
        <v xml:space="preserve">VT01                </v>
      </c>
      <c r="F15" s="243" t="str">
        <f t="shared" si="1"/>
        <v>9J1_974_029</v>
      </c>
      <c r="G15" s="244" t="str">
        <f t="shared" si="15"/>
        <v>A</v>
      </c>
      <c r="H15" s="243" t="str">
        <f t="shared" si="2"/>
        <v>1J219J1029</v>
      </c>
      <c r="I15" s="243" t="str">
        <f t="shared" si="3"/>
        <v>A0</v>
      </c>
      <c r="J15" s="279" t="s">
        <v>2181</v>
      </c>
      <c r="K15" s="58"/>
      <c r="L15" s="4" t="s">
        <v>1255</v>
      </c>
      <c r="M15" s="46"/>
      <c r="N15" s="47"/>
      <c r="O15" s="228">
        <v>1917</v>
      </c>
      <c r="P15" s="47"/>
      <c r="Q15" s="35" t="s">
        <v>680</v>
      </c>
      <c r="R15" s="243" t="str">
        <f>IF(J15&lt;&gt;"",CONCATENATE(H15,I15,J15),CONCATENATE(H15,I15,K15))</f>
        <v>1J219J1029A0D</v>
      </c>
      <c r="S15" s="245" t="str">
        <f t="shared" si="4"/>
        <v>NICHT AKTUELL</v>
      </c>
      <c r="T15" s="245"/>
      <c r="U15" s="245"/>
      <c r="V15" s="245"/>
      <c r="W15" s="301">
        <v>0.26129999999999998</v>
      </c>
      <c r="X15" s="35"/>
      <c r="Y15" s="35" t="s">
        <v>550</v>
      </c>
      <c r="Z15" s="35" t="s">
        <v>550</v>
      </c>
      <c r="AA15" s="35" t="s">
        <v>10</v>
      </c>
      <c r="AB15" s="35"/>
      <c r="AC15" s="75" t="s">
        <v>2183</v>
      </c>
      <c r="AD15" s="39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</row>
    <row r="16" spans="1:248" s="164" customFormat="1">
      <c r="A16" s="242" t="s">
        <v>2162</v>
      </c>
      <c r="B16" s="35" t="s">
        <v>282</v>
      </c>
      <c r="C16" s="35"/>
      <c r="D16" s="58" t="s">
        <v>550</v>
      </c>
      <c r="E16" s="351" t="str">
        <f t="shared" si="0"/>
        <v xml:space="preserve">VT01                </v>
      </c>
      <c r="F16" s="243" t="str">
        <f t="shared" si="1"/>
        <v>9J1_974_029</v>
      </c>
      <c r="G16" s="244" t="str">
        <f t="shared" si="15"/>
        <v>A</v>
      </c>
      <c r="H16" s="243" t="str">
        <f t="shared" si="2"/>
        <v>1J219J1029</v>
      </c>
      <c r="I16" s="243" t="str">
        <f t="shared" si="3"/>
        <v>A0</v>
      </c>
      <c r="J16" s="279" t="s">
        <v>2398</v>
      </c>
      <c r="K16" s="56"/>
      <c r="L16" s="4" t="s">
        <v>1255</v>
      </c>
      <c r="M16" s="46">
        <v>6015</v>
      </c>
      <c r="N16" s="314">
        <v>1918</v>
      </c>
      <c r="O16" s="228">
        <v>1932</v>
      </c>
      <c r="P16" s="47" t="s">
        <v>2375</v>
      </c>
      <c r="Q16" s="35" t="s">
        <v>680</v>
      </c>
      <c r="R16" s="243" t="str">
        <f>IF(J16&lt;&gt;"",CONCATENATE(H16,I16,J16),CONCATENATE(H16,I16,#REF!))</f>
        <v>1J219J1029A0E</v>
      </c>
      <c r="S16" s="245" t="str">
        <f t="shared" si="4"/>
        <v>NICHT AKTUELL</v>
      </c>
      <c r="T16" s="245"/>
      <c r="U16" s="245"/>
      <c r="V16" s="245"/>
      <c r="W16" s="301">
        <v>0.26129999999999998</v>
      </c>
      <c r="X16" s="35"/>
      <c r="Y16" s="35" t="s">
        <v>550</v>
      </c>
      <c r="Z16" s="35" t="s">
        <v>550</v>
      </c>
      <c r="AA16" s="35" t="s">
        <v>10</v>
      </c>
      <c r="AB16" s="35"/>
      <c r="AC16" s="75" t="s">
        <v>2401</v>
      </c>
      <c r="AD16" s="39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</row>
    <row r="17" spans="1:248" s="164" customFormat="1">
      <c r="A17" s="242" t="s">
        <v>2162</v>
      </c>
      <c r="B17" s="35" t="s">
        <v>282</v>
      </c>
      <c r="C17" s="35"/>
      <c r="D17" s="58" t="s">
        <v>550</v>
      </c>
      <c r="E17" s="351" t="str">
        <f t="shared" si="0"/>
        <v xml:space="preserve">VT01                </v>
      </c>
      <c r="F17" s="243" t="str">
        <f t="shared" si="1"/>
        <v>9J1_974_029</v>
      </c>
      <c r="G17" s="244" t="str">
        <f>IF(LEN(Q17)=11,0,MID(Q17,13,2))</f>
        <v>A</v>
      </c>
      <c r="H17" s="243" t="str">
        <f t="shared" si="2"/>
        <v>1J219J1029</v>
      </c>
      <c r="I17" s="243" t="str">
        <f t="shared" si="3"/>
        <v>A0</v>
      </c>
      <c r="J17" s="279" t="s">
        <v>2428</v>
      </c>
      <c r="K17" s="56"/>
      <c r="L17" s="4" t="s">
        <v>1255</v>
      </c>
      <c r="M17" s="46">
        <v>6025</v>
      </c>
      <c r="N17" s="314">
        <v>1933</v>
      </c>
      <c r="O17" s="228">
        <v>2012</v>
      </c>
      <c r="P17" s="47" t="s">
        <v>2418</v>
      </c>
      <c r="Q17" s="35" t="s">
        <v>680</v>
      </c>
      <c r="R17" s="243" t="str">
        <f>IF(J17&lt;&gt;"",CONCATENATE(H17,I17,J17),CONCATENATE(H17,I17,#REF!))</f>
        <v>1J219J1029A0F</v>
      </c>
      <c r="S17" s="245" t="str">
        <f t="shared" si="4"/>
        <v>NICHT AKTUELL</v>
      </c>
      <c r="T17" s="245"/>
      <c r="U17" s="245"/>
      <c r="V17" s="245"/>
      <c r="W17" s="301">
        <v>0.26129999999999998</v>
      </c>
      <c r="X17" s="35"/>
      <c r="Y17" s="35" t="s">
        <v>550</v>
      </c>
      <c r="Z17" s="35" t="s">
        <v>550</v>
      </c>
      <c r="AA17" s="35" t="s">
        <v>10</v>
      </c>
      <c r="AB17" s="35"/>
      <c r="AC17" s="75" t="s">
        <v>2401</v>
      </c>
      <c r="AD17" s="39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</row>
    <row r="18" spans="1:248" s="164" customFormat="1">
      <c r="A18" s="242" t="s">
        <v>2162</v>
      </c>
      <c r="B18" s="35" t="s">
        <v>282</v>
      </c>
      <c r="C18" s="35"/>
      <c r="D18" s="58" t="s">
        <v>550</v>
      </c>
      <c r="E18" s="351" t="str">
        <f>CONCATENATE(IF(AC18&gt;0,$AC$1," ")," ",IF(AD18&gt;0,$AD$1," ")," ",IF(AE18&gt;0,$AE$1," ")," ",IF(AF18&gt;0,$AF$1," ")," ",IF(AG18&gt;0,$AG$1," ")," ",IF(AH18&gt;0,$AH$1," ")," ",IF(AI18&gt;0,$AI$1," ")," ",IF(AJ18&gt;0,$AJ$1," ")," ",IF(AK18&gt;0,$AK$1," "))</f>
        <v xml:space="preserve">VT01                </v>
      </c>
      <c r="F18" s="243" t="str">
        <f>LEFT(Q18,11)</f>
        <v>9J1_974_029</v>
      </c>
      <c r="G18" s="244" t="str">
        <f>IF(LEN(Q18)=11,0,MID(Q18,13,2))</f>
        <v>A</v>
      </c>
      <c r="H18" s="243" t="str">
        <f>CONCATENATE(IF(MID(Q18,5,3)="974","1J21"),LEFT(F18,3),RIGHT(F18,3))</f>
        <v>1J219J1029</v>
      </c>
      <c r="I18" s="243" t="str">
        <f>IF(G18=0,"00",IF(LEN(G18)=1,CONCATENATE(G18,0),G18))</f>
        <v>A0</v>
      </c>
      <c r="J18" s="42" t="s">
        <v>2449</v>
      </c>
      <c r="K18" s="58"/>
      <c r="L18" s="4" t="s">
        <v>1255</v>
      </c>
      <c r="M18" s="46">
        <v>6025.6053000000002</v>
      </c>
      <c r="N18" s="314">
        <v>2013</v>
      </c>
      <c r="O18" s="228"/>
      <c r="P18" s="47" t="s">
        <v>2457</v>
      </c>
      <c r="Q18" s="35" t="s">
        <v>680</v>
      </c>
      <c r="R18" s="243" t="str">
        <f>IF(J18&lt;&gt;"",CONCATENATE(H18,I18,J18),CONCATENATE(H18,I18,#REF!))</f>
        <v>1J219J1029A0G</v>
      </c>
      <c r="S18" s="245" t="str">
        <f>IF(N18="-","KEIN LIEFERUMFANG",IF(AND(N18&lt;=S$3,O18=""),"AKTUELL",IF(O18=N18,"KEIN SERIENEINSATZ",IF(N18&gt;S$3,"NOCH NICHT AKTUELL",IF(AND(N18&lt;S$3,O18&lt;S$3),"NICHT AKTUELL",IF(N18&lt;=S$3,"AKTUELL"))))))</f>
        <v>AKTUELL</v>
      </c>
      <c r="T18" s="245"/>
      <c r="U18" s="245"/>
      <c r="V18" s="245"/>
      <c r="W18" s="301">
        <v>0.26129999999999998</v>
      </c>
      <c r="X18" s="35"/>
      <c r="Y18" s="35" t="s">
        <v>550</v>
      </c>
      <c r="Z18" s="35" t="s">
        <v>550</v>
      </c>
      <c r="AA18" s="35" t="s">
        <v>10</v>
      </c>
      <c r="AB18" s="35"/>
      <c r="AC18" s="75" t="s">
        <v>2401</v>
      </c>
      <c r="AD18" s="39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</row>
    <row r="19" spans="1:248" s="164" customFormat="1">
      <c r="A19" s="242" t="s">
        <v>2162</v>
      </c>
      <c r="B19" s="35" t="s">
        <v>282</v>
      </c>
      <c r="C19" s="35"/>
      <c r="D19" s="58" t="s">
        <v>550</v>
      </c>
      <c r="E19" s="351" t="str">
        <f t="shared" si="0"/>
        <v xml:space="preserve">                 </v>
      </c>
      <c r="F19" s="243" t="str">
        <f t="shared" si="1"/>
        <v>9J1_974_029</v>
      </c>
      <c r="G19" s="244" t="str">
        <f t="shared" si="15"/>
        <v>B</v>
      </c>
      <c r="H19" s="243" t="str">
        <f t="shared" si="2"/>
        <v>1J219J1029</v>
      </c>
      <c r="I19" s="243" t="str">
        <f t="shared" si="3"/>
        <v>B0</v>
      </c>
      <c r="J19" s="279" t="s">
        <v>2181</v>
      </c>
      <c r="K19" s="58"/>
      <c r="L19" s="4" t="s">
        <v>1440</v>
      </c>
      <c r="M19" s="46"/>
      <c r="N19" s="47"/>
      <c r="O19" s="228">
        <v>1917</v>
      </c>
      <c r="P19" s="47"/>
      <c r="Q19" s="35" t="s">
        <v>681</v>
      </c>
      <c r="R19" s="243" t="str">
        <f>IF(J19&lt;&gt;"",CONCATENATE(H19,I19,J19),CONCATENATE(H19,I19,K19))</f>
        <v>1J219J1029B0D</v>
      </c>
      <c r="S19" s="245" t="str">
        <f t="shared" si="4"/>
        <v>NICHT AKTUELL</v>
      </c>
      <c r="T19" s="245"/>
      <c r="U19" s="245"/>
      <c r="V19" s="245"/>
      <c r="W19" s="301">
        <v>0.15679999999999999</v>
      </c>
      <c r="X19" s="35"/>
      <c r="Y19" s="35" t="s">
        <v>10</v>
      </c>
      <c r="Z19" s="35" t="s">
        <v>550</v>
      </c>
      <c r="AA19" s="35" t="s">
        <v>10</v>
      </c>
      <c r="AB19" s="35"/>
      <c r="AC19" s="39"/>
      <c r="AD19" s="39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</row>
    <row r="20" spans="1:248" s="164" customFormat="1">
      <c r="A20" s="242" t="s">
        <v>2162</v>
      </c>
      <c r="B20" s="35" t="s">
        <v>282</v>
      </c>
      <c r="C20" s="35"/>
      <c r="D20" s="58" t="s">
        <v>550</v>
      </c>
      <c r="E20" s="351" t="str">
        <f t="shared" si="0"/>
        <v xml:space="preserve">                 </v>
      </c>
      <c r="F20" s="243" t="str">
        <f t="shared" si="1"/>
        <v>9J1_974_029</v>
      </c>
      <c r="G20" s="244" t="str">
        <f t="shared" si="15"/>
        <v>B</v>
      </c>
      <c r="H20" s="243" t="str">
        <f t="shared" si="2"/>
        <v>1J219J1029</v>
      </c>
      <c r="I20" s="243" t="str">
        <f t="shared" si="3"/>
        <v>B0</v>
      </c>
      <c r="J20" s="279" t="s">
        <v>2398</v>
      </c>
      <c r="K20" s="56"/>
      <c r="L20" s="4" t="s">
        <v>1440</v>
      </c>
      <c r="M20" s="46">
        <v>6015</v>
      </c>
      <c r="N20" s="314">
        <v>1918</v>
      </c>
      <c r="O20" s="228">
        <v>1932</v>
      </c>
      <c r="P20" s="47" t="s">
        <v>2375</v>
      </c>
      <c r="Q20" s="35" t="s">
        <v>681</v>
      </c>
      <c r="R20" s="243" t="str">
        <f>IF(J20&lt;&gt;"",CONCATENATE(H20,I20,J20),CONCATENATE(H20,I20,#REF!))</f>
        <v>1J219J1029B0E</v>
      </c>
      <c r="S20" s="245" t="str">
        <f t="shared" si="4"/>
        <v>NICHT AKTUELL</v>
      </c>
      <c r="T20" s="245"/>
      <c r="U20" s="245"/>
      <c r="V20" s="245"/>
      <c r="W20" s="301">
        <v>0.15679999999999999</v>
      </c>
      <c r="X20" s="35"/>
      <c r="Y20" s="35" t="s">
        <v>10</v>
      </c>
      <c r="Z20" s="35" t="s">
        <v>550</v>
      </c>
      <c r="AA20" s="35" t="s">
        <v>10</v>
      </c>
      <c r="AB20" s="35"/>
      <c r="AC20" s="39"/>
      <c r="AD20" s="39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</row>
    <row r="21" spans="1:248" s="164" customFormat="1">
      <c r="A21" s="242" t="s">
        <v>2162</v>
      </c>
      <c r="B21" s="35" t="s">
        <v>282</v>
      </c>
      <c r="C21" s="35"/>
      <c r="D21" s="58" t="s">
        <v>550</v>
      </c>
      <c r="E21" s="351" t="str">
        <f t="shared" si="0"/>
        <v xml:space="preserve">                 </v>
      </c>
      <c r="F21" s="243" t="str">
        <f t="shared" si="1"/>
        <v>9J1_974_029</v>
      </c>
      <c r="G21" s="244" t="str">
        <f>IF(LEN(Q21)=11,0,MID(Q21,13,2))</f>
        <v>B</v>
      </c>
      <c r="H21" s="243" t="str">
        <f t="shared" si="2"/>
        <v>1J219J1029</v>
      </c>
      <c r="I21" s="243" t="str">
        <f t="shared" si="3"/>
        <v>B0</v>
      </c>
      <c r="J21" s="42" t="s">
        <v>2428</v>
      </c>
      <c r="K21" s="58"/>
      <c r="L21" s="4" t="s">
        <v>1440</v>
      </c>
      <c r="M21" s="46">
        <v>6025</v>
      </c>
      <c r="N21" s="314">
        <v>1933</v>
      </c>
      <c r="O21" s="228">
        <v>1944</v>
      </c>
      <c r="P21" s="47" t="s">
        <v>2418</v>
      </c>
      <c r="Q21" s="35" t="s">
        <v>681</v>
      </c>
      <c r="R21" s="243" t="str">
        <f>IF(J21&lt;&gt;"",CONCATENATE(H21,I21,J21),CONCATENATE(H21,I21,#REF!))</f>
        <v>1J219J1029B0F</v>
      </c>
      <c r="S21" s="245" t="str">
        <f t="shared" si="4"/>
        <v>NICHT AKTUELL</v>
      </c>
      <c r="T21" s="245"/>
      <c r="U21" s="245"/>
      <c r="V21" s="245"/>
      <c r="W21" s="301">
        <v>0.15679999999999999</v>
      </c>
      <c r="X21" s="35"/>
      <c r="Y21" s="35" t="s">
        <v>10</v>
      </c>
      <c r="Z21" s="35" t="s">
        <v>550</v>
      </c>
      <c r="AA21" s="35" t="s">
        <v>10</v>
      </c>
      <c r="AB21" s="35"/>
      <c r="AC21" s="39"/>
      <c r="AD21" s="39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</row>
    <row r="22" spans="1:248" s="164" customFormat="1">
      <c r="A22" s="242" t="s">
        <v>2162</v>
      </c>
      <c r="B22" s="35" t="s">
        <v>282</v>
      </c>
      <c r="C22" s="35"/>
      <c r="D22" s="58" t="s">
        <v>550</v>
      </c>
      <c r="E22" s="351" t="str">
        <f>CONCATENATE(IF(AC22&gt;0,$AC$1," ")," ",IF(AD22&gt;0,$AD$1," ")," ",IF(AE22&gt;0,$AE$1," ")," ",IF(AF22&gt;0,$AF$1," ")," ",IF(AG22&gt;0,$AG$1," ")," ",IF(AH22&gt;0,$AH$1," ")," ",IF(AI22&gt;0,$AI$1," ")," ",IF(AJ22&gt;0,$AJ$1," ")," ",IF(AK22&gt;0,$AK$1," "))</f>
        <v xml:space="preserve">                 </v>
      </c>
      <c r="F22" s="243" t="str">
        <f>LEFT(Q22,11)</f>
        <v>9J1_974_029</v>
      </c>
      <c r="G22" s="244" t="str">
        <f>IF(LEN(Q22)=11,0,MID(Q22,13,2))</f>
        <v>B</v>
      </c>
      <c r="H22" s="243" t="str">
        <f>CONCATENATE(IF(MID(Q22,5,3)="974","1J21"),LEFT(F22,3),RIGHT(F22,3))</f>
        <v>1J219J1029</v>
      </c>
      <c r="I22" s="243" t="str">
        <f>IF(G22=0,"00",IF(LEN(G22)=1,CONCATENATE(G22,0),G22))</f>
        <v>B0</v>
      </c>
      <c r="J22" s="42" t="s">
        <v>2449</v>
      </c>
      <c r="K22" s="58"/>
      <c r="L22" s="4" t="s">
        <v>1440</v>
      </c>
      <c r="M22" s="46">
        <v>6025.6617999999999</v>
      </c>
      <c r="N22" s="314">
        <v>1945</v>
      </c>
      <c r="O22" s="228">
        <v>2012</v>
      </c>
      <c r="P22" s="47" t="s">
        <v>2457</v>
      </c>
      <c r="Q22" s="35" t="s">
        <v>681</v>
      </c>
      <c r="R22" s="243" t="str">
        <f>IF(J22&lt;&gt;"",CONCATENATE(H22,I22,J22),CONCATENATE(H22,I22,#REF!))</f>
        <v>1J219J1029B0G</v>
      </c>
      <c r="S22" s="245" t="str">
        <f>IF(N22="-","KEIN LIEFERUMFANG",IF(AND(N22&lt;=S$3,O22=""),"AKTUELL",IF(O22=N22,"KEIN SERIENEINSATZ",IF(N22&gt;S$3,"NOCH NICHT AKTUELL",IF(AND(N22&lt;S$3,O22&lt;S$3),"NICHT AKTUELL",IF(N22&lt;=S$3,"AKTUELL"))))))</f>
        <v>NICHT AKTUELL</v>
      </c>
      <c r="T22" s="245"/>
      <c r="U22" s="245"/>
      <c r="V22" s="245"/>
      <c r="W22" s="301">
        <v>0.15679999999999999</v>
      </c>
      <c r="X22" s="35"/>
      <c r="Y22" s="35" t="s">
        <v>10</v>
      </c>
      <c r="Z22" s="35" t="s">
        <v>550</v>
      </c>
      <c r="AA22" s="35" t="s">
        <v>10</v>
      </c>
      <c r="AB22" s="35"/>
      <c r="AC22" s="39"/>
      <c r="AD22" s="39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</row>
    <row r="23" spans="1:248" s="164" customFormat="1">
      <c r="A23" s="242" t="s">
        <v>2162</v>
      </c>
      <c r="B23" s="35" t="s">
        <v>282</v>
      </c>
      <c r="C23" s="35"/>
      <c r="D23" s="58" t="s">
        <v>550</v>
      </c>
      <c r="E23" s="351" t="str">
        <f>CONCATENATE(IF(AC23&gt;0,$AC$1," ")," ",IF(AD23&gt;0,$AD$1," ")," ",IF(AE23&gt;0,$AE$1," ")," ",IF(AF23&gt;0,$AF$1," ")," ",IF(AG23&gt;0,$AG$1," ")," ",IF(AH23&gt;0,$AH$1," ")," ",IF(AI23&gt;0,$AI$1," ")," ",IF(AJ23&gt;0,$AJ$1," ")," ",IF(AK23&gt;0,$AK$1," "))</f>
        <v xml:space="preserve">                 </v>
      </c>
      <c r="F23" s="243" t="str">
        <f>LEFT(Q23,11)</f>
        <v>9J1_974_029</v>
      </c>
      <c r="G23" s="244" t="str">
        <f>IF(LEN(Q23)=11,0,MID(Q23,13,2))</f>
        <v>B</v>
      </c>
      <c r="H23" s="243" t="str">
        <f>CONCATENATE(IF(MID(Q23,5,3)="974","1J21"),LEFT(F23,3),RIGHT(F23,3))</f>
        <v>1J219J1029</v>
      </c>
      <c r="I23" s="243" t="str">
        <f>IF(G23=0,"00",IF(LEN(G23)=1,CONCATENATE(G23,0),G23))</f>
        <v>B0</v>
      </c>
      <c r="J23" s="42" t="s">
        <v>2520</v>
      </c>
      <c r="K23" s="58"/>
      <c r="L23" s="4" t="s">
        <v>1440</v>
      </c>
      <c r="M23" s="46" t="s">
        <v>2543</v>
      </c>
      <c r="N23" s="314">
        <v>2013</v>
      </c>
      <c r="O23" s="228"/>
      <c r="P23" s="47" t="s">
        <v>2457</v>
      </c>
      <c r="Q23" s="35" t="s">
        <v>681</v>
      </c>
      <c r="R23" s="243" t="str">
        <f>IF(J23&lt;&gt;"",CONCATENATE(H23,I23,J23),CONCATENATE(H23,I23,#REF!))</f>
        <v>1J219J1029B0H</v>
      </c>
      <c r="S23" s="245" t="str">
        <f>IF(N23="-","KEIN LIEFERUMFANG",IF(AND(N23&lt;=S$3,O23=""),"AKTUELL",IF(O23=N23,"KEIN SERIENEINSATZ",IF(N23&gt;S$3,"NOCH NICHT AKTUELL",IF(AND(N23&lt;S$3,O23&lt;S$3),"NICHT AKTUELL",IF(N23&lt;=S$3,"AKTUELL"))))))</f>
        <v>AKTUELL</v>
      </c>
      <c r="T23" s="245"/>
      <c r="U23" s="245"/>
      <c r="V23" s="245"/>
      <c r="W23" s="301">
        <v>0.15679999999999999</v>
      </c>
      <c r="X23" s="35"/>
      <c r="Y23" s="35" t="s">
        <v>10</v>
      </c>
      <c r="Z23" s="35" t="s">
        <v>550</v>
      </c>
      <c r="AA23" s="35" t="s">
        <v>10</v>
      </c>
      <c r="AB23" s="35"/>
      <c r="AC23" s="39"/>
      <c r="AD23" s="39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</row>
    <row r="24" spans="1:248" s="164" customFormat="1">
      <c r="A24" s="242" t="s">
        <v>2162</v>
      </c>
      <c r="B24" s="35" t="s">
        <v>282</v>
      </c>
      <c r="C24" s="35"/>
      <c r="D24" s="58" t="s">
        <v>550</v>
      </c>
      <c r="E24" s="351" t="str">
        <f t="shared" si="0"/>
        <v xml:space="preserve">VT01                </v>
      </c>
      <c r="F24" s="243" t="str">
        <f t="shared" si="1"/>
        <v>9J1_974_029</v>
      </c>
      <c r="G24" s="244" t="str">
        <f t="shared" si="15"/>
        <v>C</v>
      </c>
      <c r="H24" s="243" t="str">
        <f t="shared" si="2"/>
        <v>1J219J1029</v>
      </c>
      <c r="I24" s="243" t="str">
        <f t="shared" si="3"/>
        <v>C0</v>
      </c>
      <c r="J24" s="279" t="s">
        <v>2181</v>
      </c>
      <c r="K24" s="58"/>
      <c r="L24" s="4" t="s">
        <v>1256</v>
      </c>
      <c r="M24" s="46"/>
      <c r="N24" s="47"/>
      <c r="O24" s="228">
        <v>1917</v>
      </c>
      <c r="P24" s="47"/>
      <c r="Q24" s="35" t="s">
        <v>682</v>
      </c>
      <c r="R24" s="243" t="str">
        <f>IF(J24&lt;&gt;"",CONCATENATE(H24,I24,J24),CONCATENATE(H24,I24,K24))</f>
        <v>1J219J1029C0D</v>
      </c>
      <c r="S24" s="245" t="str">
        <f t="shared" si="4"/>
        <v>NICHT AKTUELL</v>
      </c>
      <c r="T24" s="245"/>
      <c r="U24" s="245"/>
      <c r="V24" s="245"/>
      <c r="W24" s="301">
        <v>0.14069999999999999</v>
      </c>
      <c r="X24" s="35"/>
      <c r="Y24" s="35" t="s">
        <v>550</v>
      </c>
      <c r="Z24" s="35" t="s">
        <v>550</v>
      </c>
      <c r="AA24" s="35" t="s">
        <v>10</v>
      </c>
      <c r="AB24" s="35"/>
      <c r="AC24" s="75" t="s">
        <v>2183</v>
      </c>
      <c r="AD24" s="39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</row>
    <row r="25" spans="1:248" s="164" customFormat="1">
      <c r="A25" s="242" t="s">
        <v>2162</v>
      </c>
      <c r="B25" s="35" t="s">
        <v>282</v>
      </c>
      <c r="C25" s="35"/>
      <c r="D25" s="58" t="s">
        <v>550</v>
      </c>
      <c r="E25" s="351" t="str">
        <f t="shared" si="0"/>
        <v xml:space="preserve">VT01                </v>
      </c>
      <c r="F25" s="243" t="str">
        <f t="shared" si="1"/>
        <v>9J1_974_029</v>
      </c>
      <c r="G25" s="244" t="str">
        <f t="shared" si="15"/>
        <v>C</v>
      </c>
      <c r="H25" s="243" t="str">
        <f t="shared" si="2"/>
        <v>1J219J1029</v>
      </c>
      <c r="I25" s="243" t="str">
        <f t="shared" si="3"/>
        <v>C0</v>
      </c>
      <c r="J25" s="279" t="s">
        <v>2398</v>
      </c>
      <c r="K25" s="56"/>
      <c r="L25" s="4" t="s">
        <v>1256</v>
      </c>
      <c r="M25" s="46">
        <v>6015</v>
      </c>
      <c r="N25" s="314">
        <v>1918</v>
      </c>
      <c r="O25" s="228">
        <v>1932</v>
      </c>
      <c r="P25" s="47" t="s">
        <v>2375</v>
      </c>
      <c r="Q25" s="35" t="s">
        <v>682</v>
      </c>
      <c r="R25" s="243" t="str">
        <f>IF(J25&lt;&gt;"",CONCATENATE(H25,I25,J25),CONCATENATE(H25,I25,#REF!))</f>
        <v>1J219J1029C0E</v>
      </c>
      <c r="S25" s="245" t="str">
        <f t="shared" si="4"/>
        <v>NICHT AKTUELL</v>
      </c>
      <c r="T25" s="245"/>
      <c r="U25" s="245"/>
      <c r="V25" s="245"/>
      <c r="W25" s="301">
        <v>0.14069999999999999</v>
      </c>
      <c r="X25" s="35"/>
      <c r="Y25" s="35" t="s">
        <v>550</v>
      </c>
      <c r="Z25" s="35" t="s">
        <v>550</v>
      </c>
      <c r="AA25" s="35" t="s">
        <v>10</v>
      </c>
      <c r="AB25" s="35"/>
      <c r="AC25" s="75" t="s">
        <v>2401</v>
      </c>
      <c r="AD25" s="39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</row>
    <row r="26" spans="1:248" s="164" customFormat="1">
      <c r="A26" s="242" t="s">
        <v>2162</v>
      </c>
      <c r="B26" s="35" t="s">
        <v>282</v>
      </c>
      <c r="C26" s="35"/>
      <c r="D26" s="58" t="s">
        <v>550</v>
      </c>
      <c r="E26" s="351" t="str">
        <f t="shared" si="0"/>
        <v xml:space="preserve">VT01                </v>
      </c>
      <c r="F26" s="243" t="str">
        <f t="shared" si="1"/>
        <v>9J1_974_029</v>
      </c>
      <c r="G26" s="244" t="str">
        <f>IF(LEN(Q26)=11,0,MID(Q26,13,2))</f>
        <v>C</v>
      </c>
      <c r="H26" s="243" t="str">
        <f t="shared" si="2"/>
        <v>1J219J1029</v>
      </c>
      <c r="I26" s="243" t="str">
        <f t="shared" si="3"/>
        <v>C0</v>
      </c>
      <c r="J26" s="42" t="s">
        <v>2428</v>
      </c>
      <c r="K26" s="58"/>
      <c r="L26" s="4" t="s">
        <v>1256</v>
      </c>
      <c r="M26" s="46">
        <v>6025</v>
      </c>
      <c r="N26" s="314">
        <v>1933</v>
      </c>
      <c r="O26" s="228">
        <v>1944</v>
      </c>
      <c r="P26" s="47" t="s">
        <v>2418</v>
      </c>
      <c r="Q26" s="35" t="s">
        <v>682</v>
      </c>
      <c r="R26" s="243" t="str">
        <f>IF(J26&lt;&gt;"",CONCATENATE(H26,I26,J26),CONCATENATE(H26,I26,#REF!))</f>
        <v>1J219J1029C0F</v>
      </c>
      <c r="S26" s="245" t="str">
        <f t="shared" si="4"/>
        <v>NICHT AKTUELL</v>
      </c>
      <c r="T26" s="245"/>
      <c r="U26" s="245"/>
      <c r="V26" s="245"/>
      <c r="W26" s="301">
        <v>0.14069999999999999</v>
      </c>
      <c r="X26" s="35"/>
      <c r="Y26" s="35" t="s">
        <v>550</v>
      </c>
      <c r="Z26" s="35" t="s">
        <v>550</v>
      </c>
      <c r="AA26" s="35" t="s">
        <v>10</v>
      </c>
      <c r="AB26" s="35"/>
      <c r="AC26" s="75" t="s">
        <v>2401</v>
      </c>
      <c r="AD26" s="39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</row>
    <row r="27" spans="1:248" s="164" customFormat="1">
      <c r="A27" s="242" t="s">
        <v>2162</v>
      </c>
      <c r="B27" s="35" t="s">
        <v>282</v>
      </c>
      <c r="C27" s="35"/>
      <c r="D27" s="58" t="s">
        <v>550</v>
      </c>
      <c r="E27" s="351" t="str">
        <f>CONCATENATE(IF(AC27&gt;0,$AC$1," ")," ",IF(AD27&gt;0,$AD$1," ")," ",IF(AE27&gt;0,$AE$1," ")," ",IF(AF27&gt;0,$AF$1," ")," ",IF(AG27&gt;0,$AG$1," ")," ",IF(AH27&gt;0,$AH$1," ")," ",IF(AI27&gt;0,$AI$1," ")," ",IF(AJ27&gt;0,$AJ$1," ")," ",IF(AK27&gt;0,$AK$1," "))</f>
        <v xml:space="preserve">VT01                </v>
      </c>
      <c r="F27" s="243" t="str">
        <f>LEFT(Q27,11)</f>
        <v>9J1_974_029</v>
      </c>
      <c r="G27" s="244" t="str">
        <f>IF(LEN(Q27)=11,0,MID(Q27,13,2))</f>
        <v>C</v>
      </c>
      <c r="H27" s="243" t="str">
        <f>CONCATENATE(IF(MID(Q27,5,3)="974","1J21"),LEFT(F27,3),RIGHT(F27,3))</f>
        <v>1J219J1029</v>
      </c>
      <c r="I27" s="243" t="str">
        <f>IF(G27=0,"00",IF(LEN(G27)=1,CONCATENATE(G27,0),G27))</f>
        <v>C0</v>
      </c>
      <c r="J27" s="42" t="s">
        <v>2449</v>
      </c>
      <c r="K27" s="58"/>
      <c r="L27" s="4" t="s">
        <v>1256</v>
      </c>
      <c r="M27" s="46">
        <v>6025.6617999999999</v>
      </c>
      <c r="N27" s="314">
        <v>1945</v>
      </c>
      <c r="O27" s="228">
        <v>2012</v>
      </c>
      <c r="P27" s="47" t="s">
        <v>2457</v>
      </c>
      <c r="Q27" s="35" t="s">
        <v>682</v>
      </c>
      <c r="R27" s="243" t="str">
        <f>IF(J27&lt;&gt;"",CONCATENATE(H27,I27,J27),CONCATENATE(H27,I27,#REF!))</f>
        <v>1J219J1029C0G</v>
      </c>
      <c r="S27" s="245" t="str">
        <f>IF(N27="-","KEIN LIEFERUMFANG",IF(AND(N27&lt;=S$3,O27=""),"AKTUELL",IF(O27=N27,"KEIN SERIENEINSATZ",IF(N27&gt;S$3,"NOCH NICHT AKTUELL",IF(AND(N27&lt;S$3,O27&lt;S$3),"NICHT AKTUELL",IF(N27&lt;=S$3,"AKTUELL"))))))</f>
        <v>NICHT AKTUELL</v>
      </c>
      <c r="T27" s="245"/>
      <c r="U27" s="245"/>
      <c r="V27" s="245"/>
      <c r="W27" s="301">
        <v>0.14069999999999999</v>
      </c>
      <c r="X27" s="35"/>
      <c r="Y27" s="35" t="s">
        <v>550</v>
      </c>
      <c r="Z27" s="35" t="s">
        <v>550</v>
      </c>
      <c r="AA27" s="35" t="s">
        <v>10</v>
      </c>
      <c r="AB27" s="35"/>
      <c r="AC27" s="75" t="s">
        <v>2401</v>
      </c>
      <c r="AD27" s="39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</row>
    <row r="28" spans="1:248" s="164" customFormat="1">
      <c r="A28" s="242" t="s">
        <v>2162</v>
      </c>
      <c r="B28" s="35" t="s">
        <v>282</v>
      </c>
      <c r="C28" s="35"/>
      <c r="D28" s="58" t="s">
        <v>550</v>
      </c>
      <c r="E28" s="351" t="str">
        <f>CONCATENATE(IF(AC28&gt;0,$AC$1," ")," ",IF(AD28&gt;0,$AD$1," ")," ",IF(AE28&gt;0,$AE$1," ")," ",IF(AF28&gt;0,$AF$1," ")," ",IF(AG28&gt;0,$AG$1," ")," ",IF(AH28&gt;0,$AH$1," ")," ",IF(AI28&gt;0,$AI$1," ")," ",IF(AJ28&gt;0,$AJ$1," ")," ",IF(AK28&gt;0,$AK$1," "))</f>
        <v xml:space="preserve">VT01                </v>
      </c>
      <c r="F28" s="243" t="str">
        <f>LEFT(Q28,11)</f>
        <v>9J1_974_029</v>
      </c>
      <c r="G28" s="244" t="str">
        <f>IF(LEN(Q28)=11,0,MID(Q28,13,2))</f>
        <v>C</v>
      </c>
      <c r="H28" s="243" t="str">
        <f>CONCATENATE(IF(MID(Q28,5,3)="974","1J21"),LEFT(F28,3),RIGHT(F28,3))</f>
        <v>1J219J1029</v>
      </c>
      <c r="I28" s="243" t="str">
        <f>IF(G28=0,"00",IF(LEN(G28)=1,CONCATENATE(G28,0),G28))</f>
        <v>C0</v>
      </c>
      <c r="J28" s="42" t="s">
        <v>2520</v>
      </c>
      <c r="K28" s="58"/>
      <c r="L28" s="4" t="s">
        <v>1256</v>
      </c>
      <c r="M28" s="46" t="s">
        <v>2543</v>
      </c>
      <c r="N28" s="314">
        <v>2013</v>
      </c>
      <c r="O28" s="228"/>
      <c r="P28" s="47" t="s">
        <v>2457</v>
      </c>
      <c r="Q28" s="35" t="s">
        <v>682</v>
      </c>
      <c r="R28" s="243" t="str">
        <f>IF(J28&lt;&gt;"",CONCATENATE(H28,I28,J28),CONCATENATE(H28,I28,#REF!))</f>
        <v>1J219J1029C0H</v>
      </c>
      <c r="S28" s="245" t="str">
        <f>IF(N28="-","KEIN LIEFERUMFANG",IF(AND(N28&lt;=S$3,O28=""),"AKTUELL",IF(O28=N28,"KEIN SERIENEINSATZ",IF(N28&gt;S$3,"NOCH NICHT AKTUELL",IF(AND(N28&lt;S$3,O28&lt;S$3),"NICHT AKTUELL",IF(N28&lt;=S$3,"AKTUELL"))))))</f>
        <v>AKTUELL</v>
      </c>
      <c r="T28" s="245"/>
      <c r="U28" s="245"/>
      <c r="V28" s="245"/>
      <c r="W28" s="301">
        <v>0.14069999999999999</v>
      </c>
      <c r="X28" s="35"/>
      <c r="Y28" s="35" t="s">
        <v>550</v>
      </c>
      <c r="Z28" s="35" t="s">
        <v>550</v>
      </c>
      <c r="AA28" s="35" t="s">
        <v>10</v>
      </c>
      <c r="AB28" s="35"/>
      <c r="AC28" s="75" t="s">
        <v>2401</v>
      </c>
      <c r="AD28" s="39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</row>
    <row r="29" spans="1:248" s="164" customFormat="1">
      <c r="A29" s="242" t="s">
        <v>2162</v>
      </c>
      <c r="B29" s="35" t="s">
        <v>282</v>
      </c>
      <c r="C29" s="35"/>
      <c r="D29" s="58" t="s">
        <v>550</v>
      </c>
      <c r="E29" s="351" t="str">
        <f t="shared" si="0"/>
        <v xml:space="preserve">                 </v>
      </c>
      <c r="F29" s="243" t="str">
        <f t="shared" si="1"/>
        <v>9J1_974_029</v>
      </c>
      <c r="G29" s="244" t="str">
        <f t="shared" si="15"/>
        <v>D</v>
      </c>
      <c r="H29" s="243" t="str">
        <f t="shared" si="2"/>
        <v>1J219J1029</v>
      </c>
      <c r="I29" s="243" t="str">
        <f t="shared" si="3"/>
        <v>D0</v>
      </c>
      <c r="J29" s="279" t="s">
        <v>1116</v>
      </c>
      <c r="K29" s="58"/>
      <c r="L29" s="4" t="s">
        <v>2360</v>
      </c>
      <c r="M29" s="46">
        <v>6001</v>
      </c>
      <c r="N29" s="47"/>
      <c r="O29" s="228">
        <v>1917</v>
      </c>
      <c r="P29" s="47"/>
      <c r="Q29" s="35" t="s">
        <v>2358</v>
      </c>
      <c r="R29" s="243" t="str">
        <f>IF(J29&lt;&gt;"",CONCATENATE(H29,I29,J29),CONCATENATE(H29,I29,K29))</f>
        <v>1J219J1029D0A</v>
      </c>
      <c r="S29" s="245" t="str">
        <f t="shared" si="4"/>
        <v>NICHT AKTUELL</v>
      </c>
      <c r="T29" s="245"/>
      <c r="U29" s="245"/>
      <c r="V29" s="245"/>
      <c r="W29" s="301">
        <v>0.15679999999999999</v>
      </c>
      <c r="X29" s="35"/>
      <c r="Y29" s="35" t="s">
        <v>10</v>
      </c>
      <c r="Z29" s="35" t="s">
        <v>550</v>
      </c>
      <c r="AA29" s="35" t="s">
        <v>10</v>
      </c>
      <c r="AB29" s="35"/>
      <c r="AC29" s="39"/>
      <c r="AD29" s="39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</row>
    <row r="30" spans="1:248" s="164" customFormat="1">
      <c r="A30" s="242" t="s">
        <v>2162</v>
      </c>
      <c r="B30" s="35" t="s">
        <v>282</v>
      </c>
      <c r="C30" s="35"/>
      <c r="D30" s="58" t="s">
        <v>550</v>
      </c>
      <c r="E30" s="351" t="str">
        <f t="shared" si="0"/>
        <v xml:space="preserve">                 </v>
      </c>
      <c r="F30" s="243" t="str">
        <f t="shared" si="1"/>
        <v>9J1_974_029</v>
      </c>
      <c r="G30" s="244" t="str">
        <f t="shared" si="15"/>
        <v>D</v>
      </c>
      <c r="H30" s="243" t="str">
        <f t="shared" si="2"/>
        <v>1J219J1029</v>
      </c>
      <c r="I30" s="243" t="str">
        <f t="shared" si="3"/>
        <v>D0</v>
      </c>
      <c r="J30" s="279" t="s">
        <v>1117</v>
      </c>
      <c r="K30" s="56"/>
      <c r="L30" s="4" t="s">
        <v>2360</v>
      </c>
      <c r="M30" s="46">
        <v>6015</v>
      </c>
      <c r="N30" s="314">
        <v>1918</v>
      </c>
      <c r="O30" s="228">
        <v>1932</v>
      </c>
      <c r="P30" s="47" t="s">
        <v>2375</v>
      </c>
      <c r="Q30" s="35" t="s">
        <v>2358</v>
      </c>
      <c r="R30" s="243" t="str">
        <f>IF(J30&lt;&gt;"",CONCATENATE(H30,I30,J30),CONCATENATE(H30,I30,#REF!))</f>
        <v>1J219J1029D0B</v>
      </c>
      <c r="S30" s="245" t="str">
        <f t="shared" si="4"/>
        <v>NICHT AKTUELL</v>
      </c>
      <c r="T30" s="245"/>
      <c r="U30" s="245"/>
      <c r="V30" s="245"/>
      <c r="W30" s="301">
        <v>0.15679999999999999</v>
      </c>
      <c r="X30" s="35"/>
      <c r="Y30" s="35" t="s">
        <v>10</v>
      </c>
      <c r="Z30" s="35" t="s">
        <v>550</v>
      </c>
      <c r="AA30" s="35" t="s">
        <v>10</v>
      </c>
      <c r="AB30" s="35"/>
      <c r="AC30" s="39"/>
      <c r="AD30" s="39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</row>
    <row r="31" spans="1:248" s="164" customFormat="1">
      <c r="A31" s="242" t="s">
        <v>2162</v>
      </c>
      <c r="B31" s="35" t="s">
        <v>282</v>
      </c>
      <c r="C31" s="35"/>
      <c r="D31" s="58" t="s">
        <v>550</v>
      </c>
      <c r="E31" s="351" t="str">
        <f t="shared" si="0"/>
        <v xml:space="preserve">                 </v>
      </c>
      <c r="F31" s="243" t="str">
        <f t="shared" si="1"/>
        <v>9J1_974_029</v>
      </c>
      <c r="G31" s="244" t="str">
        <f>IF(LEN(Q31)=11,0,MID(Q31,13,2))</f>
        <v>D</v>
      </c>
      <c r="H31" s="243" t="str">
        <f t="shared" si="2"/>
        <v>1J219J1029</v>
      </c>
      <c r="I31" s="243" t="str">
        <f t="shared" si="3"/>
        <v>D0</v>
      </c>
      <c r="J31" s="42" t="s">
        <v>2077</v>
      </c>
      <c r="K31" s="58"/>
      <c r="L31" s="4" t="s">
        <v>2360</v>
      </c>
      <c r="M31" s="46">
        <v>6025</v>
      </c>
      <c r="N31" s="314">
        <v>1933</v>
      </c>
      <c r="O31" s="228">
        <v>1944</v>
      </c>
      <c r="P31" s="47" t="s">
        <v>2418</v>
      </c>
      <c r="Q31" s="35" t="s">
        <v>2358</v>
      </c>
      <c r="R31" s="243" t="str">
        <f>IF(J31&lt;&gt;"",CONCATENATE(H31,I31,J31),CONCATENATE(H31,I31,#REF!))</f>
        <v>1J219J1029D0C</v>
      </c>
      <c r="S31" s="245" t="str">
        <f t="shared" si="4"/>
        <v>NICHT AKTUELL</v>
      </c>
      <c r="T31" s="245"/>
      <c r="U31" s="245"/>
      <c r="V31" s="245"/>
      <c r="W31" s="301">
        <v>0.15679999999999999</v>
      </c>
      <c r="X31" s="35"/>
      <c r="Y31" s="35" t="s">
        <v>10</v>
      </c>
      <c r="Z31" s="35" t="s">
        <v>550</v>
      </c>
      <c r="AA31" s="35" t="s">
        <v>10</v>
      </c>
      <c r="AB31" s="35"/>
      <c r="AC31" s="39"/>
      <c r="AD31" s="39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</row>
    <row r="32" spans="1:248" s="164" customFormat="1">
      <c r="A32" s="242" t="s">
        <v>2162</v>
      </c>
      <c r="B32" s="35" t="s">
        <v>282</v>
      </c>
      <c r="C32" s="35"/>
      <c r="D32" s="58" t="s">
        <v>550</v>
      </c>
      <c r="E32" s="351" t="str">
        <f>CONCATENATE(IF(AC32&gt;0,$AC$1," ")," ",IF(AD32&gt;0,$AD$1," ")," ",IF(AE32&gt;0,$AE$1," ")," ",IF(AF32&gt;0,$AF$1," ")," ",IF(AG32&gt;0,$AG$1," ")," ",IF(AH32&gt;0,$AH$1," ")," ",IF(AI32&gt;0,$AI$1," ")," ",IF(AJ32&gt;0,$AJ$1," ")," ",IF(AK32&gt;0,$AK$1," "))</f>
        <v xml:space="preserve">                 </v>
      </c>
      <c r="F32" s="243" t="str">
        <f>LEFT(Q32,11)</f>
        <v>9J1_974_029</v>
      </c>
      <c r="G32" s="244" t="str">
        <f>IF(LEN(Q32)=11,0,MID(Q32,13,2))</f>
        <v>D</v>
      </c>
      <c r="H32" s="243" t="str">
        <f>CONCATENATE(IF(MID(Q32,5,3)="974","1J21"),LEFT(F32,3),RIGHT(F32,3))</f>
        <v>1J219J1029</v>
      </c>
      <c r="I32" s="243" t="str">
        <f>IF(G32=0,"00",IF(LEN(G32)=1,CONCATENATE(G32,0),G32))</f>
        <v>D0</v>
      </c>
      <c r="J32" s="42" t="s">
        <v>2181</v>
      </c>
      <c r="K32" s="58"/>
      <c r="L32" s="4" t="s">
        <v>2360</v>
      </c>
      <c r="M32" s="46">
        <v>6025.6617999999999</v>
      </c>
      <c r="N32" s="314">
        <v>1945</v>
      </c>
      <c r="O32" s="228">
        <v>2012</v>
      </c>
      <c r="P32" s="47" t="s">
        <v>2457</v>
      </c>
      <c r="Q32" s="35" t="s">
        <v>2358</v>
      </c>
      <c r="R32" s="243" t="str">
        <f>IF(J32&lt;&gt;"",CONCATENATE(H32,I32,J32),CONCATENATE(H32,I32,#REF!))</f>
        <v>1J219J1029D0D</v>
      </c>
      <c r="S32" s="245" t="str">
        <f>IF(N32="-","KEIN LIEFERUMFANG",IF(AND(N32&lt;=S$3,O32=""),"AKTUELL",IF(O32=N32,"KEIN SERIENEINSATZ",IF(N32&gt;S$3,"NOCH NICHT AKTUELL",IF(AND(N32&lt;S$3,O32&lt;S$3),"NICHT AKTUELL",IF(N32&lt;=S$3,"AKTUELL"))))))</f>
        <v>NICHT AKTUELL</v>
      </c>
      <c r="T32" s="245"/>
      <c r="U32" s="245"/>
      <c r="V32" s="245"/>
      <c r="W32" s="301">
        <v>0.15679999999999999</v>
      </c>
      <c r="X32" s="35"/>
      <c r="Y32" s="35" t="s">
        <v>10</v>
      </c>
      <c r="Z32" s="35" t="s">
        <v>550</v>
      </c>
      <c r="AA32" s="35" t="s">
        <v>10</v>
      </c>
      <c r="AB32" s="35"/>
      <c r="AC32" s="39"/>
      <c r="AD32" s="39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/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/>
      <c r="IK32" s="35"/>
      <c r="IL32" s="35"/>
      <c r="IM32" s="35"/>
      <c r="IN32" s="35"/>
    </row>
    <row r="33" spans="1:248" s="164" customFormat="1">
      <c r="A33" s="242" t="s">
        <v>2162</v>
      </c>
      <c r="B33" s="35" t="s">
        <v>282</v>
      </c>
      <c r="C33" s="35"/>
      <c r="D33" s="58" t="s">
        <v>550</v>
      </c>
      <c r="E33" s="351" t="str">
        <f>CONCATENATE(IF(AC33&gt;0,$AC$1," ")," ",IF(AD33&gt;0,$AD$1," ")," ",IF(AE33&gt;0,$AE$1," ")," ",IF(AF33&gt;0,$AF$1," ")," ",IF(AG33&gt;0,$AG$1," ")," ",IF(AH33&gt;0,$AH$1," ")," ",IF(AI33&gt;0,$AI$1," ")," ",IF(AJ33&gt;0,$AJ$1," ")," ",IF(AK33&gt;0,$AK$1," "))</f>
        <v xml:space="preserve">                 </v>
      </c>
      <c r="F33" s="243" t="str">
        <f>LEFT(Q33,11)</f>
        <v>9J1_974_029</v>
      </c>
      <c r="G33" s="244" t="str">
        <f>IF(LEN(Q33)=11,0,MID(Q33,13,2))</f>
        <v>D</v>
      </c>
      <c r="H33" s="243" t="str">
        <f>CONCATENATE(IF(MID(Q33,5,3)="974","1J21"),LEFT(F33,3),RIGHT(F33,3))</f>
        <v>1J219J1029</v>
      </c>
      <c r="I33" s="243" t="str">
        <f>IF(G33=0,"00",IF(LEN(G33)=1,CONCATENATE(G33,0),G33))</f>
        <v>D0</v>
      </c>
      <c r="J33" s="42" t="s">
        <v>2398</v>
      </c>
      <c r="K33" s="58"/>
      <c r="L33" s="4" t="s">
        <v>2360</v>
      </c>
      <c r="M33" s="46" t="s">
        <v>2543</v>
      </c>
      <c r="N33" s="314">
        <v>2013</v>
      </c>
      <c r="O33" s="228"/>
      <c r="P33" s="47" t="s">
        <v>2457</v>
      </c>
      <c r="Q33" s="35" t="s">
        <v>2358</v>
      </c>
      <c r="R33" s="243" t="str">
        <f>IF(J33&lt;&gt;"",CONCATENATE(H33,I33,J33),CONCATENATE(H33,I33,#REF!))</f>
        <v>1J219J1029D0E</v>
      </c>
      <c r="S33" s="245" t="str">
        <f>IF(N33="-","KEIN LIEFERUMFANG",IF(AND(N33&lt;=S$3,O33=""),"AKTUELL",IF(O33=N33,"KEIN SERIENEINSATZ",IF(N33&gt;S$3,"NOCH NICHT AKTUELL",IF(AND(N33&lt;S$3,O33&lt;S$3),"NICHT AKTUELL",IF(N33&lt;=S$3,"AKTUELL"))))))</f>
        <v>AKTUELL</v>
      </c>
      <c r="T33" s="245"/>
      <c r="U33" s="245"/>
      <c r="V33" s="245"/>
      <c r="W33" s="301">
        <v>0.15679999999999999</v>
      </c>
      <c r="X33" s="35"/>
      <c r="Y33" s="35" t="s">
        <v>10</v>
      </c>
      <c r="Z33" s="35" t="s">
        <v>550</v>
      </c>
      <c r="AA33" s="35" t="s">
        <v>10</v>
      </c>
      <c r="AB33" s="35"/>
      <c r="AC33" s="39"/>
      <c r="AD33" s="39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/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</row>
    <row r="34" spans="1:248" s="164" customFormat="1">
      <c r="A34" s="242" t="s">
        <v>2162</v>
      </c>
      <c r="B34" s="35" t="s">
        <v>282</v>
      </c>
      <c r="C34" s="35"/>
      <c r="D34" s="58" t="s">
        <v>550</v>
      </c>
      <c r="E34" s="351" t="str">
        <f t="shared" si="0"/>
        <v xml:space="preserve">VT01                </v>
      </c>
      <c r="F34" s="243" t="str">
        <f t="shared" si="1"/>
        <v>9J1_974_029</v>
      </c>
      <c r="G34" s="244" t="str">
        <f t="shared" si="15"/>
        <v>E</v>
      </c>
      <c r="H34" s="243" t="str">
        <f t="shared" si="2"/>
        <v>1J219J1029</v>
      </c>
      <c r="I34" s="243" t="str">
        <f t="shared" si="3"/>
        <v>E0</v>
      </c>
      <c r="J34" s="279" t="s">
        <v>1116</v>
      </c>
      <c r="K34" s="58"/>
      <c r="L34" s="4" t="s">
        <v>2361</v>
      </c>
      <c r="M34" s="46">
        <v>6001</v>
      </c>
      <c r="N34" s="47"/>
      <c r="O34" s="228">
        <v>1917</v>
      </c>
      <c r="P34" s="47"/>
      <c r="Q34" s="35" t="s">
        <v>2359</v>
      </c>
      <c r="R34" s="243" t="str">
        <f>IF(J34&lt;&gt;"",CONCATENATE(H34,I34,J34),CONCATENATE(H34,I34,K34))</f>
        <v>1J219J1029E0A</v>
      </c>
      <c r="S34" s="245" t="str">
        <f t="shared" si="4"/>
        <v>NICHT AKTUELL</v>
      </c>
      <c r="T34" s="245"/>
      <c r="U34" s="245"/>
      <c r="V34" s="245"/>
      <c r="W34" s="301">
        <v>0.14069999999999999</v>
      </c>
      <c r="X34" s="35"/>
      <c r="Y34" s="35" t="s">
        <v>550</v>
      </c>
      <c r="Z34" s="35" t="s">
        <v>550</v>
      </c>
      <c r="AA34" s="35" t="s">
        <v>10</v>
      </c>
      <c r="AB34" s="35"/>
      <c r="AC34" s="75" t="s">
        <v>2183</v>
      </c>
      <c r="AD34" s="39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/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</row>
    <row r="35" spans="1:248" s="164" customFormat="1">
      <c r="A35" s="242" t="s">
        <v>2162</v>
      </c>
      <c r="B35" s="35" t="s">
        <v>282</v>
      </c>
      <c r="C35" s="35"/>
      <c r="D35" s="58" t="s">
        <v>550</v>
      </c>
      <c r="E35" s="351" t="str">
        <f t="shared" si="0"/>
        <v xml:space="preserve">VT01                </v>
      </c>
      <c r="F35" s="243" t="str">
        <f t="shared" si="1"/>
        <v>9J1_974_029</v>
      </c>
      <c r="G35" s="244" t="str">
        <f t="shared" si="15"/>
        <v>E</v>
      </c>
      <c r="H35" s="243" t="str">
        <f t="shared" si="2"/>
        <v>1J219J1029</v>
      </c>
      <c r="I35" s="243" t="str">
        <f t="shared" si="3"/>
        <v>E0</v>
      </c>
      <c r="J35" s="279" t="s">
        <v>1117</v>
      </c>
      <c r="K35" s="56"/>
      <c r="L35" s="4" t="s">
        <v>2361</v>
      </c>
      <c r="M35" s="46">
        <v>6015</v>
      </c>
      <c r="N35" s="314">
        <v>1918</v>
      </c>
      <c r="O35" s="228">
        <v>1932</v>
      </c>
      <c r="P35" s="47" t="s">
        <v>2375</v>
      </c>
      <c r="Q35" s="35" t="s">
        <v>2359</v>
      </c>
      <c r="R35" s="243" t="str">
        <f>IF(J35&lt;&gt;"",CONCATENATE(H35,I35,J35),CONCATENATE(H35,I35,#REF!))</f>
        <v>1J219J1029E0B</v>
      </c>
      <c r="S35" s="245" t="str">
        <f t="shared" si="4"/>
        <v>NICHT AKTUELL</v>
      </c>
      <c r="T35" s="245"/>
      <c r="U35" s="245"/>
      <c r="V35" s="245"/>
      <c r="W35" s="301">
        <v>0.14069999999999999</v>
      </c>
      <c r="X35" s="35"/>
      <c r="Y35" s="35" t="s">
        <v>550</v>
      </c>
      <c r="Z35" s="35" t="s">
        <v>550</v>
      </c>
      <c r="AA35" s="35" t="s">
        <v>10</v>
      </c>
      <c r="AB35" s="35"/>
      <c r="AC35" s="75" t="s">
        <v>2401</v>
      </c>
      <c r="AD35" s="39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/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  <c r="HF35" s="35"/>
      <c r="HG35" s="35"/>
      <c r="HH35" s="35"/>
      <c r="HI35" s="35"/>
      <c r="HJ35" s="35"/>
      <c r="HK35" s="35"/>
      <c r="HL35" s="35"/>
      <c r="HM35" s="35"/>
      <c r="HN35" s="35"/>
      <c r="HO35" s="35"/>
      <c r="HP35" s="35"/>
      <c r="HQ35" s="35"/>
      <c r="HR35" s="35"/>
      <c r="HS35" s="35"/>
      <c r="HT35" s="35"/>
      <c r="HU35" s="35"/>
      <c r="HV35" s="35"/>
      <c r="HW35" s="35"/>
      <c r="HX35" s="35"/>
      <c r="HY35" s="35"/>
      <c r="HZ35" s="35"/>
      <c r="IA35" s="35"/>
      <c r="IB35" s="35"/>
      <c r="IC35" s="35"/>
      <c r="ID35" s="35"/>
      <c r="IE35" s="35"/>
      <c r="IF35" s="35"/>
      <c r="IG35" s="35"/>
      <c r="IH35" s="35"/>
      <c r="II35" s="35"/>
      <c r="IJ35" s="35"/>
      <c r="IK35" s="35"/>
      <c r="IL35" s="35"/>
      <c r="IM35" s="35"/>
      <c r="IN35" s="35"/>
    </row>
    <row r="36" spans="1:248" s="164" customFormat="1">
      <c r="A36" s="242" t="s">
        <v>2162</v>
      </c>
      <c r="B36" s="35" t="s">
        <v>282</v>
      </c>
      <c r="C36" s="35"/>
      <c r="D36" s="58" t="s">
        <v>550</v>
      </c>
      <c r="E36" s="351" t="str">
        <f t="shared" si="0"/>
        <v xml:space="preserve">VT01                </v>
      </c>
      <c r="F36" s="243" t="str">
        <f t="shared" si="1"/>
        <v>9J1_974_029</v>
      </c>
      <c r="G36" s="244" t="str">
        <f>IF(LEN(Q36)=11,0,MID(Q36,13,2))</f>
        <v>E</v>
      </c>
      <c r="H36" s="243" t="str">
        <f t="shared" si="2"/>
        <v>1J219J1029</v>
      </c>
      <c r="I36" s="243" t="str">
        <f t="shared" si="3"/>
        <v>E0</v>
      </c>
      <c r="J36" s="42" t="s">
        <v>2077</v>
      </c>
      <c r="K36" s="58"/>
      <c r="L36" s="4" t="s">
        <v>2361</v>
      </c>
      <c r="M36" s="46">
        <v>6025</v>
      </c>
      <c r="N36" s="314">
        <v>1933</v>
      </c>
      <c r="O36" s="228">
        <v>1944</v>
      </c>
      <c r="P36" s="47" t="s">
        <v>2418</v>
      </c>
      <c r="Q36" s="35" t="s">
        <v>2359</v>
      </c>
      <c r="R36" s="243" t="str">
        <f>IF(J36&lt;&gt;"",CONCATENATE(H36,I36,J36),CONCATENATE(H36,I36,#REF!))</f>
        <v>1J219J1029E0C</v>
      </c>
      <c r="S36" s="245" t="str">
        <f t="shared" si="4"/>
        <v>NICHT AKTUELL</v>
      </c>
      <c r="T36" s="245"/>
      <c r="U36" s="245"/>
      <c r="V36" s="245"/>
      <c r="W36" s="301">
        <v>0.14069999999999999</v>
      </c>
      <c r="X36" s="35"/>
      <c r="Y36" s="35" t="s">
        <v>550</v>
      </c>
      <c r="Z36" s="35" t="s">
        <v>550</v>
      </c>
      <c r="AA36" s="35" t="s">
        <v>10</v>
      </c>
      <c r="AB36" s="35"/>
      <c r="AC36" s="75" t="s">
        <v>2401</v>
      </c>
      <c r="AD36" s="39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  <c r="HF36" s="35"/>
      <c r="HG36" s="35"/>
      <c r="HH36" s="35"/>
      <c r="HI36" s="35"/>
      <c r="HJ36" s="35"/>
      <c r="HK36" s="35"/>
      <c r="HL36" s="35"/>
      <c r="HM36" s="35"/>
      <c r="HN36" s="35"/>
      <c r="HO36" s="35"/>
      <c r="HP36" s="35"/>
      <c r="HQ36" s="35"/>
      <c r="HR36" s="35"/>
      <c r="HS36" s="35"/>
      <c r="HT36" s="35"/>
      <c r="HU36" s="35"/>
      <c r="HV36" s="35"/>
      <c r="HW36" s="35"/>
      <c r="HX36" s="35"/>
      <c r="HY36" s="35"/>
      <c r="HZ36" s="35"/>
      <c r="IA36" s="35"/>
      <c r="IB36" s="35"/>
      <c r="IC36" s="35"/>
      <c r="ID36" s="35"/>
      <c r="IE36" s="35"/>
      <c r="IF36" s="35"/>
      <c r="IG36" s="35"/>
      <c r="IH36" s="35"/>
      <c r="II36" s="35"/>
      <c r="IJ36" s="35"/>
      <c r="IK36" s="35"/>
      <c r="IL36" s="35"/>
      <c r="IM36" s="35"/>
      <c r="IN36" s="35"/>
    </row>
    <row r="37" spans="1:248" s="164" customFormat="1">
      <c r="A37" s="242" t="s">
        <v>2162</v>
      </c>
      <c r="B37" s="35" t="s">
        <v>282</v>
      </c>
      <c r="C37" s="35"/>
      <c r="D37" s="58" t="s">
        <v>550</v>
      </c>
      <c r="E37" s="351" t="str">
        <f>CONCATENATE(IF(AC37&gt;0,$AC$1," ")," ",IF(AD37&gt;0,$AD$1," ")," ",IF(AE37&gt;0,$AE$1," ")," ",IF(AF37&gt;0,$AF$1," ")," ",IF(AG37&gt;0,$AG$1," ")," ",IF(AH37&gt;0,$AH$1," ")," ",IF(AI37&gt;0,$AI$1," ")," ",IF(AJ37&gt;0,$AJ$1," ")," ",IF(AK37&gt;0,$AK$1," "))</f>
        <v xml:space="preserve">VT01                </v>
      </c>
      <c r="F37" s="243" t="str">
        <f>LEFT(Q37,11)</f>
        <v>9J1_974_029</v>
      </c>
      <c r="G37" s="244" t="str">
        <f>IF(LEN(Q37)=11,0,MID(Q37,13,2))</f>
        <v>E</v>
      </c>
      <c r="H37" s="243" t="str">
        <f>CONCATENATE(IF(MID(Q37,5,3)="974","1J21"),LEFT(F37,3),RIGHT(F37,3))</f>
        <v>1J219J1029</v>
      </c>
      <c r="I37" s="243" t="str">
        <f>IF(G37=0,"00",IF(LEN(G37)=1,CONCATENATE(G37,0),G37))</f>
        <v>E0</v>
      </c>
      <c r="J37" s="42" t="s">
        <v>2181</v>
      </c>
      <c r="K37" s="58"/>
      <c r="L37" s="4" t="s">
        <v>2361</v>
      </c>
      <c r="M37" s="46">
        <v>6025.6617999999999</v>
      </c>
      <c r="N37" s="314">
        <v>1945</v>
      </c>
      <c r="O37" s="228">
        <v>2012</v>
      </c>
      <c r="P37" s="47" t="s">
        <v>2457</v>
      </c>
      <c r="Q37" s="35" t="s">
        <v>2359</v>
      </c>
      <c r="R37" s="243" t="str">
        <f>IF(J37&lt;&gt;"",CONCATENATE(H37,I37,J37),CONCATENATE(H37,I37,#REF!))</f>
        <v>1J219J1029E0D</v>
      </c>
      <c r="S37" s="245" t="str">
        <f>IF(N37="-","KEIN LIEFERUMFANG",IF(AND(N37&lt;=S$3,O37=""),"AKTUELL",IF(O37=N37,"KEIN SERIENEINSATZ",IF(N37&gt;S$3,"NOCH NICHT AKTUELL",IF(AND(N37&lt;S$3,O37&lt;S$3),"NICHT AKTUELL",IF(N37&lt;=S$3,"AKTUELL"))))))</f>
        <v>NICHT AKTUELL</v>
      </c>
      <c r="T37" s="245"/>
      <c r="U37" s="245"/>
      <c r="V37" s="245"/>
      <c r="W37" s="301">
        <v>0.14069999999999999</v>
      </c>
      <c r="X37" s="35"/>
      <c r="Y37" s="35" t="s">
        <v>550</v>
      </c>
      <c r="Z37" s="35" t="s">
        <v>550</v>
      </c>
      <c r="AA37" s="35" t="s">
        <v>10</v>
      </c>
      <c r="AB37" s="35"/>
      <c r="AC37" s="75" t="s">
        <v>2401</v>
      </c>
      <c r="AD37" s="39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  <c r="HH37" s="35"/>
      <c r="HI37" s="35"/>
      <c r="HJ37" s="35"/>
      <c r="HK37" s="35"/>
      <c r="HL37" s="35"/>
      <c r="HM37" s="35"/>
      <c r="HN37" s="35"/>
      <c r="HO37" s="35"/>
      <c r="HP37" s="35"/>
      <c r="HQ37" s="35"/>
      <c r="HR37" s="35"/>
      <c r="HS37" s="35"/>
      <c r="HT37" s="35"/>
      <c r="HU37" s="35"/>
      <c r="HV37" s="35"/>
      <c r="HW37" s="35"/>
      <c r="HX37" s="35"/>
      <c r="HY37" s="35"/>
      <c r="HZ37" s="35"/>
      <c r="IA37" s="35"/>
      <c r="IB37" s="35"/>
      <c r="IC37" s="35"/>
      <c r="ID37" s="35"/>
      <c r="IE37" s="35"/>
      <c r="IF37" s="35"/>
      <c r="IG37" s="35"/>
      <c r="IH37" s="35"/>
      <c r="II37" s="35"/>
      <c r="IJ37" s="35"/>
      <c r="IK37" s="35"/>
      <c r="IL37" s="35"/>
      <c r="IM37" s="35"/>
      <c r="IN37" s="35"/>
    </row>
    <row r="38" spans="1:248" s="164" customFormat="1">
      <c r="A38" s="242" t="s">
        <v>2162</v>
      </c>
      <c r="B38" s="35" t="s">
        <v>282</v>
      </c>
      <c r="C38" s="35"/>
      <c r="D38" s="58" t="s">
        <v>550</v>
      </c>
      <c r="E38" s="351" t="str">
        <f>CONCATENATE(IF(AC38&gt;0,$AC$1," ")," ",IF(AD38&gt;0,$AD$1," ")," ",IF(AE38&gt;0,$AE$1," ")," ",IF(AF38&gt;0,$AF$1," ")," ",IF(AG38&gt;0,$AG$1," ")," ",IF(AH38&gt;0,$AH$1," ")," ",IF(AI38&gt;0,$AI$1," ")," ",IF(AJ38&gt;0,$AJ$1," ")," ",IF(AK38&gt;0,$AK$1," "))</f>
        <v xml:space="preserve">VT01                </v>
      </c>
      <c r="F38" s="243" t="str">
        <f>LEFT(Q38,11)</f>
        <v>9J1_974_029</v>
      </c>
      <c r="G38" s="244" t="str">
        <f>IF(LEN(Q38)=11,0,MID(Q38,13,2))</f>
        <v>E</v>
      </c>
      <c r="H38" s="243" t="str">
        <f>CONCATENATE(IF(MID(Q38,5,3)="974","1J21"),LEFT(F38,3),RIGHT(F38,3))</f>
        <v>1J219J1029</v>
      </c>
      <c r="I38" s="243" t="str">
        <f>IF(G38=0,"00",IF(LEN(G38)=1,CONCATENATE(G38,0),G38))</f>
        <v>E0</v>
      </c>
      <c r="J38" s="42" t="s">
        <v>2398</v>
      </c>
      <c r="K38" s="58"/>
      <c r="L38" s="4" t="s">
        <v>2361</v>
      </c>
      <c r="M38" s="46" t="s">
        <v>2543</v>
      </c>
      <c r="N38" s="314">
        <v>2013</v>
      </c>
      <c r="O38" s="228"/>
      <c r="P38" s="47" t="s">
        <v>2457</v>
      </c>
      <c r="Q38" s="35" t="s">
        <v>2359</v>
      </c>
      <c r="R38" s="243" t="str">
        <f>IF(J38&lt;&gt;"",CONCATENATE(H38,I38,J38),CONCATENATE(H38,I38,#REF!))</f>
        <v>1J219J1029E0E</v>
      </c>
      <c r="S38" s="245" t="str">
        <f>IF(N38="-","KEIN LIEFERUMFANG",IF(AND(N38&lt;=S$3,O38=""),"AKTUELL",IF(O38=N38,"KEIN SERIENEINSATZ",IF(N38&gt;S$3,"NOCH NICHT AKTUELL",IF(AND(N38&lt;S$3,O38&lt;S$3),"NICHT AKTUELL",IF(N38&lt;=S$3,"AKTUELL"))))))</f>
        <v>AKTUELL</v>
      </c>
      <c r="T38" s="245"/>
      <c r="U38" s="245"/>
      <c r="V38" s="245"/>
      <c r="W38" s="301">
        <v>0.14069999999999999</v>
      </c>
      <c r="X38" s="35"/>
      <c r="Y38" s="35" t="s">
        <v>550</v>
      </c>
      <c r="Z38" s="35" t="s">
        <v>550</v>
      </c>
      <c r="AA38" s="35" t="s">
        <v>10</v>
      </c>
      <c r="AB38" s="35"/>
      <c r="AC38" s="75" t="s">
        <v>2401</v>
      </c>
      <c r="AD38" s="39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  <c r="HH38" s="35"/>
      <c r="HI38" s="35"/>
      <c r="HJ38" s="35"/>
      <c r="HK38" s="35"/>
      <c r="HL38" s="35"/>
      <c r="HM38" s="35"/>
      <c r="HN38" s="35"/>
      <c r="HO38" s="35"/>
      <c r="HP38" s="35"/>
      <c r="HQ38" s="35"/>
      <c r="HR38" s="35"/>
      <c r="HS38" s="35"/>
      <c r="HT38" s="35"/>
      <c r="HU38" s="35"/>
      <c r="HV38" s="35"/>
      <c r="HW38" s="35"/>
      <c r="HX38" s="35"/>
      <c r="HY38" s="35"/>
      <c r="HZ38" s="35"/>
      <c r="IA38" s="35"/>
      <c r="IB38" s="35"/>
      <c r="IC38" s="35"/>
      <c r="ID38" s="35"/>
      <c r="IE38" s="35"/>
      <c r="IF38" s="35"/>
      <c r="IG38" s="35"/>
      <c r="IH38" s="35"/>
      <c r="II38" s="35"/>
      <c r="IJ38" s="35"/>
      <c r="IK38" s="35"/>
      <c r="IL38" s="35"/>
      <c r="IM38" s="35"/>
      <c r="IN38" s="35"/>
    </row>
    <row r="39" spans="1:248" s="164" customFormat="1" ht="15" customHeight="1">
      <c r="A39" s="242" t="s">
        <v>2162</v>
      </c>
      <c r="B39" s="35" t="s">
        <v>285</v>
      </c>
      <c r="C39" s="35"/>
      <c r="D39" s="58"/>
      <c r="E39" s="351" t="str">
        <f t="shared" si="0"/>
        <v xml:space="preserve">                 </v>
      </c>
      <c r="F39" s="243" t="str">
        <f t="shared" si="1"/>
        <v>9J1_974_072</v>
      </c>
      <c r="G39" s="244">
        <f t="shared" si="15"/>
        <v>0</v>
      </c>
      <c r="H39" s="243" t="str">
        <f t="shared" si="2"/>
        <v>1J219J1072</v>
      </c>
      <c r="I39" s="243" t="str">
        <f t="shared" si="3"/>
        <v>00</v>
      </c>
      <c r="J39" s="279" t="s">
        <v>2077</v>
      </c>
      <c r="K39" s="58"/>
      <c r="L39" s="35" t="s">
        <v>599</v>
      </c>
      <c r="M39" s="46"/>
      <c r="N39" s="47"/>
      <c r="O39" s="228"/>
      <c r="P39" s="47"/>
      <c r="Q39" s="35" t="s">
        <v>722</v>
      </c>
      <c r="R39" s="243" t="str">
        <f t="shared" ref="R39:R46" si="16">IF(J39&lt;&gt;"",CONCATENATE(H39,I39,J39),CONCATENATE(H39,I39,K39))</f>
        <v>1J219J107200C</v>
      </c>
      <c r="S39" s="245" t="str">
        <f t="shared" si="4"/>
        <v>AKTUELL</v>
      </c>
      <c r="T39" s="245"/>
      <c r="U39" s="245"/>
      <c r="V39" s="245"/>
      <c r="W39" s="301">
        <v>0.50239999999999996</v>
      </c>
      <c r="X39" s="35"/>
      <c r="Y39" s="35" t="s">
        <v>10</v>
      </c>
      <c r="Z39" s="35" t="s">
        <v>550</v>
      </c>
      <c r="AA39" s="35" t="s">
        <v>10</v>
      </c>
      <c r="AB39" s="35"/>
      <c r="AC39" s="39"/>
      <c r="AD39" s="39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  <c r="HH39" s="35"/>
      <c r="HI39" s="35"/>
      <c r="HJ39" s="35"/>
      <c r="HK39" s="35"/>
      <c r="HL39" s="35"/>
      <c r="HM39" s="35"/>
      <c r="HN39" s="35"/>
      <c r="HO39" s="35"/>
      <c r="HP39" s="35"/>
      <c r="HQ39" s="35"/>
      <c r="HR39" s="35"/>
      <c r="HS39" s="35"/>
      <c r="HT39" s="35"/>
      <c r="HU39" s="35"/>
      <c r="HV39" s="35"/>
      <c r="HW39" s="35"/>
      <c r="HX39" s="35"/>
      <c r="HY39" s="35"/>
      <c r="HZ39" s="35"/>
      <c r="IA39" s="35"/>
      <c r="IB39" s="35"/>
      <c r="IC39" s="35"/>
      <c r="ID39" s="35"/>
      <c r="IE39" s="35"/>
      <c r="IF39" s="35"/>
      <c r="IG39" s="35"/>
      <c r="IH39" s="35"/>
      <c r="II39" s="35"/>
      <c r="IJ39" s="35"/>
      <c r="IK39" s="35"/>
      <c r="IL39" s="35"/>
      <c r="IM39" s="35"/>
      <c r="IN39" s="35"/>
    </row>
    <row r="40" spans="1:248" s="164" customFormat="1" ht="15" customHeight="1">
      <c r="A40" s="242" t="s">
        <v>2162</v>
      </c>
      <c r="B40" s="35" t="s">
        <v>70</v>
      </c>
      <c r="C40" s="35"/>
      <c r="D40" s="58" t="s">
        <v>550</v>
      </c>
      <c r="E40" s="351" t="str">
        <f t="shared" si="0"/>
        <v xml:space="preserve">                 </v>
      </c>
      <c r="F40" s="243" t="str">
        <f t="shared" si="1"/>
        <v>9J1_974_076</v>
      </c>
      <c r="G40" s="244">
        <f t="shared" si="15"/>
        <v>0</v>
      </c>
      <c r="H40" s="243" t="str">
        <f t="shared" si="2"/>
        <v>1J219J1076</v>
      </c>
      <c r="I40" s="243" t="str">
        <f t="shared" si="3"/>
        <v>00</v>
      </c>
      <c r="J40" s="279" t="s">
        <v>1117</v>
      </c>
      <c r="K40" s="58"/>
      <c r="L40" s="4" t="s">
        <v>1493</v>
      </c>
      <c r="M40" s="46"/>
      <c r="N40" s="47"/>
      <c r="O40" s="228">
        <v>1932</v>
      </c>
      <c r="P40" s="47"/>
      <c r="Q40" s="35" t="s">
        <v>727</v>
      </c>
      <c r="R40" s="243" t="str">
        <f t="shared" si="16"/>
        <v>1J219J107600B</v>
      </c>
      <c r="S40" s="245" t="str">
        <f t="shared" si="4"/>
        <v>NICHT AKTUELL</v>
      </c>
      <c r="T40" s="245"/>
      <c r="U40" s="245"/>
      <c r="V40" s="245"/>
      <c r="W40" s="301">
        <v>0.28989999999999999</v>
      </c>
      <c r="X40" s="35"/>
      <c r="Y40" s="35" t="s">
        <v>10</v>
      </c>
      <c r="Z40" s="35" t="s">
        <v>550</v>
      </c>
      <c r="AA40" s="35" t="s">
        <v>10</v>
      </c>
      <c r="AB40" s="35"/>
      <c r="AC40" s="39"/>
      <c r="AD40" s="39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  <c r="HH40" s="35"/>
      <c r="HI40" s="35"/>
      <c r="HJ40" s="35"/>
      <c r="HK40" s="35"/>
      <c r="HL40" s="35"/>
      <c r="HM40" s="35"/>
      <c r="HN40" s="35"/>
      <c r="HO40" s="35"/>
      <c r="HP40" s="35"/>
      <c r="HQ40" s="35"/>
      <c r="HR40" s="35"/>
      <c r="HS40" s="35"/>
      <c r="HT40" s="35"/>
      <c r="HU40" s="35"/>
      <c r="HV40" s="35"/>
      <c r="HW40" s="35"/>
      <c r="HX40" s="35"/>
      <c r="HY40" s="35"/>
      <c r="HZ40" s="35"/>
      <c r="IA40" s="35"/>
      <c r="IB40" s="35"/>
      <c r="IC40" s="35"/>
      <c r="ID40" s="35"/>
      <c r="IE40" s="35"/>
      <c r="IF40" s="35"/>
      <c r="IG40" s="35"/>
      <c r="IH40" s="35"/>
      <c r="II40" s="35"/>
      <c r="IJ40" s="35"/>
      <c r="IK40" s="35"/>
      <c r="IL40" s="35"/>
      <c r="IM40" s="35"/>
      <c r="IN40" s="35"/>
    </row>
    <row r="41" spans="1:248" s="164" customFormat="1" ht="15" customHeight="1">
      <c r="A41" s="242" t="s">
        <v>2162</v>
      </c>
      <c r="B41" s="35" t="s">
        <v>70</v>
      </c>
      <c r="C41" s="35"/>
      <c r="D41" s="58" t="s">
        <v>550</v>
      </c>
      <c r="E41" s="351" t="str">
        <f t="shared" si="0"/>
        <v xml:space="preserve">                 </v>
      </c>
      <c r="F41" s="243" t="str">
        <f t="shared" si="1"/>
        <v>9J1_974_076</v>
      </c>
      <c r="G41" s="244">
        <f>IF(LEN(Q41)=11,0,MID(Q41,13,2))</f>
        <v>0</v>
      </c>
      <c r="H41" s="243" t="str">
        <f t="shared" si="2"/>
        <v>1J219J1076</v>
      </c>
      <c r="I41" s="243" t="str">
        <f t="shared" si="3"/>
        <v>00</v>
      </c>
      <c r="J41" s="279" t="s">
        <v>2077</v>
      </c>
      <c r="K41" s="58"/>
      <c r="L41" s="4" t="s">
        <v>1493</v>
      </c>
      <c r="M41" s="46">
        <v>6025</v>
      </c>
      <c r="N41" s="47">
        <v>1933</v>
      </c>
      <c r="O41" s="228"/>
      <c r="P41" s="47" t="s">
        <v>2418</v>
      </c>
      <c r="Q41" s="35" t="s">
        <v>727</v>
      </c>
      <c r="R41" s="243" t="str">
        <f>IF(J41&lt;&gt;"",CONCATENATE(H41,I41,J41),CONCATENATE(H41,I41,K41))</f>
        <v>1J219J107600C</v>
      </c>
      <c r="S41" s="245" t="str">
        <f t="shared" si="4"/>
        <v>AKTUELL</v>
      </c>
      <c r="T41" s="245"/>
      <c r="U41" s="245"/>
      <c r="V41" s="245"/>
      <c r="W41" s="301">
        <v>0.28989999999999999</v>
      </c>
      <c r="X41" s="35"/>
      <c r="Y41" s="35" t="s">
        <v>10</v>
      </c>
      <c r="Z41" s="35" t="s">
        <v>550</v>
      </c>
      <c r="AA41" s="35" t="s">
        <v>10</v>
      </c>
      <c r="AB41" s="35"/>
      <c r="AC41" s="39"/>
      <c r="AD41" s="39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/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/>
      <c r="HR41" s="35"/>
      <c r="HS41" s="35"/>
      <c r="HT41" s="35"/>
      <c r="HU41" s="35"/>
      <c r="HV41" s="35"/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</row>
    <row r="42" spans="1:248" s="164" customFormat="1" ht="15" customHeight="1">
      <c r="A42" s="242" t="s">
        <v>2162</v>
      </c>
      <c r="B42" s="35" t="s">
        <v>70</v>
      </c>
      <c r="C42" s="35"/>
      <c r="D42" s="58" t="s">
        <v>550</v>
      </c>
      <c r="E42" s="351" t="str">
        <f t="shared" si="0"/>
        <v xml:space="preserve">                 </v>
      </c>
      <c r="F42" s="243" t="str">
        <f t="shared" si="1"/>
        <v>9J1_974_076</v>
      </c>
      <c r="G42" s="244" t="str">
        <f t="shared" si="15"/>
        <v>A</v>
      </c>
      <c r="H42" s="243" t="str">
        <f t="shared" si="2"/>
        <v>1J219J1076</v>
      </c>
      <c r="I42" s="243" t="str">
        <f t="shared" si="3"/>
        <v>A0</v>
      </c>
      <c r="J42" s="279" t="s">
        <v>1117</v>
      </c>
      <c r="K42" s="58"/>
      <c r="L42" s="4" t="s">
        <v>1494</v>
      </c>
      <c r="M42" s="46"/>
      <c r="N42" s="47"/>
      <c r="O42" s="228">
        <v>1932</v>
      </c>
      <c r="P42" s="47"/>
      <c r="Q42" s="35" t="s">
        <v>728</v>
      </c>
      <c r="R42" s="243" t="str">
        <f t="shared" si="16"/>
        <v>1J219J1076A0B</v>
      </c>
      <c r="S42" s="245" t="str">
        <f t="shared" si="4"/>
        <v>NICHT AKTUELL</v>
      </c>
      <c r="T42" s="245"/>
      <c r="U42" s="245"/>
      <c r="V42" s="245"/>
      <c r="W42" s="301">
        <v>0.51600000000000001</v>
      </c>
      <c r="X42" s="35"/>
      <c r="Y42" s="35" t="s">
        <v>10</v>
      </c>
      <c r="Z42" s="35" t="s">
        <v>550</v>
      </c>
      <c r="AA42" s="35" t="s">
        <v>10</v>
      </c>
      <c r="AB42" s="35"/>
      <c r="AC42" s="39"/>
      <c r="AD42" s="39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</row>
    <row r="43" spans="1:248" s="164" customFormat="1" ht="15" customHeight="1">
      <c r="A43" s="242" t="s">
        <v>2162</v>
      </c>
      <c r="B43" s="35" t="s">
        <v>70</v>
      </c>
      <c r="C43" s="35"/>
      <c r="D43" s="58" t="s">
        <v>550</v>
      </c>
      <c r="E43" s="351" t="str">
        <f t="shared" si="0"/>
        <v xml:space="preserve">                 </v>
      </c>
      <c r="F43" s="243" t="str">
        <f t="shared" si="1"/>
        <v>9J1_974_076</v>
      </c>
      <c r="G43" s="244" t="str">
        <f>IF(LEN(Q43)=11,0,MID(Q43,13,2))</f>
        <v>A</v>
      </c>
      <c r="H43" s="243" t="str">
        <f t="shared" si="2"/>
        <v>1J219J1076</v>
      </c>
      <c r="I43" s="243" t="str">
        <f t="shared" si="3"/>
        <v>A0</v>
      </c>
      <c r="J43" s="279" t="s">
        <v>2077</v>
      </c>
      <c r="K43" s="58"/>
      <c r="L43" s="4" t="s">
        <v>1494</v>
      </c>
      <c r="M43" s="46">
        <v>6025</v>
      </c>
      <c r="N43" s="47">
        <v>1933</v>
      </c>
      <c r="O43" s="228"/>
      <c r="P43" s="47" t="s">
        <v>2418</v>
      </c>
      <c r="Q43" s="35" t="s">
        <v>728</v>
      </c>
      <c r="R43" s="243" t="str">
        <f>IF(J43&lt;&gt;"",CONCATENATE(H43,I43,J43),CONCATENATE(H43,I43,K43))</f>
        <v>1J219J1076A0C</v>
      </c>
      <c r="S43" s="245" t="str">
        <f t="shared" si="4"/>
        <v>AKTUELL</v>
      </c>
      <c r="T43" s="245"/>
      <c r="U43" s="245"/>
      <c r="V43" s="245"/>
      <c r="W43" s="301">
        <v>0.51600000000000001</v>
      </c>
      <c r="X43" s="35"/>
      <c r="Y43" s="35" t="s">
        <v>10</v>
      </c>
      <c r="Z43" s="35" t="s">
        <v>550</v>
      </c>
      <c r="AA43" s="35" t="s">
        <v>10</v>
      </c>
      <c r="AB43" s="35"/>
      <c r="AC43" s="39"/>
      <c r="AD43" s="39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</row>
    <row r="44" spans="1:248" s="164" customFormat="1" ht="15" customHeight="1">
      <c r="A44" s="242" t="s">
        <v>2162</v>
      </c>
      <c r="B44" s="35" t="s">
        <v>70</v>
      </c>
      <c r="C44" s="35"/>
      <c r="D44" s="58" t="s">
        <v>550</v>
      </c>
      <c r="E44" s="351" t="str">
        <f t="shared" si="0"/>
        <v xml:space="preserve">                 </v>
      </c>
      <c r="F44" s="243" t="str">
        <f t="shared" si="1"/>
        <v>9J1_974_076</v>
      </c>
      <c r="G44" s="244" t="str">
        <f t="shared" si="15"/>
        <v>B</v>
      </c>
      <c r="H44" s="243" t="str">
        <f t="shared" si="2"/>
        <v>1J219J1076</v>
      </c>
      <c r="I44" s="243" t="str">
        <f t="shared" si="3"/>
        <v>B0</v>
      </c>
      <c r="J44" s="279" t="s">
        <v>1117</v>
      </c>
      <c r="K44" s="58"/>
      <c r="L44" s="4" t="s">
        <v>1496</v>
      </c>
      <c r="M44" s="46"/>
      <c r="N44" s="47"/>
      <c r="O44" s="228">
        <v>1932</v>
      </c>
      <c r="P44" s="47"/>
      <c r="Q44" s="35" t="s">
        <v>729</v>
      </c>
      <c r="R44" s="243" t="str">
        <f t="shared" si="16"/>
        <v>1J219J1076B0B</v>
      </c>
      <c r="S44" s="245" t="str">
        <f t="shared" si="4"/>
        <v>NICHT AKTUELL</v>
      </c>
      <c r="T44" s="245"/>
      <c r="U44" s="245"/>
      <c r="V44" s="245"/>
      <c r="W44" s="301">
        <v>4.4200000000000003E-2</v>
      </c>
      <c r="X44" s="35"/>
      <c r="Y44" s="35" t="s">
        <v>10</v>
      </c>
      <c r="Z44" s="35" t="s">
        <v>550</v>
      </c>
      <c r="AA44" s="35" t="s">
        <v>10</v>
      </c>
      <c r="AB44" s="35"/>
      <c r="AC44" s="39"/>
      <c r="AD44" s="39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</row>
    <row r="45" spans="1:248" s="164" customFormat="1" ht="15" customHeight="1">
      <c r="A45" s="242" t="s">
        <v>2162</v>
      </c>
      <c r="B45" s="35" t="s">
        <v>70</v>
      </c>
      <c r="C45" s="35"/>
      <c r="D45" s="58" t="s">
        <v>550</v>
      </c>
      <c r="E45" s="351" t="str">
        <f t="shared" si="0"/>
        <v xml:space="preserve">                 </v>
      </c>
      <c r="F45" s="243" t="str">
        <f t="shared" si="1"/>
        <v>9J1_974_076</v>
      </c>
      <c r="G45" s="244" t="str">
        <f>IF(LEN(Q45)=11,0,MID(Q45,13,2))</f>
        <v>B</v>
      </c>
      <c r="H45" s="243" t="str">
        <f t="shared" si="2"/>
        <v>1J219J1076</v>
      </c>
      <c r="I45" s="243" t="str">
        <f t="shared" si="3"/>
        <v>B0</v>
      </c>
      <c r="J45" s="279" t="s">
        <v>2077</v>
      </c>
      <c r="K45" s="58"/>
      <c r="L45" s="4" t="s">
        <v>1496</v>
      </c>
      <c r="M45" s="46">
        <v>6025.6031000000003</v>
      </c>
      <c r="N45" s="47">
        <v>1933</v>
      </c>
      <c r="O45" s="228"/>
      <c r="P45" s="47" t="s">
        <v>2418</v>
      </c>
      <c r="Q45" s="35" t="s">
        <v>729</v>
      </c>
      <c r="R45" s="243" t="str">
        <f>IF(J45&lt;&gt;"",CONCATENATE(H45,I45,J45),CONCATENATE(H45,I45,K45))</f>
        <v>1J219J1076B0C</v>
      </c>
      <c r="S45" s="245" t="str">
        <f t="shared" si="4"/>
        <v>AKTUELL</v>
      </c>
      <c r="T45" s="245"/>
      <c r="U45" s="245"/>
      <c r="V45" s="245"/>
      <c r="W45" s="301">
        <v>4.4200000000000003E-2</v>
      </c>
      <c r="X45" s="35"/>
      <c r="Y45" s="35" t="s">
        <v>10</v>
      </c>
      <c r="Z45" s="35" t="s">
        <v>550</v>
      </c>
      <c r="AA45" s="35" t="s">
        <v>10</v>
      </c>
      <c r="AB45" s="35"/>
      <c r="AC45" s="39"/>
      <c r="AD45" s="39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</row>
    <row r="46" spans="1:248" s="164" customFormat="1" ht="15" customHeight="1">
      <c r="A46" s="242" t="s">
        <v>2162</v>
      </c>
      <c r="B46" s="35" t="s">
        <v>750</v>
      </c>
      <c r="C46" s="35"/>
      <c r="D46" s="58"/>
      <c r="E46" s="351" t="str">
        <f t="shared" si="0"/>
        <v xml:space="preserve">  VT03              </v>
      </c>
      <c r="F46" s="243" t="str">
        <f t="shared" si="1"/>
        <v>9J1_974_077</v>
      </c>
      <c r="G46" s="244" t="str">
        <f t="shared" si="15"/>
        <v>A</v>
      </c>
      <c r="H46" s="243" t="str">
        <f t="shared" si="2"/>
        <v>1J219J1077</v>
      </c>
      <c r="I46" s="243" t="str">
        <f t="shared" si="3"/>
        <v>A0</v>
      </c>
      <c r="J46" s="279" t="s">
        <v>2181</v>
      </c>
      <c r="K46" s="58"/>
      <c r="L46" s="35" t="s">
        <v>2366</v>
      </c>
      <c r="M46" s="46">
        <v>6002.6014999999998</v>
      </c>
      <c r="N46" s="47"/>
      <c r="O46" s="228">
        <v>1917</v>
      </c>
      <c r="P46" s="47"/>
      <c r="Q46" s="35" t="s">
        <v>1681</v>
      </c>
      <c r="R46" s="243" t="str">
        <f t="shared" si="16"/>
        <v>1J219J1077A0D</v>
      </c>
      <c r="S46" s="245" t="str">
        <f t="shared" si="4"/>
        <v>NICHT AKTUELL</v>
      </c>
      <c r="T46" s="245"/>
      <c r="U46" s="245"/>
      <c r="V46" s="245"/>
      <c r="W46" s="301">
        <v>0.51339999999999997</v>
      </c>
      <c r="X46" s="35"/>
      <c r="Y46" s="35" t="s">
        <v>550</v>
      </c>
      <c r="Z46" s="35" t="s">
        <v>550</v>
      </c>
      <c r="AA46" s="35" t="s">
        <v>10</v>
      </c>
      <c r="AB46" s="35"/>
      <c r="AC46" s="39"/>
      <c r="AD46" s="75" t="s">
        <v>2177</v>
      </c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</row>
    <row r="47" spans="1:248" s="164" customFormat="1" ht="15" customHeight="1">
      <c r="A47" s="242" t="s">
        <v>2162</v>
      </c>
      <c r="B47" s="35" t="s">
        <v>750</v>
      </c>
      <c r="C47" s="35"/>
      <c r="D47" s="58"/>
      <c r="E47" s="351" t="str">
        <f t="shared" si="0"/>
        <v xml:space="preserve">  VT03              </v>
      </c>
      <c r="F47" s="243" t="str">
        <f t="shared" si="1"/>
        <v>9J1_974_077</v>
      </c>
      <c r="G47" s="244" t="str">
        <f t="shared" si="15"/>
        <v>A</v>
      </c>
      <c r="H47" s="243" t="str">
        <f t="shared" si="2"/>
        <v>1J219J1077</v>
      </c>
      <c r="I47" s="243" t="str">
        <f t="shared" si="3"/>
        <v>A0</v>
      </c>
      <c r="J47" s="42" t="s">
        <v>2398</v>
      </c>
      <c r="K47" s="58"/>
      <c r="L47" s="35" t="s">
        <v>2366</v>
      </c>
      <c r="M47" s="46">
        <v>6002.6014999999998</v>
      </c>
      <c r="N47" s="314">
        <v>1918</v>
      </c>
      <c r="O47" s="228">
        <v>2012</v>
      </c>
      <c r="P47" s="47" t="s">
        <v>2375</v>
      </c>
      <c r="Q47" s="35" t="s">
        <v>1681</v>
      </c>
      <c r="R47" s="243" t="str">
        <f>IF(J47&lt;&gt;"",CONCATENATE(H47,I47,J47),CONCATENATE(H47,I47,#REF!))</f>
        <v>1J219J1077A0E</v>
      </c>
      <c r="S47" s="245" t="str">
        <f t="shared" si="4"/>
        <v>NICHT AKTUELL</v>
      </c>
      <c r="T47" s="245"/>
      <c r="U47" s="245"/>
      <c r="V47" s="245"/>
      <c r="W47" s="301">
        <v>0.51339999999999997</v>
      </c>
      <c r="X47" s="35"/>
      <c r="Y47" s="35" t="s">
        <v>550</v>
      </c>
      <c r="Z47" s="35" t="s">
        <v>550</v>
      </c>
      <c r="AA47" s="35" t="s">
        <v>10</v>
      </c>
      <c r="AB47" s="35"/>
      <c r="AC47" s="39"/>
      <c r="AD47" s="75" t="s">
        <v>2402</v>
      </c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</row>
    <row r="48" spans="1:248" s="164" customFormat="1" ht="15" customHeight="1">
      <c r="A48" s="242" t="s">
        <v>2162</v>
      </c>
      <c r="B48" s="35" t="s">
        <v>750</v>
      </c>
      <c r="C48" s="35"/>
      <c r="D48" s="58"/>
      <c r="E48" s="351" t="str">
        <f>CONCATENATE(IF(AC48&gt;0,$AC$1," ")," ",IF(AD48&gt;0,$AD$1," ")," ",IF(AE48&gt;0,$AE$1," ")," ",IF(AF48&gt;0,$AF$1," ")," ",IF(AG48&gt;0,$AG$1," ")," ",IF(AH48&gt;0,$AH$1," ")," ",IF(AI48&gt;0,$AI$1," ")," ",IF(AJ48&gt;0,$AJ$1," ")," ",IF(AK48&gt;0,$AK$1," "))</f>
        <v xml:space="preserve">  VT03              </v>
      </c>
      <c r="F48" s="243" t="str">
        <f>LEFT(Q48,11)</f>
        <v>9J1_974_077</v>
      </c>
      <c r="G48" s="244" t="str">
        <f>IF(LEN(Q48)=11,0,MID(Q48,13,2))</f>
        <v>A</v>
      </c>
      <c r="H48" s="243" t="str">
        <f>CONCATENATE(IF(MID(Q48,5,3)="974","1J21"),LEFT(F48,3),RIGHT(F48,3))</f>
        <v>1J219J1077</v>
      </c>
      <c r="I48" s="243" t="str">
        <f>IF(G48=0,"00",IF(LEN(G48)=1,CONCATENATE(G48,0),G48))</f>
        <v>A0</v>
      </c>
      <c r="J48" s="42" t="s">
        <v>2398</v>
      </c>
      <c r="K48" s="58"/>
      <c r="L48" s="35" t="s">
        <v>2521</v>
      </c>
      <c r="M48" s="46" t="s">
        <v>2522</v>
      </c>
      <c r="N48" s="314">
        <v>2013</v>
      </c>
      <c r="O48" s="228"/>
      <c r="P48" s="47" t="s">
        <v>2457</v>
      </c>
      <c r="Q48" s="35" t="s">
        <v>1681</v>
      </c>
      <c r="R48" s="243" t="str">
        <f>IF(J48&lt;&gt;"",CONCATENATE(H48,I48,J48),CONCATENATE(H48,I48,#REF!))</f>
        <v>1J219J1077A0E</v>
      </c>
      <c r="S48" s="245" t="str">
        <f>IF(N48="-","KEIN LIEFERUMFANG",IF(AND(N48&lt;=S$3,O48=""),"AKTUELL",IF(O48=N48,"KEIN SERIENEINSATZ",IF(N48&gt;S$3,"NOCH NICHT AKTUELL",IF(AND(N48&lt;S$3,O48&lt;S$3),"NICHT AKTUELL",IF(N48&lt;=S$3,"AKTUELL"))))))</f>
        <v>AKTUELL</v>
      </c>
      <c r="T48" s="245"/>
      <c r="U48" s="245"/>
      <c r="V48" s="245"/>
      <c r="W48" s="301">
        <v>0.51339999999999997</v>
      </c>
      <c r="X48" s="35"/>
      <c r="Y48" s="35" t="s">
        <v>550</v>
      </c>
      <c r="Z48" s="35" t="s">
        <v>550</v>
      </c>
      <c r="AA48" s="35" t="s">
        <v>10</v>
      </c>
      <c r="AB48" s="35"/>
      <c r="AC48" s="39"/>
      <c r="AD48" s="75" t="s">
        <v>2402</v>
      </c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</row>
    <row r="49" spans="1:248" s="164" customFormat="1" ht="15" customHeight="1">
      <c r="A49" s="242" t="s">
        <v>2162</v>
      </c>
      <c r="B49" s="35" t="s">
        <v>750</v>
      </c>
      <c r="C49" s="35"/>
      <c r="D49" s="58"/>
      <c r="E49" s="351" t="s">
        <v>1094</v>
      </c>
      <c r="F49" s="243" t="str">
        <f>LEFT(Q49,11)</f>
        <v>9J1_974_077</v>
      </c>
      <c r="G49" s="244" t="str">
        <f t="shared" si="15"/>
        <v>B</v>
      </c>
      <c r="H49" s="243" t="str">
        <f>CONCATENATE(IF(MID(Q49,5,3)="974","1J21"),LEFT(F49,3),RIGHT(F49,3))</f>
        <v>1J219J1077</v>
      </c>
      <c r="I49" s="243" t="str">
        <f>IF(G49=0,"00",IF(LEN(G49)=1,CONCATENATE(G49,0),G49))</f>
        <v>B0</v>
      </c>
      <c r="J49" s="42" t="s">
        <v>1116</v>
      </c>
      <c r="K49" s="58"/>
      <c r="L49" s="35" t="s">
        <v>2460</v>
      </c>
      <c r="M49" s="46">
        <v>6612</v>
      </c>
      <c r="N49" s="314">
        <v>1946</v>
      </c>
      <c r="O49" s="228"/>
      <c r="P49" s="47" t="s">
        <v>2457</v>
      </c>
      <c r="Q49" s="35" t="s">
        <v>2459</v>
      </c>
      <c r="R49" s="243" t="str">
        <f>IF(J49&lt;&gt;"",CONCATENATE(H49,I49,J49),CONCATENATE(H49,I49,#REF!))</f>
        <v>1J219J1077B0A</v>
      </c>
      <c r="S49" s="245" t="str">
        <f>IF(N49="-","KEIN LIEFERUMFANG",IF(AND(N49&lt;=S$3,O49=""),"AKTUELL",IF(O49=N49,"KEIN SERIENEINSATZ",IF(N49&gt;S$3,"NOCH NICHT AKTUELL",IF(AND(N49&lt;S$3,O49&lt;S$3),"NICHT AKTUELL",IF(N49&lt;=S$3,"AKTUELL"))))))</f>
        <v>AKTUELL</v>
      </c>
      <c r="T49" s="245"/>
      <c r="U49" s="245"/>
      <c r="V49" s="245"/>
      <c r="W49" s="301">
        <v>4.4999999999999998E-2</v>
      </c>
      <c r="X49" s="35"/>
      <c r="Y49" s="35" t="s">
        <v>550</v>
      </c>
      <c r="Z49" s="35" t="s">
        <v>550</v>
      </c>
      <c r="AA49" s="35" t="s">
        <v>10</v>
      </c>
      <c r="AB49" s="35"/>
      <c r="AC49" s="39"/>
      <c r="AD49" s="75" t="s">
        <v>2402</v>
      </c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</row>
    <row r="50" spans="1:248" s="164" customFormat="1" ht="15" customHeight="1">
      <c r="A50" s="242" t="s">
        <v>2162</v>
      </c>
      <c r="B50" s="35" t="s">
        <v>755</v>
      </c>
      <c r="C50" s="35"/>
      <c r="D50" s="58"/>
      <c r="E50" s="351" t="str">
        <f t="shared" si="0"/>
        <v xml:space="preserve">                 </v>
      </c>
      <c r="F50" s="243" t="str">
        <f t="shared" si="1"/>
        <v>9J1_974_089</v>
      </c>
      <c r="G50" s="244">
        <f t="shared" si="15"/>
        <v>0</v>
      </c>
      <c r="H50" s="243" t="str">
        <f t="shared" si="2"/>
        <v>1J219J1089</v>
      </c>
      <c r="I50" s="243" t="str">
        <f t="shared" si="3"/>
        <v>00</v>
      </c>
      <c r="J50" s="279" t="s">
        <v>2077</v>
      </c>
      <c r="K50" s="58"/>
      <c r="L50" s="4" t="s">
        <v>1306</v>
      </c>
      <c r="M50" s="46">
        <v>6022</v>
      </c>
      <c r="N50" s="47"/>
      <c r="O50" s="228">
        <v>1917</v>
      </c>
      <c r="P50" s="47"/>
      <c r="Q50" s="35" t="s">
        <v>756</v>
      </c>
      <c r="R50" s="243" t="str">
        <f t="shared" ref="R50:R55" si="17">IF(J50&lt;&gt;"",CONCATENATE(H50,I50,J50),CONCATENATE(H50,I50,K50))</f>
        <v>1J219J108900C</v>
      </c>
      <c r="S50" s="245" t="str">
        <f t="shared" si="4"/>
        <v>NICHT AKTUELL</v>
      </c>
      <c r="T50" s="245"/>
      <c r="U50" s="245"/>
      <c r="V50" s="245"/>
      <c r="W50" s="301">
        <v>0.85</v>
      </c>
      <c r="X50" s="35"/>
      <c r="Y50" s="35" t="s">
        <v>10</v>
      </c>
      <c r="Z50" s="35" t="s">
        <v>550</v>
      </c>
      <c r="AA50" s="35" t="s">
        <v>10</v>
      </c>
      <c r="AB50" s="35"/>
      <c r="AC50" s="39"/>
      <c r="AD50" s="39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</row>
    <row r="51" spans="1:248" s="164" customFormat="1" ht="15" customHeight="1">
      <c r="A51" s="242" t="s">
        <v>2162</v>
      </c>
      <c r="B51" s="35" t="s">
        <v>755</v>
      </c>
      <c r="C51" s="35"/>
      <c r="D51" s="58"/>
      <c r="E51" s="351" t="str">
        <f t="shared" si="0"/>
        <v xml:space="preserve">                 </v>
      </c>
      <c r="F51" s="243" t="str">
        <f t="shared" si="1"/>
        <v>9J1_974_089</v>
      </c>
      <c r="G51" s="244">
        <f t="shared" si="15"/>
        <v>0</v>
      </c>
      <c r="H51" s="243" t="str">
        <f t="shared" si="2"/>
        <v>1J219J1089</v>
      </c>
      <c r="I51" s="243" t="str">
        <f t="shared" si="3"/>
        <v>00</v>
      </c>
      <c r="J51" s="279" t="s">
        <v>2077</v>
      </c>
      <c r="K51" s="58"/>
      <c r="L51" s="4" t="s">
        <v>2397</v>
      </c>
      <c r="M51" s="46">
        <v>6022</v>
      </c>
      <c r="N51" s="47">
        <v>1918</v>
      </c>
      <c r="O51" s="228">
        <v>2035</v>
      </c>
      <c r="P51" s="47" t="s">
        <v>2375</v>
      </c>
      <c r="Q51" s="35" t="s">
        <v>756</v>
      </c>
      <c r="R51" s="243" t="str">
        <f t="shared" si="17"/>
        <v>1J219J108900C</v>
      </c>
      <c r="S51" s="245" t="str">
        <f t="shared" si="4"/>
        <v>NICHT AKTUELL</v>
      </c>
      <c r="T51" s="245"/>
      <c r="U51" s="245"/>
      <c r="V51" s="245"/>
      <c r="W51" s="301">
        <v>0.85</v>
      </c>
      <c r="X51" s="35"/>
      <c r="Y51" s="35" t="s">
        <v>10</v>
      </c>
      <c r="Z51" s="35" t="s">
        <v>550</v>
      </c>
      <c r="AA51" s="35" t="s">
        <v>10</v>
      </c>
      <c r="AB51" s="35"/>
      <c r="AC51" s="39"/>
      <c r="AD51" s="39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35"/>
      <c r="DZ51" s="35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35"/>
      <c r="EV51" s="35"/>
      <c r="EW51" s="35"/>
      <c r="EX51" s="35"/>
      <c r="EY51" s="35"/>
      <c r="EZ51" s="35"/>
      <c r="FA51" s="35"/>
      <c r="FB51" s="35"/>
      <c r="FC51" s="35"/>
      <c r="FD51" s="35"/>
      <c r="FE51" s="35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35"/>
      <c r="FR51" s="35"/>
      <c r="FS51" s="35"/>
      <c r="FT51" s="35"/>
      <c r="FU51" s="35"/>
      <c r="FV51" s="35"/>
      <c r="FW51" s="35"/>
      <c r="FX51" s="35"/>
      <c r="FY51" s="35"/>
      <c r="FZ51" s="35"/>
      <c r="GA51" s="35"/>
      <c r="GB51" s="35"/>
      <c r="GC51" s="35"/>
      <c r="GD51" s="35"/>
      <c r="GE51" s="35"/>
      <c r="GF51" s="35"/>
      <c r="GG51" s="35"/>
      <c r="GH51" s="35"/>
      <c r="GI51" s="35"/>
      <c r="GJ51" s="35"/>
      <c r="GK51" s="35"/>
      <c r="GL51" s="35"/>
      <c r="GM51" s="35"/>
      <c r="GN51" s="35"/>
      <c r="GO51" s="35"/>
      <c r="GP51" s="35"/>
      <c r="GQ51" s="35"/>
      <c r="GR51" s="35"/>
      <c r="GS51" s="35"/>
      <c r="GT51" s="35"/>
      <c r="GU51" s="35"/>
      <c r="GV51" s="35"/>
      <c r="GW51" s="35"/>
      <c r="GX51" s="35"/>
      <c r="GY51" s="35"/>
      <c r="GZ51" s="35"/>
      <c r="HA51" s="35"/>
      <c r="HB51" s="35"/>
      <c r="HC51" s="35"/>
      <c r="HD51" s="35"/>
      <c r="HE51" s="35"/>
      <c r="HF51" s="35"/>
      <c r="HG51" s="35"/>
      <c r="HH51" s="35"/>
      <c r="HI51" s="35"/>
      <c r="HJ51" s="35"/>
      <c r="HK51" s="35"/>
      <c r="HL51" s="35"/>
      <c r="HM51" s="35"/>
      <c r="HN51" s="35"/>
      <c r="HO51" s="35"/>
      <c r="HP51" s="35"/>
      <c r="HQ51" s="35"/>
      <c r="HR51" s="35"/>
      <c r="HS51" s="35"/>
      <c r="HT51" s="35"/>
      <c r="HU51" s="35"/>
      <c r="HV51" s="35"/>
      <c r="HW51" s="35"/>
      <c r="HX51" s="35"/>
      <c r="HY51" s="35"/>
      <c r="HZ51" s="35"/>
      <c r="IA51" s="35"/>
      <c r="IB51" s="35"/>
      <c r="IC51" s="35"/>
      <c r="ID51" s="35"/>
      <c r="IE51" s="35"/>
      <c r="IF51" s="35"/>
      <c r="IG51" s="35"/>
      <c r="IH51" s="35"/>
      <c r="II51" s="35"/>
      <c r="IJ51" s="35"/>
      <c r="IK51" s="35"/>
      <c r="IL51" s="35"/>
      <c r="IM51" s="35"/>
      <c r="IN51" s="35"/>
    </row>
    <row r="52" spans="1:248" s="164" customFormat="1" ht="15" customHeight="1">
      <c r="A52" s="242" t="s">
        <v>2162</v>
      </c>
      <c r="B52" s="35" t="s">
        <v>755</v>
      </c>
      <c r="C52" s="35"/>
      <c r="D52" s="58"/>
      <c r="E52" s="351" t="str">
        <f t="shared" ref="E52" si="18">CONCATENATE(IF(AC52&gt;0,$AC$1," ")," ",IF(AD52&gt;0,$AD$1," ")," ",IF(AE52&gt;0,$AE$1," ")," ",IF(AF52&gt;0,$AF$1," ")," ",IF(AG52&gt;0,$AG$1," ")," ",IF(AH52&gt;0,$AH$1," ")," ",IF(AI52&gt;0,$AI$1," ")," ",IF(AJ52&gt;0,$AJ$1," ")," ",IF(AK52&gt;0,$AK$1," "))</f>
        <v xml:space="preserve">                 </v>
      </c>
      <c r="F52" s="243" t="str">
        <f t="shared" ref="F52" si="19">LEFT(Q52,11)</f>
        <v>9J1_974_089</v>
      </c>
      <c r="G52" s="244">
        <f t="shared" ref="G52" si="20">IF(LEN(Q52)=11,0,MID(Q52,13,2))</f>
        <v>0</v>
      </c>
      <c r="H52" s="243" t="str">
        <f t="shared" ref="H52" si="21">CONCATENATE(IF(MID(Q52,5,3)="974","1J21"),LEFT(F52,3),RIGHT(F52,3))</f>
        <v>1J219J1089</v>
      </c>
      <c r="I52" s="243" t="str">
        <f t="shared" ref="I52" si="22">IF(G52=0,"00",IF(LEN(G52)=1,CONCATENATE(G52,0),G52))</f>
        <v>00</v>
      </c>
      <c r="J52" s="279" t="s">
        <v>2077</v>
      </c>
      <c r="K52" s="58"/>
      <c r="L52" s="391" t="s">
        <v>2564</v>
      </c>
      <c r="M52" s="46">
        <v>7011</v>
      </c>
      <c r="N52" s="47">
        <v>2036</v>
      </c>
      <c r="O52" s="228"/>
      <c r="P52" s="47"/>
      <c r="Q52" s="35" t="s">
        <v>756</v>
      </c>
      <c r="R52" s="243" t="str">
        <f t="shared" si="17"/>
        <v>1J219J108900C</v>
      </c>
      <c r="S52" s="245" t="str">
        <f t="shared" ref="S52" si="23">IF(N52="-","KEIN LIEFERUMFANG",IF(AND(N52&lt;=S$3,O52=""),"AKTUELL",IF(O52=N52,"KEIN SERIENEINSATZ",IF(N52&gt;S$3,"NOCH NICHT AKTUELL",IF(AND(N52&lt;S$3,O52&lt;S$3),"NICHT AKTUELL",IF(N52&lt;=S$3,"AKTUELL"))))))</f>
        <v>AKTUELL</v>
      </c>
      <c r="T52" s="245"/>
      <c r="U52" s="245"/>
      <c r="V52" s="245"/>
      <c r="W52" s="301">
        <v>0.85</v>
      </c>
      <c r="X52" s="35"/>
      <c r="Y52" s="35" t="s">
        <v>10</v>
      </c>
      <c r="Z52" s="35" t="s">
        <v>550</v>
      </c>
      <c r="AA52" s="35" t="s">
        <v>10</v>
      </c>
      <c r="AB52" s="35"/>
      <c r="AC52" s="39"/>
      <c r="AD52" s="39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35"/>
      <c r="EV52" s="35"/>
      <c r="EW52" s="35"/>
      <c r="EX52" s="35"/>
      <c r="EY52" s="35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  <c r="FU52" s="35"/>
      <c r="FV52" s="35"/>
      <c r="FW52" s="35"/>
      <c r="FX52" s="35"/>
      <c r="FY52" s="35"/>
      <c r="FZ52" s="35"/>
      <c r="GA52" s="35"/>
      <c r="GB52" s="35"/>
      <c r="GC52" s="35"/>
      <c r="GD52" s="35"/>
      <c r="GE52" s="35"/>
      <c r="GF52" s="35"/>
      <c r="GG52" s="35"/>
      <c r="GH52" s="35"/>
      <c r="GI52" s="35"/>
      <c r="GJ52" s="35"/>
      <c r="GK52" s="35"/>
      <c r="GL52" s="35"/>
      <c r="GM52" s="35"/>
      <c r="GN52" s="35"/>
      <c r="GO52" s="35"/>
      <c r="GP52" s="35"/>
      <c r="GQ52" s="35"/>
      <c r="GR52" s="35"/>
      <c r="GS52" s="35"/>
      <c r="GT52" s="35"/>
      <c r="GU52" s="35"/>
      <c r="GV52" s="35"/>
      <c r="GW52" s="35"/>
      <c r="GX52" s="35"/>
      <c r="GY52" s="35"/>
      <c r="GZ52" s="35"/>
      <c r="HA52" s="35"/>
      <c r="HB52" s="35"/>
      <c r="HC52" s="35"/>
      <c r="HD52" s="35"/>
      <c r="HE52" s="35"/>
      <c r="HF52" s="35"/>
      <c r="HG52" s="35"/>
      <c r="HH52" s="35"/>
      <c r="HI52" s="35"/>
      <c r="HJ52" s="35"/>
      <c r="HK52" s="35"/>
      <c r="HL52" s="35"/>
      <c r="HM52" s="35"/>
      <c r="HN52" s="35"/>
      <c r="HO52" s="35"/>
      <c r="HP52" s="35"/>
      <c r="HQ52" s="35"/>
      <c r="HR52" s="35"/>
      <c r="HS52" s="35"/>
      <c r="HT52" s="35"/>
      <c r="HU52" s="35"/>
      <c r="HV52" s="35"/>
      <c r="HW52" s="35"/>
      <c r="HX52" s="35"/>
      <c r="HY52" s="35"/>
      <c r="HZ52" s="35"/>
      <c r="IA52" s="35"/>
      <c r="IB52" s="35"/>
      <c r="IC52" s="35"/>
      <c r="ID52" s="35"/>
      <c r="IE52" s="35"/>
      <c r="IF52" s="35"/>
      <c r="IG52" s="35"/>
      <c r="IH52" s="35"/>
      <c r="II52" s="35"/>
      <c r="IJ52" s="35"/>
      <c r="IK52" s="35"/>
      <c r="IL52" s="35"/>
      <c r="IM52" s="35"/>
      <c r="IN52" s="35"/>
    </row>
    <row r="53" spans="1:248" s="164" customFormat="1" ht="15" customHeight="1">
      <c r="A53" s="242" t="s">
        <v>2162</v>
      </c>
      <c r="B53" s="35" t="s">
        <v>328</v>
      </c>
      <c r="C53" s="35"/>
      <c r="D53" s="58"/>
      <c r="E53" s="351" t="str">
        <f t="shared" si="0"/>
        <v xml:space="preserve">                 </v>
      </c>
      <c r="F53" s="243" t="str">
        <f t="shared" si="1"/>
        <v>9J1_974_128</v>
      </c>
      <c r="G53" s="244">
        <f t="shared" si="15"/>
        <v>0</v>
      </c>
      <c r="H53" s="243" t="str">
        <f t="shared" si="2"/>
        <v>1J219J1128</v>
      </c>
      <c r="I53" s="243" t="str">
        <f t="shared" si="3"/>
        <v>00</v>
      </c>
      <c r="J53" s="279" t="s">
        <v>1117</v>
      </c>
      <c r="K53" s="58"/>
      <c r="L53" s="35" t="s">
        <v>1317</v>
      </c>
      <c r="M53" s="46"/>
      <c r="N53" s="47"/>
      <c r="O53" s="228"/>
      <c r="P53" s="47"/>
      <c r="Q53" s="35" t="s">
        <v>759</v>
      </c>
      <c r="R53" s="243" t="str">
        <f t="shared" si="17"/>
        <v>1J219J112800B</v>
      </c>
      <c r="S53" s="245" t="str">
        <f t="shared" si="4"/>
        <v>AKTUELL</v>
      </c>
      <c r="T53" s="245"/>
      <c r="U53" s="245"/>
      <c r="V53" s="245"/>
      <c r="W53" s="301">
        <v>0.85</v>
      </c>
      <c r="X53" s="35"/>
      <c r="Y53" s="35" t="s">
        <v>10</v>
      </c>
      <c r="Z53" s="35" t="s">
        <v>550</v>
      </c>
      <c r="AA53" s="35" t="s">
        <v>10</v>
      </c>
      <c r="AB53" s="35"/>
      <c r="AC53" s="39"/>
      <c r="AD53" s="39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  <c r="ID53" s="35"/>
      <c r="IE53" s="35"/>
      <c r="IF53" s="35"/>
      <c r="IG53" s="35"/>
      <c r="IH53" s="35"/>
      <c r="II53" s="35"/>
      <c r="IJ53" s="35"/>
      <c r="IK53" s="35"/>
      <c r="IL53" s="35"/>
      <c r="IM53" s="35"/>
      <c r="IN53" s="35"/>
    </row>
    <row r="54" spans="1:248" s="164" customFormat="1" ht="15" customHeight="1">
      <c r="A54" s="242" t="s">
        <v>2162</v>
      </c>
      <c r="B54" s="35" t="s">
        <v>284</v>
      </c>
      <c r="C54" s="35"/>
      <c r="D54" s="58"/>
      <c r="E54" s="351" t="str">
        <f t="shared" ref="E54:E67" si="24">CONCATENATE(IF(AC54&gt;0,$AC$1," ")," ",IF(AD54&gt;0,$AD$1," ")," ",IF(AE54&gt;0,$AE$1," ")," ",IF(AF54&gt;0,$AF$1," ")," ",IF(AG54&gt;0,$AG$1," ")," ",IF(AH54&gt;0,$AH$1," ")," ",IF(AI54&gt;0,$AI$1," ")," ",IF(AJ54&gt;0,$AJ$1," ")," ",IF(AK54&gt;0,$AK$1," "))</f>
        <v xml:space="preserve">                 </v>
      </c>
      <c r="F54" s="243" t="str">
        <f t="shared" ref="F54:F67" si="25">LEFT(Q54,11)</f>
        <v>9J1_974_136</v>
      </c>
      <c r="G54" s="244">
        <f t="shared" si="15"/>
        <v>0</v>
      </c>
      <c r="H54" s="243" t="str">
        <f t="shared" ref="H54:H85" si="26">CONCATENATE(IF(MID(Q54,5,3)="974","1J21"),LEFT(F54,3),RIGHT(F54,3))</f>
        <v>1J219J1136</v>
      </c>
      <c r="I54" s="243" t="str">
        <f t="shared" ref="I54:I73" si="27">IF(G54=0,"00",IF(LEN(G54)=1,CONCATENATE(G54,0),G54))</f>
        <v>00</v>
      </c>
      <c r="J54" s="279" t="s">
        <v>2077</v>
      </c>
      <c r="K54" s="58"/>
      <c r="L54" s="35" t="s">
        <v>762</v>
      </c>
      <c r="M54" s="46"/>
      <c r="N54" s="47"/>
      <c r="O54" s="228"/>
      <c r="P54" s="47"/>
      <c r="Q54" s="35" t="s">
        <v>761</v>
      </c>
      <c r="R54" s="243" t="str">
        <f t="shared" si="17"/>
        <v>1J219J113600C</v>
      </c>
      <c r="S54" s="245" t="str">
        <f t="shared" ref="S54:S85" si="28">IF(N54="-","KEIN LIEFERUMFANG",IF(AND(N54&lt;=S$3,O54=""),"AKTUELL",IF(O54=N54,"KEIN SERIENEINSATZ",IF(N54&gt;S$3,"NOCH NICHT AKTUELL",IF(AND(N54&lt;S$3,O54&lt;S$3),"NICHT AKTUELL",IF(N54&lt;=S$3,"AKTUELL"))))))</f>
        <v>AKTUELL</v>
      </c>
      <c r="T54" s="245"/>
      <c r="U54" s="245"/>
      <c r="V54" s="245"/>
      <c r="W54" s="301">
        <v>0.23469999999999999</v>
      </c>
      <c r="X54" s="35"/>
      <c r="Y54" s="35" t="s">
        <v>10</v>
      </c>
      <c r="Z54" s="35" t="s">
        <v>550</v>
      </c>
      <c r="AA54" s="35" t="s">
        <v>10</v>
      </c>
      <c r="AB54" s="35"/>
      <c r="AC54" s="39"/>
      <c r="AD54" s="39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/>
      <c r="HY54" s="35"/>
      <c r="HZ54" s="35"/>
      <c r="IA54" s="35"/>
      <c r="IB54" s="35"/>
      <c r="IC54" s="35"/>
      <c r="ID54" s="35"/>
      <c r="IE54" s="35"/>
      <c r="IF54" s="35"/>
      <c r="IG54" s="35"/>
      <c r="IH54" s="35"/>
      <c r="II54" s="35"/>
      <c r="IJ54" s="35"/>
      <c r="IK54" s="35"/>
      <c r="IL54" s="35"/>
      <c r="IM54" s="35"/>
      <c r="IN54" s="35"/>
    </row>
    <row r="55" spans="1:248" s="164" customFormat="1" ht="15" customHeight="1">
      <c r="A55" s="242" t="s">
        <v>2162</v>
      </c>
      <c r="B55" s="35" t="s">
        <v>773</v>
      </c>
      <c r="C55" s="35"/>
      <c r="D55" s="58" t="s">
        <v>550</v>
      </c>
      <c r="E55" s="351" t="str">
        <f t="shared" si="24"/>
        <v xml:space="preserve">  VT03              </v>
      </c>
      <c r="F55" s="243" t="str">
        <f t="shared" si="25"/>
        <v>9J1_974_216</v>
      </c>
      <c r="G55" s="244">
        <f t="shared" ref="G55:G67" si="29">IF(LEN(Q55)=11,0,MID(Q55,13,2))</f>
        <v>0</v>
      </c>
      <c r="H55" s="243" t="str">
        <f t="shared" si="26"/>
        <v>1J219J1216</v>
      </c>
      <c r="I55" s="243" t="str">
        <f t="shared" si="27"/>
        <v>00</v>
      </c>
      <c r="J55" s="279" t="s">
        <v>2181</v>
      </c>
      <c r="K55" s="58"/>
      <c r="L55" s="35" t="s">
        <v>2165</v>
      </c>
      <c r="M55" s="46">
        <v>6015</v>
      </c>
      <c r="N55" s="47"/>
      <c r="O55" s="228">
        <v>1917</v>
      </c>
      <c r="P55" s="47"/>
      <c r="Q55" s="35" t="s">
        <v>774</v>
      </c>
      <c r="R55" s="243" t="str">
        <f t="shared" si="17"/>
        <v>1J219J121600D</v>
      </c>
      <c r="S55" s="245" t="str">
        <f t="shared" si="28"/>
        <v>NICHT AKTUELL</v>
      </c>
      <c r="T55" s="245"/>
      <c r="U55" s="245"/>
      <c r="V55" s="245"/>
      <c r="W55" s="301">
        <v>2.0000000000000001E-4</v>
      </c>
      <c r="X55" s="35"/>
      <c r="Y55" s="35" t="s">
        <v>550</v>
      </c>
      <c r="Z55" s="35" t="s">
        <v>550</v>
      </c>
      <c r="AA55" s="35" t="s">
        <v>10</v>
      </c>
      <c r="AB55" s="35"/>
      <c r="AC55" s="39"/>
      <c r="AD55" s="75" t="s">
        <v>2175</v>
      </c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/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/>
      <c r="HX55" s="35"/>
      <c r="HY55" s="35"/>
      <c r="HZ55" s="35"/>
      <c r="IA55" s="35"/>
      <c r="IB55" s="35"/>
      <c r="IC55" s="35"/>
      <c r="ID55" s="35"/>
      <c r="IE55" s="35"/>
      <c r="IF55" s="35"/>
      <c r="IG55" s="35"/>
      <c r="IH55" s="35"/>
      <c r="II55" s="35"/>
      <c r="IJ55" s="35"/>
      <c r="IK55" s="35"/>
      <c r="IL55" s="35"/>
      <c r="IM55" s="35"/>
      <c r="IN55" s="35"/>
    </row>
    <row r="56" spans="1:248" s="164" customFormat="1" ht="15" customHeight="1">
      <c r="A56" s="242" t="s">
        <v>2162</v>
      </c>
      <c r="B56" s="35" t="s">
        <v>773</v>
      </c>
      <c r="C56" s="35"/>
      <c r="D56" s="58" t="s">
        <v>550</v>
      </c>
      <c r="E56" s="351" t="str">
        <f>CONCATENATE(IF(AC56&gt;0,$AC$1," ")," ",IF(AD56&gt;0,$AD$1," ")," ",IF(AE56&gt;0,$AE$1," ")," ",IF(AF56&gt;0,$AF$1," ")," ",IF(AG56&gt;0,$AG$1," ")," ",IF(AH56&gt;0,$AH$1," ")," ",IF(AI56&gt;0,$AI$1," ")," ",IF(AJ56&gt;0,$AJ$1," ")," ",IF(AK56&gt;0,$AK$1," "))</f>
        <v xml:space="preserve">  VT03              </v>
      </c>
      <c r="F56" s="243" t="str">
        <f>LEFT(Q56,11)</f>
        <v>9J1_974_216</v>
      </c>
      <c r="G56" s="244">
        <f>IF(LEN(Q56)=11,0,MID(Q56,13,2))</f>
        <v>0</v>
      </c>
      <c r="H56" s="243" t="str">
        <f t="shared" si="26"/>
        <v>1J219J1216</v>
      </c>
      <c r="I56" s="243" t="str">
        <f>IF(G56=0,"00",IF(LEN(G56)=1,CONCATENATE(G56,0),G56))</f>
        <v>00</v>
      </c>
      <c r="J56" s="42" t="s">
        <v>2398</v>
      </c>
      <c r="K56" s="58"/>
      <c r="L56" s="35" t="s">
        <v>2165</v>
      </c>
      <c r="M56" s="46">
        <v>6015</v>
      </c>
      <c r="N56" s="314">
        <v>1918</v>
      </c>
      <c r="O56" s="228"/>
      <c r="P56" s="47" t="s">
        <v>2375</v>
      </c>
      <c r="Q56" s="35" t="s">
        <v>774</v>
      </c>
      <c r="R56" s="243" t="str">
        <f>IF(J56&lt;&gt;"",CONCATENATE(H56,I56,J56),CONCATENATE(H56,I56,#REF!))</f>
        <v>1J219J121600E</v>
      </c>
      <c r="S56" s="245" t="str">
        <f t="shared" si="28"/>
        <v>AKTUELL</v>
      </c>
      <c r="T56" s="245"/>
      <c r="U56" s="245"/>
      <c r="V56" s="245"/>
      <c r="W56" s="301">
        <v>2.0000000000000001E-4</v>
      </c>
      <c r="X56" s="35"/>
      <c r="Y56" s="35" t="s">
        <v>550</v>
      </c>
      <c r="Z56" s="35" t="s">
        <v>550</v>
      </c>
      <c r="AA56" s="35" t="s">
        <v>10</v>
      </c>
      <c r="AB56" s="35"/>
      <c r="AC56" s="39"/>
      <c r="AD56" s="75" t="s">
        <v>2403</v>
      </c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  <c r="FU56" s="35"/>
      <c r="FV56" s="35"/>
      <c r="FW56" s="35"/>
      <c r="FX56" s="35"/>
      <c r="FY56" s="35"/>
      <c r="FZ56" s="35"/>
      <c r="GA56" s="35"/>
      <c r="GB56" s="35"/>
      <c r="GC56" s="35"/>
      <c r="GD56" s="35"/>
      <c r="GE56" s="35"/>
      <c r="GF56" s="35"/>
      <c r="GG56" s="35"/>
      <c r="GH56" s="35"/>
      <c r="GI56" s="35"/>
      <c r="GJ56" s="35"/>
      <c r="GK56" s="35"/>
      <c r="GL56" s="35"/>
      <c r="GM56" s="35"/>
      <c r="GN56" s="35"/>
      <c r="GO56" s="35"/>
      <c r="GP56" s="35"/>
      <c r="GQ56" s="35"/>
      <c r="GR56" s="35"/>
      <c r="GS56" s="35"/>
      <c r="GT56" s="35"/>
      <c r="GU56" s="35"/>
      <c r="GV56" s="35"/>
      <c r="GW56" s="35"/>
      <c r="GX56" s="35"/>
      <c r="GY56" s="35"/>
      <c r="GZ56" s="35"/>
      <c r="HA56" s="35"/>
      <c r="HB56" s="35"/>
      <c r="HC56" s="35"/>
      <c r="HD56" s="35"/>
      <c r="HE56" s="35"/>
      <c r="HF56" s="35"/>
      <c r="HG56" s="35"/>
      <c r="HH56" s="35"/>
      <c r="HI56" s="35"/>
      <c r="HJ56" s="35"/>
      <c r="HK56" s="35"/>
      <c r="HL56" s="35"/>
      <c r="HM56" s="35"/>
      <c r="HN56" s="35"/>
      <c r="HO56" s="35"/>
      <c r="HP56" s="35"/>
      <c r="HQ56" s="35"/>
      <c r="HR56" s="35"/>
      <c r="HS56" s="35"/>
      <c r="HT56" s="35"/>
      <c r="HU56" s="35"/>
      <c r="HV56" s="35"/>
      <c r="HW56" s="35"/>
      <c r="HX56" s="35"/>
      <c r="HY56" s="35"/>
      <c r="HZ56" s="35"/>
      <c r="IA56" s="35"/>
      <c r="IB56" s="35"/>
      <c r="IC56" s="35"/>
      <c r="ID56" s="35"/>
      <c r="IE56" s="35"/>
      <c r="IF56" s="35"/>
      <c r="IG56" s="35"/>
      <c r="IH56" s="35"/>
      <c r="II56" s="35"/>
      <c r="IJ56" s="35"/>
      <c r="IK56" s="35"/>
      <c r="IL56" s="35"/>
      <c r="IM56" s="35"/>
      <c r="IN56" s="35"/>
    </row>
    <row r="57" spans="1:248" s="4" customFormat="1" ht="15" customHeight="1">
      <c r="A57" s="242" t="s">
        <v>2162</v>
      </c>
      <c r="B57" s="35" t="s">
        <v>773</v>
      </c>
      <c r="C57" s="35"/>
      <c r="D57" s="58" t="s">
        <v>550</v>
      </c>
      <c r="E57" s="351" t="str">
        <f t="shared" si="24"/>
        <v xml:space="preserve">  VT03              </v>
      </c>
      <c r="F57" s="243" t="str">
        <f t="shared" si="25"/>
        <v>9J1_974_216</v>
      </c>
      <c r="G57" s="244" t="str">
        <f t="shared" si="29"/>
        <v>A</v>
      </c>
      <c r="H57" s="243" t="str">
        <f t="shared" si="26"/>
        <v>1J219J1216</v>
      </c>
      <c r="I57" s="243" t="str">
        <f t="shared" si="27"/>
        <v>A0</v>
      </c>
      <c r="J57" s="279" t="s">
        <v>1117</v>
      </c>
      <c r="K57" s="58"/>
      <c r="L57" s="35" t="s">
        <v>2167</v>
      </c>
      <c r="M57" s="46">
        <v>6015</v>
      </c>
      <c r="N57" s="47"/>
      <c r="O57" s="228">
        <v>1917</v>
      </c>
      <c r="P57" s="47"/>
      <c r="Q57" s="35" t="s">
        <v>2166</v>
      </c>
      <c r="R57" s="243" t="str">
        <f>IF(J57&lt;&gt;"",CONCATENATE(H57,I57,J57),CONCATENATE(H57,I57,K57))</f>
        <v>1J219J1216A0B</v>
      </c>
      <c r="S57" s="246" t="str">
        <f t="shared" si="28"/>
        <v>NICHT AKTUELL</v>
      </c>
      <c r="T57" s="245"/>
      <c r="U57" s="245"/>
      <c r="V57" s="245"/>
      <c r="W57" s="301">
        <v>0.8498</v>
      </c>
      <c r="X57" s="35"/>
      <c r="Y57" s="35" t="s">
        <v>550</v>
      </c>
      <c r="Z57" s="35" t="s">
        <v>550</v>
      </c>
      <c r="AA57" s="35" t="s">
        <v>10</v>
      </c>
      <c r="AB57" s="35"/>
      <c r="AC57" s="39"/>
      <c r="AD57" s="75" t="s">
        <v>2169</v>
      </c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  <c r="FU57" s="35"/>
      <c r="FV57" s="35"/>
      <c r="FW57" s="35"/>
      <c r="FX57" s="35"/>
      <c r="FY57" s="35"/>
      <c r="FZ57" s="35"/>
      <c r="GA57" s="35"/>
      <c r="GB57" s="35"/>
      <c r="GC57" s="35"/>
      <c r="GD57" s="35"/>
      <c r="GE57" s="35"/>
      <c r="GF57" s="35"/>
      <c r="GG57" s="35"/>
      <c r="GH57" s="35"/>
      <c r="GI57" s="35"/>
      <c r="GJ57" s="35"/>
      <c r="GK57" s="35"/>
      <c r="GL57" s="35"/>
      <c r="GM57" s="35"/>
      <c r="GN57" s="35"/>
      <c r="GO57" s="35"/>
      <c r="GP57" s="35"/>
      <c r="GQ57" s="35"/>
      <c r="GR57" s="35"/>
      <c r="GS57" s="35"/>
      <c r="GT57" s="35"/>
      <c r="GU57" s="35"/>
      <c r="GV57" s="35"/>
      <c r="GW57" s="35"/>
      <c r="GX57" s="35"/>
      <c r="GY57" s="35"/>
      <c r="GZ57" s="35"/>
      <c r="HA57" s="35"/>
      <c r="HB57" s="35"/>
      <c r="HC57" s="35"/>
      <c r="HD57" s="35"/>
      <c r="HE57" s="35"/>
      <c r="HF57" s="35"/>
      <c r="HG57" s="35"/>
      <c r="HH57" s="35"/>
      <c r="HI57" s="35"/>
      <c r="HJ57" s="35"/>
      <c r="HK57" s="35"/>
      <c r="HL57" s="35"/>
      <c r="HM57" s="35"/>
      <c r="HN57" s="35"/>
      <c r="HO57" s="35"/>
      <c r="HP57" s="35"/>
      <c r="HQ57" s="35"/>
      <c r="HR57" s="35"/>
      <c r="HS57" s="35"/>
      <c r="HT57" s="35"/>
      <c r="HU57" s="35"/>
      <c r="HV57" s="35"/>
      <c r="HW57" s="35"/>
      <c r="HX57" s="35"/>
      <c r="HY57" s="35"/>
      <c r="HZ57" s="35"/>
      <c r="IA57" s="35"/>
      <c r="IB57" s="35"/>
      <c r="IC57" s="35"/>
      <c r="ID57" s="35"/>
      <c r="IE57" s="35"/>
      <c r="IF57" s="35"/>
      <c r="IG57" s="35"/>
      <c r="IH57" s="35"/>
      <c r="II57" s="35"/>
      <c r="IJ57" s="35"/>
      <c r="IK57" s="35"/>
      <c r="IL57" s="35"/>
      <c r="IM57" s="35"/>
      <c r="IN57" s="35"/>
    </row>
    <row r="58" spans="1:248" s="4" customFormat="1" ht="15" customHeight="1">
      <c r="A58" s="242" t="s">
        <v>2162</v>
      </c>
      <c r="B58" s="35" t="s">
        <v>773</v>
      </c>
      <c r="C58" s="35"/>
      <c r="D58" s="58" t="s">
        <v>550</v>
      </c>
      <c r="E58" s="351" t="str">
        <f>CONCATENATE(IF(AC58&gt;0,$AC$1," ")," ",IF(AD58&gt;0,$AD$1," ")," ",IF(AE58&gt;0,$AE$1," ")," ",IF(AF58&gt;0,$AF$1," ")," ",IF(AG58&gt;0,$AG$1," ")," ",IF(AH58&gt;0,$AH$1," ")," ",IF(AI58&gt;0,$AI$1," ")," ",IF(AJ58&gt;0,$AJ$1," ")," ",IF(AK58&gt;0,$AK$1," "))</f>
        <v xml:space="preserve">  VT03              </v>
      </c>
      <c r="F58" s="243" t="str">
        <f>LEFT(Q58,11)</f>
        <v>9J1_974_216</v>
      </c>
      <c r="G58" s="244" t="str">
        <f>IF(LEN(Q58)=11,0,MID(Q58,13,2))</f>
        <v>A</v>
      </c>
      <c r="H58" s="243" t="str">
        <f t="shared" si="26"/>
        <v>1J219J1216</v>
      </c>
      <c r="I58" s="243" t="str">
        <f>IF(G58=0,"00",IF(LEN(G58)=1,CONCATENATE(G58,0),G58))</f>
        <v>A0</v>
      </c>
      <c r="J58" s="42" t="s">
        <v>2077</v>
      </c>
      <c r="K58" s="58"/>
      <c r="L58" s="35" t="s">
        <v>2167</v>
      </c>
      <c r="M58" s="46">
        <v>6015</v>
      </c>
      <c r="N58" s="314">
        <v>1918</v>
      </c>
      <c r="O58" s="228"/>
      <c r="P58" s="47" t="s">
        <v>2375</v>
      </c>
      <c r="Q58" s="35" t="s">
        <v>2166</v>
      </c>
      <c r="R58" s="243" t="str">
        <f>IF(J58&lt;&gt;"",CONCATENATE(H58,I58,J58),CONCATENATE(H58,I58,#REF!))</f>
        <v>1J219J1216A0C</v>
      </c>
      <c r="S58" s="246" t="str">
        <f t="shared" si="28"/>
        <v>AKTUELL</v>
      </c>
      <c r="T58" s="245"/>
      <c r="U58" s="245"/>
      <c r="V58" s="245"/>
      <c r="W58" s="301">
        <v>0.8498</v>
      </c>
      <c r="X58" s="35"/>
      <c r="Y58" s="35" t="s">
        <v>550</v>
      </c>
      <c r="Z58" s="35" t="s">
        <v>550</v>
      </c>
      <c r="AA58" s="35" t="s">
        <v>10</v>
      </c>
      <c r="AB58" s="35"/>
      <c r="AC58" s="39"/>
      <c r="AD58" s="75" t="s">
        <v>2404</v>
      </c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/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  <c r="ID58" s="35"/>
      <c r="IE58" s="35"/>
      <c r="IF58" s="35"/>
      <c r="IG58" s="35"/>
      <c r="IH58" s="35"/>
      <c r="II58" s="35"/>
      <c r="IJ58" s="35"/>
      <c r="IK58" s="35"/>
      <c r="IL58" s="35"/>
      <c r="IM58" s="35"/>
      <c r="IN58" s="35"/>
    </row>
    <row r="59" spans="1:248" s="4" customFormat="1" ht="15" customHeight="1">
      <c r="A59" s="242" t="s">
        <v>2162</v>
      </c>
      <c r="B59" s="35" t="s">
        <v>765</v>
      </c>
      <c r="C59" s="35"/>
      <c r="D59" s="58"/>
      <c r="E59" s="351" t="str">
        <f>CONCATENATE(IF(AC59&gt;0,$AC$1," ")," ",IF(AD59&gt;0,$AD$1," ")," ",IF(AE59&gt;0,$AE$1," ")," ",IF(AF59&gt;0,$AF$1," ")," ",IF(AG59&gt;0,$AG$1," ")," ",IF(AH59&gt;0,$AH$1," ")," ",IF(AI59&gt;0,$AI$1," ")," ",IF(AJ59&gt;0,$AJ$1," ")," ",IF(AK59&gt;0,$AK$1," "))</f>
        <v xml:space="preserve">  VT03              </v>
      </c>
      <c r="F59" s="243" t="str">
        <f>LEFT(Q59,11)</f>
        <v>9J1_974_218</v>
      </c>
      <c r="G59" s="244" t="str">
        <f t="shared" si="29"/>
        <v>A</v>
      </c>
      <c r="H59" s="243" t="str">
        <f t="shared" si="26"/>
        <v>1J219J1218</v>
      </c>
      <c r="I59" s="243" t="str">
        <f>IF(G59=0,"00",IF(LEN(G59)=1,CONCATENATE(G59,0),G59))</f>
        <v>A0</v>
      </c>
      <c r="J59" s="279" t="s">
        <v>1116</v>
      </c>
      <c r="K59" s="58"/>
      <c r="L59" s="35" t="s">
        <v>766</v>
      </c>
      <c r="M59" s="46">
        <v>6015</v>
      </c>
      <c r="N59" s="47"/>
      <c r="O59" s="228">
        <v>1917</v>
      </c>
      <c r="P59" s="47"/>
      <c r="Q59" s="35" t="s">
        <v>2373</v>
      </c>
      <c r="R59" s="243" t="str">
        <f>IF(J59&lt;&gt;"",CONCATENATE(H59,I59,J59),CONCATENATE(H59,I59,K59))</f>
        <v>1J219J1218A0A</v>
      </c>
      <c r="S59" s="246" t="str">
        <f t="shared" si="28"/>
        <v>NICHT AKTUELL</v>
      </c>
      <c r="T59" s="245"/>
      <c r="U59" s="245"/>
      <c r="V59" s="245"/>
      <c r="W59" s="301">
        <v>0.85</v>
      </c>
      <c r="X59" s="35"/>
      <c r="Y59" s="35" t="s">
        <v>550</v>
      </c>
      <c r="Z59" s="35" t="s">
        <v>550</v>
      </c>
      <c r="AA59" s="35" t="s">
        <v>10</v>
      </c>
      <c r="AB59" s="35"/>
      <c r="AC59" s="39"/>
      <c r="AD59" s="75" t="s">
        <v>2176</v>
      </c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  <c r="GY59" s="35"/>
      <c r="GZ59" s="35"/>
      <c r="HA59" s="35"/>
      <c r="HB59" s="35"/>
      <c r="HC59" s="35"/>
      <c r="HD59" s="35"/>
      <c r="HE59" s="35"/>
      <c r="HF59" s="35"/>
      <c r="HG59" s="35"/>
      <c r="HH59" s="35"/>
      <c r="HI59" s="35"/>
      <c r="HJ59" s="35"/>
      <c r="HK59" s="35"/>
      <c r="HL59" s="35"/>
      <c r="HM59" s="35"/>
      <c r="HN59" s="35"/>
      <c r="HO59" s="35"/>
      <c r="HP59" s="35"/>
      <c r="HQ59" s="35"/>
      <c r="HR59" s="35"/>
      <c r="HS59" s="35"/>
      <c r="HT59" s="35"/>
      <c r="HU59" s="35"/>
      <c r="HV59" s="35"/>
      <c r="HW59" s="35"/>
      <c r="HX59" s="35"/>
      <c r="HY59" s="35"/>
      <c r="HZ59" s="35"/>
      <c r="IA59" s="35"/>
      <c r="IB59" s="35"/>
      <c r="IC59" s="35"/>
      <c r="ID59" s="35"/>
      <c r="IE59" s="35"/>
      <c r="IF59" s="35"/>
      <c r="IG59" s="35"/>
      <c r="IH59" s="35"/>
      <c r="II59" s="35"/>
      <c r="IJ59" s="35"/>
      <c r="IK59" s="35"/>
      <c r="IL59" s="35"/>
      <c r="IM59" s="35"/>
      <c r="IN59" s="35"/>
    </row>
    <row r="60" spans="1:248" s="4" customFormat="1" ht="15" customHeight="1">
      <c r="A60" s="242" t="s">
        <v>2162</v>
      </c>
      <c r="B60" s="35" t="s">
        <v>765</v>
      </c>
      <c r="C60" s="35"/>
      <c r="D60" s="58"/>
      <c r="E60" s="351" t="str">
        <f>CONCATENATE(IF(AC60&gt;0,$AC$1," ")," ",IF(AD60&gt;0,$AD$1," ")," ",IF(AE60&gt;0,$AE$1," ")," ",IF(AF60&gt;0,$AF$1," ")," ",IF(AG60&gt;0,$AG$1," ")," ",IF(AH60&gt;0,$AH$1," ")," ",IF(AI60&gt;0,$AI$1," ")," ",IF(AJ60&gt;0,$AJ$1," ")," ",IF(AK60&gt;0,$AK$1," "))</f>
        <v xml:space="preserve">  VT03              </v>
      </c>
      <c r="F60" s="243" t="str">
        <f>LEFT(Q60,11)</f>
        <v>9J1_974_218</v>
      </c>
      <c r="G60" s="244" t="str">
        <f>IF(LEN(Q60)=11,0,MID(Q60,13,2))</f>
        <v>A</v>
      </c>
      <c r="H60" s="243" t="str">
        <f t="shared" si="26"/>
        <v>1J219J1218</v>
      </c>
      <c r="I60" s="243" t="str">
        <f>IF(G60=0,"00",IF(LEN(G60)=1,CONCATENATE(G60,0),G60))</f>
        <v>A0</v>
      </c>
      <c r="J60" s="42" t="s">
        <v>1117</v>
      </c>
      <c r="K60" s="58"/>
      <c r="L60" s="35" t="s">
        <v>766</v>
      </c>
      <c r="M60" s="46">
        <v>6015</v>
      </c>
      <c r="N60" s="314">
        <v>1918</v>
      </c>
      <c r="O60" s="228"/>
      <c r="P60" s="47" t="s">
        <v>2375</v>
      </c>
      <c r="Q60" s="35" t="s">
        <v>2373</v>
      </c>
      <c r="R60" s="243" t="str">
        <f>IF(J60&lt;&gt;"",CONCATENATE(H60,I60,J60),CONCATENATE(H60,I60,#REF!))</f>
        <v>1J219J1218A0B</v>
      </c>
      <c r="S60" s="246" t="str">
        <f t="shared" si="28"/>
        <v>AKTUELL</v>
      </c>
      <c r="T60" s="245"/>
      <c r="U60" s="245"/>
      <c r="V60" s="245"/>
      <c r="W60" s="301">
        <v>0.85</v>
      </c>
      <c r="X60" s="35"/>
      <c r="Y60" s="35" t="s">
        <v>550</v>
      </c>
      <c r="Z60" s="35" t="s">
        <v>550</v>
      </c>
      <c r="AA60" s="35" t="s">
        <v>10</v>
      </c>
      <c r="AB60" s="35"/>
      <c r="AC60" s="39"/>
      <c r="AD60" s="75" t="s">
        <v>2405</v>
      </c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  <c r="GY60" s="35"/>
      <c r="GZ60" s="35"/>
      <c r="HA60" s="35"/>
      <c r="HB60" s="35"/>
      <c r="HC60" s="35"/>
      <c r="HD60" s="35"/>
      <c r="HE60" s="35"/>
      <c r="HF60" s="35"/>
      <c r="HG60" s="35"/>
      <c r="HH60" s="35"/>
      <c r="HI60" s="35"/>
      <c r="HJ60" s="35"/>
      <c r="HK60" s="35"/>
      <c r="HL60" s="35"/>
      <c r="HM60" s="35"/>
      <c r="HN60" s="35"/>
      <c r="HO60" s="35"/>
      <c r="HP60" s="35"/>
      <c r="HQ60" s="35"/>
      <c r="HR60" s="35"/>
      <c r="HS60" s="35"/>
      <c r="HT60" s="35"/>
      <c r="HU60" s="35"/>
      <c r="HV60" s="35"/>
      <c r="HW60" s="35"/>
      <c r="HX60" s="35"/>
      <c r="HY60" s="35"/>
      <c r="HZ60" s="35"/>
      <c r="IA60" s="35"/>
      <c r="IB60" s="35"/>
      <c r="IC60" s="35"/>
      <c r="ID60" s="35"/>
      <c r="IE60" s="35"/>
      <c r="IF60" s="35"/>
      <c r="IG60" s="35"/>
      <c r="IH60" s="35"/>
      <c r="II60" s="35"/>
      <c r="IJ60" s="35"/>
      <c r="IK60" s="35"/>
      <c r="IL60" s="35"/>
      <c r="IM60" s="35"/>
      <c r="IN60" s="35"/>
    </row>
    <row r="61" spans="1:248" s="4" customFormat="1" ht="15" customHeight="1">
      <c r="A61" s="242" t="s">
        <v>2162</v>
      </c>
      <c r="B61" s="35" t="s">
        <v>1975</v>
      </c>
      <c r="C61" s="35"/>
      <c r="D61" s="58" t="s">
        <v>550</v>
      </c>
      <c r="E61" s="351" t="str">
        <f t="shared" si="24"/>
        <v xml:space="preserve">                 </v>
      </c>
      <c r="F61" s="243" t="str">
        <f t="shared" si="25"/>
        <v>9J1_974_219</v>
      </c>
      <c r="G61" s="244">
        <f t="shared" si="29"/>
        <v>0</v>
      </c>
      <c r="H61" s="243" t="str">
        <f t="shared" si="26"/>
        <v>1J219J1219</v>
      </c>
      <c r="I61" s="243" t="str">
        <f t="shared" si="27"/>
        <v>00</v>
      </c>
      <c r="J61" s="279" t="s">
        <v>1117</v>
      </c>
      <c r="K61" s="58"/>
      <c r="L61" s="35" t="s">
        <v>1976</v>
      </c>
      <c r="M61" s="46"/>
      <c r="N61" s="47"/>
      <c r="O61" s="228">
        <v>1932</v>
      </c>
      <c r="P61" s="47"/>
      <c r="Q61" s="35" t="s">
        <v>786</v>
      </c>
      <c r="R61" s="243" t="str">
        <f t="shared" ref="R61:R94" si="30">IF(J61&lt;&gt;"",CONCATENATE(H61,I61,J61),CONCATENATE(H61,I61,K61))</f>
        <v>1J219J121900B</v>
      </c>
      <c r="S61" s="245" t="str">
        <f t="shared" si="28"/>
        <v>NICHT AKTUELL</v>
      </c>
      <c r="T61" s="245"/>
      <c r="U61" s="245"/>
      <c r="V61" s="245"/>
      <c r="W61" s="301">
        <v>0.1182</v>
      </c>
      <c r="X61" s="35"/>
      <c r="Y61" s="35" t="s">
        <v>10</v>
      </c>
      <c r="Z61" s="35" t="s">
        <v>10</v>
      </c>
      <c r="AA61" s="35" t="s">
        <v>550</v>
      </c>
      <c r="AB61" s="35"/>
      <c r="AC61" s="39"/>
      <c r="AD61" s="39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  <c r="GY61" s="35"/>
      <c r="GZ61" s="35"/>
      <c r="HA61" s="35"/>
      <c r="HB61" s="35"/>
      <c r="HC61" s="35"/>
      <c r="HD61" s="35"/>
      <c r="HE61" s="35"/>
      <c r="HF61" s="35"/>
      <c r="HG61" s="35"/>
      <c r="HH61" s="35"/>
      <c r="HI61" s="35"/>
      <c r="HJ61" s="35"/>
      <c r="HK61" s="35"/>
      <c r="HL61" s="35"/>
      <c r="HM61" s="35"/>
      <c r="HN61" s="35"/>
      <c r="HO61" s="35"/>
      <c r="HP61" s="35"/>
      <c r="HQ61" s="35"/>
      <c r="HR61" s="35"/>
      <c r="HS61" s="35"/>
      <c r="HT61" s="35"/>
      <c r="HU61" s="35"/>
      <c r="HV61" s="35"/>
      <c r="HW61" s="35"/>
      <c r="HX61" s="35"/>
      <c r="HY61" s="35"/>
      <c r="HZ61" s="35"/>
      <c r="IA61" s="35"/>
      <c r="IB61" s="35"/>
      <c r="IC61" s="35"/>
      <c r="ID61" s="35"/>
      <c r="IE61" s="35"/>
      <c r="IF61" s="35"/>
      <c r="IG61" s="35"/>
      <c r="IH61" s="35"/>
      <c r="II61" s="35"/>
      <c r="IJ61" s="35"/>
      <c r="IK61" s="35"/>
      <c r="IL61" s="35"/>
      <c r="IM61" s="35"/>
      <c r="IN61" s="35"/>
    </row>
    <row r="62" spans="1:248" s="4" customFormat="1" ht="15" customHeight="1">
      <c r="A62" s="242" t="s">
        <v>2162</v>
      </c>
      <c r="B62" s="35" t="s">
        <v>1975</v>
      </c>
      <c r="C62" s="35"/>
      <c r="D62" s="58" t="s">
        <v>550</v>
      </c>
      <c r="E62" s="351" t="str">
        <f>CONCATENATE(IF(AC62&gt;0,$AC$1," ")," ",IF(AD62&gt;0,$AD$1," ")," ",IF(AE62&gt;0,$AE$1," ")," ",IF(AF62&gt;0,$AF$1," ")," ",IF(AG62&gt;0,$AG$1," ")," ",IF(AH62&gt;0,$AH$1," ")," ",IF(AI62&gt;0,$AI$1," ")," ",IF(AJ62&gt;0,$AJ$1," ")," ",IF(AK62&gt;0,$AK$1," "))</f>
        <v xml:space="preserve">                 </v>
      </c>
      <c r="F62" s="243" t="str">
        <f>LEFT(Q62,11)</f>
        <v>9J1_974_219</v>
      </c>
      <c r="G62" s="244">
        <f>IF(LEN(Q62)=11,0,MID(Q62,13,2))</f>
        <v>0</v>
      </c>
      <c r="H62" s="243" t="str">
        <f t="shared" si="26"/>
        <v>1J219J1219</v>
      </c>
      <c r="I62" s="243" t="str">
        <f>IF(G62=0,"00",IF(LEN(G62)=1,CONCATENATE(G62,0),G62))</f>
        <v>00</v>
      </c>
      <c r="J62" s="279" t="s">
        <v>1117</v>
      </c>
      <c r="K62" s="58"/>
      <c r="L62" s="35" t="s">
        <v>2440</v>
      </c>
      <c r="M62" s="46">
        <v>6028</v>
      </c>
      <c r="N62" s="47">
        <v>1933</v>
      </c>
      <c r="O62" s="228">
        <v>2035</v>
      </c>
      <c r="P62" s="47" t="s">
        <v>2418</v>
      </c>
      <c r="Q62" s="35" t="s">
        <v>786</v>
      </c>
      <c r="R62" s="243" t="str">
        <f t="shared" si="30"/>
        <v>1J219J121900B</v>
      </c>
      <c r="S62" s="245" t="str">
        <f t="shared" si="28"/>
        <v>NICHT AKTUELL</v>
      </c>
      <c r="T62" s="245"/>
      <c r="U62" s="245"/>
      <c r="V62" s="245"/>
      <c r="W62" s="301">
        <v>0.1182</v>
      </c>
      <c r="X62" s="35"/>
      <c r="Y62" s="35" t="s">
        <v>10</v>
      </c>
      <c r="Z62" s="35" t="s">
        <v>10</v>
      </c>
      <c r="AA62" s="35" t="s">
        <v>550</v>
      </c>
      <c r="AB62" s="35"/>
      <c r="AC62" s="39"/>
      <c r="AD62" s="39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  <c r="GY62" s="35"/>
      <c r="GZ62" s="35"/>
      <c r="HA62" s="35"/>
      <c r="HB62" s="35"/>
      <c r="HC62" s="35"/>
      <c r="HD62" s="35"/>
      <c r="HE62" s="35"/>
      <c r="HF62" s="35"/>
      <c r="HG62" s="35"/>
      <c r="HH62" s="35"/>
      <c r="HI62" s="35"/>
      <c r="HJ62" s="35"/>
      <c r="HK62" s="35"/>
      <c r="HL62" s="35"/>
      <c r="HM62" s="35"/>
      <c r="HN62" s="35"/>
      <c r="HO62" s="35"/>
      <c r="HP62" s="35"/>
      <c r="HQ62" s="35"/>
      <c r="HR62" s="35"/>
      <c r="HS62" s="35"/>
      <c r="HT62" s="35"/>
      <c r="HU62" s="35"/>
      <c r="HV62" s="35"/>
      <c r="HW62" s="35"/>
      <c r="HX62" s="35"/>
      <c r="HY62" s="35"/>
      <c r="HZ62" s="35"/>
      <c r="IA62" s="35"/>
      <c r="IB62" s="35"/>
      <c r="IC62" s="35"/>
      <c r="ID62" s="35"/>
      <c r="IE62" s="35"/>
      <c r="IF62" s="35"/>
      <c r="IG62" s="35"/>
      <c r="IH62" s="35"/>
      <c r="II62" s="35"/>
      <c r="IJ62" s="35"/>
      <c r="IK62" s="35"/>
      <c r="IL62" s="35"/>
      <c r="IM62" s="35"/>
      <c r="IN62" s="35"/>
    </row>
    <row r="63" spans="1:248" s="4" customFormat="1" ht="15" customHeight="1">
      <c r="A63" s="242" t="s">
        <v>2162</v>
      </c>
      <c r="B63" s="35" t="s">
        <v>1975</v>
      </c>
      <c r="C63" s="35"/>
      <c r="D63" s="58" t="s">
        <v>550</v>
      </c>
      <c r="E63" s="351" t="str">
        <f>CONCATENATE(IF(AC63&gt;0,$AC$1," ")," ",IF(AD63&gt;0,$AD$1," ")," ",IF(AE63&gt;0,$AE$1," ")," ",IF(AF63&gt;0,$AF$1," ")," ",IF(AG63&gt;0,$AG$1," ")," ",IF(AH63&gt;0,$AH$1," ")," ",IF(AI63&gt;0,$AI$1," ")," ",IF(AJ63&gt;0,$AJ$1," ")," ",IF(AK63&gt;0,$AK$1," "))</f>
        <v xml:space="preserve">                 </v>
      </c>
      <c r="F63" s="243" t="str">
        <f>LEFT(Q63,11)</f>
        <v>9J1_974_219</v>
      </c>
      <c r="G63" s="244">
        <f>IF(LEN(Q63)=11,0,MID(Q63,13,2))</f>
        <v>0</v>
      </c>
      <c r="H63" s="243" t="str">
        <f t="shared" ref="H63" si="31">CONCATENATE(IF(MID(Q63,5,3)="974","1J21"),LEFT(F63,3),RIGHT(F63,3))</f>
        <v>1J219J1219</v>
      </c>
      <c r="I63" s="243" t="str">
        <f>IF(G63=0,"00",IF(LEN(G63)=1,CONCATENATE(G63,0),G63))</f>
        <v>00</v>
      </c>
      <c r="J63" s="279"/>
      <c r="K63" s="419" t="s">
        <v>2077</v>
      </c>
      <c r="L63" s="35" t="s">
        <v>2440</v>
      </c>
      <c r="M63" s="46" t="s">
        <v>1231</v>
      </c>
      <c r="N63" s="47">
        <v>2036</v>
      </c>
      <c r="O63" s="228"/>
      <c r="P63" s="47"/>
      <c r="Q63" s="35" t="s">
        <v>786</v>
      </c>
      <c r="R63" s="243" t="str">
        <f t="shared" ref="R63" si="32">IF(J63&lt;&gt;"",CONCATENATE(H63,I63,J63),CONCATENATE(H63,I63,K63))</f>
        <v>1J219J121900C</v>
      </c>
      <c r="S63" s="245" t="str">
        <f t="shared" ref="S63" si="33">IF(N63="-","KEIN LIEFERUMFANG",IF(AND(N63&lt;=S$3,O63=""),"AKTUELL",IF(O63=N63,"KEIN SERIENEINSATZ",IF(N63&gt;S$3,"NOCH NICHT AKTUELL",IF(AND(N63&lt;S$3,O63&lt;S$3),"NICHT AKTUELL",IF(N63&lt;=S$3,"AKTUELL"))))))</f>
        <v>AKTUELL</v>
      </c>
      <c r="T63" s="245"/>
      <c r="U63" s="245"/>
      <c r="V63" s="245"/>
      <c r="W63" s="301">
        <v>0.1182</v>
      </c>
      <c r="X63" s="35"/>
      <c r="Y63" s="35" t="s">
        <v>10</v>
      </c>
      <c r="Z63" s="35" t="s">
        <v>10</v>
      </c>
      <c r="AA63" s="35" t="s">
        <v>550</v>
      </c>
      <c r="AB63" s="35"/>
      <c r="AC63" s="39"/>
      <c r="AD63" s="39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/>
      <c r="GP63" s="35"/>
      <c r="GQ63" s="35"/>
      <c r="GR63" s="35"/>
      <c r="GS63" s="35"/>
      <c r="GT63" s="35"/>
      <c r="GU63" s="35"/>
      <c r="GV63" s="35"/>
      <c r="GW63" s="35"/>
      <c r="GX63" s="35"/>
      <c r="GY63" s="35"/>
      <c r="GZ63" s="35"/>
      <c r="HA63" s="35"/>
      <c r="HB63" s="35"/>
      <c r="HC63" s="35"/>
      <c r="HD63" s="35"/>
      <c r="HE63" s="35"/>
      <c r="HF63" s="35"/>
      <c r="HG63" s="35"/>
      <c r="HH63" s="35"/>
      <c r="HI63" s="35"/>
      <c r="HJ63" s="35"/>
      <c r="HK63" s="35"/>
      <c r="HL63" s="35"/>
      <c r="HM63" s="35"/>
      <c r="HN63" s="35"/>
      <c r="HO63" s="35"/>
      <c r="HP63" s="35"/>
      <c r="HQ63" s="35"/>
      <c r="HR63" s="35"/>
      <c r="HS63" s="35"/>
      <c r="HT63" s="35"/>
      <c r="HU63" s="35"/>
      <c r="HV63" s="35"/>
      <c r="HW63" s="35"/>
      <c r="HX63" s="35"/>
      <c r="HY63" s="35"/>
      <c r="HZ63" s="35"/>
      <c r="IA63" s="35"/>
      <c r="IB63" s="35"/>
      <c r="IC63" s="35"/>
      <c r="ID63" s="35"/>
      <c r="IE63" s="35"/>
      <c r="IF63" s="35"/>
      <c r="IG63" s="35"/>
      <c r="IH63" s="35"/>
      <c r="II63" s="35"/>
      <c r="IJ63" s="35"/>
      <c r="IK63" s="35"/>
      <c r="IL63" s="35"/>
      <c r="IM63" s="35"/>
      <c r="IN63" s="35"/>
    </row>
    <row r="64" spans="1:248" s="4" customFormat="1" ht="15" customHeight="1">
      <c r="A64" s="242" t="s">
        <v>2162</v>
      </c>
      <c r="B64" s="35" t="s">
        <v>1975</v>
      </c>
      <c r="C64" s="35"/>
      <c r="D64" s="58" t="s">
        <v>550</v>
      </c>
      <c r="E64" s="351" t="str">
        <f t="shared" si="24"/>
        <v xml:space="preserve">                 </v>
      </c>
      <c r="F64" s="243" t="str">
        <f t="shared" si="25"/>
        <v>9J1_974_219</v>
      </c>
      <c r="G64" s="244" t="str">
        <f t="shared" si="29"/>
        <v>B</v>
      </c>
      <c r="H64" s="243" t="str">
        <f t="shared" si="26"/>
        <v>1J219J1219</v>
      </c>
      <c r="I64" s="243" t="str">
        <f t="shared" si="27"/>
        <v>B0</v>
      </c>
      <c r="J64" s="279" t="s">
        <v>1117</v>
      </c>
      <c r="K64" s="58"/>
      <c r="L64" s="35" t="s">
        <v>1978</v>
      </c>
      <c r="M64" s="46"/>
      <c r="N64" s="47"/>
      <c r="O64" s="228">
        <v>1932</v>
      </c>
      <c r="P64" s="47"/>
      <c r="Q64" s="35" t="s">
        <v>787</v>
      </c>
      <c r="R64" s="243" t="str">
        <f t="shared" si="30"/>
        <v>1J219J1219B0B</v>
      </c>
      <c r="S64" s="245" t="str">
        <f t="shared" si="28"/>
        <v>NICHT AKTUELL</v>
      </c>
      <c r="T64" s="245"/>
      <c r="U64" s="245"/>
      <c r="V64" s="245"/>
      <c r="W64" s="301">
        <v>9.7199999999999995E-2</v>
      </c>
      <c r="X64" s="35"/>
      <c r="Y64" s="35" t="s">
        <v>10</v>
      </c>
      <c r="Z64" s="35" t="s">
        <v>10</v>
      </c>
      <c r="AA64" s="35" t="s">
        <v>550</v>
      </c>
      <c r="AB64" s="35"/>
      <c r="AC64" s="39"/>
      <c r="AD64" s="39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  <c r="GY64" s="35"/>
      <c r="GZ64" s="35"/>
      <c r="HA64" s="35"/>
      <c r="HB64" s="35"/>
      <c r="HC64" s="35"/>
      <c r="HD64" s="35"/>
      <c r="HE64" s="35"/>
      <c r="HF64" s="35"/>
      <c r="HG64" s="35"/>
      <c r="HH64" s="35"/>
      <c r="HI64" s="35"/>
      <c r="HJ64" s="35"/>
      <c r="HK64" s="35"/>
      <c r="HL64" s="35"/>
      <c r="HM64" s="35"/>
      <c r="HN64" s="35"/>
      <c r="HO64" s="35"/>
      <c r="HP64" s="35"/>
      <c r="HQ64" s="35"/>
      <c r="HR64" s="35"/>
      <c r="HS64" s="35"/>
      <c r="HT64" s="35"/>
      <c r="HU64" s="35"/>
      <c r="HV64" s="35"/>
      <c r="HW64" s="35"/>
      <c r="HX64" s="35"/>
      <c r="HY64" s="35"/>
      <c r="HZ64" s="35"/>
      <c r="IA64" s="35"/>
      <c r="IB64" s="35"/>
      <c r="IC64" s="35"/>
      <c r="ID64" s="35"/>
      <c r="IE64" s="35"/>
      <c r="IF64" s="35"/>
      <c r="IG64" s="35"/>
      <c r="IH64" s="35"/>
      <c r="II64" s="35"/>
      <c r="IJ64" s="35"/>
      <c r="IK64" s="35"/>
      <c r="IL64" s="35"/>
      <c r="IM64" s="35"/>
      <c r="IN64" s="35"/>
    </row>
    <row r="65" spans="1:248" s="4" customFormat="1" ht="15" customHeight="1">
      <c r="A65" s="242" t="s">
        <v>2162</v>
      </c>
      <c r="B65" s="35" t="s">
        <v>1975</v>
      </c>
      <c r="C65" s="35"/>
      <c r="D65" s="58" t="s">
        <v>550</v>
      </c>
      <c r="E65" s="351" t="str">
        <f>CONCATENATE(IF(AC65&gt;0,$AC$1," ")," ",IF(AD65&gt;0,$AD$1," ")," ",IF(AE65&gt;0,$AE$1," ")," ",IF(AF65&gt;0,$AF$1," ")," ",IF(AG65&gt;0,$AG$1," ")," ",IF(AH65&gt;0,$AH$1," ")," ",IF(AI65&gt;0,$AI$1," ")," ",IF(AJ65&gt;0,$AJ$1," ")," ",IF(AK65&gt;0,$AK$1," "))</f>
        <v xml:space="preserve">                 </v>
      </c>
      <c r="F65" s="243" t="str">
        <f>LEFT(Q65,11)</f>
        <v>9J1_974_219</v>
      </c>
      <c r="G65" s="244" t="str">
        <f>IF(LEN(Q65)=11,0,MID(Q65,13,2))</f>
        <v>B</v>
      </c>
      <c r="H65" s="243" t="str">
        <f t="shared" si="26"/>
        <v>1J219J1219</v>
      </c>
      <c r="I65" s="243" t="str">
        <f>IF(G65=0,"00",IF(LEN(G65)=1,CONCATENATE(G65,0),G65))</f>
        <v>B0</v>
      </c>
      <c r="J65" s="279" t="s">
        <v>1117</v>
      </c>
      <c r="K65" s="58"/>
      <c r="L65" s="35" t="s">
        <v>2441</v>
      </c>
      <c r="M65" s="46">
        <v>6028</v>
      </c>
      <c r="N65" s="47">
        <v>1933</v>
      </c>
      <c r="O65" s="228">
        <v>2035</v>
      </c>
      <c r="P65" s="47" t="s">
        <v>2418</v>
      </c>
      <c r="Q65" s="35" t="s">
        <v>787</v>
      </c>
      <c r="R65" s="243" t="str">
        <f t="shared" si="30"/>
        <v>1J219J1219B0B</v>
      </c>
      <c r="S65" s="245" t="str">
        <f t="shared" si="28"/>
        <v>NICHT AKTUELL</v>
      </c>
      <c r="T65" s="245"/>
      <c r="U65" s="245"/>
      <c r="V65" s="245"/>
      <c r="W65" s="301">
        <v>9.7199999999999995E-2</v>
      </c>
      <c r="X65" s="35"/>
      <c r="Y65" s="35" t="s">
        <v>10</v>
      </c>
      <c r="Z65" s="35" t="s">
        <v>10</v>
      </c>
      <c r="AA65" s="35" t="s">
        <v>550</v>
      </c>
      <c r="AB65" s="35"/>
      <c r="AC65" s="39"/>
      <c r="AD65" s="39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/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/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  <c r="GY65" s="35"/>
      <c r="GZ65" s="35"/>
      <c r="HA65" s="35"/>
      <c r="HB65" s="35"/>
      <c r="HC65" s="35"/>
      <c r="HD65" s="35"/>
      <c r="HE65" s="35"/>
      <c r="HF65" s="35"/>
      <c r="HG65" s="35"/>
      <c r="HH65" s="35"/>
      <c r="HI65" s="35"/>
      <c r="HJ65" s="35"/>
      <c r="HK65" s="35"/>
      <c r="HL65" s="35"/>
      <c r="HM65" s="35"/>
      <c r="HN65" s="35"/>
      <c r="HO65" s="35"/>
      <c r="HP65" s="35"/>
      <c r="HQ65" s="35"/>
      <c r="HR65" s="35"/>
      <c r="HS65" s="35"/>
      <c r="HT65" s="35"/>
      <c r="HU65" s="35"/>
      <c r="HV65" s="35"/>
      <c r="HW65" s="35"/>
      <c r="HX65" s="35"/>
      <c r="HY65" s="35"/>
      <c r="HZ65" s="35"/>
      <c r="IA65" s="35"/>
      <c r="IB65" s="35"/>
      <c r="IC65" s="35"/>
      <c r="ID65" s="35"/>
      <c r="IE65" s="35"/>
      <c r="IF65" s="35"/>
      <c r="IG65" s="35"/>
      <c r="IH65" s="35"/>
      <c r="II65" s="35"/>
      <c r="IJ65" s="35"/>
      <c r="IK65" s="35"/>
      <c r="IL65" s="35"/>
      <c r="IM65" s="35"/>
      <c r="IN65" s="35"/>
    </row>
    <row r="66" spans="1:248" s="4" customFormat="1" ht="15" customHeight="1">
      <c r="A66" s="242" t="s">
        <v>2162</v>
      </c>
      <c r="B66" s="35" t="s">
        <v>1975</v>
      </c>
      <c r="C66" s="35"/>
      <c r="D66" s="58" t="s">
        <v>550</v>
      </c>
      <c r="E66" s="351" t="str">
        <f>CONCATENATE(IF(AC66&gt;0,$AC$1," ")," ",IF(AD66&gt;0,$AD$1," ")," ",IF(AE66&gt;0,$AE$1," ")," ",IF(AF66&gt;0,$AF$1," ")," ",IF(AG66&gt;0,$AG$1," ")," ",IF(AH66&gt;0,$AH$1," ")," ",IF(AI66&gt;0,$AI$1," ")," ",IF(AJ66&gt;0,$AJ$1," ")," ",IF(AK66&gt;0,$AK$1," "))</f>
        <v xml:space="preserve">                 </v>
      </c>
      <c r="F66" s="243" t="str">
        <f>LEFT(Q66,11)</f>
        <v>9J1_974_219</v>
      </c>
      <c r="G66" s="244" t="str">
        <f>IF(LEN(Q66)=11,0,MID(Q66,13,2))</f>
        <v>B</v>
      </c>
      <c r="H66" s="243" t="str">
        <f t="shared" ref="H66" si="34">CONCATENATE(IF(MID(Q66,5,3)="974","1J21"),LEFT(F66,3),RIGHT(F66,3))</f>
        <v>1J219J1219</v>
      </c>
      <c r="I66" s="243" t="str">
        <f>IF(G66=0,"00",IF(LEN(G66)=1,CONCATENATE(G66,0),G66))</f>
        <v>B0</v>
      </c>
      <c r="J66" s="279"/>
      <c r="K66" s="419" t="s">
        <v>2077</v>
      </c>
      <c r="L66" s="35" t="s">
        <v>2441</v>
      </c>
      <c r="M66" s="46" t="s">
        <v>1231</v>
      </c>
      <c r="N66" s="47">
        <v>2036</v>
      </c>
      <c r="O66" s="228"/>
      <c r="P66" s="47"/>
      <c r="Q66" s="35" t="s">
        <v>787</v>
      </c>
      <c r="R66" s="243" t="str">
        <f t="shared" ref="R66" si="35">IF(J66&lt;&gt;"",CONCATENATE(H66,I66,J66),CONCATENATE(H66,I66,K66))</f>
        <v>1J219J1219B0C</v>
      </c>
      <c r="S66" s="245" t="str">
        <f t="shared" ref="S66" si="36">IF(N66="-","KEIN LIEFERUMFANG",IF(AND(N66&lt;=S$3,O66=""),"AKTUELL",IF(O66=N66,"KEIN SERIENEINSATZ",IF(N66&gt;S$3,"NOCH NICHT AKTUELL",IF(AND(N66&lt;S$3,O66&lt;S$3),"NICHT AKTUELL",IF(N66&lt;=S$3,"AKTUELL"))))))</f>
        <v>AKTUELL</v>
      </c>
      <c r="T66" s="245"/>
      <c r="U66" s="245"/>
      <c r="V66" s="245"/>
      <c r="W66" s="301">
        <v>9.7199999999999995E-2</v>
      </c>
      <c r="X66" s="35"/>
      <c r="Y66" s="35" t="s">
        <v>10</v>
      </c>
      <c r="Z66" s="35" t="s">
        <v>10</v>
      </c>
      <c r="AA66" s="35" t="s">
        <v>550</v>
      </c>
      <c r="AB66" s="35"/>
      <c r="AC66" s="39"/>
      <c r="AD66" s="39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/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  <c r="GY66" s="35"/>
      <c r="GZ66" s="35"/>
      <c r="HA66" s="35"/>
      <c r="HB66" s="35"/>
      <c r="HC66" s="35"/>
      <c r="HD66" s="35"/>
      <c r="HE66" s="35"/>
      <c r="HF66" s="35"/>
      <c r="HG66" s="35"/>
      <c r="HH66" s="35"/>
      <c r="HI66" s="35"/>
      <c r="HJ66" s="35"/>
      <c r="HK66" s="35"/>
      <c r="HL66" s="35"/>
      <c r="HM66" s="35"/>
      <c r="HN66" s="35"/>
      <c r="HO66" s="35"/>
      <c r="HP66" s="35"/>
      <c r="HQ66" s="35"/>
      <c r="HR66" s="35"/>
      <c r="HS66" s="35"/>
      <c r="HT66" s="35"/>
      <c r="HU66" s="35"/>
      <c r="HV66" s="35"/>
      <c r="HW66" s="35"/>
      <c r="HX66" s="35"/>
      <c r="HY66" s="35"/>
      <c r="HZ66" s="35"/>
      <c r="IA66" s="35"/>
      <c r="IB66" s="35"/>
      <c r="IC66" s="35"/>
      <c r="ID66" s="35"/>
      <c r="IE66" s="35"/>
      <c r="IF66" s="35"/>
      <c r="IG66" s="35"/>
      <c r="IH66" s="35"/>
      <c r="II66" s="35"/>
      <c r="IJ66" s="35"/>
      <c r="IK66" s="35"/>
      <c r="IL66" s="35"/>
      <c r="IM66" s="35"/>
      <c r="IN66" s="35"/>
    </row>
    <row r="67" spans="1:248" s="4" customFormat="1" ht="15" customHeight="1">
      <c r="A67" s="242" t="s">
        <v>2162</v>
      </c>
      <c r="B67" s="35" t="s">
        <v>1975</v>
      </c>
      <c r="C67" s="35"/>
      <c r="D67" s="58" t="s">
        <v>550</v>
      </c>
      <c r="E67" s="351" t="str">
        <f t="shared" si="24"/>
        <v xml:space="preserve">                 </v>
      </c>
      <c r="F67" s="243" t="str">
        <f t="shared" si="25"/>
        <v>9J1_974_219</v>
      </c>
      <c r="G67" s="244" t="str">
        <f t="shared" si="29"/>
        <v>D</v>
      </c>
      <c r="H67" s="243" t="str">
        <f t="shared" si="26"/>
        <v>1J219J1219</v>
      </c>
      <c r="I67" s="243" t="str">
        <f t="shared" si="27"/>
        <v>D0</v>
      </c>
      <c r="J67" s="279" t="s">
        <v>1117</v>
      </c>
      <c r="K67" s="58"/>
      <c r="L67" s="35" t="s">
        <v>1980</v>
      </c>
      <c r="M67" s="46"/>
      <c r="N67" s="47"/>
      <c r="O67" s="228">
        <v>2035</v>
      </c>
      <c r="P67" s="47"/>
      <c r="Q67" s="35" t="s">
        <v>788</v>
      </c>
      <c r="R67" s="243" t="str">
        <f t="shared" si="30"/>
        <v>1J219J1219D0B</v>
      </c>
      <c r="S67" s="245" t="str">
        <f t="shared" si="28"/>
        <v>NICHT AKTUELL</v>
      </c>
      <c r="T67" s="245"/>
      <c r="U67" s="245"/>
      <c r="V67" s="245"/>
      <c r="W67" s="301">
        <v>6.2300000000000001E-2</v>
      </c>
      <c r="X67" s="35"/>
      <c r="Y67" s="35" t="s">
        <v>10</v>
      </c>
      <c r="Z67" s="35" t="s">
        <v>10</v>
      </c>
      <c r="AA67" s="35" t="s">
        <v>550</v>
      </c>
      <c r="AB67" s="35"/>
      <c r="AC67" s="39"/>
      <c r="AD67" s="39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/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/>
      <c r="HL67" s="35"/>
      <c r="HM67" s="35"/>
      <c r="HN67" s="35"/>
      <c r="HO67" s="35"/>
      <c r="HP67" s="35"/>
      <c r="HQ67" s="35"/>
      <c r="HR67" s="35"/>
      <c r="HS67" s="35"/>
      <c r="HT67" s="35"/>
      <c r="HU67" s="35"/>
      <c r="HV67" s="35"/>
      <c r="HW67" s="35"/>
      <c r="HX67" s="35"/>
      <c r="HY67" s="35"/>
      <c r="HZ67" s="35"/>
      <c r="IA67" s="35"/>
      <c r="IB67" s="35"/>
      <c r="IC67" s="35"/>
      <c r="ID67" s="35"/>
      <c r="IE67" s="35"/>
      <c r="IF67" s="35"/>
      <c r="IG67" s="35"/>
      <c r="IH67" s="35"/>
      <c r="II67" s="35"/>
      <c r="IJ67" s="35"/>
      <c r="IK67" s="35"/>
      <c r="IL67" s="35"/>
      <c r="IM67" s="35"/>
      <c r="IN67" s="35"/>
    </row>
    <row r="68" spans="1:248" s="4" customFormat="1" ht="15" customHeight="1">
      <c r="A68" s="242" t="s">
        <v>2162</v>
      </c>
      <c r="B68" s="35" t="s">
        <v>1975</v>
      </c>
      <c r="C68" s="35"/>
      <c r="D68" s="58" t="s">
        <v>550</v>
      </c>
      <c r="E68" s="351" t="str">
        <f t="shared" ref="E68" si="37">CONCATENATE(IF(AC68&gt;0,$AC$1," ")," ",IF(AD68&gt;0,$AD$1," ")," ",IF(AE68&gt;0,$AE$1," ")," ",IF(AF68&gt;0,$AF$1," ")," ",IF(AG68&gt;0,$AG$1," ")," ",IF(AH68&gt;0,$AH$1," ")," ",IF(AI68&gt;0,$AI$1," ")," ",IF(AJ68&gt;0,$AJ$1," ")," ",IF(AK68&gt;0,$AK$1," "))</f>
        <v xml:space="preserve">                 </v>
      </c>
      <c r="F68" s="243" t="str">
        <f t="shared" ref="F68" si="38">LEFT(Q68,11)</f>
        <v>9J1_974_219</v>
      </c>
      <c r="G68" s="244" t="str">
        <f t="shared" ref="G68" si="39">IF(LEN(Q68)=11,0,MID(Q68,13,2))</f>
        <v>D</v>
      </c>
      <c r="H68" s="243" t="str">
        <f t="shared" ref="H68" si="40">CONCATENATE(IF(MID(Q68,5,3)="974","1J21"),LEFT(F68,3),RIGHT(F68,3))</f>
        <v>1J219J1219</v>
      </c>
      <c r="I68" s="243" t="str">
        <f t="shared" ref="I68" si="41">IF(G68=0,"00",IF(LEN(G68)=1,CONCATENATE(G68,0),G68))</f>
        <v>D0</v>
      </c>
      <c r="J68" s="279"/>
      <c r="K68" s="419" t="s">
        <v>2077</v>
      </c>
      <c r="L68" s="35" t="s">
        <v>1980</v>
      </c>
      <c r="M68" s="46" t="s">
        <v>1231</v>
      </c>
      <c r="N68" s="47">
        <v>2036</v>
      </c>
      <c r="O68" s="228"/>
      <c r="P68" s="47"/>
      <c r="Q68" s="35" t="s">
        <v>788</v>
      </c>
      <c r="R68" s="243" t="str">
        <f t="shared" ref="R68" si="42">IF(J68&lt;&gt;"",CONCATENATE(H68,I68,J68),CONCATENATE(H68,I68,K68))</f>
        <v>1J219J1219D0C</v>
      </c>
      <c r="S68" s="245" t="str">
        <f t="shared" ref="S68" si="43">IF(N68="-","KEIN LIEFERUMFANG",IF(AND(N68&lt;=S$3,O68=""),"AKTUELL",IF(O68=N68,"KEIN SERIENEINSATZ",IF(N68&gt;S$3,"NOCH NICHT AKTUELL",IF(AND(N68&lt;S$3,O68&lt;S$3),"NICHT AKTUELL",IF(N68&lt;=S$3,"AKTUELL"))))))</f>
        <v>AKTUELL</v>
      </c>
      <c r="T68" s="245"/>
      <c r="U68" s="245"/>
      <c r="V68" s="245"/>
      <c r="W68" s="301">
        <v>6.2300000000000001E-2</v>
      </c>
      <c r="X68" s="35"/>
      <c r="Y68" s="35" t="s">
        <v>10</v>
      </c>
      <c r="Z68" s="35" t="s">
        <v>10</v>
      </c>
      <c r="AA68" s="35" t="s">
        <v>550</v>
      </c>
      <c r="AB68" s="35"/>
      <c r="AC68" s="39"/>
      <c r="AD68" s="39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/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  <c r="IB68" s="35"/>
      <c r="IC68" s="35"/>
      <c r="ID68" s="35"/>
      <c r="IE68" s="35"/>
      <c r="IF68" s="35"/>
      <c r="IG68" s="35"/>
      <c r="IH68" s="35"/>
      <c r="II68" s="35"/>
      <c r="IJ68" s="35"/>
      <c r="IK68" s="35"/>
      <c r="IL68" s="35"/>
      <c r="IM68" s="35"/>
      <c r="IN68" s="35"/>
    </row>
    <row r="69" spans="1:248" s="4" customFormat="1" ht="15" customHeight="1">
      <c r="A69" s="242" t="s">
        <v>2162</v>
      </c>
      <c r="B69" s="35" t="s">
        <v>1975</v>
      </c>
      <c r="C69" s="35"/>
      <c r="D69" s="58" t="s">
        <v>550</v>
      </c>
      <c r="E69" s="351" t="str">
        <f>CONCATENATE(IF(AC69&gt;0,$AC$1," ")," ",IF(AD69&gt;0,$AD$1," ")," ",IF(AE69&gt;0,$AE$1," ")," ",IF(AF69&gt;0,$AF$1," ")," ",IF(AG69&gt;0,$AG$1," ")," ",IF(AH69&gt;0,$AH$1," ")," ",IF(AI69&gt;0,$AI$1," ")," ",IF(AJ69&gt;0,$AJ$1," ")," ",IF(AK69&gt;0,$AK$1," "))</f>
        <v xml:space="preserve">                 </v>
      </c>
      <c r="F69" s="315" t="str">
        <f>LEFT(Q69,11)</f>
        <v>9J1_974_219</v>
      </c>
      <c r="G69" s="244" t="s">
        <v>2449</v>
      </c>
      <c r="H69" s="243" t="str">
        <f t="shared" si="26"/>
        <v>1J219J1219</v>
      </c>
      <c r="I69" s="243" t="str">
        <f>IF(G69=0,"00",IF(LEN(G69)=1,CONCATENATE(G69,0),G69))</f>
        <v>G0</v>
      </c>
      <c r="J69" s="279" t="s">
        <v>1116</v>
      </c>
      <c r="K69" s="58"/>
      <c r="L69" s="35" t="s">
        <v>2443</v>
      </c>
      <c r="M69" s="46">
        <v>6028</v>
      </c>
      <c r="N69" s="47">
        <v>1933</v>
      </c>
      <c r="O69" s="228">
        <v>2035</v>
      </c>
      <c r="P69" s="47" t="s">
        <v>2418</v>
      </c>
      <c r="Q69" s="35" t="s">
        <v>2442</v>
      </c>
      <c r="R69" s="243" t="str">
        <f t="shared" si="30"/>
        <v>1J219J1219G0A</v>
      </c>
      <c r="S69" s="245" t="str">
        <f t="shared" si="28"/>
        <v>NICHT AKTUELL</v>
      </c>
      <c r="T69" s="245"/>
      <c r="U69" s="245"/>
      <c r="V69" s="245"/>
      <c r="W69" s="301">
        <v>0.02</v>
      </c>
      <c r="X69" s="35"/>
      <c r="Y69" s="35" t="s">
        <v>10</v>
      </c>
      <c r="Z69" s="35" t="s">
        <v>10</v>
      </c>
      <c r="AA69" s="35" t="s">
        <v>550</v>
      </c>
      <c r="AB69" s="35"/>
      <c r="AC69" s="39"/>
      <c r="AD69" s="39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  <c r="IB69" s="35"/>
      <c r="IC69" s="35"/>
      <c r="ID69" s="35"/>
      <c r="IE69" s="35"/>
      <c r="IF69" s="35"/>
      <c r="IG69" s="35"/>
      <c r="IH69" s="35"/>
      <c r="II69" s="35"/>
      <c r="IJ69" s="35"/>
      <c r="IK69" s="35"/>
      <c r="IL69" s="35"/>
      <c r="IM69" s="35"/>
      <c r="IN69" s="35"/>
    </row>
    <row r="70" spans="1:248" s="4" customFormat="1" ht="15" customHeight="1">
      <c r="A70" s="242" t="s">
        <v>2162</v>
      </c>
      <c r="B70" s="35" t="s">
        <v>1975</v>
      </c>
      <c r="C70" s="35"/>
      <c r="D70" s="58" t="s">
        <v>550</v>
      </c>
      <c r="E70" s="351" t="str">
        <f>CONCATENATE(IF(AC70&gt;0,$AC$1," ")," ",IF(AD70&gt;0,$AD$1," ")," ",IF(AE70&gt;0,$AE$1," ")," ",IF(AF70&gt;0,$AF$1," ")," ",IF(AG70&gt;0,$AG$1," ")," ",IF(AH70&gt;0,$AH$1," ")," ",IF(AI70&gt;0,$AI$1," ")," ",IF(AJ70&gt;0,$AJ$1," ")," ",IF(AK70&gt;0,$AK$1," "))</f>
        <v xml:space="preserve">                 </v>
      </c>
      <c r="F70" s="315" t="str">
        <f>LEFT(Q70,11)</f>
        <v>9J1_974_219</v>
      </c>
      <c r="G70" s="244" t="s">
        <v>2449</v>
      </c>
      <c r="H70" s="243" t="str">
        <f t="shared" ref="H70" si="44">CONCATENATE(IF(MID(Q70,5,3)="974","1J21"),LEFT(F70,3),RIGHT(F70,3))</f>
        <v>1J219J1219</v>
      </c>
      <c r="I70" s="243" t="str">
        <f>IF(G70=0,"00",IF(LEN(G70)=1,CONCATENATE(G70,0),G70))</f>
        <v>G0</v>
      </c>
      <c r="J70" s="279"/>
      <c r="K70" s="419" t="s">
        <v>1117</v>
      </c>
      <c r="L70" s="35" t="s">
        <v>2443</v>
      </c>
      <c r="M70" s="46" t="s">
        <v>1231</v>
      </c>
      <c r="N70" s="47">
        <v>2036</v>
      </c>
      <c r="O70" s="228"/>
      <c r="P70" s="47"/>
      <c r="Q70" s="35" t="s">
        <v>2442</v>
      </c>
      <c r="R70" s="243" t="str">
        <f t="shared" ref="R70" si="45">IF(J70&lt;&gt;"",CONCATENATE(H70,I70,J70),CONCATENATE(H70,I70,K70))</f>
        <v>1J219J1219G0B</v>
      </c>
      <c r="S70" s="245" t="str">
        <f t="shared" ref="S70" si="46">IF(N70="-","KEIN LIEFERUMFANG",IF(AND(N70&lt;=S$3,O70=""),"AKTUELL",IF(O70=N70,"KEIN SERIENEINSATZ",IF(N70&gt;S$3,"NOCH NICHT AKTUELL",IF(AND(N70&lt;S$3,O70&lt;S$3),"NICHT AKTUELL",IF(N70&lt;=S$3,"AKTUELL"))))))</f>
        <v>AKTUELL</v>
      </c>
      <c r="T70" s="245"/>
      <c r="U70" s="245"/>
      <c r="V70" s="245"/>
      <c r="W70" s="301">
        <v>0.02</v>
      </c>
      <c r="X70" s="35"/>
      <c r="Y70" s="35" t="s">
        <v>10</v>
      </c>
      <c r="Z70" s="35" t="s">
        <v>10</v>
      </c>
      <c r="AA70" s="35" t="s">
        <v>550</v>
      </c>
      <c r="AB70" s="35"/>
      <c r="AC70" s="39"/>
      <c r="AD70" s="39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/>
      <c r="GF70" s="35"/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/>
      <c r="HQ70" s="35"/>
      <c r="HR70" s="35"/>
      <c r="HS70" s="35"/>
      <c r="HT70" s="35"/>
      <c r="HU70" s="35"/>
      <c r="HV70" s="35"/>
      <c r="HW70" s="35"/>
      <c r="HX70" s="35"/>
      <c r="HY70" s="35"/>
      <c r="HZ70" s="35"/>
      <c r="IA70" s="35"/>
      <c r="IB70" s="35"/>
      <c r="IC70" s="35"/>
      <c r="ID70" s="35"/>
      <c r="IE70" s="35"/>
      <c r="IF70" s="35"/>
      <c r="IG70" s="35"/>
      <c r="IH70" s="35"/>
      <c r="II70" s="35"/>
      <c r="IJ70" s="35"/>
      <c r="IK70" s="35"/>
      <c r="IL70" s="35"/>
      <c r="IM70" s="35"/>
      <c r="IN70" s="35"/>
    </row>
    <row r="71" spans="1:248" s="4" customFormat="1" ht="15" customHeight="1">
      <c r="A71" s="242" t="s">
        <v>2162</v>
      </c>
      <c r="B71" s="35" t="s">
        <v>1975</v>
      </c>
      <c r="C71" s="35"/>
      <c r="D71" s="58" t="s">
        <v>550</v>
      </c>
      <c r="E71" s="351" t="str">
        <f>CONCATENATE(IF(AC71&gt;0,$AC$1," ")," ",IF(AD71&gt;0,$AD$1," ")," ",IF(AE71&gt;0,$AE$1," ")," ",IF(AF71&gt;0,$AF$1," ")," ",IF(AG71&gt;0,$AG$1," ")," ",IF(AH71&gt;0,$AH$1," ")," ",IF(AI71&gt;0,$AI$1," ")," ",IF(AJ71&gt;0,$AJ$1," ")," ",IF(AK71&gt;0,$AK$1," "))</f>
        <v xml:space="preserve">                 </v>
      </c>
      <c r="F71" s="315" t="str">
        <f>LEFT(Q71,11)</f>
        <v>9J1_974_219</v>
      </c>
      <c r="G71" s="244" t="s">
        <v>2520</v>
      </c>
      <c r="H71" s="243" t="str">
        <f t="shared" si="26"/>
        <v>1J219J1219</v>
      </c>
      <c r="I71" s="243" t="str">
        <f>IF(G71=0,"00",IF(LEN(G71)=1,CONCATENATE(G71,0),G71))</f>
        <v>H0</v>
      </c>
      <c r="J71" s="279" t="s">
        <v>1116</v>
      </c>
      <c r="K71" s="58"/>
      <c r="L71" s="35" t="s">
        <v>2495</v>
      </c>
      <c r="M71" s="46">
        <v>6607</v>
      </c>
      <c r="N71" s="47">
        <v>2003</v>
      </c>
      <c r="O71" s="228">
        <v>2035</v>
      </c>
      <c r="P71" s="47" t="s">
        <v>2457</v>
      </c>
      <c r="Q71" s="35" t="s">
        <v>2494</v>
      </c>
      <c r="R71" s="243" t="str">
        <f t="shared" si="30"/>
        <v>1J219J1219H0A</v>
      </c>
      <c r="S71" s="245" t="str">
        <f t="shared" si="28"/>
        <v>NICHT AKTUELL</v>
      </c>
      <c r="T71" s="245"/>
      <c r="U71" s="245"/>
      <c r="V71" s="245"/>
      <c r="W71" s="301">
        <v>0</v>
      </c>
      <c r="X71" s="35"/>
      <c r="Y71" s="35" t="s">
        <v>10</v>
      </c>
      <c r="Z71" s="35" t="s">
        <v>10</v>
      </c>
      <c r="AA71" s="35" t="s">
        <v>550</v>
      </c>
      <c r="AB71" s="35"/>
      <c r="AC71" s="39"/>
      <c r="AD71" s="39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  <c r="IB71" s="35"/>
      <c r="IC71" s="35"/>
      <c r="ID71" s="35"/>
      <c r="IE71" s="35"/>
      <c r="IF71" s="35"/>
      <c r="IG71" s="35"/>
      <c r="IH71" s="35"/>
      <c r="II71" s="35"/>
      <c r="IJ71" s="35"/>
      <c r="IK71" s="35"/>
      <c r="IL71" s="35"/>
      <c r="IM71" s="35"/>
      <c r="IN71" s="35"/>
    </row>
    <row r="72" spans="1:248" s="4" customFormat="1" ht="15" customHeight="1">
      <c r="A72" s="242" t="s">
        <v>2162</v>
      </c>
      <c r="B72" s="35" t="s">
        <v>1975</v>
      </c>
      <c r="C72" s="35"/>
      <c r="D72" s="58" t="s">
        <v>550</v>
      </c>
      <c r="E72" s="351" t="str">
        <f>CONCATENATE(IF(AC72&gt;0,$AC$1," ")," ",IF(AD72&gt;0,$AD$1," ")," ",IF(AE72&gt;0,$AE$1," ")," ",IF(AF72&gt;0,$AF$1," ")," ",IF(AG72&gt;0,$AG$1," ")," ",IF(AH72&gt;0,$AH$1," ")," ",IF(AI72&gt;0,$AI$1," ")," ",IF(AJ72&gt;0,$AJ$1," ")," ",IF(AK72&gt;0,$AK$1," "))</f>
        <v xml:space="preserve">                 </v>
      </c>
      <c r="F72" s="315" t="str">
        <f>LEFT(Q72,11)</f>
        <v>9J1_974_219</v>
      </c>
      <c r="G72" s="244" t="s">
        <v>2520</v>
      </c>
      <c r="H72" s="243" t="str">
        <f t="shared" ref="H72" si="47">CONCATENATE(IF(MID(Q72,5,3)="974","1J21"),LEFT(F72,3),RIGHT(F72,3))</f>
        <v>1J219J1219</v>
      </c>
      <c r="I72" s="243" t="str">
        <f>IF(G72=0,"00",IF(LEN(G72)=1,CONCATENATE(G72,0),G72))</f>
        <v>H0</v>
      </c>
      <c r="J72" s="279"/>
      <c r="K72" s="419" t="s">
        <v>1117</v>
      </c>
      <c r="L72" s="35" t="s">
        <v>2495</v>
      </c>
      <c r="M72" s="46" t="s">
        <v>1231</v>
      </c>
      <c r="N72" s="47">
        <v>2036</v>
      </c>
      <c r="O72" s="228"/>
      <c r="P72" s="47" t="s">
        <v>2457</v>
      </c>
      <c r="Q72" s="35" t="s">
        <v>2494</v>
      </c>
      <c r="R72" s="243" t="str">
        <f t="shared" ref="R72" si="48">IF(J72&lt;&gt;"",CONCATENATE(H72,I72,J72),CONCATENATE(H72,I72,K72))</f>
        <v>1J219J1219H0B</v>
      </c>
      <c r="S72" s="245" t="str">
        <f t="shared" ref="S72" si="49">IF(N72="-","KEIN LIEFERUMFANG",IF(AND(N72&lt;=S$3,O72=""),"AKTUELL",IF(O72=N72,"KEIN SERIENEINSATZ",IF(N72&gt;S$3,"NOCH NICHT AKTUELL",IF(AND(N72&lt;S$3,O72&lt;S$3),"NICHT AKTUELL",IF(N72&lt;=S$3,"AKTUELL"))))))</f>
        <v>AKTUELL</v>
      </c>
      <c r="T72" s="245"/>
      <c r="U72" s="245"/>
      <c r="V72" s="245"/>
      <c r="W72" s="301">
        <v>0</v>
      </c>
      <c r="X72" s="35"/>
      <c r="Y72" s="35" t="s">
        <v>10</v>
      </c>
      <c r="Z72" s="35" t="s">
        <v>10</v>
      </c>
      <c r="AA72" s="35" t="s">
        <v>550</v>
      </c>
      <c r="AB72" s="35"/>
      <c r="AC72" s="39"/>
      <c r="AD72" s="39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5"/>
      <c r="FJ72" s="35"/>
      <c r="FK72" s="35"/>
      <c r="FL72" s="35"/>
      <c r="FM72" s="35"/>
      <c r="FN72" s="35"/>
      <c r="FO72" s="35"/>
      <c r="FP72" s="35"/>
      <c r="FQ72" s="35"/>
      <c r="FR72" s="35"/>
      <c r="FS72" s="35"/>
      <c r="FT72" s="35"/>
      <c r="FU72" s="35"/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  <c r="IB72" s="35"/>
      <c r="IC72" s="35"/>
      <c r="ID72" s="35"/>
      <c r="IE72" s="35"/>
      <c r="IF72" s="35"/>
      <c r="IG72" s="35"/>
      <c r="IH72" s="35"/>
      <c r="II72" s="35"/>
      <c r="IJ72" s="35"/>
      <c r="IK72" s="35"/>
      <c r="IL72" s="35"/>
      <c r="IM72" s="35"/>
      <c r="IN72" s="35"/>
    </row>
    <row r="73" spans="1:248" s="4" customFormat="1" ht="15" customHeight="1">
      <c r="A73" s="338" t="s">
        <v>2162</v>
      </c>
      <c r="B73" s="339" t="s">
        <v>1997</v>
      </c>
      <c r="C73" s="35"/>
      <c r="D73" s="58" t="s">
        <v>550</v>
      </c>
      <c r="E73" s="351"/>
      <c r="F73" s="315" t="s">
        <v>1998</v>
      </c>
      <c r="G73" s="244">
        <v>0</v>
      </c>
      <c r="H73" s="243" t="str">
        <f t="shared" si="26"/>
        <v>1J219J0222</v>
      </c>
      <c r="I73" s="243" t="str">
        <f t="shared" si="27"/>
        <v>00</v>
      </c>
      <c r="J73" s="279" t="s">
        <v>1116</v>
      </c>
      <c r="K73" s="58"/>
      <c r="L73" s="4" t="s">
        <v>1999</v>
      </c>
      <c r="M73" s="46"/>
      <c r="N73" s="47"/>
      <c r="O73" s="228">
        <v>1932</v>
      </c>
      <c r="P73" s="47"/>
      <c r="Q73" s="4" t="s">
        <v>1998</v>
      </c>
      <c r="R73" s="243" t="str">
        <f t="shared" si="30"/>
        <v>1J219J022200A</v>
      </c>
      <c r="S73" s="246" t="str">
        <f t="shared" si="28"/>
        <v>NICHT AKTUELL</v>
      </c>
      <c r="T73" s="245"/>
      <c r="U73" s="245"/>
      <c r="V73" s="245"/>
      <c r="W73" s="301">
        <v>7.2400000000000006E-2</v>
      </c>
      <c r="X73" s="35"/>
      <c r="Y73" s="35" t="s">
        <v>10</v>
      </c>
      <c r="Z73" s="35" t="s">
        <v>10</v>
      </c>
      <c r="AA73" s="35" t="s">
        <v>550</v>
      </c>
      <c r="AB73" s="35"/>
      <c r="AC73" s="39"/>
      <c r="AD73" s="39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/>
      <c r="FP73" s="35"/>
      <c r="FQ73" s="35"/>
      <c r="FR73" s="35"/>
      <c r="FS73" s="35"/>
      <c r="FT73" s="35"/>
      <c r="FU73" s="35"/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/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  <c r="IB73" s="35"/>
      <c r="IC73" s="35"/>
      <c r="ID73" s="35"/>
      <c r="IE73" s="35"/>
      <c r="IF73" s="35"/>
      <c r="IG73" s="35"/>
      <c r="IH73" s="35"/>
      <c r="II73" s="35"/>
      <c r="IJ73" s="35"/>
      <c r="IK73" s="35"/>
      <c r="IL73" s="35"/>
      <c r="IM73" s="35"/>
      <c r="IN73" s="35"/>
    </row>
    <row r="74" spans="1:248" s="4" customFormat="1" ht="15" customHeight="1">
      <c r="A74" s="338" t="s">
        <v>2162</v>
      </c>
      <c r="B74" s="339" t="s">
        <v>1997</v>
      </c>
      <c r="C74" s="35"/>
      <c r="D74" s="58" t="s">
        <v>550</v>
      </c>
      <c r="E74" s="351"/>
      <c r="F74" s="315" t="s">
        <v>1998</v>
      </c>
      <c r="G74" s="244">
        <v>0</v>
      </c>
      <c r="H74" s="243" t="str">
        <f t="shared" si="26"/>
        <v>1J219J0222</v>
      </c>
      <c r="I74" s="243" t="str">
        <f>IF(G74=0,"00",IF(LEN(G74)=1,CONCATENATE(G74,0),G74))</f>
        <v>00</v>
      </c>
      <c r="J74" s="279" t="s">
        <v>1116</v>
      </c>
      <c r="K74" s="58"/>
      <c r="L74" s="4" t="s">
        <v>2445</v>
      </c>
      <c r="M74" s="46">
        <v>6028</v>
      </c>
      <c r="N74" s="47">
        <v>1933</v>
      </c>
      <c r="O74" s="228">
        <v>2002</v>
      </c>
      <c r="P74" s="47" t="s">
        <v>2418</v>
      </c>
      <c r="Q74" s="4" t="s">
        <v>1998</v>
      </c>
      <c r="R74" s="243" t="str">
        <f t="shared" si="30"/>
        <v>1J219J022200A</v>
      </c>
      <c r="S74" s="246" t="str">
        <f t="shared" si="28"/>
        <v>NICHT AKTUELL</v>
      </c>
      <c r="T74" s="245"/>
      <c r="U74" s="245"/>
      <c r="V74" s="245"/>
      <c r="W74" s="301">
        <v>7.2400000000000006E-2</v>
      </c>
      <c r="X74" s="35"/>
      <c r="Y74" s="35" t="s">
        <v>10</v>
      </c>
      <c r="Z74" s="35" t="s">
        <v>10</v>
      </c>
      <c r="AA74" s="35" t="s">
        <v>550</v>
      </c>
      <c r="AB74" s="35"/>
      <c r="AC74" s="39"/>
      <c r="AD74" s="39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/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  <c r="IB74" s="35"/>
      <c r="IC74" s="35"/>
      <c r="ID74" s="35"/>
      <c r="IE74" s="35"/>
      <c r="IF74" s="35"/>
      <c r="IG74" s="35"/>
      <c r="IH74" s="35"/>
      <c r="II74" s="35"/>
      <c r="IJ74" s="35"/>
      <c r="IK74" s="35"/>
      <c r="IL74" s="35"/>
      <c r="IM74" s="35"/>
      <c r="IN74" s="35"/>
    </row>
    <row r="75" spans="1:248" s="4" customFormat="1" ht="15" customHeight="1">
      <c r="A75" s="338" t="s">
        <v>2162</v>
      </c>
      <c r="B75" s="339" t="s">
        <v>1997</v>
      </c>
      <c r="C75" s="35"/>
      <c r="D75" s="58" t="s">
        <v>550</v>
      </c>
      <c r="E75" s="351"/>
      <c r="F75" s="315" t="s">
        <v>1998</v>
      </c>
      <c r="G75" s="244">
        <v>0</v>
      </c>
      <c r="H75" s="243" t="str">
        <f t="shared" si="26"/>
        <v>1J219J0222</v>
      </c>
      <c r="I75" s="243" t="str">
        <f>IF(G75=0,"00",IF(LEN(G75)=1,CONCATENATE(G75,0),G75))</f>
        <v>00</v>
      </c>
      <c r="J75" s="279" t="s">
        <v>1116</v>
      </c>
      <c r="K75" s="58"/>
      <c r="L75" s="4" t="s">
        <v>2518</v>
      </c>
      <c r="M75" s="46">
        <v>6607</v>
      </c>
      <c r="N75" s="47">
        <v>2003</v>
      </c>
      <c r="O75" s="228">
        <v>2035</v>
      </c>
      <c r="P75" s="47" t="s">
        <v>2457</v>
      </c>
      <c r="Q75" s="4" t="s">
        <v>1998</v>
      </c>
      <c r="R75" s="243" t="str">
        <f>IF(J75&lt;&gt;"",CONCATENATE(H75,I75,J75),CONCATENATE(H75,I75,K75))</f>
        <v>1J219J022200A</v>
      </c>
      <c r="S75" s="246" t="str">
        <f t="shared" si="28"/>
        <v>NICHT AKTUELL</v>
      </c>
      <c r="T75" s="245"/>
      <c r="U75" s="245"/>
      <c r="V75" s="245"/>
      <c r="W75" s="301">
        <v>7.2400000000000006E-2</v>
      </c>
      <c r="X75" s="35"/>
      <c r="Y75" s="35" t="s">
        <v>10</v>
      </c>
      <c r="Z75" s="35" t="s">
        <v>10</v>
      </c>
      <c r="AA75" s="35" t="s">
        <v>550</v>
      </c>
      <c r="AB75" s="35"/>
      <c r="AC75" s="39"/>
      <c r="AD75" s="39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  <c r="IB75" s="35"/>
      <c r="IC75" s="35"/>
      <c r="ID75" s="35"/>
      <c r="IE75" s="35"/>
      <c r="IF75" s="35"/>
      <c r="IG75" s="35"/>
      <c r="IH75" s="35"/>
      <c r="II75" s="35"/>
      <c r="IJ75" s="35"/>
      <c r="IK75" s="35"/>
      <c r="IL75" s="35"/>
      <c r="IM75" s="35"/>
      <c r="IN75" s="35"/>
    </row>
    <row r="76" spans="1:248" s="4" customFormat="1" ht="15" customHeight="1">
      <c r="A76" s="338" t="s">
        <v>2162</v>
      </c>
      <c r="B76" s="339" t="s">
        <v>1997</v>
      </c>
      <c r="C76" s="35"/>
      <c r="D76" s="58" t="s">
        <v>550</v>
      </c>
      <c r="E76" s="351"/>
      <c r="F76" s="315" t="s">
        <v>1998</v>
      </c>
      <c r="G76" s="244">
        <v>0</v>
      </c>
      <c r="H76" s="243" t="str">
        <f t="shared" ref="H76" si="50">CONCATENATE(IF(MID(Q76,5,3)="974","1J21"),LEFT(F76,3),RIGHT(F76,3))</f>
        <v>1J219J0222</v>
      </c>
      <c r="I76" s="243" t="str">
        <f>IF(G76=0,"00",IF(LEN(G76)=1,CONCATENATE(G76,0),G76))</f>
        <v>00</v>
      </c>
      <c r="J76" s="279"/>
      <c r="K76" s="419" t="s">
        <v>1117</v>
      </c>
      <c r="L76" s="391" t="s">
        <v>2565</v>
      </c>
      <c r="M76" s="46" t="s">
        <v>2569</v>
      </c>
      <c r="N76" s="47">
        <v>2036</v>
      </c>
      <c r="O76" s="228">
        <v>2037</v>
      </c>
      <c r="P76" s="47"/>
      <c r="Q76" s="4" t="s">
        <v>1998</v>
      </c>
      <c r="R76" s="243" t="str">
        <f>IF(J76&lt;&gt;"",CONCATENATE(H76,I76,J76),CONCATENATE(H76,I76,K76))</f>
        <v>1J219J022200B</v>
      </c>
      <c r="S76" s="246" t="str">
        <f t="shared" ref="S76" si="51">IF(N76="-","KEIN LIEFERUMFANG",IF(AND(N76&lt;=S$3,O76=""),"AKTUELL",IF(O76=N76,"KEIN SERIENEINSATZ",IF(N76&gt;S$3,"NOCH NICHT AKTUELL",IF(AND(N76&lt;S$3,O76&lt;S$3),"NICHT AKTUELL",IF(N76&lt;=S$3,"AKTUELL"))))))</f>
        <v>NICHT AKTUELL</v>
      </c>
      <c r="T76" s="245"/>
      <c r="U76" s="245"/>
      <c r="V76" s="245"/>
      <c r="W76" s="301">
        <v>7.2400000000000006E-2</v>
      </c>
      <c r="X76" s="35"/>
      <c r="Y76" s="35" t="s">
        <v>10</v>
      </c>
      <c r="Z76" s="35" t="s">
        <v>10</v>
      </c>
      <c r="AA76" s="35" t="s">
        <v>550</v>
      </c>
      <c r="AB76" s="35"/>
      <c r="AC76" s="39"/>
      <c r="AD76" s="39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/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  <c r="IB76" s="35"/>
      <c r="IC76" s="35"/>
      <c r="ID76" s="35"/>
      <c r="IE76" s="35"/>
      <c r="IF76" s="35"/>
      <c r="IG76" s="35"/>
      <c r="IH76" s="35"/>
      <c r="II76" s="35"/>
      <c r="IJ76" s="35"/>
      <c r="IK76" s="35"/>
      <c r="IL76" s="35"/>
      <c r="IM76" s="35"/>
      <c r="IN76" s="35"/>
    </row>
    <row r="77" spans="1:248" s="4" customFormat="1" ht="15" customHeight="1">
      <c r="A77" s="338" t="s">
        <v>2162</v>
      </c>
      <c r="B77" s="339" t="s">
        <v>1997</v>
      </c>
      <c r="C77" s="35"/>
      <c r="D77" s="58" t="s">
        <v>550</v>
      </c>
      <c r="E77" s="351"/>
      <c r="F77" s="315" t="s">
        <v>1998</v>
      </c>
      <c r="G77" s="244">
        <v>0</v>
      </c>
      <c r="H77" s="243" t="str">
        <f t="shared" ref="H77" si="52">CONCATENATE(IF(MID(Q77,5,3)="974","1J21"),LEFT(F77,3),RIGHT(F77,3))</f>
        <v>1J219J0222</v>
      </c>
      <c r="I77" s="243" t="str">
        <f>IF(G77=0,"00",IF(LEN(G77)=1,CONCATENATE(G77,0),G77))</f>
        <v>00</v>
      </c>
      <c r="J77" s="279"/>
      <c r="K77" s="419" t="s">
        <v>2077</v>
      </c>
      <c r="L77" s="4" t="s">
        <v>2565</v>
      </c>
      <c r="M77" s="46" t="s">
        <v>1231</v>
      </c>
      <c r="N77" s="47">
        <v>2038</v>
      </c>
      <c r="O77" s="228"/>
      <c r="P77" s="47"/>
      <c r="Q77" s="4" t="s">
        <v>1998</v>
      </c>
      <c r="R77" s="243" t="str">
        <f>IF(J77&lt;&gt;"",CONCATENATE(H77,I77,J77),CONCATENATE(H77,I77,K77))</f>
        <v>1J219J022200C</v>
      </c>
      <c r="S77" s="246" t="str">
        <f t="shared" ref="S77" si="53">IF(N77="-","KEIN LIEFERUMFANG",IF(AND(N77&lt;=S$3,O77=""),"AKTUELL",IF(O77=N77,"KEIN SERIENEINSATZ",IF(N77&gt;S$3,"NOCH NICHT AKTUELL",IF(AND(N77&lt;S$3,O77&lt;S$3),"NICHT AKTUELL",IF(N77&lt;=S$3,"AKTUELL"))))))</f>
        <v>AKTUELL</v>
      </c>
      <c r="T77" s="245"/>
      <c r="U77" s="245"/>
      <c r="V77" s="245"/>
      <c r="W77" s="301">
        <v>7.2400000000000006E-2</v>
      </c>
      <c r="X77" s="35"/>
      <c r="Y77" s="35" t="s">
        <v>10</v>
      </c>
      <c r="Z77" s="35" t="s">
        <v>10</v>
      </c>
      <c r="AA77" s="35" t="s">
        <v>550</v>
      </c>
      <c r="AB77" s="35"/>
      <c r="AC77" s="39"/>
      <c r="AD77" s="39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  <c r="IB77" s="35"/>
      <c r="IC77" s="35"/>
      <c r="ID77" s="35"/>
      <c r="IE77" s="35"/>
      <c r="IF77" s="35"/>
      <c r="IG77" s="35"/>
      <c r="IH77" s="35"/>
      <c r="II77" s="35"/>
      <c r="IJ77" s="35"/>
      <c r="IK77" s="35"/>
      <c r="IL77" s="35"/>
      <c r="IM77" s="35"/>
      <c r="IN77" s="35"/>
    </row>
    <row r="78" spans="1:248" s="4" customFormat="1" ht="15" customHeight="1">
      <c r="A78" s="338" t="s">
        <v>2162</v>
      </c>
      <c r="B78" s="339" t="s">
        <v>1997</v>
      </c>
      <c r="C78" s="35"/>
      <c r="D78" s="58" t="s">
        <v>550</v>
      </c>
      <c r="E78" s="351"/>
      <c r="F78" s="315" t="s">
        <v>1998</v>
      </c>
      <c r="G78" s="244" t="s">
        <v>1116</v>
      </c>
      <c r="H78" s="243" t="str">
        <f t="shared" si="26"/>
        <v>1J219J0222</v>
      </c>
      <c r="I78" s="243" t="s">
        <v>2222</v>
      </c>
      <c r="J78" s="279" t="s">
        <v>1116</v>
      </c>
      <c r="K78" s="58"/>
      <c r="L78" s="4" t="s">
        <v>2002</v>
      </c>
      <c r="M78" s="46"/>
      <c r="N78" s="47"/>
      <c r="O78" s="228">
        <v>1932</v>
      </c>
      <c r="P78" s="47"/>
      <c r="Q78" s="4" t="s">
        <v>2001</v>
      </c>
      <c r="R78" s="243" t="str">
        <f t="shared" si="30"/>
        <v>1J219J0222A0A</v>
      </c>
      <c r="S78" s="246" t="str">
        <f t="shared" si="28"/>
        <v>NICHT AKTUELL</v>
      </c>
      <c r="T78" s="245"/>
      <c r="U78" s="245"/>
      <c r="V78" s="245"/>
      <c r="W78" s="301">
        <v>5.96E-2</v>
      </c>
      <c r="X78" s="35"/>
      <c r="Y78" s="35" t="s">
        <v>10</v>
      </c>
      <c r="Z78" s="35" t="s">
        <v>10</v>
      </c>
      <c r="AA78" s="35" t="s">
        <v>550</v>
      </c>
      <c r="AB78" s="35"/>
      <c r="AC78" s="39"/>
      <c r="AD78" s="39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  <c r="IB78" s="35"/>
      <c r="IC78" s="35"/>
      <c r="ID78" s="35"/>
      <c r="IE78" s="35"/>
      <c r="IF78" s="35"/>
      <c r="IG78" s="35"/>
      <c r="IH78" s="35"/>
      <c r="II78" s="35"/>
      <c r="IJ78" s="35"/>
      <c r="IK78" s="35"/>
      <c r="IL78" s="35"/>
      <c r="IM78" s="35"/>
      <c r="IN78" s="35"/>
    </row>
    <row r="79" spans="1:248" s="4" customFormat="1" ht="15" customHeight="1">
      <c r="A79" s="338" t="s">
        <v>2162</v>
      </c>
      <c r="B79" s="339" t="s">
        <v>1997</v>
      </c>
      <c r="C79" s="35"/>
      <c r="D79" s="58" t="s">
        <v>550</v>
      </c>
      <c r="E79" s="351"/>
      <c r="F79" s="315" t="s">
        <v>1998</v>
      </c>
      <c r="G79" s="244" t="s">
        <v>1116</v>
      </c>
      <c r="H79" s="243" t="str">
        <f t="shared" si="26"/>
        <v>1J219J0222</v>
      </c>
      <c r="I79" s="243" t="s">
        <v>2222</v>
      </c>
      <c r="J79" s="279" t="s">
        <v>1116</v>
      </c>
      <c r="K79" s="58"/>
      <c r="L79" s="4" t="s">
        <v>2446</v>
      </c>
      <c r="M79" s="46">
        <v>6028</v>
      </c>
      <c r="N79" s="47">
        <v>1933</v>
      </c>
      <c r="O79" s="228">
        <v>2035</v>
      </c>
      <c r="P79" s="47" t="s">
        <v>2418</v>
      </c>
      <c r="Q79" s="4" t="s">
        <v>2001</v>
      </c>
      <c r="R79" s="243" t="str">
        <f t="shared" si="30"/>
        <v>1J219J0222A0A</v>
      </c>
      <c r="S79" s="246" t="str">
        <f t="shared" si="28"/>
        <v>NICHT AKTUELL</v>
      </c>
      <c r="T79" s="245"/>
      <c r="U79" s="245"/>
      <c r="V79" s="245"/>
      <c r="W79" s="301">
        <v>5.96E-2</v>
      </c>
      <c r="X79" s="35"/>
      <c r="Y79" s="35" t="s">
        <v>10</v>
      </c>
      <c r="Z79" s="35" t="s">
        <v>10</v>
      </c>
      <c r="AA79" s="35" t="s">
        <v>550</v>
      </c>
      <c r="AB79" s="35"/>
      <c r="AC79" s="39"/>
      <c r="AD79" s="39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/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/>
      <c r="GD79" s="35"/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  <c r="IB79" s="35"/>
      <c r="IC79" s="35"/>
      <c r="ID79" s="35"/>
      <c r="IE79" s="35"/>
      <c r="IF79" s="35"/>
      <c r="IG79" s="35"/>
      <c r="IH79" s="35"/>
      <c r="II79" s="35"/>
      <c r="IJ79" s="35"/>
      <c r="IK79" s="35"/>
      <c r="IL79" s="35"/>
      <c r="IM79" s="35"/>
      <c r="IN79" s="35"/>
    </row>
    <row r="80" spans="1:248" s="4" customFormat="1" ht="15" customHeight="1">
      <c r="A80" s="338" t="s">
        <v>2162</v>
      </c>
      <c r="B80" s="339" t="s">
        <v>1997</v>
      </c>
      <c r="C80" s="35"/>
      <c r="D80" s="58" t="s">
        <v>550</v>
      </c>
      <c r="E80" s="351"/>
      <c r="F80" s="315" t="s">
        <v>1998</v>
      </c>
      <c r="G80" s="244" t="s">
        <v>1116</v>
      </c>
      <c r="H80" s="243" t="str">
        <f t="shared" ref="H80" si="54">CONCATENATE(IF(MID(Q80,5,3)="974","1J21"),LEFT(F80,3),RIGHT(F80,3))</f>
        <v>1J219J0222</v>
      </c>
      <c r="I80" s="243" t="s">
        <v>2222</v>
      </c>
      <c r="J80" s="279"/>
      <c r="K80" s="419" t="s">
        <v>1117</v>
      </c>
      <c r="L80" s="391" t="s">
        <v>2566</v>
      </c>
      <c r="M80" s="46" t="s">
        <v>2569</v>
      </c>
      <c r="N80" s="47">
        <v>2036</v>
      </c>
      <c r="O80" s="228">
        <v>2037</v>
      </c>
      <c r="P80" s="47"/>
      <c r="Q80" s="4" t="s">
        <v>2001</v>
      </c>
      <c r="R80" s="243" t="str">
        <f t="shared" ref="R80" si="55">IF(J80&lt;&gt;"",CONCATENATE(H80,I80,J80),CONCATENATE(H80,I80,K80))</f>
        <v>1J219J0222A0B</v>
      </c>
      <c r="S80" s="246" t="str">
        <f t="shared" ref="S80" si="56">IF(N80="-","KEIN LIEFERUMFANG",IF(AND(N80&lt;=S$3,O80=""),"AKTUELL",IF(O80=N80,"KEIN SERIENEINSATZ",IF(N80&gt;S$3,"NOCH NICHT AKTUELL",IF(AND(N80&lt;S$3,O80&lt;S$3),"NICHT AKTUELL",IF(N80&lt;=S$3,"AKTUELL"))))))</f>
        <v>NICHT AKTUELL</v>
      </c>
      <c r="T80" s="245"/>
      <c r="U80" s="245"/>
      <c r="V80" s="245"/>
      <c r="W80" s="301">
        <v>5.96E-2</v>
      </c>
      <c r="X80" s="35"/>
      <c r="Y80" s="35" t="s">
        <v>10</v>
      </c>
      <c r="Z80" s="35" t="s">
        <v>10</v>
      </c>
      <c r="AA80" s="35" t="s">
        <v>550</v>
      </c>
      <c r="AB80" s="35"/>
      <c r="AC80" s="39"/>
      <c r="AD80" s="39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  <c r="IB80" s="35"/>
      <c r="IC80" s="35"/>
      <c r="ID80" s="35"/>
      <c r="IE80" s="35"/>
      <c r="IF80" s="35"/>
      <c r="IG80" s="35"/>
      <c r="IH80" s="35"/>
      <c r="II80" s="35"/>
      <c r="IJ80" s="35"/>
      <c r="IK80" s="35"/>
      <c r="IL80" s="35"/>
      <c r="IM80" s="35"/>
      <c r="IN80" s="35"/>
    </row>
    <row r="81" spans="1:248" s="4" customFormat="1" ht="15" customHeight="1">
      <c r="A81" s="338" t="s">
        <v>2162</v>
      </c>
      <c r="B81" s="339" t="s">
        <v>1997</v>
      </c>
      <c r="C81" s="35"/>
      <c r="D81" s="58" t="s">
        <v>550</v>
      </c>
      <c r="E81" s="351"/>
      <c r="F81" s="315" t="s">
        <v>1998</v>
      </c>
      <c r="G81" s="244" t="s">
        <v>1116</v>
      </c>
      <c r="H81" s="243" t="str">
        <f t="shared" ref="H81" si="57">CONCATENATE(IF(MID(Q81,5,3)="974","1J21"),LEFT(F81,3),RIGHT(F81,3))</f>
        <v>1J219J0222</v>
      </c>
      <c r="I81" s="243" t="s">
        <v>2222</v>
      </c>
      <c r="J81" s="279"/>
      <c r="K81" s="419" t="s">
        <v>2077</v>
      </c>
      <c r="L81" s="4" t="s">
        <v>2566</v>
      </c>
      <c r="M81" s="46" t="s">
        <v>1231</v>
      </c>
      <c r="N81" s="47">
        <v>2038</v>
      </c>
      <c r="O81" s="228"/>
      <c r="P81" s="47"/>
      <c r="Q81" s="4" t="s">
        <v>2001</v>
      </c>
      <c r="R81" s="243" t="str">
        <f t="shared" ref="R81" si="58">IF(J81&lt;&gt;"",CONCATENATE(H81,I81,J81),CONCATENATE(H81,I81,K81))</f>
        <v>1J219J0222A0C</v>
      </c>
      <c r="S81" s="246" t="str">
        <f t="shared" ref="S81" si="59">IF(N81="-","KEIN LIEFERUMFANG",IF(AND(N81&lt;=S$3,O81=""),"AKTUELL",IF(O81=N81,"KEIN SERIENEINSATZ",IF(N81&gt;S$3,"NOCH NICHT AKTUELL",IF(AND(N81&lt;S$3,O81&lt;S$3),"NICHT AKTUELL",IF(N81&lt;=S$3,"AKTUELL"))))))</f>
        <v>AKTUELL</v>
      </c>
      <c r="T81" s="245"/>
      <c r="U81" s="245"/>
      <c r="V81" s="245"/>
      <c r="W81" s="301">
        <v>5.96E-2</v>
      </c>
      <c r="X81" s="35"/>
      <c r="Y81" s="35" t="s">
        <v>10</v>
      </c>
      <c r="Z81" s="35" t="s">
        <v>10</v>
      </c>
      <c r="AA81" s="35" t="s">
        <v>550</v>
      </c>
      <c r="AB81" s="35"/>
      <c r="AC81" s="39"/>
      <c r="AD81" s="39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  <c r="IB81" s="35"/>
      <c r="IC81" s="35"/>
      <c r="ID81" s="35"/>
      <c r="IE81" s="35"/>
      <c r="IF81" s="35"/>
      <c r="IG81" s="35"/>
      <c r="IH81" s="35"/>
      <c r="II81" s="35"/>
      <c r="IJ81" s="35"/>
      <c r="IK81" s="35"/>
      <c r="IL81" s="35"/>
      <c r="IM81" s="35"/>
      <c r="IN81" s="35"/>
    </row>
    <row r="82" spans="1:248" s="4" customFormat="1" ht="15" customHeight="1">
      <c r="A82" s="338" t="s">
        <v>2162</v>
      </c>
      <c r="B82" s="339" t="s">
        <v>1997</v>
      </c>
      <c r="C82" s="35"/>
      <c r="D82" s="58" t="s">
        <v>550</v>
      </c>
      <c r="E82" s="351"/>
      <c r="F82" s="315" t="s">
        <v>1998</v>
      </c>
      <c r="G82" s="244" t="s">
        <v>1117</v>
      </c>
      <c r="H82" s="243" t="str">
        <f t="shared" si="26"/>
        <v>1J219J0222</v>
      </c>
      <c r="I82" s="243" t="s">
        <v>2223</v>
      </c>
      <c r="J82" s="279" t="s">
        <v>1116</v>
      </c>
      <c r="K82" s="58"/>
      <c r="L82" s="4" t="s">
        <v>2005</v>
      </c>
      <c r="M82" s="46"/>
      <c r="N82" s="47"/>
      <c r="O82" s="228">
        <v>2035</v>
      </c>
      <c r="P82" s="47"/>
      <c r="Q82" s="4" t="s">
        <v>2004</v>
      </c>
      <c r="R82" s="243" t="str">
        <f t="shared" si="30"/>
        <v>1J219J0222B0A</v>
      </c>
      <c r="S82" s="246" t="str">
        <f t="shared" si="28"/>
        <v>NICHT AKTUELL</v>
      </c>
      <c r="T82" s="245"/>
      <c r="U82" s="245"/>
      <c r="V82" s="245"/>
      <c r="W82" s="301">
        <v>3.8300000000000001E-2</v>
      </c>
      <c r="X82" s="35"/>
      <c r="Y82" s="35" t="s">
        <v>10</v>
      </c>
      <c r="Z82" s="35" t="s">
        <v>10</v>
      </c>
      <c r="AA82" s="35" t="s">
        <v>550</v>
      </c>
      <c r="AB82" s="35"/>
      <c r="AC82" s="39"/>
      <c r="AD82" s="39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/>
      <c r="GI82" s="35"/>
      <c r="GJ82" s="35"/>
      <c r="GK82" s="35"/>
      <c r="GL82" s="35"/>
      <c r="GM82" s="35"/>
      <c r="GN82" s="35"/>
      <c r="GO82" s="35"/>
      <c r="GP82" s="35"/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/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  <c r="IB82" s="35"/>
      <c r="IC82" s="35"/>
      <c r="ID82" s="35"/>
      <c r="IE82" s="35"/>
      <c r="IF82" s="35"/>
      <c r="IG82" s="35"/>
      <c r="IH82" s="35"/>
      <c r="II82" s="35"/>
      <c r="IJ82" s="35"/>
      <c r="IK82" s="35"/>
      <c r="IL82" s="35"/>
      <c r="IM82" s="35"/>
      <c r="IN82" s="35"/>
    </row>
    <row r="83" spans="1:248" s="4" customFormat="1" ht="15" customHeight="1">
      <c r="A83" s="338" t="s">
        <v>2162</v>
      </c>
      <c r="B83" s="339" t="s">
        <v>1997</v>
      </c>
      <c r="C83" s="35"/>
      <c r="D83" s="58" t="s">
        <v>550</v>
      </c>
      <c r="E83" s="351"/>
      <c r="F83" s="315" t="s">
        <v>1998</v>
      </c>
      <c r="G83" s="244" t="s">
        <v>1117</v>
      </c>
      <c r="H83" s="243" t="str">
        <f t="shared" ref="H83" si="60">CONCATENATE(IF(MID(Q83,5,3)="974","1J21"),LEFT(F83,3),RIGHT(F83,3))</f>
        <v>1J219J0222</v>
      </c>
      <c r="I83" s="243" t="s">
        <v>2223</v>
      </c>
      <c r="J83" s="279"/>
      <c r="K83" s="419" t="s">
        <v>1117</v>
      </c>
      <c r="L83" s="391" t="s">
        <v>2567</v>
      </c>
      <c r="M83" s="46" t="s">
        <v>2569</v>
      </c>
      <c r="N83" s="47">
        <v>2036</v>
      </c>
      <c r="O83" s="228">
        <v>2037</v>
      </c>
      <c r="P83" s="47"/>
      <c r="Q83" s="4" t="s">
        <v>2004</v>
      </c>
      <c r="R83" s="243" t="str">
        <f t="shared" ref="R83" si="61">IF(J83&lt;&gt;"",CONCATENATE(H83,I83,J83),CONCATENATE(H83,I83,K83))</f>
        <v>1J219J0222B0B</v>
      </c>
      <c r="S83" s="246" t="str">
        <f t="shared" ref="S83" si="62">IF(N83="-","KEIN LIEFERUMFANG",IF(AND(N83&lt;=S$3,O83=""),"AKTUELL",IF(O83=N83,"KEIN SERIENEINSATZ",IF(N83&gt;S$3,"NOCH NICHT AKTUELL",IF(AND(N83&lt;S$3,O83&lt;S$3),"NICHT AKTUELL",IF(N83&lt;=S$3,"AKTUELL"))))))</f>
        <v>NICHT AKTUELL</v>
      </c>
      <c r="T83" s="245"/>
      <c r="U83" s="245"/>
      <c r="V83" s="245"/>
      <c r="W83" s="301">
        <v>3.8300000000000001E-2</v>
      </c>
      <c r="X83" s="35"/>
      <c r="Y83" s="35" t="s">
        <v>10</v>
      </c>
      <c r="Z83" s="35" t="s">
        <v>10</v>
      </c>
      <c r="AA83" s="35" t="s">
        <v>550</v>
      </c>
      <c r="AB83" s="35"/>
      <c r="AC83" s="39"/>
      <c r="AD83" s="39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/>
      <c r="GE83" s="35"/>
      <c r="GF83" s="35"/>
      <c r="GG83" s="35"/>
      <c r="GH83" s="35"/>
      <c r="GI83" s="35"/>
      <c r="GJ83" s="35"/>
      <c r="GK83" s="35"/>
      <c r="GL83" s="35"/>
      <c r="GM83" s="35"/>
      <c r="GN83" s="35"/>
      <c r="GO83" s="35"/>
      <c r="GP83" s="35"/>
      <c r="GQ83" s="35"/>
      <c r="GR83" s="35"/>
      <c r="GS83" s="35"/>
      <c r="GT83" s="35"/>
      <c r="GU83" s="35"/>
      <c r="GV83" s="35"/>
      <c r="GW83" s="35"/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/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  <c r="IB83" s="35"/>
      <c r="IC83" s="35"/>
      <c r="ID83" s="35"/>
      <c r="IE83" s="35"/>
      <c r="IF83" s="35"/>
      <c r="IG83" s="35"/>
      <c r="IH83" s="35"/>
      <c r="II83" s="35"/>
      <c r="IJ83" s="35"/>
      <c r="IK83" s="35"/>
      <c r="IL83" s="35"/>
      <c r="IM83" s="35"/>
      <c r="IN83" s="35"/>
    </row>
    <row r="84" spans="1:248" s="4" customFormat="1" ht="15" customHeight="1">
      <c r="A84" s="338" t="s">
        <v>2162</v>
      </c>
      <c r="B84" s="339" t="s">
        <v>1997</v>
      </c>
      <c r="C84" s="35"/>
      <c r="D84" s="58" t="s">
        <v>550</v>
      </c>
      <c r="E84" s="351"/>
      <c r="F84" s="315" t="s">
        <v>1998</v>
      </c>
      <c r="G84" s="244" t="s">
        <v>1117</v>
      </c>
      <c r="H84" s="243" t="str">
        <f t="shared" ref="H84" si="63">CONCATENATE(IF(MID(Q84,5,3)="974","1J21"),LEFT(F84,3),RIGHT(F84,3))</f>
        <v>1J219J0222</v>
      </c>
      <c r="I84" s="243" t="s">
        <v>2223</v>
      </c>
      <c r="J84" s="279"/>
      <c r="K84" s="419" t="s">
        <v>2077</v>
      </c>
      <c r="L84" s="4" t="s">
        <v>2567</v>
      </c>
      <c r="M84" s="46" t="s">
        <v>1231</v>
      </c>
      <c r="N84" s="47">
        <v>2038</v>
      </c>
      <c r="O84" s="228"/>
      <c r="P84" s="47"/>
      <c r="Q84" s="4" t="s">
        <v>2004</v>
      </c>
      <c r="R84" s="243" t="str">
        <f t="shared" ref="R84" si="64">IF(J84&lt;&gt;"",CONCATENATE(H84,I84,J84),CONCATENATE(H84,I84,K84))</f>
        <v>1J219J0222B0C</v>
      </c>
      <c r="S84" s="246" t="str">
        <f t="shared" ref="S84" si="65">IF(N84="-","KEIN LIEFERUMFANG",IF(AND(N84&lt;=S$3,O84=""),"AKTUELL",IF(O84=N84,"KEIN SERIENEINSATZ",IF(N84&gt;S$3,"NOCH NICHT AKTUELL",IF(AND(N84&lt;S$3,O84&lt;S$3),"NICHT AKTUELL",IF(N84&lt;=S$3,"AKTUELL"))))))</f>
        <v>AKTUELL</v>
      </c>
      <c r="T84" s="245"/>
      <c r="U84" s="245"/>
      <c r="V84" s="245"/>
      <c r="W84" s="301">
        <v>3.8300000000000001E-2</v>
      </c>
      <c r="X84" s="35"/>
      <c r="Y84" s="35" t="s">
        <v>10</v>
      </c>
      <c r="Z84" s="35" t="s">
        <v>10</v>
      </c>
      <c r="AA84" s="35" t="s">
        <v>550</v>
      </c>
      <c r="AB84" s="35"/>
      <c r="AC84" s="39"/>
      <c r="AD84" s="39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/>
      <c r="EX84" s="35"/>
      <c r="EY84" s="35"/>
      <c r="EZ84" s="35"/>
      <c r="FA84" s="35"/>
      <c r="FB84" s="35"/>
      <c r="FC84" s="35"/>
      <c r="FD84" s="35"/>
      <c r="FE84" s="35"/>
      <c r="FF84" s="35"/>
      <c r="FG84" s="35"/>
      <c r="FH84" s="35"/>
      <c r="FI84" s="35"/>
      <c r="FJ84" s="35"/>
      <c r="FK84" s="35"/>
      <c r="FL84" s="35"/>
      <c r="FM84" s="35"/>
      <c r="FN84" s="35"/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/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/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  <c r="IB84" s="35"/>
      <c r="IC84" s="35"/>
      <c r="ID84" s="35"/>
      <c r="IE84" s="35"/>
      <c r="IF84" s="35"/>
      <c r="IG84" s="35"/>
      <c r="IH84" s="35"/>
      <c r="II84" s="35"/>
      <c r="IJ84" s="35"/>
      <c r="IK84" s="35"/>
      <c r="IL84" s="35"/>
      <c r="IM84" s="35"/>
      <c r="IN84" s="35"/>
    </row>
    <row r="85" spans="1:248" s="4" customFormat="1" ht="15" customHeight="1">
      <c r="A85" s="338" t="s">
        <v>2162</v>
      </c>
      <c r="B85" s="339" t="s">
        <v>1997</v>
      </c>
      <c r="C85" s="35"/>
      <c r="D85" s="58" t="s">
        <v>550</v>
      </c>
      <c r="E85" s="351"/>
      <c r="F85" s="315" t="s">
        <v>1998</v>
      </c>
      <c r="G85" s="244" t="s">
        <v>2077</v>
      </c>
      <c r="H85" s="243" t="str">
        <f t="shared" si="26"/>
        <v>1J219J0222</v>
      </c>
      <c r="I85" s="243" t="s">
        <v>2450</v>
      </c>
      <c r="J85" s="279" t="s">
        <v>1116</v>
      </c>
      <c r="K85" s="58"/>
      <c r="L85" s="4" t="s">
        <v>2448</v>
      </c>
      <c r="M85" s="46">
        <v>6028</v>
      </c>
      <c r="N85" s="47">
        <v>1933</v>
      </c>
      <c r="O85" s="228">
        <v>2035</v>
      </c>
      <c r="P85" s="47" t="s">
        <v>2418</v>
      </c>
      <c r="Q85" s="4" t="s">
        <v>2447</v>
      </c>
      <c r="R85" s="243" t="str">
        <f t="shared" si="30"/>
        <v>1J219J0222C0A</v>
      </c>
      <c r="S85" s="246" t="str">
        <f t="shared" si="28"/>
        <v>NICHT AKTUELL</v>
      </c>
      <c r="T85" s="245"/>
      <c r="U85" s="245"/>
      <c r="V85" s="245"/>
      <c r="W85" s="301">
        <v>0.01</v>
      </c>
      <c r="X85" s="35"/>
      <c r="Y85" s="35" t="s">
        <v>10</v>
      </c>
      <c r="Z85" s="35" t="s">
        <v>10</v>
      </c>
      <c r="AA85" s="35" t="s">
        <v>550</v>
      </c>
      <c r="AB85" s="35"/>
      <c r="AC85" s="39"/>
      <c r="AD85" s="39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35"/>
      <c r="FR85" s="35"/>
      <c r="FS85" s="35"/>
      <c r="FT85" s="35"/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  <c r="IB85" s="35"/>
      <c r="IC85" s="35"/>
      <c r="ID85" s="35"/>
      <c r="IE85" s="35"/>
      <c r="IF85" s="35"/>
      <c r="IG85" s="35"/>
      <c r="IH85" s="35"/>
      <c r="II85" s="35"/>
      <c r="IJ85" s="35"/>
      <c r="IK85" s="35"/>
      <c r="IL85" s="35"/>
      <c r="IM85" s="35"/>
      <c r="IN85" s="35"/>
    </row>
    <row r="86" spans="1:248" s="4" customFormat="1" ht="15" customHeight="1">
      <c r="A86" s="338" t="s">
        <v>2162</v>
      </c>
      <c r="B86" s="339" t="s">
        <v>1997</v>
      </c>
      <c r="C86" s="35"/>
      <c r="D86" s="58" t="s">
        <v>550</v>
      </c>
      <c r="E86" s="351"/>
      <c r="F86" s="315" t="s">
        <v>1998</v>
      </c>
      <c r="G86" s="244" t="s">
        <v>2077</v>
      </c>
      <c r="H86" s="243" t="str">
        <f t="shared" ref="H86" si="66">CONCATENATE(IF(MID(Q86,5,3)="974","1J21"),LEFT(F86,3),RIGHT(F86,3))</f>
        <v>1J219J0222</v>
      </c>
      <c r="I86" s="243" t="s">
        <v>2450</v>
      </c>
      <c r="J86" s="279"/>
      <c r="K86" s="419" t="s">
        <v>1117</v>
      </c>
      <c r="L86" s="391" t="s">
        <v>2568</v>
      </c>
      <c r="M86" s="46" t="s">
        <v>2569</v>
      </c>
      <c r="N86" s="47">
        <v>2036</v>
      </c>
      <c r="O86" s="228">
        <v>2037</v>
      </c>
      <c r="P86" s="47"/>
      <c r="Q86" s="4" t="s">
        <v>2447</v>
      </c>
      <c r="R86" s="243" t="str">
        <f t="shared" ref="R86" si="67">IF(J86&lt;&gt;"",CONCATENATE(H86,I86,J86),CONCATENATE(H86,I86,K86))</f>
        <v>1J219J0222C0B</v>
      </c>
      <c r="S86" s="246" t="str">
        <f t="shared" ref="S86" si="68">IF(N86="-","KEIN LIEFERUMFANG",IF(AND(N86&lt;=S$3,O86=""),"AKTUELL",IF(O86=N86,"KEIN SERIENEINSATZ",IF(N86&gt;S$3,"NOCH NICHT AKTUELL",IF(AND(N86&lt;S$3,O86&lt;S$3),"NICHT AKTUELL",IF(N86&lt;=S$3,"AKTUELL"))))))</f>
        <v>NICHT AKTUELL</v>
      </c>
      <c r="T86" s="245"/>
      <c r="U86" s="245"/>
      <c r="V86" s="245"/>
      <c r="W86" s="301">
        <v>0.01</v>
      </c>
      <c r="X86" s="35"/>
      <c r="Y86" s="35" t="s">
        <v>10</v>
      </c>
      <c r="Z86" s="35" t="s">
        <v>10</v>
      </c>
      <c r="AA86" s="35" t="s">
        <v>550</v>
      </c>
      <c r="AB86" s="35"/>
      <c r="AC86" s="39"/>
      <c r="AD86" s="39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5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  <c r="IB86" s="35"/>
      <c r="IC86" s="35"/>
      <c r="ID86" s="35"/>
      <c r="IE86" s="35"/>
      <c r="IF86" s="35"/>
      <c r="IG86" s="35"/>
      <c r="IH86" s="35"/>
      <c r="II86" s="35"/>
      <c r="IJ86" s="35"/>
      <c r="IK86" s="35"/>
      <c r="IL86" s="35"/>
      <c r="IM86" s="35"/>
      <c r="IN86" s="35"/>
    </row>
    <row r="87" spans="1:248" s="4" customFormat="1" ht="15" customHeight="1">
      <c r="A87" s="338" t="s">
        <v>2162</v>
      </c>
      <c r="B87" s="339" t="s">
        <v>1997</v>
      </c>
      <c r="C87" s="35"/>
      <c r="D87" s="58" t="s">
        <v>550</v>
      </c>
      <c r="E87" s="351"/>
      <c r="F87" s="315" t="s">
        <v>1998</v>
      </c>
      <c r="G87" s="244" t="s">
        <v>2077</v>
      </c>
      <c r="H87" s="243" t="str">
        <f t="shared" ref="H87" si="69">CONCATENATE(IF(MID(Q87,5,3)="974","1J21"),LEFT(F87,3),RIGHT(F87,3))</f>
        <v>1J219J0222</v>
      </c>
      <c r="I87" s="243" t="s">
        <v>2450</v>
      </c>
      <c r="J87" s="279"/>
      <c r="K87" s="419" t="s">
        <v>2077</v>
      </c>
      <c r="L87" s="4" t="s">
        <v>2568</v>
      </c>
      <c r="M87" s="46" t="s">
        <v>1231</v>
      </c>
      <c r="N87" s="47">
        <v>2038</v>
      </c>
      <c r="O87" s="228"/>
      <c r="P87" s="47"/>
      <c r="Q87" s="4" t="s">
        <v>2447</v>
      </c>
      <c r="R87" s="243" t="str">
        <f t="shared" ref="R87" si="70">IF(J87&lt;&gt;"",CONCATENATE(H87,I87,J87),CONCATENATE(H87,I87,K87))</f>
        <v>1J219J0222C0C</v>
      </c>
      <c r="S87" s="246" t="str">
        <f t="shared" ref="S87" si="71">IF(N87="-","KEIN LIEFERUMFANG",IF(AND(N87&lt;=S$3,O87=""),"AKTUELL",IF(O87=N87,"KEIN SERIENEINSATZ",IF(N87&gt;S$3,"NOCH NICHT AKTUELL",IF(AND(N87&lt;S$3,O87&lt;S$3),"NICHT AKTUELL",IF(N87&lt;=S$3,"AKTUELL"))))))</f>
        <v>AKTUELL</v>
      </c>
      <c r="T87" s="245"/>
      <c r="U87" s="245"/>
      <c r="V87" s="245"/>
      <c r="W87" s="301">
        <v>0.01</v>
      </c>
      <c r="X87" s="35"/>
      <c r="Y87" s="35" t="s">
        <v>10</v>
      </c>
      <c r="Z87" s="35" t="s">
        <v>10</v>
      </c>
      <c r="AA87" s="35" t="s">
        <v>550</v>
      </c>
      <c r="AB87" s="35"/>
      <c r="AC87" s="39"/>
      <c r="AD87" s="39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5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/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  <c r="IB87" s="35"/>
      <c r="IC87" s="35"/>
      <c r="ID87" s="35"/>
      <c r="IE87" s="35"/>
      <c r="IF87" s="35"/>
      <c r="IG87" s="35"/>
      <c r="IH87" s="35"/>
      <c r="II87" s="35"/>
      <c r="IJ87" s="35"/>
      <c r="IK87" s="35"/>
      <c r="IL87" s="35"/>
      <c r="IM87" s="35"/>
      <c r="IN87" s="35"/>
    </row>
    <row r="88" spans="1:248" s="4" customFormat="1" ht="15" customHeight="1">
      <c r="A88" s="242" t="s">
        <v>2162</v>
      </c>
      <c r="B88" s="35" t="s">
        <v>330</v>
      </c>
      <c r="C88" s="35"/>
      <c r="D88" s="58"/>
      <c r="E88" s="351" t="str">
        <f t="shared" ref="E88:E99" si="72">CONCATENATE(IF(AC88&gt;0,$AC$1," ")," ",IF(AD88&gt;0,$AD$1," ")," ",IF(AE88&gt;0,$AE$1," ")," ",IF(AF88&gt;0,$AF$1," ")," ",IF(AG88&gt;0,$AG$1," ")," ",IF(AH88&gt;0,$AH$1," ")," ",IF(AI88&gt;0,$AI$1," ")," ",IF(AJ88&gt;0,$AJ$1," ")," ",IF(AK88&gt;0,$AK$1," "))</f>
        <v xml:space="preserve">                 </v>
      </c>
      <c r="F88" s="243" t="str">
        <f t="shared" ref="F88:F112" si="73">LEFT(Q88,11)</f>
        <v>9J1_974_230</v>
      </c>
      <c r="G88" s="244">
        <f>IF(LEN(Q88)=11,0,MID(Q88,13,2))</f>
        <v>0</v>
      </c>
      <c r="H88" s="243" t="str">
        <f t="shared" ref="H88:H99" si="74">CONCATENATE(IF(MID(Q88,5,3)="974","1J21"),LEFT(F88,3),RIGHT(F88,3))</f>
        <v>1J219J1230</v>
      </c>
      <c r="I88" s="243" t="str">
        <f t="shared" ref="I88:I101" si="75">IF(G88=0,"00",IF(LEN(G88)=1,CONCATENATE(G88,0),G88))</f>
        <v>00</v>
      </c>
      <c r="J88" s="279" t="s">
        <v>1117</v>
      </c>
      <c r="K88" s="58"/>
      <c r="L88" s="4" t="s">
        <v>2168</v>
      </c>
      <c r="M88" s="46"/>
      <c r="N88" s="47"/>
      <c r="O88" s="228"/>
      <c r="P88" s="47"/>
      <c r="Q88" s="35" t="s">
        <v>806</v>
      </c>
      <c r="R88" s="243" t="str">
        <f t="shared" si="30"/>
        <v>1J219J123000B</v>
      </c>
      <c r="S88" s="245" t="str">
        <f t="shared" ref="S88:S99" si="76">IF(N88="-","KEIN LIEFERUMFANG",IF(AND(N88&lt;=S$3,O88=""),"AKTUELL",IF(O88=N88,"KEIN SERIENEINSATZ",IF(N88&gt;S$3,"NOCH NICHT AKTUELL",IF(AND(N88&lt;S$3,O88&lt;S$3),"NICHT AKTUELL",IF(N88&lt;=S$3,"AKTUELL"))))))</f>
        <v>AKTUELL</v>
      </c>
      <c r="T88" s="245"/>
      <c r="U88" s="245"/>
      <c r="V88" s="245"/>
      <c r="W88" s="301">
        <v>2.0000000000000001E-4</v>
      </c>
      <c r="X88" s="35"/>
      <c r="Y88" s="35" t="s">
        <v>10</v>
      </c>
      <c r="Z88" s="35" t="s">
        <v>550</v>
      </c>
      <c r="AA88" s="35" t="s">
        <v>10</v>
      </c>
      <c r="AB88" s="35"/>
      <c r="AC88" s="39"/>
      <c r="AD88" s="39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  <c r="IB88" s="35"/>
      <c r="IC88" s="35"/>
      <c r="ID88" s="35"/>
      <c r="IE88" s="35"/>
      <c r="IF88" s="35"/>
      <c r="IG88" s="35"/>
      <c r="IH88" s="35"/>
      <c r="II88" s="35"/>
      <c r="IJ88" s="35"/>
      <c r="IK88" s="35"/>
      <c r="IL88" s="35"/>
      <c r="IM88" s="35"/>
      <c r="IN88" s="35"/>
    </row>
    <row r="89" spans="1:248" s="4" customFormat="1" ht="15" customHeight="1">
      <c r="A89" s="242" t="s">
        <v>2162</v>
      </c>
      <c r="B89" s="35" t="s">
        <v>809</v>
      </c>
      <c r="C89" s="35"/>
      <c r="D89" s="58"/>
      <c r="E89" s="351" t="str">
        <f t="shared" si="72"/>
        <v xml:space="preserve">                 </v>
      </c>
      <c r="F89" s="243" t="str">
        <f t="shared" si="73"/>
        <v>9J1_974_261</v>
      </c>
      <c r="G89" s="244">
        <f>IF(LEN(Q89)=11,0,MID(Q89,13,2))</f>
        <v>0</v>
      </c>
      <c r="H89" s="243" t="str">
        <f t="shared" si="74"/>
        <v>1J219J1261</v>
      </c>
      <c r="I89" s="243" t="str">
        <f t="shared" si="75"/>
        <v>00</v>
      </c>
      <c r="J89" s="279" t="s">
        <v>1117</v>
      </c>
      <c r="K89" s="58"/>
      <c r="L89" s="4" t="s">
        <v>1685</v>
      </c>
      <c r="M89" s="46"/>
      <c r="N89" s="47"/>
      <c r="O89" s="228">
        <v>1932</v>
      </c>
      <c r="P89" s="47"/>
      <c r="Q89" s="35" t="s">
        <v>810</v>
      </c>
      <c r="R89" s="243" t="str">
        <f t="shared" si="30"/>
        <v>1J219J126100B</v>
      </c>
      <c r="S89" s="245" t="str">
        <f t="shared" si="76"/>
        <v>NICHT AKTUELL</v>
      </c>
      <c r="T89" s="245"/>
      <c r="U89" s="245"/>
      <c r="V89" s="245"/>
      <c r="W89" s="301">
        <v>0.34</v>
      </c>
      <c r="X89" s="35"/>
      <c r="Y89" s="35" t="s">
        <v>10</v>
      </c>
      <c r="Z89" s="35" t="s">
        <v>550</v>
      </c>
      <c r="AA89" s="35" t="s">
        <v>10</v>
      </c>
      <c r="AB89" s="35"/>
      <c r="AC89" s="39"/>
      <c r="AD89" s="39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</row>
    <row r="90" spans="1:248" s="4" customFormat="1" ht="15" customHeight="1">
      <c r="A90" s="242" t="s">
        <v>2162</v>
      </c>
      <c r="B90" s="35" t="s">
        <v>809</v>
      </c>
      <c r="C90" s="35"/>
      <c r="D90" s="58"/>
      <c r="E90" s="351" t="str">
        <f>CONCATENATE(IF(AC90&gt;0,$AC$1," ")," ",IF(AD90&gt;0,$AD$1," ")," ",IF(AE90&gt;0,$AE$1," ")," ",IF(AF90&gt;0,$AF$1," ")," ",IF(AG90&gt;0,$AG$1," ")," ",IF(AH90&gt;0,$AH$1," ")," ",IF(AI90&gt;0,$AI$1," ")," ",IF(AJ90&gt;0,$AJ$1," ")," ",IF(AK90&gt;0,$AK$1," "))</f>
        <v xml:space="preserve">                 </v>
      </c>
      <c r="F90" s="243" t="str">
        <f>LEFT(Q90,11)</f>
        <v>9J1_974_261</v>
      </c>
      <c r="G90" s="244">
        <f>IF(LEN(Q90)=11,0,MID(Q90,13,2))</f>
        <v>0</v>
      </c>
      <c r="H90" s="243" t="str">
        <f>CONCATENATE(IF(MID(Q90,5,3)="974","1J21"),LEFT(F90,3),RIGHT(F90,3))</f>
        <v>1J219J1261</v>
      </c>
      <c r="I90" s="243" t="str">
        <f>IF(G90=0,"00",IF(LEN(G90)=1,CONCATENATE(G90,0),G90))</f>
        <v>00</v>
      </c>
      <c r="J90" s="279" t="s">
        <v>1117</v>
      </c>
      <c r="K90" s="58"/>
      <c r="L90" s="4" t="s">
        <v>2431</v>
      </c>
      <c r="M90" s="46">
        <v>6029</v>
      </c>
      <c r="N90" s="47">
        <v>1933</v>
      </c>
      <c r="O90" s="228"/>
      <c r="P90" s="47" t="s">
        <v>2418</v>
      </c>
      <c r="Q90" s="35" t="s">
        <v>810</v>
      </c>
      <c r="R90" s="243" t="str">
        <f t="shared" si="30"/>
        <v>1J219J126100B</v>
      </c>
      <c r="S90" s="245" t="str">
        <f>IF(N90="-","KEIN LIEFERUMFANG",IF(AND(N90&lt;=S$3,O90=""),"AKTUELL",IF(O90=N90,"KEIN SERIENEINSATZ",IF(N90&gt;S$3,"NOCH NICHT AKTUELL",IF(AND(N90&lt;S$3,O90&lt;S$3),"NICHT AKTUELL",IF(N90&lt;=S$3,"AKTUELL"))))))</f>
        <v>AKTUELL</v>
      </c>
      <c r="T90" s="245"/>
      <c r="U90" s="245"/>
      <c r="V90" s="245"/>
      <c r="W90" s="301">
        <v>0.34</v>
      </c>
      <c r="X90" s="35"/>
      <c r="Y90" s="35" t="s">
        <v>10</v>
      </c>
      <c r="Z90" s="35" t="s">
        <v>550</v>
      </c>
      <c r="AA90" s="35" t="s">
        <v>10</v>
      </c>
      <c r="AB90" s="35"/>
      <c r="AC90" s="39"/>
      <c r="AD90" s="39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  <c r="IB90" s="35"/>
      <c r="IC90" s="35"/>
      <c r="ID90" s="35"/>
      <c r="IE90" s="35"/>
      <c r="IF90" s="35"/>
      <c r="IG90" s="35"/>
      <c r="IH90" s="35"/>
      <c r="II90" s="35"/>
      <c r="IJ90" s="35"/>
      <c r="IK90" s="35"/>
      <c r="IL90" s="35"/>
      <c r="IM90" s="35"/>
      <c r="IN90" s="35"/>
    </row>
    <row r="91" spans="1:248" s="4" customFormat="1" ht="15" customHeight="1">
      <c r="A91" s="242" t="s">
        <v>2162</v>
      </c>
      <c r="B91" s="35" t="s">
        <v>332</v>
      </c>
      <c r="C91" s="35"/>
      <c r="D91" s="58"/>
      <c r="E91" s="351" t="str">
        <f t="shared" si="72"/>
        <v xml:space="preserve">                 </v>
      </c>
      <c r="F91" s="243" t="str">
        <f t="shared" si="73"/>
        <v>9J1_974_267</v>
      </c>
      <c r="G91" s="244">
        <f>IF(LEN(Q91)=11,0,MID(Q91,13,2))</f>
        <v>0</v>
      </c>
      <c r="H91" s="243" t="str">
        <f t="shared" si="74"/>
        <v>1J219J1267</v>
      </c>
      <c r="I91" s="243" t="str">
        <f t="shared" si="75"/>
        <v>00</v>
      </c>
      <c r="J91" s="279" t="s">
        <v>1117</v>
      </c>
      <c r="K91" s="58"/>
      <c r="L91" s="4" t="s">
        <v>1037</v>
      </c>
      <c r="M91" s="46"/>
      <c r="N91" s="47"/>
      <c r="O91" s="228"/>
      <c r="P91" s="47"/>
      <c r="Q91" s="35" t="s">
        <v>812</v>
      </c>
      <c r="R91" s="243" t="str">
        <f t="shared" si="30"/>
        <v>1J219J126700B</v>
      </c>
      <c r="S91" s="245" t="str">
        <f t="shared" si="76"/>
        <v>AKTUELL</v>
      </c>
      <c r="T91" s="245"/>
      <c r="U91" s="245"/>
      <c r="V91" s="245"/>
      <c r="W91" s="301">
        <v>0.56020000000000003</v>
      </c>
      <c r="X91" s="35"/>
      <c r="Y91" s="35" t="s">
        <v>10</v>
      </c>
      <c r="Z91" s="35" t="s">
        <v>550</v>
      </c>
      <c r="AA91" s="35" t="s">
        <v>10</v>
      </c>
      <c r="AB91" s="35"/>
      <c r="AC91" s="39"/>
      <c r="AD91" s="39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5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/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  <c r="IB91" s="35"/>
      <c r="IC91" s="35"/>
      <c r="ID91" s="35"/>
      <c r="IE91" s="35"/>
      <c r="IF91" s="35"/>
      <c r="IG91" s="35"/>
      <c r="IH91" s="35"/>
      <c r="II91" s="35"/>
      <c r="IJ91" s="35"/>
      <c r="IK91" s="35"/>
      <c r="IL91" s="35"/>
      <c r="IM91" s="35"/>
      <c r="IN91" s="35"/>
    </row>
    <row r="92" spans="1:248" s="425" customFormat="1" ht="15" customHeight="1">
      <c r="A92" s="421" t="s">
        <v>2162</v>
      </c>
      <c r="B92" s="335" t="s">
        <v>2590</v>
      </c>
      <c r="C92" s="335"/>
      <c r="D92" s="336"/>
      <c r="E92" s="422"/>
      <c r="F92" s="423" t="s">
        <v>2591</v>
      </c>
      <c r="G92" s="424" t="s">
        <v>1116</v>
      </c>
      <c r="H92" s="423" t="s">
        <v>2592</v>
      </c>
      <c r="I92" s="423" t="s">
        <v>2222</v>
      </c>
      <c r="J92" s="420" t="s">
        <v>1116</v>
      </c>
      <c r="K92" s="336"/>
      <c r="L92" s="425" t="s">
        <v>1356</v>
      </c>
      <c r="M92" s="334">
        <v>7008.7012999999997</v>
      </c>
      <c r="N92" s="426">
        <v>2048</v>
      </c>
      <c r="O92" s="427">
        <v>2048</v>
      </c>
      <c r="P92" s="426"/>
      <c r="Q92" s="335" t="s">
        <v>2581</v>
      </c>
      <c r="R92" s="423" t="s">
        <v>2593</v>
      </c>
      <c r="S92" s="428" t="s">
        <v>2594</v>
      </c>
      <c r="T92" s="428"/>
      <c r="U92" s="428"/>
      <c r="V92" s="428"/>
      <c r="W92" s="429">
        <v>0</v>
      </c>
      <c r="X92" s="335"/>
      <c r="Y92" s="335" t="s">
        <v>10</v>
      </c>
      <c r="Z92" s="335" t="s">
        <v>550</v>
      </c>
      <c r="AA92" s="335" t="s">
        <v>10</v>
      </c>
      <c r="AB92" s="335"/>
      <c r="AC92" s="337"/>
      <c r="AD92" s="337"/>
      <c r="AE92" s="335"/>
      <c r="AF92" s="335"/>
      <c r="AG92" s="335"/>
      <c r="AH92" s="335"/>
      <c r="AI92" s="335"/>
      <c r="AJ92" s="335"/>
      <c r="AK92" s="335"/>
      <c r="AL92" s="335"/>
      <c r="AM92" s="335"/>
      <c r="AN92" s="335"/>
      <c r="AO92" s="335"/>
      <c r="AP92" s="335"/>
      <c r="AQ92" s="335"/>
      <c r="AR92" s="335"/>
      <c r="AS92" s="335"/>
      <c r="AT92" s="335"/>
      <c r="AU92" s="335"/>
      <c r="AV92" s="335"/>
      <c r="AW92" s="335"/>
      <c r="AX92" s="335"/>
      <c r="AY92" s="335"/>
      <c r="AZ92" s="335"/>
      <c r="BA92" s="335"/>
      <c r="BB92" s="335"/>
      <c r="BC92" s="335"/>
      <c r="BD92" s="335"/>
      <c r="BE92" s="335"/>
      <c r="BF92" s="335"/>
      <c r="BG92" s="335"/>
      <c r="BH92" s="335"/>
      <c r="BI92" s="335"/>
      <c r="BJ92" s="335"/>
      <c r="BK92" s="335"/>
      <c r="BL92" s="335"/>
      <c r="BM92" s="335"/>
      <c r="BN92" s="335"/>
      <c r="BO92" s="335"/>
      <c r="BP92" s="335"/>
      <c r="BQ92" s="335"/>
      <c r="BR92" s="335"/>
      <c r="BS92" s="335"/>
      <c r="BT92" s="335"/>
      <c r="BU92" s="335"/>
      <c r="BV92" s="335"/>
      <c r="BW92" s="335"/>
      <c r="BX92" s="335"/>
      <c r="BY92" s="335"/>
      <c r="BZ92" s="335"/>
      <c r="CA92" s="335"/>
      <c r="CB92" s="335"/>
      <c r="CC92" s="335"/>
      <c r="CD92" s="335"/>
      <c r="CE92" s="335"/>
      <c r="CF92" s="335"/>
      <c r="CG92" s="335"/>
      <c r="CH92" s="335"/>
      <c r="CI92" s="335"/>
      <c r="CJ92" s="335"/>
      <c r="CK92" s="335"/>
      <c r="CL92" s="335"/>
      <c r="CM92" s="335"/>
      <c r="CN92" s="335"/>
      <c r="CO92" s="335"/>
      <c r="CP92" s="335"/>
      <c r="CQ92" s="335"/>
      <c r="CR92" s="335"/>
      <c r="CS92" s="335"/>
      <c r="CT92" s="335"/>
      <c r="CU92" s="335"/>
      <c r="CV92" s="335"/>
      <c r="CW92" s="335"/>
      <c r="CX92" s="335"/>
      <c r="CY92" s="335"/>
      <c r="CZ92" s="335"/>
      <c r="DA92" s="335"/>
      <c r="DB92" s="335"/>
      <c r="DC92" s="335"/>
      <c r="DD92" s="335"/>
      <c r="DE92" s="335"/>
      <c r="DF92" s="335"/>
      <c r="DG92" s="335"/>
      <c r="DH92" s="335"/>
      <c r="DI92" s="335"/>
      <c r="DJ92" s="335"/>
      <c r="DK92" s="335"/>
      <c r="DL92" s="335"/>
      <c r="DM92" s="335"/>
      <c r="DN92" s="335"/>
      <c r="DO92" s="335"/>
      <c r="DP92" s="335"/>
      <c r="DQ92" s="335"/>
      <c r="DR92" s="335"/>
      <c r="DS92" s="335"/>
      <c r="DT92" s="335"/>
      <c r="DU92" s="335"/>
      <c r="DV92" s="335"/>
      <c r="DW92" s="335"/>
      <c r="DX92" s="335"/>
      <c r="DY92" s="335"/>
      <c r="DZ92" s="335"/>
      <c r="EA92" s="335"/>
      <c r="EB92" s="335"/>
      <c r="EC92" s="335"/>
      <c r="ED92" s="335"/>
      <c r="EE92" s="335"/>
      <c r="EF92" s="335"/>
      <c r="EG92" s="335"/>
      <c r="EH92" s="335"/>
      <c r="EI92" s="335"/>
      <c r="EJ92" s="335"/>
      <c r="EK92" s="335"/>
      <c r="EL92" s="335"/>
      <c r="EM92" s="335"/>
      <c r="EN92" s="335"/>
      <c r="EO92" s="335"/>
      <c r="EP92" s="335"/>
      <c r="EQ92" s="335"/>
      <c r="ER92" s="335"/>
      <c r="ES92" s="335"/>
      <c r="ET92" s="335"/>
      <c r="EU92" s="335"/>
      <c r="EV92" s="335"/>
      <c r="EW92" s="335"/>
      <c r="EX92" s="335"/>
      <c r="EY92" s="335"/>
      <c r="EZ92" s="335"/>
      <c r="FA92" s="335"/>
      <c r="FB92" s="335"/>
      <c r="FC92" s="335"/>
      <c r="FD92" s="335"/>
      <c r="FE92" s="335"/>
      <c r="FF92" s="335"/>
      <c r="FG92" s="335"/>
      <c r="FH92" s="335"/>
      <c r="FI92" s="335"/>
      <c r="FJ92" s="335"/>
      <c r="FK92" s="335"/>
      <c r="FL92" s="335"/>
      <c r="FM92" s="335"/>
      <c r="FN92" s="335"/>
      <c r="FO92" s="335"/>
      <c r="FP92" s="335"/>
      <c r="FQ92" s="335"/>
      <c r="FR92" s="335"/>
      <c r="FS92" s="335"/>
      <c r="FT92" s="335"/>
      <c r="FU92" s="335"/>
      <c r="FV92" s="335"/>
      <c r="FW92" s="335"/>
      <c r="FX92" s="335"/>
      <c r="FY92" s="335"/>
      <c r="FZ92" s="335"/>
      <c r="GA92" s="335"/>
      <c r="GB92" s="335"/>
      <c r="GC92" s="335"/>
      <c r="GD92" s="335"/>
      <c r="GE92" s="335"/>
      <c r="GF92" s="335"/>
      <c r="GG92" s="335"/>
      <c r="GH92" s="335"/>
      <c r="GI92" s="335"/>
      <c r="GJ92" s="335"/>
      <c r="GK92" s="335"/>
      <c r="GL92" s="335"/>
      <c r="GM92" s="335"/>
      <c r="GN92" s="335"/>
      <c r="GO92" s="335"/>
      <c r="GP92" s="335"/>
      <c r="GQ92" s="335"/>
      <c r="GR92" s="335"/>
      <c r="GS92" s="335"/>
      <c r="GT92" s="335"/>
      <c r="GU92" s="335"/>
      <c r="GV92" s="335"/>
      <c r="GW92" s="335"/>
      <c r="GX92" s="335"/>
      <c r="GY92" s="335"/>
      <c r="GZ92" s="335"/>
      <c r="HA92" s="335"/>
      <c r="HB92" s="335"/>
      <c r="HC92" s="335"/>
      <c r="HD92" s="335"/>
      <c r="HE92" s="335"/>
      <c r="HF92" s="335"/>
      <c r="HG92" s="335"/>
      <c r="HH92" s="335"/>
      <c r="HI92" s="335"/>
      <c r="HJ92" s="335"/>
      <c r="HK92" s="335"/>
      <c r="HL92" s="335"/>
      <c r="HM92" s="335"/>
      <c r="HN92" s="335"/>
      <c r="HO92" s="335"/>
      <c r="HP92" s="335"/>
      <c r="HQ92" s="335"/>
      <c r="HR92" s="335"/>
      <c r="HS92" s="335"/>
      <c r="HT92" s="335"/>
      <c r="HU92" s="335"/>
      <c r="HV92" s="335"/>
      <c r="HW92" s="335"/>
      <c r="HX92" s="335"/>
      <c r="HY92" s="335"/>
      <c r="HZ92" s="335"/>
      <c r="IA92" s="335"/>
      <c r="IB92" s="335"/>
      <c r="IC92" s="335"/>
      <c r="ID92" s="335"/>
      <c r="IE92" s="335"/>
      <c r="IF92" s="335"/>
      <c r="IG92" s="335"/>
      <c r="IH92" s="335"/>
      <c r="II92" s="335"/>
      <c r="IJ92" s="335"/>
      <c r="IK92" s="335"/>
      <c r="IL92" s="335"/>
      <c r="IM92" s="335"/>
      <c r="IN92" s="335"/>
    </row>
    <row r="93" spans="1:248" s="183" customFormat="1" ht="15" customHeight="1">
      <c r="A93" s="430" t="s">
        <v>2162</v>
      </c>
      <c r="B93" s="186" t="s">
        <v>2590</v>
      </c>
      <c r="C93" s="186"/>
      <c r="D93" s="188"/>
      <c r="E93" s="431"/>
      <c r="F93" s="432" t="s">
        <v>2595</v>
      </c>
      <c r="G93" s="433" t="s">
        <v>1116</v>
      </c>
      <c r="H93" s="432" t="s">
        <v>2596</v>
      </c>
      <c r="I93" s="432" t="s">
        <v>2222</v>
      </c>
      <c r="J93" s="438" t="s">
        <v>1116</v>
      </c>
      <c r="K93" s="188"/>
      <c r="L93" s="183" t="s">
        <v>1356</v>
      </c>
      <c r="M93" s="190">
        <v>7013</v>
      </c>
      <c r="N93" s="434">
        <v>2048</v>
      </c>
      <c r="O93" s="435"/>
      <c r="P93" s="434"/>
      <c r="Q93" s="192" t="s">
        <v>2582</v>
      </c>
      <c r="R93" s="432" t="s">
        <v>2597</v>
      </c>
      <c r="S93" s="436" t="s">
        <v>2594</v>
      </c>
      <c r="T93" s="436"/>
      <c r="U93" s="436"/>
      <c r="V93" s="436"/>
      <c r="W93" s="437">
        <v>0</v>
      </c>
      <c r="X93" s="186"/>
      <c r="Y93" s="186" t="s">
        <v>10</v>
      </c>
      <c r="Z93" s="186" t="s">
        <v>550</v>
      </c>
      <c r="AA93" s="186" t="s">
        <v>10</v>
      </c>
      <c r="AB93" s="186"/>
      <c r="AC93" s="189"/>
      <c r="AD93" s="189"/>
      <c r="AE93" s="186"/>
      <c r="AF93" s="186"/>
      <c r="AG93" s="186"/>
      <c r="AH93" s="186"/>
      <c r="AI93" s="186"/>
      <c r="AJ93" s="186"/>
      <c r="AK93" s="186"/>
      <c r="AL93" s="186"/>
      <c r="AM93" s="186"/>
      <c r="AN93" s="186"/>
      <c r="AO93" s="186"/>
      <c r="AP93" s="186"/>
      <c r="AQ93" s="186"/>
      <c r="AR93" s="186"/>
      <c r="AS93" s="186"/>
      <c r="AT93" s="186"/>
      <c r="AU93" s="186"/>
      <c r="AV93" s="186"/>
      <c r="AW93" s="186"/>
      <c r="AX93" s="186"/>
      <c r="AY93" s="186"/>
      <c r="AZ93" s="186"/>
      <c r="BA93" s="186"/>
      <c r="BB93" s="186"/>
      <c r="BC93" s="186"/>
      <c r="BD93" s="186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6"/>
      <c r="BS93" s="186"/>
      <c r="BT93" s="186"/>
      <c r="BU93" s="186"/>
      <c r="BV93" s="186"/>
      <c r="BW93" s="186"/>
      <c r="BX93" s="186"/>
      <c r="BY93" s="186"/>
      <c r="BZ93" s="186"/>
      <c r="CA93" s="186"/>
      <c r="CB93" s="186"/>
      <c r="CC93" s="186"/>
      <c r="CD93" s="186"/>
      <c r="CE93" s="186"/>
      <c r="CF93" s="186"/>
      <c r="CG93" s="186"/>
      <c r="CH93" s="186"/>
      <c r="CI93" s="186"/>
      <c r="CJ93" s="186"/>
      <c r="CK93" s="186"/>
      <c r="CL93" s="186"/>
      <c r="CM93" s="186"/>
      <c r="CN93" s="186"/>
      <c r="CO93" s="186"/>
      <c r="CP93" s="186"/>
      <c r="CQ93" s="186"/>
      <c r="CR93" s="186"/>
      <c r="CS93" s="186"/>
      <c r="CT93" s="186"/>
      <c r="CU93" s="186"/>
      <c r="CV93" s="186"/>
      <c r="CW93" s="186"/>
      <c r="CX93" s="186"/>
      <c r="CY93" s="186"/>
      <c r="CZ93" s="186"/>
      <c r="DA93" s="186"/>
      <c r="DB93" s="186"/>
      <c r="DC93" s="186"/>
      <c r="DD93" s="186"/>
      <c r="DE93" s="186"/>
      <c r="DF93" s="186"/>
      <c r="DG93" s="186"/>
      <c r="DH93" s="186"/>
      <c r="DI93" s="186"/>
      <c r="DJ93" s="186"/>
      <c r="DK93" s="186"/>
      <c r="DL93" s="186"/>
      <c r="DM93" s="186"/>
      <c r="DN93" s="186"/>
      <c r="DO93" s="186"/>
      <c r="DP93" s="186"/>
      <c r="DQ93" s="186"/>
      <c r="DR93" s="186"/>
      <c r="DS93" s="186"/>
      <c r="DT93" s="186"/>
      <c r="DU93" s="186"/>
      <c r="DV93" s="186"/>
      <c r="DW93" s="186"/>
      <c r="DX93" s="186"/>
      <c r="DY93" s="186"/>
      <c r="DZ93" s="186"/>
      <c r="EA93" s="186"/>
      <c r="EB93" s="186"/>
      <c r="EC93" s="186"/>
      <c r="ED93" s="186"/>
      <c r="EE93" s="186"/>
      <c r="EF93" s="186"/>
      <c r="EG93" s="186"/>
      <c r="EH93" s="186"/>
      <c r="EI93" s="186"/>
      <c r="EJ93" s="186"/>
      <c r="EK93" s="186"/>
      <c r="EL93" s="186"/>
      <c r="EM93" s="186"/>
      <c r="EN93" s="186"/>
      <c r="EO93" s="186"/>
      <c r="EP93" s="186"/>
      <c r="EQ93" s="186"/>
      <c r="ER93" s="186"/>
      <c r="ES93" s="186"/>
      <c r="ET93" s="186"/>
      <c r="EU93" s="186"/>
      <c r="EV93" s="186"/>
      <c r="EW93" s="186"/>
      <c r="EX93" s="186"/>
      <c r="EY93" s="186"/>
      <c r="EZ93" s="186"/>
      <c r="FA93" s="186"/>
      <c r="FB93" s="186"/>
      <c r="FC93" s="186"/>
      <c r="FD93" s="186"/>
      <c r="FE93" s="186"/>
      <c r="FF93" s="186"/>
      <c r="FG93" s="186"/>
      <c r="FH93" s="186"/>
      <c r="FI93" s="186"/>
      <c r="FJ93" s="186"/>
      <c r="FK93" s="186"/>
      <c r="FL93" s="186"/>
      <c r="FM93" s="186"/>
      <c r="FN93" s="186"/>
      <c r="FO93" s="186"/>
      <c r="FP93" s="186"/>
      <c r="FQ93" s="186"/>
      <c r="FR93" s="186"/>
      <c r="FS93" s="186"/>
      <c r="FT93" s="186"/>
      <c r="FU93" s="186"/>
      <c r="FV93" s="186"/>
      <c r="FW93" s="186"/>
      <c r="FX93" s="186"/>
      <c r="FY93" s="186"/>
      <c r="FZ93" s="186"/>
      <c r="GA93" s="186"/>
      <c r="GB93" s="186"/>
      <c r="GC93" s="186"/>
      <c r="GD93" s="186"/>
      <c r="GE93" s="186"/>
      <c r="GF93" s="186"/>
      <c r="GG93" s="186"/>
      <c r="GH93" s="186"/>
      <c r="GI93" s="186"/>
      <c r="GJ93" s="186"/>
      <c r="GK93" s="186"/>
      <c r="GL93" s="186"/>
      <c r="GM93" s="186"/>
      <c r="GN93" s="186"/>
      <c r="GO93" s="186"/>
      <c r="GP93" s="186"/>
      <c r="GQ93" s="186"/>
      <c r="GR93" s="186"/>
      <c r="GS93" s="186"/>
      <c r="GT93" s="186"/>
      <c r="GU93" s="186"/>
      <c r="GV93" s="186"/>
      <c r="GW93" s="186"/>
      <c r="GX93" s="186"/>
      <c r="GY93" s="186"/>
      <c r="GZ93" s="186"/>
      <c r="HA93" s="186"/>
      <c r="HB93" s="186"/>
      <c r="HC93" s="186"/>
      <c r="HD93" s="186"/>
      <c r="HE93" s="186"/>
      <c r="HF93" s="186"/>
      <c r="HG93" s="186"/>
      <c r="HH93" s="186"/>
      <c r="HI93" s="186"/>
      <c r="HJ93" s="186"/>
      <c r="HK93" s="186"/>
      <c r="HL93" s="186"/>
      <c r="HM93" s="186"/>
      <c r="HN93" s="186"/>
      <c r="HO93" s="186"/>
      <c r="HP93" s="186"/>
      <c r="HQ93" s="186"/>
      <c r="HR93" s="186"/>
      <c r="HS93" s="186"/>
      <c r="HT93" s="186"/>
      <c r="HU93" s="186"/>
      <c r="HV93" s="186"/>
      <c r="HW93" s="186"/>
      <c r="HX93" s="186"/>
      <c r="HY93" s="186"/>
      <c r="HZ93" s="186"/>
      <c r="IA93" s="186"/>
      <c r="IB93" s="186"/>
      <c r="IC93" s="186"/>
      <c r="ID93" s="186"/>
      <c r="IE93" s="186"/>
      <c r="IF93" s="186"/>
      <c r="IG93" s="186"/>
      <c r="IH93" s="186"/>
      <c r="II93" s="186"/>
      <c r="IJ93" s="186"/>
      <c r="IK93" s="186"/>
      <c r="IL93" s="186"/>
      <c r="IM93" s="186"/>
      <c r="IN93" s="186"/>
    </row>
    <row r="94" spans="1:248" s="4" customFormat="1" ht="15" customHeight="1">
      <c r="A94" s="242" t="s">
        <v>2162</v>
      </c>
      <c r="B94" s="4" t="s">
        <v>1274</v>
      </c>
      <c r="C94" s="35"/>
      <c r="D94" s="58"/>
      <c r="E94" s="351" t="str">
        <f>CONCATENATE(IF(AC94&gt;0,$AC$1," ")," ",IF(AD94&gt;0,$AD$1," ")," ",IF(AE94&gt;0,$AE$1," ")," ",IF(AF94&gt;0,$AF$1," ")," ",IF(AG94&gt;0,$AG$1," ")," ",IF(AH94&gt;0,$AH$1," ")," ",IF(AI94&gt;0,$AI$1," ")," ",IF(AJ94&gt;0,$AJ$1," ")," ",IF(AK94&gt;0,$AK$1," "))</f>
        <v xml:space="preserve">    VT04            </v>
      </c>
      <c r="F94" s="243" t="str">
        <f t="shared" si="73"/>
        <v>9J1_974_321</v>
      </c>
      <c r="G94" s="244">
        <v>0</v>
      </c>
      <c r="H94" s="243" t="str">
        <f t="shared" si="74"/>
        <v>1J219J1321</v>
      </c>
      <c r="I94" s="243" t="str">
        <f t="shared" si="75"/>
        <v>00</v>
      </c>
      <c r="J94" s="279" t="s">
        <v>2077</v>
      </c>
      <c r="K94" s="58"/>
      <c r="L94" s="35" t="s">
        <v>1276</v>
      </c>
      <c r="M94" s="46">
        <v>6015</v>
      </c>
      <c r="N94" s="47"/>
      <c r="O94" s="228">
        <v>1917</v>
      </c>
      <c r="P94" s="47"/>
      <c r="Q94" s="35" t="s">
        <v>1275</v>
      </c>
      <c r="R94" s="243" t="str">
        <f t="shared" si="30"/>
        <v>1J219J132100C</v>
      </c>
      <c r="S94" s="246" t="str">
        <f t="shared" si="76"/>
        <v>NICHT AKTUELL</v>
      </c>
      <c r="T94" s="245"/>
      <c r="U94" s="245"/>
      <c r="V94" s="245"/>
      <c r="W94" s="301">
        <v>0.70830000000000004</v>
      </c>
      <c r="X94" s="35"/>
      <c r="Y94" s="35" t="s">
        <v>550</v>
      </c>
      <c r="Z94" s="35" t="s">
        <v>550</v>
      </c>
      <c r="AA94" s="35" t="s">
        <v>10</v>
      </c>
      <c r="AB94" s="35"/>
      <c r="AC94" s="39"/>
      <c r="AD94" s="39"/>
      <c r="AE94" s="75" t="s">
        <v>2185</v>
      </c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/>
      <c r="HZ94" s="35"/>
      <c r="IA94" s="35"/>
      <c r="IB94" s="35"/>
      <c r="IC94" s="35"/>
      <c r="ID94" s="35"/>
      <c r="IE94" s="35"/>
      <c r="IF94" s="35"/>
      <c r="IG94" s="35"/>
      <c r="IH94" s="35"/>
      <c r="II94" s="35"/>
      <c r="IJ94" s="35"/>
      <c r="IK94" s="35"/>
      <c r="IL94" s="35"/>
      <c r="IM94" s="35"/>
      <c r="IN94" s="35"/>
    </row>
    <row r="95" spans="1:248" s="4" customFormat="1" ht="15" customHeight="1">
      <c r="A95" s="242" t="s">
        <v>2162</v>
      </c>
      <c r="B95" s="4" t="s">
        <v>1274</v>
      </c>
      <c r="C95" s="35"/>
      <c r="D95" s="58"/>
      <c r="E95" s="351" t="str">
        <f>CONCATENATE(IF(AC95&gt;0,$AC$1," ")," ",IF(AD95&gt;0,$AD$1," ")," ",IF(AE95&gt;0,$AE$1," ")," ",IF(AF95&gt;0,$AF$1," ")," ",IF(AG95&gt;0,$AG$1," ")," ",IF(AH95&gt;0,$AH$1," ")," ",IF(AI95&gt;0,$AI$1," ")," ",IF(AJ95&gt;0,$AJ$1," ")," ",IF(AK95&gt;0,$AK$1," "))</f>
        <v xml:space="preserve">    VT04            </v>
      </c>
      <c r="F95" s="243" t="str">
        <f>LEFT(Q95,11)</f>
        <v>9J1_974_321</v>
      </c>
      <c r="G95" s="244">
        <v>0</v>
      </c>
      <c r="H95" s="243" t="str">
        <f t="shared" si="74"/>
        <v>1J219J1321</v>
      </c>
      <c r="I95" s="243" t="str">
        <f>IF(G95=0,"00",IF(LEN(G95)=1,CONCATENATE(G95,0),G95))</f>
        <v>00</v>
      </c>
      <c r="J95" s="42" t="s">
        <v>2181</v>
      </c>
      <c r="K95" s="58"/>
      <c r="L95" s="35" t="s">
        <v>1276</v>
      </c>
      <c r="M95" s="46">
        <v>6015</v>
      </c>
      <c r="N95" s="314">
        <v>1918</v>
      </c>
      <c r="O95" s="228"/>
      <c r="P95" s="47" t="s">
        <v>2375</v>
      </c>
      <c r="Q95" s="35" t="s">
        <v>1275</v>
      </c>
      <c r="R95" s="243" t="str">
        <f>IF(J95&lt;&gt;"",CONCATENATE(H95,I95,J95),CONCATENATE(H95,I95,#REF!))</f>
        <v>1J219J132100D</v>
      </c>
      <c r="S95" s="246" t="str">
        <f t="shared" si="76"/>
        <v>AKTUELL</v>
      </c>
      <c r="T95" s="245"/>
      <c r="U95" s="245"/>
      <c r="V95" s="245"/>
      <c r="W95" s="301">
        <v>0.70830000000000004</v>
      </c>
      <c r="X95" s="35"/>
      <c r="Y95" s="35" t="s">
        <v>550</v>
      </c>
      <c r="Z95" s="35" t="s">
        <v>550</v>
      </c>
      <c r="AA95" s="35" t="s">
        <v>10</v>
      </c>
      <c r="AB95" s="35"/>
      <c r="AC95" s="39"/>
      <c r="AD95" s="39"/>
      <c r="AE95" s="75" t="s">
        <v>2406</v>
      </c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/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/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/>
      <c r="HW95" s="35"/>
      <c r="HX95" s="35"/>
      <c r="HY95" s="35"/>
      <c r="HZ95" s="35"/>
      <c r="IA95" s="35"/>
      <c r="IB95" s="35"/>
      <c r="IC95" s="35"/>
      <c r="ID95" s="35"/>
      <c r="IE95" s="35"/>
      <c r="IF95" s="35"/>
      <c r="IG95" s="35"/>
      <c r="IH95" s="35"/>
      <c r="II95" s="35"/>
      <c r="IJ95" s="35"/>
      <c r="IK95" s="35"/>
      <c r="IL95" s="35"/>
      <c r="IM95" s="35"/>
      <c r="IN95" s="35"/>
    </row>
    <row r="96" spans="1:248" s="164" customFormat="1" ht="15" customHeight="1">
      <c r="A96" s="242" t="s">
        <v>2162</v>
      </c>
      <c r="B96" s="35" t="s">
        <v>336</v>
      </c>
      <c r="C96" s="35"/>
      <c r="D96" s="58"/>
      <c r="E96" s="351" t="str">
        <f t="shared" si="72"/>
        <v xml:space="preserve">                 </v>
      </c>
      <c r="F96" s="243" t="str">
        <f t="shared" si="73"/>
        <v>9J1_974_325</v>
      </c>
      <c r="G96" s="244">
        <f t="shared" ref="G96:G101" si="77">IF(LEN(Q96)=11,0,MID(Q96,13,2))</f>
        <v>0</v>
      </c>
      <c r="H96" s="243" t="str">
        <f t="shared" si="74"/>
        <v>1J219J1325</v>
      </c>
      <c r="I96" s="243" t="str">
        <f t="shared" si="75"/>
        <v>00</v>
      </c>
      <c r="J96" s="279" t="s">
        <v>1117</v>
      </c>
      <c r="K96" s="58"/>
      <c r="L96" s="35" t="s">
        <v>1204</v>
      </c>
      <c r="M96" s="46"/>
      <c r="N96" s="47"/>
      <c r="O96" s="228"/>
      <c r="P96" s="47"/>
      <c r="Q96" s="35" t="s">
        <v>818</v>
      </c>
      <c r="R96" s="243" t="str">
        <f>IF(J96&lt;&gt;"",CONCATENATE(H96,I96,J96),CONCATENATE(H96,I96,K96))</f>
        <v>1J219J132500B</v>
      </c>
      <c r="S96" s="245" t="str">
        <f t="shared" si="76"/>
        <v>AKTUELL</v>
      </c>
      <c r="T96" s="245"/>
      <c r="U96" s="245"/>
      <c r="V96" s="245"/>
      <c r="W96" s="301">
        <v>0.32469999999999999</v>
      </c>
      <c r="X96" s="35"/>
      <c r="Y96" s="35" t="s">
        <v>10</v>
      </c>
      <c r="Z96" s="35" t="s">
        <v>550</v>
      </c>
      <c r="AA96" s="35" t="s">
        <v>10</v>
      </c>
      <c r="AB96" s="35"/>
      <c r="AC96" s="39"/>
      <c r="AD96" s="39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/>
      <c r="FB96" s="35"/>
      <c r="FC96" s="35"/>
      <c r="FD96" s="35"/>
      <c r="FE96" s="35"/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  <c r="IB96" s="35"/>
      <c r="IC96" s="35"/>
      <c r="ID96" s="35"/>
      <c r="IE96" s="35"/>
      <c r="IF96" s="35"/>
      <c r="IG96" s="35"/>
      <c r="IH96" s="35"/>
      <c r="II96" s="35"/>
      <c r="IJ96" s="35"/>
      <c r="IK96" s="35"/>
      <c r="IL96" s="35"/>
      <c r="IM96" s="35"/>
      <c r="IN96" s="35"/>
    </row>
    <row r="97" spans="1:248" s="164" customFormat="1" ht="15" customHeight="1">
      <c r="A97" s="242" t="s">
        <v>2162</v>
      </c>
      <c r="B97" s="35" t="s">
        <v>336</v>
      </c>
      <c r="C97" s="35"/>
      <c r="D97" s="58"/>
      <c r="E97" s="351" t="str">
        <f t="shared" si="72"/>
        <v xml:space="preserve">                 </v>
      </c>
      <c r="F97" s="243" t="str">
        <f t="shared" si="73"/>
        <v>9J1_974_327</v>
      </c>
      <c r="G97" s="244">
        <f t="shared" si="77"/>
        <v>0</v>
      </c>
      <c r="H97" s="243" t="str">
        <f t="shared" si="74"/>
        <v>1J219J1327</v>
      </c>
      <c r="I97" s="243" t="str">
        <f t="shared" si="75"/>
        <v>00</v>
      </c>
      <c r="J97" s="279" t="s">
        <v>1117</v>
      </c>
      <c r="K97" s="58"/>
      <c r="L97" s="35" t="s">
        <v>351</v>
      </c>
      <c r="M97" s="46"/>
      <c r="N97" s="47"/>
      <c r="O97" s="228"/>
      <c r="P97" s="47"/>
      <c r="Q97" s="35" t="s">
        <v>821</v>
      </c>
      <c r="R97" s="243" t="str">
        <f>IF(J97&lt;&gt;"",CONCATENATE(H97,I97,J97),CONCATENATE(H97,I97,K97))</f>
        <v>1J219J132700B</v>
      </c>
      <c r="S97" s="245" t="str">
        <f t="shared" si="76"/>
        <v>AKTUELL</v>
      </c>
      <c r="T97" s="245"/>
      <c r="U97" s="245"/>
      <c r="V97" s="245"/>
      <c r="W97" s="301">
        <v>4.5100000000000001E-2</v>
      </c>
      <c r="X97" s="35"/>
      <c r="Y97" s="35" t="s">
        <v>10</v>
      </c>
      <c r="Z97" s="35" t="s">
        <v>550</v>
      </c>
      <c r="AA97" s="35" t="s">
        <v>10</v>
      </c>
      <c r="AB97" s="35"/>
      <c r="AC97" s="39"/>
      <c r="AD97" s="39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  <c r="IB97" s="35"/>
      <c r="IC97" s="35"/>
      <c r="ID97" s="35"/>
      <c r="IE97" s="35"/>
      <c r="IF97" s="35"/>
      <c r="IG97" s="35"/>
      <c r="IH97" s="35"/>
      <c r="II97" s="35"/>
      <c r="IJ97" s="35"/>
      <c r="IK97" s="35"/>
      <c r="IL97" s="35"/>
      <c r="IM97" s="35"/>
      <c r="IN97" s="35"/>
    </row>
    <row r="98" spans="1:248" s="164" customFormat="1" ht="15" customHeight="1">
      <c r="A98" s="242" t="s">
        <v>2162</v>
      </c>
      <c r="B98" s="35" t="s">
        <v>336</v>
      </c>
      <c r="C98" s="35"/>
      <c r="D98" s="58"/>
      <c r="E98" s="351" t="str">
        <f t="shared" si="72"/>
        <v xml:space="preserve">                 </v>
      </c>
      <c r="F98" s="243" t="str">
        <f t="shared" si="73"/>
        <v>9J1_974_328</v>
      </c>
      <c r="G98" s="244">
        <f t="shared" si="77"/>
        <v>0</v>
      </c>
      <c r="H98" s="243" t="str">
        <f t="shared" si="74"/>
        <v>1J219J1328</v>
      </c>
      <c r="I98" s="243" t="str">
        <f t="shared" si="75"/>
        <v>00</v>
      </c>
      <c r="J98" s="279" t="s">
        <v>1117</v>
      </c>
      <c r="K98" s="58"/>
      <c r="L98" s="35" t="s">
        <v>825</v>
      </c>
      <c r="M98" s="46"/>
      <c r="N98" s="47"/>
      <c r="O98" s="228"/>
      <c r="P98" s="47"/>
      <c r="Q98" s="35" t="s">
        <v>824</v>
      </c>
      <c r="R98" s="243" t="str">
        <f>IF(J98&lt;&gt;"",CONCATENATE(H98,I98,J98),CONCATENATE(H98,I98,K98))</f>
        <v>1J219J132800B</v>
      </c>
      <c r="S98" s="245" t="str">
        <f t="shared" si="76"/>
        <v>AKTUELL</v>
      </c>
      <c r="T98" s="245"/>
      <c r="U98" s="245"/>
      <c r="V98" s="245"/>
      <c r="W98" s="301">
        <v>0.4556</v>
      </c>
      <c r="X98" s="35"/>
      <c r="Y98" s="35" t="s">
        <v>10</v>
      </c>
      <c r="Z98" s="35" t="s">
        <v>550</v>
      </c>
      <c r="AA98" s="35" t="s">
        <v>10</v>
      </c>
      <c r="AB98" s="35"/>
      <c r="AC98" s="39"/>
      <c r="AD98" s="39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/>
      <c r="GL98" s="35"/>
      <c r="GM98" s="35"/>
      <c r="GN98" s="35"/>
      <c r="GO98" s="35"/>
      <c r="GP98" s="35"/>
      <c r="GQ98" s="35"/>
      <c r="GR98" s="35"/>
      <c r="GS98" s="35"/>
      <c r="GT98" s="35"/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/>
      <c r="HN98" s="35"/>
      <c r="HO98" s="35"/>
      <c r="HP98" s="35"/>
      <c r="HQ98" s="35"/>
      <c r="HR98" s="35"/>
      <c r="HS98" s="35"/>
      <c r="HT98" s="35"/>
      <c r="HU98" s="35"/>
      <c r="HV98" s="35"/>
      <c r="HW98" s="35"/>
      <c r="HX98" s="35"/>
      <c r="HY98" s="35"/>
      <c r="HZ98" s="35"/>
      <c r="IA98" s="35"/>
      <c r="IB98" s="35"/>
      <c r="IC98" s="35"/>
      <c r="ID98" s="35"/>
      <c r="IE98" s="35"/>
      <c r="IF98" s="35"/>
      <c r="IG98" s="35"/>
      <c r="IH98" s="35"/>
      <c r="II98" s="35"/>
      <c r="IJ98" s="35"/>
      <c r="IK98" s="35"/>
      <c r="IL98" s="35"/>
      <c r="IM98" s="35"/>
      <c r="IN98" s="35"/>
    </row>
    <row r="99" spans="1:248" s="164" customFormat="1" ht="15" customHeight="1">
      <c r="A99" s="242" t="s">
        <v>2162</v>
      </c>
      <c r="B99" s="35" t="s">
        <v>829</v>
      </c>
      <c r="C99" s="35"/>
      <c r="D99" s="58" t="s">
        <v>550</v>
      </c>
      <c r="E99" s="351" t="str">
        <f t="shared" si="72"/>
        <v xml:space="preserve">                 </v>
      </c>
      <c r="F99" s="243" t="str">
        <f t="shared" si="73"/>
        <v>9J1_974_329</v>
      </c>
      <c r="G99" s="244">
        <f t="shared" si="77"/>
        <v>0</v>
      </c>
      <c r="H99" s="243" t="str">
        <f t="shared" si="74"/>
        <v>1J219J1329</v>
      </c>
      <c r="I99" s="243" t="str">
        <f t="shared" si="75"/>
        <v>00</v>
      </c>
      <c r="J99" s="279" t="s">
        <v>1117</v>
      </c>
      <c r="K99" s="58"/>
      <c r="L99" s="35" t="s">
        <v>831</v>
      </c>
      <c r="M99" s="46"/>
      <c r="N99" s="47"/>
      <c r="O99" s="228">
        <v>2024</v>
      </c>
      <c r="P99" s="47"/>
      <c r="Q99" s="35" t="s">
        <v>830</v>
      </c>
      <c r="R99" s="243" t="str">
        <f>IF(J99&lt;&gt;"",CONCATENATE(H99,I99,J99),CONCATENATE(H99,I99,K99))</f>
        <v>1J219J132900B</v>
      </c>
      <c r="S99" s="245" t="str">
        <f t="shared" si="76"/>
        <v>NICHT AKTUELL</v>
      </c>
      <c r="T99" s="245"/>
      <c r="U99" s="245"/>
      <c r="V99" s="245"/>
      <c r="W99" s="301">
        <v>0.85</v>
      </c>
      <c r="X99" s="35"/>
      <c r="Y99" s="35" t="s">
        <v>10</v>
      </c>
      <c r="Z99" s="35" t="s">
        <v>550</v>
      </c>
      <c r="AA99" s="35" t="s">
        <v>10</v>
      </c>
      <c r="AB99" s="35"/>
      <c r="AC99" s="39"/>
      <c r="AD99" s="39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/>
      <c r="GL99" s="35"/>
      <c r="GM99" s="35"/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/>
      <c r="HD99" s="35"/>
      <c r="HE99" s="35"/>
      <c r="HF99" s="35"/>
      <c r="HG99" s="35"/>
      <c r="HH99" s="35"/>
      <c r="HI99" s="35"/>
      <c r="HJ99" s="35"/>
      <c r="HK99" s="35"/>
      <c r="HL99" s="35"/>
      <c r="HM99" s="35"/>
      <c r="HN99" s="35"/>
      <c r="HO99" s="35"/>
      <c r="HP99" s="35"/>
      <c r="HQ99" s="35"/>
      <c r="HR99" s="35"/>
      <c r="HS99" s="35"/>
      <c r="HT99" s="35"/>
      <c r="HU99" s="35"/>
      <c r="HV99" s="35"/>
      <c r="HW99" s="35"/>
      <c r="HX99" s="35"/>
      <c r="HY99" s="35"/>
      <c r="HZ99" s="35"/>
      <c r="IA99" s="35"/>
      <c r="IB99" s="35"/>
      <c r="IC99" s="35"/>
      <c r="ID99" s="35"/>
      <c r="IE99" s="35"/>
      <c r="IF99" s="35"/>
      <c r="IG99" s="35"/>
      <c r="IH99" s="35"/>
      <c r="II99" s="35"/>
      <c r="IJ99" s="35"/>
      <c r="IK99" s="35"/>
      <c r="IL99" s="35"/>
      <c r="IM99" s="35"/>
      <c r="IN99" s="35"/>
    </row>
    <row r="100" spans="1:248" s="164" customFormat="1" ht="15" customHeight="1">
      <c r="A100" s="242" t="s">
        <v>2162</v>
      </c>
      <c r="B100" s="35" t="s">
        <v>829</v>
      </c>
      <c r="C100" s="35"/>
      <c r="D100" s="58" t="s">
        <v>550</v>
      </c>
      <c r="E100" s="351" t="str">
        <f t="shared" ref="E100" si="78">CONCATENATE(IF(AC100&gt;0,$AC$1," ")," ",IF(AD100&gt;0,$AD$1," ")," ",IF(AE100&gt;0,$AE$1," ")," ",IF(AF100&gt;0,$AF$1," ")," ",IF(AG100&gt;0,$AG$1," ")," ",IF(AH100&gt;0,$AH$1," ")," ",IF(AI100&gt;0,$AI$1," ")," ",IF(AJ100&gt;0,$AJ$1," ")," ",IF(AK100&gt;0,$AK$1," "))</f>
        <v xml:space="preserve">                 </v>
      </c>
      <c r="F100" s="243" t="str">
        <f t="shared" ref="F100" si="79">LEFT(Q100,11)</f>
        <v>9J1_974_329</v>
      </c>
      <c r="G100" s="244">
        <f t="shared" si="77"/>
        <v>0</v>
      </c>
      <c r="H100" s="243" t="str">
        <f t="shared" ref="H100" si="80">CONCATENATE(IF(MID(Q100,5,3)="974","1J21"),LEFT(F100,3),RIGHT(F100,3))</f>
        <v>1J219J1329</v>
      </c>
      <c r="I100" s="243" t="str">
        <f t="shared" ref="I100" si="81">IF(G100=0,"00",IF(LEN(G100)=1,CONCATENATE(G100,0),G100))</f>
        <v>00</v>
      </c>
      <c r="J100" s="279"/>
      <c r="K100" s="58" t="s">
        <v>2077</v>
      </c>
      <c r="L100" s="35" t="s">
        <v>831</v>
      </c>
      <c r="M100" s="46">
        <v>6614</v>
      </c>
      <c r="N100" s="47">
        <v>2025</v>
      </c>
      <c r="O100" s="228"/>
      <c r="P100" s="47"/>
      <c r="Q100" s="35" t="s">
        <v>830</v>
      </c>
      <c r="R100" s="243" t="str">
        <f>IF(J100&lt;&gt;"",CONCATENATE(H100,I100,J100),CONCATENATE(H100,I100,K100))</f>
        <v>1J219J132900C</v>
      </c>
      <c r="S100" s="245" t="str">
        <f t="shared" ref="S100" si="82">IF(N100="-","KEIN LIEFERUMFANG",IF(AND(N100&lt;=S$3,O100=""),"AKTUELL",IF(O100=N100,"KEIN SERIENEINSATZ",IF(N100&gt;S$3,"NOCH NICHT AKTUELL",IF(AND(N100&lt;S$3,O100&lt;S$3),"NICHT AKTUELL",IF(N100&lt;=S$3,"AKTUELL"))))))</f>
        <v>AKTUELL</v>
      </c>
      <c r="T100" s="245"/>
      <c r="U100" s="245"/>
      <c r="V100" s="245"/>
      <c r="W100" s="301">
        <v>0.85</v>
      </c>
      <c r="X100" s="35"/>
      <c r="Y100" s="35" t="s">
        <v>10</v>
      </c>
      <c r="Z100" s="35" t="s">
        <v>550</v>
      </c>
      <c r="AA100" s="35" t="s">
        <v>10</v>
      </c>
      <c r="AB100" s="35"/>
      <c r="AC100" s="39"/>
      <c r="AD100" s="39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</row>
    <row r="101" spans="1:248" s="164" customFormat="1" ht="15" customHeight="1">
      <c r="A101" s="242" t="s">
        <v>2162</v>
      </c>
      <c r="B101" s="35" t="s">
        <v>280</v>
      </c>
      <c r="C101" s="35"/>
      <c r="D101" s="58" t="s">
        <v>550</v>
      </c>
      <c r="E101" s="351" t="str">
        <f>CONCATENATE(IF(AC101&gt;0,$AC$1," ")," ",IF(AD101&gt;0,$AD$1," ")," ",IF(AE101&gt;0,$AE$1," ")," ",IF(AF101&gt;0,$AF$1," ")," ",IF(AG101&gt;0,$AG$1," ")," ",IF(AH101&gt;0,$AH$1," ")," ",IF(AI101&gt;0,$AI$1," ")," ",IF(AJ101&gt;0,$AJ$1," ")," ",IF(AK101&gt;0,$AK$1," "))</f>
        <v xml:space="preserve">                 </v>
      </c>
      <c r="F101" s="243" t="str">
        <f t="shared" si="73"/>
        <v>9J1_974_412</v>
      </c>
      <c r="G101" s="244">
        <f t="shared" si="77"/>
        <v>0</v>
      </c>
      <c r="H101" s="243" t="str">
        <f t="shared" ref="H101:H111" si="83">CONCATENATE(IF(MID(Q101,5,3)="974","1J21"),LEFT(F101,3),RIGHT(F101,3))</f>
        <v>1J219J1412</v>
      </c>
      <c r="I101" s="243" t="str">
        <f t="shared" si="75"/>
        <v>00</v>
      </c>
      <c r="J101" s="279" t="s">
        <v>2181</v>
      </c>
      <c r="K101" s="58"/>
      <c r="L101" s="4" t="s">
        <v>1679</v>
      </c>
      <c r="M101" s="46"/>
      <c r="N101" s="47"/>
      <c r="O101" s="228">
        <v>1917</v>
      </c>
      <c r="P101" s="47"/>
      <c r="Q101" s="35" t="s">
        <v>836</v>
      </c>
      <c r="R101" s="243" t="str">
        <f t="shared" ref="R101:R112" si="84">IF(J101&lt;&gt;"",CONCATENATE(H101,I101,J101),CONCATENATE(H101,I101,K101))</f>
        <v>1J219J141200D</v>
      </c>
      <c r="S101" s="245" t="str">
        <f t="shared" ref="S101:S111" si="85">IF(N101="-","KEIN LIEFERUMFANG",IF(AND(N101&lt;=S$3,O101=""),"AKTUELL",IF(O101=N101,"KEIN SERIENEINSATZ",IF(N101&gt;S$3,"NOCH NICHT AKTUELL",IF(AND(N101&lt;S$3,O101&lt;S$3),"NICHT AKTUELL",IF(N101&lt;=S$3,"AKTUELL"))))))</f>
        <v>NICHT AKTUELL</v>
      </c>
      <c r="T101" s="245"/>
      <c r="U101" s="245"/>
      <c r="V101" s="245"/>
      <c r="W101" s="301">
        <v>0.58689999999999998</v>
      </c>
      <c r="X101" s="35"/>
      <c r="Y101" s="35" t="s">
        <v>10</v>
      </c>
      <c r="Z101" s="35" t="s">
        <v>10</v>
      </c>
      <c r="AA101" s="35" t="s">
        <v>550</v>
      </c>
      <c r="AB101" s="35"/>
      <c r="AC101" s="39"/>
      <c r="AD101" s="39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</row>
    <row r="102" spans="1:248" s="164" customFormat="1" ht="15" customHeight="1">
      <c r="A102" s="242" t="s">
        <v>2162</v>
      </c>
      <c r="B102" s="35" t="s">
        <v>280</v>
      </c>
      <c r="C102" s="35"/>
      <c r="D102" s="58" t="s">
        <v>550</v>
      </c>
      <c r="E102" s="351" t="str">
        <f>CONCATENATE(IF(AC102&gt;0,$AC$1," ")," ",IF(AD102&gt;0,$AD$1," ")," ",IF(AE102&gt;0,$AE$1," ")," ",IF(AF102&gt;0,$AF$1," ")," ",IF(AG102&gt;0,$AG$1," ")," ",IF(AH102&gt;0,$AH$1," ")," ",IF(AI102&gt;0,$AI$1," ")," ",IF(AJ102&gt;0,$AJ$1," ")," ",IF(AK102&gt;0,$AK$1," "))</f>
        <v xml:space="preserve">                 </v>
      </c>
      <c r="F102" s="243" t="str">
        <f>LEFT(Q102,11)</f>
        <v>9J1_974_412</v>
      </c>
      <c r="G102" s="244" t="s">
        <v>1117</v>
      </c>
      <c r="H102" s="243" t="str">
        <f t="shared" si="83"/>
        <v>1J219J1412</v>
      </c>
      <c r="I102" s="243" t="str">
        <f>IF(G102=0,"00",IF(LEN(G102)=1,CONCATENATE(G102,0),G102))</f>
        <v>B0</v>
      </c>
      <c r="J102" s="279" t="s">
        <v>2398</v>
      </c>
      <c r="K102" s="58"/>
      <c r="L102" s="4" t="s">
        <v>1679</v>
      </c>
      <c r="M102" s="46">
        <v>6012</v>
      </c>
      <c r="N102" s="47">
        <v>1918</v>
      </c>
      <c r="O102" s="228">
        <v>1927</v>
      </c>
      <c r="P102" s="47" t="s">
        <v>2375</v>
      </c>
      <c r="Q102" s="35" t="s">
        <v>2415</v>
      </c>
      <c r="R102" s="243" t="str">
        <f t="shared" si="84"/>
        <v>1J219J1412B0E</v>
      </c>
      <c r="S102" s="245" t="str">
        <f t="shared" si="85"/>
        <v>NICHT AKTUELL</v>
      </c>
      <c r="T102" s="245"/>
      <c r="U102" s="245"/>
      <c r="V102" s="245"/>
      <c r="W102" s="301">
        <v>0.58689999999999998</v>
      </c>
      <c r="X102" s="35"/>
      <c r="Y102" s="35" t="s">
        <v>10</v>
      </c>
      <c r="Z102" s="35" t="s">
        <v>10</v>
      </c>
      <c r="AA102" s="35" t="s">
        <v>550</v>
      </c>
      <c r="AB102" s="35"/>
      <c r="AC102" s="39"/>
      <c r="AD102" s="39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/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/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  <c r="IB102" s="35"/>
      <c r="IC102" s="35"/>
      <c r="ID102" s="35"/>
      <c r="IE102" s="35"/>
      <c r="IF102" s="35"/>
      <c r="IG102" s="35"/>
      <c r="IH102" s="35"/>
      <c r="II102" s="35"/>
      <c r="IJ102" s="35"/>
      <c r="IK102" s="35"/>
      <c r="IL102" s="35"/>
      <c r="IM102" s="35"/>
      <c r="IN102" s="35"/>
    </row>
    <row r="103" spans="1:248" s="164" customFormat="1" ht="15" customHeight="1">
      <c r="A103" s="242" t="s">
        <v>2162</v>
      </c>
      <c r="B103" s="35" t="s">
        <v>280</v>
      </c>
      <c r="C103" s="35"/>
      <c r="D103" s="58" t="s">
        <v>550</v>
      </c>
      <c r="E103" s="351" t="str">
        <f>CONCATENATE(IF(AC103&gt;0,$AC$1," ")," ",IF(AD103&gt;0,$AD$1," ")," ",IF(AE103&gt;0,$AE$1," ")," ",IF(AF103&gt;0,$AF$1," ")," ",IF(AG103&gt;0,$AG$1," ")," ",IF(AH103&gt;0,$AH$1," ")," ",IF(AI103&gt;0,$AI$1," ")," ",IF(AJ103&gt;0,$AJ$1," ")," ",IF(AK103&gt;0,$AK$1," "))</f>
        <v xml:space="preserve">                 </v>
      </c>
      <c r="F103" s="243" t="str">
        <f>LEFT(Q103,11)</f>
        <v>9J1_974_412</v>
      </c>
      <c r="G103" s="244" t="s">
        <v>1117</v>
      </c>
      <c r="H103" s="243" t="str">
        <f>CONCATENATE(IF(MID(Q103,5,3)="974","1J21"),LEFT(F103,3),RIGHT(F103,3))</f>
        <v>1J219J1412</v>
      </c>
      <c r="I103" s="243" t="str">
        <f>IF(G103=0,"00",IF(LEN(G103)=1,CONCATENATE(G103,0),G103))</f>
        <v>B0</v>
      </c>
      <c r="J103" s="279" t="s">
        <v>2428</v>
      </c>
      <c r="K103" s="58"/>
      <c r="L103" s="4" t="s">
        <v>1679</v>
      </c>
      <c r="M103" s="46" t="s">
        <v>2435</v>
      </c>
      <c r="N103" s="47">
        <v>1928</v>
      </c>
      <c r="O103" s="228">
        <v>2047</v>
      </c>
      <c r="P103" s="47" t="s">
        <v>2375</v>
      </c>
      <c r="Q103" s="35" t="s">
        <v>2415</v>
      </c>
      <c r="R103" s="243" t="str">
        <f>IF(J103&lt;&gt;"",CONCATENATE(H103,I103,J103),CONCATENATE(H103,I103,K103))</f>
        <v>1J219J1412B0F</v>
      </c>
      <c r="S103" s="245" t="str">
        <f>IF(N103="-","KEIN LIEFERUMFANG",IF(AND(N103&lt;=S$3,O103=""),"AKTUELL",IF(O103=N103,"KEIN SERIENEINSATZ",IF(N103&gt;S$3,"NOCH NICHT AKTUELL",IF(AND(N103&lt;S$3,O103&lt;S$3),"NICHT AKTUELL",IF(N103&lt;=S$3,"AKTUELL"))))))</f>
        <v>NICHT AKTUELL</v>
      </c>
      <c r="T103" s="245"/>
      <c r="U103" s="245"/>
      <c r="V103" s="245"/>
      <c r="W103" s="301">
        <v>0.58689999999999998</v>
      </c>
      <c r="X103" s="35"/>
      <c r="Y103" s="35" t="s">
        <v>10</v>
      </c>
      <c r="Z103" s="35" t="s">
        <v>10</v>
      </c>
      <c r="AA103" s="35" t="s">
        <v>550</v>
      </c>
      <c r="AB103" s="35"/>
      <c r="AC103" s="39"/>
      <c r="AD103" s="39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  <c r="IB103" s="35"/>
      <c r="IC103" s="35"/>
      <c r="ID103" s="35"/>
      <c r="IE103" s="35"/>
      <c r="IF103" s="35"/>
      <c r="IG103" s="35"/>
      <c r="IH103" s="35"/>
      <c r="II103" s="35"/>
      <c r="IJ103" s="35"/>
      <c r="IK103" s="35"/>
      <c r="IL103" s="35"/>
      <c r="IM103" s="35"/>
      <c r="IN103" s="35"/>
    </row>
    <row r="104" spans="1:248" s="164" customFormat="1" ht="15" customHeight="1">
      <c r="A104" s="242" t="s">
        <v>2162</v>
      </c>
      <c r="B104" s="35" t="s">
        <v>280</v>
      </c>
      <c r="C104" s="35"/>
      <c r="D104" s="58" t="s">
        <v>550</v>
      </c>
      <c r="E104" s="351" t="str">
        <f>CONCATENATE(IF(AC104&gt;0,$AC$1," ")," ",IF(AD104&gt;0,$AD$1," ")," ",IF(AE104&gt;0,$AE$1," ")," ",IF(AF104&gt;0,$AF$1," ")," ",IF(AG104&gt;0,$AG$1," ")," ",IF(AH104&gt;0,$AH$1," ")," ",IF(AI104&gt;0,$AI$1," ")," ",IF(AJ104&gt;0,$AJ$1," ")," ",IF(AK104&gt;0,$AK$1," "))</f>
        <v xml:space="preserve">                 </v>
      </c>
      <c r="F104" s="243" t="str">
        <f>LEFT(Q104,11)</f>
        <v>9J1_974_412</v>
      </c>
      <c r="G104" s="244" t="s">
        <v>1117</v>
      </c>
      <c r="H104" s="243" t="str">
        <f>CONCATENATE(IF(MID(Q104,5,3)="974","1J21"),LEFT(F104,3),RIGHT(F104,3))</f>
        <v>1J219J1412</v>
      </c>
      <c r="I104" s="243" t="str">
        <f>IF(G104=0,"00",IF(LEN(G104)=1,CONCATENATE(G104,0),G104))</f>
        <v>B0</v>
      </c>
      <c r="J104" s="279"/>
      <c r="K104" s="419" t="s">
        <v>2449</v>
      </c>
      <c r="L104" s="4" t="s">
        <v>1679</v>
      </c>
      <c r="M104" s="46">
        <v>7016</v>
      </c>
      <c r="N104" s="47">
        <v>2048</v>
      </c>
      <c r="O104" s="228"/>
      <c r="P104" s="47"/>
      <c r="Q104" s="35" t="s">
        <v>2415</v>
      </c>
      <c r="R104" s="243" t="str">
        <f>IF(J104&lt;&gt;"",CONCATENATE(H104,I104,J104),CONCATENATE(H104,I104,K104))</f>
        <v>1J219J1412B0G</v>
      </c>
      <c r="S104" s="245" t="str">
        <f>IF(N104="-","KEIN LIEFERUMFANG",IF(AND(N104&lt;=S$3,O104=""),"AKTUELL",IF(O104=N104,"KEIN SERIENEINSATZ",IF(N104&gt;S$3,"NOCH NICHT AKTUELL",IF(AND(N104&lt;S$3,O104&lt;S$3),"NICHT AKTUELL",IF(N104&lt;=S$3,"AKTUELL"))))))</f>
        <v>AKTUELL</v>
      </c>
      <c r="T104" s="245"/>
      <c r="U104" s="245"/>
      <c r="V104" s="245"/>
      <c r="W104" s="301">
        <v>0.58689999999999998</v>
      </c>
      <c r="X104" s="35"/>
      <c r="Y104" s="35" t="s">
        <v>10</v>
      </c>
      <c r="Z104" s="35" t="s">
        <v>10</v>
      </c>
      <c r="AA104" s="35" t="s">
        <v>550</v>
      </c>
      <c r="AB104" s="35"/>
      <c r="AC104" s="39"/>
      <c r="AD104" s="39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/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  <c r="IB104" s="35"/>
      <c r="IC104" s="35"/>
      <c r="ID104" s="35"/>
      <c r="IE104" s="35"/>
      <c r="IF104" s="35"/>
      <c r="IG104" s="35"/>
      <c r="IH104" s="35"/>
      <c r="II104" s="35"/>
      <c r="IJ104" s="35"/>
      <c r="IK104" s="35"/>
      <c r="IL104" s="35"/>
      <c r="IM104" s="35"/>
      <c r="IN104" s="35"/>
    </row>
    <row r="105" spans="1:248" s="4" customFormat="1" ht="15" customHeight="1">
      <c r="A105" s="242" t="s">
        <v>2162</v>
      </c>
      <c r="B105" s="35" t="s">
        <v>280</v>
      </c>
      <c r="C105" s="35"/>
      <c r="D105" s="58" t="s">
        <v>550</v>
      </c>
      <c r="E105" s="351"/>
      <c r="F105" s="243" t="str">
        <f t="shared" si="73"/>
        <v>9J1_974_412</v>
      </c>
      <c r="G105" s="244" t="s">
        <v>1116</v>
      </c>
      <c r="H105" s="243" t="str">
        <f t="shared" si="83"/>
        <v>1J219J1412</v>
      </c>
      <c r="I105" s="243" t="s">
        <v>2222</v>
      </c>
      <c r="J105" s="279" t="s">
        <v>2181</v>
      </c>
      <c r="K105" s="58"/>
      <c r="L105" s="46" t="s">
        <v>2348</v>
      </c>
      <c r="M105" s="46"/>
      <c r="N105" s="47"/>
      <c r="O105" s="228">
        <v>1917</v>
      </c>
      <c r="P105" s="47"/>
      <c r="Q105" s="35" t="s">
        <v>1680</v>
      </c>
      <c r="R105" s="243" t="str">
        <f t="shared" si="84"/>
        <v>1J219J1412A0D</v>
      </c>
      <c r="S105" s="246" t="str">
        <f t="shared" si="85"/>
        <v>NICHT AKTUELL</v>
      </c>
      <c r="T105" s="245"/>
      <c r="U105" s="245"/>
      <c r="V105" s="245"/>
      <c r="W105" s="301">
        <v>0.2631</v>
      </c>
      <c r="X105" s="35"/>
      <c r="Y105" s="35" t="s">
        <v>10</v>
      </c>
      <c r="Z105" s="35" t="s">
        <v>10</v>
      </c>
      <c r="AA105" s="35" t="s">
        <v>550</v>
      </c>
      <c r="AB105" s="35"/>
      <c r="AC105" s="39"/>
      <c r="AD105" s="39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/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  <c r="IB105" s="35"/>
      <c r="IC105" s="35"/>
      <c r="ID105" s="35"/>
      <c r="IE105" s="35"/>
      <c r="IF105" s="35"/>
      <c r="IG105" s="35"/>
      <c r="IH105" s="35"/>
      <c r="II105" s="35"/>
      <c r="IJ105" s="35"/>
      <c r="IK105" s="35"/>
      <c r="IL105" s="35"/>
      <c r="IM105" s="35"/>
      <c r="IN105" s="35"/>
    </row>
    <row r="106" spans="1:248" s="4" customFormat="1" ht="15" customHeight="1">
      <c r="A106" s="242" t="s">
        <v>2162</v>
      </c>
      <c r="B106" s="35" t="s">
        <v>280</v>
      </c>
      <c r="C106" s="35"/>
      <c r="D106" s="58" t="s">
        <v>550</v>
      </c>
      <c r="E106" s="351"/>
      <c r="F106" s="243" t="str">
        <f>LEFT(Q106,11)</f>
        <v>9J1_974_412</v>
      </c>
      <c r="G106" s="244" t="s">
        <v>1116</v>
      </c>
      <c r="H106" s="243" t="str">
        <f t="shared" si="83"/>
        <v>1J219J1412</v>
      </c>
      <c r="I106" s="243" t="s">
        <v>2222</v>
      </c>
      <c r="J106" s="279" t="s">
        <v>2398</v>
      </c>
      <c r="K106" s="58"/>
      <c r="L106" s="46" t="s">
        <v>2348</v>
      </c>
      <c r="M106" s="46">
        <v>6023</v>
      </c>
      <c r="N106" s="47">
        <v>1918</v>
      </c>
      <c r="O106" s="228">
        <v>1927</v>
      </c>
      <c r="P106" s="47" t="s">
        <v>2375</v>
      </c>
      <c r="Q106" s="35" t="s">
        <v>1680</v>
      </c>
      <c r="R106" s="243" t="str">
        <f t="shared" si="84"/>
        <v>1J219J1412A0E</v>
      </c>
      <c r="S106" s="246" t="str">
        <f t="shared" si="85"/>
        <v>NICHT AKTUELL</v>
      </c>
      <c r="T106" s="245"/>
      <c r="U106" s="245"/>
      <c r="V106" s="245"/>
      <c r="W106" s="301">
        <v>0.2631</v>
      </c>
      <c r="X106" s="35"/>
      <c r="Y106" s="35" t="s">
        <v>10</v>
      </c>
      <c r="Z106" s="35" t="s">
        <v>10</v>
      </c>
      <c r="AA106" s="35" t="s">
        <v>550</v>
      </c>
      <c r="AB106" s="35"/>
      <c r="AC106" s="39"/>
      <c r="AD106" s="39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  <c r="IB106" s="35"/>
      <c r="IC106" s="35"/>
      <c r="ID106" s="35"/>
      <c r="IE106" s="35"/>
      <c r="IF106" s="35"/>
      <c r="IG106" s="35"/>
      <c r="IH106" s="35"/>
      <c r="II106" s="35"/>
      <c r="IJ106" s="35"/>
      <c r="IK106" s="35"/>
      <c r="IL106" s="35"/>
      <c r="IM106" s="35"/>
      <c r="IN106" s="35"/>
    </row>
    <row r="107" spans="1:248" s="4" customFormat="1" ht="15" customHeight="1">
      <c r="A107" s="242" t="s">
        <v>2162</v>
      </c>
      <c r="B107" s="35" t="s">
        <v>280</v>
      </c>
      <c r="C107" s="35"/>
      <c r="D107" s="58" t="s">
        <v>550</v>
      </c>
      <c r="E107" s="351"/>
      <c r="F107" s="243" t="str">
        <f>LEFT(Q107,11)</f>
        <v>9J1_974_412</v>
      </c>
      <c r="G107" s="244" t="s">
        <v>1116</v>
      </c>
      <c r="H107" s="243" t="str">
        <f>CONCATENATE(IF(MID(Q107,5,3)="974","1J21"),LEFT(F107,3),RIGHT(F107,3))</f>
        <v>1J219J1412</v>
      </c>
      <c r="I107" s="243" t="s">
        <v>2222</v>
      </c>
      <c r="J107" s="279" t="s">
        <v>2428</v>
      </c>
      <c r="K107" s="58"/>
      <c r="L107" s="46" t="s">
        <v>2348</v>
      </c>
      <c r="M107" s="46" t="s">
        <v>2436</v>
      </c>
      <c r="N107" s="47">
        <v>1928</v>
      </c>
      <c r="O107" s="228"/>
      <c r="P107" s="47" t="s">
        <v>2375</v>
      </c>
      <c r="Q107" s="35" t="s">
        <v>1680</v>
      </c>
      <c r="R107" s="243" t="str">
        <f>IF(J107&lt;&gt;"",CONCATENATE(H107,I107,J107),CONCATENATE(H107,I107,K107))</f>
        <v>1J219J1412A0F</v>
      </c>
      <c r="S107" s="246" t="str">
        <f>IF(N107="-","KEIN LIEFERUMFANG",IF(AND(N107&lt;=S$3,O107=""),"AKTUELL",IF(O107=N107,"KEIN SERIENEINSATZ",IF(N107&gt;S$3,"NOCH NICHT AKTUELL",IF(AND(N107&lt;S$3,O107&lt;S$3),"NICHT AKTUELL",IF(N107&lt;=S$3,"AKTUELL"))))))</f>
        <v>AKTUELL</v>
      </c>
      <c r="T107" s="245"/>
      <c r="U107" s="245"/>
      <c r="V107" s="245"/>
      <c r="W107" s="301">
        <v>0.2631</v>
      </c>
      <c r="X107" s="35"/>
      <c r="Y107" s="35" t="s">
        <v>10</v>
      </c>
      <c r="Z107" s="35" t="s">
        <v>10</v>
      </c>
      <c r="AA107" s="35" t="s">
        <v>550</v>
      </c>
      <c r="AB107" s="35"/>
      <c r="AC107" s="39"/>
      <c r="AD107" s="39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/>
      <c r="HD107" s="35"/>
      <c r="HE107" s="35"/>
      <c r="HF107" s="35"/>
      <c r="HG107" s="35"/>
      <c r="HH107" s="35"/>
      <c r="HI107" s="35"/>
      <c r="HJ107" s="35"/>
      <c r="HK107" s="35"/>
      <c r="HL107" s="35"/>
      <c r="HM107" s="35"/>
      <c r="HN107" s="35"/>
      <c r="HO107" s="35"/>
      <c r="HP107" s="35"/>
      <c r="HQ107" s="35"/>
      <c r="HR107" s="35"/>
      <c r="HS107" s="35"/>
      <c r="HT107" s="35"/>
      <c r="HU107" s="35"/>
      <c r="HV107" s="35"/>
      <c r="HW107" s="35"/>
      <c r="HX107" s="35"/>
      <c r="HY107" s="35"/>
      <c r="HZ107" s="35"/>
      <c r="IA107" s="35"/>
      <c r="IB107" s="35"/>
      <c r="IC107" s="35"/>
      <c r="ID107" s="35"/>
      <c r="IE107" s="35"/>
      <c r="IF107" s="35"/>
      <c r="IG107" s="35"/>
      <c r="IH107" s="35"/>
      <c r="II107" s="35"/>
      <c r="IJ107" s="35"/>
      <c r="IK107" s="35"/>
      <c r="IL107" s="35"/>
      <c r="IM107" s="35"/>
      <c r="IN107" s="35"/>
    </row>
    <row r="108" spans="1:248" s="164" customFormat="1" ht="15" customHeight="1">
      <c r="A108" s="242" t="s">
        <v>2162</v>
      </c>
      <c r="B108" s="35" t="s">
        <v>2536</v>
      </c>
      <c r="C108" s="35"/>
      <c r="D108" s="58"/>
      <c r="E108" s="351" t="str">
        <f>CONCATENATE(IF(AC108&gt;0,$AC$1," ")," ",IF(AD108&gt;0,$AD$1," ")," ",IF(AE108&gt;0,$AE$1," ")," ",IF(AF108&gt;0,$AF$1," ")," ",IF(AG108&gt;0,$AG$1," ")," ",IF(AH108&gt;0,$AH$1," ")," ",IF(AI108&gt;0,$AI$1," ")," ",IF(AJ108&gt;0,$AJ$1," ")," ",IF(AK108&gt;0,$AK$1," "))</f>
        <v xml:space="preserve">                 </v>
      </c>
      <c r="F108" s="243" t="str">
        <f>LEFT(Q108,11)</f>
        <v>9J1_974_656</v>
      </c>
      <c r="G108" s="244">
        <f>IF(LEN(Q108)=11,0,MID(Q108,13,2))</f>
        <v>0</v>
      </c>
      <c r="H108" s="243" t="str">
        <f>CONCATENATE(IF(MID(Q108,5,3)="974","1J21"),LEFT(F108,3),RIGHT(F108,3))</f>
        <v>1J219J1656</v>
      </c>
      <c r="I108" s="297" t="str">
        <f>IF(G108=0,"00",IF(LEN(G108)=1,CONCATENATE(G108,0),G108))</f>
        <v>00</v>
      </c>
      <c r="J108" s="279" t="s">
        <v>1116</v>
      </c>
      <c r="K108" s="58"/>
      <c r="L108" s="35" t="s">
        <v>2538</v>
      </c>
      <c r="M108" s="46" t="s">
        <v>2552</v>
      </c>
      <c r="N108" s="47">
        <v>2025</v>
      </c>
      <c r="O108" s="228"/>
      <c r="P108" s="47"/>
      <c r="Q108" s="35" t="s">
        <v>2537</v>
      </c>
      <c r="R108" s="243" t="str">
        <f>IF(J108&lt;&gt;"",CONCATENATE(H108,I108,J108),CONCATENATE(H108,I108,K108))</f>
        <v>1J219J165600A</v>
      </c>
      <c r="S108" s="245" t="str">
        <f>IF(N108="-","KEIN LIEFERUMFANG",IF(AND(N108&lt;=S$3,O108=""),"AKTUELL",IF(O108=N108,"KEIN SERIENEINSATZ",IF(N108&gt;S$3,"NOCH NICHT AKTUELL",IF(AND(N108&lt;S$3,O108&lt;S$3),"NICHT AKTUELL",IF(N108&lt;=S$3,"AKTUELL"))))))</f>
        <v>AKTUELL</v>
      </c>
      <c r="T108" s="245"/>
      <c r="U108" s="245"/>
      <c r="V108" s="245"/>
      <c r="W108" s="301">
        <v>0</v>
      </c>
      <c r="X108" s="35"/>
      <c r="Y108" s="35" t="s">
        <v>10</v>
      </c>
      <c r="Z108" s="35" t="s">
        <v>550</v>
      </c>
      <c r="AA108" s="35" t="s">
        <v>10</v>
      </c>
      <c r="AB108" s="35"/>
      <c r="AC108" s="39"/>
      <c r="AD108" s="39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/>
      <c r="GK108" s="35"/>
      <c r="GL108" s="35"/>
      <c r="GM108" s="35"/>
      <c r="GN108" s="35"/>
      <c r="GO108" s="35"/>
      <c r="GP108" s="35"/>
      <c r="GQ108" s="35"/>
      <c r="GR108" s="35"/>
      <c r="GS108" s="35"/>
      <c r="GT108" s="35"/>
      <c r="GU108" s="35"/>
      <c r="GV108" s="35"/>
      <c r="GW108" s="35"/>
      <c r="GX108" s="35"/>
      <c r="GY108" s="35"/>
      <c r="GZ108" s="35"/>
      <c r="HA108" s="35"/>
      <c r="HB108" s="35"/>
      <c r="HC108" s="35"/>
      <c r="HD108" s="35"/>
      <c r="HE108" s="35"/>
      <c r="HF108" s="35"/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/>
      <c r="HR108" s="35"/>
      <c r="HS108" s="35"/>
      <c r="HT108" s="35"/>
      <c r="HU108" s="35"/>
      <c r="HV108" s="35"/>
      <c r="HW108" s="35"/>
      <c r="HX108" s="35"/>
      <c r="HY108" s="35"/>
      <c r="HZ108" s="35"/>
      <c r="IA108" s="35"/>
      <c r="IB108" s="35"/>
      <c r="IC108" s="35"/>
      <c r="ID108" s="35"/>
      <c r="IE108" s="35"/>
      <c r="IF108" s="35"/>
      <c r="IG108" s="35"/>
      <c r="IH108" s="35"/>
      <c r="II108" s="35"/>
      <c r="IJ108" s="35"/>
      <c r="IK108" s="35"/>
      <c r="IL108" s="35"/>
      <c r="IM108" s="35"/>
      <c r="IN108" s="35"/>
    </row>
    <row r="109" spans="1:248" s="164" customFormat="1" ht="15" customHeight="1">
      <c r="A109" s="242" t="s">
        <v>2162</v>
      </c>
      <c r="B109" s="35" t="s">
        <v>339</v>
      </c>
      <c r="C109" s="35"/>
      <c r="D109" s="58"/>
      <c r="E109" s="351" t="str">
        <f>CONCATENATE(IF(AC109&gt;0,$AC$1," ")," ",IF(AD109&gt;0,$AD$1," ")," ",IF(AE109&gt;0,$AE$1," ")," ",IF(AF109&gt;0,$AF$1," ")," ",IF(AG109&gt;0,$AG$1," ")," ",IF(AH109&gt;0,$AH$1," ")," ",IF(AI109&gt;0,$AI$1," ")," ",IF(AJ109&gt;0,$AJ$1," ")," ",IF(AK109&gt;0,$AK$1," "))</f>
        <v xml:space="preserve">                 </v>
      </c>
      <c r="F109" s="243" t="str">
        <f t="shared" si="73"/>
        <v>9J1_974_728</v>
      </c>
      <c r="G109" s="244" t="str">
        <f>IF(LEN(Q109)=11,0,MID(Q109,13,2))</f>
        <v>A</v>
      </c>
      <c r="H109" s="243" t="str">
        <f t="shared" si="83"/>
        <v>1J219J1728</v>
      </c>
      <c r="I109" s="297" t="str">
        <f>IF(G109=0,"00",IF(LEN(G109)=1,CONCATENATE(G109,0),G109))</f>
        <v>A0</v>
      </c>
      <c r="J109" s="279" t="s">
        <v>2077</v>
      </c>
      <c r="K109" s="58"/>
      <c r="L109" s="35" t="s">
        <v>864</v>
      </c>
      <c r="M109" s="46"/>
      <c r="N109" s="47"/>
      <c r="O109" s="228">
        <v>1932</v>
      </c>
      <c r="P109" s="47"/>
      <c r="Q109" s="35" t="s">
        <v>2164</v>
      </c>
      <c r="R109" s="243" t="str">
        <f t="shared" si="84"/>
        <v>1J219J1728A0C</v>
      </c>
      <c r="S109" s="245" t="str">
        <f t="shared" si="85"/>
        <v>NICHT AKTUELL</v>
      </c>
      <c r="T109" s="245"/>
      <c r="U109" s="245"/>
      <c r="V109" s="245"/>
      <c r="W109" s="301">
        <v>0.85</v>
      </c>
      <c r="X109" s="35"/>
      <c r="Y109" s="35" t="s">
        <v>10</v>
      </c>
      <c r="Z109" s="35" t="s">
        <v>550</v>
      </c>
      <c r="AA109" s="35" t="s">
        <v>10</v>
      </c>
      <c r="AB109" s="35"/>
      <c r="AC109" s="39"/>
      <c r="AD109" s="39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/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/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  <c r="IB109" s="35"/>
      <c r="IC109" s="35"/>
      <c r="ID109" s="35"/>
      <c r="IE109" s="35"/>
      <c r="IF109" s="35"/>
      <c r="IG109" s="35"/>
      <c r="IH109" s="35"/>
      <c r="II109" s="35"/>
      <c r="IJ109" s="35"/>
      <c r="IK109" s="35"/>
      <c r="IL109" s="35"/>
      <c r="IM109" s="35"/>
      <c r="IN109" s="35"/>
    </row>
    <row r="110" spans="1:248" s="164" customFormat="1" ht="15" customHeight="1">
      <c r="A110" s="242" t="s">
        <v>2162</v>
      </c>
      <c r="B110" s="35" t="s">
        <v>339</v>
      </c>
      <c r="C110" s="35"/>
      <c r="D110" s="58"/>
      <c r="E110" s="351" t="str">
        <f>CONCATENATE(IF(AC110&gt;0,$AC$1," ")," ",IF(AD110&gt;0,$AD$1," ")," ",IF(AE110&gt;0,$AE$1," ")," ",IF(AF110&gt;0,$AF$1," ")," ",IF(AG110&gt;0,$AG$1," ")," ",IF(AH110&gt;0,$AH$1," ")," ",IF(AI110&gt;0,$AI$1," ")," ",IF(AJ110&gt;0,$AJ$1," ")," ",IF(AK110&gt;0,$AK$1," "))</f>
        <v xml:space="preserve">                 </v>
      </c>
      <c r="F110" s="243" t="str">
        <f>LEFT(Q110,11)</f>
        <v>9J1_974_728</v>
      </c>
      <c r="G110" s="244" t="str">
        <f>IF(LEN(Q110)=11,0,MID(Q110,13,2))</f>
        <v>A</v>
      </c>
      <c r="H110" s="243" t="str">
        <f>CONCATENATE(IF(MID(Q110,5,3)="974","1J21"),LEFT(F110,3),RIGHT(F110,3))</f>
        <v>1J219J1728</v>
      </c>
      <c r="I110" s="297" t="str">
        <f>IF(G110=0,"00",IF(LEN(G110)=1,CONCATENATE(G110,0),G110))</f>
        <v>A0</v>
      </c>
      <c r="J110" s="279" t="s">
        <v>2181</v>
      </c>
      <c r="K110" s="58"/>
      <c r="L110" s="35" t="s">
        <v>864</v>
      </c>
      <c r="M110" s="46">
        <v>6605</v>
      </c>
      <c r="N110" s="47">
        <v>1933</v>
      </c>
      <c r="O110" s="228">
        <v>1944</v>
      </c>
      <c r="P110" s="47" t="s">
        <v>2458</v>
      </c>
      <c r="Q110" s="35" t="s">
        <v>2164</v>
      </c>
      <c r="R110" s="243" t="str">
        <f>IF(J110&lt;&gt;"",CONCATENATE(H110,I110,J110),CONCATENATE(H110,I110,K110))</f>
        <v>1J219J1728A0D</v>
      </c>
      <c r="S110" s="245" t="str">
        <f>IF(N110="-","KEIN LIEFERUMFANG",IF(AND(N110&lt;=S$3,O110=""),"AKTUELL",IF(O110=N110,"KEIN SERIENEINSATZ",IF(N110&gt;S$3,"NOCH NICHT AKTUELL",IF(AND(N110&lt;S$3,O110&lt;S$3),"NICHT AKTUELL",IF(N110&lt;=S$3,"AKTUELL"))))))</f>
        <v>NICHT AKTUELL</v>
      </c>
      <c r="T110" s="245"/>
      <c r="U110" s="245"/>
      <c r="V110" s="245"/>
      <c r="W110" s="301">
        <v>0.85</v>
      </c>
      <c r="X110" s="35"/>
      <c r="Y110" s="35" t="s">
        <v>10</v>
      </c>
      <c r="Z110" s="35" t="s">
        <v>550</v>
      </c>
      <c r="AA110" s="35" t="s">
        <v>10</v>
      </c>
      <c r="AB110" s="35"/>
      <c r="AC110" s="39"/>
      <c r="AD110" s="39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35"/>
      <c r="FR110" s="35"/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  <c r="IB110" s="35"/>
      <c r="IC110" s="35"/>
      <c r="ID110" s="35"/>
      <c r="IE110" s="35"/>
      <c r="IF110" s="35"/>
      <c r="IG110" s="35"/>
      <c r="IH110" s="35"/>
      <c r="II110" s="35"/>
      <c r="IJ110" s="35"/>
      <c r="IK110" s="35"/>
      <c r="IL110" s="35"/>
      <c r="IM110" s="35"/>
      <c r="IN110" s="35"/>
    </row>
    <row r="111" spans="1:248" s="164" customFormat="1" ht="15" customHeight="1">
      <c r="A111" s="242" t="s">
        <v>2162</v>
      </c>
      <c r="B111" s="35" t="s">
        <v>69</v>
      </c>
      <c r="C111" s="35"/>
      <c r="D111" s="58" t="s">
        <v>550</v>
      </c>
      <c r="E111" s="351" t="str">
        <f>CONCATENATE(IF(AC111&gt;0,$AC$1," ")," ",IF(AD111&gt;0,$AD$1," ")," ",IF(AE111&gt;0,$AE$1," ")," ",IF(AF111&gt;0,$AF$1," ")," ",IF(AG111&gt;0,$AG$1," ")," ",IF(AH111&gt;0,$AH$1," ")," ",IF(AI111&gt;0,$AI$1," ")," ",IF(AJ111&gt;0,$AJ$1," ")," ",IF(AK111&gt;0,$AK$1," "))</f>
        <v xml:space="preserve">                 </v>
      </c>
      <c r="F111" s="243" t="str">
        <f t="shared" si="73"/>
        <v>9J1_974_901</v>
      </c>
      <c r="G111" s="244">
        <f>IF(LEN(Q111)=11,0,MID(Q111,13,2))</f>
        <v>0</v>
      </c>
      <c r="H111" s="243" t="str">
        <f t="shared" si="83"/>
        <v>1J219J1901</v>
      </c>
      <c r="I111" s="243" t="str">
        <f>IF(G111=0,"00",IF(LEN(G111)=1,CONCATENATE(G111,0),G111))</f>
        <v>00</v>
      </c>
      <c r="J111" s="279" t="s">
        <v>2077</v>
      </c>
      <c r="K111" s="58"/>
      <c r="L111" s="35" t="s">
        <v>352</v>
      </c>
      <c r="M111" s="46"/>
      <c r="N111" s="47"/>
      <c r="O111" s="228"/>
      <c r="P111" s="47"/>
      <c r="Q111" s="35" t="s">
        <v>865</v>
      </c>
      <c r="R111" s="243" t="str">
        <f t="shared" si="84"/>
        <v>1J219J190100C</v>
      </c>
      <c r="S111" s="245" t="str">
        <f t="shared" si="85"/>
        <v>AKTUELL</v>
      </c>
      <c r="T111" s="245"/>
      <c r="U111" s="245"/>
      <c r="V111" s="245"/>
      <c r="W111" s="301">
        <v>0.29580000000000001</v>
      </c>
      <c r="X111" s="35"/>
      <c r="Y111" s="35" t="s">
        <v>10</v>
      </c>
      <c r="Z111" s="35" t="s">
        <v>550</v>
      </c>
      <c r="AA111" s="35" t="s">
        <v>10</v>
      </c>
      <c r="AB111" s="35"/>
      <c r="AC111" s="39"/>
      <c r="AD111" s="39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35"/>
      <c r="FR111" s="35"/>
      <c r="FS111" s="35"/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  <c r="IB111" s="35"/>
      <c r="IC111" s="35"/>
      <c r="ID111" s="35"/>
      <c r="IE111" s="35"/>
      <c r="IF111" s="35"/>
      <c r="IG111" s="35"/>
      <c r="IH111" s="35"/>
      <c r="II111" s="35"/>
      <c r="IJ111" s="35"/>
      <c r="IK111" s="35"/>
      <c r="IL111" s="35"/>
      <c r="IM111" s="35"/>
      <c r="IN111" s="35"/>
    </row>
    <row r="112" spans="1:248" s="164" customFormat="1" ht="15" customHeight="1">
      <c r="A112" s="242" t="s">
        <v>2162</v>
      </c>
      <c r="B112" s="35" t="s">
        <v>69</v>
      </c>
      <c r="C112" s="35"/>
      <c r="D112" s="58" t="s">
        <v>550</v>
      </c>
      <c r="E112" s="351" t="str">
        <f>CONCATENATE(IF(AC112&gt;0,$AC$1," ")," ",IF(AD112&gt;0,$AD$1," ")," ",IF(AE112&gt;0,$AE$1," ")," ",IF(AF112&gt;0,$AF$1," ")," ",IF(AG112&gt;0,$AG$1," ")," ",IF(AH112&gt;0,$AH$1," ")," ",IF(AI112&gt;0,$AI$1," ")," ",IF(AJ112&gt;0,$AJ$1," ")," ",IF(AK112&gt;0,$AK$1," "))</f>
        <v xml:space="preserve">                 </v>
      </c>
      <c r="F112" s="243" t="str">
        <f t="shared" si="73"/>
        <v>9J1_974_901</v>
      </c>
      <c r="G112" s="244" t="str">
        <f>IF(LEN(Q112)=11,0,MID(Q112,13,2))</f>
        <v>A</v>
      </c>
      <c r="H112" s="243" t="str">
        <f>CONCATENATE(IF(MID(Q112,5,3)="974","1J21"),LEFT(F112,3),RIGHT(F112,3))</f>
        <v>1J219J1901</v>
      </c>
      <c r="I112" s="243" t="str">
        <f>IF(G112=0,"00",IF(LEN(G112)=1,CONCATENATE(G112,0),G112))</f>
        <v>A0</v>
      </c>
      <c r="J112" s="279" t="s">
        <v>2077</v>
      </c>
      <c r="K112" s="58"/>
      <c r="L112" s="35" t="s">
        <v>353</v>
      </c>
      <c r="M112" s="46"/>
      <c r="N112" s="47"/>
      <c r="O112" s="228"/>
      <c r="P112" s="47"/>
      <c r="Q112" s="35" t="s">
        <v>867</v>
      </c>
      <c r="R112" s="243" t="str">
        <f t="shared" si="84"/>
        <v>1J219J1901A0C</v>
      </c>
      <c r="S112" s="245" t="str">
        <f>IF(N112="-","KEIN LIEFERUMFANG",IF(AND(N112&lt;=S$3,O112=""),"AKTUELL",IF(O112=N112,"KEIN SERIENEINSATZ",IF(N112&gt;S$3,"NOCH NICHT AKTUELL",IF(AND(N112&lt;S$3,O112&lt;S$3),"NICHT AKTUELL",IF(N112&lt;=S$3,"AKTUELL"))))))</f>
        <v>AKTUELL</v>
      </c>
      <c r="T112" s="245"/>
      <c r="U112" s="245"/>
      <c r="V112" s="245"/>
      <c r="W112" s="301">
        <v>0.55420000000000003</v>
      </c>
      <c r="X112" s="35"/>
      <c r="Y112" s="35" t="s">
        <v>10</v>
      </c>
      <c r="Z112" s="35" t="s">
        <v>550</v>
      </c>
      <c r="AA112" s="35" t="s">
        <v>10</v>
      </c>
      <c r="AB112" s="35"/>
      <c r="AC112" s="39"/>
      <c r="AD112" s="39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  <c r="IB112" s="35"/>
      <c r="IC112" s="35"/>
      <c r="ID112" s="35"/>
      <c r="IE112" s="35"/>
      <c r="IF112" s="35"/>
      <c r="IG112" s="35"/>
      <c r="IH112" s="35"/>
      <c r="II112" s="35"/>
      <c r="IJ112" s="35"/>
      <c r="IK112" s="35"/>
      <c r="IL112" s="35"/>
      <c r="IM112" s="35"/>
      <c r="IN112" s="35"/>
    </row>
    <row r="113" spans="1:248" s="164" customFormat="1">
      <c r="A113" s="242"/>
      <c r="B113" s="248"/>
      <c r="C113" s="248"/>
      <c r="D113" s="316"/>
      <c r="E113" s="316"/>
      <c r="F113" s="248"/>
      <c r="G113" s="316"/>
      <c r="H113" s="248"/>
      <c r="I113" s="248"/>
      <c r="J113" s="279"/>
      <c r="K113" s="35"/>
      <c r="L113" s="35"/>
      <c r="M113" s="35"/>
      <c r="N113" s="47"/>
      <c r="O113" s="228"/>
      <c r="P113" s="47"/>
      <c r="Q113" s="35"/>
      <c r="R113" s="248"/>
      <c r="S113" s="248"/>
      <c r="T113" s="248"/>
      <c r="U113" s="248"/>
      <c r="V113" s="248"/>
      <c r="W113" s="313"/>
      <c r="X113" s="248"/>
      <c r="Y113" s="248"/>
      <c r="Z113" s="248"/>
      <c r="AA113" s="248"/>
      <c r="AB113" s="248"/>
      <c r="AC113" s="248"/>
      <c r="AD113" s="248"/>
      <c r="AE113" s="248"/>
      <c r="AF113" s="248"/>
      <c r="AG113" s="248"/>
      <c r="AH113" s="248"/>
      <c r="AI113" s="248"/>
      <c r="AJ113" s="248"/>
      <c r="AK113" s="248"/>
      <c r="AL113" s="248"/>
      <c r="AM113" s="248"/>
      <c r="AN113" s="248"/>
      <c r="AO113" s="248"/>
      <c r="AP113" s="248"/>
      <c r="AQ113" s="248"/>
      <c r="AR113" s="248"/>
      <c r="AS113" s="248"/>
      <c r="AT113" s="248"/>
      <c r="AU113" s="248"/>
      <c r="AV113" s="248"/>
      <c r="AW113" s="248"/>
      <c r="AX113" s="248"/>
      <c r="AY113" s="248"/>
      <c r="AZ113" s="248"/>
      <c r="BA113" s="248"/>
      <c r="BB113" s="248"/>
      <c r="BC113" s="248"/>
      <c r="BD113" s="248"/>
      <c r="BE113" s="248"/>
      <c r="BF113" s="248"/>
      <c r="BG113" s="248"/>
      <c r="BH113" s="248"/>
      <c r="BI113" s="248"/>
      <c r="BJ113" s="248"/>
      <c r="BK113" s="248"/>
      <c r="BL113" s="248"/>
      <c r="BM113" s="248"/>
      <c r="BN113" s="248"/>
      <c r="BO113" s="248"/>
      <c r="BP113" s="248"/>
      <c r="BQ113" s="248"/>
      <c r="BR113" s="248"/>
      <c r="BS113" s="248"/>
      <c r="BT113" s="248"/>
      <c r="BU113" s="248"/>
      <c r="BV113" s="248"/>
      <c r="BW113" s="248"/>
      <c r="BX113" s="248"/>
      <c r="BY113" s="248"/>
      <c r="BZ113" s="248"/>
      <c r="CA113" s="248"/>
      <c r="CB113" s="248"/>
      <c r="CC113" s="248"/>
      <c r="CD113" s="248"/>
      <c r="CE113" s="248"/>
      <c r="CF113" s="248"/>
      <c r="CG113" s="248"/>
      <c r="CH113" s="248"/>
      <c r="CI113" s="248"/>
      <c r="CJ113" s="248"/>
      <c r="CK113" s="248"/>
      <c r="CL113" s="248"/>
      <c r="CM113" s="248"/>
      <c r="CN113" s="248"/>
      <c r="CO113" s="248"/>
      <c r="CP113" s="248"/>
      <c r="CQ113" s="248"/>
      <c r="CR113" s="248"/>
      <c r="CS113" s="248"/>
      <c r="CT113" s="248"/>
      <c r="CU113" s="248"/>
      <c r="CV113" s="248"/>
      <c r="CW113" s="248"/>
      <c r="CX113" s="248"/>
      <c r="CY113" s="248"/>
      <c r="CZ113" s="248"/>
      <c r="DA113" s="248"/>
      <c r="DB113" s="248"/>
      <c r="DC113" s="248"/>
      <c r="DD113" s="248"/>
      <c r="DE113" s="248"/>
      <c r="DF113" s="248"/>
      <c r="DG113" s="248"/>
      <c r="DH113" s="248"/>
      <c r="DI113" s="248"/>
      <c r="DJ113" s="248"/>
      <c r="DK113" s="248"/>
      <c r="DL113" s="248"/>
      <c r="DM113" s="248"/>
      <c r="DN113" s="248"/>
      <c r="DO113" s="248"/>
      <c r="DP113" s="248"/>
      <c r="DQ113" s="248"/>
      <c r="DR113" s="248"/>
      <c r="DS113" s="248"/>
      <c r="DT113" s="248"/>
      <c r="DU113" s="248"/>
      <c r="DV113" s="248"/>
      <c r="DW113" s="248"/>
      <c r="DX113" s="248"/>
      <c r="DY113" s="248"/>
      <c r="DZ113" s="248"/>
      <c r="EA113" s="248"/>
      <c r="EB113" s="248"/>
      <c r="EC113" s="248"/>
      <c r="ED113" s="248"/>
      <c r="EE113" s="248"/>
      <c r="EF113" s="248"/>
      <c r="EG113" s="248"/>
      <c r="EH113" s="248"/>
      <c r="EI113" s="248"/>
      <c r="EJ113" s="248"/>
      <c r="EK113" s="248"/>
      <c r="EL113" s="248"/>
      <c r="EM113" s="248"/>
      <c r="EN113" s="248"/>
      <c r="EO113" s="248"/>
      <c r="EP113" s="248"/>
      <c r="EQ113" s="248"/>
      <c r="ER113" s="248"/>
      <c r="ES113" s="248"/>
      <c r="ET113" s="248"/>
      <c r="EU113" s="248"/>
      <c r="EV113" s="248"/>
      <c r="EW113" s="248"/>
      <c r="EX113" s="248"/>
      <c r="EY113" s="248"/>
      <c r="EZ113" s="248"/>
      <c r="FA113" s="248"/>
      <c r="FB113" s="248"/>
      <c r="FC113" s="248"/>
      <c r="FD113" s="248"/>
      <c r="FE113" s="248"/>
      <c r="FF113" s="248"/>
      <c r="FG113" s="248"/>
      <c r="FH113" s="248"/>
      <c r="FI113" s="248"/>
      <c r="FJ113" s="248"/>
      <c r="FK113" s="248"/>
      <c r="FL113" s="248"/>
      <c r="FM113" s="248"/>
      <c r="FN113" s="248"/>
      <c r="FO113" s="248"/>
      <c r="FP113" s="248"/>
      <c r="FQ113" s="248"/>
      <c r="FR113" s="248"/>
      <c r="FS113" s="248"/>
      <c r="FT113" s="248"/>
      <c r="FU113" s="248"/>
      <c r="FV113" s="248"/>
      <c r="FW113" s="248"/>
      <c r="FX113" s="248"/>
      <c r="FY113" s="248"/>
      <c r="FZ113" s="248"/>
      <c r="GA113" s="248"/>
      <c r="GB113" s="248"/>
      <c r="GC113" s="248"/>
      <c r="GD113" s="248"/>
      <c r="GE113" s="248"/>
      <c r="GF113" s="248"/>
      <c r="GG113" s="248"/>
      <c r="GH113" s="248"/>
      <c r="GI113" s="248"/>
      <c r="GJ113" s="248"/>
      <c r="GK113" s="248"/>
      <c r="GL113" s="248"/>
      <c r="GM113" s="248"/>
      <c r="GN113" s="248"/>
      <c r="GO113" s="248"/>
      <c r="GP113" s="248"/>
      <c r="GQ113" s="248"/>
      <c r="GR113" s="248"/>
      <c r="GS113" s="248"/>
      <c r="GT113" s="248"/>
      <c r="GU113" s="248"/>
      <c r="GV113" s="248"/>
      <c r="GW113" s="248"/>
      <c r="GX113" s="248"/>
      <c r="GY113" s="248"/>
      <c r="GZ113" s="248"/>
      <c r="HA113" s="248"/>
      <c r="HB113" s="248"/>
      <c r="HC113" s="248"/>
      <c r="HD113" s="248"/>
      <c r="HE113" s="248"/>
      <c r="HF113" s="248"/>
      <c r="HG113" s="248"/>
      <c r="HH113" s="248"/>
      <c r="HI113" s="248"/>
      <c r="HJ113" s="248"/>
      <c r="HK113" s="248"/>
      <c r="HL113" s="248"/>
      <c r="HM113" s="248"/>
      <c r="HN113" s="248"/>
      <c r="HO113" s="248"/>
      <c r="HP113" s="248"/>
      <c r="HQ113" s="248"/>
      <c r="HR113" s="248"/>
      <c r="HS113" s="248"/>
      <c r="HT113" s="248"/>
      <c r="HU113" s="248"/>
      <c r="HV113" s="248"/>
      <c r="HW113" s="248"/>
      <c r="HX113" s="248"/>
      <c r="HY113" s="248"/>
      <c r="HZ113" s="248"/>
      <c r="IA113" s="248"/>
      <c r="IB113" s="248"/>
      <c r="IC113" s="248"/>
      <c r="ID113" s="248"/>
      <c r="IE113" s="248"/>
      <c r="IF113" s="248"/>
      <c r="IG113" s="248"/>
      <c r="IH113" s="248"/>
      <c r="II113" s="248"/>
      <c r="IJ113" s="248"/>
      <c r="IK113" s="248"/>
      <c r="IL113" s="248"/>
      <c r="IM113" s="248"/>
      <c r="IN113" s="248"/>
    </row>
    <row r="114" spans="1:248" s="164" customFormat="1">
      <c r="A114" s="242"/>
      <c r="B114" s="248"/>
      <c r="C114" s="248"/>
      <c r="D114" s="316"/>
      <c r="E114" s="316"/>
      <c r="F114" s="248"/>
      <c r="G114" s="316"/>
      <c r="H114" s="248"/>
      <c r="I114" s="248"/>
      <c r="J114" s="279"/>
      <c r="K114" s="35"/>
      <c r="L114" s="35"/>
      <c r="M114" s="35"/>
      <c r="N114" s="47"/>
      <c r="O114" s="228"/>
      <c r="P114" s="47"/>
      <c r="Q114" s="35"/>
      <c r="R114" s="248"/>
      <c r="S114" s="248"/>
      <c r="T114" s="248"/>
      <c r="U114" s="248"/>
      <c r="V114" s="248"/>
      <c r="W114" s="313"/>
      <c r="X114" s="248"/>
      <c r="Y114" s="248"/>
      <c r="Z114" s="248"/>
      <c r="AA114" s="248"/>
      <c r="AB114" s="248"/>
      <c r="AC114" s="248"/>
      <c r="AD114" s="248"/>
      <c r="AE114" s="248"/>
      <c r="AF114" s="248"/>
      <c r="AG114" s="248"/>
      <c r="AH114" s="248"/>
      <c r="AI114" s="248"/>
      <c r="AJ114" s="248"/>
      <c r="AK114" s="248"/>
      <c r="AL114" s="248"/>
      <c r="AM114" s="248"/>
      <c r="AN114" s="248"/>
      <c r="AO114" s="248"/>
      <c r="AP114" s="248"/>
      <c r="AQ114" s="248"/>
      <c r="AR114" s="248"/>
      <c r="AS114" s="248"/>
      <c r="AT114" s="248"/>
      <c r="AU114" s="248"/>
      <c r="AV114" s="248"/>
      <c r="AW114" s="248"/>
      <c r="AX114" s="248"/>
      <c r="AY114" s="248"/>
      <c r="AZ114" s="248"/>
      <c r="BA114" s="248"/>
      <c r="BB114" s="248"/>
      <c r="BC114" s="248"/>
      <c r="BD114" s="248"/>
      <c r="BE114" s="248"/>
      <c r="BF114" s="248"/>
      <c r="BG114" s="248"/>
      <c r="BH114" s="248"/>
      <c r="BI114" s="248"/>
      <c r="BJ114" s="248"/>
      <c r="BK114" s="248"/>
      <c r="BL114" s="248"/>
      <c r="BM114" s="248"/>
      <c r="BN114" s="248"/>
      <c r="BO114" s="248"/>
      <c r="BP114" s="248"/>
      <c r="BQ114" s="248"/>
      <c r="BR114" s="248"/>
      <c r="BS114" s="248"/>
      <c r="BT114" s="248"/>
      <c r="BU114" s="248"/>
      <c r="BV114" s="248"/>
      <c r="BW114" s="248"/>
      <c r="BX114" s="248"/>
      <c r="BY114" s="248"/>
      <c r="BZ114" s="248"/>
      <c r="CA114" s="248"/>
      <c r="CB114" s="248"/>
      <c r="CC114" s="248"/>
      <c r="CD114" s="248"/>
      <c r="CE114" s="248"/>
      <c r="CF114" s="248"/>
      <c r="CG114" s="248"/>
      <c r="CH114" s="248"/>
      <c r="CI114" s="248"/>
      <c r="CJ114" s="248"/>
      <c r="CK114" s="248"/>
      <c r="CL114" s="248"/>
      <c r="CM114" s="248"/>
      <c r="CN114" s="248"/>
      <c r="CO114" s="248"/>
      <c r="CP114" s="248"/>
      <c r="CQ114" s="248"/>
      <c r="CR114" s="248"/>
      <c r="CS114" s="248"/>
      <c r="CT114" s="248"/>
      <c r="CU114" s="248"/>
      <c r="CV114" s="248"/>
      <c r="CW114" s="248"/>
      <c r="CX114" s="248"/>
      <c r="CY114" s="248"/>
      <c r="CZ114" s="248"/>
      <c r="DA114" s="248"/>
      <c r="DB114" s="248"/>
      <c r="DC114" s="248"/>
      <c r="DD114" s="248"/>
      <c r="DE114" s="248"/>
      <c r="DF114" s="248"/>
      <c r="DG114" s="248"/>
      <c r="DH114" s="248"/>
      <c r="DI114" s="248"/>
      <c r="DJ114" s="248"/>
      <c r="DK114" s="248"/>
      <c r="DL114" s="248"/>
      <c r="DM114" s="248"/>
      <c r="DN114" s="248"/>
      <c r="DO114" s="248"/>
      <c r="DP114" s="248"/>
      <c r="DQ114" s="248"/>
      <c r="DR114" s="248"/>
      <c r="DS114" s="248"/>
      <c r="DT114" s="248"/>
      <c r="DU114" s="248"/>
      <c r="DV114" s="248"/>
      <c r="DW114" s="248"/>
      <c r="DX114" s="248"/>
      <c r="DY114" s="248"/>
      <c r="DZ114" s="248"/>
      <c r="EA114" s="248"/>
      <c r="EB114" s="248"/>
      <c r="EC114" s="248"/>
      <c r="ED114" s="248"/>
      <c r="EE114" s="248"/>
      <c r="EF114" s="248"/>
      <c r="EG114" s="248"/>
      <c r="EH114" s="248"/>
      <c r="EI114" s="248"/>
      <c r="EJ114" s="248"/>
      <c r="EK114" s="248"/>
      <c r="EL114" s="248"/>
      <c r="EM114" s="248"/>
      <c r="EN114" s="248"/>
      <c r="EO114" s="248"/>
      <c r="EP114" s="248"/>
      <c r="EQ114" s="248"/>
      <c r="ER114" s="248"/>
      <c r="ES114" s="248"/>
      <c r="ET114" s="248"/>
      <c r="EU114" s="248"/>
      <c r="EV114" s="248"/>
      <c r="EW114" s="248"/>
      <c r="EX114" s="248"/>
      <c r="EY114" s="248"/>
      <c r="EZ114" s="248"/>
      <c r="FA114" s="248"/>
      <c r="FB114" s="248"/>
      <c r="FC114" s="248"/>
      <c r="FD114" s="248"/>
      <c r="FE114" s="248"/>
      <c r="FF114" s="248"/>
      <c r="FG114" s="248"/>
      <c r="FH114" s="248"/>
      <c r="FI114" s="248"/>
      <c r="FJ114" s="248"/>
      <c r="FK114" s="248"/>
      <c r="FL114" s="248"/>
      <c r="FM114" s="248"/>
      <c r="FN114" s="248"/>
      <c r="FO114" s="248"/>
      <c r="FP114" s="248"/>
      <c r="FQ114" s="248"/>
      <c r="FR114" s="248"/>
      <c r="FS114" s="248"/>
      <c r="FT114" s="248"/>
      <c r="FU114" s="248"/>
      <c r="FV114" s="248"/>
      <c r="FW114" s="248"/>
      <c r="FX114" s="248"/>
      <c r="FY114" s="248"/>
      <c r="FZ114" s="248"/>
      <c r="GA114" s="248"/>
      <c r="GB114" s="248"/>
      <c r="GC114" s="248"/>
      <c r="GD114" s="248"/>
      <c r="GE114" s="248"/>
      <c r="GF114" s="248"/>
      <c r="GG114" s="248"/>
      <c r="GH114" s="248"/>
      <c r="GI114" s="248"/>
      <c r="GJ114" s="248"/>
      <c r="GK114" s="248"/>
      <c r="GL114" s="248"/>
      <c r="GM114" s="248"/>
      <c r="GN114" s="248"/>
      <c r="GO114" s="248"/>
      <c r="GP114" s="248"/>
      <c r="GQ114" s="248"/>
      <c r="GR114" s="248"/>
      <c r="GS114" s="248"/>
      <c r="GT114" s="248"/>
      <c r="GU114" s="248"/>
      <c r="GV114" s="248"/>
      <c r="GW114" s="248"/>
      <c r="GX114" s="248"/>
      <c r="GY114" s="248"/>
      <c r="GZ114" s="248"/>
      <c r="HA114" s="248"/>
      <c r="HB114" s="248"/>
      <c r="HC114" s="248"/>
      <c r="HD114" s="248"/>
      <c r="HE114" s="248"/>
      <c r="HF114" s="248"/>
      <c r="HG114" s="248"/>
      <c r="HH114" s="248"/>
      <c r="HI114" s="248"/>
      <c r="HJ114" s="248"/>
      <c r="HK114" s="248"/>
      <c r="HL114" s="248"/>
      <c r="HM114" s="248"/>
      <c r="HN114" s="248"/>
      <c r="HO114" s="248"/>
      <c r="HP114" s="248"/>
      <c r="HQ114" s="248"/>
      <c r="HR114" s="248"/>
      <c r="HS114" s="248"/>
      <c r="HT114" s="248"/>
      <c r="HU114" s="248"/>
      <c r="HV114" s="248"/>
      <c r="HW114" s="248"/>
      <c r="HX114" s="248"/>
      <c r="HY114" s="248"/>
      <c r="HZ114" s="248"/>
      <c r="IA114" s="248"/>
      <c r="IB114" s="248"/>
      <c r="IC114" s="248"/>
      <c r="ID114" s="248"/>
      <c r="IE114" s="248"/>
      <c r="IF114" s="248"/>
      <c r="IG114" s="248"/>
      <c r="IH114" s="248"/>
      <c r="II114" s="248"/>
      <c r="IJ114" s="248"/>
      <c r="IK114" s="248"/>
      <c r="IL114" s="248"/>
      <c r="IM114" s="248"/>
      <c r="IN114" s="248"/>
    </row>
    <row r="115" spans="1:248" s="164" customFormat="1">
      <c r="A115" s="242"/>
      <c r="B115" s="248"/>
      <c r="C115" s="248"/>
      <c r="D115" s="316"/>
      <c r="E115" s="316"/>
      <c r="F115" s="248"/>
      <c r="G115" s="316"/>
      <c r="H115" s="248"/>
      <c r="I115" s="248"/>
      <c r="J115" s="279"/>
      <c r="K115" s="35"/>
      <c r="L115" s="35"/>
      <c r="M115" s="35"/>
      <c r="N115" s="47"/>
      <c r="O115" s="228"/>
      <c r="P115" s="47"/>
      <c r="Q115" s="35"/>
      <c r="R115" s="248"/>
      <c r="S115" s="248"/>
      <c r="T115" s="248"/>
      <c r="U115" s="248"/>
      <c r="V115" s="248"/>
      <c r="W115" s="313"/>
      <c r="X115" s="248"/>
      <c r="Y115" s="248"/>
      <c r="Z115" s="248"/>
      <c r="AA115" s="248"/>
      <c r="AB115" s="248"/>
      <c r="AC115" s="248"/>
      <c r="AD115" s="248"/>
      <c r="AE115" s="248"/>
      <c r="AF115" s="248"/>
      <c r="AG115" s="248"/>
      <c r="AH115" s="248"/>
      <c r="AI115" s="248"/>
      <c r="AJ115" s="248"/>
      <c r="AK115" s="248"/>
      <c r="AL115" s="248"/>
      <c r="AM115" s="248"/>
      <c r="AN115" s="248"/>
      <c r="AO115" s="248"/>
      <c r="AP115" s="248"/>
      <c r="AQ115" s="248"/>
      <c r="AR115" s="248"/>
      <c r="AS115" s="248"/>
      <c r="AT115" s="248"/>
      <c r="AU115" s="248"/>
      <c r="AV115" s="248"/>
      <c r="AW115" s="248"/>
      <c r="AX115" s="248"/>
      <c r="AY115" s="248"/>
      <c r="AZ115" s="248"/>
      <c r="BA115" s="248"/>
      <c r="BB115" s="248"/>
      <c r="BC115" s="248"/>
      <c r="BD115" s="248"/>
      <c r="BE115" s="248"/>
      <c r="BF115" s="248"/>
      <c r="BG115" s="248"/>
      <c r="BH115" s="248"/>
      <c r="BI115" s="248"/>
      <c r="BJ115" s="248"/>
      <c r="BK115" s="248"/>
      <c r="BL115" s="248"/>
      <c r="BM115" s="248"/>
      <c r="BN115" s="248"/>
      <c r="BO115" s="248"/>
      <c r="BP115" s="248"/>
      <c r="BQ115" s="248"/>
      <c r="BR115" s="248"/>
      <c r="BS115" s="248"/>
      <c r="BT115" s="248"/>
      <c r="BU115" s="248"/>
      <c r="BV115" s="248"/>
      <c r="BW115" s="248"/>
      <c r="BX115" s="248"/>
      <c r="BY115" s="248"/>
      <c r="BZ115" s="248"/>
      <c r="CA115" s="248"/>
      <c r="CB115" s="248"/>
      <c r="CC115" s="248"/>
      <c r="CD115" s="248"/>
      <c r="CE115" s="248"/>
      <c r="CF115" s="248"/>
      <c r="CG115" s="248"/>
      <c r="CH115" s="248"/>
      <c r="CI115" s="248"/>
      <c r="CJ115" s="248"/>
      <c r="CK115" s="248"/>
      <c r="CL115" s="248"/>
      <c r="CM115" s="248"/>
      <c r="CN115" s="248"/>
      <c r="CO115" s="248"/>
      <c r="CP115" s="248"/>
      <c r="CQ115" s="248"/>
      <c r="CR115" s="248"/>
      <c r="CS115" s="248"/>
      <c r="CT115" s="248"/>
      <c r="CU115" s="248"/>
      <c r="CV115" s="248"/>
      <c r="CW115" s="248"/>
      <c r="CX115" s="248"/>
      <c r="CY115" s="248"/>
      <c r="CZ115" s="248"/>
      <c r="DA115" s="248"/>
      <c r="DB115" s="248"/>
      <c r="DC115" s="248"/>
      <c r="DD115" s="248"/>
      <c r="DE115" s="248"/>
      <c r="DF115" s="248"/>
      <c r="DG115" s="248"/>
      <c r="DH115" s="248"/>
      <c r="DI115" s="248"/>
      <c r="DJ115" s="248"/>
      <c r="DK115" s="248"/>
      <c r="DL115" s="248"/>
      <c r="DM115" s="248"/>
      <c r="DN115" s="248"/>
      <c r="DO115" s="248"/>
      <c r="DP115" s="248"/>
      <c r="DQ115" s="248"/>
      <c r="DR115" s="248"/>
      <c r="DS115" s="248"/>
      <c r="DT115" s="248"/>
      <c r="DU115" s="248"/>
      <c r="DV115" s="248"/>
      <c r="DW115" s="248"/>
      <c r="DX115" s="248"/>
      <c r="DY115" s="248"/>
      <c r="DZ115" s="248"/>
      <c r="EA115" s="248"/>
      <c r="EB115" s="248"/>
      <c r="EC115" s="248"/>
      <c r="ED115" s="248"/>
      <c r="EE115" s="248"/>
      <c r="EF115" s="248"/>
      <c r="EG115" s="248"/>
      <c r="EH115" s="248"/>
      <c r="EI115" s="248"/>
      <c r="EJ115" s="248"/>
      <c r="EK115" s="248"/>
      <c r="EL115" s="248"/>
      <c r="EM115" s="248"/>
      <c r="EN115" s="248"/>
      <c r="EO115" s="248"/>
      <c r="EP115" s="248"/>
      <c r="EQ115" s="248"/>
      <c r="ER115" s="248"/>
      <c r="ES115" s="248"/>
      <c r="ET115" s="248"/>
      <c r="EU115" s="248"/>
      <c r="EV115" s="248"/>
      <c r="EW115" s="248"/>
      <c r="EX115" s="248"/>
      <c r="EY115" s="248"/>
      <c r="EZ115" s="248"/>
      <c r="FA115" s="248"/>
      <c r="FB115" s="248"/>
      <c r="FC115" s="248"/>
      <c r="FD115" s="248"/>
      <c r="FE115" s="248"/>
      <c r="FF115" s="248"/>
      <c r="FG115" s="248"/>
      <c r="FH115" s="248"/>
      <c r="FI115" s="248"/>
      <c r="FJ115" s="248"/>
      <c r="FK115" s="248"/>
      <c r="FL115" s="248"/>
      <c r="FM115" s="248"/>
      <c r="FN115" s="248"/>
      <c r="FO115" s="248"/>
      <c r="FP115" s="248"/>
      <c r="FQ115" s="248"/>
      <c r="FR115" s="248"/>
      <c r="FS115" s="248"/>
      <c r="FT115" s="248"/>
      <c r="FU115" s="248"/>
      <c r="FV115" s="248"/>
      <c r="FW115" s="248"/>
      <c r="FX115" s="248"/>
      <c r="FY115" s="248"/>
      <c r="FZ115" s="248"/>
      <c r="GA115" s="248"/>
      <c r="GB115" s="248"/>
      <c r="GC115" s="248"/>
      <c r="GD115" s="248"/>
      <c r="GE115" s="248"/>
      <c r="GF115" s="248"/>
      <c r="GG115" s="248"/>
      <c r="GH115" s="248"/>
      <c r="GI115" s="248"/>
      <c r="GJ115" s="248"/>
      <c r="GK115" s="248"/>
      <c r="GL115" s="248"/>
      <c r="GM115" s="248"/>
      <c r="GN115" s="248"/>
      <c r="GO115" s="248"/>
      <c r="GP115" s="248"/>
      <c r="GQ115" s="248"/>
      <c r="GR115" s="248"/>
      <c r="GS115" s="248"/>
      <c r="GT115" s="248"/>
      <c r="GU115" s="248"/>
      <c r="GV115" s="248"/>
      <c r="GW115" s="248"/>
      <c r="GX115" s="248"/>
      <c r="GY115" s="248"/>
      <c r="GZ115" s="248"/>
      <c r="HA115" s="248"/>
      <c r="HB115" s="248"/>
      <c r="HC115" s="248"/>
      <c r="HD115" s="248"/>
      <c r="HE115" s="248"/>
      <c r="HF115" s="248"/>
      <c r="HG115" s="248"/>
      <c r="HH115" s="248"/>
      <c r="HI115" s="248"/>
      <c r="HJ115" s="248"/>
      <c r="HK115" s="248"/>
      <c r="HL115" s="248"/>
      <c r="HM115" s="248"/>
      <c r="HN115" s="248"/>
      <c r="HO115" s="248"/>
      <c r="HP115" s="248"/>
      <c r="HQ115" s="248"/>
      <c r="HR115" s="248"/>
      <c r="HS115" s="248"/>
      <c r="HT115" s="248"/>
      <c r="HU115" s="248"/>
      <c r="HV115" s="248"/>
      <c r="HW115" s="248"/>
      <c r="HX115" s="248"/>
      <c r="HY115" s="248"/>
      <c r="HZ115" s="248"/>
      <c r="IA115" s="248"/>
      <c r="IB115" s="248"/>
      <c r="IC115" s="248"/>
      <c r="ID115" s="248"/>
      <c r="IE115" s="248"/>
      <c r="IF115" s="248"/>
      <c r="IG115" s="248"/>
      <c r="IH115" s="248"/>
      <c r="II115" s="248"/>
      <c r="IJ115" s="248"/>
      <c r="IK115" s="248"/>
      <c r="IL115" s="248"/>
      <c r="IM115" s="248"/>
      <c r="IN115" s="248"/>
    </row>
    <row r="116" spans="1:248" s="164" customFormat="1">
      <c r="A116" s="242"/>
      <c r="B116" s="248"/>
      <c r="C116" s="248"/>
      <c r="D116" s="316"/>
      <c r="E116" s="316"/>
      <c r="F116" s="248"/>
      <c r="G116" s="316"/>
      <c r="H116" s="248"/>
      <c r="I116" s="248"/>
      <c r="J116" s="279"/>
      <c r="K116" s="35"/>
      <c r="L116" s="35"/>
      <c r="M116" s="35"/>
      <c r="N116" s="47"/>
      <c r="O116" s="228"/>
      <c r="P116" s="47"/>
      <c r="Q116" s="35"/>
      <c r="R116" s="248"/>
      <c r="S116" s="248"/>
      <c r="T116" s="248"/>
      <c r="U116" s="248"/>
      <c r="V116" s="248"/>
      <c r="W116" s="313"/>
      <c r="X116" s="248"/>
      <c r="Y116" s="248"/>
      <c r="Z116" s="248"/>
      <c r="AA116" s="248"/>
      <c r="AB116" s="248"/>
      <c r="AC116" s="248"/>
      <c r="AD116" s="248"/>
      <c r="AE116" s="248"/>
      <c r="AF116" s="248"/>
      <c r="AG116" s="248"/>
      <c r="AH116" s="248"/>
      <c r="AI116" s="248"/>
      <c r="AJ116" s="248"/>
      <c r="AK116" s="248"/>
      <c r="AL116" s="248"/>
      <c r="AM116" s="248"/>
      <c r="AN116" s="248"/>
      <c r="AO116" s="248"/>
      <c r="AP116" s="248"/>
      <c r="AQ116" s="248"/>
      <c r="AR116" s="248"/>
      <c r="AS116" s="248"/>
      <c r="AT116" s="248"/>
      <c r="AU116" s="248"/>
      <c r="AV116" s="248"/>
      <c r="AW116" s="248"/>
      <c r="AX116" s="248"/>
      <c r="AY116" s="248"/>
      <c r="AZ116" s="248"/>
      <c r="BA116" s="248"/>
      <c r="BB116" s="248"/>
      <c r="BC116" s="248"/>
      <c r="BD116" s="248"/>
      <c r="BE116" s="248"/>
      <c r="BF116" s="248"/>
      <c r="BG116" s="248"/>
      <c r="BH116" s="248"/>
      <c r="BI116" s="248"/>
      <c r="BJ116" s="248"/>
      <c r="BK116" s="248"/>
      <c r="BL116" s="248"/>
      <c r="BM116" s="248"/>
      <c r="BN116" s="248"/>
      <c r="BO116" s="248"/>
      <c r="BP116" s="248"/>
      <c r="BQ116" s="248"/>
      <c r="BR116" s="248"/>
      <c r="BS116" s="248"/>
      <c r="BT116" s="248"/>
      <c r="BU116" s="248"/>
      <c r="BV116" s="248"/>
      <c r="BW116" s="248"/>
      <c r="BX116" s="248"/>
      <c r="BY116" s="248"/>
      <c r="BZ116" s="248"/>
      <c r="CA116" s="248"/>
      <c r="CB116" s="248"/>
      <c r="CC116" s="248"/>
      <c r="CD116" s="248"/>
      <c r="CE116" s="248"/>
      <c r="CF116" s="248"/>
      <c r="CG116" s="248"/>
      <c r="CH116" s="248"/>
      <c r="CI116" s="248"/>
      <c r="CJ116" s="248"/>
      <c r="CK116" s="248"/>
      <c r="CL116" s="248"/>
      <c r="CM116" s="248"/>
      <c r="CN116" s="248"/>
      <c r="CO116" s="248"/>
      <c r="CP116" s="248"/>
      <c r="CQ116" s="248"/>
      <c r="CR116" s="248"/>
      <c r="CS116" s="248"/>
      <c r="CT116" s="248"/>
      <c r="CU116" s="248"/>
      <c r="CV116" s="248"/>
      <c r="CW116" s="248"/>
      <c r="CX116" s="248"/>
      <c r="CY116" s="248"/>
      <c r="CZ116" s="248"/>
      <c r="DA116" s="248"/>
      <c r="DB116" s="248"/>
      <c r="DC116" s="248"/>
      <c r="DD116" s="248"/>
      <c r="DE116" s="248"/>
      <c r="DF116" s="248"/>
      <c r="DG116" s="248"/>
      <c r="DH116" s="248"/>
      <c r="DI116" s="248"/>
      <c r="DJ116" s="248"/>
      <c r="DK116" s="248"/>
      <c r="DL116" s="248"/>
      <c r="DM116" s="248"/>
      <c r="DN116" s="248"/>
      <c r="DO116" s="248"/>
      <c r="DP116" s="248"/>
      <c r="DQ116" s="248"/>
      <c r="DR116" s="248"/>
      <c r="DS116" s="248"/>
      <c r="DT116" s="248"/>
      <c r="DU116" s="248"/>
      <c r="DV116" s="248"/>
      <c r="DW116" s="248"/>
      <c r="DX116" s="248"/>
      <c r="DY116" s="248"/>
      <c r="DZ116" s="248"/>
      <c r="EA116" s="248"/>
      <c r="EB116" s="248"/>
      <c r="EC116" s="248"/>
      <c r="ED116" s="248"/>
      <c r="EE116" s="248"/>
      <c r="EF116" s="248"/>
      <c r="EG116" s="248"/>
      <c r="EH116" s="248"/>
      <c r="EI116" s="248"/>
      <c r="EJ116" s="248"/>
      <c r="EK116" s="248"/>
      <c r="EL116" s="248"/>
      <c r="EM116" s="248"/>
      <c r="EN116" s="248"/>
      <c r="EO116" s="248"/>
      <c r="EP116" s="248"/>
      <c r="EQ116" s="248"/>
      <c r="ER116" s="248"/>
      <c r="ES116" s="248"/>
      <c r="ET116" s="248"/>
      <c r="EU116" s="248"/>
      <c r="EV116" s="248"/>
      <c r="EW116" s="248"/>
      <c r="EX116" s="248"/>
      <c r="EY116" s="248"/>
      <c r="EZ116" s="248"/>
      <c r="FA116" s="248"/>
      <c r="FB116" s="248"/>
      <c r="FC116" s="248"/>
      <c r="FD116" s="248"/>
      <c r="FE116" s="248"/>
      <c r="FF116" s="248"/>
      <c r="FG116" s="248"/>
      <c r="FH116" s="248"/>
      <c r="FI116" s="248"/>
      <c r="FJ116" s="248"/>
      <c r="FK116" s="248"/>
      <c r="FL116" s="248"/>
      <c r="FM116" s="248"/>
      <c r="FN116" s="248"/>
      <c r="FO116" s="248"/>
      <c r="FP116" s="248"/>
      <c r="FQ116" s="248"/>
      <c r="FR116" s="248"/>
      <c r="FS116" s="248"/>
      <c r="FT116" s="248"/>
      <c r="FU116" s="248"/>
      <c r="FV116" s="248"/>
      <c r="FW116" s="248"/>
      <c r="FX116" s="248"/>
      <c r="FY116" s="248"/>
      <c r="FZ116" s="248"/>
      <c r="GA116" s="248"/>
      <c r="GB116" s="248"/>
      <c r="GC116" s="248"/>
      <c r="GD116" s="248"/>
      <c r="GE116" s="248"/>
      <c r="GF116" s="248"/>
      <c r="GG116" s="248"/>
      <c r="GH116" s="248"/>
      <c r="GI116" s="248"/>
      <c r="GJ116" s="248"/>
      <c r="GK116" s="248"/>
      <c r="GL116" s="248"/>
      <c r="GM116" s="248"/>
      <c r="GN116" s="248"/>
      <c r="GO116" s="248"/>
      <c r="GP116" s="248"/>
      <c r="GQ116" s="248"/>
      <c r="GR116" s="248"/>
      <c r="GS116" s="248"/>
      <c r="GT116" s="248"/>
      <c r="GU116" s="248"/>
      <c r="GV116" s="248"/>
      <c r="GW116" s="248"/>
      <c r="GX116" s="248"/>
      <c r="GY116" s="248"/>
      <c r="GZ116" s="248"/>
      <c r="HA116" s="248"/>
      <c r="HB116" s="248"/>
      <c r="HC116" s="248"/>
      <c r="HD116" s="248"/>
      <c r="HE116" s="248"/>
      <c r="HF116" s="248"/>
      <c r="HG116" s="248"/>
      <c r="HH116" s="248"/>
      <c r="HI116" s="248"/>
      <c r="HJ116" s="248"/>
      <c r="HK116" s="248"/>
      <c r="HL116" s="248"/>
      <c r="HM116" s="248"/>
      <c r="HN116" s="248"/>
      <c r="HO116" s="248"/>
      <c r="HP116" s="248"/>
      <c r="HQ116" s="248"/>
      <c r="HR116" s="248"/>
      <c r="HS116" s="248"/>
      <c r="HT116" s="248"/>
      <c r="HU116" s="248"/>
      <c r="HV116" s="248"/>
      <c r="HW116" s="248"/>
      <c r="HX116" s="248"/>
      <c r="HY116" s="248"/>
      <c r="HZ116" s="248"/>
      <c r="IA116" s="248"/>
      <c r="IB116" s="248"/>
      <c r="IC116" s="248"/>
      <c r="ID116" s="248"/>
      <c r="IE116" s="248"/>
      <c r="IF116" s="248"/>
      <c r="IG116" s="248"/>
      <c r="IH116" s="248"/>
      <c r="II116" s="248"/>
      <c r="IJ116" s="248"/>
      <c r="IK116" s="248"/>
      <c r="IL116" s="248"/>
      <c r="IM116" s="248"/>
      <c r="IN116" s="248"/>
    </row>
    <row r="117" spans="1:248" s="164" customFormat="1">
      <c r="A117" s="242"/>
      <c r="B117" s="248"/>
      <c r="C117" s="248"/>
      <c r="D117" s="316"/>
      <c r="E117" s="316"/>
      <c r="F117" s="248"/>
      <c r="G117" s="316"/>
      <c r="H117" s="248"/>
      <c r="I117" s="248"/>
      <c r="J117" s="279"/>
      <c r="K117" s="35"/>
      <c r="L117" s="35"/>
      <c r="M117" s="35"/>
      <c r="N117" s="47"/>
      <c r="O117" s="228"/>
      <c r="P117" s="47"/>
      <c r="Q117" s="35"/>
      <c r="R117" s="248"/>
      <c r="S117" s="248"/>
      <c r="T117" s="248"/>
      <c r="U117" s="248"/>
      <c r="V117" s="248"/>
      <c r="W117" s="313"/>
      <c r="X117" s="248"/>
      <c r="Y117" s="248"/>
      <c r="Z117" s="248"/>
      <c r="AA117" s="248"/>
      <c r="AB117" s="248"/>
      <c r="AC117" s="248"/>
      <c r="AD117" s="248"/>
      <c r="AE117" s="248"/>
      <c r="AF117" s="248"/>
      <c r="AG117" s="248"/>
      <c r="AH117" s="248"/>
      <c r="AI117" s="248"/>
      <c r="AJ117" s="248"/>
      <c r="AK117" s="248"/>
      <c r="AL117" s="248"/>
      <c r="AM117" s="248"/>
      <c r="AN117" s="248"/>
      <c r="AO117" s="248"/>
      <c r="AP117" s="248"/>
      <c r="AQ117" s="248"/>
      <c r="AR117" s="248"/>
      <c r="AS117" s="248"/>
      <c r="AT117" s="248"/>
      <c r="AU117" s="248"/>
      <c r="AV117" s="248"/>
      <c r="AW117" s="248"/>
      <c r="AX117" s="248"/>
      <c r="AY117" s="248"/>
      <c r="AZ117" s="248"/>
      <c r="BA117" s="248"/>
      <c r="BB117" s="248"/>
      <c r="BC117" s="248"/>
      <c r="BD117" s="248"/>
      <c r="BE117" s="248"/>
      <c r="BF117" s="248"/>
      <c r="BG117" s="248"/>
      <c r="BH117" s="248"/>
      <c r="BI117" s="248"/>
      <c r="BJ117" s="248"/>
      <c r="BK117" s="248"/>
      <c r="BL117" s="248"/>
      <c r="BM117" s="248"/>
      <c r="BN117" s="248"/>
      <c r="BO117" s="248"/>
      <c r="BP117" s="248"/>
      <c r="BQ117" s="248"/>
      <c r="BR117" s="248"/>
      <c r="BS117" s="248"/>
      <c r="BT117" s="248"/>
      <c r="BU117" s="248"/>
      <c r="BV117" s="248"/>
      <c r="BW117" s="248"/>
      <c r="BX117" s="248"/>
      <c r="BY117" s="248"/>
      <c r="BZ117" s="248"/>
      <c r="CA117" s="248"/>
      <c r="CB117" s="248"/>
      <c r="CC117" s="248"/>
      <c r="CD117" s="248"/>
      <c r="CE117" s="248"/>
      <c r="CF117" s="248"/>
      <c r="CG117" s="248"/>
      <c r="CH117" s="248"/>
      <c r="CI117" s="248"/>
      <c r="CJ117" s="248"/>
      <c r="CK117" s="248"/>
      <c r="CL117" s="248"/>
      <c r="CM117" s="248"/>
      <c r="CN117" s="248"/>
      <c r="CO117" s="248"/>
      <c r="CP117" s="248"/>
      <c r="CQ117" s="248"/>
      <c r="CR117" s="248"/>
      <c r="CS117" s="248"/>
      <c r="CT117" s="248"/>
      <c r="CU117" s="248"/>
      <c r="CV117" s="248"/>
      <c r="CW117" s="248"/>
      <c r="CX117" s="248"/>
      <c r="CY117" s="248"/>
      <c r="CZ117" s="248"/>
      <c r="DA117" s="248"/>
      <c r="DB117" s="248"/>
      <c r="DC117" s="248"/>
      <c r="DD117" s="248"/>
      <c r="DE117" s="248"/>
      <c r="DF117" s="248"/>
      <c r="DG117" s="248"/>
      <c r="DH117" s="248"/>
      <c r="DI117" s="248"/>
      <c r="DJ117" s="248"/>
      <c r="DK117" s="248"/>
      <c r="DL117" s="248"/>
      <c r="DM117" s="248"/>
      <c r="DN117" s="248"/>
      <c r="DO117" s="248"/>
      <c r="DP117" s="248"/>
      <c r="DQ117" s="248"/>
      <c r="DR117" s="248"/>
      <c r="DS117" s="248"/>
      <c r="DT117" s="248"/>
      <c r="DU117" s="248"/>
      <c r="DV117" s="248"/>
      <c r="DW117" s="248"/>
      <c r="DX117" s="248"/>
      <c r="DY117" s="248"/>
      <c r="DZ117" s="248"/>
      <c r="EA117" s="248"/>
      <c r="EB117" s="248"/>
      <c r="EC117" s="248"/>
      <c r="ED117" s="248"/>
      <c r="EE117" s="248"/>
      <c r="EF117" s="248"/>
      <c r="EG117" s="248"/>
      <c r="EH117" s="248"/>
      <c r="EI117" s="248"/>
      <c r="EJ117" s="248"/>
      <c r="EK117" s="248"/>
      <c r="EL117" s="248"/>
      <c r="EM117" s="248"/>
      <c r="EN117" s="248"/>
      <c r="EO117" s="248"/>
      <c r="EP117" s="248"/>
      <c r="EQ117" s="248"/>
      <c r="ER117" s="248"/>
      <c r="ES117" s="248"/>
      <c r="ET117" s="248"/>
      <c r="EU117" s="248"/>
      <c r="EV117" s="248"/>
      <c r="EW117" s="248"/>
      <c r="EX117" s="248"/>
      <c r="EY117" s="248"/>
      <c r="EZ117" s="248"/>
      <c r="FA117" s="248"/>
      <c r="FB117" s="248"/>
      <c r="FC117" s="248"/>
      <c r="FD117" s="248"/>
      <c r="FE117" s="248"/>
      <c r="FF117" s="248"/>
      <c r="FG117" s="248"/>
      <c r="FH117" s="248"/>
      <c r="FI117" s="248"/>
      <c r="FJ117" s="248"/>
      <c r="FK117" s="248"/>
      <c r="FL117" s="248"/>
      <c r="FM117" s="248"/>
      <c r="FN117" s="248"/>
      <c r="FO117" s="248"/>
      <c r="FP117" s="248"/>
      <c r="FQ117" s="248"/>
      <c r="FR117" s="248"/>
      <c r="FS117" s="248"/>
      <c r="FT117" s="248"/>
      <c r="FU117" s="248"/>
      <c r="FV117" s="248"/>
      <c r="FW117" s="248"/>
      <c r="FX117" s="248"/>
      <c r="FY117" s="248"/>
      <c r="FZ117" s="248"/>
      <c r="GA117" s="248"/>
      <c r="GB117" s="248"/>
      <c r="GC117" s="248"/>
      <c r="GD117" s="248"/>
      <c r="GE117" s="248"/>
      <c r="GF117" s="248"/>
      <c r="GG117" s="248"/>
      <c r="GH117" s="248"/>
      <c r="GI117" s="248"/>
      <c r="GJ117" s="248"/>
      <c r="GK117" s="248"/>
      <c r="GL117" s="248"/>
      <c r="GM117" s="248"/>
      <c r="GN117" s="248"/>
      <c r="GO117" s="248"/>
      <c r="GP117" s="248"/>
      <c r="GQ117" s="248"/>
      <c r="GR117" s="248"/>
      <c r="GS117" s="248"/>
      <c r="GT117" s="248"/>
      <c r="GU117" s="248"/>
      <c r="GV117" s="248"/>
      <c r="GW117" s="248"/>
      <c r="GX117" s="248"/>
      <c r="GY117" s="248"/>
      <c r="GZ117" s="248"/>
      <c r="HA117" s="248"/>
      <c r="HB117" s="248"/>
      <c r="HC117" s="248"/>
      <c r="HD117" s="248"/>
      <c r="HE117" s="248"/>
      <c r="HF117" s="248"/>
      <c r="HG117" s="248"/>
      <c r="HH117" s="248"/>
      <c r="HI117" s="248"/>
      <c r="HJ117" s="248"/>
      <c r="HK117" s="248"/>
      <c r="HL117" s="248"/>
      <c r="HM117" s="248"/>
      <c r="HN117" s="248"/>
      <c r="HO117" s="248"/>
      <c r="HP117" s="248"/>
      <c r="HQ117" s="248"/>
      <c r="HR117" s="248"/>
      <c r="HS117" s="248"/>
      <c r="HT117" s="248"/>
      <c r="HU117" s="248"/>
      <c r="HV117" s="248"/>
      <c r="HW117" s="248"/>
      <c r="HX117" s="248"/>
      <c r="HY117" s="248"/>
      <c r="HZ117" s="248"/>
      <c r="IA117" s="248"/>
      <c r="IB117" s="248"/>
      <c r="IC117" s="248"/>
      <c r="ID117" s="248"/>
      <c r="IE117" s="248"/>
      <c r="IF117" s="248"/>
      <c r="IG117" s="248"/>
      <c r="IH117" s="248"/>
      <c r="II117" s="248"/>
      <c r="IJ117" s="248"/>
      <c r="IK117" s="248"/>
      <c r="IL117" s="248"/>
      <c r="IM117" s="248"/>
      <c r="IN117" s="248"/>
    </row>
    <row r="118" spans="1:248" s="164" customFormat="1">
      <c r="A118" s="242"/>
      <c r="B118" s="248"/>
      <c r="C118" s="248"/>
      <c r="D118" s="316"/>
      <c r="E118" s="316"/>
      <c r="F118" s="248"/>
      <c r="G118" s="316"/>
      <c r="H118" s="248"/>
      <c r="I118" s="248"/>
      <c r="J118" s="279"/>
      <c r="K118" s="35"/>
      <c r="L118" s="35"/>
      <c r="M118" s="35"/>
      <c r="N118" s="47"/>
      <c r="O118" s="228"/>
      <c r="P118" s="47"/>
      <c r="Q118" s="35"/>
      <c r="R118" s="248"/>
      <c r="S118" s="248"/>
      <c r="T118" s="248"/>
      <c r="U118" s="248"/>
      <c r="V118" s="248"/>
      <c r="W118" s="313"/>
      <c r="X118" s="248"/>
      <c r="Y118" s="248"/>
      <c r="Z118" s="248"/>
      <c r="AA118" s="248"/>
      <c r="AB118" s="248"/>
      <c r="AC118" s="248"/>
      <c r="AD118" s="248"/>
      <c r="AE118" s="248"/>
      <c r="AF118" s="248"/>
      <c r="AG118" s="248"/>
      <c r="AH118" s="248"/>
      <c r="AI118" s="248"/>
      <c r="AJ118" s="248"/>
      <c r="AK118" s="248"/>
      <c r="AL118" s="248"/>
      <c r="AM118" s="248"/>
      <c r="AN118" s="248"/>
      <c r="AO118" s="248"/>
      <c r="AP118" s="248"/>
      <c r="AQ118" s="248"/>
      <c r="AR118" s="248"/>
      <c r="AS118" s="248"/>
      <c r="AT118" s="248"/>
      <c r="AU118" s="248"/>
      <c r="AV118" s="248"/>
      <c r="AW118" s="248"/>
      <c r="AX118" s="248"/>
      <c r="AY118" s="248"/>
      <c r="AZ118" s="248"/>
      <c r="BA118" s="248"/>
      <c r="BB118" s="248"/>
      <c r="BC118" s="248"/>
      <c r="BD118" s="248"/>
      <c r="BE118" s="248"/>
      <c r="BF118" s="248"/>
      <c r="BG118" s="248"/>
      <c r="BH118" s="248"/>
      <c r="BI118" s="248"/>
      <c r="BJ118" s="248"/>
      <c r="BK118" s="248"/>
      <c r="BL118" s="248"/>
      <c r="BM118" s="248"/>
      <c r="BN118" s="248"/>
      <c r="BO118" s="248"/>
      <c r="BP118" s="248"/>
      <c r="BQ118" s="248"/>
      <c r="BR118" s="248"/>
      <c r="BS118" s="248"/>
      <c r="BT118" s="248"/>
      <c r="BU118" s="248"/>
      <c r="BV118" s="248"/>
      <c r="BW118" s="248"/>
      <c r="BX118" s="248"/>
      <c r="BY118" s="248"/>
      <c r="BZ118" s="248"/>
      <c r="CA118" s="248"/>
      <c r="CB118" s="248"/>
      <c r="CC118" s="248"/>
      <c r="CD118" s="248"/>
      <c r="CE118" s="248"/>
      <c r="CF118" s="248"/>
      <c r="CG118" s="248"/>
      <c r="CH118" s="248"/>
      <c r="CI118" s="248"/>
      <c r="CJ118" s="248"/>
      <c r="CK118" s="248"/>
      <c r="CL118" s="248"/>
      <c r="CM118" s="248"/>
      <c r="CN118" s="248"/>
      <c r="CO118" s="248"/>
      <c r="CP118" s="248"/>
      <c r="CQ118" s="248"/>
      <c r="CR118" s="248"/>
      <c r="CS118" s="248"/>
      <c r="CT118" s="248"/>
      <c r="CU118" s="248"/>
      <c r="CV118" s="248"/>
      <c r="CW118" s="248"/>
      <c r="CX118" s="248"/>
      <c r="CY118" s="248"/>
      <c r="CZ118" s="248"/>
      <c r="DA118" s="248"/>
      <c r="DB118" s="248"/>
      <c r="DC118" s="248"/>
      <c r="DD118" s="248"/>
      <c r="DE118" s="248"/>
      <c r="DF118" s="248"/>
      <c r="DG118" s="248"/>
      <c r="DH118" s="248"/>
      <c r="DI118" s="248"/>
      <c r="DJ118" s="248"/>
      <c r="DK118" s="248"/>
      <c r="DL118" s="248"/>
      <c r="DM118" s="248"/>
      <c r="DN118" s="248"/>
      <c r="DO118" s="248"/>
      <c r="DP118" s="248"/>
      <c r="DQ118" s="248"/>
      <c r="DR118" s="248"/>
      <c r="DS118" s="248"/>
      <c r="DT118" s="248"/>
      <c r="DU118" s="248"/>
      <c r="DV118" s="248"/>
      <c r="DW118" s="248"/>
      <c r="DX118" s="248"/>
      <c r="DY118" s="248"/>
      <c r="DZ118" s="248"/>
      <c r="EA118" s="248"/>
      <c r="EB118" s="248"/>
      <c r="EC118" s="248"/>
      <c r="ED118" s="248"/>
      <c r="EE118" s="248"/>
      <c r="EF118" s="248"/>
      <c r="EG118" s="248"/>
      <c r="EH118" s="248"/>
      <c r="EI118" s="248"/>
      <c r="EJ118" s="248"/>
      <c r="EK118" s="248"/>
      <c r="EL118" s="248"/>
      <c r="EM118" s="248"/>
      <c r="EN118" s="248"/>
      <c r="EO118" s="248"/>
      <c r="EP118" s="248"/>
      <c r="EQ118" s="248"/>
      <c r="ER118" s="248"/>
      <c r="ES118" s="248"/>
      <c r="ET118" s="248"/>
      <c r="EU118" s="248"/>
      <c r="EV118" s="248"/>
      <c r="EW118" s="248"/>
      <c r="EX118" s="248"/>
      <c r="EY118" s="248"/>
      <c r="EZ118" s="248"/>
      <c r="FA118" s="248"/>
      <c r="FB118" s="248"/>
      <c r="FC118" s="248"/>
      <c r="FD118" s="248"/>
      <c r="FE118" s="248"/>
      <c r="FF118" s="248"/>
      <c r="FG118" s="248"/>
      <c r="FH118" s="248"/>
      <c r="FI118" s="248"/>
      <c r="FJ118" s="248"/>
      <c r="FK118" s="248"/>
      <c r="FL118" s="248"/>
      <c r="FM118" s="248"/>
      <c r="FN118" s="248"/>
      <c r="FO118" s="248"/>
      <c r="FP118" s="248"/>
      <c r="FQ118" s="248"/>
      <c r="FR118" s="248"/>
      <c r="FS118" s="248"/>
      <c r="FT118" s="248"/>
      <c r="FU118" s="248"/>
      <c r="FV118" s="248"/>
      <c r="FW118" s="248"/>
      <c r="FX118" s="248"/>
      <c r="FY118" s="248"/>
      <c r="FZ118" s="248"/>
      <c r="GA118" s="248"/>
      <c r="GB118" s="248"/>
      <c r="GC118" s="248"/>
      <c r="GD118" s="248"/>
      <c r="GE118" s="248"/>
      <c r="GF118" s="248"/>
      <c r="GG118" s="248"/>
      <c r="GH118" s="248"/>
      <c r="GI118" s="248"/>
      <c r="GJ118" s="248"/>
      <c r="GK118" s="248"/>
      <c r="GL118" s="248"/>
      <c r="GM118" s="248"/>
      <c r="GN118" s="248"/>
      <c r="GO118" s="248"/>
      <c r="GP118" s="248"/>
      <c r="GQ118" s="248"/>
      <c r="GR118" s="248"/>
      <c r="GS118" s="248"/>
      <c r="GT118" s="248"/>
      <c r="GU118" s="248"/>
      <c r="GV118" s="248"/>
      <c r="GW118" s="248"/>
      <c r="GX118" s="248"/>
      <c r="GY118" s="248"/>
      <c r="GZ118" s="248"/>
      <c r="HA118" s="248"/>
      <c r="HB118" s="248"/>
      <c r="HC118" s="248"/>
      <c r="HD118" s="248"/>
      <c r="HE118" s="248"/>
      <c r="HF118" s="248"/>
      <c r="HG118" s="248"/>
      <c r="HH118" s="248"/>
      <c r="HI118" s="248"/>
      <c r="HJ118" s="248"/>
      <c r="HK118" s="248"/>
      <c r="HL118" s="248"/>
      <c r="HM118" s="248"/>
      <c r="HN118" s="248"/>
      <c r="HO118" s="248"/>
      <c r="HP118" s="248"/>
      <c r="HQ118" s="248"/>
      <c r="HR118" s="248"/>
      <c r="HS118" s="248"/>
      <c r="HT118" s="248"/>
      <c r="HU118" s="248"/>
      <c r="HV118" s="248"/>
      <c r="HW118" s="248"/>
      <c r="HX118" s="248"/>
      <c r="HY118" s="248"/>
      <c r="HZ118" s="248"/>
      <c r="IA118" s="248"/>
      <c r="IB118" s="248"/>
      <c r="IC118" s="248"/>
      <c r="ID118" s="248"/>
      <c r="IE118" s="248"/>
      <c r="IF118" s="248"/>
      <c r="IG118" s="248"/>
      <c r="IH118" s="248"/>
      <c r="II118" s="248"/>
      <c r="IJ118" s="248"/>
      <c r="IK118" s="248"/>
      <c r="IL118" s="248"/>
      <c r="IM118" s="248"/>
      <c r="IN118" s="248"/>
    </row>
    <row r="119" spans="1:248" s="164" customFormat="1">
      <c r="A119" s="242"/>
      <c r="B119" s="248"/>
      <c r="C119" s="248"/>
      <c r="D119" s="316"/>
      <c r="E119" s="316"/>
      <c r="F119" s="248"/>
      <c r="G119" s="316"/>
      <c r="H119" s="248"/>
      <c r="I119" s="248"/>
      <c r="J119" s="279"/>
      <c r="K119" s="35"/>
      <c r="L119" s="35"/>
      <c r="M119" s="35"/>
      <c r="N119" s="47"/>
      <c r="O119" s="228"/>
      <c r="P119" s="47"/>
      <c r="Q119" s="35"/>
      <c r="R119" s="248"/>
      <c r="S119" s="248"/>
      <c r="T119" s="248"/>
      <c r="U119" s="248"/>
      <c r="V119" s="248"/>
      <c r="W119" s="313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  <c r="AX119" s="248"/>
      <c r="AY119" s="248"/>
      <c r="AZ119" s="248"/>
      <c r="BA119" s="248"/>
      <c r="BB119" s="248"/>
      <c r="BC119" s="248"/>
      <c r="BD119" s="248"/>
      <c r="BE119" s="248"/>
      <c r="BF119" s="248"/>
      <c r="BG119" s="248"/>
      <c r="BH119" s="248"/>
      <c r="BI119" s="248"/>
      <c r="BJ119" s="248"/>
      <c r="BK119" s="248"/>
      <c r="BL119" s="248"/>
      <c r="BM119" s="248"/>
      <c r="BN119" s="248"/>
      <c r="BO119" s="248"/>
      <c r="BP119" s="248"/>
      <c r="BQ119" s="248"/>
      <c r="BR119" s="248"/>
      <c r="BS119" s="248"/>
      <c r="BT119" s="248"/>
      <c r="BU119" s="248"/>
      <c r="BV119" s="248"/>
      <c r="BW119" s="248"/>
      <c r="BX119" s="248"/>
      <c r="BY119" s="248"/>
      <c r="BZ119" s="248"/>
      <c r="CA119" s="248"/>
      <c r="CB119" s="248"/>
      <c r="CC119" s="248"/>
      <c r="CD119" s="248"/>
      <c r="CE119" s="248"/>
      <c r="CF119" s="248"/>
      <c r="CG119" s="248"/>
      <c r="CH119" s="248"/>
      <c r="CI119" s="248"/>
      <c r="CJ119" s="248"/>
      <c r="CK119" s="248"/>
      <c r="CL119" s="248"/>
      <c r="CM119" s="248"/>
      <c r="CN119" s="248"/>
      <c r="CO119" s="248"/>
      <c r="CP119" s="248"/>
      <c r="CQ119" s="248"/>
      <c r="CR119" s="248"/>
      <c r="CS119" s="248"/>
      <c r="CT119" s="248"/>
      <c r="CU119" s="248"/>
      <c r="CV119" s="248"/>
      <c r="CW119" s="248"/>
      <c r="CX119" s="248"/>
      <c r="CY119" s="248"/>
      <c r="CZ119" s="248"/>
      <c r="DA119" s="248"/>
      <c r="DB119" s="248"/>
      <c r="DC119" s="248"/>
      <c r="DD119" s="248"/>
      <c r="DE119" s="248"/>
      <c r="DF119" s="248"/>
      <c r="DG119" s="248"/>
      <c r="DH119" s="248"/>
      <c r="DI119" s="248"/>
      <c r="DJ119" s="248"/>
      <c r="DK119" s="248"/>
      <c r="DL119" s="248"/>
      <c r="DM119" s="248"/>
      <c r="DN119" s="248"/>
      <c r="DO119" s="248"/>
      <c r="DP119" s="248"/>
      <c r="DQ119" s="248"/>
      <c r="DR119" s="248"/>
      <c r="DS119" s="248"/>
      <c r="DT119" s="248"/>
      <c r="DU119" s="248"/>
      <c r="DV119" s="248"/>
      <c r="DW119" s="248"/>
      <c r="DX119" s="248"/>
      <c r="DY119" s="248"/>
      <c r="DZ119" s="248"/>
      <c r="EA119" s="248"/>
      <c r="EB119" s="248"/>
      <c r="EC119" s="248"/>
      <c r="ED119" s="248"/>
      <c r="EE119" s="248"/>
      <c r="EF119" s="248"/>
      <c r="EG119" s="248"/>
      <c r="EH119" s="248"/>
      <c r="EI119" s="248"/>
      <c r="EJ119" s="248"/>
      <c r="EK119" s="248"/>
      <c r="EL119" s="248"/>
      <c r="EM119" s="248"/>
      <c r="EN119" s="248"/>
      <c r="EO119" s="248"/>
      <c r="EP119" s="248"/>
      <c r="EQ119" s="248"/>
      <c r="ER119" s="248"/>
      <c r="ES119" s="248"/>
      <c r="ET119" s="248"/>
      <c r="EU119" s="248"/>
      <c r="EV119" s="248"/>
      <c r="EW119" s="248"/>
      <c r="EX119" s="248"/>
      <c r="EY119" s="248"/>
      <c r="EZ119" s="248"/>
      <c r="FA119" s="248"/>
      <c r="FB119" s="248"/>
      <c r="FC119" s="248"/>
      <c r="FD119" s="248"/>
      <c r="FE119" s="248"/>
      <c r="FF119" s="248"/>
      <c r="FG119" s="248"/>
      <c r="FH119" s="248"/>
      <c r="FI119" s="248"/>
      <c r="FJ119" s="248"/>
      <c r="FK119" s="248"/>
      <c r="FL119" s="248"/>
      <c r="FM119" s="248"/>
      <c r="FN119" s="248"/>
      <c r="FO119" s="248"/>
      <c r="FP119" s="248"/>
      <c r="FQ119" s="248"/>
      <c r="FR119" s="248"/>
      <c r="FS119" s="248"/>
      <c r="FT119" s="248"/>
      <c r="FU119" s="248"/>
      <c r="FV119" s="248"/>
      <c r="FW119" s="248"/>
      <c r="FX119" s="248"/>
      <c r="FY119" s="248"/>
      <c r="FZ119" s="248"/>
      <c r="GA119" s="248"/>
      <c r="GB119" s="248"/>
      <c r="GC119" s="248"/>
      <c r="GD119" s="248"/>
      <c r="GE119" s="248"/>
      <c r="GF119" s="248"/>
      <c r="GG119" s="248"/>
      <c r="GH119" s="248"/>
      <c r="GI119" s="248"/>
      <c r="GJ119" s="248"/>
      <c r="GK119" s="248"/>
      <c r="GL119" s="248"/>
      <c r="GM119" s="248"/>
      <c r="GN119" s="248"/>
      <c r="GO119" s="248"/>
      <c r="GP119" s="248"/>
      <c r="GQ119" s="248"/>
      <c r="GR119" s="248"/>
      <c r="GS119" s="248"/>
      <c r="GT119" s="248"/>
      <c r="GU119" s="248"/>
      <c r="GV119" s="248"/>
      <c r="GW119" s="248"/>
      <c r="GX119" s="248"/>
      <c r="GY119" s="248"/>
      <c r="GZ119" s="248"/>
      <c r="HA119" s="248"/>
      <c r="HB119" s="248"/>
      <c r="HC119" s="248"/>
      <c r="HD119" s="248"/>
      <c r="HE119" s="248"/>
      <c r="HF119" s="248"/>
      <c r="HG119" s="248"/>
      <c r="HH119" s="248"/>
      <c r="HI119" s="248"/>
      <c r="HJ119" s="248"/>
      <c r="HK119" s="248"/>
      <c r="HL119" s="248"/>
      <c r="HM119" s="248"/>
      <c r="HN119" s="248"/>
      <c r="HO119" s="248"/>
      <c r="HP119" s="248"/>
      <c r="HQ119" s="248"/>
      <c r="HR119" s="248"/>
      <c r="HS119" s="248"/>
      <c r="HT119" s="248"/>
      <c r="HU119" s="248"/>
      <c r="HV119" s="248"/>
      <c r="HW119" s="248"/>
      <c r="HX119" s="248"/>
      <c r="HY119" s="248"/>
      <c r="HZ119" s="248"/>
      <c r="IA119" s="248"/>
      <c r="IB119" s="248"/>
      <c r="IC119" s="248"/>
      <c r="ID119" s="248"/>
      <c r="IE119" s="248"/>
      <c r="IF119" s="248"/>
      <c r="IG119" s="248"/>
      <c r="IH119" s="248"/>
      <c r="II119" s="248"/>
      <c r="IJ119" s="248"/>
      <c r="IK119" s="248"/>
      <c r="IL119" s="248"/>
      <c r="IM119" s="248"/>
      <c r="IN119" s="248"/>
    </row>
    <row r="120" spans="1:248" s="164" customFormat="1">
      <c r="A120" s="242"/>
      <c r="B120" s="248"/>
      <c r="C120" s="248"/>
      <c r="D120" s="316"/>
      <c r="E120" s="316"/>
      <c r="F120" s="248"/>
      <c r="G120" s="316"/>
      <c r="H120" s="248"/>
      <c r="I120" s="248"/>
      <c r="J120" s="279"/>
      <c r="K120" s="35"/>
      <c r="L120" s="35"/>
      <c r="M120" s="35"/>
      <c r="N120" s="47"/>
      <c r="O120" s="228"/>
      <c r="P120" s="47"/>
      <c r="Q120" s="35"/>
      <c r="R120" s="248"/>
      <c r="S120" s="248"/>
      <c r="T120" s="248"/>
      <c r="U120" s="248"/>
      <c r="V120" s="248"/>
      <c r="W120" s="313"/>
      <c r="X120" s="248"/>
      <c r="Y120" s="248"/>
      <c r="Z120" s="248"/>
      <c r="AA120" s="248"/>
      <c r="AB120" s="248"/>
      <c r="AC120" s="248"/>
      <c r="AD120" s="248"/>
      <c r="AE120" s="248"/>
      <c r="AF120" s="248"/>
      <c r="AG120" s="248"/>
      <c r="AH120" s="248"/>
      <c r="AI120" s="248"/>
      <c r="AJ120" s="248"/>
      <c r="AK120" s="248"/>
      <c r="AL120" s="248"/>
      <c r="AM120" s="248"/>
      <c r="AN120" s="248"/>
      <c r="AO120" s="248"/>
      <c r="AP120" s="248"/>
      <c r="AQ120" s="248"/>
      <c r="AR120" s="248"/>
      <c r="AS120" s="248"/>
      <c r="AT120" s="248"/>
      <c r="AU120" s="248"/>
      <c r="AV120" s="248"/>
      <c r="AW120" s="248"/>
      <c r="AX120" s="248"/>
      <c r="AY120" s="248"/>
      <c r="AZ120" s="248"/>
      <c r="BA120" s="248"/>
      <c r="BB120" s="248"/>
      <c r="BC120" s="248"/>
      <c r="BD120" s="248"/>
      <c r="BE120" s="248"/>
      <c r="BF120" s="248"/>
      <c r="BG120" s="248"/>
      <c r="BH120" s="248"/>
      <c r="BI120" s="248"/>
      <c r="BJ120" s="248"/>
      <c r="BK120" s="248"/>
      <c r="BL120" s="248"/>
      <c r="BM120" s="248"/>
      <c r="BN120" s="248"/>
      <c r="BO120" s="248"/>
      <c r="BP120" s="248"/>
      <c r="BQ120" s="248"/>
      <c r="BR120" s="248"/>
      <c r="BS120" s="248"/>
      <c r="BT120" s="248"/>
      <c r="BU120" s="248"/>
      <c r="BV120" s="248"/>
      <c r="BW120" s="248"/>
      <c r="BX120" s="248"/>
      <c r="BY120" s="248"/>
      <c r="BZ120" s="248"/>
      <c r="CA120" s="248"/>
      <c r="CB120" s="248"/>
      <c r="CC120" s="248"/>
      <c r="CD120" s="248"/>
      <c r="CE120" s="248"/>
      <c r="CF120" s="248"/>
      <c r="CG120" s="248"/>
      <c r="CH120" s="248"/>
      <c r="CI120" s="248"/>
      <c r="CJ120" s="248"/>
      <c r="CK120" s="248"/>
      <c r="CL120" s="248"/>
      <c r="CM120" s="248"/>
      <c r="CN120" s="248"/>
      <c r="CO120" s="248"/>
      <c r="CP120" s="248"/>
      <c r="CQ120" s="248"/>
      <c r="CR120" s="248"/>
      <c r="CS120" s="248"/>
      <c r="CT120" s="248"/>
      <c r="CU120" s="248"/>
      <c r="CV120" s="248"/>
      <c r="CW120" s="248"/>
      <c r="CX120" s="248"/>
      <c r="CY120" s="248"/>
      <c r="CZ120" s="248"/>
      <c r="DA120" s="248"/>
      <c r="DB120" s="248"/>
      <c r="DC120" s="248"/>
      <c r="DD120" s="248"/>
      <c r="DE120" s="248"/>
      <c r="DF120" s="248"/>
      <c r="DG120" s="248"/>
      <c r="DH120" s="248"/>
      <c r="DI120" s="248"/>
      <c r="DJ120" s="248"/>
      <c r="DK120" s="248"/>
      <c r="DL120" s="248"/>
      <c r="DM120" s="248"/>
      <c r="DN120" s="248"/>
      <c r="DO120" s="248"/>
      <c r="DP120" s="248"/>
      <c r="DQ120" s="248"/>
      <c r="DR120" s="248"/>
      <c r="DS120" s="248"/>
      <c r="DT120" s="248"/>
      <c r="DU120" s="248"/>
      <c r="DV120" s="248"/>
      <c r="DW120" s="248"/>
      <c r="DX120" s="248"/>
      <c r="DY120" s="248"/>
      <c r="DZ120" s="248"/>
      <c r="EA120" s="248"/>
      <c r="EB120" s="248"/>
      <c r="EC120" s="248"/>
      <c r="ED120" s="248"/>
      <c r="EE120" s="248"/>
      <c r="EF120" s="248"/>
      <c r="EG120" s="248"/>
      <c r="EH120" s="248"/>
      <c r="EI120" s="248"/>
      <c r="EJ120" s="248"/>
      <c r="EK120" s="248"/>
      <c r="EL120" s="248"/>
      <c r="EM120" s="248"/>
      <c r="EN120" s="248"/>
      <c r="EO120" s="248"/>
      <c r="EP120" s="248"/>
      <c r="EQ120" s="248"/>
      <c r="ER120" s="248"/>
      <c r="ES120" s="248"/>
      <c r="ET120" s="248"/>
      <c r="EU120" s="248"/>
      <c r="EV120" s="248"/>
      <c r="EW120" s="248"/>
      <c r="EX120" s="248"/>
      <c r="EY120" s="248"/>
      <c r="EZ120" s="248"/>
      <c r="FA120" s="248"/>
      <c r="FB120" s="248"/>
      <c r="FC120" s="248"/>
      <c r="FD120" s="248"/>
      <c r="FE120" s="248"/>
      <c r="FF120" s="248"/>
      <c r="FG120" s="248"/>
      <c r="FH120" s="248"/>
      <c r="FI120" s="248"/>
      <c r="FJ120" s="248"/>
      <c r="FK120" s="248"/>
      <c r="FL120" s="248"/>
      <c r="FM120" s="248"/>
      <c r="FN120" s="248"/>
      <c r="FO120" s="248"/>
      <c r="FP120" s="248"/>
      <c r="FQ120" s="248"/>
      <c r="FR120" s="248"/>
      <c r="FS120" s="248"/>
      <c r="FT120" s="248"/>
      <c r="FU120" s="248"/>
      <c r="FV120" s="248"/>
      <c r="FW120" s="248"/>
      <c r="FX120" s="248"/>
      <c r="FY120" s="248"/>
      <c r="FZ120" s="248"/>
      <c r="GA120" s="248"/>
      <c r="GB120" s="248"/>
      <c r="GC120" s="248"/>
      <c r="GD120" s="248"/>
      <c r="GE120" s="248"/>
      <c r="GF120" s="248"/>
      <c r="GG120" s="248"/>
      <c r="GH120" s="248"/>
      <c r="GI120" s="248"/>
      <c r="GJ120" s="248"/>
      <c r="GK120" s="248"/>
      <c r="GL120" s="248"/>
      <c r="GM120" s="248"/>
      <c r="GN120" s="248"/>
      <c r="GO120" s="248"/>
      <c r="GP120" s="248"/>
      <c r="GQ120" s="248"/>
      <c r="GR120" s="248"/>
      <c r="GS120" s="248"/>
      <c r="GT120" s="248"/>
      <c r="GU120" s="248"/>
      <c r="GV120" s="248"/>
      <c r="GW120" s="248"/>
      <c r="GX120" s="248"/>
      <c r="GY120" s="248"/>
      <c r="GZ120" s="248"/>
      <c r="HA120" s="248"/>
      <c r="HB120" s="248"/>
      <c r="HC120" s="248"/>
      <c r="HD120" s="248"/>
      <c r="HE120" s="248"/>
      <c r="HF120" s="248"/>
      <c r="HG120" s="248"/>
      <c r="HH120" s="248"/>
      <c r="HI120" s="248"/>
      <c r="HJ120" s="248"/>
      <c r="HK120" s="248"/>
      <c r="HL120" s="248"/>
      <c r="HM120" s="248"/>
      <c r="HN120" s="248"/>
      <c r="HO120" s="248"/>
      <c r="HP120" s="248"/>
      <c r="HQ120" s="248"/>
      <c r="HR120" s="248"/>
      <c r="HS120" s="248"/>
      <c r="HT120" s="248"/>
      <c r="HU120" s="248"/>
      <c r="HV120" s="248"/>
      <c r="HW120" s="248"/>
      <c r="HX120" s="248"/>
      <c r="HY120" s="248"/>
      <c r="HZ120" s="248"/>
      <c r="IA120" s="248"/>
      <c r="IB120" s="248"/>
      <c r="IC120" s="248"/>
      <c r="ID120" s="248"/>
      <c r="IE120" s="248"/>
      <c r="IF120" s="248"/>
      <c r="IG120" s="248"/>
      <c r="IH120" s="248"/>
      <c r="II120" s="248"/>
      <c r="IJ120" s="248"/>
      <c r="IK120" s="248"/>
      <c r="IL120" s="248"/>
      <c r="IM120" s="248"/>
      <c r="IN120" s="248"/>
    </row>
    <row r="121" spans="1:248" s="164" customFormat="1">
      <c r="A121" s="242"/>
      <c r="B121" s="248"/>
      <c r="C121" s="248"/>
      <c r="D121" s="316"/>
      <c r="E121" s="316"/>
      <c r="F121" s="248"/>
      <c r="G121" s="316"/>
      <c r="H121" s="248"/>
      <c r="I121" s="248"/>
      <c r="J121" s="279"/>
      <c r="K121" s="35"/>
      <c r="L121" s="35"/>
      <c r="M121" s="35"/>
      <c r="N121" s="47"/>
      <c r="O121" s="228"/>
      <c r="P121" s="47"/>
      <c r="Q121" s="35"/>
      <c r="R121" s="248"/>
      <c r="S121" s="248"/>
      <c r="T121" s="248"/>
      <c r="U121" s="248"/>
      <c r="V121" s="248"/>
      <c r="W121" s="313"/>
      <c r="X121" s="248"/>
      <c r="Y121" s="248"/>
      <c r="Z121" s="248"/>
      <c r="AA121" s="248"/>
      <c r="AB121" s="248"/>
      <c r="AC121" s="248"/>
      <c r="AD121" s="248"/>
      <c r="AE121" s="248"/>
      <c r="AF121" s="248"/>
      <c r="AG121" s="248"/>
      <c r="AH121" s="248"/>
      <c r="AI121" s="248"/>
      <c r="AJ121" s="248"/>
      <c r="AK121" s="248"/>
      <c r="AL121" s="248"/>
      <c r="AM121" s="248"/>
      <c r="AN121" s="248"/>
      <c r="AO121" s="248"/>
      <c r="AP121" s="248"/>
      <c r="AQ121" s="248"/>
      <c r="AR121" s="248"/>
      <c r="AS121" s="248"/>
      <c r="AT121" s="248"/>
      <c r="AU121" s="248"/>
      <c r="AV121" s="248"/>
      <c r="AW121" s="248"/>
      <c r="AX121" s="248"/>
      <c r="AY121" s="248"/>
      <c r="AZ121" s="248"/>
      <c r="BA121" s="248"/>
      <c r="BB121" s="248"/>
      <c r="BC121" s="248"/>
      <c r="BD121" s="248"/>
      <c r="BE121" s="248"/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8"/>
      <c r="BX121" s="248"/>
      <c r="BY121" s="248"/>
      <c r="BZ121" s="248"/>
      <c r="CA121" s="248"/>
      <c r="CB121" s="248"/>
      <c r="CC121" s="248"/>
      <c r="CD121" s="248"/>
      <c r="CE121" s="248"/>
      <c r="CF121" s="248"/>
      <c r="CG121" s="248"/>
      <c r="CH121" s="248"/>
      <c r="CI121" s="248"/>
      <c r="CJ121" s="248"/>
      <c r="CK121" s="248"/>
      <c r="CL121" s="248"/>
      <c r="CM121" s="248"/>
      <c r="CN121" s="248"/>
      <c r="CO121" s="248"/>
      <c r="CP121" s="248"/>
      <c r="CQ121" s="248"/>
      <c r="CR121" s="248"/>
      <c r="CS121" s="248"/>
      <c r="CT121" s="248"/>
      <c r="CU121" s="248"/>
      <c r="CV121" s="248"/>
      <c r="CW121" s="248"/>
      <c r="CX121" s="248"/>
      <c r="CY121" s="248"/>
      <c r="CZ121" s="248"/>
      <c r="DA121" s="248"/>
      <c r="DB121" s="248"/>
      <c r="DC121" s="248"/>
      <c r="DD121" s="248"/>
      <c r="DE121" s="248"/>
      <c r="DF121" s="248"/>
      <c r="DG121" s="248"/>
      <c r="DH121" s="248"/>
      <c r="DI121" s="248"/>
      <c r="DJ121" s="248"/>
      <c r="DK121" s="248"/>
      <c r="DL121" s="248"/>
      <c r="DM121" s="248"/>
      <c r="DN121" s="248"/>
      <c r="DO121" s="248"/>
      <c r="DP121" s="248"/>
      <c r="DQ121" s="248"/>
      <c r="DR121" s="248"/>
      <c r="DS121" s="248"/>
      <c r="DT121" s="248"/>
      <c r="DU121" s="248"/>
      <c r="DV121" s="248"/>
      <c r="DW121" s="248"/>
      <c r="DX121" s="248"/>
      <c r="DY121" s="248"/>
      <c r="DZ121" s="248"/>
      <c r="EA121" s="248"/>
      <c r="EB121" s="248"/>
      <c r="EC121" s="248"/>
      <c r="ED121" s="248"/>
      <c r="EE121" s="248"/>
      <c r="EF121" s="248"/>
      <c r="EG121" s="248"/>
      <c r="EH121" s="248"/>
      <c r="EI121" s="248"/>
      <c r="EJ121" s="248"/>
      <c r="EK121" s="248"/>
      <c r="EL121" s="248"/>
      <c r="EM121" s="248"/>
      <c r="EN121" s="248"/>
      <c r="EO121" s="248"/>
      <c r="EP121" s="248"/>
      <c r="EQ121" s="248"/>
      <c r="ER121" s="248"/>
      <c r="ES121" s="248"/>
      <c r="ET121" s="248"/>
      <c r="EU121" s="248"/>
      <c r="EV121" s="248"/>
      <c r="EW121" s="248"/>
      <c r="EX121" s="248"/>
      <c r="EY121" s="248"/>
      <c r="EZ121" s="248"/>
      <c r="FA121" s="248"/>
      <c r="FB121" s="248"/>
      <c r="FC121" s="248"/>
      <c r="FD121" s="248"/>
      <c r="FE121" s="248"/>
      <c r="FF121" s="248"/>
      <c r="FG121" s="248"/>
      <c r="FH121" s="248"/>
      <c r="FI121" s="248"/>
      <c r="FJ121" s="248"/>
      <c r="FK121" s="248"/>
      <c r="FL121" s="248"/>
      <c r="FM121" s="248"/>
      <c r="FN121" s="248"/>
      <c r="FO121" s="248"/>
      <c r="FP121" s="248"/>
      <c r="FQ121" s="248"/>
      <c r="FR121" s="248"/>
      <c r="FS121" s="248"/>
      <c r="FT121" s="248"/>
      <c r="FU121" s="248"/>
      <c r="FV121" s="248"/>
      <c r="FW121" s="248"/>
      <c r="FX121" s="248"/>
      <c r="FY121" s="248"/>
      <c r="FZ121" s="248"/>
      <c r="GA121" s="248"/>
      <c r="GB121" s="248"/>
      <c r="GC121" s="248"/>
      <c r="GD121" s="248"/>
      <c r="GE121" s="248"/>
      <c r="GF121" s="248"/>
      <c r="GG121" s="248"/>
      <c r="GH121" s="248"/>
      <c r="GI121" s="248"/>
      <c r="GJ121" s="248"/>
      <c r="GK121" s="248"/>
      <c r="GL121" s="248"/>
      <c r="GM121" s="248"/>
      <c r="GN121" s="248"/>
      <c r="GO121" s="248"/>
      <c r="GP121" s="248"/>
      <c r="GQ121" s="248"/>
      <c r="GR121" s="248"/>
      <c r="GS121" s="248"/>
      <c r="GT121" s="248"/>
      <c r="GU121" s="248"/>
      <c r="GV121" s="248"/>
      <c r="GW121" s="248"/>
      <c r="GX121" s="248"/>
      <c r="GY121" s="248"/>
      <c r="GZ121" s="248"/>
      <c r="HA121" s="248"/>
      <c r="HB121" s="248"/>
      <c r="HC121" s="248"/>
      <c r="HD121" s="248"/>
      <c r="HE121" s="248"/>
      <c r="HF121" s="248"/>
      <c r="HG121" s="248"/>
      <c r="HH121" s="248"/>
      <c r="HI121" s="248"/>
      <c r="HJ121" s="248"/>
      <c r="HK121" s="248"/>
      <c r="HL121" s="248"/>
      <c r="HM121" s="248"/>
      <c r="HN121" s="248"/>
      <c r="HO121" s="248"/>
      <c r="HP121" s="248"/>
      <c r="HQ121" s="248"/>
      <c r="HR121" s="248"/>
      <c r="HS121" s="248"/>
      <c r="HT121" s="248"/>
      <c r="HU121" s="248"/>
      <c r="HV121" s="248"/>
      <c r="HW121" s="248"/>
      <c r="HX121" s="248"/>
      <c r="HY121" s="248"/>
      <c r="HZ121" s="248"/>
      <c r="IA121" s="248"/>
      <c r="IB121" s="248"/>
      <c r="IC121" s="248"/>
      <c r="ID121" s="248"/>
      <c r="IE121" s="248"/>
      <c r="IF121" s="248"/>
      <c r="IG121" s="248"/>
      <c r="IH121" s="248"/>
      <c r="II121" s="248"/>
      <c r="IJ121" s="248"/>
      <c r="IK121" s="248"/>
      <c r="IL121" s="248"/>
      <c r="IM121" s="248"/>
      <c r="IN121" s="248"/>
    </row>
    <row r="122" spans="1:248" s="164" customFormat="1">
      <c r="A122" s="242"/>
      <c r="B122" s="248"/>
      <c r="C122" s="248"/>
      <c r="D122" s="316"/>
      <c r="E122" s="316"/>
      <c r="F122" s="248"/>
      <c r="G122" s="316"/>
      <c r="H122" s="248"/>
      <c r="I122" s="248"/>
      <c r="J122" s="279"/>
      <c r="K122" s="35"/>
      <c r="L122" s="35"/>
      <c r="M122" s="35"/>
      <c r="N122" s="47"/>
      <c r="O122" s="228"/>
      <c r="P122" s="47"/>
      <c r="Q122" s="35"/>
      <c r="R122" s="248"/>
      <c r="S122" s="248"/>
      <c r="T122" s="248"/>
      <c r="U122" s="248"/>
      <c r="V122" s="248"/>
      <c r="W122" s="313"/>
      <c r="X122" s="248"/>
      <c r="Y122" s="248"/>
      <c r="Z122" s="248"/>
      <c r="AA122" s="248"/>
      <c r="AB122" s="248"/>
      <c r="AC122" s="248"/>
      <c r="AD122" s="248"/>
      <c r="AE122" s="248"/>
      <c r="AF122" s="248"/>
      <c r="AG122" s="248"/>
      <c r="AH122" s="248"/>
      <c r="AI122" s="248"/>
      <c r="AJ122" s="248"/>
      <c r="AK122" s="248"/>
      <c r="AL122" s="248"/>
      <c r="AM122" s="248"/>
      <c r="AN122" s="248"/>
      <c r="AO122" s="248"/>
      <c r="AP122" s="248"/>
      <c r="AQ122" s="248"/>
      <c r="AR122" s="248"/>
      <c r="AS122" s="248"/>
      <c r="AT122" s="248"/>
      <c r="AU122" s="248"/>
      <c r="AV122" s="248"/>
      <c r="AW122" s="248"/>
      <c r="AX122" s="248"/>
      <c r="AY122" s="248"/>
      <c r="AZ122" s="248"/>
      <c r="BA122" s="248"/>
      <c r="BB122" s="248"/>
      <c r="BC122" s="248"/>
      <c r="BD122" s="248"/>
      <c r="BE122" s="248"/>
      <c r="BF122" s="248"/>
      <c r="BG122" s="248"/>
      <c r="BH122" s="248"/>
      <c r="BI122" s="248"/>
      <c r="BJ122" s="248"/>
      <c r="BK122" s="248"/>
      <c r="BL122" s="248"/>
      <c r="BM122" s="248"/>
      <c r="BN122" s="248"/>
      <c r="BO122" s="248"/>
      <c r="BP122" s="248"/>
      <c r="BQ122" s="248"/>
      <c r="BR122" s="248"/>
      <c r="BS122" s="248"/>
      <c r="BT122" s="248"/>
      <c r="BU122" s="248"/>
      <c r="BV122" s="248"/>
      <c r="BW122" s="248"/>
      <c r="BX122" s="248"/>
      <c r="BY122" s="248"/>
      <c r="BZ122" s="248"/>
      <c r="CA122" s="248"/>
      <c r="CB122" s="248"/>
      <c r="CC122" s="248"/>
      <c r="CD122" s="248"/>
      <c r="CE122" s="248"/>
      <c r="CF122" s="248"/>
      <c r="CG122" s="248"/>
      <c r="CH122" s="248"/>
      <c r="CI122" s="248"/>
      <c r="CJ122" s="248"/>
      <c r="CK122" s="248"/>
      <c r="CL122" s="248"/>
      <c r="CM122" s="248"/>
      <c r="CN122" s="248"/>
      <c r="CO122" s="248"/>
      <c r="CP122" s="248"/>
      <c r="CQ122" s="248"/>
      <c r="CR122" s="248"/>
      <c r="CS122" s="248"/>
      <c r="CT122" s="248"/>
      <c r="CU122" s="248"/>
      <c r="CV122" s="248"/>
      <c r="CW122" s="248"/>
      <c r="CX122" s="248"/>
      <c r="CY122" s="248"/>
      <c r="CZ122" s="248"/>
      <c r="DA122" s="248"/>
      <c r="DB122" s="248"/>
      <c r="DC122" s="248"/>
      <c r="DD122" s="248"/>
      <c r="DE122" s="248"/>
      <c r="DF122" s="248"/>
      <c r="DG122" s="248"/>
      <c r="DH122" s="248"/>
      <c r="DI122" s="248"/>
      <c r="DJ122" s="248"/>
      <c r="DK122" s="248"/>
      <c r="DL122" s="248"/>
      <c r="DM122" s="248"/>
      <c r="DN122" s="248"/>
      <c r="DO122" s="248"/>
      <c r="DP122" s="248"/>
      <c r="DQ122" s="248"/>
      <c r="DR122" s="248"/>
      <c r="DS122" s="248"/>
      <c r="DT122" s="248"/>
      <c r="DU122" s="248"/>
      <c r="DV122" s="248"/>
      <c r="DW122" s="248"/>
      <c r="DX122" s="248"/>
      <c r="DY122" s="248"/>
      <c r="DZ122" s="248"/>
      <c r="EA122" s="248"/>
      <c r="EB122" s="248"/>
      <c r="EC122" s="248"/>
      <c r="ED122" s="248"/>
      <c r="EE122" s="248"/>
      <c r="EF122" s="248"/>
      <c r="EG122" s="248"/>
      <c r="EH122" s="248"/>
      <c r="EI122" s="248"/>
      <c r="EJ122" s="248"/>
      <c r="EK122" s="248"/>
      <c r="EL122" s="248"/>
      <c r="EM122" s="248"/>
      <c r="EN122" s="248"/>
      <c r="EO122" s="248"/>
      <c r="EP122" s="248"/>
      <c r="EQ122" s="248"/>
      <c r="ER122" s="248"/>
      <c r="ES122" s="248"/>
      <c r="ET122" s="248"/>
      <c r="EU122" s="248"/>
      <c r="EV122" s="248"/>
      <c r="EW122" s="248"/>
      <c r="EX122" s="248"/>
      <c r="EY122" s="248"/>
      <c r="EZ122" s="248"/>
      <c r="FA122" s="248"/>
      <c r="FB122" s="248"/>
      <c r="FC122" s="248"/>
      <c r="FD122" s="248"/>
      <c r="FE122" s="248"/>
      <c r="FF122" s="248"/>
      <c r="FG122" s="248"/>
      <c r="FH122" s="248"/>
      <c r="FI122" s="248"/>
      <c r="FJ122" s="248"/>
      <c r="FK122" s="248"/>
      <c r="FL122" s="248"/>
      <c r="FM122" s="248"/>
      <c r="FN122" s="248"/>
      <c r="FO122" s="248"/>
      <c r="FP122" s="248"/>
      <c r="FQ122" s="248"/>
      <c r="FR122" s="248"/>
      <c r="FS122" s="248"/>
      <c r="FT122" s="248"/>
      <c r="FU122" s="248"/>
      <c r="FV122" s="248"/>
      <c r="FW122" s="248"/>
      <c r="FX122" s="248"/>
      <c r="FY122" s="248"/>
      <c r="FZ122" s="248"/>
      <c r="GA122" s="248"/>
      <c r="GB122" s="248"/>
      <c r="GC122" s="248"/>
      <c r="GD122" s="248"/>
      <c r="GE122" s="248"/>
      <c r="GF122" s="248"/>
      <c r="GG122" s="248"/>
      <c r="GH122" s="248"/>
      <c r="GI122" s="248"/>
      <c r="GJ122" s="248"/>
      <c r="GK122" s="248"/>
      <c r="GL122" s="248"/>
      <c r="GM122" s="248"/>
      <c r="GN122" s="248"/>
      <c r="GO122" s="248"/>
      <c r="GP122" s="248"/>
      <c r="GQ122" s="248"/>
      <c r="GR122" s="248"/>
      <c r="GS122" s="248"/>
      <c r="GT122" s="248"/>
      <c r="GU122" s="248"/>
      <c r="GV122" s="248"/>
      <c r="GW122" s="248"/>
      <c r="GX122" s="248"/>
      <c r="GY122" s="248"/>
      <c r="GZ122" s="248"/>
      <c r="HA122" s="248"/>
      <c r="HB122" s="248"/>
      <c r="HC122" s="248"/>
      <c r="HD122" s="248"/>
      <c r="HE122" s="248"/>
      <c r="HF122" s="248"/>
      <c r="HG122" s="248"/>
      <c r="HH122" s="248"/>
      <c r="HI122" s="248"/>
      <c r="HJ122" s="248"/>
      <c r="HK122" s="248"/>
      <c r="HL122" s="248"/>
      <c r="HM122" s="248"/>
      <c r="HN122" s="248"/>
      <c r="HO122" s="248"/>
      <c r="HP122" s="248"/>
      <c r="HQ122" s="248"/>
      <c r="HR122" s="248"/>
      <c r="HS122" s="248"/>
      <c r="HT122" s="248"/>
      <c r="HU122" s="248"/>
      <c r="HV122" s="248"/>
      <c r="HW122" s="248"/>
      <c r="HX122" s="248"/>
      <c r="HY122" s="248"/>
      <c r="HZ122" s="248"/>
      <c r="IA122" s="248"/>
      <c r="IB122" s="248"/>
      <c r="IC122" s="248"/>
      <c r="ID122" s="248"/>
      <c r="IE122" s="248"/>
      <c r="IF122" s="248"/>
      <c r="IG122" s="248"/>
      <c r="IH122" s="248"/>
      <c r="II122" s="248"/>
      <c r="IJ122" s="248"/>
      <c r="IK122" s="248"/>
      <c r="IL122" s="248"/>
      <c r="IM122" s="248"/>
      <c r="IN122" s="248"/>
    </row>
    <row r="123" spans="1:248" s="164" customFormat="1">
      <c r="A123" s="242"/>
      <c r="B123" s="248"/>
      <c r="C123" s="248"/>
      <c r="D123" s="316"/>
      <c r="E123" s="316"/>
      <c r="F123" s="248"/>
      <c r="G123" s="316"/>
      <c r="H123" s="248"/>
      <c r="I123" s="248"/>
      <c r="J123" s="279"/>
      <c r="K123" s="35"/>
      <c r="L123" s="35"/>
      <c r="M123" s="35"/>
      <c r="N123" s="47"/>
      <c r="O123" s="228"/>
      <c r="P123" s="47"/>
      <c r="Q123" s="35"/>
      <c r="R123" s="248"/>
      <c r="S123" s="248"/>
      <c r="T123" s="248"/>
      <c r="U123" s="248"/>
      <c r="V123" s="248"/>
      <c r="W123" s="313"/>
      <c r="X123" s="248"/>
      <c r="Y123" s="248"/>
      <c r="Z123" s="248"/>
      <c r="AA123" s="248"/>
      <c r="AB123" s="248"/>
      <c r="AC123" s="248"/>
      <c r="AD123" s="248"/>
      <c r="AE123" s="248"/>
      <c r="AF123" s="248"/>
      <c r="AG123" s="248"/>
      <c r="AH123" s="248"/>
      <c r="AI123" s="248"/>
      <c r="AJ123" s="248"/>
      <c r="AK123" s="248"/>
      <c r="AL123" s="248"/>
      <c r="AM123" s="248"/>
      <c r="AN123" s="248"/>
      <c r="AO123" s="248"/>
      <c r="AP123" s="248"/>
      <c r="AQ123" s="248"/>
      <c r="AR123" s="248"/>
      <c r="AS123" s="248"/>
      <c r="AT123" s="248"/>
      <c r="AU123" s="248"/>
      <c r="AV123" s="248"/>
      <c r="AW123" s="248"/>
      <c r="AX123" s="248"/>
      <c r="AY123" s="248"/>
      <c r="AZ123" s="248"/>
      <c r="BA123" s="248"/>
      <c r="BB123" s="248"/>
      <c r="BC123" s="248"/>
      <c r="BD123" s="248"/>
      <c r="BE123" s="248"/>
      <c r="BF123" s="248"/>
      <c r="BG123" s="248"/>
      <c r="BH123" s="248"/>
      <c r="BI123" s="248"/>
      <c r="BJ123" s="248"/>
      <c r="BK123" s="248"/>
      <c r="BL123" s="248"/>
      <c r="BM123" s="248"/>
      <c r="BN123" s="248"/>
      <c r="BO123" s="248"/>
      <c r="BP123" s="248"/>
      <c r="BQ123" s="248"/>
      <c r="BR123" s="248"/>
      <c r="BS123" s="248"/>
      <c r="BT123" s="248"/>
      <c r="BU123" s="248"/>
      <c r="BV123" s="248"/>
      <c r="BW123" s="248"/>
      <c r="BX123" s="248"/>
      <c r="BY123" s="248"/>
      <c r="BZ123" s="248"/>
      <c r="CA123" s="248"/>
      <c r="CB123" s="248"/>
      <c r="CC123" s="248"/>
      <c r="CD123" s="248"/>
      <c r="CE123" s="248"/>
      <c r="CF123" s="248"/>
      <c r="CG123" s="248"/>
      <c r="CH123" s="248"/>
      <c r="CI123" s="248"/>
      <c r="CJ123" s="248"/>
      <c r="CK123" s="248"/>
      <c r="CL123" s="248"/>
      <c r="CM123" s="248"/>
      <c r="CN123" s="248"/>
      <c r="CO123" s="248"/>
      <c r="CP123" s="248"/>
      <c r="CQ123" s="248"/>
      <c r="CR123" s="248"/>
      <c r="CS123" s="248"/>
      <c r="CT123" s="248"/>
      <c r="CU123" s="248"/>
      <c r="CV123" s="248"/>
      <c r="CW123" s="248"/>
      <c r="CX123" s="248"/>
      <c r="CY123" s="248"/>
      <c r="CZ123" s="248"/>
      <c r="DA123" s="248"/>
      <c r="DB123" s="248"/>
      <c r="DC123" s="248"/>
      <c r="DD123" s="248"/>
      <c r="DE123" s="248"/>
      <c r="DF123" s="248"/>
      <c r="DG123" s="248"/>
      <c r="DH123" s="248"/>
      <c r="DI123" s="248"/>
      <c r="DJ123" s="248"/>
      <c r="DK123" s="248"/>
      <c r="DL123" s="248"/>
      <c r="DM123" s="248"/>
      <c r="DN123" s="248"/>
      <c r="DO123" s="248"/>
      <c r="DP123" s="248"/>
      <c r="DQ123" s="248"/>
      <c r="DR123" s="248"/>
      <c r="DS123" s="248"/>
      <c r="DT123" s="248"/>
      <c r="DU123" s="248"/>
      <c r="DV123" s="248"/>
      <c r="DW123" s="248"/>
      <c r="DX123" s="248"/>
      <c r="DY123" s="248"/>
      <c r="DZ123" s="248"/>
      <c r="EA123" s="248"/>
      <c r="EB123" s="248"/>
      <c r="EC123" s="248"/>
      <c r="ED123" s="248"/>
      <c r="EE123" s="248"/>
      <c r="EF123" s="248"/>
      <c r="EG123" s="248"/>
      <c r="EH123" s="248"/>
      <c r="EI123" s="248"/>
      <c r="EJ123" s="248"/>
      <c r="EK123" s="248"/>
      <c r="EL123" s="248"/>
      <c r="EM123" s="248"/>
      <c r="EN123" s="248"/>
      <c r="EO123" s="248"/>
      <c r="EP123" s="248"/>
      <c r="EQ123" s="248"/>
      <c r="ER123" s="248"/>
      <c r="ES123" s="248"/>
      <c r="ET123" s="248"/>
      <c r="EU123" s="248"/>
      <c r="EV123" s="248"/>
      <c r="EW123" s="248"/>
      <c r="EX123" s="248"/>
      <c r="EY123" s="248"/>
      <c r="EZ123" s="248"/>
      <c r="FA123" s="248"/>
      <c r="FB123" s="248"/>
      <c r="FC123" s="248"/>
      <c r="FD123" s="248"/>
      <c r="FE123" s="248"/>
      <c r="FF123" s="248"/>
      <c r="FG123" s="248"/>
      <c r="FH123" s="248"/>
      <c r="FI123" s="248"/>
      <c r="FJ123" s="248"/>
      <c r="FK123" s="248"/>
      <c r="FL123" s="248"/>
      <c r="FM123" s="248"/>
      <c r="FN123" s="248"/>
      <c r="FO123" s="248"/>
      <c r="FP123" s="248"/>
      <c r="FQ123" s="248"/>
      <c r="FR123" s="248"/>
      <c r="FS123" s="248"/>
      <c r="FT123" s="248"/>
      <c r="FU123" s="248"/>
      <c r="FV123" s="248"/>
      <c r="FW123" s="248"/>
      <c r="FX123" s="248"/>
      <c r="FY123" s="248"/>
      <c r="FZ123" s="248"/>
      <c r="GA123" s="248"/>
      <c r="GB123" s="248"/>
      <c r="GC123" s="248"/>
      <c r="GD123" s="248"/>
      <c r="GE123" s="248"/>
      <c r="GF123" s="248"/>
      <c r="GG123" s="248"/>
      <c r="GH123" s="248"/>
      <c r="GI123" s="248"/>
      <c r="GJ123" s="248"/>
      <c r="GK123" s="248"/>
      <c r="GL123" s="248"/>
      <c r="GM123" s="248"/>
      <c r="GN123" s="248"/>
      <c r="GO123" s="248"/>
      <c r="GP123" s="248"/>
      <c r="GQ123" s="248"/>
      <c r="GR123" s="248"/>
      <c r="GS123" s="248"/>
      <c r="GT123" s="248"/>
      <c r="GU123" s="248"/>
      <c r="GV123" s="248"/>
      <c r="GW123" s="248"/>
      <c r="GX123" s="248"/>
      <c r="GY123" s="248"/>
      <c r="GZ123" s="248"/>
      <c r="HA123" s="248"/>
      <c r="HB123" s="248"/>
      <c r="HC123" s="248"/>
      <c r="HD123" s="248"/>
      <c r="HE123" s="248"/>
      <c r="HF123" s="248"/>
      <c r="HG123" s="248"/>
      <c r="HH123" s="248"/>
      <c r="HI123" s="248"/>
      <c r="HJ123" s="248"/>
      <c r="HK123" s="248"/>
      <c r="HL123" s="248"/>
      <c r="HM123" s="248"/>
      <c r="HN123" s="248"/>
      <c r="HO123" s="248"/>
      <c r="HP123" s="248"/>
      <c r="HQ123" s="248"/>
      <c r="HR123" s="248"/>
      <c r="HS123" s="248"/>
      <c r="HT123" s="248"/>
      <c r="HU123" s="248"/>
      <c r="HV123" s="248"/>
      <c r="HW123" s="248"/>
      <c r="HX123" s="248"/>
      <c r="HY123" s="248"/>
      <c r="HZ123" s="248"/>
      <c r="IA123" s="248"/>
      <c r="IB123" s="248"/>
      <c r="IC123" s="248"/>
      <c r="ID123" s="248"/>
      <c r="IE123" s="248"/>
      <c r="IF123" s="248"/>
      <c r="IG123" s="248"/>
      <c r="IH123" s="248"/>
      <c r="II123" s="248"/>
      <c r="IJ123" s="248"/>
      <c r="IK123" s="248"/>
      <c r="IL123" s="248"/>
      <c r="IM123" s="248"/>
      <c r="IN123" s="248"/>
    </row>
    <row r="124" spans="1:248" s="164" customFormat="1">
      <c r="A124" s="242"/>
      <c r="B124" s="248"/>
      <c r="C124" s="248"/>
      <c r="D124" s="316"/>
      <c r="E124" s="316"/>
      <c r="F124" s="248"/>
      <c r="G124" s="316"/>
      <c r="H124" s="248"/>
      <c r="I124" s="248"/>
      <c r="J124" s="279"/>
      <c r="K124" s="35"/>
      <c r="L124" s="35"/>
      <c r="M124" s="35"/>
      <c r="N124" s="47"/>
      <c r="O124" s="228"/>
      <c r="P124" s="47"/>
      <c r="Q124" s="35"/>
      <c r="R124" s="248"/>
      <c r="S124" s="248"/>
      <c r="T124" s="248"/>
      <c r="U124" s="248"/>
      <c r="V124" s="248"/>
      <c r="W124" s="313"/>
      <c r="X124" s="248"/>
      <c r="Y124" s="248"/>
      <c r="Z124" s="248"/>
      <c r="AA124" s="248"/>
      <c r="AB124" s="248"/>
      <c r="AC124" s="248"/>
      <c r="AD124" s="248"/>
      <c r="AE124" s="248"/>
      <c r="AF124" s="248"/>
      <c r="AG124" s="248"/>
      <c r="AH124" s="248"/>
      <c r="AI124" s="248"/>
      <c r="AJ124" s="248"/>
      <c r="AK124" s="248"/>
      <c r="AL124" s="248"/>
      <c r="AM124" s="248"/>
      <c r="AN124" s="248"/>
      <c r="AO124" s="248"/>
      <c r="AP124" s="248"/>
      <c r="AQ124" s="248"/>
      <c r="AR124" s="248"/>
      <c r="AS124" s="248"/>
      <c r="AT124" s="248"/>
      <c r="AU124" s="248"/>
      <c r="AV124" s="248"/>
      <c r="AW124" s="248"/>
      <c r="AX124" s="248"/>
      <c r="AY124" s="248"/>
      <c r="AZ124" s="248"/>
      <c r="BA124" s="248"/>
      <c r="BB124" s="248"/>
      <c r="BC124" s="248"/>
      <c r="BD124" s="248"/>
      <c r="BE124" s="248"/>
      <c r="BF124" s="248"/>
      <c r="BG124" s="248"/>
      <c r="BH124" s="248"/>
      <c r="BI124" s="248"/>
      <c r="BJ124" s="248"/>
      <c r="BK124" s="248"/>
      <c r="BL124" s="248"/>
      <c r="BM124" s="248"/>
      <c r="BN124" s="248"/>
      <c r="BO124" s="248"/>
      <c r="BP124" s="248"/>
      <c r="BQ124" s="248"/>
      <c r="BR124" s="248"/>
      <c r="BS124" s="248"/>
      <c r="BT124" s="248"/>
      <c r="BU124" s="248"/>
      <c r="BV124" s="248"/>
      <c r="BW124" s="248"/>
      <c r="BX124" s="248"/>
      <c r="BY124" s="248"/>
      <c r="BZ124" s="248"/>
      <c r="CA124" s="248"/>
      <c r="CB124" s="248"/>
      <c r="CC124" s="248"/>
      <c r="CD124" s="248"/>
      <c r="CE124" s="248"/>
      <c r="CF124" s="248"/>
      <c r="CG124" s="248"/>
      <c r="CH124" s="248"/>
      <c r="CI124" s="248"/>
      <c r="CJ124" s="248"/>
      <c r="CK124" s="248"/>
      <c r="CL124" s="248"/>
      <c r="CM124" s="248"/>
      <c r="CN124" s="248"/>
      <c r="CO124" s="248"/>
      <c r="CP124" s="248"/>
      <c r="CQ124" s="248"/>
      <c r="CR124" s="248"/>
      <c r="CS124" s="248"/>
      <c r="CT124" s="248"/>
      <c r="CU124" s="248"/>
      <c r="CV124" s="248"/>
      <c r="CW124" s="248"/>
      <c r="CX124" s="248"/>
      <c r="CY124" s="248"/>
      <c r="CZ124" s="248"/>
      <c r="DA124" s="248"/>
      <c r="DB124" s="248"/>
      <c r="DC124" s="248"/>
      <c r="DD124" s="248"/>
      <c r="DE124" s="248"/>
      <c r="DF124" s="248"/>
      <c r="DG124" s="248"/>
      <c r="DH124" s="248"/>
      <c r="DI124" s="248"/>
      <c r="DJ124" s="248"/>
      <c r="DK124" s="248"/>
      <c r="DL124" s="248"/>
      <c r="DM124" s="248"/>
      <c r="DN124" s="248"/>
      <c r="DO124" s="248"/>
      <c r="DP124" s="248"/>
      <c r="DQ124" s="248"/>
      <c r="DR124" s="248"/>
      <c r="DS124" s="248"/>
      <c r="DT124" s="248"/>
      <c r="DU124" s="248"/>
      <c r="DV124" s="248"/>
      <c r="DW124" s="248"/>
      <c r="DX124" s="248"/>
      <c r="DY124" s="248"/>
      <c r="DZ124" s="248"/>
      <c r="EA124" s="248"/>
      <c r="EB124" s="248"/>
      <c r="EC124" s="248"/>
      <c r="ED124" s="248"/>
      <c r="EE124" s="248"/>
      <c r="EF124" s="248"/>
      <c r="EG124" s="248"/>
      <c r="EH124" s="248"/>
      <c r="EI124" s="248"/>
      <c r="EJ124" s="248"/>
      <c r="EK124" s="248"/>
      <c r="EL124" s="248"/>
      <c r="EM124" s="248"/>
      <c r="EN124" s="248"/>
      <c r="EO124" s="248"/>
      <c r="EP124" s="248"/>
      <c r="EQ124" s="248"/>
      <c r="ER124" s="248"/>
      <c r="ES124" s="248"/>
      <c r="ET124" s="248"/>
      <c r="EU124" s="248"/>
      <c r="EV124" s="248"/>
      <c r="EW124" s="248"/>
      <c r="EX124" s="248"/>
      <c r="EY124" s="248"/>
      <c r="EZ124" s="248"/>
      <c r="FA124" s="248"/>
      <c r="FB124" s="248"/>
      <c r="FC124" s="248"/>
      <c r="FD124" s="248"/>
      <c r="FE124" s="248"/>
      <c r="FF124" s="248"/>
      <c r="FG124" s="248"/>
      <c r="FH124" s="248"/>
      <c r="FI124" s="248"/>
      <c r="FJ124" s="248"/>
      <c r="FK124" s="248"/>
      <c r="FL124" s="248"/>
      <c r="FM124" s="248"/>
      <c r="FN124" s="248"/>
      <c r="FO124" s="248"/>
      <c r="FP124" s="248"/>
      <c r="FQ124" s="248"/>
      <c r="FR124" s="248"/>
      <c r="FS124" s="248"/>
      <c r="FT124" s="248"/>
      <c r="FU124" s="248"/>
      <c r="FV124" s="248"/>
      <c r="FW124" s="248"/>
      <c r="FX124" s="248"/>
      <c r="FY124" s="248"/>
      <c r="FZ124" s="248"/>
      <c r="GA124" s="248"/>
      <c r="GB124" s="248"/>
      <c r="GC124" s="248"/>
      <c r="GD124" s="248"/>
      <c r="GE124" s="248"/>
      <c r="GF124" s="248"/>
      <c r="GG124" s="248"/>
      <c r="GH124" s="248"/>
      <c r="GI124" s="248"/>
      <c r="GJ124" s="248"/>
      <c r="GK124" s="248"/>
      <c r="GL124" s="248"/>
      <c r="GM124" s="248"/>
      <c r="GN124" s="248"/>
      <c r="GO124" s="248"/>
      <c r="GP124" s="248"/>
      <c r="GQ124" s="248"/>
      <c r="GR124" s="248"/>
      <c r="GS124" s="248"/>
      <c r="GT124" s="248"/>
      <c r="GU124" s="248"/>
      <c r="GV124" s="248"/>
      <c r="GW124" s="248"/>
      <c r="GX124" s="248"/>
      <c r="GY124" s="248"/>
      <c r="GZ124" s="248"/>
      <c r="HA124" s="248"/>
      <c r="HB124" s="248"/>
      <c r="HC124" s="248"/>
      <c r="HD124" s="248"/>
      <c r="HE124" s="248"/>
      <c r="HF124" s="248"/>
      <c r="HG124" s="248"/>
      <c r="HH124" s="248"/>
      <c r="HI124" s="248"/>
      <c r="HJ124" s="248"/>
      <c r="HK124" s="248"/>
      <c r="HL124" s="248"/>
      <c r="HM124" s="248"/>
      <c r="HN124" s="248"/>
      <c r="HO124" s="248"/>
      <c r="HP124" s="248"/>
      <c r="HQ124" s="248"/>
      <c r="HR124" s="248"/>
      <c r="HS124" s="248"/>
      <c r="HT124" s="248"/>
      <c r="HU124" s="248"/>
      <c r="HV124" s="248"/>
      <c r="HW124" s="248"/>
      <c r="HX124" s="248"/>
      <c r="HY124" s="248"/>
      <c r="HZ124" s="248"/>
      <c r="IA124" s="248"/>
      <c r="IB124" s="248"/>
      <c r="IC124" s="248"/>
      <c r="ID124" s="248"/>
      <c r="IE124" s="248"/>
      <c r="IF124" s="248"/>
      <c r="IG124" s="248"/>
      <c r="IH124" s="248"/>
      <c r="II124" s="248"/>
      <c r="IJ124" s="248"/>
      <c r="IK124" s="248"/>
      <c r="IL124" s="248"/>
      <c r="IM124" s="248"/>
      <c r="IN124" s="248"/>
    </row>
    <row r="125" spans="1:248" s="164" customFormat="1">
      <c r="A125" s="242"/>
      <c r="B125" s="248"/>
      <c r="C125" s="248"/>
      <c r="D125" s="316"/>
      <c r="E125" s="316"/>
      <c r="F125" s="248"/>
      <c r="G125" s="316"/>
      <c r="H125" s="248"/>
      <c r="I125" s="248"/>
      <c r="J125" s="279"/>
      <c r="K125" s="35"/>
      <c r="L125" s="35"/>
      <c r="M125" s="35"/>
      <c r="N125" s="47"/>
      <c r="O125" s="228"/>
      <c r="P125" s="47"/>
      <c r="Q125" s="35"/>
      <c r="R125" s="248"/>
      <c r="S125" s="248"/>
      <c r="T125" s="248"/>
      <c r="U125" s="248"/>
      <c r="V125" s="248"/>
      <c r="W125" s="313"/>
      <c r="X125" s="248"/>
      <c r="Y125" s="248"/>
      <c r="Z125" s="248"/>
      <c r="AA125" s="248"/>
      <c r="AB125" s="248"/>
      <c r="AC125" s="248"/>
      <c r="AD125" s="248"/>
      <c r="AE125" s="248"/>
      <c r="AF125" s="248"/>
      <c r="AG125" s="248"/>
      <c r="AH125" s="248"/>
      <c r="AI125" s="248"/>
      <c r="AJ125" s="248"/>
      <c r="AK125" s="248"/>
      <c r="AL125" s="248"/>
      <c r="AM125" s="248"/>
      <c r="AN125" s="248"/>
      <c r="AO125" s="248"/>
      <c r="AP125" s="248"/>
      <c r="AQ125" s="248"/>
      <c r="AR125" s="248"/>
      <c r="AS125" s="248"/>
      <c r="AT125" s="248"/>
      <c r="AU125" s="248"/>
      <c r="AV125" s="248"/>
      <c r="AW125" s="248"/>
      <c r="AX125" s="248"/>
      <c r="AY125" s="248"/>
      <c r="AZ125" s="248"/>
      <c r="BA125" s="248"/>
      <c r="BB125" s="248"/>
      <c r="BC125" s="248"/>
      <c r="BD125" s="248"/>
      <c r="BE125" s="248"/>
      <c r="BF125" s="248"/>
      <c r="BG125" s="248"/>
      <c r="BH125" s="248"/>
      <c r="BI125" s="248"/>
      <c r="BJ125" s="248"/>
      <c r="BK125" s="248"/>
      <c r="BL125" s="248"/>
      <c r="BM125" s="248"/>
      <c r="BN125" s="248"/>
      <c r="BO125" s="248"/>
      <c r="BP125" s="248"/>
      <c r="BQ125" s="248"/>
      <c r="BR125" s="248"/>
      <c r="BS125" s="248"/>
      <c r="BT125" s="248"/>
      <c r="BU125" s="248"/>
      <c r="BV125" s="248"/>
      <c r="BW125" s="248"/>
      <c r="BX125" s="248"/>
      <c r="BY125" s="248"/>
      <c r="BZ125" s="248"/>
      <c r="CA125" s="248"/>
      <c r="CB125" s="248"/>
      <c r="CC125" s="248"/>
      <c r="CD125" s="248"/>
      <c r="CE125" s="248"/>
      <c r="CF125" s="248"/>
      <c r="CG125" s="248"/>
      <c r="CH125" s="248"/>
      <c r="CI125" s="248"/>
      <c r="CJ125" s="248"/>
      <c r="CK125" s="248"/>
      <c r="CL125" s="248"/>
      <c r="CM125" s="248"/>
      <c r="CN125" s="248"/>
      <c r="CO125" s="248"/>
      <c r="CP125" s="248"/>
      <c r="CQ125" s="248"/>
      <c r="CR125" s="248"/>
      <c r="CS125" s="248"/>
      <c r="CT125" s="248"/>
      <c r="CU125" s="248"/>
      <c r="CV125" s="248"/>
      <c r="CW125" s="248"/>
      <c r="CX125" s="248"/>
      <c r="CY125" s="248"/>
      <c r="CZ125" s="248"/>
      <c r="DA125" s="248"/>
      <c r="DB125" s="248"/>
      <c r="DC125" s="248"/>
      <c r="DD125" s="248"/>
      <c r="DE125" s="248"/>
      <c r="DF125" s="248"/>
      <c r="DG125" s="248"/>
      <c r="DH125" s="248"/>
      <c r="DI125" s="248"/>
      <c r="DJ125" s="248"/>
      <c r="DK125" s="248"/>
      <c r="DL125" s="248"/>
      <c r="DM125" s="248"/>
      <c r="DN125" s="248"/>
      <c r="DO125" s="248"/>
      <c r="DP125" s="248"/>
      <c r="DQ125" s="248"/>
      <c r="DR125" s="248"/>
      <c r="DS125" s="248"/>
      <c r="DT125" s="248"/>
      <c r="DU125" s="248"/>
      <c r="DV125" s="248"/>
      <c r="DW125" s="248"/>
      <c r="DX125" s="248"/>
      <c r="DY125" s="248"/>
      <c r="DZ125" s="248"/>
      <c r="EA125" s="248"/>
      <c r="EB125" s="248"/>
      <c r="EC125" s="248"/>
      <c r="ED125" s="248"/>
      <c r="EE125" s="248"/>
      <c r="EF125" s="248"/>
      <c r="EG125" s="248"/>
      <c r="EH125" s="248"/>
      <c r="EI125" s="248"/>
      <c r="EJ125" s="248"/>
      <c r="EK125" s="248"/>
      <c r="EL125" s="248"/>
      <c r="EM125" s="248"/>
      <c r="EN125" s="248"/>
      <c r="EO125" s="248"/>
      <c r="EP125" s="248"/>
      <c r="EQ125" s="248"/>
      <c r="ER125" s="248"/>
      <c r="ES125" s="248"/>
      <c r="ET125" s="248"/>
      <c r="EU125" s="248"/>
      <c r="EV125" s="248"/>
      <c r="EW125" s="248"/>
      <c r="EX125" s="248"/>
      <c r="EY125" s="248"/>
      <c r="EZ125" s="248"/>
      <c r="FA125" s="248"/>
      <c r="FB125" s="248"/>
      <c r="FC125" s="248"/>
      <c r="FD125" s="248"/>
      <c r="FE125" s="248"/>
      <c r="FF125" s="248"/>
      <c r="FG125" s="248"/>
      <c r="FH125" s="248"/>
      <c r="FI125" s="248"/>
      <c r="FJ125" s="248"/>
      <c r="FK125" s="248"/>
      <c r="FL125" s="248"/>
      <c r="FM125" s="248"/>
      <c r="FN125" s="248"/>
      <c r="FO125" s="248"/>
      <c r="FP125" s="248"/>
      <c r="FQ125" s="248"/>
      <c r="FR125" s="248"/>
      <c r="FS125" s="248"/>
      <c r="FT125" s="248"/>
      <c r="FU125" s="248"/>
      <c r="FV125" s="248"/>
      <c r="FW125" s="248"/>
      <c r="FX125" s="248"/>
      <c r="FY125" s="248"/>
      <c r="FZ125" s="248"/>
      <c r="GA125" s="248"/>
      <c r="GB125" s="248"/>
      <c r="GC125" s="248"/>
      <c r="GD125" s="248"/>
      <c r="GE125" s="248"/>
      <c r="GF125" s="248"/>
      <c r="GG125" s="248"/>
      <c r="GH125" s="248"/>
      <c r="GI125" s="248"/>
      <c r="GJ125" s="248"/>
      <c r="GK125" s="248"/>
      <c r="GL125" s="248"/>
      <c r="GM125" s="248"/>
      <c r="GN125" s="248"/>
      <c r="GO125" s="248"/>
      <c r="GP125" s="248"/>
      <c r="GQ125" s="248"/>
      <c r="GR125" s="248"/>
      <c r="GS125" s="248"/>
      <c r="GT125" s="248"/>
      <c r="GU125" s="248"/>
      <c r="GV125" s="248"/>
      <c r="GW125" s="248"/>
      <c r="GX125" s="248"/>
      <c r="GY125" s="248"/>
      <c r="GZ125" s="248"/>
      <c r="HA125" s="248"/>
      <c r="HB125" s="248"/>
      <c r="HC125" s="248"/>
      <c r="HD125" s="248"/>
      <c r="HE125" s="248"/>
      <c r="HF125" s="248"/>
      <c r="HG125" s="248"/>
      <c r="HH125" s="248"/>
      <c r="HI125" s="248"/>
      <c r="HJ125" s="248"/>
      <c r="HK125" s="248"/>
      <c r="HL125" s="248"/>
      <c r="HM125" s="248"/>
      <c r="HN125" s="248"/>
      <c r="HO125" s="248"/>
      <c r="HP125" s="248"/>
      <c r="HQ125" s="248"/>
      <c r="HR125" s="248"/>
      <c r="HS125" s="248"/>
      <c r="HT125" s="248"/>
      <c r="HU125" s="248"/>
      <c r="HV125" s="248"/>
      <c r="HW125" s="248"/>
      <c r="HX125" s="248"/>
      <c r="HY125" s="248"/>
      <c r="HZ125" s="248"/>
      <c r="IA125" s="248"/>
      <c r="IB125" s="248"/>
      <c r="IC125" s="248"/>
      <c r="ID125" s="248"/>
      <c r="IE125" s="248"/>
      <c r="IF125" s="248"/>
      <c r="IG125" s="248"/>
      <c r="IH125" s="248"/>
      <c r="II125" s="248"/>
      <c r="IJ125" s="248"/>
      <c r="IK125" s="248"/>
      <c r="IL125" s="248"/>
      <c r="IM125" s="248"/>
      <c r="IN125" s="248"/>
    </row>
    <row r="126" spans="1:248" s="164" customFormat="1">
      <c r="A126" s="242"/>
      <c r="B126" s="248"/>
      <c r="C126" s="248"/>
      <c r="D126" s="316"/>
      <c r="E126" s="316"/>
      <c r="F126" s="248"/>
      <c r="G126" s="316"/>
      <c r="H126" s="248"/>
      <c r="I126" s="248"/>
      <c r="J126" s="279"/>
      <c r="K126" s="35"/>
      <c r="L126" s="35"/>
      <c r="M126" s="35"/>
      <c r="N126" s="47"/>
      <c r="O126" s="228"/>
      <c r="P126" s="47"/>
      <c r="Q126" s="35"/>
      <c r="R126" s="248"/>
      <c r="S126" s="248"/>
      <c r="T126" s="248"/>
      <c r="U126" s="248"/>
      <c r="V126" s="248"/>
      <c r="W126" s="313"/>
      <c r="X126" s="248"/>
      <c r="Y126" s="248"/>
      <c r="Z126" s="248"/>
      <c r="AA126" s="248"/>
      <c r="AB126" s="248"/>
      <c r="AC126" s="248"/>
      <c r="AD126" s="248"/>
      <c r="AE126" s="248"/>
      <c r="AF126" s="248"/>
      <c r="AG126" s="248"/>
      <c r="AH126" s="248"/>
      <c r="AI126" s="248"/>
      <c r="AJ126" s="248"/>
      <c r="AK126" s="248"/>
      <c r="AL126" s="248"/>
      <c r="AM126" s="248"/>
      <c r="AN126" s="248"/>
      <c r="AO126" s="248"/>
      <c r="AP126" s="248"/>
      <c r="AQ126" s="248"/>
      <c r="AR126" s="248"/>
      <c r="AS126" s="248"/>
      <c r="AT126" s="248"/>
      <c r="AU126" s="248"/>
      <c r="AV126" s="248"/>
      <c r="AW126" s="248"/>
      <c r="AX126" s="248"/>
      <c r="AY126" s="248"/>
      <c r="AZ126" s="248"/>
      <c r="BA126" s="248"/>
      <c r="BB126" s="248"/>
      <c r="BC126" s="248"/>
      <c r="BD126" s="248"/>
      <c r="BE126" s="248"/>
      <c r="BF126" s="248"/>
      <c r="BG126" s="248"/>
      <c r="BH126" s="248"/>
      <c r="BI126" s="248"/>
      <c r="BJ126" s="248"/>
      <c r="BK126" s="248"/>
      <c r="BL126" s="248"/>
      <c r="BM126" s="248"/>
      <c r="BN126" s="248"/>
      <c r="BO126" s="248"/>
      <c r="BP126" s="248"/>
      <c r="BQ126" s="248"/>
      <c r="BR126" s="248"/>
      <c r="BS126" s="248"/>
      <c r="BT126" s="248"/>
      <c r="BU126" s="248"/>
      <c r="BV126" s="248"/>
      <c r="BW126" s="248"/>
      <c r="BX126" s="248"/>
      <c r="BY126" s="248"/>
      <c r="BZ126" s="248"/>
      <c r="CA126" s="248"/>
      <c r="CB126" s="248"/>
      <c r="CC126" s="248"/>
      <c r="CD126" s="248"/>
      <c r="CE126" s="248"/>
      <c r="CF126" s="248"/>
      <c r="CG126" s="248"/>
      <c r="CH126" s="248"/>
      <c r="CI126" s="248"/>
      <c r="CJ126" s="248"/>
      <c r="CK126" s="248"/>
      <c r="CL126" s="248"/>
      <c r="CM126" s="248"/>
      <c r="CN126" s="248"/>
      <c r="CO126" s="248"/>
      <c r="CP126" s="248"/>
      <c r="CQ126" s="248"/>
      <c r="CR126" s="248"/>
      <c r="CS126" s="248"/>
      <c r="CT126" s="248"/>
      <c r="CU126" s="248"/>
      <c r="CV126" s="248"/>
      <c r="CW126" s="248"/>
      <c r="CX126" s="248"/>
      <c r="CY126" s="248"/>
      <c r="CZ126" s="248"/>
      <c r="DA126" s="248"/>
      <c r="DB126" s="248"/>
      <c r="DC126" s="248"/>
      <c r="DD126" s="248"/>
      <c r="DE126" s="248"/>
      <c r="DF126" s="248"/>
      <c r="DG126" s="248"/>
      <c r="DH126" s="248"/>
      <c r="DI126" s="248"/>
      <c r="DJ126" s="248"/>
      <c r="DK126" s="248"/>
      <c r="DL126" s="248"/>
      <c r="DM126" s="248"/>
      <c r="DN126" s="248"/>
      <c r="DO126" s="248"/>
      <c r="DP126" s="248"/>
      <c r="DQ126" s="248"/>
      <c r="DR126" s="248"/>
      <c r="DS126" s="248"/>
      <c r="DT126" s="248"/>
      <c r="DU126" s="248"/>
      <c r="DV126" s="248"/>
      <c r="DW126" s="248"/>
      <c r="DX126" s="248"/>
      <c r="DY126" s="248"/>
      <c r="DZ126" s="248"/>
      <c r="EA126" s="248"/>
      <c r="EB126" s="248"/>
      <c r="EC126" s="248"/>
      <c r="ED126" s="248"/>
      <c r="EE126" s="248"/>
      <c r="EF126" s="248"/>
      <c r="EG126" s="248"/>
      <c r="EH126" s="248"/>
      <c r="EI126" s="248"/>
      <c r="EJ126" s="248"/>
      <c r="EK126" s="248"/>
      <c r="EL126" s="248"/>
      <c r="EM126" s="248"/>
      <c r="EN126" s="248"/>
      <c r="EO126" s="248"/>
      <c r="EP126" s="248"/>
      <c r="EQ126" s="248"/>
      <c r="ER126" s="248"/>
      <c r="ES126" s="248"/>
      <c r="ET126" s="248"/>
      <c r="EU126" s="248"/>
      <c r="EV126" s="248"/>
      <c r="EW126" s="248"/>
      <c r="EX126" s="248"/>
      <c r="EY126" s="248"/>
      <c r="EZ126" s="248"/>
      <c r="FA126" s="248"/>
      <c r="FB126" s="248"/>
      <c r="FC126" s="248"/>
      <c r="FD126" s="248"/>
      <c r="FE126" s="248"/>
      <c r="FF126" s="248"/>
      <c r="FG126" s="248"/>
      <c r="FH126" s="248"/>
      <c r="FI126" s="248"/>
      <c r="FJ126" s="248"/>
      <c r="FK126" s="248"/>
      <c r="FL126" s="248"/>
      <c r="FM126" s="248"/>
      <c r="FN126" s="248"/>
      <c r="FO126" s="248"/>
      <c r="FP126" s="248"/>
      <c r="FQ126" s="248"/>
      <c r="FR126" s="248"/>
      <c r="FS126" s="248"/>
      <c r="FT126" s="248"/>
      <c r="FU126" s="248"/>
      <c r="FV126" s="248"/>
      <c r="FW126" s="248"/>
      <c r="FX126" s="248"/>
      <c r="FY126" s="248"/>
      <c r="FZ126" s="248"/>
      <c r="GA126" s="248"/>
      <c r="GB126" s="248"/>
      <c r="GC126" s="248"/>
      <c r="GD126" s="248"/>
      <c r="GE126" s="248"/>
      <c r="GF126" s="248"/>
      <c r="GG126" s="248"/>
      <c r="GH126" s="248"/>
      <c r="GI126" s="248"/>
      <c r="GJ126" s="248"/>
      <c r="GK126" s="248"/>
      <c r="GL126" s="248"/>
      <c r="GM126" s="248"/>
      <c r="GN126" s="248"/>
      <c r="GO126" s="248"/>
      <c r="GP126" s="248"/>
      <c r="GQ126" s="248"/>
      <c r="GR126" s="248"/>
      <c r="GS126" s="248"/>
      <c r="GT126" s="248"/>
      <c r="GU126" s="248"/>
      <c r="GV126" s="248"/>
      <c r="GW126" s="248"/>
      <c r="GX126" s="248"/>
      <c r="GY126" s="248"/>
      <c r="GZ126" s="248"/>
      <c r="HA126" s="248"/>
      <c r="HB126" s="248"/>
      <c r="HC126" s="248"/>
      <c r="HD126" s="248"/>
      <c r="HE126" s="248"/>
      <c r="HF126" s="248"/>
      <c r="HG126" s="248"/>
      <c r="HH126" s="248"/>
      <c r="HI126" s="248"/>
      <c r="HJ126" s="248"/>
      <c r="HK126" s="248"/>
      <c r="HL126" s="248"/>
      <c r="HM126" s="248"/>
      <c r="HN126" s="248"/>
      <c r="HO126" s="248"/>
      <c r="HP126" s="248"/>
      <c r="HQ126" s="248"/>
      <c r="HR126" s="248"/>
      <c r="HS126" s="248"/>
      <c r="HT126" s="248"/>
      <c r="HU126" s="248"/>
      <c r="HV126" s="248"/>
      <c r="HW126" s="248"/>
      <c r="HX126" s="248"/>
      <c r="HY126" s="248"/>
      <c r="HZ126" s="248"/>
      <c r="IA126" s="248"/>
      <c r="IB126" s="248"/>
      <c r="IC126" s="248"/>
      <c r="ID126" s="248"/>
      <c r="IE126" s="248"/>
      <c r="IF126" s="248"/>
      <c r="IG126" s="248"/>
      <c r="IH126" s="248"/>
      <c r="II126" s="248"/>
      <c r="IJ126" s="248"/>
      <c r="IK126" s="248"/>
      <c r="IL126" s="248"/>
      <c r="IM126" s="248"/>
      <c r="IN126" s="248"/>
    </row>
    <row r="127" spans="1:248" s="164" customFormat="1">
      <c r="A127" s="242"/>
      <c r="B127" s="248"/>
      <c r="C127" s="248"/>
      <c r="D127" s="316"/>
      <c r="E127" s="316"/>
      <c r="F127" s="248"/>
      <c r="G127" s="316"/>
      <c r="H127" s="248"/>
      <c r="I127" s="248"/>
      <c r="J127" s="279"/>
      <c r="K127" s="35"/>
      <c r="L127" s="35"/>
      <c r="M127" s="35"/>
      <c r="N127" s="47"/>
      <c r="O127" s="228"/>
      <c r="P127" s="47"/>
      <c r="Q127" s="35"/>
      <c r="R127" s="248"/>
      <c r="S127" s="248"/>
      <c r="T127" s="248"/>
      <c r="U127" s="248"/>
      <c r="V127" s="248"/>
      <c r="W127" s="313"/>
      <c r="X127" s="248"/>
      <c r="Y127" s="248"/>
      <c r="Z127" s="248"/>
      <c r="AA127" s="248"/>
      <c r="AB127" s="248"/>
      <c r="AC127" s="248"/>
      <c r="AD127" s="248"/>
      <c r="AE127" s="248"/>
      <c r="AF127" s="248"/>
      <c r="AG127" s="248"/>
      <c r="AH127" s="248"/>
      <c r="AI127" s="248"/>
      <c r="AJ127" s="248"/>
      <c r="AK127" s="248"/>
      <c r="AL127" s="248"/>
      <c r="AM127" s="248"/>
      <c r="AN127" s="248"/>
      <c r="AO127" s="248"/>
      <c r="AP127" s="248"/>
      <c r="AQ127" s="248"/>
      <c r="AR127" s="248"/>
      <c r="AS127" s="248"/>
      <c r="AT127" s="248"/>
      <c r="AU127" s="248"/>
      <c r="AV127" s="248"/>
      <c r="AW127" s="248"/>
      <c r="AX127" s="248"/>
      <c r="AY127" s="248"/>
      <c r="AZ127" s="248"/>
      <c r="BA127" s="248"/>
      <c r="BB127" s="248"/>
      <c r="BC127" s="248"/>
      <c r="BD127" s="248"/>
      <c r="BE127" s="248"/>
      <c r="BF127" s="248"/>
      <c r="BG127" s="248"/>
      <c r="BH127" s="248"/>
      <c r="BI127" s="248"/>
      <c r="BJ127" s="248"/>
      <c r="BK127" s="248"/>
      <c r="BL127" s="248"/>
      <c r="BM127" s="248"/>
      <c r="BN127" s="248"/>
      <c r="BO127" s="248"/>
      <c r="BP127" s="248"/>
      <c r="BQ127" s="248"/>
      <c r="BR127" s="248"/>
      <c r="BS127" s="248"/>
      <c r="BT127" s="248"/>
      <c r="BU127" s="248"/>
      <c r="BV127" s="248"/>
      <c r="BW127" s="248"/>
      <c r="BX127" s="248"/>
      <c r="BY127" s="248"/>
      <c r="BZ127" s="248"/>
      <c r="CA127" s="248"/>
      <c r="CB127" s="248"/>
      <c r="CC127" s="248"/>
      <c r="CD127" s="248"/>
      <c r="CE127" s="248"/>
      <c r="CF127" s="248"/>
      <c r="CG127" s="248"/>
      <c r="CH127" s="248"/>
      <c r="CI127" s="248"/>
      <c r="CJ127" s="248"/>
      <c r="CK127" s="248"/>
      <c r="CL127" s="248"/>
      <c r="CM127" s="248"/>
      <c r="CN127" s="248"/>
      <c r="CO127" s="248"/>
      <c r="CP127" s="248"/>
      <c r="CQ127" s="248"/>
      <c r="CR127" s="248"/>
      <c r="CS127" s="248"/>
      <c r="CT127" s="248"/>
      <c r="CU127" s="248"/>
      <c r="CV127" s="248"/>
      <c r="CW127" s="248"/>
      <c r="CX127" s="248"/>
      <c r="CY127" s="248"/>
      <c r="CZ127" s="248"/>
      <c r="DA127" s="248"/>
      <c r="DB127" s="248"/>
      <c r="DC127" s="248"/>
      <c r="DD127" s="248"/>
      <c r="DE127" s="248"/>
      <c r="DF127" s="248"/>
      <c r="DG127" s="248"/>
      <c r="DH127" s="248"/>
      <c r="DI127" s="248"/>
      <c r="DJ127" s="248"/>
      <c r="DK127" s="248"/>
      <c r="DL127" s="248"/>
      <c r="DM127" s="248"/>
      <c r="DN127" s="248"/>
      <c r="DO127" s="248"/>
      <c r="DP127" s="248"/>
      <c r="DQ127" s="248"/>
      <c r="DR127" s="248"/>
      <c r="DS127" s="248"/>
      <c r="DT127" s="248"/>
      <c r="DU127" s="248"/>
      <c r="DV127" s="248"/>
      <c r="DW127" s="248"/>
      <c r="DX127" s="248"/>
      <c r="DY127" s="248"/>
      <c r="DZ127" s="248"/>
      <c r="EA127" s="248"/>
      <c r="EB127" s="248"/>
      <c r="EC127" s="248"/>
      <c r="ED127" s="248"/>
      <c r="EE127" s="248"/>
      <c r="EF127" s="248"/>
      <c r="EG127" s="248"/>
      <c r="EH127" s="248"/>
      <c r="EI127" s="248"/>
      <c r="EJ127" s="248"/>
      <c r="EK127" s="248"/>
      <c r="EL127" s="248"/>
      <c r="EM127" s="248"/>
      <c r="EN127" s="248"/>
      <c r="EO127" s="248"/>
      <c r="EP127" s="248"/>
      <c r="EQ127" s="248"/>
      <c r="ER127" s="248"/>
      <c r="ES127" s="248"/>
      <c r="ET127" s="248"/>
      <c r="EU127" s="248"/>
      <c r="EV127" s="248"/>
      <c r="EW127" s="248"/>
      <c r="EX127" s="248"/>
      <c r="EY127" s="248"/>
      <c r="EZ127" s="248"/>
      <c r="FA127" s="248"/>
      <c r="FB127" s="248"/>
      <c r="FC127" s="248"/>
      <c r="FD127" s="248"/>
      <c r="FE127" s="248"/>
      <c r="FF127" s="248"/>
      <c r="FG127" s="248"/>
      <c r="FH127" s="248"/>
      <c r="FI127" s="248"/>
      <c r="FJ127" s="248"/>
      <c r="FK127" s="248"/>
      <c r="FL127" s="248"/>
      <c r="FM127" s="248"/>
      <c r="FN127" s="248"/>
      <c r="FO127" s="248"/>
      <c r="FP127" s="248"/>
      <c r="FQ127" s="248"/>
      <c r="FR127" s="248"/>
      <c r="FS127" s="248"/>
      <c r="FT127" s="248"/>
      <c r="FU127" s="248"/>
      <c r="FV127" s="248"/>
      <c r="FW127" s="248"/>
      <c r="FX127" s="248"/>
      <c r="FY127" s="248"/>
      <c r="FZ127" s="248"/>
      <c r="GA127" s="248"/>
      <c r="GB127" s="248"/>
      <c r="GC127" s="248"/>
      <c r="GD127" s="248"/>
      <c r="GE127" s="248"/>
      <c r="GF127" s="248"/>
      <c r="GG127" s="248"/>
      <c r="GH127" s="248"/>
      <c r="GI127" s="248"/>
      <c r="GJ127" s="248"/>
      <c r="GK127" s="248"/>
      <c r="GL127" s="248"/>
      <c r="GM127" s="248"/>
      <c r="GN127" s="248"/>
      <c r="GO127" s="248"/>
      <c r="GP127" s="248"/>
      <c r="GQ127" s="248"/>
      <c r="GR127" s="248"/>
      <c r="GS127" s="248"/>
      <c r="GT127" s="248"/>
      <c r="GU127" s="248"/>
      <c r="GV127" s="248"/>
      <c r="GW127" s="248"/>
      <c r="GX127" s="248"/>
      <c r="GY127" s="248"/>
      <c r="GZ127" s="248"/>
      <c r="HA127" s="248"/>
      <c r="HB127" s="248"/>
      <c r="HC127" s="248"/>
      <c r="HD127" s="248"/>
      <c r="HE127" s="248"/>
      <c r="HF127" s="248"/>
      <c r="HG127" s="248"/>
      <c r="HH127" s="248"/>
      <c r="HI127" s="248"/>
      <c r="HJ127" s="248"/>
      <c r="HK127" s="248"/>
      <c r="HL127" s="248"/>
      <c r="HM127" s="248"/>
      <c r="HN127" s="248"/>
      <c r="HO127" s="248"/>
      <c r="HP127" s="248"/>
      <c r="HQ127" s="248"/>
      <c r="HR127" s="248"/>
      <c r="HS127" s="248"/>
      <c r="HT127" s="248"/>
      <c r="HU127" s="248"/>
      <c r="HV127" s="248"/>
      <c r="HW127" s="248"/>
      <c r="HX127" s="248"/>
      <c r="HY127" s="248"/>
      <c r="HZ127" s="248"/>
      <c r="IA127" s="248"/>
      <c r="IB127" s="248"/>
      <c r="IC127" s="248"/>
      <c r="ID127" s="248"/>
      <c r="IE127" s="248"/>
      <c r="IF127" s="248"/>
      <c r="IG127" s="248"/>
      <c r="IH127" s="248"/>
      <c r="II127" s="248"/>
      <c r="IJ127" s="248"/>
      <c r="IK127" s="248"/>
      <c r="IL127" s="248"/>
      <c r="IM127" s="248"/>
      <c r="IN127" s="248"/>
    </row>
    <row r="128" spans="1:248" s="164" customFormat="1">
      <c r="A128" s="242"/>
      <c r="B128" s="248"/>
      <c r="C128" s="248"/>
      <c r="D128" s="316"/>
      <c r="E128" s="316"/>
      <c r="F128" s="248"/>
      <c r="G128" s="316"/>
      <c r="H128" s="248"/>
      <c r="I128" s="248"/>
      <c r="J128" s="279"/>
      <c r="K128" s="35"/>
      <c r="L128" s="35"/>
      <c r="M128" s="35"/>
      <c r="N128" s="47"/>
      <c r="O128" s="228"/>
      <c r="P128" s="47"/>
      <c r="Q128" s="35"/>
      <c r="R128" s="248"/>
      <c r="S128" s="248"/>
      <c r="T128" s="248"/>
      <c r="U128" s="248"/>
      <c r="V128" s="248"/>
      <c r="W128" s="313"/>
      <c r="X128" s="248"/>
      <c r="Y128" s="248"/>
      <c r="Z128" s="248"/>
      <c r="AA128" s="248"/>
      <c r="AB128" s="248"/>
      <c r="AC128" s="248"/>
      <c r="AD128" s="248"/>
      <c r="AE128" s="248"/>
      <c r="AF128" s="248"/>
      <c r="AG128" s="248"/>
      <c r="AH128" s="248"/>
      <c r="AI128" s="248"/>
      <c r="AJ128" s="248"/>
      <c r="AK128" s="248"/>
      <c r="AL128" s="248"/>
      <c r="AM128" s="248"/>
      <c r="AN128" s="248"/>
      <c r="AO128" s="248"/>
      <c r="AP128" s="248"/>
      <c r="AQ128" s="248"/>
      <c r="AR128" s="248"/>
      <c r="AS128" s="248"/>
      <c r="AT128" s="248"/>
      <c r="AU128" s="248"/>
      <c r="AV128" s="248"/>
      <c r="AW128" s="248"/>
      <c r="AX128" s="248"/>
      <c r="AY128" s="248"/>
      <c r="AZ128" s="248"/>
      <c r="BA128" s="248"/>
      <c r="BB128" s="248"/>
      <c r="BC128" s="248"/>
      <c r="BD128" s="248"/>
      <c r="BE128" s="248"/>
      <c r="BF128" s="248"/>
      <c r="BG128" s="248"/>
      <c r="BH128" s="248"/>
      <c r="BI128" s="248"/>
      <c r="BJ128" s="248"/>
      <c r="BK128" s="248"/>
      <c r="BL128" s="248"/>
      <c r="BM128" s="248"/>
      <c r="BN128" s="248"/>
      <c r="BO128" s="248"/>
      <c r="BP128" s="248"/>
      <c r="BQ128" s="248"/>
      <c r="BR128" s="248"/>
      <c r="BS128" s="248"/>
      <c r="BT128" s="248"/>
      <c r="BU128" s="248"/>
      <c r="BV128" s="248"/>
      <c r="BW128" s="248"/>
      <c r="BX128" s="248"/>
      <c r="BY128" s="248"/>
      <c r="BZ128" s="248"/>
      <c r="CA128" s="248"/>
      <c r="CB128" s="248"/>
      <c r="CC128" s="248"/>
      <c r="CD128" s="248"/>
      <c r="CE128" s="248"/>
      <c r="CF128" s="248"/>
      <c r="CG128" s="248"/>
      <c r="CH128" s="248"/>
      <c r="CI128" s="248"/>
      <c r="CJ128" s="248"/>
      <c r="CK128" s="248"/>
      <c r="CL128" s="248"/>
      <c r="CM128" s="248"/>
      <c r="CN128" s="248"/>
      <c r="CO128" s="248"/>
      <c r="CP128" s="248"/>
      <c r="CQ128" s="248"/>
      <c r="CR128" s="248"/>
      <c r="CS128" s="248"/>
      <c r="CT128" s="248"/>
      <c r="CU128" s="248"/>
      <c r="CV128" s="248"/>
      <c r="CW128" s="248"/>
      <c r="CX128" s="248"/>
      <c r="CY128" s="248"/>
      <c r="CZ128" s="248"/>
      <c r="DA128" s="248"/>
      <c r="DB128" s="248"/>
      <c r="DC128" s="248"/>
      <c r="DD128" s="248"/>
      <c r="DE128" s="248"/>
      <c r="DF128" s="248"/>
      <c r="DG128" s="248"/>
      <c r="DH128" s="248"/>
      <c r="DI128" s="248"/>
      <c r="DJ128" s="248"/>
      <c r="DK128" s="248"/>
      <c r="DL128" s="248"/>
      <c r="DM128" s="248"/>
      <c r="DN128" s="248"/>
      <c r="DO128" s="248"/>
      <c r="DP128" s="248"/>
      <c r="DQ128" s="248"/>
      <c r="DR128" s="248"/>
      <c r="DS128" s="248"/>
      <c r="DT128" s="248"/>
      <c r="DU128" s="248"/>
      <c r="DV128" s="248"/>
      <c r="DW128" s="248"/>
      <c r="DX128" s="248"/>
      <c r="DY128" s="248"/>
      <c r="DZ128" s="248"/>
      <c r="EA128" s="248"/>
      <c r="EB128" s="248"/>
      <c r="EC128" s="248"/>
      <c r="ED128" s="248"/>
      <c r="EE128" s="248"/>
      <c r="EF128" s="248"/>
      <c r="EG128" s="248"/>
      <c r="EH128" s="248"/>
      <c r="EI128" s="248"/>
      <c r="EJ128" s="248"/>
      <c r="EK128" s="248"/>
      <c r="EL128" s="248"/>
      <c r="EM128" s="248"/>
      <c r="EN128" s="248"/>
      <c r="EO128" s="248"/>
      <c r="EP128" s="248"/>
      <c r="EQ128" s="248"/>
      <c r="ER128" s="248"/>
      <c r="ES128" s="248"/>
      <c r="ET128" s="248"/>
      <c r="EU128" s="248"/>
      <c r="EV128" s="248"/>
      <c r="EW128" s="248"/>
      <c r="EX128" s="248"/>
      <c r="EY128" s="248"/>
      <c r="EZ128" s="248"/>
      <c r="FA128" s="248"/>
      <c r="FB128" s="248"/>
      <c r="FC128" s="248"/>
      <c r="FD128" s="248"/>
      <c r="FE128" s="248"/>
      <c r="FF128" s="248"/>
      <c r="FG128" s="248"/>
      <c r="FH128" s="248"/>
      <c r="FI128" s="248"/>
      <c r="FJ128" s="248"/>
      <c r="FK128" s="248"/>
      <c r="FL128" s="248"/>
      <c r="FM128" s="248"/>
      <c r="FN128" s="248"/>
      <c r="FO128" s="248"/>
      <c r="FP128" s="248"/>
      <c r="FQ128" s="248"/>
      <c r="FR128" s="248"/>
      <c r="FS128" s="248"/>
      <c r="FT128" s="248"/>
      <c r="FU128" s="248"/>
      <c r="FV128" s="248"/>
      <c r="FW128" s="248"/>
      <c r="FX128" s="248"/>
      <c r="FY128" s="248"/>
      <c r="FZ128" s="248"/>
      <c r="GA128" s="248"/>
      <c r="GB128" s="248"/>
      <c r="GC128" s="248"/>
      <c r="GD128" s="248"/>
      <c r="GE128" s="248"/>
      <c r="GF128" s="248"/>
      <c r="GG128" s="248"/>
      <c r="GH128" s="248"/>
      <c r="GI128" s="248"/>
      <c r="GJ128" s="248"/>
      <c r="GK128" s="248"/>
      <c r="GL128" s="248"/>
      <c r="GM128" s="248"/>
      <c r="GN128" s="248"/>
      <c r="GO128" s="248"/>
      <c r="GP128" s="248"/>
      <c r="GQ128" s="248"/>
      <c r="GR128" s="248"/>
      <c r="GS128" s="248"/>
      <c r="GT128" s="248"/>
      <c r="GU128" s="248"/>
      <c r="GV128" s="248"/>
      <c r="GW128" s="248"/>
      <c r="GX128" s="248"/>
      <c r="GY128" s="248"/>
      <c r="GZ128" s="248"/>
      <c r="HA128" s="248"/>
      <c r="HB128" s="248"/>
      <c r="HC128" s="248"/>
      <c r="HD128" s="248"/>
      <c r="HE128" s="248"/>
      <c r="HF128" s="248"/>
      <c r="HG128" s="248"/>
      <c r="HH128" s="248"/>
      <c r="HI128" s="248"/>
      <c r="HJ128" s="248"/>
      <c r="HK128" s="248"/>
      <c r="HL128" s="248"/>
      <c r="HM128" s="248"/>
      <c r="HN128" s="248"/>
      <c r="HO128" s="248"/>
      <c r="HP128" s="248"/>
      <c r="HQ128" s="248"/>
      <c r="HR128" s="248"/>
      <c r="HS128" s="248"/>
      <c r="HT128" s="248"/>
      <c r="HU128" s="248"/>
      <c r="HV128" s="248"/>
      <c r="HW128" s="248"/>
      <c r="HX128" s="248"/>
      <c r="HY128" s="248"/>
      <c r="HZ128" s="248"/>
      <c r="IA128" s="248"/>
      <c r="IB128" s="248"/>
      <c r="IC128" s="248"/>
      <c r="ID128" s="248"/>
      <c r="IE128" s="248"/>
      <c r="IF128" s="248"/>
      <c r="IG128" s="248"/>
      <c r="IH128" s="248"/>
      <c r="II128" s="248"/>
      <c r="IJ128" s="248"/>
      <c r="IK128" s="248"/>
      <c r="IL128" s="248"/>
      <c r="IM128" s="248"/>
      <c r="IN128" s="248"/>
    </row>
    <row r="129" spans="1:248" s="164" customFormat="1">
      <c r="A129" s="242"/>
      <c r="B129" s="248"/>
      <c r="C129" s="248"/>
      <c r="D129" s="316"/>
      <c r="E129" s="316"/>
      <c r="F129" s="248"/>
      <c r="G129" s="316"/>
      <c r="H129" s="248"/>
      <c r="I129" s="248"/>
      <c r="J129" s="279"/>
      <c r="K129" s="35"/>
      <c r="L129" s="35"/>
      <c r="M129" s="35"/>
      <c r="N129" s="47"/>
      <c r="O129" s="228"/>
      <c r="P129" s="47"/>
      <c r="Q129" s="35"/>
      <c r="R129" s="248"/>
      <c r="S129" s="248"/>
      <c r="T129" s="248"/>
      <c r="U129" s="248"/>
      <c r="V129" s="248"/>
      <c r="W129" s="313"/>
      <c r="X129" s="248"/>
      <c r="Y129" s="248"/>
      <c r="Z129" s="248"/>
      <c r="AA129" s="248"/>
      <c r="AB129" s="248"/>
      <c r="AC129" s="248"/>
      <c r="AD129" s="248"/>
      <c r="AE129" s="248"/>
      <c r="AF129" s="248"/>
      <c r="AG129" s="248"/>
      <c r="AH129" s="248"/>
      <c r="AI129" s="248"/>
      <c r="AJ129" s="248"/>
      <c r="AK129" s="248"/>
      <c r="AL129" s="248"/>
      <c r="AM129" s="248"/>
      <c r="AN129" s="248"/>
      <c r="AO129" s="248"/>
      <c r="AP129" s="248"/>
      <c r="AQ129" s="248"/>
      <c r="AR129" s="248"/>
      <c r="AS129" s="248"/>
      <c r="AT129" s="248"/>
      <c r="AU129" s="248"/>
      <c r="AV129" s="248"/>
      <c r="AW129" s="248"/>
      <c r="AX129" s="248"/>
      <c r="AY129" s="248"/>
      <c r="AZ129" s="248"/>
      <c r="BA129" s="248"/>
      <c r="BB129" s="248"/>
      <c r="BC129" s="248"/>
      <c r="BD129" s="248"/>
      <c r="BE129" s="248"/>
      <c r="BF129" s="248"/>
      <c r="BG129" s="248"/>
      <c r="BH129" s="248"/>
      <c r="BI129" s="248"/>
      <c r="BJ129" s="248"/>
      <c r="BK129" s="248"/>
      <c r="BL129" s="248"/>
      <c r="BM129" s="248"/>
      <c r="BN129" s="248"/>
      <c r="BO129" s="248"/>
      <c r="BP129" s="248"/>
      <c r="BQ129" s="248"/>
      <c r="BR129" s="248"/>
      <c r="BS129" s="248"/>
      <c r="BT129" s="248"/>
      <c r="BU129" s="248"/>
      <c r="BV129" s="248"/>
      <c r="BW129" s="248"/>
      <c r="BX129" s="248"/>
      <c r="BY129" s="248"/>
      <c r="BZ129" s="248"/>
      <c r="CA129" s="248"/>
      <c r="CB129" s="248"/>
      <c r="CC129" s="248"/>
      <c r="CD129" s="248"/>
      <c r="CE129" s="248"/>
      <c r="CF129" s="248"/>
      <c r="CG129" s="248"/>
      <c r="CH129" s="248"/>
      <c r="CI129" s="248"/>
      <c r="CJ129" s="248"/>
      <c r="CK129" s="248"/>
      <c r="CL129" s="248"/>
      <c r="CM129" s="248"/>
      <c r="CN129" s="248"/>
      <c r="CO129" s="248"/>
      <c r="CP129" s="248"/>
      <c r="CQ129" s="248"/>
      <c r="CR129" s="248"/>
      <c r="CS129" s="248"/>
      <c r="CT129" s="248"/>
      <c r="CU129" s="248"/>
      <c r="CV129" s="248"/>
      <c r="CW129" s="248"/>
      <c r="CX129" s="248"/>
      <c r="CY129" s="248"/>
      <c r="CZ129" s="248"/>
      <c r="DA129" s="248"/>
      <c r="DB129" s="248"/>
      <c r="DC129" s="248"/>
      <c r="DD129" s="248"/>
      <c r="DE129" s="248"/>
      <c r="DF129" s="248"/>
      <c r="DG129" s="248"/>
      <c r="DH129" s="248"/>
      <c r="DI129" s="248"/>
      <c r="DJ129" s="248"/>
      <c r="DK129" s="248"/>
      <c r="DL129" s="248"/>
      <c r="DM129" s="248"/>
      <c r="DN129" s="248"/>
      <c r="DO129" s="248"/>
      <c r="DP129" s="248"/>
      <c r="DQ129" s="248"/>
      <c r="DR129" s="248"/>
      <c r="DS129" s="248"/>
      <c r="DT129" s="248"/>
      <c r="DU129" s="248"/>
      <c r="DV129" s="248"/>
      <c r="DW129" s="248"/>
      <c r="DX129" s="248"/>
      <c r="DY129" s="248"/>
      <c r="DZ129" s="248"/>
      <c r="EA129" s="248"/>
      <c r="EB129" s="248"/>
      <c r="EC129" s="248"/>
      <c r="ED129" s="248"/>
      <c r="EE129" s="248"/>
      <c r="EF129" s="248"/>
      <c r="EG129" s="248"/>
      <c r="EH129" s="248"/>
      <c r="EI129" s="248"/>
      <c r="EJ129" s="248"/>
      <c r="EK129" s="248"/>
      <c r="EL129" s="248"/>
      <c r="EM129" s="248"/>
      <c r="EN129" s="248"/>
      <c r="EO129" s="248"/>
      <c r="EP129" s="248"/>
      <c r="EQ129" s="248"/>
      <c r="ER129" s="248"/>
      <c r="ES129" s="248"/>
      <c r="ET129" s="248"/>
      <c r="EU129" s="248"/>
      <c r="EV129" s="248"/>
      <c r="EW129" s="248"/>
      <c r="EX129" s="248"/>
      <c r="EY129" s="248"/>
      <c r="EZ129" s="248"/>
      <c r="FA129" s="248"/>
      <c r="FB129" s="248"/>
      <c r="FC129" s="248"/>
      <c r="FD129" s="248"/>
      <c r="FE129" s="248"/>
      <c r="FF129" s="248"/>
      <c r="FG129" s="248"/>
      <c r="FH129" s="248"/>
      <c r="FI129" s="248"/>
      <c r="FJ129" s="248"/>
      <c r="FK129" s="248"/>
      <c r="FL129" s="248"/>
      <c r="FM129" s="248"/>
      <c r="FN129" s="248"/>
      <c r="FO129" s="248"/>
      <c r="FP129" s="248"/>
      <c r="FQ129" s="248"/>
      <c r="FR129" s="248"/>
      <c r="FS129" s="248"/>
      <c r="FT129" s="248"/>
      <c r="FU129" s="248"/>
      <c r="FV129" s="248"/>
      <c r="FW129" s="248"/>
      <c r="FX129" s="248"/>
      <c r="FY129" s="248"/>
      <c r="FZ129" s="248"/>
      <c r="GA129" s="248"/>
      <c r="GB129" s="248"/>
      <c r="GC129" s="248"/>
      <c r="GD129" s="248"/>
      <c r="GE129" s="248"/>
      <c r="GF129" s="248"/>
      <c r="GG129" s="248"/>
      <c r="GH129" s="248"/>
      <c r="GI129" s="248"/>
      <c r="GJ129" s="248"/>
      <c r="GK129" s="248"/>
      <c r="GL129" s="248"/>
      <c r="GM129" s="248"/>
      <c r="GN129" s="248"/>
      <c r="GO129" s="248"/>
      <c r="GP129" s="248"/>
      <c r="GQ129" s="248"/>
      <c r="GR129" s="248"/>
      <c r="GS129" s="248"/>
      <c r="GT129" s="248"/>
      <c r="GU129" s="248"/>
      <c r="GV129" s="248"/>
      <c r="GW129" s="248"/>
      <c r="GX129" s="248"/>
      <c r="GY129" s="248"/>
      <c r="GZ129" s="248"/>
      <c r="HA129" s="248"/>
      <c r="HB129" s="248"/>
      <c r="HC129" s="248"/>
      <c r="HD129" s="248"/>
      <c r="HE129" s="248"/>
      <c r="HF129" s="248"/>
      <c r="HG129" s="248"/>
      <c r="HH129" s="248"/>
      <c r="HI129" s="248"/>
      <c r="HJ129" s="248"/>
      <c r="HK129" s="248"/>
      <c r="HL129" s="248"/>
      <c r="HM129" s="248"/>
      <c r="HN129" s="248"/>
      <c r="HO129" s="248"/>
      <c r="HP129" s="248"/>
      <c r="HQ129" s="248"/>
      <c r="HR129" s="248"/>
      <c r="HS129" s="248"/>
      <c r="HT129" s="248"/>
      <c r="HU129" s="248"/>
      <c r="HV129" s="248"/>
      <c r="HW129" s="248"/>
      <c r="HX129" s="248"/>
      <c r="HY129" s="248"/>
      <c r="HZ129" s="248"/>
      <c r="IA129" s="248"/>
      <c r="IB129" s="248"/>
      <c r="IC129" s="248"/>
      <c r="ID129" s="248"/>
      <c r="IE129" s="248"/>
      <c r="IF129" s="248"/>
      <c r="IG129" s="248"/>
      <c r="IH129" s="248"/>
      <c r="II129" s="248"/>
      <c r="IJ129" s="248"/>
      <c r="IK129" s="248"/>
      <c r="IL129" s="248"/>
      <c r="IM129" s="248"/>
      <c r="IN129" s="248"/>
    </row>
    <row r="130" spans="1:248" s="164" customFormat="1">
      <c r="A130" s="242"/>
      <c r="B130" s="248"/>
      <c r="C130" s="248"/>
      <c r="D130" s="316"/>
      <c r="E130" s="316"/>
      <c r="F130" s="248"/>
      <c r="G130" s="316"/>
      <c r="H130" s="248"/>
      <c r="I130" s="248"/>
      <c r="J130" s="279"/>
      <c r="K130" s="35"/>
      <c r="L130" s="35"/>
      <c r="M130" s="35"/>
      <c r="N130" s="47"/>
      <c r="O130" s="228"/>
      <c r="P130" s="47"/>
      <c r="Q130" s="35"/>
      <c r="R130" s="248"/>
      <c r="S130" s="248"/>
      <c r="T130" s="248"/>
      <c r="U130" s="248"/>
      <c r="V130" s="248"/>
      <c r="W130" s="313"/>
      <c r="X130" s="248"/>
      <c r="Y130" s="248"/>
      <c r="Z130" s="248"/>
      <c r="AA130" s="248"/>
      <c r="AB130" s="248"/>
      <c r="AC130" s="248"/>
      <c r="AD130" s="248"/>
      <c r="AE130" s="248"/>
      <c r="AF130" s="248"/>
      <c r="AG130" s="248"/>
      <c r="AH130" s="248"/>
      <c r="AI130" s="248"/>
      <c r="AJ130" s="248"/>
      <c r="AK130" s="248"/>
      <c r="AL130" s="248"/>
      <c r="AM130" s="248"/>
      <c r="AN130" s="248"/>
      <c r="AO130" s="248"/>
      <c r="AP130" s="248"/>
      <c r="AQ130" s="248"/>
      <c r="AR130" s="248"/>
      <c r="AS130" s="248"/>
      <c r="AT130" s="248"/>
      <c r="AU130" s="248"/>
      <c r="AV130" s="248"/>
      <c r="AW130" s="248"/>
      <c r="AX130" s="248"/>
      <c r="AY130" s="248"/>
      <c r="AZ130" s="248"/>
      <c r="BA130" s="248"/>
      <c r="BB130" s="248"/>
      <c r="BC130" s="248"/>
      <c r="BD130" s="248"/>
      <c r="BE130" s="248"/>
      <c r="BF130" s="248"/>
      <c r="BG130" s="248"/>
      <c r="BH130" s="248"/>
      <c r="BI130" s="248"/>
      <c r="BJ130" s="248"/>
      <c r="BK130" s="248"/>
      <c r="BL130" s="248"/>
      <c r="BM130" s="248"/>
      <c r="BN130" s="248"/>
      <c r="BO130" s="248"/>
      <c r="BP130" s="248"/>
      <c r="BQ130" s="248"/>
      <c r="BR130" s="248"/>
      <c r="BS130" s="248"/>
      <c r="BT130" s="248"/>
      <c r="BU130" s="248"/>
      <c r="BV130" s="248"/>
      <c r="BW130" s="248"/>
      <c r="BX130" s="248"/>
      <c r="BY130" s="248"/>
      <c r="BZ130" s="248"/>
      <c r="CA130" s="248"/>
      <c r="CB130" s="248"/>
      <c r="CC130" s="248"/>
      <c r="CD130" s="248"/>
      <c r="CE130" s="248"/>
      <c r="CF130" s="248"/>
      <c r="CG130" s="248"/>
      <c r="CH130" s="248"/>
      <c r="CI130" s="248"/>
      <c r="CJ130" s="248"/>
      <c r="CK130" s="248"/>
      <c r="CL130" s="248"/>
      <c r="CM130" s="248"/>
      <c r="CN130" s="248"/>
      <c r="CO130" s="248"/>
      <c r="CP130" s="248"/>
      <c r="CQ130" s="248"/>
      <c r="CR130" s="248"/>
      <c r="CS130" s="248"/>
      <c r="CT130" s="248"/>
      <c r="CU130" s="248"/>
      <c r="CV130" s="248"/>
      <c r="CW130" s="248"/>
      <c r="CX130" s="248"/>
      <c r="CY130" s="248"/>
      <c r="CZ130" s="248"/>
      <c r="DA130" s="248"/>
      <c r="DB130" s="248"/>
      <c r="DC130" s="248"/>
      <c r="DD130" s="248"/>
      <c r="DE130" s="248"/>
      <c r="DF130" s="248"/>
      <c r="DG130" s="248"/>
      <c r="DH130" s="248"/>
      <c r="DI130" s="248"/>
      <c r="DJ130" s="248"/>
      <c r="DK130" s="248"/>
      <c r="DL130" s="248"/>
      <c r="DM130" s="248"/>
      <c r="DN130" s="248"/>
      <c r="DO130" s="248"/>
      <c r="DP130" s="248"/>
      <c r="DQ130" s="248"/>
      <c r="DR130" s="248"/>
      <c r="DS130" s="248"/>
      <c r="DT130" s="248"/>
      <c r="DU130" s="248"/>
      <c r="DV130" s="248"/>
      <c r="DW130" s="248"/>
      <c r="DX130" s="248"/>
      <c r="DY130" s="248"/>
      <c r="DZ130" s="248"/>
      <c r="EA130" s="248"/>
      <c r="EB130" s="248"/>
      <c r="EC130" s="248"/>
      <c r="ED130" s="248"/>
      <c r="EE130" s="248"/>
      <c r="EF130" s="248"/>
      <c r="EG130" s="248"/>
      <c r="EH130" s="248"/>
      <c r="EI130" s="248"/>
      <c r="EJ130" s="248"/>
      <c r="EK130" s="248"/>
      <c r="EL130" s="248"/>
      <c r="EM130" s="248"/>
      <c r="EN130" s="248"/>
      <c r="EO130" s="248"/>
      <c r="EP130" s="248"/>
      <c r="EQ130" s="248"/>
      <c r="ER130" s="248"/>
      <c r="ES130" s="248"/>
      <c r="ET130" s="248"/>
      <c r="EU130" s="248"/>
      <c r="EV130" s="248"/>
      <c r="EW130" s="248"/>
      <c r="EX130" s="248"/>
      <c r="EY130" s="248"/>
      <c r="EZ130" s="248"/>
      <c r="FA130" s="248"/>
      <c r="FB130" s="248"/>
      <c r="FC130" s="248"/>
      <c r="FD130" s="248"/>
      <c r="FE130" s="248"/>
      <c r="FF130" s="248"/>
      <c r="FG130" s="248"/>
      <c r="FH130" s="248"/>
      <c r="FI130" s="248"/>
      <c r="FJ130" s="248"/>
      <c r="FK130" s="248"/>
      <c r="FL130" s="248"/>
      <c r="FM130" s="248"/>
      <c r="FN130" s="248"/>
      <c r="FO130" s="248"/>
      <c r="FP130" s="248"/>
      <c r="FQ130" s="248"/>
      <c r="FR130" s="248"/>
      <c r="FS130" s="248"/>
      <c r="FT130" s="248"/>
      <c r="FU130" s="248"/>
      <c r="FV130" s="248"/>
      <c r="FW130" s="248"/>
      <c r="FX130" s="248"/>
      <c r="FY130" s="248"/>
      <c r="FZ130" s="248"/>
      <c r="GA130" s="248"/>
      <c r="GB130" s="248"/>
      <c r="GC130" s="248"/>
      <c r="GD130" s="248"/>
      <c r="GE130" s="248"/>
      <c r="GF130" s="248"/>
      <c r="GG130" s="248"/>
      <c r="GH130" s="248"/>
      <c r="GI130" s="248"/>
      <c r="GJ130" s="248"/>
      <c r="GK130" s="248"/>
      <c r="GL130" s="248"/>
      <c r="GM130" s="248"/>
      <c r="GN130" s="248"/>
      <c r="GO130" s="248"/>
      <c r="GP130" s="248"/>
      <c r="GQ130" s="248"/>
      <c r="GR130" s="248"/>
      <c r="GS130" s="248"/>
      <c r="GT130" s="248"/>
      <c r="GU130" s="248"/>
      <c r="GV130" s="248"/>
      <c r="GW130" s="248"/>
      <c r="GX130" s="248"/>
      <c r="GY130" s="248"/>
      <c r="GZ130" s="248"/>
      <c r="HA130" s="248"/>
      <c r="HB130" s="248"/>
      <c r="HC130" s="248"/>
      <c r="HD130" s="248"/>
      <c r="HE130" s="248"/>
      <c r="HF130" s="248"/>
      <c r="HG130" s="248"/>
      <c r="HH130" s="248"/>
      <c r="HI130" s="248"/>
      <c r="HJ130" s="248"/>
      <c r="HK130" s="248"/>
      <c r="HL130" s="248"/>
      <c r="HM130" s="248"/>
      <c r="HN130" s="248"/>
      <c r="HO130" s="248"/>
      <c r="HP130" s="248"/>
      <c r="HQ130" s="248"/>
      <c r="HR130" s="248"/>
      <c r="HS130" s="248"/>
      <c r="HT130" s="248"/>
      <c r="HU130" s="248"/>
      <c r="HV130" s="248"/>
      <c r="HW130" s="248"/>
      <c r="HX130" s="248"/>
      <c r="HY130" s="248"/>
      <c r="HZ130" s="248"/>
      <c r="IA130" s="248"/>
      <c r="IB130" s="248"/>
      <c r="IC130" s="248"/>
      <c r="ID130" s="248"/>
      <c r="IE130" s="248"/>
      <c r="IF130" s="248"/>
      <c r="IG130" s="248"/>
      <c r="IH130" s="248"/>
      <c r="II130" s="248"/>
      <c r="IJ130" s="248"/>
      <c r="IK130" s="248"/>
      <c r="IL130" s="248"/>
      <c r="IM130" s="248"/>
      <c r="IN130" s="248"/>
    </row>
    <row r="131" spans="1:248" s="164" customFormat="1">
      <c r="A131" s="242"/>
      <c r="B131" s="248"/>
      <c r="C131" s="248"/>
      <c r="D131" s="316"/>
      <c r="E131" s="316"/>
      <c r="F131" s="248"/>
      <c r="G131" s="316"/>
      <c r="H131" s="248"/>
      <c r="I131" s="248"/>
      <c r="J131" s="279"/>
      <c r="K131" s="35"/>
      <c r="L131" s="35"/>
      <c r="M131" s="35"/>
      <c r="N131" s="47"/>
      <c r="O131" s="228"/>
      <c r="P131" s="47"/>
      <c r="Q131" s="35"/>
      <c r="R131" s="248"/>
      <c r="S131" s="248"/>
      <c r="T131" s="248"/>
      <c r="U131" s="248"/>
      <c r="V131" s="248"/>
      <c r="W131" s="313"/>
      <c r="X131" s="248"/>
      <c r="Y131" s="248"/>
      <c r="Z131" s="248"/>
      <c r="AA131" s="248"/>
      <c r="AB131" s="248"/>
      <c r="AC131" s="248"/>
      <c r="AD131" s="248"/>
      <c r="AE131" s="248"/>
      <c r="AF131" s="248"/>
      <c r="AG131" s="248"/>
      <c r="AH131" s="248"/>
      <c r="AI131" s="248"/>
      <c r="AJ131" s="248"/>
      <c r="AK131" s="248"/>
      <c r="AL131" s="248"/>
      <c r="AM131" s="248"/>
      <c r="AN131" s="248"/>
      <c r="AO131" s="248"/>
      <c r="AP131" s="248"/>
      <c r="AQ131" s="248"/>
      <c r="AR131" s="248"/>
      <c r="AS131" s="248"/>
      <c r="AT131" s="248"/>
      <c r="AU131" s="248"/>
      <c r="AV131" s="248"/>
      <c r="AW131" s="248"/>
      <c r="AX131" s="248"/>
      <c r="AY131" s="248"/>
      <c r="AZ131" s="248"/>
      <c r="BA131" s="248"/>
      <c r="BB131" s="248"/>
      <c r="BC131" s="248"/>
      <c r="BD131" s="248"/>
      <c r="BE131" s="248"/>
      <c r="BF131" s="248"/>
      <c r="BG131" s="248"/>
      <c r="BH131" s="248"/>
      <c r="BI131" s="248"/>
      <c r="BJ131" s="248"/>
      <c r="BK131" s="248"/>
      <c r="BL131" s="248"/>
      <c r="BM131" s="248"/>
      <c r="BN131" s="248"/>
      <c r="BO131" s="248"/>
      <c r="BP131" s="248"/>
      <c r="BQ131" s="248"/>
      <c r="BR131" s="248"/>
      <c r="BS131" s="248"/>
      <c r="BT131" s="248"/>
      <c r="BU131" s="248"/>
      <c r="BV131" s="248"/>
      <c r="BW131" s="248"/>
      <c r="BX131" s="248"/>
      <c r="BY131" s="248"/>
      <c r="BZ131" s="248"/>
      <c r="CA131" s="248"/>
      <c r="CB131" s="248"/>
      <c r="CC131" s="248"/>
      <c r="CD131" s="248"/>
      <c r="CE131" s="248"/>
      <c r="CF131" s="248"/>
      <c r="CG131" s="248"/>
      <c r="CH131" s="248"/>
      <c r="CI131" s="248"/>
      <c r="CJ131" s="248"/>
      <c r="CK131" s="248"/>
      <c r="CL131" s="248"/>
      <c r="CM131" s="248"/>
      <c r="CN131" s="248"/>
      <c r="CO131" s="248"/>
      <c r="CP131" s="248"/>
      <c r="CQ131" s="248"/>
      <c r="CR131" s="248"/>
      <c r="CS131" s="248"/>
      <c r="CT131" s="248"/>
      <c r="CU131" s="248"/>
      <c r="CV131" s="248"/>
      <c r="CW131" s="248"/>
      <c r="CX131" s="248"/>
      <c r="CY131" s="248"/>
      <c r="CZ131" s="248"/>
      <c r="DA131" s="248"/>
      <c r="DB131" s="248"/>
      <c r="DC131" s="248"/>
      <c r="DD131" s="248"/>
      <c r="DE131" s="248"/>
      <c r="DF131" s="248"/>
      <c r="DG131" s="248"/>
      <c r="DH131" s="248"/>
      <c r="DI131" s="248"/>
      <c r="DJ131" s="248"/>
      <c r="DK131" s="248"/>
      <c r="DL131" s="248"/>
      <c r="DM131" s="248"/>
      <c r="DN131" s="248"/>
      <c r="DO131" s="248"/>
      <c r="DP131" s="248"/>
      <c r="DQ131" s="248"/>
      <c r="DR131" s="248"/>
      <c r="DS131" s="248"/>
      <c r="DT131" s="248"/>
      <c r="DU131" s="248"/>
      <c r="DV131" s="248"/>
      <c r="DW131" s="248"/>
      <c r="DX131" s="248"/>
      <c r="DY131" s="248"/>
      <c r="DZ131" s="248"/>
      <c r="EA131" s="248"/>
      <c r="EB131" s="248"/>
      <c r="EC131" s="248"/>
      <c r="ED131" s="248"/>
      <c r="EE131" s="248"/>
      <c r="EF131" s="248"/>
      <c r="EG131" s="248"/>
      <c r="EH131" s="248"/>
      <c r="EI131" s="248"/>
      <c r="EJ131" s="248"/>
      <c r="EK131" s="248"/>
      <c r="EL131" s="248"/>
      <c r="EM131" s="248"/>
      <c r="EN131" s="248"/>
      <c r="EO131" s="248"/>
      <c r="EP131" s="248"/>
      <c r="EQ131" s="248"/>
      <c r="ER131" s="248"/>
      <c r="ES131" s="248"/>
      <c r="ET131" s="248"/>
      <c r="EU131" s="248"/>
      <c r="EV131" s="248"/>
      <c r="EW131" s="248"/>
      <c r="EX131" s="248"/>
      <c r="EY131" s="248"/>
      <c r="EZ131" s="248"/>
      <c r="FA131" s="248"/>
      <c r="FB131" s="248"/>
      <c r="FC131" s="248"/>
      <c r="FD131" s="248"/>
      <c r="FE131" s="248"/>
      <c r="FF131" s="248"/>
      <c r="FG131" s="248"/>
      <c r="FH131" s="248"/>
      <c r="FI131" s="248"/>
      <c r="FJ131" s="248"/>
      <c r="FK131" s="248"/>
      <c r="FL131" s="248"/>
      <c r="FM131" s="248"/>
      <c r="FN131" s="248"/>
      <c r="FO131" s="248"/>
      <c r="FP131" s="248"/>
      <c r="FQ131" s="248"/>
      <c r="FR131" s="248"/>
      <c r="FS131" s="248"/>
      <c r="FT131" s="248"/>
      <c r="FU131" s="248"/>
      <c r="FV131" s="248"/>
      <c r="FW131" s="248"/>
      <c r="FX131" s="248"/>
      <c r="FY131" s="248"/>
      <c r="FZ131" s="248"/>
      <c r="GA131" s="248"/>
      <c r="GB131" s="248"/>
      <c r="GC131" s="248"/>
      <c r="GD131" s="248"/>
      <c r="GE131" s="248"/>
      <c r="GF131" s="248"/>
      <c r="GG131" s="248"/>
      <c r="GH131" s="248"/>
      <c r="GI131" s="248"/>
      <c r="GJ131" s="248"/>
      <c r="GK131" s="248"/>
      <c r="GL131" s="248"/>
      <c r="GM131" s="248"/>
      <c r="GN131" s="248"/>
      <c r="GO131" s="248"/>
      <c r="GP131" s="248"/>
      <c r="GQ131" s="248"/>
      <c r="GR131" s="248"/>
      <c r="GS131" s="248"/>
      <c r="GT131" s="248"/>
      <c r="GU131" s="248"/>
      <c r="GV131" s="248"/>
      <c r="GW131" s="248"/>
      <c r="GX131" s="248"/>
      <c r="GY131" s="248"/>
      <c r="GZ131" s="248"/>
      <c r="HA131" s="248"/>
      <c r="HB131" s="248"/>
      <c r="HC131" s="248"/>
      <c r="HD131" s="248"/>
      <c r="HE131" s="248"/>
      <c r="HF131" s="248"/>
      <c r="HG131" s="248"/>
      <c r="HH131" s="248"/>
      <c r="HI131" s="248"/>
      <c r="HJ131" s="248"/>
      <c r="HK131" s="248"/>
      <c r="HL131" s="248"/>
      <c r="HM131" s="248"/>
      <c r="HN131" s="248"/>
      <c r="HO131" s="248"/>
      <c r="HP131" s="248"/>
      <c r="HQ131" s="248"/>
      <c r="HR131" s="248"/>
      <c r="HS131" s="248"/>
      <c r="HT131" s="248"/>
      <c r="HU131" s="248"/>
      <c r="HV131" s="248"/>
      <c r="HW131" s="248"/>
      <c r="HX131" s="248"/>
      <c r="HY131" s="248"/>
      <c r="HZ131" s="248"/>
      <c r="IA131" s="248"/>
      <c r="IB131" s="248"/>
      <c r="IC131" s="248"/>
      <c r="ID131" s="248"/>
      <c r="IE131" s="248"/>
      <c r="IF131" s="248"/>
      <c r="IG131" s="248"/>
      <c r="IH131" s="248"/>
      <c r="II131" s="248"/>
      <c r="IJ131" s="248"/>
      <c r="IK131" s="248"/>
      <c r="IL131" s="248"/>
      <c r="IM131" s="248"/>
      <c r="IN131" s="248"/>
    </row>
    <row r="132" spans="1:248" s="164" customFormat="1">
      <c r="A132" s="242"/>
      <c r="B132" s="248"/>
      <c r="C132" s="248"/>
      <c r="D132" s="316"/>
      <c r="E132" s="316"/>
      <c r="F132" s="248"/>
      <c r="G132" s="316"/>
      <c r="H132" s="248"/>
      <c r="I132" s="248"/>
      <c r="J132" s="279"/>
      <c r="K132" s="35"/>
      <c r="L132" s="35"/>
      <c r="M132" s="35"/>
      <c r="N132" s="47"/>
      <c r="O132" s="228"/>
      <c r="P132" s="47"/>
      <c r="Q132" s="35"/>
      <c r="R132" s="248"/>
      <c r="S132" s="248"/>
      <c r="T132" s="248"/>
      <c r="U132" s="248"/>
      <c r="V132" s="248"/>
      <c r="W132" s="313"/>
      <c r="X132" s="248"/>
      <c r="Y132" s="248"/>
      <c r="Z132" s="248"/>
      <c r="AA132" s="248"/>
      <c r="AB132" s="248"/>
      <c r="AC132" s="248"/>
      <c r="AD132" s="248"/>
      <c r="AE132" s="248"/>
      <c r="AF132" s="248"/>
      <c r="AG132" s="248"/>
      <c r="AH132" s="248"/>
      <c r="AI132" s="248"/>
      <c r="AJ132" s="248"/>
      <c r="AK132" s="248"/>
      <c r="AL132" s="248"/>
      <c r="AM132" s="248"/>
      <c r="AN132" s="248"/>
      <c r="AO132" s="248"/>
      <c r="AP132" s="248"/>
      <c r="AQ132" s="248"/>
      <c r="AR132" s="248"/>
      <c r="AS132" s="248"/>
      <c r="AT132" s="248"/>
      <c r="AU132" s="248"/>
      <c r="AV132" s="248"/>
      <c r="AW132" s="248"/>
      <c r="AX132" s="248"/>
      <c r="AY132" s="248"/>
      <c r="AZ132" s="248"/>
      <c r="BA132" s="248"/>
      <c r="BB132" s="248"/>
      <c r="BC132" s="248"/>
      <c r="BD132" s="248"/>
      <c r="BE132" s="248"/>
      <c r="BF132" s="248"/>
      <c r="BG132" s="248"/>
      <c r="BH132" s="248"/>
      <c r="BI132" s="248"/>
      <c r="BJ132" s="248"/>
      <c r="BK132" s="248"/>
      <c r="BL132" s="248"/>
      <c r="BM132" s="248"/>
      <c r="BN132" s="248"/>
      <c r="BO132" s="248"/>
      <c r="BP132" s="248"/>
      <c r="BQ132" s="248"/>
      <c r="BR132" s="248"/>
      <c r="BS132" s="248"/>
      <c r="BT132" s="248"/>
      <c r="BU132" s="248"/>
      <c r="BV132" s="248"/>
      <c r="BW132" s="248"/>
      <c r="BX132" s="248"/>
      <c r="BY132" s="248"/>
      <c r="BZ132" s="248"/>
      <c r="CA132" s="248"/>
      <c r="CB132" s="248"/>
      <c r="CC132" s="248"/>
      <c r="CD132" s="248"/>
      <c r="CE132" s="248"/>
      <c r="CF132" s="248"/>
      <c r="CG132" s="248"/>
      <c r="CH132" s="248"/>
      <c r="CI132" s="248"/>
      <c r="CJ132" s="248"/>
      <c r="CK132" s="248"/>
      <c r="CL132" s="248"/>
      <c r="CM132" s="248"/>
      <c r="CN132" s="248"/>
      <c r="CO132" s="248"/>
      <c r="CP132" s="248"/>
      <c r="CQ132" s="248"/>
      <c r="CR132" s="248"/>
      <c r="CS132" s="248"/>
      <c r="CT132" s="248"/>
      <c r="CU132" s="248"/>
      <c r="CV132" s="248"/>
      <c r="CW132" s="248"/>
      <c r="CX132" s="248"/>
      <c r="CY132" s="248"/>
      <c r="CZ132" s="248"/>
      <c r="DA132" s="248"/>
      <c r="DB132" s="248"/>
      <c r="DC132" s="248"/>
      <c r="DD132" s="248"/>
      <c r="DE132" s="248"/>
      <c r="DF132" s="248"/>
      <c r="DG132" s="248"/>
      <c r="DH132" s="248"/>
      <c r="DI132" s="248"/>
      <c r="DJ132" s="248"/>
      <c r="DK132" s="248"/>
      <c r="DL132" s="248"/>
      <c r="DM132" s="248"/>
      <c r="DN132" s="248"/>
      <c r="DO132" s="248"/>
      <c r="DP132" s="248"/>
      <c r="DQ132" s="248"/>
      <c r="DR132" s="248"/>
      <c r="DS132" s="248"/>
      <c r="DT132" s="248"/>
      <c r="DU132" s="248"/>
      <c r="DV132" s="248"/>
      <c r="DW132" s="248"/>
      <c r="DX132" s="248"/>
      <c r="DY132" s="248"/>
      <c r="DZ132" s="248"/>
      <c r="EA132" s="248"/>
      <c r="EB132" s="248"/>
      <c r="EC132" s="248"/>
      <c r="ED132" s="248"/>
      <c r="EE132" s="248"/>
      <c r="EF132" s="248"/>
      <c r="EG132" s="248"/>
      <c r="EH132" s="248"/>
      <c r="EI132" s="248"/>
      <c r="EJ132" s="248"/>
      <c r="EK132" s="248"/>
      <c r="EL132" s="248"/>
      <c r="EM132" s="248"/>
      <c r="EN132" s="248"/>
      <c r="EO132" s="248"/>
      <c r="EP132" s="248"/>
      <c r="EQ132" s="248"/>
      <c r="ER132" s="248"/>
      <c r="ES132" s="248"/>
      <c r="ET132" s="248"/>
      <c r="EU132" s="248"/>
      <c r="EV132" s="248"/>
      <c r="EW132" s="248"/>
      <c r="EX132" s="248"/>
      <c r="EY132" s="248"/>
      <c r="EZ132" s="248"/>
      <c r="FA132" s="248"/>
      <c r="FB132" s="248"/>
      <c r="FC132" s="248"/>
      <c r="FD132" s="248"/>
      <c r="FE132" s="248"/>
      <c r="FF132" s="248"/>
      <c r="FG132" s="248"/>
      <c r="FH132" s="248"/>
      <c r="FI132" s="248"/>
      <c r="FJ132" s="248"/>
      <c r="FK132" s="248"/>
      <c r="FL132" s="248"/>
      <c r="FM132" s="248"/>
      <c r="FN132" s="248"/>
      <c r="FO132" s="248"/>
      <c r="FP132" s="248"/>
      <c r="FQ132" s="248"/>
      <c r="FR132" s="248"/>
      <c r="FS132" s="248"/>
      <c r="FT132" s="248"/>
      <c r="FU132" s="248"/>
      <c r="FV132" s="248"/>
      <c r="FW132" s="248"/>
      <c r="FX132" s="248"/>
      <c r="FY132" s="248"/>
      <c r="FZ132" s="248"/>
      <c r="GA132" s="248"/>
      <c r="GB132" s="248"/>
      <c r="GC132" s="248"/>
      <c r="GD132" s="248"/>
      <c r="GE132" s="248"/>
      <c r="GF132" s="248"/>
      <c r="GG132" s="248"/>
      <c r="GH132" s="248"/>
      <c r="GI132" s="248"/>
      <c r="GJ132" s="248"/>
      <c r="GK132" s="248"/>
      <c r="GL132" s="248"/>
      <c r="GM132" s="248"/>
      <c r="GN132" s="248"/>
      <c r="GO132" s="248"/>
      <c r="GP132" s="248"/>
      <c r="GQ132" s="248"/>
      <c r="GR132" s="248"/>
      <c r="GS132" s="248"/>
      <c r="GT132" s="248"/>
      <c r="GU132" s="248"/>
      <c r="GV132" s="248"/>
      <c r="GW132" s="248"/>
      <c r="GX132" s="248"/>
      <c r="GY132" s="248"/>
      <c r="GZ132" s="248"/>
      <c r="HA132" s="248"/>
      <c r="HB132" s="248"/>
      <c r="HC132" s="248"/>
      <c r="HD132" s="248"/>
      <c r="HE132" s="248"/>
      <c r="HF132" s="248"/>
      <c r="HG132" s="248"/>
      <c r="HH132" s="248"/>
      <c r="HI132" s="248"/>
      <c r="HJ132" s="248"/>
      <c r="HK132" s="248"/>
      <c r="HL132" s="248"/>
      <c r="HM132" s="248"/>
      <c r="HN132" s="248"/>
      <c r="HO132" s="248"/>
      <c r="HP132" s="248"/>
      <c r="HQ132" s="248"/>
      <c r="HR132" s="248"/>
      <c r="HS132" s="248"/>
      <c r="HT132" s="248"/>
      <c r="HU132" s="248"/>
      <c r="HV132" s="248"/>
      <c r="HW132" s="248"/>
      <c r="HX132" s="248"/>
      <c r="HY132" s="248"/>
      <c r="HZ132" s="248"/>
      <c r="IA132" s="248"/>
      <c r="IB132" s="248"/>
      <c r="IC132" s="248"/>
      <c r="ID132" s="248"/>
      <c r="IE132" s="248"/>
      <c r="IF132" s="248"/>
      <c r="IG132" s="248"/>
      <c r="IH132" s="248"/>
      <c r="II132" s="248"/>
      <c r="IJ132" s="248"/>
      <c r="IK132" s="248"/>
      <c r="IL132" s="248"/>
      <c r="IM132" s="248"/>
      <c r="IN132" s="248"/>
    </row>
    <row r="133" spans="1:248" s="164" customFormat="1">
      <c r="A133" s="242"/>
      <c r="B133" s="248"/>
      <c r="C133" s="248"/>
      <c r="D133" s="316"/>
      <c r="E133" s="316"/>
      <c r="F133" s="248"/>
      <c r="G133" s="316"/>
      <c r="H133" s="248"/>
      <c r="I133" s="248"/>
      <c r="J133" s="279"/>
      <c r="K133" s="35"/>
      <c r="L133" s="35"/>
      <c r="M133" s="35"/>
      <c r="N133" s="47"/>
      <c r="O133" s="228"/>
      <c r="P133" s="47"/>
      <c r="Q133" s="35"/>
      <c r="R133" s="248"/>
      <c r="S133" s="248"/>
      <c r="T133" s="248"/>
      <c r="U133" s="248"/>
      <c r="V133" s="248"/>
      <c r="W133" s="313"/>
      <c r="X133" s="248"/>
      <c r="Y133" s="248"/>
      <c r="Z133" s="248"/>
      <c r="AA133" s="248"/>
      <c r="AB133" s="248"/>
      <c r="AC133" s="248"/>
      <c r="AD133" s="248"/>
      <c r="AE133" s="248"/>
      <c r="AF133" s="248"/>
      <c r="AG133" s="248"/>
      <c r="AH133" s="248"/>
      <c r="AI133" s="248"/>
      <c r="AJ133" s="248"/>
      <c r="AK133" s="248"/>
      <c r="AL133" s="248"/>
      <c r="AM133" s="248"/>
      <c r="AN133" s="248"/>
      <c r="AO133" s="248"/>
      <c r="AP133" s="248"/>
      <c r="AQ133" s="248"/>
      <c r="AR133" s="248"/>
      <c r="AS133" s="248"/>
      <c r="AT133" s="248"/>
      <c r="AU133" s="248"/>
      <c r="AV133" s="248"/>
      <c r="AW133" s="248"/>
      <c r="AX133" s="248"/>
      <c r="AY133" s="248"/>
      <c r="AZ133" s="248"/>
      <c r="BA133" s="248"/>
      <c r="BB133" s="248"/>
      <c r="BC133" s="248"/>
      <c r="BD133" s="248"/>
      <c r="BE133" s="248"/>
      <c r="BF133" s="248"/>
      <c r="BG133" s="248"/>
      <c r="BH133" s="248"/>
      <c r="BI133" s="248"/>
      <c r="BJ133" s="248"/>
      <c r="BK133" s="248"/>
      <c r="BL133" s="248"/>
      <c r="BM133" s="248"/>
      <c r="BN133" s="248"/>
      <c r="BO133" s="248"/>
      <c r="BP133" s="248"/>
      <c r="BQ133" s="248"/>
      <c r="BR133" s="248"/>
      <c r="BS133" s="248"/>
      <c r="BT133" s="248"/>
      <c r="BU133" s="248"/>
      <c r="BV133" s="248"/>
      <c r="BW133" s="248"/>
      <c r="BX133" s="248"/>
      <c r="BY133" s="248"/>
      <c r="BZ133" s="248"/>
      <c r="CA133" s="248"/>
      <c r="CB133" s="248"/>
      <c r="CC133" s="248"/>
      <c r="CD133" s="248"/>
      <c r="CE133" s="248"/>
      <c r="CF133" s="248"/>
      <c r="CG133" s="248"/>
      <c r="CH133" s="248"/>
      <c r="CI133" s="248"/>
      <c r="CJ133" s="248"/>
      <c r="CK133" s="248"/>
      <c r="CL133" s="248"/>
      <c r="CM133" s="248"/>
      <c r="CN133" s="248"/>
      <c r="CO133" s="248"/>
      <c r="CP133" s="248"/>
      <c r="CQ133" s="248"/>
      <c r="CR133" s="248"/>
      <c r="CS133" s="248"/>
      <c r="CT133" s="248"/>
      <c r="CU133" s="248"/>
      <c r="CV133" s="248"/>
      <c r="CW133" s="248"/>
      <c r="CX133" s="248"/>
      <c r="CY133" s="248"/>
      <c r="CZ133" s="248"/>
      <c r="DA133" s="248"/>
      <c r="DB133" s="248"/>
      <c r="DC133" s="248"/>
      <c r="DD133" s="248"/>
      <c r="DE133" s="248"/>
      <c r="DF133" s="248"/>
      <c r="DG133" s="248"/>
      <c r="DH133" s="248"/>
      <c r="DI133" s="248"/>
      <c r="DJ133" s="248"/>
      <c r="DK133" s="248"/>
      <c r="DL133" s="248"/>
      <c r="DM133" s="248"/>
      <c r="DN133" s="248"/>
      <c r="DO133" s="248"/>
      <c r="DP133" s="248"/>
      <c r="DQ133" s="248"/>
      <c r="DR133" s="248"/>
      <c r="DS133" s="248"/>
      <c r="DT133" s="248"/>
      <c r="DU133" s="248"/>
      <c r="DV133" s="248"/>
      <c r="DW133" s="248"/>
      <c r="DX133" s="248"/>
      <c r="DY133" s="248"/>
      <c r="DZ133" s="248"/>
      <c r="EA133" s="248"/>
      <c r="EB133" s="248"/>
      <c r="EC133" s="248"/>
      <c r="ED133" s="248"/>
      <c r="EE133" s="248"/>
      <c r="EF133" s="248"/>
      <c r="EG133" s="248"/>
      <c r="EH133" s="248"/>
      <c r="EI133" s="248"/>
      <c r="EJ133" s="248"/>
      <c r="EK133" s="248"/>
      <c r="EL133" s="248"/>
      <c r="EM133" s="248"/>
      <c r="EN133" s="248"/>
      <c r="EO133" s="248"/>
      <c r="EP133" s="248"/>
      <c r="EQ133" s="248"/>
      <c r="ER133" s="248"/>
      <c r="ES133" s="248"/>
      <c r="ET133" s="248"/>
      <c r="EU133" s="248"/>
      <c r="EV133" s="248"/>
      <c r="EW133" s="248"/>
      <c r="EX133" s="248"/>
      <c r="EY133" s="248"/>
      <c r="EZ133" s="248"/>
      <c r="FA133" s="248"/>
      <c r="FB133" s="248"/>
      <c r="FC133" s="248"/>
      <c r="FD133" s="248"/>
      <c r="FE133" s="248"/>
      <c r="FF133" s="248"/>
      <c r="FG133" s="248"/>
      <c r="FH133" s="248"/>
      <c r="FI133" s="248"/>
      <c r="FJ133" s="248"/>
      <c r="FK133" s="248"/>
      <c r="FL133" s="248"/>
      <c r="FM133" s="248"/>
      <c r="FN133" s="248"/>
      <c r="FO133" s="248"/>
      <c r="FP133" s="248"/>
      <c r="FQ133" s="248"/>
      <c r="FR133" s="248"/>
      <c r="FS133" s="248"/>
      <c r="FT133" s="248"/>
      <c r="FU133" s="248"/>
      <c r="FV133" s="248"/>
      <c r="FW133" s="248"/>
      <c r="FX133" s="248"/>
      <c r="FY133" s="248"/>
      <c r="FZ133" s="248"/>
      <c r="GA133" s="248"/>
      <c r="GB133" s="248"/>
      <c r="GC133" s="248"/>
      <c r="GD133" s="248"/>
      <c r="GE133" s="248"/>
      <c r="GF133" s="248"/>
      <c r="GG133" s="248"/>
      <c r="GH133" s="248"/>
      <c r="GI133" s="248"/>
      <c r="GJ133" s="248"/>
      <c r="GK133" s="248"/>
      <c r="GL133" s="248"/>
      <c r="GM133" s="248"/>
      <c r="GN133" s="248"/>
      <c r="GO133" s="248"/>
      <c r="GP133" s="248"/>
      <c r="GQ133" s="248"/>
      <c r="GR133" s="248"/>
      <c r="GS133" s="248"/>
      <c r="GT133" s="248"/>
      <c r="GU133" s="248"/>
      <c r="GV133" s="248"/>
      <c r="GW133" s="248"/>
      <c r="GX133" s="248"/>
      <c r="GY133" s="248"/>
      <c r="GZ133" s="248"/>
      <c r="HA133" s="248"/>
      <c r="HB133" s="248"/>
      <c r="HC133" s="248"/>
      <c r="HD133" s="248"/>
      <c r="HE133" s="248"/>
      <c r="HF133" s="248"/>
      <c r="HG133" s="248"/>
      <c r="HH133" s="248"/>
      <c r="HI133" s="248"/>
      <c r="HJ133" s="248"/>
      <c r="HK133" s="248"/>
      <c r="HL133" s="248"/>
      <c r="HM133" s="248"/>
      <c r="HN133" s="248"/>
      <c r="HO133" s="248"/>
      <c r="HP133" s="248"/>
      <c r="HQ133" s="248"/>
      <c r="HR133" s="248"/>
      <c r="HS133" s="248"/>
      <c r="HT133" s="248"/>
      <c r="HU133" s="248"/>
      <c r="HV133" s="248"/>
      <c r="HW133" s="248"/>
      <c r="HX133" s="248"/>
      <c r="HY133" s="248"/>
      <c r="HZ133" s="248"/>
      <c r="IA133" s="248"/>
      <c r="IB133" s="248"/>
      <c r="IC133" s="248"/>
      <c r="ID133" s="248"/>
      <c r="IE133" s="248"/>
      <c r="IF133" s="248"/>
      <c r="IG133" s="248"/>
      <c r="IH133" s="248"/>
      <c r="II133" s="248"/>
      <c r="IJ133" s="248"/>
      <c r="IK133" s="248"/>
      <c r="IL133" s="248"/>
      <c r="IM133" s="248"/>
      <c r="IN133" s="248"/>
    </row>
    <row r="134" spans="1:248" s="164" customFormat="1">
      <c r="A134" s="242"/>
      <c r="B134" s="248"/>
      <c r="C134" s="248"/>
      <c r="D134" s="316"/>
      <c r="E134" s="316"/>
      <c r="F134" s="248"/>
      <c r="G134" s="316"/>
      <c r="H134" s="248"/>
      <c r="I134" s="248"/>
      <c r="J134" s="279"/>
      <c r="K134" s="35"/>
      <c r="L134" s="35"/>
      <c r="M134" s="35"/>
      <c r="N134" s="47"/>
      <c r="O134" s="228"/>
      <c r="P134" s="47"/>
      <c r="Q134" s="35"/>
      <c r="R134" s="248"/>
      <c r="S134" s="248"/>
      <c r="T134" s="248"/>
      <c r="U134" s="248"/>
      <c r="V134" s="248"/>
      <c r="W134" s="313"/>
      <c r="X134" s="248"/>
      <c r="Y134" s="248"/>
      <c r="Z134" s="248"/>
      <c r="AA134" s="248"/>
      <c r="AB134" s="248"/>
      <c r="AC134" s="248"/>
      <c r="AD134" s="248"/>
      <c r="AE134" s="248"/>
      <c r="AF134" s="248"/>
      <c r="AG134" s="248"/>
      <c r="AH134" s="248"/>
      <c r="AI134" s="248"/>
      <c r="AJ134" s="248"/>
      <c r="AK134" s="248"/>
      <c r="AL134" s="248"/>
      <c r="AM134" s="248"/>
      <c r="AN134" s="248"/>
      <c r="AO134" s="248"/>
      <c r="AP134" s="248"/>
      <c r="AQ134" s="248"/>
      <c r="AR134" s="248"/>
      <c r="AS134" s="248"/>
      <c r="AT134" s="248"/>
      <c r="AU134" s="248"/>
      <c r="AV134" s="248"/>
      <c r="AW134" s="248"/>
      <c r="AX134" s="248"/>
      <c r="AY134" s="248"/>
      <c r="AZ134" s="248"/>
      <c r="BA134" s="248"/>
      <c r="BB134" s="248"/>
      <c r="BC134" s="248"/>
      <c r="BD134" s="248"/>
      <c r="BE134" s="248"/>
      <c r="BF134" s="248"/>
      <c r="BG134" s="248"/>
      <c r="BH134" s="248"/>
      <c r="BI134" s="248"/>
      <c r="BJ134" s="248"/>
      <c r="BK134" s="248"/>
      <c r="BL134" s="248"/>
      <c r="BM134" s="248"/>
      <c r="BN134" s="248"/>
      <c r="BO134" s="248"/>
      <c r="BP134" s="248"/>
      <c r="BQ134" s="248"/>
      <c r="BR134" s="248"/>
      <c r="BS134" s="248"/>
      <c r="BT134" s="248"/>
      <c r="BU134" s="248"/>
      <c r="BV134" s="248"/>
      <c r="BW134" s="248"/>
      <c r="BX134" s="248"/>
      <c r="BY134" s="248"/>
      <c r="BZ134" s="248"/>
      <c r="CA134" s="248"/>
      <c r="CB134" s="248"/>
      <c r="CC134" s="248"/>
      <c r="CD134" s="248"/>
      <c r="CE134" s="248"/>
      <c r="CF134" s="248"/>
      <c r="CG134" s="248"/>
      <c r="CH134" s="248"/>
      <c r="CI134" s="248"/>
      <c r="CJ134" s="248"/>
      <c r="CK134" s="248"/>
      <c r="CL134" s="248"/>
      <c r="CM134" s="248"/>
      <c r="CN134" s="248"/>
      <c r="CO134" s="248"/>
      <c r="CP134" s="248"/>
      <c r="CQ134" s="248"/>
      <c r="CR134" s="248"/>
      <c r="CS134" s="248"/>
      <c r="CT134" s="248"/>
      <c r="CU134" s="248"/>
      <c r="CV134" s="248"/>
      <c r="CW134" s="248"/>
      <c r="CX134" s="248"/>
      <c r="CY134" s="248"/>
      <c r="CZ134" s="248"/>
      <c r="DA134" s="248"/>
      <c r="DB134" s="248"/>
      <c r="DC134" s="248"/>
      <c r="DD134" s="248"/>
      <c r="DE134" s="248"/>
      <c r="DF134" s="248"/>
      <c r="DG134" s="248"/>
      <c r="DH134" s="248"/>
      <c r="DI134" s="248"/>
      <c r="DJ134" s="248"/>
      <c r="DK134" s="248"/>
      <c r="DL134" s="248"/>
      <c r="DM134" s="248"/>
      <c r="DN134" s="248"/>
      <c r="DO134" s="248"/>
      <c r="DP134" s="248"/>
      <c r="DQ134" s="248"/>
      <c r="DR134" s="248"/>
      <c r="DS134" s="248"/>
      <c r="DT134" s="248"/>
      <c r="DU134" s="248"/>
      <c r="DV134" s="248"/>
      <c r="DW134" s="248"/>
      <c r="DX134" s="248"/>
      <c r="DY134" s="248"/>
      <c r="DZ134" s="248"/>
      <c r="EA134" s="248"/>
      <c r="EB134" s="248"/>
      <c r="EC134" s="248"/>
      <c r="ED134" s="248"/>
      <c r="EE134" s="248"/>
      <c r="EF134" s="248"/>
      <c r="EG134" s="248"/>
      <c r="EH134" s="248"/>
      <c r="EI134" s="248"/>
      <c r="EJ134" s="248"/>
      <c r="EK134" s="248"/>
      <c r="EL134" s="248"/>
      <c r="EM134" s="248"/>
      <c r="EN134" s="248"/>
      <c r="EO134" s="248"/>
      <c r="EP134" s="248"/>
      <c r="EQ134" s="248"/>
      <c r="ER134" s="248"/>
      <c r="ES134" s="248"/>
      <c r="ET134" s="248"/>
      <c r="EU134" s="248"/>
      <c r="EV134" s="248"/>
      <c r="EW134" s="248"/>
      <c r="EX134" s="248"/>
      <c r="EY134" s="248"/>
      <c r="EZ134" s="248"/>
      <c r="FA134" s="248"/>
      <c r="FB134" s="248"/>
      <c r="FC134" s="248"/>
      <c r="FD134" s="248"/>
      <c r="FE134" s="248"/>
      <c r="FF134" s="248"/>
      <c r="FG134" s="248"/>
      <c r="FH134" s="248"/>
      <c r="FI134" s="248"/>
      <c r="FJ134" s="248"/>
      <c r="FK134" s="248"/>
      <c r="FL134" s="248"/>
      <c r="FM134" s="248"/>
      <c r="FN134" s="248"/>
      <c r="FO134" s="248"/>
      <c r="FP134" s="248"/>
      <c r="FQ134" s="248"/>
      <c r="FR134" s="248"/>
      <c r="FS134" s="248"/>
      <c r="FT134" s="248"/>
      <c r="FU134" s="248"/>
      <c r="FV134" s="248"/>
      <c r="FW134" s="248"/>
      <c r="FX134" s="248"/>
      <c r="FY134" s="248"/>
      <c r="FZ134" s="248"/>
      <c r="GA134" s="248"/>
      <c r="GB134" s="248"/>
      <c r="GC134" s="248"/>
      <c r="GD134" s="248"/>
      <c r="GE134" s="248"/>
      <c r="GF134" s="248"/>
      <c r="GG134" s="248"/>
      <c r="GH134" s="248"/>
      <c r="GI134" s="248"/>
      <c r="GJ134" s="248"/>
      <c r="GK134" s="248"/>
      <c r="GL134" s="248"/>
      <c r="GM134" s="248"/>
      <c r="GN134" s="248"/>
      <c r="GO134" s="248"/>
      <c r="GP134" s="248"/>
      <c r="GQ134" s="248"/>
      <c r="GR134" s="248"/>
      <c r="GS134" s="248"/>
      <c r="GT134" s="248"/>
      <c r="GU134" s="248"/>
      <c r="GV134" s="248"/>
      <c r="GW134" s="248"/>
      <c r="GX134" s="248"/>
      <c r="GY134" s="248"/>
      <c r="GZ134" s="248"/>
      <c r="HA134" s="248"/>
      <c r="HB134" s="248"/>
      <c r="HC134" s="248"/>
      <c r="HD134" s="248"/>
      <c r="HE134" s="248"/>
      <c r="HF134" s="248"/>
      <c r="HG134" s="248"/>
      <c r="HH134" s="248"/>
      <c r="HI134" s="248"/>
      <c r="HJ134" s="248"/>
      <c r="HK134" s="248"/>
      <c r="HL134" s="248"/>
      <c r="HM134" s="248"/>
      <c r="HN134" s="248"/>
      <c r="HO134" s="248"/>
      <c r="HP134" s="248"/>
      <c r="HQ134" s="248"/>
      <c r="HR134" s="248"/>
      <c r="HS134" s="248"/>
      <c r="HT134" s="248"/>
      <c r="HU134" s="248"/>
      <c r="HV134" s="248"/>
      <c r="HW134" s="248"/>
      <c r="HX134" s="248"/>
      <c r="HY134" s="248"/>
      <c r="HZ134" s="248"/>
      <c r="IA134" s="248"/>
      <c r="IB134" s="248"/>
      <c r="IC134" s="248"/>
      <c r="ID134" s="248"/>
      <c r="IE134" s="248"/>
      <c r="IF134" s="248"/>
      <c r="IG134" s="248"/>
      <c r="IH134" s="248"/>
      <c r="II134" s="248"/>
      <c r="IJ134" s="248"/>
      <c r="IK134" s="248"/>
      <c r="IL134" s="248"/>
      <c r="IM134" s="248"/>
      <c r="IN134" s="248"/>
    </row>
    <row r="135" spans="1:248" s="164" customFormat="1">
      <c r="A135" s="242"/>
      <c r="B135" s="248"/>
      <c r="C135" s="248"/>
      <c r="D135" s="316"/>
      <c r="E135" s="316"/>
      <c r="F135" s="248"/>
      <c r="G135" s="316"/>
      <c r="H135" s="248"/>
      <c r="I135" s="248"/>
      <c r="J135" s="279"/>
      <c r="K135" s="35"/>
      <c r="L135" s="35"/>
      <c r="M135" s="35"/>
      <c r="N135" s="35"/>
      <c r="O135" s="58"/>
      <c r="P135" s="35"/>
      <c r="Q135" s="35"/>
      <c r="R135" s="248"/>
      <c r="S135" s="248"/>
      <c r="T135" s="248"/>
      <c r="U135" s="248"/>
      <c r="V135" s="248"/>
      <c r="W135" s="313"/>
      <c r="X135" s="248"/>
      <c r="Y135" s="248"/>
      <c r="Z135" s="248"/>
      <c r="AA135" s="248"/>
      <c r="AB135" s="248"/>
      <c r="AC135" s="248"/>
      <c r="AD135" s="248"/>
      <c r="AE135" s="248"/>
      <c r="AF135" s="248"/>
      <c r="AG135" s="248"/>
      <c r="AH135" s="248"/>
      <c r="AI135" s="248"/>
      <c r="AJ135" s="248"/>
      <c r="AK135" s="248"/>
      <c r="AL135" s="248"/>
      <c r="AM135" s="248"/>
      <c r="AN135" s="248"/>
      <c r="AO135" s="248"/>
      <c r="AP135" s="248"/>
      <c r="AQ135" s="248"/>
      <c r="AR135" s="248"/>
      <c r="AS135" s="248"/>
      <c r="AT135" s="248"/>
      <c r="AU135" s="248"/>
      <c r="AV135" s="248"/>
      <c r="AW135" s="248"/>
      <c r="AX135" s="248"/>
      <c r="AY135" s="248"/>
      <c r="AZ135" s="248"/>
      <c r="BA135" s="248"/>
      <c r="BB135" s="248"/>
      <c r="BC135" s="248"/>
      <c r="BD135" s="248"/>
      <c r="BE135" s="248"/>
      <c r="BF135" s="248"/>
      <c r="BG135" s="248"/>
      <c r="BH135" s="248"/>
      <c r="BI135" s="248"/>
      <c r="BJ135" s="248"/>
      <c r="BK135" s="248"/>
      <c r="BL135" s="248"/>
      <c r="BM135" s="248"/>
      <c r="BN135" s="248"/>
      <c r="BO135" s="248"/>
      <c r="BP135" s="248"/>
      <c r="BQ135" s="248"/>
      <c r="BR135" s="248"/>
      <c r="BS135" s="248"/>
      <c r="BT135" s="248"/>
      <c r="BU135" s="248"/>
      <c r="BV135" s="248"/>
      <c r="BW135" s="248"/>
      <c r="BX135" s="248"/>
      <c r="BY135" s="248"/>
      <c r="BZ135" s="248"/>
      <c r="CA135" s="248"/>
      <c r="CB135" s="248"/>
      <c r="CC135" s="248"/>
      <c r="CD135" s="248"/>
      <c r="CE135" s="248"/>
      <c r="CF135" s="248"/>
      <c r="CG135" s="248"/>
      <c r="CH135" s="248"/>
      <c r="CI135" s="248"/>
      <c r="CJ135" s="248"/>
      <c r="CK135" s="248"/>
      <c r="CL135" s="248"/>
      <c r="CM135" s="248"/>
      <c r="CN135" s="248"/>
      <c r="CO135" s="248"/>
      <c r="CP135" s="248"/>
      <c r="CQ135" s="248"/>
      <c r="CR135" s="248"/>
      <c r="CS135" s="248"/>
      <c r="CT135" s="248"/>
      <c r="CU135" s="248"/>
      <c r="CV135" s="248"/>
      <c r="CW135" s="248"/>
      <c r="CX135" s="248"/>
      <c r="CY135" s="248"/>
      <c r="CZ135" s="248"/>
      <c r="DA135" s="248"/>
      <c r="DB135" s="248"/>
      <c r="DC135" s="248"/>
      <c r="DD135" s="248"/>
      <c r="DE135" s="248"/>
      <c r="DF135" s="248"/>
      <c r="DG135" s="248"/>
      <c r="DH135" s="248"/>
      <c r="DI135" s="248"/>
      <c r="DJ135" s="248"/>
      <c r="DK135" s="248"/>
      <c r="DL135" s="248"/>
      <c r="DM135" s="248"/>
      <c r="DN135" s="248"/>
      <c r="DO135" s="248"/>
      <c r="DP135" s="248"/>
      <c r="DQ135" s="248"/>
      <c r="DR135" s="248"/>
      <c r="DS135" s="248"/>
      <c r="DT135" s="248"/>
      <c r="DU135" s="248"/>
      <c r="DV135" s="248"/>
      <c r="DW135" s="248"/>
      <c r="DX135" s="248"/>
      <c r="DY135" s="248"/>
      <c r="DZ135" s="248"/>
      <c r="EA135" s="248"/>
      <c r="EB135" s="248"/>
      <c r="EC135" s="248"/>
      <c r="ED135" s="248"/>
      <c r="EE135" s="248"/>
      <c r="EF135" s="248"/>
      <c r="EG135" s="248"/>
      <c r="EH135" s="248"/>
      <c r="EI135" s="248"/>
      <c r="EJ135" s="248"/>
      <c r="EK135" s="248"/>
      <c r="EL135" s="248"/>
      <c r="EM135" s="248"/>
      <c r="EN135" s="248"/>
      <c r="EO135" s="248"/>
      <c r="EP135" s="248"/>
      <c r="EQ135" s="248"/>
      <c r="ER135" s="248"/>
      <c r="ES135" s="248"/>
      <c r="ET135" s="248"/>
      <c r="EU135" s="248"/>
      <c r="EV135" s="248"/>
      <c r="EW135" s="248"/>
      <c r="EX135" s="248"/>
      <c r="EY135" s="248"/>
      <c r="EZ135" s="248"/>
      <c r="FA135" s="248"/>
      <c r="FB135" s="248"/>
      <c r="FC135" s="248"/>
      <c r="FD135" s="248"/>
      <c r="FE135" s="248"/>
      <c r="FF135" s="248"/>
      <c r="FG135" s="248"/>
      <c r="FH135" s="248"/>
      <c r="FI135" s="248"/>
      <c r="FJ135" s="248"/>
      <c r="FK135" s="248"/>
      <c r="FL135" s="248"/>
      <c r="FM135" s="248"/>
      <c r="FN135" s="248"/>
      <c r="FO135" s="248"/>
      <c r="FP135" s="248"/>
      <c r="FQ135" s="248"/>
      <c r="FR135" s="248"/>
      <c r="FS135" s="248"/>
      <c r="FT135" s="248"/>
      <c r="FU135" s="248"/>
      <c r="FV135" s="248"/>
      <c r="FW135" s="248"/>
      <c r="FX135" s="248"/>
      <c r="FY135" s="248"/>
      <c r="FZ135" s="248"/>
      <c r="GA135" s="248"/>
      <c r="GB135" s="248"/>
      <c r="GC135" s="248"/>
      <c r="GD135" s="248"/>
      <c r="GE135" s="248"/>
      <c r="GF135" s="248"/>
      <c r="GG135" s="248"/>
      <c r="GH135" s="248"/>
      <c r="GI135" s="248"/>
      <c r="GJ135" s="248"/>
      <c r="GK135" s="248"/>
      <c r="GL135" s="248"/>
      <c r="GM135" s="248"/>
      <c r="GN135" s="248"/>
      <c r="GO135" s="248"/>
      <c r="GP135" s="248"/>
      <c r="GQ135" s="248"/>
      <c r="GR135" s="248"/>
      <c r="GS135" s="248"/>
      <c r="GT135" s="248"/>
      <c r="GU135" s="248"/>
      <c r="GV135" s="248"/>
      <c r="GW135" s="248"/>
      <c r="GX135" s="248"/>
      <c r="GY135" s="248"/>
      <c r="GZ135" s="248"/>
      <c r="HA135" s="248"/>
      <c r="HB135" s="248"/>
      <c r="HC135" s="248"/>
      <c r="HD135" s="248"/>
      <c r="HE135" s="248"/>
      <c r="HF135" s="248"/>
      <c r="HG135" s="248"/>
      <c r="HH135" s="248"/>
      <c r="HI135" s="248"/>
      <c r="HJ135" s="248"/>
      <c r="HK135" s="248"/>
      <c r="HL135" s="248"/>
      <c r="HM135" s="248"/>
      <c r="HN135" s="248"/>
      <c r="HO135" s="248"/>
      <c r="HP135" s="248"/>
      <c r="HQ135" s="248"/>
      <c r="HR135" s="248"/>
      <c r="HS135" s="248"/>
      <c r="HT135" s="248"/>
      <c r="HU135" s="248"/>
      <c r="HV135" s="248"/>
      <c r="HW135" s="248"/>
      <c r="HX135" s="248"/>
      <c r="HY135" s="248"/>
      <c r="HZ135" s="248"/>
      <c r="IA135" s="248"/>
      <c r="IB135" s="248"/>
      <c r="IC135" s="248"/>
      <c r="ID135" s="248"/>
      <c r="IE135" s="248"/>
      <c r="IF135" s="248"/>
      <c r="IG135" s="248"/>
      <c r="IH135" s="248"/>
      <c r="II135" s="248"/>
      <c r="IJ135" s="248"/>
      <c r="IK135" s="248"/>
      <c r="IL135" s="248"/>
      <c r="IM135" s="248"/>
      <c r="IN135" s="248"/>
    </row>
    <row r="136" spans="1:248" s="164" customFormat="1">
      <c r="A136" s="242"/>
      <c r="B136" s="248"/>
      <c r="C136" s="248"/>
      <c r="D136" s="316"/>
      <c r="E136" s="316"/>
      <c r="F136" s="248"/>
      <c r="G136" s="316"/>
      <c r="H136" s="248"/>
      <c r="I136" s="248"/>
      <c r="J136" s="279"/>
      <c r="K136" s="35"/>
      <c r="L136" s="35"/>
      <c r="M136" s="35"/>
      <c r="N136" s="35"/>
      <c r="O136" s="58"/>
      <c r="P136" s="35"/>
      <c r="Q136" s="35"/>
      <c r="R136" s="248"/>
      <c r="S136" s="248"/>
      <c r="T136" s="248"/>
      <c r="U136" s="248"/>
      <c r="V136" s="248"/>
      <c r="W136" s="313"/>
      <c r="X136" s="248"/>
      <c r="Y136" s="248"/>
      <c r="Z136" s="248"/>
      <c r="AA136" s="248"/>
      <c r="AB136" s="248"/>
      <c r="AC136" s="248"/>
      <c r="AD136" s="248"/>
      <c r="AE136" s="248"/>
      <c r="AF136" s="248"/>
      <c r="AG136" s="248"/>
      <c r="AH136" s="248"/>
      <c r="AI136" s="248"/>
      <c r="AJ136" s="248"/>
      <c r="AK136" s="248"/>
      <c r="AL136" s="248"/>
      <c r="AM136" s="248"/>
      <c r="AN136" s="248"/>
      <c r="AO136" s="248"/>
      <c r="AP136" s="248"/>
      <c r="AQ136" s="248"/>
      <c r="AR136" s="248"/>
      <c r="AS136" s="248"/>
      <c r="AT136" s="248"/>
      <c r="AU136" s="248"/>
      <c r="AV136" s="248"/>
      <c r="AW136" s="248"/>
      <c r="AX136" s="248"/>
      <c r="AY136" s="248"/>
      <c r="AZ136" s="248"/>
      <c r="BA136" s="248"/>
      <c r="BB136" s="248"/>
      <c r="BC136" s="248"/>
      <c r="BD136" s="248"/>
      <c r="BE136" s="248"/>
      <c r="BF136" s="248"/>
      <c r="BG136" s="248"/>
      <c r="BH136" s="248"/>
      <c r="BI136" s="248"/>
      <c r="BJ136" s="248"/>
      <c r="BK136" s="248"/>
      <c r="BL136" s="248"/>
      <c r="BM136" s="248"/>
      <c r="BN136" s="248"/>
      <c r="BO136" s="248"/>
      <c r="BP136" s="248"/>
      <c r="BQ136" s="248"/>
      <c r="BR136" s="248"/>
      <c r="BS136" s="248"/>
      <c r="BT136" s="248"/>
      <c r="BU136" s="248"/>
      <c r="BV136" s="248"/>
      <c r="BW136" s="248"/>
      <c r="BX136" s="248"/>
      <c r="BY136" s="248"/>
      <c r="BZ136" s="248"/>
      <c r="CA136" s="248"/>
      <c r="CB136" s="248"/>
      <c r="CC136" s="248"/>
      <c r="CD136" s="248"/>
      <c r="CE136" s="248"/>
      <c r="CF136" s="248"/>
      <c r="CG136" s="248"/>
      <c r="CH136" s="248"/>
      <c r="CI136" s="248"/>
      <c r="CJ136" s="248"/>
      <c r="CK136" s="248"/>
      <c r="CL136" s="248"/>
      <c r="CM136" s="248"/>
      <c r="CN136" s="248"/>
      <c r="CO136" s="248"/>
      <c r="CP136" s="248"/>
      <c r="CQ136" s="248"/>
      <c r="CR136" s="248"/>
      <c r="CS136" s="248"/>
      <c r="CT136" s="248"/>
      <c r="CU136" s="248"/>
      <c r="CV136" s="248"/>
      <c r="CW136" s="248"/>
      <c r="CX136" s="248"/>
      <c r="CY136" s="248"/>
      <c r="CZ136" s="248"/>
      <c r="DA136" s="248"/>
      <c r="DB136" s="248"/>
      <c r="DC136" s="248"/>
      <c r="DD136" s="248"/>
      <c r="DE136" s="248"/>
      <c r="DF136" s="248"/>
      <c r="DG136" s="248"/>
      <c r="DH136" s="248"/>
      <c r="DI136" s="248"/>
      <c r="DJ136" s="248"/>
      <c r="DK136" s="248"/>
      <c r="DL136" s="248"/>
      <c r="DM136" s="248"/>
      <c r="DN136" s="248"/>
      <c r="DO136" s="248"/>
      <c r="DP136" s="248"/>
      <c r="DQ136" s="248"/>
      <c r="DR136" s="248"/>
      <c r="DS136" s="248"/>
      <c r="DT136" s="248"/>
      <c r="DU136" s="248"/>
      <c r="DV136" s="248"/>
      <c r="DW136" s="248"/>
      <c r="DX136" s="248"/>
      <c r="DY136" s="248"/>
      <c r="DZ136" s="248"/>
      <c r="EA136" s="248"/>
      <c r="EB136" s="248"/>
      <c r="EC136" s="248"/>
      <c r="ED136" s="248"/>
      <c r="EE136" s="248"/>
      <c r="EF136" s="248"/>
      <c r="EG136" s="248"/>
      <c r="EH136" s="248"/>
      <c r="EI136" s="248"/>
      <c r="EJ136" s="248"/>
      <c r="EK136" s="248"/>
      <c r="EL136" s="248"/>
      <c r="EM136" s="248"/>
      <c r="EN136" s="248"/>
      <c r="EO136" s="248"/>
      <c r="EP136" s="248"/>
      <c r="EQ136" s="248"/>
      <c r="ER136" s="248"/>
      <c r="ES136" s="248"/>
      <c r="ET136" s="248"/>
      <c r="EU136" s="248"/>
      <c r="EV136" s="248"/>
      <c r="EW136" s="248"/>
      <c r="EX136" s="248"/>
      <c r="EY136" s="248"/>
      <c r="EZ136" s="248"/>
      <c r="FA136" s="248"/>
      <c r="FB136" s="248"/>
      <c r="FC136" s="248"/>
      <c r="FD136" s="248"/>
      <c r="FE136" s="248"/>
      <c r="FF136" s="248"/>
      <c r="FG136" s="248"/>
      <c r="FH136" s="248"/>
      <c r="FI136" s="248"/>
      <c r="FJ136" s="248"/>
      <c r="FK136" s="248"/>
      <c r="FL136" s="248"/>
      <c r="FM136" s="248"/>
      <c r="FN136" s="248"/>
      <c r="FO136" s="248"/>
      <c r="FP136" s="248"/>
      <c r="FQ136" s="248"/>
      <c r="FR136" s="248"/>
      <c r="FS136" s="248"/>
      <c r="FT136" s="248"/>
      <c r="FU136" s="248"/>
      <c r="FV136" s="248"/>
      <c r="FW136" s="248"/>
      <c r="FX136" s="248"/>
      <c r="FY136" s="248"/>
      <c r="FZ136" s="248"/>
      <c r="GA136" s="248"/>
      <c r="GB136" s="248"/>
      <c r="GC136" s="248"/>
      <c r="GD136" s="248"/>
      <c r="GE136" s="248"/>
      <c r="GF136" s="248"/>
      <c r="GG136" s="248"/>
      <c r="GH136" s="248"/>
      <c r="GI136" s="248"/>
      <c r="GJ136" s="248"/>
      <c r="GK136" s="248"/>
      <c r="GL136" s="248"/>
      <c r="GM136" s="248"/>
      <c r="GN136" s="248"/>
      <c r="GO136" s="248"/>
      <c r="GP136" s="248"/>
      <c r="GQ136" s="248"/>
      <c r="GR136" s="248"/>
      <c r="GS136" s="248"/>
      <c r="GT136" s="248"/>
      <c r="GU136" s="248"/>
      <c r="GV136" s="248"/>
      <c r="GW136" s="248"/>
      <c r="GX136" s="248"/>
      <c r="GY136" s="248"/>
      <c r="GZ136" s="248"/>
      <c r="HA136" s="248"/>
      <c r="HB136" s="248"/>
      <c r="HC136" s="248"/>
      <c r="HD136" s="248"/>
      <c r="HE136" s="248"/>
      <c r="HF136" s="248"/>
      <c r="HG136" s="248"/>
      <c r="HH136" s="248"/>
      <c r="HI136" s="248"/>
      <c r="HJ136" s="248"/>
      <c r="HK136" s="248"/>
      <c r="HL136" s="248"/>
      <c r="HM136" s="248"/>
      <c r="HN136" s="248"/>
      <c r="HO136" s="248"/>
      <c r="HP136" s="248"/>
      <c r="HQ136" s="248"/>
      <c r="HR136" s="248"/>
      <c r="HS136" s="248"/>
      <c r="HT136" s="248"/>
      <c r="HU136" s="248"/>
      <c r="HV136" s="248"/>
      <c r="HW136" s="248"/>
      <c r="HX136" s="248"/>
      <c r="HY136" s="248"/>
      <c r="HZ136" s="248"/>
      <c r="IA136" s="248"/>
      <c r="IB136" s="248"/>
      <c r="IC136" s="248"/>
      <c r="ID136" s="248"/>
      <c r="IE136" s="248"/>
      <c r="IF136" s="248"/>
      <c r="IG136" s="248"/>
      <c r="IH136" s="248"/>
      <c r="II136" s="248"/>
      <c r="IJ136" s="248"/>
      <c r="IK136" s="248"/>
      <c r="IL136" s="248"/>
      <c r="IM136" s="248"/>
      <c r="IN136" s="248"/>
    </row>
    <row r="137" spans="1:248" s="164" customFormat="1">
      <c r="A137" s="242"/>
      <c r="B137" s="248"/>
      <c r="C137" s="248"/>
      <c r="D137" s="316"/>
      <c r="E137" s="316"/>
      <c r="F137" s="248"/>
      <c r="G137" s="316"/>
      <c r="H137" s="248"/>
      <c r="I137" s="248"/>
      <c r="J137" s="279"/>
      <c r="K137" s="35"/>
      <c r="L137" s="35"/>
      <c r="M137" s="35"/>
      <c r="N137" s="35"/>
      <c r="O137" s="58"/>
      <c r="P137" s="35"/>
      <c r="Q137" s="35"/>
      <c r="R137" s="248"/>
      <c r="S137" s="248"/>
      <c r="T137" s="248"/>
      <c r="U137" s="248"/>
      <c r="V137" s="248"/>
      <c r="W137" s="313"/>
      <c r="X137" s="248"/>
      <c r="Y137" s="248"/>
      <c r="Z137" s="248"/>
      <c r="AA137" s="248"/>
      <c r="AB137" s="248"/>
      <c r="AC137" s="248"/>
      <c r="AD137" s="248"/>
      <c r="AE137" s="248"/>
      <c r="AF137" s="248"/>
      <c r="AG137" s="248"/>
      <c r="AH137" s="248"/>
      <c r="AI137" s="248"/>
      <c r="AJ137" s="248"/>
      <c r="AK137" s="248"/>
      <c r="AL137" s="248"/>
      <c r="AM137" s="248"/>
      <c r="AN137" s="248"/>
      <c r="AO137" s="248"/>
      <c r="AP137" s="248"/>
      <c r="AQ137" s="248"/>
      <c r="AR137" s="248"/>
      <c r="AS137" s="248"/>
      <c r="AT137" s="248"/>
      <c r="AU137" s="248"/>
      <c r="AV137" s="248"/>
      <c r="AW137" s="248"/>
      <c r="AX137" s="248"/>
      <c r="AY137" s="248"/>
      <c r="AZ137" s="248"/>
      <c r="BA137" s="248"/>
      <c r="BB137" s="248"/>
      <c r="BC137" s="248"/>
      <c r="BD137" s="248"/>
      <c r="BE137" s="248"/>
      <c r="BF137" s="248"/>
      <c r="BG137" s="248"/>
      <c r="BH137" s="248"/>
      <c r="BI137" s="248"/>
      <c r="BJ137" s="248"/>
      <c r="BK137" s="248"/>
      <c r="BL137" s="248"/>
      <c r="BM137" s="248"/>
      <c r="BN137" s="248"/>
      <c r="BO137" s="248"/>
      <c r="BP137" s="248"/>
      <c r="BQ137" s="248"/>
      <c r="BR137" s="248"/>
      <c r="BS137" s="248"/>
      <c r="BT137" s="248"/>
      <c r="BU137" s="248"/>
      <c r="BV137" s="248"/>
      <c r="BW137" s="248"/>
      <c r="BX137" s="248"/>
      <c r="BY137" s="248"/>
      <c r="BZ137" s="248"/>
      <c r="CA137" s="248"/>
      <c r="CB137" s="248"/>
      <c r="CC137" s="248"/>
      <c r="CD137" s="248"/>
      <c r="CE137" s="248"/>
      <c r="CF137" s="248"/>
      <c r="CG137" s="248"/>
      <c r="CH137" s="248"/>
      <c r="CI137" s="248"/>
      <c r="CJ137" s="248"/>
      <c r="CK137" s="248"/>
      <c r="CL137" s="248"/>
      <c r="CM137" s="248"/>
      <c r="CN137" s="248"/>
      <c r="CO137" s="248"/>
      <c r="CP137" s="248"/>
      <c r="CQ137" s="248"/>
      <c r="CR137" s="248"/>
      <c r="CS137" s="248"/>
      <c r="CT137" s="248"/>
      <c r="CU137" s="248"/>
      <c r="CV137" s="248"/>
      <c r="CW137" s="248"/>
      <c r="CX137" s="248"/>
      <c r="CY137" s="248"/>
      <c r="CZ137" s="248"/>
      <c r="DA137" s="248"/>
      <c r="DB137" s="248"/>
      <c r="DC137" s="248"/>
      <c r="DD137" s="248"/>
      <c r="DE137" s="248"/>
      <c r="DF137" s="248"/>
      <c r="DG137" s="248"/>
      <c r="DH137" s="248"/>
      <c r="DI137" s="248"/>
      <c r="DJ137" s="248"/>
      <c r="DK137" s="248"/>
      <c r="DL137" s="248"/>
      <c r="DM137" s="248"/>
      <c r="DN137" s="248"/>
      <c r="DO137" s="248"/>
      <c r="DP137" s="248"/>
      <c r="DQ137" s="248"/>
      <c r="DR137" s="248"/>
      <c r="DS137" s="248"/>
      <c r="DT137" s="248"/>
      <c r="DU137" s="248"/>
      <c r="DV137" s="248"/>
      <c r="DW137" s="248"/>
      <c r="DX137" s="248"/>
      <c r="DY137" s="248"/>
      <c r="DZ137" s="248"/>
      <c r="EA137" s="248"/>
      <c r="EB137" s="248"/>
      <c r="EC137" s="248"/>
      <c r="ED137" s="248"/>
      <c r="EE137" s="248"/>
      <c r="EF137" s="248"/>
      <c r="EG137" s="248"/>
      <c r="EH137" s="248"/>
      <c r="EI137" s="248"/>
      <c r="EJ137" s="248"/>
      <c r="EK137" s="248"/>
      <c r="EL137" s="248"/>
      <c r="EM137" s="248"/>
      <c r="EN137" s="248"/>
      <c r="EO137" s="248"/>
      <c r="EP137" s="248"/>
      <c r="EQ137" s="248"/>
      <c r="ER137" s="248"/>
      <c r="ES137" s="248"/>
      <c r="ET137" s="248"/>
      <c r="EU137" s="248"/>
      <c r="EV137" s="248"/>
      <c r="EW137" s="248"/>
      <c r="EX137" s="248"/>
      <c r="EY137" s="248"/>
      <c r="EZ137" s="248"/>
      <c r="FA137" s="248"/>
      <c r="FB137" s="248"/>
      <c r="FC137" s="248"/>
      <c r="FD137" s="248"/>
      <c r="FE137" s="248"/>
      <c r="FF137" s="248"/>
      <c r="FG137" s="248"/>
      <c r="FH137" s="248"/>
      <c r="FI137" s="248"/>
      <c r="FJ137" s="248"/>
      <c r="FK137" s="248"/>
      <c r="FL137" s="248"/>
      <c r="FM137" s="248"/>
      <c r="FN137" s="248"/>
      <c r="FO137" s="248"/>
      <c r="FP137" s="248"/>
      <c r="FQ137" s="248"/>
      <c r="FR137" s="248"/>
      <c r="FS137" s="248"/>
      <c r="FT137" s="248"/>
      <c r="FU137" s="248"/>
      <c r="FV137" s="248"/>
      <c r="FW137" s="248"/>
      <c r="FX137" s="248"/>
      <c r="FY137" s="248"/>
      <c r="FZ137" s="248"/>
      <c r="GA137" s="248"/>
      <c r="GB137" s="248"/>
      <c r="GC137" s="248"/>
      <c r="GD137" s="248"/>
      <c r="GE137" s="248"/>
      <c r="GF137" s="248"/>
      <c r="GG137" s="248"/>
      <c r="GH137" s="248"/>
      <c r="GI137" s="248"/>
      <c r="GJ137" s="248"/>
      <c r="GK137" s="248"/>
      <c r="GL137" s="248"/>
      <c r="GM137" s="248"/>
      <c r="GN137" s="248"/>
      <c r="GO137" s="248"/>
      <c r="GP137" s="248"/>
      <c r="GQ137" s="248"/>
      <c r="GR137" s="248"/>
      <c r="GS137" s="248"/>
      <c r="GT137" s="248"/>
      <c r="GU137" s="248"/>
      <c r="GV137" s="248"/>
      <c r="GW137" s="248"/>
      <c r="GX137" s="248"/>
      <c r="GY137" s="248"/>
      <c r="GZ137" s="248"/>
      <c r="HA137" s="248"/>
      <c r="HB137" s="248"/>
      <c r="HC137" s="248"/>
      <c r="HD137" s="248"/>
      <c r="HE137" s="248"/>
      <c r="HF137" s="248"/>
      <c r="HG137" s="248"/>
      <c r="HH137" s="248"/>
      <c r="HI137" s="248"/>
      <c r="HJ137" s="248"/>
      <c r="HK137" s="248"/>
      <c r="HL137" s="248"/>
      <c r="HM137" s="248"/>
      <c r="HN137" s="248"/>
      <c r="HO137" s="248"/>
      <c r="HP137" s="248"/>
      <c r="HQ137" s="248"/>
      <c r="HR137" s="248"/>
      <c r="HS137" s="248"/>
      <c r="HT137" s="248"/>
      <c r="HU137" s="248"/>
      <c r="HV137" s="248"/>
      <c r="HW137" s="248"/>
      <c r="HX137" s="248"/>
      <c r="HY137" s="248"/>
      <c r="HZ137" s="248"/>
      <c r="IA137" s="248"/>
      <c r="IB137" s="248"/>
      <c r="IC137" s="248"/>
      <c r="ID137" s="248"/>
      <c r="IE137" s="248"/>
      <c r="IF137" s="248"/>
      <c r="IG137" s="248"/>
      <c r="IH137" s="248"/>
      <c r="II137" s="248"/>
      <c r="IJ137" s="248"/>
      <c r="IK137" s="248"/>
      <c r="IL137" s="248"/>
      <c r="IM137" s="248"/>
      <c r="IN137" s="248"/>
    </row>
    <row r="138" spans="1:248" s="164" customFormat="1">
      <c r="A138" s="242"/>
      <c r="B138" s="248"/>
      <c r="C138" s="248"/>
      <c r="D138" s="316"/>
      <c r="E138" s="316"/>
      <c r="F138" s="248"/>
      <c r="G138" s="316"/>
      <c r="H138" s="248"/>
      <c r="I138" s="248"/>
      <c r="J138" s="279"/>
      <c r="K138" s="35"/>
      <c r="L138" s="35"/>
      <c r="M138" s="35"/>
      <c r="N138" s="35"/>
      <c r="O138" s="58"/>
      <c r="P138" s="35"/>
      <c r="Q138" s="35"/>
      <c r="R138" s="248"/>
      <c r="S138" s="248"/>
      <c r="T138" s="248"/>
      <c r="U138" s="248"/>
      <c r="V138" s="248"/>
      <c r="W138" s="313"/>
      <c r="X138" s="248"/>
      <c r="Y138" s="248"/>
      <c r="Z138" s="248"/>
      <c r="AA138" s="248"/>
      <c r="AB138" s="248"/>
      <c r="AC138" s="248"/>
      <c r="AD138" s="248"/>
      <c r="AE138" s="248"/>
      <c r="AF138" s="248"/>
      <c r="AG138" s="248"/>
      <c r="AH138" s="248"/>
      <c r="AI138" s="248"/>
      <c r="AJ138" s="248"/>
      <c r="AK138" s="248"/>
      <c r="AL138" s="248"/>
      <c r="AM138" s="248"/>
      <c r="AN138" s="248"/>
      <c r="AO138" s="248"/>
      <c r="AP138" s="248"/>
      <c r="AQ138" s="248"/>
      <c r="AR138" s="248"/>
      <c r="AS138" s="248"/>
      <c r="AT138" s="248"/>
      <c r="AU138" s="248"/>
      <c r="AV138" s="248"/>
      <c r="AW138" s="248"/>
      <c r="AX138" s="248"/>
      <c r="AY138" s="248"/>
      <c r="AZ138" s="248"/>
      <c r="BA138" s="248"/>
      <c r="BB138" s="248"/>
      <c r="BC138" s="248"/>
      <c r="BD138" s="248"/>
      <c r="BE138" s="248"/>
      <c r="BF138" s="248"/>
      <c r="BG138" s="248"/>
      <c r="BH138" s="248"/>
      <c r="BI138" s="248"/>
      <c r="BJ138" s="248"/>
      <c r="BK138" s="248"/>
      <c r="BL138" s="248"/>
      <c r="BM138" s="248"/>
      <c r="BN138" s="248"/>
      <c r="BO138" s="248"/>
      <c r="BP138" s="248"/>
      <c r="BQ138" s="248"/>
      <c r="BR138" s="248"/>
      <c r="BS138" s="248"/>
      <c r="BT138" s="248"/>
      <c r="BU138" s="248"/>
      <c r="BV138" s="248"/>
      <c r="BW138" s="248"/>
      <c r="BX138" s="248"/>
      <c r="BY138" s="248"/>
      <c r="BZ138" s="248"/>
      <c r="CA138" s="248"/>
      <c r="CB138" s="248"/>
      <c r="CC138" s="248"/>
      <c r="CD138" s="248"/>
      <c r="CE138" s="248"/>
      <c r="CF138" s="248"/>
      <c r="CG138" s="248"/>
      <c r="CH138" s="248"/>
      <c r="CI138" s="248"/>
      <c r="CJ138" s="248"/>
      <c r="CK138" s="248"/>
      <c r="CL138" s="248"/>
      <c r="CM138" s="248"/>
      <c r="CN138" s="248"/>
      <c r="CO138" s="248"/>
      <c r="CP138" s="248"/>
      <c r="CQ138" s="248"/>
      <c r="CR138" s="248"/>
      <c r="CS138" s="248"/>
      <c r="CT138" s="248"/>
      <c r="CU138" s="248"/>
      <c r="CV138" s="248"/>
      <c r="CW138" s="248"/>
      <c r="CX138" s="248"/>
      <c r="CY138" s="248"/>
      <c r="CZ138" s="248"/>
      <c r="DA138" s="248"/>
      <c r="DB138" s="248"/>
      <c r="DC138" s="248"/>
      <c r="DD138" s="248"/>
      <c r="DE138" s="248"/>
      <c r="DF138" s="248"/>
      <c r="DG138" s="248"/>
      <c r="DH138" s="248"/>
      <c r="DI138" s="248"/>
      <c r="DJ138" s="248"/>
      <c r="DK138" s="248"/>
      <c r="DL138" s="248"/>
      <c r="DM138" s="248"/>
      <c r="DN138" s="248"/>
      <c r="DO138" s="248"/>
      <c r="DP138" s="248"/>
      <c r="DQ138" s="248"/>
      <c r="DR138" s="248"/>
      <c r="DS138" s="248"/>
      <c r="DT138" s="248"/>
      <c r="DU138" s="248"/>
      <c r="DV138" s="248"/>
      <c r="DW138" s="248"/>
      <c r="DX138" s="248"/>
      <c r="DY138" s="248"/>
      <c r="DZ138" s="248"/>
      <c r="EA138" s="248"/>
      <c r="EB138" s="248"/>
      <c r="EC138" s="248"/>
      <c r="ED138" s="248"/>
      <c r="EE138" s="248"/>
      <c r="EF138" s="248"/>
      <c r="EG138" s="248"/>
      <c r="EH138" s="248"/>
      <c r="EI138" s="248"/>
      <c r="EJ138" s="248"/>
      <c r="EK138" s="248"/>
      <c r="EL138" s="248"/>
      <c r="EM138" s="248"/>
      <c r="EN138" s="248"/>
      <c r="EO138" s="248"/>
      <c r="EP138" s="248"/>
      <c r="EQ138" s="248"/>
      <c r="ER138" s="248"/>
      <c r="ES138" s="248"/>
      <c r="ET138" s="248"/>
      <c r="EU138" s="248"/>
      <c r="EV138" s="248"/>
      <c r="EW138" s="248"/>
      <c r="EX138" s="248"/>
      <c r="EY138" s="248"/>
      <c r="EZ138" s="248"/>
      <c r="FA138" s="248"/>
      <c r="FB138" s="248"/>
      <c r="FC138" s="248"/>
      <c r="FD138" s="248"/>
      <c r="FE138" s="248"/>
      <c r="FF138" s="248"/>
      <c r="FG138" s="248"/>
      <c r="FH138" s="248"/>
      <c r="FI138" s="248"/>
      <c r="FJ138" s="248"/>
      <c r="FK138" s="248"/>
      <c r="FL138" s="248"/>
      <c r="FM138" s="248"/>
      <c r="FN138" s="248"/>
      <c r="FO138" s="248"/>
      <c r="FP138" s="248"/>
      <c r="FQ138" s="248"/>
      <c r="FR138" s="248"/>
      <c r="FS138" s="248"/>
      <c r="FT138" s="248"/>
      <c r="FU138" s="248"/>
      <c r="FV138" s="248"/>
      <c r="FW138" s="248"/>
      <c r="FX138" s="248"/>
      <c r="FY138" s="248"/>
      <c r="FZ138" s="248"/>
      <c r="GA138" s="248"/>
      <c r="GB138" s="248"/>
      <c r="GC138" s="248"/>
      <c r="GD138" s="248"/>
      <c r="GE138" s="248"/>
      <c r="GF138" s="248"/>
      <c r="GG138" s="248"/>
      <c r="GH138" s="248"/>
      <c r="GI138" s="248"/>
      <c r="GJ138" s="248"/>
      <c r="GK138" s="248"/>
      <c r="GL138" s="248"/>
      <c r="GM138" s="248"/>
      <c r="GN138" s="248"/>
      <c r="GO138" s="248"/>
      <c r="GP138" s="248"/>
      <c r="GQ138" s="248"/>
      <c r="GR138" s="248"/>
      <c r="GS138" s="248"/>
      <c r="GT138" s="248"/>
      <c r="GU138" s="248"/>
      <c r="GV138" s="248"/>
      <c r="GW138" s="248"/>
      <c r="GX138" s="248"/>
      <c r="GY138" s="248"/>
      <c r="GZ138" s="248"/>
      <c r="HA138" s="248"/>
      <c r="HB138" s="248"/>
      <c r="HC138" s="248"/>
      <c r="HD138" s="248"/>
      <c r="HE138" s="248"/>
      <c r="HF138" s="248"/>
      <c r="HG138" s="248"/>
      <c r="HH138" s="248"/>
      <c r="HI138" s="248"/>
      <c r="HJ138" s="248"/>
      <c r="HK138" s="248"/>
      <c r="HL138" s="248"/>
      <c r="HM138" s="248"/>
      <c r="HN138" s="248"/>
      <c r="HO138" s="248"/>
      <c r="HP138" s="248"/>
      <c r="HQ138" s="248"/>
      <c r="HR138" s="248"/>
      <c r="HS138" s="248"/>
      <c r="HT138" s="248"/>
      <c r="HU138" s="248"/>
      <c r="HV138" s="248"/>
      <c r="HW138" s="248"/>
      <c r="HX138" s="248"/>
      <c r="HY138" s="248"/>
      <c r="HZ138" s="248"/>
      <c r="IA138" s="248"/>
      <c r="IB138" s="248"/>
      <c r="IC138" s="248"/>
      <c r="ID138" s="248"/>
      <c r="IE138" s="248"/>
      <c r="IF138" s="248"/>
      <c r="IG138" s="248"/>
      <c r="IH138" s="248"/>
      <c r="II138" s="248"/>
      <c r="IJ138" s="248"/>
      <c r="IK138" s="248"/>
      <c r="IL138" s="248"/>
      <c r="IM138" s="248"/>
      <c r="IN138" s="248"/>
    </row>
    <row r="139" spans="1:248" s="164" customFormat="1">
      <c r="A139" s="242"/>
      <c r="B139" s="248"/>
      <c r="C139" s="248"/>
      <c r="D139" s="316"/>
      <c r="E139" s="316"/>
      <c r="F139" s="248"/>
      <c r="G139" s="316"/>
      <c r="H139" s="248"/>
      <c r="I139" s="248"/>
      <c r="J139" s="279"/>
      <c r="K139" s="35"/>
      <c r="L139" s="35"/>
      <c r="M139" s="35"/>
      <c r="N139" s="35"/>
      <c r="O139" s="58"/>
      <c r="P139" s="35"/>
      <c r="Q139" s="35"/>
      <c r="R139" s="248"/>
      <c r="S139" s="248"/>
      <c r="T139" s="248"/>
      <c r="U139" s="248"/>
      <c r="V139" s="248"/>
      <c r="W139" s="313"/>
      <c r="X139" s="248"/>
      <c r="Y139" s="248"/>
      <c r="Z139" s="248"/>
      <c r="AA139" s="248"/>
      <c r="AB139" s="248"/>
      <c r="AC139" s="248"/>
      <c r="AD139" s="248"/>
      <c r="AE139" s="248"/>
      <c r="AF139" s="248"/>
      <c r="AG139" s="248"/>
      <c r="AH139" s="248"/>
      <c r="AI139" s="248"/>
      <c r="AJ139" s="248"/>
      <c r="AK139" s="248"/>
      <c r="AL139" s="248"/>
      <c r="AM139" s="248"/>
      <c r="AN139" s="248"/>
      <c r="AO139" s="248"/>
      <c r="AP139" s="248"/>
      <c r="AQ139" s="248"/>
      <c r="AR139" s="248"/>
      <c r="AS139" s="248"/>
      <c r="AT139" s="248"/>
      <c r="AU139" s="248"/>
      <c r="AV139" s="248"/>
      <c r="AW139" s="248"/>
      <c r="AX139" s="248"/>
      <c r="AY139" s="248"/>
      <c r="AZ139" s="248"/>
      <c r="BA139" s="248"/>
      <c r="BB139" s="248"/>
      <c r="BC139" s="248"/>
      <c r="BD139" s="248"/>
      <c r="BE139" s="248"/>
      <c r="BF139" s="248"/>
      <c r="BG139" s="248"/>
      <c r="BH139" s="248"/>
      <c r="BI139" s="248"/>
      <c r="BJ139" s="248"/>
      <c r="BK139" s="248"/>
      <c r="BL139" s="248"/>
      <c r="BM139" s="248"/>
      <c r="BN139" s="248"/>
      <c r="BO139" s="248"/>
      <c r="BP139" s="248"/>
      <c r="BQ139" s="248"/>
      <c r="BR139" s="248"/>
      <c r="BS139" s="248"/>
      <c r="BT139" s="248"/>
      <c r="BU139" s="248"/>
      <c r="BV139" s="248"/>
      <c r="BW139" s="248"/>
      <c r="BX139" s="248"/>
      <c r="BY139" s="248"/>
      <c r="BZ139" s="248"/>
      <c r="CA139" s="248"/>
      <c r="CB139" s="248"/>
      <c r="CC139" s="248"/>
      <c r="CD139" s="248"/>
      <c r="CE139" s="248"/>
      <c r="CF139" s="248"/>
      <c r="CG139" s="248"/>
      <c r="CH139" s="248"/>
      <c r="CI139" s="248"/>
      <c r="CJ139" s="248"/>
      <c r="CK139" s="248"/>
      <c r="CL139" s="248"/>
      <c r="CM139" s="248"/>
      <c r="CN139" s="248"/>
      <c r="CO139" s="248"/>
      <c r="CP139" s="248"/>
      <c r="CQ139" s="248"/>
      <c r="CR139" s="248"/>
      <c r="CS139" s="248"/>
      <c r="CT139" s="248"/>
      <c r="CU139" s="248"/>
      <c r="CV139" s="248"/>
      <c r="CW139" s="248"/>
      <c r="CX139" s="248"/>
      <c r="CY139" s="248"/>
      <c r="CZ139" s="248"/>
      <c r="DA139" s="248"/>
      <c r="DB139" s="248"/>
      <c r="DC139" s="248"/>
      <c r="DD139" s="248"/>
      <c r="DE139" s="248"/>
      <c r="DF139" s="248"/>
      <c r="DG139" s="248"/>
      <c r="DH139" s="248"/>
      <c r="DI139" s="248"/>
      <c r="DJ139" s="248"/>
      <c r="DK139" s="248"/>
      <c r="DL139" s="248"/>
      <c r="DM139" s="248"/>
      <c r="DN139" s="248"/>
      <c r="DO139" s="248"/>
      <c r="DP139" s="248"/>
      <c r="DQ139" s="248"/>
      <c r="DR139" s="248"/>
      <c r="DS139" s="248"/>
      <c r="DT139" s="248"/>
      <c r="DU139" s="248"/>
      <c r="DV139" s="248"/>
      <c r="DW139" s="248"/>
      <c r="DX139" s="248"/>
      <c r="DY139" s="248"/>
      <c r="DZ139" s="248"/>
      <c r="EA139" s="248"/>
      <c r="EB139" s="248"/>
      <c r="EC139" s="248"/>
      <c r="ED139" s="248"/>
      <c r="EE139" s="248"/>
      <c r="EF139" s="248"/>
      <c r="EG139" s="248"/>
      <c r="EH139" s="248"/>
      <c r="EI139" s="248"/>
      <c r="EJ139" s="248"/>
      <c r="EK139" s="248"/>
      <c r="EL139" s="248"/>
      <c r="EM139" s="248"/>
      <c r="EN139" s="248"/>
      <c r="EO139" s="248"/>
      <c r="EP139" s="248"/>
      <c r="EQ139" s="248"/>
      <c r="ER139" s="248"/>
      <c r="ES139" s="248"/>
      <c r="ET139" s="248"/>
      <c r="EU139" s="248"/>
      <c r="EV139" s="248"/>
      <c r="EW139" s="248"/>
      <c r="EX139" s="248"/>
      <c r="EY139" s="248"/>
      <c r="EZ139" s="248"/>
      <c r="FA139" s="248"/>
      <c r="FB139" s="248"/>
      <c r="FC139" s="248"/>
      <c r="FD139" s="248"/>
      <c r="FE139" s="248"/>
      <c r="FF139" s="248"/>
      <c r="FG139" s="248"/>
      <c r="FH139" s="248"/>
      <c r="FI139" s="248"/>
      <c r="FJ139" s="248"/>
      <c r="FK139" s="248"/>
      <c r="FL139" s="248"/>
      <c r="FM139" s="248"/>
      <c r="FN139" s="248"/>
      <c r="FO139" s="248"/>
      <c r="FP139" s="248"/>
      <c r="FQ139" s="248"/>
      <c r="FR139" s="248"/>
      <c r="FS139" s="248"/>
      <c r="FT139" s="248"/>
      <c r="FU139" s="248"/>
      <c r="FV139" s="248"/>
      <c r="FW139" s="248"/>
      <c r="FX139" s="248"/>
      <c r="FY139" s="248"/>
      <c r="FZ139" s="248"/>
      <c r="GA139" s="248"/>
      <c r="GB139" s="248"/>
      <c r="GC139" s="248"/>
      <c r="GD139" s="248"/>
      <c r="GE139" s="248"/>
      <c r="GF139" s="248"/>
      <c r="GG139" s="248"/>
      <c r="GH139" s="248"/>
      <c r="GI139" s="248"/>
      <c r="GJ139" s="248"/>
      <c r="GK139" s="248"/>
      <c r="GL139" s="248"/>
      <c r="GM139" s="248"/>
      <c r="GN139" s="248"/>
      <c r="GO139" s="248"/>
      <c r="GP139" s="248"/>
      <c r="GQ139" s="248"/>
      <c r="GR139" s="248"/>
      <c r="GS139" s="248"/>
      <c r="GT139" s="248"/>
      <c r="GU139" s="248"/>
      <c r="GV139" s="248"/>
      <c r="GW139" s="248"/>
      <c r="GX139" s="248"/>
      <c r="GY139" s="248"/>
      <c r="GZ139" s="248"/>
      <c r="HA139" s="248"/>
      <c r="HB139" s="248"/>
      <c r="HC139" s="248"/>
      <c r="HD139" s="248"/>
      <c r="HE139" s="248"/>
      <c r="HF139" s="248"/>
      <c r="HG139" s="248"/>
      <c r="HH139" s="248"/>
      <c r="HI139" s="248"/>
      <c r="HJ139" s="248"/>
      <c r="HK139" s="248"/>
      <c r="HL139" s="248"/>
      <c r="HM139" s="248"/>
      <c r="HN139" s="248"/>
      <c r="HO139" s="248"/>
      <c r="HP139" s="248"/>
      <c r="HQ139" s="248"/>
      <c r="HR139" s="248"/>
      <c r="HS139" s="248"/>
      <c r="HT139" s="248"/>
      <c r="HU139" s="248"/>
      <c r="HV139" s="248"/>
      <c r="HW139" s="248"/>
      <c r="HX139" s="248"/>
      <c r="HY139" s="248"/>
      <c r="HZ139" s="248"/>
      <c r="IA139" s="248"/>
      <c r="IB139" s="248"/>
      <c r="IC139" s="248"/>
      <c r="ID139" s="248"/>
      <c r="IE139" s="248"/>
      <c r="IF139" s="248"/>
      <c r="IG139" s="248"/>
      <c r="IH139" s="248"/>
      <c r="II139" s="248"/>
      <c r="IJ139" s="248"/>
      <c r="IK139" s="248"/>
      <c r="IL139" s="248"/>
      <c r="IM139" s="248"/>
      <c r="IN139" s="248"/>
    </row>
    <row r="140" spans="1:248" s="164" customFormat="1">
      <c r="A140" s="242"/>
      <c r="B140" s="248"/>
      <c r="C140" s="248"/>
      <c r="D140" s="316"/>
      <c r="E140" s="316"/>
      <c r="F140" s="248"/>
      <c r="G140" s="316"/>
      <c r="H140" s="248"/>
      <c r="I140" s="248"/>
      <c r="J140" s="279"/>
      <c r="K140" s="35"/>
      <c r="L140" s="35"/>
      <c r="M140" s="35"/>
      <c r="N140" s="35"/>
      <c r="O140" s="58"/>
      <c r="P140" s="35"/>
      <c r="Q140" s="35"/>
      <c r="R140" s="248"/>
      <c r="S140" s="248"/>
      <c r="T140" s="248"/>
      <c r="U140" s="248"/>
      <c r="V140" s="248"/>
      <c r="W140" s="313"/>
      <c r="X140" s="248"/>
      <c r="Y140" s="248"/>
      <c r="Z140" s="248"/>
      <c r="AA140" s="248"/>
      <c r="AB140" s="248"/>
      <c r="AC140" s="248"/>
      <c r="AD140" s="248"/>
      <c r="AE140" s="248"/>
      <c r="AF140" s="248"/>
      <c r="AG140" s="248"/>
      <c r="AH140" s="248"/>
      <c r="AI140" s="248"/>
      <c r="AJ140" s="248"/>
      <c r="AK140" s="248"/>
      <c r="AL140" s="248"/>
      <c r="AM140" s="248"/>
      <c r="AN140" s="248"/>
      <c r="AO140" s="248"/>
      <c r="AP140" s="248"/>
      <c r="AQ140" s="248"/>
      <c r="AR140" s="248"/>
      <c r="AS140" s="248"/>
      <c r="AT140" s="248"/>
      <c r="AU140" s="248"/>
      <c r="AV140" s="248"/>
      <c r="AW140" s="248"/>
      <c r="AX140" s="248"/>
      <c r="AY140" s="248"/>
      <c r="AZ140" s="248"/>
      <c r="BA140" s="248"/>
      <c r="BB140" s="248"/>
      <c r="BC140" s="248"/>
      <c r="BD140" s="248"/>
      <c r="BE140" s="248"/>
      <c r="BF140" s="248"/>
      <c r="BG140" s="248"/>
      <c r="BH140" s="248"/>
      <c r="BI140" s="248"/>
      <c r="BJ140" s="248"/>
      <c r="BK140" s="248"/>
      <c r="BL140" s="248"/>
      <c r="BM140" s="248"/>
      <c r="BN140" s="248"/>
      <c r="BO140" s="248"/>
      <c r="BP140" s="248"/>
      <c r="BQ140" s="248"/>
      <c r="BR140" s="248"/>
      <c r="BS140" s="248"/>
      <c r="BT140" s="248"/>
      <c r="BU140" s="248"/>
      <c r="BV140" s="248"/>
      <c r="BW140" s="248"/>
      <c r="BX140" s="248"/>
      <c r="BY140" s="248"/>
      <c r="BZ140" s="248"/>
      <c r="CA140" s="248"/>
      <c r="CB140" s="248"/>
      <c r="CC140" s="248"/>
      <c r="CD140" s="248"/>
      <c r="CE140" s="248"/>
      <c r="CF140" s="248"/>
      <c r="CG140" s="248"/>
      <c r="CH140" s="248"/>
      <c r="CI140" s="248"/>
      <c r="CJ140" s="248"/>
      <c r="CK140" s="248"/>
      <c r="CL140" s="248"/>
      <c r="CM140" s="248"/>
      <c r="CN140" s="248"/>
      <c r="CO140" s="248"/>
      <c r="CP140" s="248"/>
      <c r="CQ140" s="248"/>
      <c r="CR140" s="248"/>
      <c r="CS140" s="248"/>
      <c r="CT140" s="248"/>
      <c r="CU140" s="248"/>
      <c r="CV140" s="248"/>
      <c r="CW140" s="248"/>
      <c r="CX140" s="248"/>
      <c r="CY140" s="248"/>
      <c r="CZ140" s="248"/>
      <c r="DA140" s="248"/>
      <c r="DB140" s="248"/>
      <c r="DC140" s="248"/>
      <c r="DD140" s="248"/>
      <c r="DE140" s="248"/>
      <c r="DF140" s="248"/>
      <c r="DG140" s="248"/>
      <c r="DH140" s="248"/>
      <c r="DI140" s="248"/>
      <c r="DJ140" s="248"/>
      <c r="DK140" s="248"/>
      <c r="DL140" s="248"/>
      <c r="DM140" s="248"/>
      <c r="DN140" s="248"/>
      <c r="DO140" s="248"/>
      <c r="DP140" s="248"/>
      <c r="DQ140" s="248"/>
      <c r="DR140" s="248"/>
      <c r="DS140" s="248"/>
      <c r="DT140" s="248"/>
      <c r="DU140" s="248"/>
      <c r="DV140" s="248"/>
      <c r="DW140" s="248"/>
      <c r="DX140" s="248"/>
      <c r="DY140" s="248"/>
      <c r="DZ140" s="248"/>
      <c r="EA140" s="248"/>
      <c r="EB140" s="248"/>
      <c r="EC140" s="248"/>
      <c r="ED140" s="248"/>
      <c r="EE140" s="248"/>
      <c r="EF140" s="248"/>
      <c r="EG140" s="248"/>
      <c r="EH140" s="248"/>
      <c r="EI140" s="248"/>
      <c r="EJ140" s="248"/>
      <c r="EK140" s="248"/>
      <c r="EL140" s="248"/>
      <c r="EM140" s="248"/>
      <c r="EN140" s="248"/>
      <c r="EO140" s="248"/>
      <c r="EP140" s="248"/>
      <c r="EQ140" s="248"/>
      <c r="ER140" s="248"/>
      <c r="ES140" s="248"/>
      <c r="ET140" s="248"/>
      <c r="EU140" s="248"/>
      <c r="EV140" s="248"/>
      <c r="EW140" s="248"/>
      <c r="EX140" s="248"/>
      <c r="EY140" s="248"/>
      <c r="EZ140" s="248"/>
      <c r="FA140" s="248"/>
      <c r="FB140" s="248"/>
      <c r="FC140" s="248"/>
      <c r="FD140" s="248"/>
      <c r="FE140" s="248"/>
      <c r="FF140" s="248"/>
      <c r="FG140" s="248"/>
      <c r="FH140" s="248"/>
      <c r="FI140" s="248"/>
      <c r="FJ140" s="248"/>
      <c r="FK140" s="248"/>
      <c r="FL140" s="248"/>
      <c r="FM140" s="248"/>
      <c r="FN140" s="248"/>
      <c r="FO140" s="248"/>
      <c r="FP140" s="248"/>
      <c r="FQ140" s="248"/>
      <c r="FR140" s="248"/>
      <c r="FS140" s="248"/>
      <c r="FT140" s="248"/>
      <c r="FU140" s="248"/>
      <c r="FV140" s="248"/>
      <c r="FW140" s="248"/>
      <c r="FX140" s="248"/>
      <c r="FY140" s="248"/>
      <c r="FZ140" s="248"/>
      <c r="GA140" s="248"/>
      <c r="GB140" s="248"/>
      <c r="GC140" s="248"/>
      <c r="GD140" s="248"/>
      <c r="GE140" s="248"/>
      <c r="GF140" s="248"/>
      <c r="GG140" s="248"/>
      <c r="GH140" s="248"/>
      <c r="GI140" s="248"/>
      <c r="GJ140" s="248"/>
      <c r="GK140" s="248"/>
      <c r="GL140" s="248"/>
      <c r="GM140" s="248"/>
      <c r="GN140" s="248"/>
      <c r="GO140" s="248"/>
      <c r="GP140" s="248"/>
      <c r="GQ140" s="248"/>
      <c r="GR140" s="248"/>
      <c r="GS140" s="248"/>
      <c r="GT140" s="248"/>
      <c r="GU140" s="248"/>
      <c r="GV140" s="248"/>
      <c r="GW140" s="248"/>
      <c r="GX140" s="248"/>
      <c r="GY140" s="248"/>
      <c r="GZ140" s="248"/>
      <c r="HA140" s="248"/>
      <c r="HB140" s="248"/>
      <c r="HC140" s="248"/>
      <c r="HD140" s="248"/>
      <c r="HE140" s="248"/>
      <c r="HF140" s="248"/>
      <c r="HG140" s="248"/>
      <c r="HH140" s="248"/>
      <c r="HI140" s="248"/>
      <c r="HJ140" s="248"/>
      <c r="HK140" s="248"/>
      <c r="HL140" s="248"/>
      <c r="HM140" s="248"/>
      <c r="HN140" s="248"/>
      <c r="HO140" s="248"/>
      <c r="HP140" s="248"/>
      <c r="HQ140" s="248"/>
      <c r="HR140" s="248"/>
      <c r="HS140" s="248"/>
      <c r="HT140" s="248"/>
      <c r="HU140" s="248"/>
      <c r="HV140" s="248"/>
      <c r="HW140" s="248"/>
      <c r="HX140" s="248"/>
      <c r="HY140" s="248"/>
      <c r="HZ140" s="248"/>
      <c r="IA140" s="248"/>
      <c r="IB140" s="248"/>
      <c r="IC140" s="248"/>
      <c r="ID140" s="248"/>
      <c r="IE140" s="248"/>
      <c r="IF140" s="248"/>
      <c r="IG140" s="248"/>
      <c r="IH140" s="248"/>
      <c r="II140" s="248"/>
      <c r="IJ140" s="248"/>
      <c r="IK140" s="248"/>
      <c r="IL140" s="248"/>
      <c r="IM140" s="248"/>
      <c r="IN140" s="248"/>
    </row>
    <row r="141" spans="1:248" s="164" customFormat="1">
      <c r="A141" s="242"/>
      <c r="B141" s="248"/>
      <c r="C141" s="248"/>
      <c r="D141" s="316"/>
      <c r="E141" s="316"/>
      <c r="F141" s="248"/>
      <c r="G141" s="316"/>
      <c r="H141" s="248"/>
      <c r="I141" s="248"/>
      <c r="J141" s="279"/>
      <c r="K141" s="35"/>
      <c r="L141" s="35"/>
      <c r="M141" s="35"/>
      <c r="N141" s="35"/>
      <c r="O141" s="58"/>
      <c r="P141" s="35"/>
      <c r="Q141" s="35"/>
      <c r="R141" s="248"/>
      <c r="S141" s="248"/>
      <c r="T141" s="248"/>
      <c r="U141" s="248"/>
      <c r="V141" s="248"/>
      <c r="W141" s="313"/>
      <c r="X141" s="248"/>
      <c r="Y141" s="248"/>
      <c r="Z141" s="248"/>
      <c r="AA141" s="248"/>
      <c r="AB141" s="248"/>
      <c r="AC141" s="248"/>
      <c r="AD141" s="248"/>
      <c r="AE141" s="248"/>
      <c r="AF141" s="248"/>
      <c r="AG141" s="248"/>
      <c r="AH141" s="248"/>
      <c r="AI141" s="248"/>
      <c r="AJ141" s="248"/>
      <c r="AK141" s="248"/>
      <c r="AL141" s="248"/>
      <c r="AM141" s="248"/>
      <c r="AN141" s="248"/>
      <c r="AO141" s="248"/>
      <c r="AP141" s="248"/>
      <c r="AQ141" s="248"/>
      <c r="AR141" s="248"/>
      <c r="AS141" s="248"/>
      <c r="AT141" s="248"/>
      <c r="AU141" s="248"/>
      <c r="AV141" s="248"/>
      <c r="AW141" s="248"/>
      <c r="AX141" s="248"/>
      <c r="AY141" s="248"/>
      <c r="AZ141" s="248"/>
      <c r="BA141" s="248"/>
      <c r="BB141" s="248"/>
      <c r="BC141" s="248"/>
      <c r="BD141" s="248"/>
      <c r="BE141" s="248"/>
      <c r="BF141" s="248"/>
      <c r="BG141" s="248"/>
      <c r="BH141" s="248"/>
      <c r="BI141" s="248"/>
      <c r="BJ141" s="248"/>
      <c r="BK141" s="248"/>
      <c r="BL141" s="248"/>
      <c r="BM141" s="248"/>
      <c r="BN141" s="248"/>
      <c r="BO141" s="248"/>
      <c r="BP141" s="248"/>
      <c r="BQ141" s="248"/>
      <c r="BR141" s="248"/>
      <c r="BS141" s="248"/>
      <c r="BT141" s="248"/>
      <c r="BU141" s="248"/>
      <c r="BV141" s="248"/>
      <c r="BW141" s="248"/>
      <c r="BX141" s="248"/>
      <c r="BY141" s="248"/>
      <c r="BZ141" s="248"/>
      <c r="CA141" s="248"/>
      <c r="CB141" s="248"/>
      <c r="CC141" s="248"/>
      <c r="CD141" s="248"/>
      <c r="CE141" s="248"/>
      <c r="CF141" s="248"/>
      <c r="CG141" s="248"/>
      <c r="CH141" s="248"/>
      <c r="CI141" s="248"/>
      <c r="CJ141" s="248"/>
      <c r="CK141" s="248"/>
      <c r="CL141" s="248"/>
      <c r="CM141" s="248"/>
      <c r="CN141" s="248"/>
      <c r="CO141" s="248"/>
      <c r="CP141" s="248"/>
      <c r="CQ141" s="248"/>
      <c r="CR141" s="248"/>
      <c r="CS141" s="248"/>
      <c r="CT141" s="248"/>
      <c r="CU141" s="248"/>
      <c r="CV141" s="248"/>
      <c r="CW141" s="248"/>
      <c r="CX141" s="248"/>
      <c r="CY141" s="248"/>
      <c r="CZ141" s="248"/>
      <c r="DA141" s="248"/>
      <c r="DB141" s="248"/>
      <c r="DC141" s="248"/>
      <c r="DD141" s="248"/>
      <c r="DE141" s="248"/>
      <c r="DF141" s="248"/>
      <c r="DG141" s="248"/>
      <c r="DH141" s="248"/>
      <c r="DI141" s="248"/>
      <c r="DJ141" s="248"/>
      <c r="DK141" s="248"/>
      <c r="DL141" s="248"/>
      <c r="DM141" s="248"/>
      <c r="DN141" s="248"/>
      <c r="DO141" s="248"/>
      <c r="DP141" s="248"/>
      <c r="DQ141" s="248"/>
      <c r="DR141" s="248"/>
      <c r="DS141" s="248"/>
      <c r="DT141" s="248"/>
      <c r="DU141" s="248"/>
      <c r="DV141" s="248"/>
      <c r="DW141" s="248"/>
      <c r="DX141" s="248"/>
      <c r="DY141" s="248"/>
      <c r="DZ141" s="248"/>
      <c r="EA141" s="248"/>
      <c r="EB141" s="248"/>
      <c r="EC141" s="248"/>
      <c r="ED141" s="248"/>
      <c r="EE141" s="248"/>
      <c r="EF141" s="248"/>
      <c r="EG141" s="248"/>
      <c r="EH141" s="248"/>
      <c r="EI141" s="248"/>
      <c r="EJ141" s="248"/>
      <c r="EK141" s="248"/>
      <c r="EL141" s="248"/>
      <c r="EM141" s="248"/>
      <c r="EN141" s="248"/>
      <c r="EO141" s="248"/>
      <c r="EP141" s="248"/>
      <c r="EQ141" s="248"/>
      <c r="ER141" s="248"/>
      <c r="ES141" s="248"/>
      <c r="ET141" s="248"/>
      <c r="EU141" s="248"/>
      <c r="EV141" s="248"/>
      <c r="EW141" s="248"/>
      <c r="EX141" s="248"/>
      <c r="EY141" s="248"/>
      <c r="EZ141" s="248"/>
      <c r="FA141" s="248"/>
      <c r="FB141" s="248"/>
      <c r="FC141" s="248"/>
      <c r="FD141" s="248"/>
      <c r="FE141" s="248"/>
      <c r="FF141" s="248"/>
      <c r="FG141" s="248"/>
      <c r="FH141" s="248"/>
      <c r="FI141" s="248"/>
      <c r="FJ141" s="248"/>
      <c r="FK141" s="248"/>
      <c r="FL141" s="248"/>
      <c r="FM141" s="248"/>
      <c r="FN141" s="248"/>
      <c r="FO141" s="248"/>
      <c r="FP141" s="248"/>
      <c r="FQ141" s="248"/>
      <c r="FR141" s="248"/>
      <c r="FS141" s="248"/>
      <c r="FT141" s="248"/>
      <c r="FU141" s="248"/>
      <c r="FV141" s="248"/>
      <c r="FW141" s="248"/>
      <c r="FX141" s="248"/>
      <c r="FY141" s="248"/>
      <c r="FZ141" s="248"/>
      <c r="GA141" s="248"/>
      <c r="GB141" s="248"/>
      <c r="GC141" s="248"/>
      <c r="GD141" s="248"/>
      <c r="GE141" s="248"/>
      <c r="GF141" s="248"/>
      <c r="GG141" s="248"/>
      <c r="GH141" s="248"/>
      <c r="GI141" s="248"/>
      <c r="GJ141" s="248"/>
      <c r="GK141" s="248"/>
      <c r="GL141" s="248"/>
      <c r="GM141" s="248"/>
      <c r="GN141" s="248"/>
      <c r="GO141" s="248"/>
      <c r="GP141" s="248"/>
      <c r="GQ141" s="248"/>
      <c r="GR141" s="248"/>
      <c r="GS141" s="248"/>
      <c r="GT141" s="248"/>
      <c r="GU141" s="248"/>
      <c r="GV141" s="248"/>
      <c r="GW141" s="248"/>
      <c r="GX141" s="248"/>
      <c r="GY141" s="248"/>
      <c r="GZ141" s="248"/>
      <c r="HA141" s="248"/>
      <c r="HB141" s="248"/>
      <c r="HC141" s="248"/>
      <c r="HD141" s="248"/>
      <c r="HE141" s="248"/>
      <c r="HF141" s="248"/>
      <c r="HG141" s="248"/>
      <c r="HH141" s="248"/>
      <c r="HI141" s="248"/>
      <c r="HJ141" s="248"/>
      <c r="HK141" s="248"/>
      <c r="HL141" s="248"/>
      <c r="HM141" s="248"/>
      <c r="HN141" s="248"/>
      <c r="HO141" s="248"/>
      <c r="HP141" s="248"/>
      <c r="HQ141" s="248"/>
      <c r="HR141" s="248"/>
      <c r="HS141" s="248"/>
      <c r="HT141" s="248"/>
      <c r="HU141" s="248"/>
      <c r="HV141" s="248"/>
      <c r="HW141" s="248"/>
      <c r="HX141" s="248"/>
      <c r="HY141" s="248"/>
      <c r="HZ141" s="248"/>
      <c r="IA141" s="248"/>
      <c r="IB141" s="248"/>
      <c r="IC141" s="248"/>
      <c r="ID141" s="248"/>
      <c r="IE141" s="248"/>
      <c r="IF141" s="248"/>
      <c r="IG141" s="248"/>
      <c r="IH141" s="248"/>
      <c r="II141" s="248"/>
      <c r="IJ141" s="248"/>
      <c r="IK141" s="248"/>
      <c r="IL141" s="248"/>
      <c r="IM141" s="248"/>
      <c r="IN141" s="248"/>
    </row>
    <row r="142" spans="1:248" s="164" customFormat="1">
      <c r="A142" s="242"/>
      <c r="B142" s="248"/>
      <c r="C142" s="248"/>
      <c r="D142" s="316"/>
      <c r="E142" s="316"/>
      <c r="F142" s="248"/>
      <c r="G142" s="316"/>
      <c r="H142" s="248"/>
      <c r="I142" s="248"/>
      <c r="J142" s="279"/>
      <c r="K142" s="35"/>
      <c r="L142" s="35"/>
      <c r="M142" s="35"/>
      <c r="N142" s="35"/>
      <c r="O142" s="58"/>
      <c r="P142" s="35"/>
      <c r="Q142" s="35"/>
      <c r="R142" s="248"/>
      <c r="S142" s="248"/>
      <c r="T142" s="248"/>
      <c r="U142" s="248"/>
      <c r="V142" s="248"/>
      <c r="W142" s="313"/>
      <c r="X142" s="248"/>
      <c r="Y142" s="248"/>
      <c r="Z142" s="248"/>
      <c r="AA142" s="248"/>
      <c r="AB142" s="248"/>
      <c r="AC142" s="248"/>
      <c r="AD142" s="248"/>
      <c r="AE142" s="248"/>
      <c r="AF142" s="248"/>
      <c r="AG142" s="248"/>
      <c r="AH142" s="248"/>
      <c r="AI142" s="248"/>
      <c r="AJ142" s="248"/>
      <c r="AK142" s="248"/>
      <c r="AL142" s="248"/>
      <c r="AM142" s="248"/>
      <c r="AN142" s="248"/>
      <c r="AO142" s="248"/>
      <c r="AP142" s="248"/>
      <c r="AQ142" s="248"/>
      <c r="AR142" s="248"/>
      <c r="AS142" s="248"/>
      <c r="AT142" s="248"/>
      <c r="AU142" s="248"/>
      <c r="AV142" s="248"/>
      <c r="AW142" s="248"/>
      <c r="AX142" s="248"/>
      <c r="AY142" s="248"/>
      <c r="AZ142" s="248"/>
      <c r="BA142" s="248"/>
      <c r="BB142" s="248"/>
      <c r="BC142" s="248"/>
      <c r="BD142" s="248"/>
      <c r="BE142" s="248"/>
      <c r="BF142" s="248"/>
      <c r="BG142" s="248"/>
      <c r="BH142" s="248"/>
      <c r="BI142" s="248"/>
      <c r="BJ142" s="248"/>
      <c r="BK142" s="248"/>
      <c r="BL142" s="248"/>
      <c r="BM142" s="248"/>
      <c r="BN142" s="248"/>
      <c r="BO142" s="248"/>
      <c r="BP142" s="248"/>
      <c r="BQ142" s="248"/>
      <c r="BR142" s="248"/>
      <c r="BS142" s="248"/>
      <c r="BT142" s="248"/>
      <c r="BU142" s="248"/>
      <c r="BV142" s="248"/>
      <c r="BW142" s="248"/>
      <c r="BX142" s="248"/>
      <c r="BY142" s="248"/>
      <c r="BZ142" s="248"/>
      <c r="CA142" s="248"/>
      <c r="CB142" s="248"/>
      <c r="CC142" s="248"/>
      <c r="CD142" s="248"/>
      <c r="CE142" s="248"/>
      <c r="CF142" s="248"/>
      <c r="CG142" s="248"/>
      <c r="CH142" s="248"/>
      <c r="CI142" s="248"/>
      <c r="CJ142" s="248"/>
      <c r="CK142" s="248"/>
      <c r="CL142" s="248"/>
      <c r="CM142" s="248"/>
      <c r="CN142" s="248"/>
      <c r="CO142" s="248"/>
      <c r="CP142" s="248"/>
      <c r="CQ142" s="248"/>
      <c r="CR142" s="248"/>
      <c r="CS142" s="248"/>
      <c r="CT142" s="248"/>
      <c r="CU142" s="248"/>
      <c r="CV142" s="248"/>
      <c r="CW142" s="248"/>
      <c r="CX142" s="248"/>
      <c r="CY142" s="248"/>
      <c r="CZ142" s="248"/>
      <c r="DA142" s="248"/>
      <c r="DB142" s="248"/>
      <c r="DC142" s="248"/>
      <c r="DD142" s="248"/>
      <c r="DE142" s="248"/>
      <c r="DF142" s="248"/>
      <c r="DG142" s="248"/>
      <c r="DH142" s="248"/>
      <c r="DI142" s="248"/>
      <c r="DJ142" s="248"/>
      <c r="DK142" s="248"/>
      <c r="DL142" s="248"/>
      <c r="DM142" s="248"/>
      <c r="DN142" s="248"/>
      <c r="DO142" s="248"/>
      <c r="DP142" s="248"/>
      <c r="DQ142" s="248"/>
      <c r="DR142" s="248"/>
      <c r="DS142" s="248"/>
      <c r="DT142" s="248"/>
      <c r="DU142" s="248"/>
      <c r="DV142" s="248"/>
      <c r="DW142" s="248"/>
      <c r="DX142" s="248"/>
      <c r="DY142" s="248"/>
      <c r="DZ142" s="248"/>
      <c r="EA142" s="248"/>
      <c r="EB142" s="248"/>
      <c r="EC142" s="248"/>
      <c r="ED142" s="248"/>
      <c r="EE142" s="248"/>
      <c r="EF142" s="248"/>
      <c r="EG142" s="248"/>
      <c r="EH142" s="248"/>
      <c r="EI142" s="248"/>
      <c r="EJ142" s="248"/>
      <c r="EK142" s="248"/>
      <c r="EL142" s="248"/>
      <c r="EM142" s="248"/>
      <c r="EN142" s="248"/>
      <c r="EO142" s="248"/>
      <c r="EP142" s="248"/>
      <c r="EQ142" s="248"/>
      <c r="ER142" s="248"/>
      <c r="ES142" s="248"/>
      <c r="ET142" s="248"/>
      <c r="EU142" s="248"/>
      <c r="EV142" s="248"/>
      <c r="EW142" s="248"/>
      <c r="EX142" s="248"/>
      <c r="EY142" s="248"/>
      <c r="EZ142" s="248"/>
      <c r="FA142" s="248"/>
      <c r="FB142" s="248"/>
      <c r="FC142" s="248"/>
      <c r="FD142" s="248"/>
      <c r="FE142" s="248"/>
      <c r="FF142" s="248"/>
      <c r="FG142" s="248"/>
      <c r="FH142" s="248"/>
      <c r="FI142" s="248"/>
      <c r="FJ142" s="248"/>
      <c r="FK142" s="248"/>
      <c r="FL142" s="248"/>
      <c r="FM142" s="248"/>
      <c r="FN142" s="248"/>
      <c r="FO142" s="248"/>
      <c r="FP142" s="248"/>
      <c r="FQ142" s="248"/>
      <c r="FR142" s="248"/>
      <c r="FS142" s="248"/>
      <c r="FT142" s="248"/>
      <c r="FU142" s="248"/>
      <c r="FV142" s="248"/>
      <c r="FW142" s="248"/>
      <c r="FX142" s="248"/>
      <c r="FY142" s="248"/>
      <c r="FZ142" s="248"/>
      <c r="GA142" s="248"/>
      <c r="GB142" s="248"/>
      <c r="GC142" s="248"/>
      <c r="GD142" s="248"/>
      <c r="GE142" s="248"/>
      <c r="GF142" s="248"/>
      <c r="GG142" s="248"/>
      <c r="GH142" s="248"/>
      <c r="GI142" s="248"/>
      <c r="GJ142" s="248"/>
      <c r="GK142" s="248"/>
      <c r="GL142" s="248"/>
      <c r="GM142" s="248"/>
      <c r="GN142" s="248"/>
      <c r="GO142" s="248"/>
      <c r="GP142" s="248"/>
      <c r="GQ142" s="248"/>
      <c r="GR142" s="248"/>
      <c r="GS142" s="248"/>
      <c r="GT142" s="248"/>
      <c r="GU142" s="248"/>
      <c r="GV142" s="248"/>
      <c r="GW142" s="248"/>
      <c r="GX142" s="248"/>
      <c r="GY142" s="248"/>
      <c r="GZ142" s="248"/>
      <c r="HA142" s="248"/>
      <c r="HB142" s="248"/>
      <c r="HC142" s="248"/>
      <c r="HD142" s="248"/>
      <c r="HE142" s="248"/>
      <c r="HF142" s="248"/>
      <c r="HG142" s="248"/>
      <c r="HH142" s="248"/>
      <c r="HI142" s="248"/>
      <c r="HJ142" s="248"/>
      <c r="HK142" s="248"/>
      <c r="HL142" s="248"/>
      <c r="HM142" s="248"/>
      <c r="HN142" s="248"/>
      <c r="HO142" s="248"/>
      <c r="HP142" s="248"/>
      <c r="HQ142" s="248"/>
      <c r="HR142" s="248"/>
      <c r="HS142" s="248"/>
      <c r="HT142" s="248"/>
      <c r="HU142" s="248"/>
      <c r="HV142" s="248"/>
      <c r="HW142" s="248"/>
      <c r="HX142" s="248"/>
      <c r="HY142" s="248"/>
      <c r="HZ142" s="248"/>
      <c r="IA142" s="248"/>
      <c r="IB142" s="248"/>
      <c r="IC142" s="248"/>
      <c r="ID142" s="248"/>
      <c r="IE142" s="248"/>
      <c r="IF142" s="248"/>
      <c r="IG142" s="248"/>
      <c r="IH142" s="248"/>
      <c r="II142" s="248"/>
      <c r="IJ142" s="248"/>
      <c r="IK142" s="248"/>
      <c r="IL142" s="248"/>
      <c r="IM142" s="248"/>
      <c r="IN142" s="248"/>
    </row>
    <row r="143" spans="1:248" s="164" customFormat="1">
      <c r="A143" s="242"/>
      <c r="B143" s="248"/>
      <c r="C143" s="248"/>
      <c r="D143" s="316"/>
      <c r="E143" s="316"/>
      <c r="F143" s="248"/>
      <c r="G143" s="316"/>
      <c r="H143" s="248"/>
      <c r="I143" s="248"/>
      <c r="J143" s="279"/>
      <c r="K143" s="35"/>
      <c r="L143" s="35"/>
      <c r="M143" s="35"/>
      <c r="N143" s="35"/>
      <c r="O143" s="58"/>
      <c r="P143" s="35"/>
      <c r="Q143" s="35"/>
      <c r="R143" s="248"/>
      <c r="S143" s="248"/>
      <c r="T143" s="248"/>
      <c r="U143" s="248"/>
      <c r="V143" s="248"/>
      <c r="W143" s="313"/>
      <c r="X143" s="248"/>
      <c r="Y143" s="248"/>
      <c r="Z143" s="248"/>
      <c r="AA143" s="248"/>
      <c r="AB143" s="248"/>
      <c r="AC143" s="248"/>
      <c r="AD143" s="248"/>
      <c r="AE143" s="248"/>
      <c r="AF143" s="248"/>
      <c r="AG143" s="248"/>
      <c r="AH143" s="248"/>
      <c r="AI143" s="248"/>
      <c r="AJ143" s="248"/>
      <c r="AK143" s="248"/>
      <c r="AL143" s="248"/>
      <c r="AM143" s="248"/>
      <c r="AN143" s="248"/>
      <c r="AO143" s="248"/>
      <c r="AP143" s="248"/>
      <c r="AQ143" s="248"/>
      <c r="AR143" s="248"/>
      <c r="AS143" s="248"/>
      <c r="AT143" s="248"/>
      <c r="AU143" s="248"/>
      <c r="AV143" s="248"/>
      <c r="AW143" s="248"/>
      <c r="AX143" s="248"/>
      <c r="AY143" s="248"/>
      <c r="AZ143" s="248"/>
      <c r="BA143" s="248"/>
      <c r="BB143" s="248"/>
      <c r="BC143" s="248"/>
      <c r="BD143" s="248"/>
      <c r="BE143" s="248"/>
      <c r="BF143" s="248"/>
      <c r="BG143" s="248"/>
      <c r="BH143" s="248"/>
      <c r="BI143" s="248"/>
      <c r="BJ143" s="248"/>
      <c r="BK143" s="248"/>
      <c r="BL143" s="248"/>
      <c r="BM143" s="248"/>
      <c r="BN143" s="248"/>
      <c r="BO143" s="248"/>
      <c r="BP143" s="248"/>
      <c r="BQ143" s="248"/>
      <c r="BR143" s="248"/>
      <c r="BS143" s="248"/>
      <c r="BT143" s="248"/>
      <c r="BU143" s="248"/>
      <c r="BV143" s="248"/>
      <c r="BW143" s="248"/>
      <c r="BX143" s="248"/>
      <c r="BY143" s="248"/>
      <c r="BZ143" s="248"/>
      <c r="CA143" s="248"/>
      <c r="CB143" s="248"/>
      <c r="CC143" s="248"/>
      <c r="CD143" s="248"/>
      <c r="CE143" s="248"/>
      <c r="CF143" s="248"/>
      <c r="CG143" s="248"/>
      <c r="CH143" s="248"/>
      <c r="CI143" s="248"/>
      <c r="CJ143" s="248"/>
      <c r="CK143" s="248"/>
      <c r="CL143" s="248"/>
      <c r="CM143" s="248"/>
      <c r="CN143" s="248"/>
      <c r="CO143" s="248"/>
      <c r="CP143" s="248"/>
      <c r="CQ143" s="248"/>
      <c r="CR143" s="248"/>
      <c r="CS143" s="248"/>
      <c r="CT143" s="248"/>
      <c r="CU143" s="248"/>
      <c r="CV143" s="248"/>
      <c r="CW143" s="248"/>
      <c r="CX143" s="248"/>
      <c r="CY143" s="248"/>
      <c r="CZ143" s="248"/>
      <c r="DA143" s="248"/>
      <c r="DB143" s="248"/>
      <c r="DC143" s="248"/>
      <c r="DD143" s="248"/>
      <c r="DE143" s="248"/>
      <c r="DF143" s="248"/>
      <c r="DG143" s="248"/>
      <c r="DH143" s="248"/>
      <c r="DI143" s="248"/>
      <c r="DJ143" s="248"/>
      <c r="DK143" s="248"/>
      <c r="DL143" s="248"/>
      <c r="DM143" s="248"/>
      <c r="DN143" s="248"/>
      <c r="DO143" s="248"/>
      <c r="DP143" s="248"/>
      <c r="DQ143" s="248"/>
      <c r="DR143" s="248"/>
      <c r="DS143" s="248"/>
      <c r="DT143" s="248"/>
      <c r="DU143" s="248"/>
      <c r="DV143" s="248"/>
      <c r="DW143" s="248"/>
      <c r="DX143" s="248"/>
      <c r="DY143" s="248"/>
      <c r="DZ143" s="248"/>
      <c r="EA143" s="248"/>
      <c r="EB143" s="248"/>
      <c r="EC143" s="248"/>
      <c r="ED143" s="248"/>
      <c r="EE143" s="248"/>
      <c r="EF143" s="248"/>
      <c r="EG143" s="248"/>
      <c r="EH143" s="248"/>
      <c r="EI143" s="248"/>
      <c r="EJ143" s="248"/>
      <c r="EK143" s="248"/>
      <c r="EL143" s="248"/>
      <c r="EM143" s="248"/>
      <c r="EN143" s="248"/>
      <c r="EO143" s="248"/>
      <c r="EP143" s="248"/>
      <c r="EQ143" s="248"/>
      <c r="ER143" s="248"/>
      <c r="ES143" s="248"/>
      <c r="ET143" s="248"/>
      <c r="EU143" s="248"/>
      <c r="EV143" s="248"/>
      <c r="EW143" s="248"/>
      <c r="EX143" s="248"/>
      <c r="EY143" s="248"/>
      <c r="EZ143" s="248"/>
      <c r="FA143" s="248"/>
      <c r="FB143" s="248"/>
      <c r="FC143" s="248"/>
      <c r="FD143" s="248"/>
      <c r="FE143" s="248"/>
      <c r="FF143" s="248"/>
      <c r="FG143" s="248"/>
      <c r="FH143" s="248"/>
      <c r="FI143" s="248"/>
      <c r="FJ143" s="248"/>
      <c r="FK143" s="248"/>
      <c r="FL143" s="248"/>
      <c r="FM143" s="248"/>
      <c r="FN143" s="248"/>
      <c r="FO143" s="248"/>
      <c r="FP143" s="248"/>
      <c r="FQ143" s="248"/>
      <c r="FR143" s="248"/>
      <c r="FS143" s="248"/>
      <c r="FT143" s="248"/>
      <c r="FU143" s="248"/>
      <c r="FV143" s="248"/>
      <c r="FW143" s="248"/>
      <c r="FX143" s="248"/>
      <c r="FY143" s="248"/>
      <c r="FZ143" s="248"/>
      <c r="GA143" s="248"/>
      <c r="GB143" s="248"/>
      <c r="GC143" s="248"/>
      <c r="GD143" s="248"/>
      <c r="GE143" s="248"/>
      <c r="GF143" s="248"/>
      <c r="GG143" s="248"/>
      <c r="GH143" s="248"/>
      <c r="GI143" s="248"/>
      <c r="GJ143" s="248"/>
      <c r="GK143" s="248"/>
      <c r="GL143" s="248"/>
      <c r="GM143" s="248"/>
      <c r="GN143" s="248"/>
      <c r="GO143" s="248"/>
      <c r="GP143" s="248"/>
      <c r="GQ143" s="248"/>
      <c r="GR143" s="248"/>
      <c r="GS143" s="248"/>
      <c r="GT143" s="248"/>
      <c r="GU143" s="248"/>
      <c r="GV143" s="248"/>
      <c r="GW143" s="248"/>
      <c r="GX143" s="248"/>
      <c r="GY143" s="248"/>
      <c r="GZ143" s="248"/>
      <c r="HA143" s="248"/>
      <c r="HB143" s="248"/>
      <c r="HC143" s="248"/>
      <c r="HD143" s="248"/>
      <c r="HE143" s="248"/>
      <c r="HF143" s="248"/>
      <c r="HG143" s="248"/>
      <c r="HH143" s="248"/>
      <c r="HI143" s="248"/>
      <c r="HJ143" s="248"/>
      <c r="HK143" s="248"/>
      <c r="HL143" s="248"/>
      <c r="HM143" s="248"/>
      <c r="HN143" s="248"/>
      <c r="HO143" s="248"/>
      <c r="HP143" s="248"/>
      <c r="HQ143" s="248"/>
      <c r="HR143" s="248"/>
      <c r="HS143" s="248"/>
      <c r="HT143" s="248"/>
      <c r="HU143" s="248"/>
      <c r="HV143" s="248"/>
      <c r="HW143" s="248"/>
      <c r="HX143" s="248"/>
      <c r="HY143" s="248"/>
      <c r="HZ143" s="248"/>
      <c r="IA143" s="248"/>
      <c r="IB143" s="248"/>
      <c r="IC143" s="248"/>
      <c r="ID143" s="248"/>
      <c r="IE143" s="248"/>
      <c r="IF143" s="248"/>
      <c r="IG143" s="248"/>
      <c r="IH143" s="248"/>
      <c r="II143" s="248"/>
      <c r="IJ143" s="248"/>
      <c r="IK143" s="248"/>
      <c r="IL143" s="248"/>
      <c r="IM143" s="248"/>
      <c r="IN143" s="248"/>
    </row>
    <row r="144" spans="1:248" s="164" customFormat="1">
      <c r="A144" s="242"/>
      <c r="B144" s="248"/>
      <c r="C144" s="248"/>
      <c r="D144" s="316"/>
      <c r="E144" s="316"/>
      <c r="F144" s="248"/>
      <c r="G144" s="316"/>
      <c r="H144" s="248"/>
      <c r="I144" s="248"/>
      <c r="J144" s="279"/>
      <c r="K144" s="35"/>
      <c r="L144" s="35"/>
      <c r="M144" s="35"/>
      <c r="N144" s="35"/>
      <c r="O144" s="58"/>
      <c r="P144" s="35"/>
      <c r="Q144" s="35"/>
      <c r="R144" s="248"/>
      <c r="S144" s="248"/>
      <c r="T144" s="248"/>
      <c r="U144" s="248"/>
      <c r="V144" s="248"/>
      <c r="W144" s="313"/>
      <c r="X144" s="248"/>
      <c r="Y144" s="248"/>
      <c r="Z144" s="248"/>
      <c r="AA144" s="248"/>
      <c r="AB144" s="248"/>
      <c r="AC144" s="248"/>
      <c r="AD144" s="248"/>
      <c r="AE144" s="248"/>
      <c r="AF144" s="248"/>
      <c r="AG144" s="248"/>
      <c r="AH144" s="248"/>
      <c r="AI144" s="248"/>
      <c r="AJ144" s="248"/>
      <c r="AK144" s="248"/>
      <c r="AL144" s="248"/>
      <c r="AM144" s="248"/>
      <c r="AN144" s="248"/>
      <c r="AO144" s="248"/>
      <c r="AP144" s="248"/>
      <c r="AQ144" s="248"/>
      <c r="AR144" s="248"/>
      <c r="AS144" s="248"/>
      <c r="AT144" s="248"/>
      <c r="AU144" s="248"/>
      <c r="AV144" s="248"/>
      <c r="AW144" s="248"/>
      <c r="AX144" s="248"/>
      <c r="AY144" s="248"/>
      <c r="AZ144" s="248"/>
      <c r="BA144" s="248"/>
      <c r="BB144" s="248"/>
      <c r="BC144" s="248"/>
      <c r="BD144" s="248"/>
      <c r="BE144" s="248"/>
      <c r="BF144" s="248"/>
      <c r="BG144" s="248"/>
      <c r="BH144" s="248"/>
      <c r="BI144" s="248"/>
      <c r="BJ144" s="248"/>
      <c r="BK144" s="248"/>
      <c r="BL144" s="248"/>
      <c r="BM144" s="248"/>
      <c r="BN144" s="248"/>
      <c r="BO144" s="248"/>
      <c r="BP144" s="248"/>
      <c r="BQ144" s="248"/>
      <c r="BR144" s="248"/>
      <c r="BS144" s="248"/>
      <c r="BT144" s="248"/>
      <c r="BU144" s="248"/>
      <c r="BV144" s="248"/>
      <c r="BW144" s="248"/>
      <c r="BX144" s="248"/>
      <c r="BY144" s="248"/>
      <c r="BZ144" s="248"/>
      <c r="CA144" s="248"/>
      <c r="CB144" s="248"/>
      <c r="CC144" s="248"/>
      <c r="CD144" s="248"/>
      <c r="CE144" s="248"/>
      <c r="CF144" s="248"/>
      <c r="CG144" s="248"/>
      <c r="CH144" s="248"/>
      <c r="CI144" s="248"/>
      <c r="CJ144" s="248"/>
      <c r="CK144" s="248"/>
      <c r="CL144" s="248"/>
      <c r="CM144" s="248"/>
      <c r="CN144" s="248"/>
      <c r="CO144" s="248"/>
      <c r="CP144" s="248"/>
      <c r="CQ144" s="248"/>
      <c r="CR144" s="248"/>
      <c r="CS144" s="248"/>
      <c r="CT144" s="248"/>
      <c r="CU144" s="248"/>
      <c r="CV144" s="248"/>
      <c r="CW144" s="248"/>
      <c r="CX144" s="248"/>
      <c r="CY144" s="248"/>
      <c r="CZ144" s="248"/>
      <c r="DA144" s="248"/>
      <c r="DB144" s="248"/>
      <c r="DC144" s="248"/>
      <c r="DD144" s="248"/>
      <c r="DE144" s="248"/>
      <c r="DF144" s="248"/>
      <c r="DG144" s="248"/>
      <c r="DH144" s="248"/>
      <c r="DI144" s="248"/>
      <c r="DJ144" s="248"/>
      <c r="DK144" s="248"/>
      <c r="DL144" s="248"/>
      <c r="DM144" s="248"/>
      <c r="DN144" s="248"/>
      <c r="DO144" s="248"/>
      <c r="DP144" s="248"/>
      <c r="DQ144" s="248"/>
      <c r="DR144" s="248"/>
      <c r="DS144" s="248"/>
      <c r="DT144" s="248"/>
      <c r="DU144" s="248"/>
      <c r="DV144" s="248"/>
      <c r="DW144" s="248"/>
      <c r="DX144" s="248"/>
      <c r="DY144" s="248"/>
      <c r="DZ144" s="248"/>
      <c r="EA144" s="248"/>
      <c r="EB144" s="248"/>
      <c r="EC144" s="248"/>
      <c r="ED144" s="248"/>
      <c r="EE144" s="248"/>
      <c r="EF144" s="248"/>
      <c r="EG144" s="248"/>
      <c r="EH144" s="248"/>
      <c r="EI144" s="248"/>
      <c r="EJ144" s="248"/>
      <c r="EK144" s="248"/>
      <c r="EL144" s="248"/>
      <c r="EM144" s="248"/>
      <c r="EN144" s="248"/>
      <c r="EO144" s="248"/>
      <c r="EP144" s="248"/>
      <c r="EQ144" s="248"/>
      <c r="ER144" s="248"/>
      <c r="ES144" s="248"/>
      <c r="ET144" s="248"/>
      <c r="EU144" s="248"/>
      <c r="EV144" s="248"/>
      <c r="EW144" s="248"/>
      <c r="EX144" s="248"/>
      <c r="EY144" s="248"/>
      <c r="EZ144" s="248"/>
      <c r="FA144" s="248"/>
      <c r="FB144" s="248"/>
      <c r="FC144" s="248"/>
      <c r="FD144" s="248"/>
      <c r="FE144" s="248"/>
      <c r="FF144" s="248"/>
      <c r="FG144" s="248"/>
      <c r="FH144" s="248"/>
      <c r="FI144" s="248"/>
      <c r="FJ144" s="248"/>
      <c r="FK144" s="248"/>
      <c r="FL144" s="248"/>
      <c r="FM144" s="248"/>
      <c r="FN144" s="248"/>
      <c r="FO144" s="248"/>
      <c r="FP144" s="248"/>
      <c r="FQ144" s="248"/>
      <c r="FR144" s="248"/>
      <c r="FS144" s="248"/>
      <c r="FT144" s="248"/>
      <c r="FU144" s="248"/>
      <c r="FV144" s="248"/>
      <c r="FW144" s="248"/>
      <c r="FX144" s="248"/>
      <c r="FY144" s="248"/>
      <c r="FZ144" s="248"/>
      <c r="GA144" s="248"/>
      <c r="GB144" s="248"/>
      <c r="GC144" s="248"/>
      <c r="GD144" s="248"/>
      <c r="GE144" s="248"/>
      <c r="GF144" s="248"/>
      <c r="GG144" s="248"/>
      <c r="GH144" s="248"/>
      <c r="GI144" s="248"/>
      <c r="GJ144" s="248"/>
      <c r="GK144" s="248"/>
      <c r="GL144" s="248"/>
      <c r="GM144" s="248"/>
      <c r="GN144" s="248"/>
      <c r="GO144" s="248"/>
      <c r="GP144" s="248"/>
      <c r="GQ144" s="248"/>
      <c r="GR144" s="248"/>
      <c r="GS144" s="248"/>
      <c r="GT144" s="248"/>
      <c r="GU144" s="248"/>
      <c r="GV144" s="248"/>
      <c r="GW144" s="248"/>
      <c r="GX144" s="248"/>
      <c r="GY144" s="248"/>
      <c r="GZ144" s="248"/>
      <c r="HA144" s="248"/>
      <c r="HB144" s="248"/>
      <c r="HC144" s="248"/>
      <c r="HD144" s="248"/>
      <c r="HE144" s="248"/>
      <c r="HF144" s="248"/>
      <c r="HG144" s="248"/>
      <c r="HH144" s="248"/>
      <c r="HI144" s="248"/>
      <c r="HJ144" s="248"/>
      <c r="HK144" s="248"/>
      <c r="HL144" s="248"/>
      <c r="HM144" s="248"/>
      <c r="HN144" s="248"/>
      <c r="HO144" s="248"/>
      <c r="HP144" s="248"/>
      <c r="HQ144" s="248"/>
      <c r="HR144" s="248"/>
      <c r="HS144" s="248"/>
      <c r="HT144" s="248"/>
      <c r="HU144" s="248"/>
      <c r="HV144" s="248"/>
      <c r="HW144" s="248"/>
      <c r="HX144" s="248"/>
      <c r="HY144" s="248"/>
      <c r="HZ144" s="248"/>
      <c r="IA144" s="248"/>
      <c r="IB144" s="248"/>
      <c r="IC144" s="248"/>
      <c r="ID144" s="248"/>
      <c r="IE144" s="248"/>
      <c r="IF144" s="248"/>
      <c r="IG144" s="248"/>
      <c r="IH144" s="248"/>
      <c r="II144" s="248"/>
      <c r="IJ144" s="248"/>
      <c r="IK144" s="248"/>
      <c r="IL144" s="248"/>
      <c r="IM144" s="248"/>
      <c r="IN144" s="248"/>
    </row>
    <row r="145" spans="1:248" s="164" customFormat="1">
      <c r="A145" s="242"/>
      <c r="B145" s="248"/>
      <c r="C145" s="248"/>
      <c r="D145" s="316"/>
      <c r="E145" s="316"/>
      <c r="F145" s="248"/>
      <c r="G145" s="316"/>
      <c r="H145" s="248"/>
      <c r="I145" s="248"/>
      <c r="J145" s="279"/>
      <c r="K145" s="35"/>
      <c r="L145" s="35"/>
      <c r="M145" s="35"/>
      <c r="N145" s="35"/>
      <c r="O145" s="58"/>
      <c r="P145" s="35"/>
      <c r="Q145" s="35"/>
      <c r="R145" s="248"/>
      <c r="S145" s="248"/>
      <c r="T145" s="248"/>
      <c r="U145" s="248"/>
      <c r="V145" s="248"/>
      <c r="W145" s="313"/>
      <c r="X145" s="248"/>
      <c r="Y145" s="248"/>
      <c r="Z145" s="248"/>
      <c r="AA145" s="248"/>
      <c r="AB145" s="248"/>
      <c r="AC145" s="248"/>
      <c r="AD145" s="248"/>
      <c r="AE145" s="248"/>
      <c r="AF145" s="248"/>
      <c r="AG145" s="248"/>
      <c r="AH145" s="248"/>
      <c r="AI145" s="248"/>
      <c r="AJ145" s="248"/>
      <c r="AK145" s="248"/>
      <c r="AL145" s="248"/>
      <c r="AM145" s="248"/>
      <c r="AN145" s="248"/>
      <c r="AO145" s="248"/>
      <c r="AP145" s="248"/>
      <c r="AQ145" s="248"/>
      <c r="AR145" s="248"/>
      <c r="AS145" s="248"/>
      <c r="AT145" s="248"/>
      <c r="AU145" s="248"/>
      <c r="AV145" s="248"/>
      <c r="AW145" s="248"/>
      <c r="AX145" s="248"/>
      <c r="AY145" s="248"/>
      <c r="AZ145" s="248"/>
      <c r="BA145" s="248"/>
      <c r="BB145" s="248"/>
      <c r="BC145" s="248"/>
      <c r="BD145" s="248"/>
      <c r="BE145" s="248"/>
      <c r="BF145" s="248"/>
      <c r="BG145" s="248"/>
      <c r="BH145" s="248"/>
      <c r="BI145" s="248"/>
      <c r="BJ145" s="248"/>
      <c r="BK145" s="248"/>
      <c r="BL145" s="248"/>
      <c r="BM145" s="248"/>
      <c r="BN145" s="248"/>
      <c r="BO145" s="248"/>
      <c r="BP145" s="248"/>
      <c r="BQ145" s="248"/>
      <c r="BR145" s="248"/>
      <c r="BS145" s="248"/>
      <c r="BT145" s="248"/>
      <c r="BU145" s="248"/>
      <c r="BV145" s="248"/>
      <c r="BW145" s="248"/>
      <c r="BX145" s="248"/>
      <c r="BY145" s="248"/>
      <c r="BZ145" s="248"/>
      <c r="CA145" s="248"/>
      <c r="CB145" s="248"/>
      <c r="CC145" s="248"/>
      <c r="CD145" s="248"/>
      <c r="CE145" s="248"/>
      <c r="CF145" s="248"/>
      <c r="CG145" s="248"/>
      <c r="CH145" s="248"/>
      <c r="CI145" s="248"/>
      <c r="CJ145" s="248"/>
      <c r="CK145" s="248"/>
      <c r="CL145" s="248"/>
      <c r="CM145" s="248"/>
      <c r="CN145" s="248"/>
      <c r="CO145" s="248"/>
      <c r="CP145" s="248"/>
      <c r="CQ145" s="248"/>
      <c r="CR145" s="248"/>
      <c r="CS145" s="248"/>
      <c r="CT145" s="248"/>
      <c r="CU145" s="248"/>
      <c r="CV145" s="248"/>
      <c r="CW145" s="248"/>
      <c r="CX145" s="248"/>
      <c r="CY145" s="248"/>
      <c r="CZ145" s="248"/>
      <c r="DA145" s="248"/>
      <c r="DB145" s="248"/>
      <c r="DC145" s="248"/>
      <c r="DD145" s="248"/>
      <c r="DE145" s="248"/>
      <c r="DF145" s="248"/>
      <c r="DG145" s="248"/>
      <c r="DH145" s="248"/>
      <c r="DI145" s="248"/>
      <c r="DJ145" s="248"/>
      <c r="DK145" s="248"/>
      <c r="DL145" s="248"/>
      <c r="DM145" s="248"/>
      <c r="DN145" s="248"/>
      <c r="DO145" s="248"/>
      <c r="DP145" s="248"/>
      <c r="DQ145" s="248"/>
      <c r="DR145" s="248"/>
      <c r="DS145" s="248"/>
      <c r="DT145" s="248"/>
      <c r="DU145" s="248"/>
      <c r="DV145" s="248"/>
      <c r="DW145" s="248"/>
      <c r="DX145" s="248"/>
      <c r="DY145" s="248"/>
      <c r="DZ145" s="248"/>
      <c r="EA145" s="248"/>
      <c r="EB145" s="248"/>
      <c r="EC145" s="248"/>
      <c r="ED145" s="248"/>
      <c r="EE145" s="248"/>
      <c r="EF145" s="248"/>
      <c r="EG145" s="248"/>
      <c r="EH145" s="248"/>
      <c r="EI145" s="248"/>
      <c r="EJ145" s="248"/>
      <c r="EK145" s="248"/>
      <c r="EL145" s="248"/>
      <c r="EM145" s="248"/>
      <c r="EN145" s="248"/>
      <c r="EO145" s="248"/>
      <c r="EP145" s="248"/>
      <c r="EQ145" s="248"/>
      <c r="ER145" s="248"/>
      <c r="ES145" s="248"/>
      <c r="ET145" s="248"/>
      <c r="EU145" s="248"/>
      <c r="EV145" s="248"/>
      <c r="EW145" s="248"/>
      <c r="EX145" s="248"/>
      <c r="EY145" s="248"/>
      <c r="EZ145" s="248"/>
      <c r="FA145" s="248"/>
      <c r="FB145" s="248"/>
      <c r="FC145" s="248"/>
      <c r="FD145" s="248"/>
      <c r="FE145" s="248"/>
      <c r="FF145" s="248"/>
      <c r="FG145" s="248"/>
      <c r="FH145" s="248"/>
      <c r="FI145" s="248"/>
      <c r="FJ145" s="248"/>
      <c r="FK145" s="248"/>
      <c r="FL145" s="248"/>
      <c r="FM145" s="248"/>
      <c r="FN145" s="248"/>
      <c r="FO145" s="248"/>
      <c r="FP145" s="248"/>
      <c r="FQ145" s="248"/>
      <c r="FR145" s="248"/>
      <c r="FS145" s="248"/>
      <c r="FT145" s="248"/>
      <c r="FU145" s="248"/>
      <c r="FV145" s="248"/>
      <c r="FW145" s="248"/>
      <c r="FX145" s="248"/>
      <c r="FY145" s="248"/>
      <c r="FZ145" s="248"/>
      <c r="GA145" s="248"/>
      <c r="GB145" s="248"/>
      <c r="GC145" s="248"/>
      <c r="GD145" s="248"/>
      <c r="GE145" s="248"/>
      <c r="GF145" s="248"/>
      <c r="GG145" s="248"/>
      <c r="GH145" s="248"/>
      <c r="GI145" s="248"/>
      <c r="GJ145" s="248"/>
      <c r="GK145" s="248"/>
      <c r="GL145" s="248"/>
      <c r="GM145" s="248"/>
      <c r="GN145" s="248"/>
      <c r="GO145" s="248"/>
      <c r="GP145" s="248"/>
      <c r="GQ145" s="248"/>
      <c r="GR145" s="248"/>
      <c r="GS145" s="248"/>
      <c r="GT145" s="248"/>
      <c r="GU145" s="248"/>
      <c r="GV145" s="248"/>
      <c r="GW145" s="248"/>
      <c r="GX145" s="248"/>
      <c r="GY145" s="248"/>
      <c r="GZ145" s="248"/>
      <c r="HA145" s="248"/>
      <c r="HB145" s="248"/>
      <c r="HC145" s="248"/>
      <c r="HD145" s="248"/>
      <c r="HE145" s="248"/>
      <c r="HF145" s="248"/>
      <c r="HG145" s="248"/>
      <c r="HH145" s="248"/>
      <c r="HI145" s="248"/>
      <c r="HJ145" s="248"/>
      <c r="HK145" s="248"/>
      <c r="HL145" s="248"/>
      <c r="HM145" s="248"/>
      <c r="HN145" s="248"/>
      <c r="HO145" s="248"/>
      <c r="HP145" s="248"/>
      <c r="HQ145" s="248"/>
      <c r="HR145" s="248"/>
      <c r="HS145" s="248"/>
      <c r="HT145" s="248"/>
      <c r="HU145" s="248"/>
      <c r="HV145" s="248"/>
      <c r="HW145" s="248"/>
      <c r="HX145" s="248"/>
      <c r="HY145" s="248"/>
      <c r="HZ145" s="248"/>
      <c r="IA145" s="248"/>
      <c r="IB145" s="248"/>
      <c r="IC145" s="248"/>
      <c r="ID145" s="248"/>
      <c r="IE145" s="248"/>
      <c r="IF145" s="248"/>
      <c r="IG145" s="248"/>
      <c r="IH145" s="248"/>
      <c r="II145" s="248"/>
      <c r="IJ145" s="248"/>
      <c r="IK145" s="248"/>
      <c r="IL145" s="248"/>
      <c r="IM145" s="248"/>
      <c r="IN145" s="248"/>
    </row>
    <row r="146" spans="1:248" s="164" customFormat="1">
      <c r="A146" s="242"/>
      <c r="B146" s="248"/>
      <c r="C146" s="248"/>
      <c r="D146" s="316"/>
      <c r="E146" s="316"/>
      <c r="F146" s="248"/>
      <c r="G146" s="316"/>
      <c r="H146" s="248"/>
      <c r="I146" s="248"/>
      <c r="J146" s="279"/>
      <c r="K146" s="35"/>
      <c r="L146" s="35"/>
      <c r="M146" s="35"/>
      <c r="N146" s="35"/>
      <c r="O146" s="58"/>
      <c r="P146" s="35"/>
      <c r="Q146" s="35"/>
      <c r="R146" s="248"/>
      <c r="S146" s="248"/>
      <c r="T146" s="248"/>
      <c r="U146" s="248"/>
      <c r="V146" s="248"/>
      <c r="W146" s="313"/>
      <c r="X146" s="248"/>
      <c r="Y146" s="248"/>
      <c r="Z146" s="248"/>
      <c r="AA146" s="248"/>
      <c r="AB146" s="248"/>
      <c r="AC146" s="248"/>
      <c r="AD146" s="248"/>
      <c r="AE146" s="248"/>
      <c r="AF146" s="248"/>
      <c r="AG146" s="248"/>
      <c r="AH146" s="248"/>
      <c r="AI146" s="248"/>
      <c r="AJ146" s="248"/>
      <c r="AK146" s="248"/>
      <c r="AL146" s="248"/>
      <c r="AM146" s="248"/>
      <c r="AN146" s="248"/>
      <c r="AO146" s="248"/>
      <c r="AP146" s="248"/>
      <c r="AQ146" s="248"/>
      <c r="AR146" s="248"/>
      <c r="AS146" s="248"/>
      <c r="AT146" s="248"/>
      <c r="AU146" s="248"/>
      <c r="AV146" s="248"/>
      <c r="AW146" s="248"/>
      <c r="AX146" s="248"/>
      <c r="AY146" s="248"/>
      <c r="AZ146" s="248"/>
      <c r="BA146" s="248"/>
      <c r="BB146" s="248"/>
      <c r="BC146" s="248"/>
      <c r="BD146" s="248"/>
      <c r="BE146" s="248"/>
      <c r="BF146" s="248"/>
      <c r="BG146" s="248"/>
      <c r="BH146" s="248"/>
      <c r="BI146" s="248"/>
      <c r="BJ146" s="248"/>
      <c r="BK146" s="248"/>
      <c r="BL146" s="248"/>
      <c r="BM146" s="248"/>
      <c r="BN146" s="248"/>
      <c r="BO146" s="248"/>
      <c r="BP146" s="248"/>
      <c r="BQ146" s="248"/>
      <c r="BR146" s="248"/>
      <c r="BS146" s="248"/>
      <c r="BT146" s="248"/>
      <c r="BU146" s="248"/>
      <c r="BV146" s="248"/>
      <c r="BW146" s="248"/>
      <c r="BX146" s="248"/>
      <c r="BY146" s="248"/>
      <c r="BZ146" s="248"/>
      <c r="CA146" s="248"/>
      <c r="CB146" s="248"/>
      <c r="CC146" s="248"/>
      <c r="CD146" s="248"/>
      <c r="CE146" s="248"/>
      <c r="CF146" s="248"/>
      <c r="CG146" s="248"/>
      <c r="CH146" s="248"/>
      <c r="CI146" s="248"/>
      <c r="CJ146" s="248"/>
      <c r="CK146" s="248"/>
      <c r="CL146" s="248"/>
      <c r="CM146" s="248"/>
      <c r="CN146" s="248"/>
      <c r="CO146" s="248"/>
      <c r="CP146" s="248"/>
      <c r="CQ146" s="248"/>
      <c r="CR146" s="248"/>
      <c r="CS146" s="248"/>
      <c r="CT146" s="248"/>
      <c r="CU146" s="248"/>
      <c r="CV146" s="248"/>
      <c r="CW146" s="248"/>
      <c r="CX146" s="248"/>
      <c r="CY146" s="248"/>
      <c r="CZ146" s="248"/>
      <c r="DA146" s="248"/>
      <c r="DB146" s="248"/>
      <c r="DC146" s="248"/>
      <c r="DD146" s="248"/>
      <c r="DE146" s="248"/>
      <c r="DF146" s="248"/>
      <c r="DG146" s="248"/>
      <c r="DH146" s="248"/>
      <c r="DI146" s="248"/>
      <c r="DJ146" s="248"/>
      <c r="DK146" s="248"/>
      <c r="DL146" s="248"/>
      <c r="DM146" s="248"/>
      <c r="DN146" s="248"/>
      <c r="DO146" s="248"/>
      <c r="DP146" s="248"/>
      <c r="DQ146" s="248"/>
      <c r="DR146" s="248"/>
      <c r="DS146" s="248"/>
      <c r="DT146" s="248"/>
      <c r="DU146" s="248"/>
      <c r="DV146" s="248"/>
      <c r="DW146" s="248"/>
      <c r="DX146" s="248"/>
      <c r="DY146" s="248"/>
      <c r="DZ146" s="248"/>
      <c r="EA146" s="248"/>
      <c r="EB146" s="248"/>
      <c r="EC146" s="248"/>
      <c r="ED146" s="248"/>
      <c r="EE146" s="248"/>
      <c r="EF146" s="248"/>
      <c r="EG146" s="248"/>
      <c r="EH146" s="248"/>
      <c r="EI146" s="248"/>
      <c r="EJ146" s="248"/>
      <c r="EK146" s="248"/>
      <c r="EL146" s="248"/>
      <c r="EM146" s="248"/>
      <c r="EN146" s="248"/>
      <c r="EO146" s="248"/>
      <c r="EP146" s="248"/>
      <c r="EQ146" s="248"/>
      <c r="ER146" s="248"/>
      <c r="ES146" s="248"/>
      <c r="ET146" s="248"/>
      <c r="EU146" s="248"/>
      <c r="EV146" s="248"/>
      <c r="EW146" s="248"/>
      <c r="EX146" s="248"/>
      <c r="EY146" s="248"/>
      <c r="EZ146" s="248"/>
      <c r="FA146" s="248"/>
      <c r="FB146" s="248"/>
      <c r="FC146" s="248"/>
      <c r="FD146" s="248"/>
      <c r="FE146" s="248"/>
      <c r="FF146" s="248"/>
      <c r="FG146" s="248"/>
      <c r="FH146" s="248"/>
      <c r="FI146" s="248"/>
      <c r="FJ146" s="248"/>
      <c r="FK146" s="248"/>
      <c r="FL146" s="248"/>
      <c r="FM146" s="248"/>
      <c r="FN146" s="248"/>
      <c r="FO146" s="248"/>
      <c r="FP146" s="248"/>
      <c r="FQ146" s="248"/>
      <c r="FR146" s="248"/>
      <c r="FS146" s="248"/>
      <c r="FT146" s="248"/>
      <c r="FU146" s="248"/>
      <c r="FV146" s="248"/>
      <c r="FW146" s="248"/>
      <c r="FX146" s="248"/>
      <c r="FY146" s="248"/>
      <c r="FZ146" s="248"/>
      <c r="GA146" s="248"/>
      <c r="GB146" s="248"/>
      <c r="GC146" s="248"/>
      <c r="GD146" s="248"/>
      <c r="GE146" s="248"/>
      <c r="GF146" s="248"/>
      <c r="GG146" s="248"/>
      <c r="GH146" s="248"/>
      <c r="GI146" s="248"/>
      <c r="GJ146" s="248"/>
      <c r="GK146" s="248"/>
      <c r="GL146" s="248"/>
      <c r="GM146" s="248"/>
      <c r="GN146" s="248"/>
      <c r="GO146" s="248"/>
      <c r="GP146" s="248"/>
      <c r="GQ146" s="248"/>
      <c r="GR146" s="248"/>
      <c r="GS146" s="248"/>
      <c r="GT146" s="248"/>
      <c r="GU146" s="248"/>
      <c r="GV146" s="248"/>
      <c r="GW146" s="248"/>
      <c r="GX146" s="248"/>
      <c r="GY146" s="248"/>
      <c r="GZ146" s="248"/>
      <c r="HA146" s="248"/>
      <c r="HB146" s="248"/>
      <c r="HC146" s="248"/>
      <c r="HD146" s="248"/>
      <c r="HE146" s="248"/>
      <c r="HF146" s="248"/>
      <c r="HG146" s="248"/>
      <c r="HH146" s="248"/>
      <c r="HI146" s="248"/>
      <c r="HJ146" s="248"/>
      <c r="HK146" s="248"/>
      <c r="HL146" s="248"/>
      <c r="HM146" s="248"/>
      <c r="HN146" s="248"/>
      <c r="HO146" s="248"/>
      <c r="HP146" s="248"/>
      <c r="HQ146" s="248"/>
      <c r="HR146" s="248"/>
      <c r="HS146" s="248"/>
      <c r="HT146" s="248"/>
      <c r="HU146" s="248"/>
      <c r="HV146" s="248"/>
      <c r="HW146" s="248"/>
      <c r="HX146" s="248"/>
      <c r="HY146" s="248"/>
      <c r="HZ146" s="248"/>
      <c r="IA146" s="248"/>
      <c r="IB146" s="248"/>
      <c r="IC146" s="248"/>
      <c r="ID146" s="248"/>
      <c r="IE146" s="248"/>
      <c r="IF146" s="248"/>
      <c r="IG146" s="248"/>
      <c r="IH146" s="248"/>
      <c r="II146" s="248"/>
      <c r="IJ146" s="248"/>
      <c r="IK146" s="248"/>
      <c r="IL146" s="248"/>
      <c r="IM146" s="248"/>
      <c r="IN146" s="248"/>
    </row>
    <row r="147" spans="1:248" s="164" customFormat="1">
      <c r="A147" s="242"/>
      <c r="B147" s="248"/>
      <c r="C147" s="248"/>
      <c r="D147" s="316"/>
      <c r="E147" s="316"/>
      <c r="F147" s="248"/>
      <c r="G147" s="316"/>
      <c r="H147" s="248"/>
      <c r="I147" s="248"/>
      <c r="J147" s="279"/>
      <c r="K147" s="35"/>
      <c r="L147" s="35"/>
      <c r="M147" s="35"/>
      <c r="N147" s="35"/>
      <c r="O147" s="58"/>
      <c r="P147" s="35"/>
      <c r="Q147" s="35"/>
      <c r="R147" s="248"/>
      <c r="S147" s="248"/>
      <c r="T147" s="248"/>
      <c r="U147" s="248"/>
      <c r="V147" s="248"/>
      <c r="W147" s="313"/>
      <c r="X147" s="248"/>
      <c r="Y147" s="248"/>
      <c r="Z147" s="248"/>
      <c r="AA147" s="248"/>
      <c r="AB147" s="248"/>
      <c r="AC147" s="248"/>
      <c r="AD147" s="248"/>
      <c r="AE147" s="248"/>
      <c r="AF147" s="248"/>
      <c r="AG147" s="248"/>
      <c r="AH147" s="248"/>
      <c r="AI147" s="248"/>
      <c r="AJ147" s="248"/>
      <c r="AK147" s="248"/>
      <c r="AL147" s="248"/>
      <c r="AM147" s="248"/>
      <c r="AN147" s="248"/>
      <c r="AO147" s="248"/>
      <c r="AP147" s="248"/>
      <c r="AQ147" s="248"/>
      <c r="AR147" s="248"/>
      <c r="AS147" s="248"/>
      <c r="AT147" s="248"/>
      <c r="AU147" s="248"/>
      <c r="AV147" s="248"/>
      <c r="AW147" s="248"/>
      <c r="AX147" s="248"/>
      <c r="AY147" s="248"/>
      <c r="AZ147" s="248"/>
      <c r="BA147" s="248"/>
      <c r="BB147" s="248"/>
      <c r="BC147" s="248"/>
      <c r="BD147" s="248"/>
      <c r="BE147" s="248"/>
      <c r="BF147" s="248"/>
      <c r="BG147" s="248"/>
      <c r="BH147" s="248"/>
      <c r="BI147" s="248"/>
      <c r="BJ147" s="248"/>
      <c r="BK147" s="248"/>
      <c r="BL147" s="248"/>
      <c r="BM147" s="248"/>
      <c r="BN147" s="248"/>
      <c r="BO147" s="248"/>
      <c r="BP147" s="248"/>
      <c r="BQ147" s="248"/>
      <c r="BR147" s="248"/>
      <c r="BS147" s="248"/>
      <c r="BT147" s="248"/>
      <c r="BU147" s="248"/>
      <c r="BV147" s="248"/>
      <c r="BW147" s="248"/>
      <c r="BX147" s="248"/>
      <c r="BY147" s="248"/>
      <c r="BZ147" s="248"/>
      <c r="CA147" s="248"/>
      <c r="CB147" s="248"/>
      <c r="CC147" s="248"/>
      <c r="CD147" s="248"/>
      <c r="CE147" s="248"/>
      <c r="CF147" s="248"/>
      <c r="CG147" s="248"/>
      <c r="CH147" s="248"/>
      <c r="CI147" s="248"/>
      <c r="CJ147" s="248"/>
      <c r="CK147" s="248"/>
      <c r="CL147" s="248"/>
      <c r="CM147" s="248"/>
      <c r="CN147" s="248"/>
      <c r="CO147" s="248"/>
      <c r="CP147" s="248"/>
      <c r="CQ147" s="248"/>
      <c r="CR147" s="248"/>
      <c r="CS147" s="248"/>
      <c r="CT147" s="248"/>
      <c r="CU147" s="248"/>
      <c r="CV147" s="248"/>
      <c r="CW147" s="248"/>
      <c r="CX147" s="248"/>
      <c r="CY147" s="248"/>
      <c r="CZ147" s="248"/>
      <c r="DA147" s="248"/>
      <c r="DB147" s="248"/>
      <c r="DC147" s="248"/>
      <c r="DD147" s="248"/>
      <c r="DE147" s="248"/>
      <c r="DF147" s="248"/>
      <c r="DG147" s="248"/>
      <c r="DH147" s="248"/>
      <c r="DI147" s="248"/>
      <c r="DJ147" s="248"/>
      <c r="DK147" s="248"/>
      <c r="DL147" s="248"/>
      <c r="DM147" s="248"/>
      <c r="DN147" s="248"/>
      <c r="DO147" s="248"/>
      <c r="DP147" s="248"/>
      <c r="DQ147" s="248"/>
      <c r="DR147" s="248"/>
      <c r="DS147" s="248"/>
      <c r="DT147" s="248"/>
      <c r="DU147" s="248"/>
      <c r="DV147" s="248"/>
      <c r="DW147" s="248"/>
      <c r="DX147" s="248"/>
      <c r="DY147" s="248"/>
      <c r="DZ147" s="248"/>
      <c r="EA147" s="248"/>
      <c r="EB147" s="248"/>
      <c r="EC147" s="248"/>
      <c r="ED147" s="248"/>
      <c r="EE147" s="248"/>
      <c r="EF147" s="248"/>
      <c r="EG147" s="248"/>
      <c r="EH147" s="248"/>
      <c r="EI147" s="248"/>
      <c r="EJ147" s="248"/>
      <c r="EK147" s="248"/>
      <c r="EL147" s="248"/>
      <c r="EM147" s="248"/>
      <c r="EN147" s="248"/>
      <c r="EO147" s="248"/>
      <c r="EP147" s="248"/>
      <c r="EQ147" s="248"/>
      <c r="ER147" s="248"/>
      <c r="ES147" s="248"/>
      <c r="ET147" s="248"/>
      <c r="EU147" s="248"/>
      <c r="EV147" s="248"/>
      <c r="EW147" s="248"/>
      <c r="EX147" s="248"/>
      <c r="EY147" s="248"/>
      <c r="EZ147" s="248"/>
      <c r="FA147" s="248"/>
      <c r="FB147" s="248"/>
      <c r="FC147" s="248"/>
      <c r="FD147" s="248"/>
      <c r="FE147" s="248"/>
      <c r="FF147" s="248"/>
      <c r="FG147" s="248"/>
      <c r="FH147" s="248"/>
      <c r="FI147" s="248"/>
      <c r="FJ147" s="248"/>
      <c r="FK147" s="248"/>
      <c r="FL147" s="248"/>
      <c r="FM147" s="248"/>
      <c r="FN147" s="248"/>
      <c r="FO147" s="248"/>
      <c r="FP147" s="248"/>
      <c r="FQ147" s="248"/>
      <c r="FR147" s="248"/>
      <c r="FS147" s="248"/>
      <c r="FT147" s="248"/>
      <c r="FU147" s="248"/>
      <c r="FV147" s="248"/>
      <c r="FW147" s="248"/>
      <c r="FX147" s="248"/>
      <c r="FY147" s="248"/>
      <c r="FZ147" s="248"/>
      <c r="GA147" s="248"/>
      <c r="GB147" s="248"/>
      <c r="GC147" s="248"/>
      <c r="GD147" s="248"/>
      <c r="GE147" s="248"/>
      <c r="GF147" s="248"/>
      <c r="GG147" s="248"/>
      <c r="GH147" s="248"/>
      <c r="GI147" s="248"/>
      <c r="GJ147" s="248"/>
      <c r="GK147" s="248"/>
      <c r="GL147" s="248"/>
      <c r="GM147" s="248"/>
      <c r="GN147" s="248"/>
      <c r="GO147" s="248"/>
      <c r="GP147" s="248"/>
      <c r="GQ147" s="248"/>
      <c r="GR147" s="248"/>
      <c r="GS147" s="248"/>
      <c r="GT147" s="248"/>
      <c r="GU147" s="248"/>
      <c r="GV147" s="248"/>
      <c r="GW147" s="248"/>
      <c r="GX147" s="248"/>
      <c r="GY147" s="248"/>
      <c r="GZ147" s="248"/>
      <c r="HA147" s="248"/>
      <c r="HB147" s="248"/>
      <c r="HC147" s="248"/>
      <c r="HD147" s="248"/>
      <c r="HE147" s="248"/>
      <c r="HF147" s="248"/>
      <c r="HG147" s="248"/>
      <c r="HH147" s="248"/>
      <c r="HI147" s="248"/>
      <c r="HJ147" s="248"/>
      <c r="HK147" s="248"/>
      <c r="HL147" s="248"/>
      <c r="HM147" s="248"/>
      <c r="HN147" s="248"/>
      <c r="HO147" s="248"/>
      <c r="HP147" s="248"/>
      <c r="HQ147" s="248"/>
      <c r="HR147" s="248"/>
      <c r="HS147" s="248"/>
      <c r="HT147" s="248"/>
      <c r="HU147" s="248"/>
      <c r="HV147" s="248"/>
      <c r="HW147" s="248"/>
      <c r="HX147" s="248"/>
      <c r="HY147" s="248"/>
      <c r="HZ147" s="248"/>
      <c r="IA147" s="248"/>
      <c r="IB147" s="248"/>
      <c r="IC147" s="248"/>
      <c r="ID147" s="248"/>
      <c r="IE147" s="248"/>
      <c r="IF147" s="248"/>
      <c r="IG147" s="248"/>
      <c r="IH147" s="248"/>
      <c r="II147" s="248"/>
      <c r="IJ147" s="248"/>
      <c r="IK147" s="248"/>
      <c r="IL147" s="248"/>
      <c r="IM147" s="248"/>
      <c r="IN147" s="248"/>
    </row>
    <row r="148" spans="1:248" s="164" customFormat="1">
      <c r="A148" s="242"/>
      <c r="B148" s="248"/>
      <c r="C148" s="248"/>
      <c r="D148" s="316"/>
      <c r="E148" s="316"/>
      <c r="F148" s="248"/>
      <c r="G148" s="316"/>
      <c r="H148" s="248"/>
      <c r="I148" s="248"/>
      <c r="J148" s="279"/>
      <c r="K148" s="35"/>
      <c r="L148" s="35"/>
      <c r="M148" s="35"/>
      <c r="N148" s="35"/>
      <c r="O148" s="58"/>
      <c r="P148" s="35"/>
      <c r="Q148" s="35"/>
      <c r="R148" s="248"/>
      <c r="S148" s="248"/>
      <c r="T148" s="248"/>
      <c r="U148" s="248"/>
      <c r="V148" s="248"/>
      <c r="W148" s="313"/>
      <c r="X148" s="248"/>
      <c r="Y148" s="248"/>
      <c r="Z148" s="248"/>
      <c r="AA148" s="248"/>
      <c r="AB148" s="248"/>
      <c r="AC148" s="248"/>
      <c r="AD148" s="248"/>
      <c r="AE148" s="248"/>
      <c r="AF148" s="248"/>
      <c r="AG148" s="248"/>
      <c r="AH148" s="248"/>
      <c r="AI148" s="248"/>
      <c r="AJ148" s="248"/>
      <c r="AK148" s="248"/>
      <c r="AL148" s="248"/>
      <c r="AM148" s="248"/>
      <c r="AN148" s="248"/>
      <c r="AO148" s="248"/>
      <c r="AP148" s="248"/>
      <c r="AQ148" s="248"/>
      <c r="AR148" s="248"/>
      <c r="AS148" s="248"/>
      <c r="AT148" s="248"/>
      <c r="AU148" s="248"/>
      <c r="AV148" s="248"/>
      <c r="AW148" s="248"/>
      <c r="AX148" s="248"/>
      <c r="AY148" s="248"/>
      <c r="AZ148" s="248"/>
      <c r="BA148" s="248"/>
      <c r="BB148" s="248"/>
      <c r="BC148" s="248"/>
      <c r="BD148" s="248"/>
      <c r="BE148" s="248"/>
      <c r="BF148" s="248"/>
      <c r="BG148" s="248"/>
      <c r="BH148" s="248"/>
      <c r="BI148" s="248"/>
      <c r="BJ148" s="248"/>
      <c r="BK148" s="248"/>
      <c r="BL148" s="248"/>
      <c r="BM148" s="248"/>
      <c r="BN148" s="248"/>
      <c r="BO148" s="248"/>
      <c r="BP148" s="248"/>
      <c r="BQ148" s="248"/>
      <c r="BR148" s="248"/>
      <c r="BS148" s="248"/>
      <c r="BT148" s="248"/>
      <c r="BU148" s="248"/>
      <c r="BV148" s="248"/>
      <c r="BW148" s="248"/>
      <c r="BX148" s="248"/>
      <c r="BY148" s="248"/>
      <c r="BZ148" s="248"/>
      <c r="CA148" s="248"/>
      <c r="CB148" s="248"/>
      <c r="CC148" s="248"/>
      <c r="CD148" s="248"/>
      <c r="CE148" s="248"/>
      <c r="CF148" s="248"/>
      <c r="CG148" s="248"/>
      <c r="CH148" s="248"/>
      <c r="CI148" s="248"/>
      <c r="CJ148" s="248"/>
      <c r="CK148" s="248"/>
      <c r="CL148" s="248"/>
      <c r="CM148" s="248"/>
      <c r="CN148" s="248"/>
      <c r="CO148" s="248"/>
      <c r="CP148" s="248"/>
      <c r="CQ148" s="248"/>
      <c r="CR148" s="248"/>
      <c r="CS148" s="248"/>
      <c r="CT148" s="248"/>
      <c r="CU148" s="248"/>
      <c r="CV148" s="248"/>
      <c r="CW148" s="248"/>
      <c r="CX148" s="248"/>
      <c r="CY148" s="248"/>
      <c r="CZ148" s="248"/>
      <c r="DA148" s="248"/>
      <c r="DB148" s="248"/>
      <c r="DC148" s="248"/>
      <c r="DD148" s="248"/>
      <c r="DE148" s="248"/>
      <c r="DF148" s="248"/>
      <c r="DG148" s="248"/>
      <c r="DH148" s="248"/>
      <c r="DI148" s="248"/>
      <c r="DJ148" s="248"/>
      <c r="DK148" s="248"/>
      <c r="DL148" s="248"/>
      <c r="DM148" s="248"/>
      <c r="DN148" s="248"/>
      <c r="DO148" s="248"/>
      <c r="DP148" s="248"/>
      <c r="DQ148" s="248"/>
      <c r="DR148" s="248"/>
      <c r="DS148" s="248"/>
      <c r="DT148" s="248"/>
      <c r="DU148" s="248"/>
      <c r="DV148" s="248"/>
      <c r="DW148" s="248"/>
      <c r="DX148" s="248"/>
      <c r="DY148" s="248"/>
      <c r="DZ148" s="248"/>
      <c r="EA148" s="248"/>
      <c r="EB148" s="248"/>
      <c r="EC148" s="248"/>
      <c r="ED148" s="248"/>
      <c r="EE148" s="248"/>
      <c r="EF148" s="248"/>
      <c r="EG148" s="248"/>
      <c r="EH148" s="248"/>
      <c r="EI148" s="248"/>
      <c r="EJ148" s="248"/>
      <c r="EK148" s="248"/>
      <c r="EL148" s="248"/>
      <c r="EM148" s="248"/>
      <c r="EN148" s="248"/>
      <c r="EO148" s="248"/>
      <c r="EP148" s="248"/>
      <c r="EQ148" s="248"/>
      <c r="ER148" s="248"/>
      <c r="ES148" s="248"/>
      <c r="ET148" s="248"/>
      <c r="EU148" s="248"/>
      <c r="EV148" s="248"/>
      <c r="EW148" s="248"/>
      <c r="EX148" s="248"/>
      <c r="EY148" s="248"/>
      <c r="EZ148" s="248"/>
      <c r="FA148" s="248"/>
      <c r="FB148" s="248"/>
      <c r="FC148" s="248"/>
      <c r="FD148" s="248"/>
      <c r="FE148" s="248"/>
      <c r="FF148" s="248"/>
      <c r="FG148" s="248"/>
      <c r="FH148" s="248"/>
      <c r="FI148" s="248"/>
      <c r="FJ148" s="248"/>
      <c r="FK148" s="248"/>
      <c r="FL148" s="248"/>
      <c r="FM148" s="248"/>
      <c r="FN148" s="248"/>
      <c r="FO148" s="248"/>
      <c r="FP148" s="248"/>
      <c r="FQ148" s="248"/>
      <c r="FR148" s="248"/>
      <c r="FS148" s="248"/>
      <c r="FT148" s="248"/>
      <c r="FU148" s="248"/>
      <c r="FV148" s="248"/>
      <c r="FW148" s="248"/>
      <c r="FX148" s="248"/>
      <c r="FY148" s="248"/>
      <c r="FZ148" s="248"/>
      <c r="GA148" s="248"/>
      <c r="GB148" s="248"/>
      <c r="GC148" s="248"/>
      <c r="GD148" s="248"/>
      <c r="GE148" s="248"/>
      <c r="GF148" s="248"/>
      <c r="GG148" s="248"/>
      <c r="GH148" s="248"/>
      <c r="GI148" s="248"/>
      <c r="GJ148" s="248"/>
      <c r="GK148" s="248"/>
      <c r="GL148" s="248"/>
      <c r="GM148" s="248"/>
      <c r="GN148" s="248"/>
      <c r="GO148" s="248"/>
      <c r="GP148" s="248"/>
      <c r="GQ148" s="248"/>
      <c r="GR148" s="248"/>
      <c r="GS148" s="248"/>
      <c r="GT148" s="248"/>
      <c r="GU148" s="248"/>
      <c r="GV148" s="248"/>
      <c r="GW148" s="248"/>
      <c r="GX148" s="248"/>
      <c r="GY148" s="248"/>
      <c r="GZ148" s="248"/>
      <c r="HA148" s="248"/>
      <c r="HB148" s="248"/>
      <c r="HC148" s="248"/>
      <c r="HD148" s="248"/>
      <c r="HE148" s="248"/>
      <c r="HF148" s="248"/>
      <c r="HG148" s="248"/>
      <c r="HH148" s="248"/>
      <c r="HI148" s="248"/>
      <c r="HJ148" s="248"/>
      <c r="HK148" s="248"/>
      <c r="HL148" s="248"/>
      <c r="HM148" s="248"/>
      <c r="HN148" s="248"/>
      <c r="HO148" s="248"/>
      <c r="HP148" s="248"/>
      <c r="HQ148" s="248"/>
      <c r="HR148" s="248"/>
      <c r="HS148" s="248"/>
      <c r="HT148" s="248"/>
      <c r="HU148" s="248"/>
      <c r="HV148" s="248"/>
      <c r="HW148" s="248"/>
      <c r="HX148" s="248"/>
      <c r="HY148" s="248"/>
      <c r="HZ148" s="248"/>
      <c r="IA148" s="248"/>
      <c r="IB148" s="248"/>
      <c r="IC148" s="248"/>
      <c r="ID148" s="248"/>
      <c r="IE148" s="248"/>
      <c r="IF148" s="248"/>
      <c r="IG148" s="248"/>
      <c r="IH148" s="248"/>
      <c r="II148" s="248"/>
      <c r="IJ148" s="248"/>
      <c r="IK148" s="248"/>
      <c r="IL148" s="248"/>
      <c r="IM148" s="248"/>
      <c r="IN148" s="248"/>
    </row>
    <row r="149" spans="1:248" s="164" customFormat="1">
      <c r="A149" s="242"/>
      <c r="B149" s="248"/>
      <c r="C149" s="248"/>
      <c r="D149" s="316"/>
      <c r="E149" s="316"/>
      <c r="F149" s="248"/>
      <c r="G149" s="316"/>
      <c r="H149" s="248"/>
      <c r="I149" s="248"/>
      <c r="J149" s="279"/>
      <c r="K149" s="35"/>
      <c r="L149" s="35"/>
      <c r="M149" s="35"/>
      <c r="N149" s="35"/>
      <c r="O149" s="58"/>
      <c r="P149" s="35"/>
      <c r="Q149" s="35"/>
      <c r="R149" s="248"/>
      <c r="S149" s="248"/>
      <c r="T149" s="248"/>
      <c r="U149" s="248"/>
      <c r="V149" s="248"/>
      <c r="W149" s="313"/>
      <c r="X149" s="248"/>
      <c r="Y149" s="248"/>
      <c r="Z149" s="248"/>
      <c r="AA149" s="248"/>
      <c r="AB149" s="248"/>
      <c r="AC149" s="248"/>
      <c r="AD149" s="248"/>
      <c r="AE149" s="248"/>
      <c r="AF149" s="248"/>
      <c r="AG149" s="248"/>
      <c r="AH149" s="248"/>
      <c r="AI149" s="248"/>
      <c r="AJ149" s="248"/>
      <c r="AK149" s="248"/>
      <c r="AL149" s="248"/>
      <c r="AM149" s="248"/>
      <c r="AN149" s="248"/>
      <c r="AO149" s="248"/>
      <c r="AP149" s="248"/>
      <c r="AQ149" s="248"/>
      <c r="AR149" s="248"/>
      <c r="AS149" s="248"/>
      <c r="AT149" s="248"/>
      <c r="AU149" s="248"/>
      <c r="AV149" s="248"/>
      <c r="AW149" s="248"/>
      <c r="AX149" s="248"/>
      <c r="AY149" s="248"/>
      <c r="AZ149" s="248"/>
      <c r="BA149" s="248"/>
      <c r="BB149" s="248"/>
      <c r="BC149" s="248"/>
      <c r="BD149" s="248"/>
      <c r="BE149" s="248"/>
      <c r="BF149" s="248"/>
      <c r="BG149" s="248"/>
      <c r="BH149" s="248"/>
      <c r="BI149" s="248"/>
      <c r="BJ149" s="248"/>
      <c r="BK149" s="248"/>
      <c r="BL149" s="248"/>
      <c r="BM149" s="248"/>
      <c r="BN149" s="248"/>
      <c r="BO149" s="248"/>
      <c r="BP149" s="248"/>
      <c r="BQ149" s="248"/>
      <c r="BR149" s="248"/>
      <c r="BS149" s="248"/>
      <c r="BT149" s="248"/>
      <c r="BU149" s="248"/>
      <c r="BV149" s="248"/>
      <c r="BW149" s="248"/>
      <c r="BX149" s="248"/>
      <c r="BY149" s="248"/>
      <c r="BZ149" s="248"/>
      <c r="CA149" s="248"/>
      <c r="CB149" s="248"/>
      <c r="CC149" s="248"/>
      <c r="CD149" s="248"/>
      <c r="CE149" s="248"/>
      <c r="CF149" s="248"/>
      <c r="CG149" s="248"/>
      <c r="CH149" s="248"/>
      <c r="CI149" s="248"/>
      <c r="CJ149" s="248"/>
      <c r="CK149" s="248"/>
      <c r="CL149" s="248"/>
      <c r="CM149" s="248"/>
      <c r="CN149" s="248"/>
      <c r="CO149" s="248"/>
      <c r="CP149" s="248"/>
      <c r="CQ149" s="248"/>
      <c r="CR149" s="248"/>
      <c r="CS149" s="248"/>
      <c r="CT149" s="248"/>
      <c r="CU149" s="248"/>
      <c r="CV149" s="248"/>
      <c r="CW149" s="248"/>
      <c r="CX149" s="248"/>
      <c r="CY149" s="248"/>
      <c r="CZ149" s="248"/>
      <c r="DA149" s="248"/>
      <c r="DB149" s="248"/>
      <c r="DC149" s="248"/>
      <c r="DD149" s="248"/>
      <c r="DE149" s="248"/>
      <c r="DF149" s="248"/>
      <c r="DG149" s="248"/>
      <c r="DH149" s="248"/>
      <c r="DI149" s="248"/>
      <c r="DJ149" s="248"/>
      <c r="DK149" s="248"/>
      <c r="DL149" s="248"/>
      <c r="DM149" s="248"/>
      <c r="DN149" s="248"/>
      <c r="DO149" s="248"/>
      <c r="DP149" s="248"/>
      <c r="DQ149" s="248"/>
      <c r="DR149" s="248"/>
      <c r="DS149" s="248"/>
      <c r="DT149" s="248"/>
      <c r="DU149" s="248"/>
      <c r="DV149" s="248"/>
      <c r="DW149" s="248"/>
      <c r="DX149" s="248"/>
      <c r="DY149" s="248"/>
      <c r="DZ149" s="248"/>
      <c r="EA149" s="248"/>
      <c r="EB149" s="248"/>
      <c r="EC149" s="248"/>
      <c r="ED149" s="248"/>
      <c r="EE149" s="248"/>
      <c r="EF149" s="248"/>
      <c r="EG149" s="248"/>
      <c r="EH149" s="248"/>
      <c r="EI149" s="248"/>
      <c r="EJ149" s="248"/>
      <c r="EK149" s="248"/>
      <c r="EL149" s="248"/>
      <c r="EM149" s="248"/>
      <c r="EN149" s="248"/>
      <c r="EO149" s="248"/>
      <c r="EP149" s="248"/>
      <c r="EQ149" s="248"/>
      <c r="ER149" s="248"/>
      <c r="ES149" s="248"/>
      <c r="ET149" s="248"/>
      <c r="EU149" s="248"/>
      <c r="EV149" s="248"/>
      <c r="EW149" s="248"/>
      <c r="EX149" s="248"/>
      <c r="EY149" s="248"/>
      <c r="EZ149" s="248"/>
      <c r="FA149" s="248"/>
      <c r="FB149" s="248"/>
      <c r="FC149" s="248"/>
      <c r="FD149" s="248"/>
      <c r="FE149" s="248"/>
      <c r="FF149" s="248"/>
      <c r="FG149" s="248"/>
      <c r="FH149" s="248"/>
      <c r="FI149" s="248"/>
      <c r="FJ149" s="248"/>
      <c r="FK149" s="248"/>
      <c r="FL149" s="248"/>
      <c r="FM149" s="248"/>
      <c r="FN149" s="248"/>
      <c r="FO149" s="248"/>
      <c r="FP149" s="248"/>
      <c r="FQ149" s="248"/>
      <c r="FR149" s="248"/>
      <c r="FS149" s="248"/>
      <c r="FT149" s="248"/>
      <c r="FU149" s="248"/>
      <c r="FV149" s="248"/>
      <c r="FW149" s="248"/>
      <c r="FX149" s="248"/>
      <c r="FY149" s="248"/>
      <c r="FZ149" s="248"/>
      <c r="GA149" s="248"/>
      <c r="GB149" s="248"/>
      <c r="GC149" s="248"/>
      <c r="GD149" s="248"/>
      <c r="GE149" s="248"/>
      <c r="GF149" s="248"/>
      <c r="GG149" s="248"/>
      <c r="GH149" s="248"/>
      <c r="GI149" s="248"/>
      <c r="GJ149" s="248"/>
      <c r="GK149" s="248"/>
      <c r="GL149" s="248"/>
      <c r="GM149" s="248"/>
      <c r="GN149" s="248"/>
      <c r="GO149" s="248"/>
      <c r="GP149" s="248"/>
      <c r="GQ149" s="248"/>
      <c r="GR149" s="248"/>
      <c r="GS149" s="248"/>
      <c r="GT149" s="248"/>
      <c r="GU149" s="248"/>
      <c r="GV149" s="248"/>
      <c r="GW149" s="248"/>
      <c r="GX149" s="248"/>
      <c r="GY149" s="248"/>
      <c r="GZ149" s="248"/>
      <c r="HA149" s="248"/>
      <c r="HB149" s="248"/>
      <c r="HC149" s="248"/>
      <c r="HD149" s="248"/>
      <c r="HE149" s="248"/>
      <c r="HF149" s="248"/>
      <c r="HG149" s="248"/>
      <c r="HH149" s="248"/>
      <c r="HI149" s="248"/>
      <c r="HJ149" s="248"/>
      <c r="HK149" s="248"/>
      <c r="HL149" s="248"/>
      <c r="HM149" s="248"/>
      <c r="HN149" s="248"/>
      <c r="HO149" s="248"/>
      <c r="HP149" s="248"/>
      <c r="HQ149" s="248"/>
      <c r="HR149" s="248"/>
      <c r="HS149" s="248"/>
      <c r="HT149" s="248"/>
      <c r="HU149" s="248"/>
      <c r="HV149" s="248"/>
      <c r="HW149" s="248"/>
      <c r="HX149" s="248"/>
      <c r="HY149" s="248"/>
      <c r="HZ149" s="248"/>
      <c r="IA149" s="248"/>
      <c r="IB149" s="248"/>
      <c r="IC149" s="248"/>
      <c r="ID149" s="248"/>
      <c r="IE149" s="248"/>
      <c r="IF149" s="248"/>
      <c r="IG149" s="248"/>
      <c r="IH149" s="248"/>
      <c r="II149" s="248"/>
      <c r="IJ149" s="248"/>
      <c r="IK149" s="248"/>
      <c r="IL149" s="248"/>
      <c r="IM149" s="248"/>
      <c r="IN149" s="248"/>
    </row>
    <row r="150" spans="1:248" s="164" customFormat="1">
      <c r="A150" s="242"/>
      <c r="B150" s="248"/>
      <c r="C150" s="248"/>
      <c r="D150" s="316"/>
      <c r="E150" s="316"/>
      <c r="F150" s="248"/>
      <c r="G150" s="316"/>
      <c r="H150" s="248"/>
      <c r="I150" s="248"/>
      <c r="J150" s="279"/>
      <c r="K150" s="35"/>
      <c r="L150" s="35"/>
      <c r="M150" s="35"/>
      <c r="N150" s="35"/>
      <c r="O150" s="58"/>
      <c r="P150" s="35"/>
      <c r="Q150" s="35"/>
      <c r="R150" s="248"/>
      <c r="S150" s="248"/>
      <c r="T150" s="248"/>
      <c r="U150" s="248"/>
      <c r="V150" s="248"/>
      <c r="W150" s="313"/>
      <c r="X150" s="248"/>
      <c r="Y150" s="248"/>
      <c r="Z150" s="248"/>
      <c r="AA150" s="248"/>
      <c r="AB150" s="248"/>
      <c r="AC150" s="248"/>
      <c r="AD150" s="248"/>
      <c r="AE150" s="248"/>
      <c r="AF150" s="248"/>
      <c r="AG150" s="248"/>
      <c r="AH150" s="248"/>
      <c r="AI150" s="248"/>
      <c r="AJ150" s="248"/>
      <c r="AK150" s="248"/>
      <c r="AL150" s="248"/>
      <c r="AM150" s="248"/>
      <c r="AN150" s="248"/>
      <c r="AO150" s="248"/>
      <c r="AP150" s="248"/>
      <c r="AQ150" s="248"/>
      <c r="AR150" s="248"/>
      <c r="AS150" s="248"/>
      <c r="AT150" s="248"/>
      <c r="AU150" s="248"/>
      <c r="AV150" s="248"/>
      <c r="AW150" s="248"/>
      <c r="AX150" s="248"/>
      <c r="AY150" s="248"/>
      <c r="AZ150" s="248"/>
      <c r="BA150" s="248"/>
      <c r="BB150" s="248"/>
      <c r="BC150" s="248"/>
      <c r="BD150" s="248"/>
      <c r="BE150" s="248"/>
      <c r="BF150" s="248"/>
      <c r="BG150" s="248"/>
      <c r="BH150" s="248"/>
      <c r="BI150" s="248"/>
      <c r="BJ150" s="248"/>
      <c r="BK150" s="248"/>
      <c r="BL150" s="248"/>
      <c r="BM150" s="248"/>
      <c r="BN150" s="248"/>
      <c r="BO150" s="248"/>
      <c r="BP150" s="248"/>
      <c r="BQ150" s="248"/>
      <c r="BR150" s="248"/>
      <c r="BS150" s="248"/>
      <c r="BT150" s="248"/>
      <c r="BU150" s="248"/>
      <c r="BV150" s="248"/>
      <c r="BW150" s="248"/>
      <c r="BX150" s="248"/>
      <c r="BY150" s="248"/>
      <c r="BZ150" s="248"/>
      <c r="CA150" s="248"/>
      <c r="CB150" s="248"/>
      <c r="CC150" s="248"/>
      <c r="CD150" s="248"/>
      <c r="CE150" s="248"/>
      <c r="CF150" s="248"/>
      <c r="CG150" s="248"/>
      <c r="CH150" s="248"/>
      <c r="CI150" s="248"/>
      <c r="CJ150" s="248"/>
      <c r="CK150" s="248"/>
      <c r="CL150" s="248"/>
      <c r="CM150" s="248"/>
      <c r="CN150" s="248"/>
      <c r="CO150" s="248"/>
      <c r="CP150" s="248"/>
      <c r="CQ150" s="248"/>
      <c r="CR150" s="248"/>
      <c r="CS150" s="248"/>
      <c r="CT150" s="248"/>
      <c r="CU150" s="248"/>
      <c r="CV150" s="248"/>
      <c r="CW150" s="248"/>
      <c r="CX150" s="248"/>
      <c r="CY150" s="248"/>
      <c r="CZ150" s="248"/>
      <c r="DA150" s="248"/>
      <c r="DB150" s="248"/>
      <c r="DC150" s="248"/>
      <c r="DD150" s="248"/>
      <c r="DE150" s="248"/>
      <c r="DF150" s="248"/>
      <c r="DG150" s="248"/>
      <c r="DH150" s="248"/>
      <c r="DI150" s="248"/>
      <c r="DJ150" s="248"/>
      <c r="DK150" s="248"/>
      <c r="DL150" s="248"/>
      <c r="DM150" s="248"/>
      <c r="DN150" s="248"/>
      <c r="DO150" s="248"/>
      <c r="DP150" s="248"/>
      <c r="DQ150" s="248"/>
      <c r="DR150" s="248"/>
      <c r="DS150" s="248"/>
      <c r="DT150" s="248"/>
      <c r="DU150" s="248"/>
      <c r="DV150" s="248"/>
      <c r="DW150" s="248"/>
      <c r="DX150" s="248"/>
      <c r="DY150" s="248"/>
      <c r="DZ150" s="248"/>
      <c r="EA150" s="248"/>
      <c r="EB150" s="248"/>
      <c r="EC150" s="248"/>
      <c r="ED150" s="248"/>
      <c r="EE150" s="248"/>
      <c r="EF150" s="248"/>
      <c r="EG150" s="248"/>
      <c r="EH150" s="248"/>
      <c r="EI150" s="248"/>
      <c r="EJ150" s="248"/>
      <c r="EK150" s="248"/>
      <c r="EL150" s="248"/>
      <c r="EM150" s="248"/>
      <c r="EN150" s="248"/>
      <c r="EO150" s="248"/>
      <c r="EP150" s="248"/>
      <c r="EQ150" s="248"/>
      <c r="ER150" s="248"/>
      <c r="ES150" s="248"/>
      <c r="ET150" s="248"/>
      <c r="EU150" s="248"/>
      <c r="EV150" s="248"/>
      <c r="EW150" s="248"/>
      <c r="EX150" s="248"/>
      <c r="EY150" s="248"/>
      <c r="EZ150" s="248"/>
      <c r="FA150" s="248"/>
      <c r="FB150" s="248"/>
      <c r="FC150" s="248"/>
      <c r="FD150" s="248"/>
      <c r="FE150" s="248"/>
      <c r="FF150" s="248"/>
      <c r="FG150" s="248"/>
      <c r="FH150" s="248"/>
      <c r="FI150" s="248"/>
      <c r="FJ150" s="248"/>
      <c r="FK150" s="248"/>
      <c r="FL150" s="248"/>
      <c r="FM150" s="248"/>
      <c r="FN150" s="248"/>
      <c r="FO150" s="248"/>
      <c r="FP150" s="248"/>
      <c r="FQ150" s="248"/>
      <c r="FR150" s="248"/>
      <c r="FS150" s="248"/>
      <c r="FT150" s="248"/>
      <c r="FU150" s="248"/>
      <c r="FV150" s="248"/>
      <c r="FW150" s="248"/>
      <c r="FX150" s="248"/>
      <c r="FY150" s="248"/>
      <c r="FZ150" s="248"/>
      <c r="GA150" s="248"/>
      <c r="GB150" s="248"/>
      <c r="GC150" s="248"/>
      <c r="GD150" s="248"/>
      <c r="GE150" s="248"/>
      <c r="GF150" s="248"/>
      <c r="GG150" s="248"/>
      <c r="GH150" s="248"/>
      <c r="GI150" s="248"/>
      <c r="GJ150" s="248"/>
      <c r="GK150" s="248"/>
      <c r="GL150" s="248"/>
      <c r="GM150" s="248"/>
      <c r="GN150" s="248"/>
      <c r="GO150" s="248"/>
      <c r="GP150" s="248"/>
      <c r="GQ150" s="248"/>
      <c r="GR150" s="248"/>
      <c r="GS150" s="248"/>
      <c r="GT150" s="248"/>
      <c r="GU150" s="248"/>
      <c r="GV150" s="248"/>
      <c r="GW150" s="248"/>
      <c r="GX150" s="248"/>
      <c r="GY150" s="248"/>
      <c r="GZ150" s="248"/>
      <c r="HA150" s="248"/>
      <c r="HB150" s="248"/>
      <c r="HC150" s="248"/>
      <c r="HD150" s="248"/>
      <c r="HE150" s="248"/>
      <c r="HF150" s="248"/>
      <c r="HG150" s="248"/>
      <c r="HH150" s="248"/>
      <c r="HI150" s="248"/>
      <c r="HJ150" s="248"/>
      <c r="HK150" s="248"/>
      <c r="HL150" s="248"/>
      <c r="HM150" s="248"/>
      <c r="HN150" s="248"/>
      <c r="HO150" s="248"/>
      <c r="HP150" s="248"/>
      <c r="HQ150" s="248"/>
      <c r="HR150" s="248"/>
      <c r="HS150" s="248"/>
      <c r="HT150" s="248"/>
      <c r="HU150" s="248"/>
      <c r="HV150" s="248"/>
      <c r="HW150" s="248"/>
      <c r="HX150" s="248"/>
      <c r="HY150" s="248"/>
      <c r="HZ150" s="248"/>
      <c r="IA150" s="248"/>
      <c r="IB150" s="248"/>
      <c r="IC150" s="248"/>
      <c r="ID150" s="248"/>
      <c r="IE150" s="248"/>
      <c r="IF150" s="248"/>
      <c r="IG150" s="248"/>
      <c r="IH150" s="248"/>
      <c r="II150" s="248"/>
      <c r="IJ150" s="248"/>
      <c r="IK150" s="248"/>
      <c r="IL150" s="248"/>
      <c r="IM150" s="248"/>
      <c r="IN150" s="248"/>
    </row>
    <row r="151" spans="1:248" s="164" customFormat="1">
      <c r="A151" s="242"/>
      <c r="B151" s="248"/>
      <c r="C151" s="248"/>
      <c r="D151" s="316"/>
      <c r="E151" s="316"/>
      <c r="F151" s="248"/>
      <c r="G151" s="316"/>
      <c r="H151" s="248"/>
      <c r="I151" s="248"/>
      <c r="J151" s="279"/>
      <c r="K151" s="35"/>
      <c r="L151" s="35"/>
      <c r="M151" s="35"/>
      <c r="N151" s="35"/>
      <c r="O151" s="58"/>
      <c r="P151" s="35"/>
      <c r="Q151" s="35"/>
      <c r="R151" s="248"/>
      <c r="S151" s="248"/>
      <c r="T151" s="248"/>
      <c r="U151" s="248"/>
      <c r="V151" s="248"/>
      <c r="W151" s="313"/>
      <c r="X151" s="248"/>
      <c r="Y151" s="248"/>
      <c r="Z151" s="248"/>
      <c r="AA151" s="248"/>
      <c r="AB151" s="248"/>
      <c r="AC151" s="248"/>
      <c r="AD151" s="248"/>
      <c r="AE151" s="248"/>
      <c r="AF151" s="248"/>
      <c r="AG151" s="248"/>
      <c r="AH151" s="248"/>
      <c r="AI151" s="248"/>
      <c r="AJ151" s="248"/>
      <c r="AK151" s="248"/>
      <c r="AL151" s="248"/>
      <c r="AM151" s="248"/>
      <c r="AN151" s="248"/>
      <c r="AO151" s="248"/>
      <c r="AP151" s="248"/>
      <c r="AQ151" s="248"/>
      <c r="AR151" s="248"/>
      <c r="AS151" s="248"/>
      <c r="AT151" s="248"/>
      <c r="AU151" s="248"/>
      <c r="AV151" s="248"/>
      <c r="AW151" s="248"/>
      <c r="AX151" s="248"/>
      <c r="AY151" s="248"/>
      <c r="AZ151" s="248"/>
      <c r="BA151" s="248"/>
      <c r="BB151" s="248"/>
      <c r="BC151" s="248"/>
      <c r="BD151" s="248"/>
      <c r="BE151" s="248"/>
      <c r="BF151" s="248"/>
      <c r="BG151" s="248"/>
      <c r="BH151" s="248"/>
      <c r="BI151" s="248"/>
      <c r="BJ151" s="248"/>
      <c r="BK151" s="248"/>
      <c r="BL151" s="248"/>
      <c r="BM151" s="248"/>
      <c r="BN151" s="248"/>
      <c r="BO151" s="248"/>
      <c r="BP151" s="248"/>
      <c r="BQ151" s="248"/>
      <c r="BR151" s="248"/>
      <c r="BS151" s="248"/>
      <c r="BT151" s="248"/>
      <c r="BU151" s="248"/>
      <c r="BV151" s="248"/>
      <c r="BW151" s="248"/>
      <c r="BX151" s="248"/>
      <c r="BY151" s="248"/>
      <c r="BZ151" s="248"/>
      <c r="CA151" s="248"/>
      <c r="CB151" s="248"/>
      <c r="CC151" s="248"/>
      <c r="CD151" s="248"/>
      <c r="CE151" s="248"/>
      <c r="CF151" s="248"/>
      <c r="CG151" s="248"/>
      <c r="CH151" s="248"/>
      <c r="CI151" s="248"/>
      <c r="CJ151" s="248"/>
      <c r="CK151" s="248"/>
      <c r="CL151" s="248"/>
      <c r="CM151" s="248"/>
      <c r="CN151" s="248"/>
      <c r="CO151" s="248"/>
      <c r="CP151" s="248"/>
      <c r="CQ151" s="248"/>
      <c r="CR151" s="248"/>
      <c r="CS151" s="248"/>
      <c r="CT151" s="248"/>
      <c r="CU151" s="248"/>
      <c r="CV151" s="248"/>
      <c r="CW151" s="248"/>
      <c r="CX151" s="248"/>
      <c r="CY151" s="248"/>
      <c r="CZ151" s="248"/>
      <c r="DA151" s="248"/>
      <c r="DB151" s="248"/>
      <c r="DC151" s="248"/>
      <c r="DD151" s="248"/>
      <c r="DE151" s="248"/>
      <c r="DF151" s="248"/>
      <c r="DG151" s="248"/>
      <c r="DH151" s="248"/>
      <c r="DI151" s="248"/>
      <c r="DJ151" s="248"/>
      <c r="DK151" s="248"/>
      <c r="DL151" s="248"/>
      <c r="DM151" s="248"/>
      <c r="DN151" s="248"/>
      <c r="DO151" s="248"/>
      <c r="DP151" s="248"/>
      <c r="DQ151" s="248"/>
      <c r="DR151" s="248"/>
      <c r="DS151" s="248"/>
      <c r="DT151" s="248"/>
      <c r="DU151" s="248"/>
      <c r="DV151" s="248"/>
      <c r="DW151" s="248"/>
      <c r="DX151" s="248"/>
      <c r="DY151" s="248"/>
      <c r="DZ151" s="248"/>
      <c r="EA151" s="248"/>
      <c r="EB151" s="248"/>
      <c r="EC151" s="248"/>
      <c r="ED151" s="248"/>
      <c r="EE151" s="248"/>
      <c r="EF151" s="248"/>
      <c r="EG151" s="248"/>
      <c r="EH151" s="248"/>
      <c r="EI151" s="248"/>
      <c r="EJ151" s="248"/>
      <c r="EK151" s="248"/>
      <c r="EL151" s="248"/>
      <c r="EM151" s="248"/>
      <c r="EN151" s="248"/>
      <c r="EO151" s="248"/>
      <c r="EP151" s="248"/>
      <c r="EQ151" s="248"/>
      <c r="ER151" s="248"/>
      <c r="ES151" s="248"/>
      <c r="ET151" s="248"/>
      <c r="EU151" s="248"/>
      <c r="EV151" s="248"/>
      <c r="EW151" s="248"/>
      <c r="EX151" s="248"/>
      <c r="EY151" s="248"/>
      <c r="EZ151" s="248"/>
      <c r="FA151" s="248"/>
      <c r="FB151" s="248"/>
      <c r="FC151" s="248"/>
      <c r="FD151" s="248"/>
      <c r="FE151" s="248"/>
      <c r="FF151" s="248"/>
      <c r="FG151" s="248"/>
      <c r="FH151" s="248"/>
      <c r="FI151" s="248"/>
      <c r="FJ151" s="248"/>
      <c r="FK151" s="248"/>
      <c r="FL151" s="248"/>
      <c r="FM151" s="248"/>
      <c r="FN151" s="248"/>
      <c r="FO151" s="248"/>
      <c r="FP151" s="248"/>
      <c r="FQ151" s="248"/>
      <c r="FR151" s="248"/>
      <c r="FS151" s="248"/>
      <c r="FT151" s="248"/>
      <c r="FU151" s="248"/>
      <c r="FV151" s="248"/>
      <c r="FW151" s="248"/>
      <c r="FX151" s="248"/>
      <c r="FY151" s="248"/>
      <c r="FZ151" s="248"/>
      <c r="GA151" s="248"/>
      <c r="GB151" s="248"/>
      <c r="GC151" s="248"/>
      <c r="GD151" s="248"/>
      <c r="GE151" s="248"/>
      <c r="GF151" s="248"/>
      <c r="GG151" s="248"/>
      <c r="GH151" s="248"/>
      <c r="GI151" s="248"/>
      <c r="GJ151" s="248"/>
      <c r="GK151" s="248"/>
      <c r="GL151" s="248"/>
      <c r="GM151" s="248"/>
      <c r="GN151" s="248"/>
      <c r="GO151" s="248"/>
      <c r="GP151" s="248"/>
      <c r="GQ151" s="248"/>
      <c r="GR151" s="248"/>
      <c r="GS151" s="248"/>
      <c r="GT151" s="248"/>
      <c r="GU151" s="248"/>
      <c r="GV151" s="248"/>
      <c r="GW151" s="248"/>
      <c r="GX151" s="248"/>
      <c r="GY151" s="248"/>
      <c r="GZ151" s="248"/>
      <c r="HA151" s="248"/>
      <c r="HB151" s="248"/>
      <c r="HC151" s="248"/>
      <c r="HD151" s="248"/>
      <c r="HE151" s="248"/>
      <c r="HF151" s="248"/>
      <c r="HG151" s="248"/>
      <c r="HH151" s="248"/>
      <c r="HI151" s="248"/>
      <c r="HJ151" s="248"/>
      <c r="HK151" s="248"/>
      <c r="HL151" s="248"/>
      <c r="HM151" s="248"/>
      <c r="HN151" s="248"/>
      <c r="HO151" s="248"/>
      <c r="HP151" s="248"/>
      <c r="HQ151" s="248"/>
      <c r="HR151" s="248"/>
      <c r="HS151" s="248"/>
      <c r="HT151" s="248"/>
      <c r="HU151" s="248"/>
      <c r="HV151" s="248"/>
      <c r="HW151" s="248"/>
      <c r="HX151" s="248"/>
      <c r="HY151" s="248"/>
      <c r="HZ151" s="248"/>
      <c r="IA151" s="248"/>
      <c r="IB151" s="248"/>
      <c r="IC151" s="248"/>
      <c r="ID151" s="248"/>
      <c r="IE151" s="248"/>
      <c r="IF151" s="248"/>
      <c r="IG151" s="248"/>
      <c r="IH151" s="248"/>
      <c r="II151" s="248"/>
      <c r="IJ151" s="248"/>
      <c r="IK151" s="248"/>
      <c r="IL151" s="248"/>
      <c r="IM151" s="248"/>
      <c r="IN151" s="248"/>
    </row>
    <row r="152" spans="1:248" s="164" customFormat="1">
      <c r="A152" s="242"/>
      <c r="B152" s="248"/>
      <c r="C152" s="248"/>
      <c r="D152" s="316"/>
      <c r="E152" s="316"/>
      <c r="F152" s="248"/>
      <c r="G152" s="316"/>
      <c r="H152" s="248"/>
      <c r="I152" s="248"/>
      <c r="J152" s="279"/>
      <c r="K152" s="35"/>
      <c r="L152" s="35"/>
      <c r="M152" s="35"/>
      <c r="N152" s="35"/>
      <c r="O152" s="58"/>
      <c r="P152" s="35"/>
      <c r="Q152" s="35"/>
      <c r="R152" s="248"/>
      <c r="S152" s="248"/>
      <c r="T152" s="248"/>
      <c r="U152" s="248"/>
      <c r="V152" s="248"/>
      <c r="W152" s="313"/>
      <c r="X152" s="248"/>
      <c r="Y152" s="248"/>
      <c r="Z152" s="248"/>
      <c r="AA152" s="248"/>
      <c r="AB152" s="248"/>
      <c r="AC152" s="248"/>
      <c r="AD152" s="248"/>
      <c r="AE152" s="248"/>
      <c r="AF152" s="248"/>
      <c r="AG152" s="248"/>
      <c r="AH152" s="248"/>
      <c r="AI152" s="248"/>
      <c r="AJ152" s="248"/>
      <c r="AK152" s="248"/>
      <c r="AL152" s="248"/>
      <c r="AM152" s="248"/>
      <c r="AN152" s="248"/>
      <c r="AO152" s="248"/>
      <c r="AP152" s="248"/>
      <c r="AQ152" s="248"/>
      <c r="AR152" s="248"/>
      <c r="AS152" s="248"/>
      <c r="AT152" s="248"/>
      <c r="AU152" s="248"/>
      <c r="AV152" s="248"/>
      <c r="AW152" s="248"/>
      <c r="AX152" s="248"/>
      <c r="AY152" s="248"/>
      <c r="AZ152" s="248"/>
      <c r="BA152" s="248"/>
      <c r="BB152" s="248"/>
      <c r="BC152" s="248"/>
      <c r="BD152" s="248"/>
      <c r="BE152" s="248"/>
      <c r="BF152" s="248"/>
      <c r="BG152" s="248"/>
      <c r="BH152" s="248"/>
      <c r="BI152" s="248"/>
      <c r="BJ152" s="248"/>
      <c r="BK152" s="248"/>
      <c r="BL152" s="248"/>
      <c r="BM152" s="248"/>
      <c r="BN152" s="248"/>
      <c r="BO152" s="248"/>
      <c r="BP152" s="248"/>
      <c r="BQ152" s="248"/>
      <c r="BR152" s="248"/>
      <c r="BS152" s="248"/>
      <c r="BT152" s="248"/>
      <c r="BU152" s="248"/>
      <c r="BV152" s="248"/>
      <c r="BW152" s="248"/>
      <c r="BX152" s="248"/>
      <c r="BY152" s="248"/>
      <c r="BZ152" s="248"/>
      <c r="CA152" s="248"/>
      <c r="CB152" s="248"/>
      <c r="CC152" s="248"/>
      <c r="CD152" s="248"/>
      <c r="CE152" s="248"/>
      <c r="CF152" s="248"/>
      <c r="CG152" s="248"/>
      <c r="CH152" s="248"/>
      <c r="CI152" s="248"/>
      <c r="CJ152" s="248"/>
      <c r="CK152" s="248"/>
      <c r="CL152" s="248"/>
      <c r="CM152" s="248"/>
      <c r="CN152" s="248"/>
      <c r="CO152" s="248"/>
      <c r="CP152" s="248"/>
      <c r="CQ152" s="248"/>
      <c r="CR152" s="248"/>
      <c r="CS152" s="248"/>
      <c r="CT152" s="248"/>
      <c r="CU152" s="248"/>
      <c r="CV152" s="248"/>
      <c r="CW152" s="248"/>
      <c r="CX152" s="248"/>
      <c r="CY152" s="248"/>
      <c r="CZ152" s="248"/>
      <c r="DA152" s="248"/>
      <c r="DB152" s="248"/>
      <c r="DC152" s="248"/>
      <c r="DD152" s="248"/>
      <c r="DE152" s="248"/>
      <c r="DF152" s="248"/>
      <c r="DG152" s="248"/>
      <c r="DH152" s="248"/>
      <c r="DI152" s="248"/>
      <c r="DJ152" s="248"/>
      <c r="DK152" s="248"/>
      <c r="DL152" s="248"/>
      <c r="DM152" s="248"/>
      <c r="DN152" s="248"/>
      <c r="DO152" s="248"/>
      <c r="DP152" s="248"/>
      <c r="DQ152" s="248"/>
      <c r="DR152" s="248"/>
      <c r="DS152" s="248"/>
      <c r="DT152" s="248"/>
      <c r="DU152" s="248"/>
      <c r="DV152" s="248"/>
      <c r="DW152" s="248"/>
      <c r="DX152" s="248"/>
      <c r="DY152" s="248"/>
      <c r="DZ152" s="248"/>
      <c r="EA152" s="248"/>
      <c r="EB152" s="248"/>
      <c r="EC152" s="248"/>
      <c r="ED152" s="248"/>
      <c r="EE152" s="248"/>
      <c r="EF152" s="248"/>
      <c r="EG152" s="248"/>
      <c r="EH152" s="248"/>
      <c r="EI152" s="248"/>
      <c r="EJ152" s="248"/>
      <c r="EK152" s="248"/>
      <c r="EL152" s="248"/>
      <c r="EM152" s="248"/>
      <c r="EN152" s="248"/>
      <c r="EO152" s="248"/>
      <c r="EP152" s="248"/>
      <c r="EQ152" s="248"/>
      <c r="ER152" s="248"/>
      <c r="ES152" s="248"/>
      <c r="ET152" s="248"/>
      <c r="EU152" s="248"/>
      <c r="EV152" s="248"/>
      <c r="EW152" s="248"/>
      <c r="EX152" s="248"/>
      <c r="EY152" s="248"/>
      <c r="EZ152" s="248"/>
      <c r="FA152" s="248"/>
      <c r="FB152" s="248"/>
      <c r="FC152" s="248"/>
      <c r="FD152" s="248"/>
      <c r="FE152" s="248"/>
      <c r="FF152" s="248"/>
      <c r="FG152" s="248"/>
      <c r="FH152" s="248"/>
      <c r="FI152" s="248"/>
      <c r="FJ152" s="248"/>
      <c r="FK152" s="248"/>
      <c r="FL152" s="248"/>
      <c r="FM152" s="248"/>
      <c r="FN152" s="248"/>
      <c r="FO152" s="248"/>
      <c r="FP152" s="248"/>
      <c r="FQ152" s="248"/>
      <c r="FR152" s="248"/>
      <c r="FS152" s="248"/>
      <c r="FT152" s="248"/>
      <c r="FU152" s="248"/>
      <c r="FV152" s="248"/>
      <c r="FW152" s="248"/>
      <c r="FX152" s="248"/>
      <c r="FY152" s="248"/>
      <c r="FZ152" s="248"/>
      <c r="GA152" s="248"/>
      <c r="GB152" s="248"/>
      <c r="GC152" s="248"/>
      <c r="GD152" s="248"/>
      <c r="GE152" s="248"/>
      <c r="GF152" s="248"/>
      <c r="GG152" s="248"/>
      <c r="GH152" s="248"/>
      <c r="GI152" s="248"/>
      <c r="GJ152" s="248"/>
      <c r="GK152" s="248"/>
      <c r="GL152" s="248"/>
      <c r="GM152" s="248"/>
      <c r="GN152" s="248"/>
      <c r="GO152" s="248"/>
      <c r="GP152" s="248"/>
      <c r="GQ152" s="248"/>
      <c r="GR152" s="248"/>
      <c r="GS152" s="248"/>
      <c r="GT152" s="248"/>
      <c r="GU152" s="248"/>
      <c r="GV152" s="248"/>
      <c r="GW152" s="248"/>
      <c r="GX152" s="248"/>
      <c r="GY152" s="248"/>
      <c r="GZ152" s="248"/>
      <c r="HA152" s="248"/>
      <c r="HB152" s="248"/>
      <c r="HC152" s="248"/>
      <c r="HD152" s="248"/>
      <c r="HE152" s="248"/>
      <c r="HF152" s="248"/>
      <c r="HG152" s="248"/>
      <c r="HH152" s="248"/>
      <c r="HI152" s="248"/>
      <c r="HJ152" s="248"/>
      <c r="HK152" s="248"/>
      <c r="HL152" s="248"/>
      <c r="HM152" s="248"/>
      <c r="HN152" s="248"/>
      <c r="HO152" s="248"/>
      <c r="HP152" s="248"/>
      <c r="HQ152" s="248"/>
      <c r="HR152" s="248"/>
      <c r="HS152" s="248"/>
      <c r="HT152" s="248"/>
      <c r="HU152" s="248"/>
      <c r="HV152" s="248"/>
      <c r="HW152" s="248"/>
      <c r="HX152" s="248"/>
      <c r="HY152" s="248"/>
      <c r="HZ152" s="248"/>
      <c r="IA152" s="248"/>
      <c r="IB152" s="248"/>
      <c r="IC152" s="248"/>
      <c r="ID152" s="248"/>
      <c r="IE152" s="248"/>
      <c r="IF152" s="248"/>
      <c r="IG152" s="248"/>
      <c r="IH152" s="248"/>
      <c r="II152" s="248"/>
      <c r="IJ152" s="248"/>
      <c r="IK152" s="248"/>
      <c r="IL152" s="248"/>
      <c r="IM152" s="248"/>
      <c r="IN152" s="248"/>
    </row>
    <row r="153" spans="1:248" s="164" customFormat="1">
      <c r="A153" s="242"/>
      <c r="B153" s="248"/>
      <c r="C153" s="248"/>
      <c r="D153" s="316"/>
      <c r="E153" s="316"/>
      <c r="F153" s="248"/>
      <c r="G153" s="316"/>
      <c r="H153" s="248"/>
      <c r="I153" s="248"/>
      <c r="J153" s="279"/>
      <c r="K153" s="35"/>
      <c r="L153" s="35"/>
      <c r="M153" s="35"/>
      <c r="N153" s="35"/>
      <c r="O153" s="58"/>
      <c r="P153" s="35"/>
      <c r="Q153" s="35"/>
      <c r="R153" s="248"/>
      <c r="S153" s="248"/>
      <c r="T153" s="248"/>
      <c r="U153" s="248"/>
      <c r="V153" s="248"/>
      <c r="W153" s="313"/>
      <c r="X153" s="248"/>
      <c r="Y153" s="248"/>
      <c r="Z153" s="248"/>
      <c r="AA153" s="248"/>
      <c r="AB153" s="248"/>
      <c r="AC153" s="248"/>
      <c r="AD153" s="248"/>
      <c r="AE153" s="248"/>
      <c r="AF153" s="248"/>
      <c r="AG153" s="248"/>
      <c r="AH153" s="248"/>
      <c r="AI153" s="248"/>
      <c r="AJ153" s="248"/>
      <c r="AK153" s="248"/>
      <c r="AL153" s="248"/>
      <c r="AM153" s="248"/>
      <c r="AN153" s="248"/>
      <c r="AO153" s="248"/>
      <c r="AP153" s="248"/>
      <c r="AQ153" s="248"/>
      <c r="AR153" s="248"/>
      <c r="AS153" s="248"/>
      <c r="AT153" s="248"/>
      <c r="AU153" s="248"/>
      <c r="AV153" s="248"/>
      <c r="AW153" s="248"/>
      <c r="AX153" s="248"/>
      <c r="AY153" s="248"/>
      <c r="AZ153" s="248"/>
      <c r="BA153" s="248"/>
      <c r="BB153" s="248"/>
      <c r="BC153" s="248"/>
      <c r="BD153" s="248"/>
      <c r="BE153" s="248"/>
      <c r="BF153" s="248"/>
      <c r="BG153" s="248"/>
      <c r="BH153" s="248"/>
      <c r="BI153" s="248"/>
      <c r="BJ153" s="248"/>
      <c r="BK153" s="248"/>
      <c r="BL153" s="248"/>
      <c r="BM153" s="248"/>
      <c r="BN153" s="248"/>
      <c r="BO153" s="248"/>
      <c r="BP153" s="248"/>
      <c r="BQ153" s="248"/>
      <c r="BR153" s="248"/>
      <c r="BS153" s="248"/>
      <c r="BT153" s="248"/>
      <c r="BU153" s="248"/>
      <c r="BV153" s="248"/>
      <c r="BW153" s="248"/>
      <c r="BX153" s="248"/>
      <c r="BY153" s="248"/>
      <c r="BZ153" s="248"/>
      <c r="CA153" s="248"/>
      <c r="CB153" s="248"/>
      <c r="CC153" s="248"/>
      <c r="CD153" s="248"/>
      <c r="CE153" s="248"/>
      <c r="CF153" s="248"/>
      <c r="CG153" s="248"/>
      <c r="CH153" s="248"/>
      <c r="CI153" s="248"/>
      <c r="CJ153" s="248"/>
      <c r="CK153" s="248"/>
      <c r="CL153" s="248"/>
      <c r="CM153" s="248"/>
      <c r="CN153" s="248"/>
      <c r="CO153" s="248"/>
      <c r="CP153" s="248"/>
      <c r="CQ153" s="248"/>
      <c r="CR153" s="248"/>
      <c r="CS153" s="248"/>
      <c r="CT153" s="248"/>
      <c r="CU153" s="248"/>
      <c r="CV153" s="248"/>
      <c r="CW153" s="248"/>
      <c r="CX153" s="248"/>
      <c r="CY153" s="248"/>
      <c r="CZ153" s="248"/>
      <c r="DA153" s="248"/>
      <c r="DB153" s="248"/>
      <c r="DC153" s="248"/>
      <c r="DD153" s="248"/>
      <c r="DE153" s="248"/>
      <c r="DF153" s="248"/>
      <c r="DG153" s="248"/>
      <c r="DH153" s="248"/>
      <c r="DI153" s="248"/>
      <c r="DJ153" s="248"/>
      <c r="DK153" s="248"/>
      <c r="DL153" s="248"/>
      <c r="DM153" s="248"/>
      <c r="DN153" s="248"/>
      <c r="DO153" s="248"/>
      <c r="DP153" s="248"/>
      <c r="DQ153" s="248"/>
      <c r="DR153" s="248"/>
      <c r="DS153" s="248"/>
      <c r="DT153" s="248"/>
      <c r="DU153" s="248"/>
      <c r="DV153" s="248"/>
      <c r="DW153" s="248"/>
      <c r="DX153" s="248"/>
      <c r="DY153" s="248"/>
      <c r="DZ153" s="248"/>
      <c r="EA153" s="248"/>
      <c r="EB153" s="248"/>
      <c r="EC153" s="248"/>
      <c r="ED153" s="248"/>
      <c r="EE153" s="248"/>
      <c r="EF153" s="248"/>
      <c r="EG153" s="248"/>
      <c r="EH153" s="248"/>
      <c r="EI153" s="248"/>
      <c r="EJ153" s="248"/>
      <c r="EK153" s="248"/>
      <c r="EL153" s="248"/>
      <c r="EM153" s="248"/>
      <c r="EN153" s="248"/>
      <c r="EO153" s="248"/>
      <c r="EP153" s="248"/>
      <c r="EQ153" s="248"/>
      <c r="ER153" s="248"/>
      <c r="ES153" s="248"/>
      <c r="ET153" s="248"/>
      <c r="EU153" s="248"/>
      <c r="EV153" s="248"/>
      <c r="EW153" s="248"/>
      <c r="EX153" s="248"/>
      <c r="EY153" s="248"/>
      <c r="EZ153" s="248"/>
      <c r="FA153" s="248"/>
      <c r="FB153" s="248"/>
      <c r="FC153" s="248"/>
      <c r="FD153" s="248"/>
      <c r="FE153" s="248"/>
      <c r="FF153" s="248"/>
      <c r="FG153" s="248"/>
      <c r="FH153" s="248"/>
      <c r="FI153" s="248"/>
      <c r="FJ153" s="248"/>
      <c r="FK153" s="248"/>
      <c r="FL153" s="248"/>
      <c r="FM153" s="248"/>
      <c r="FN153" s="248"/>
      <c r="FO153" s="248"/>
      <c r="FP153" s="248"/>
      <c r="FQ153" s="248"/>
      <c r="FR153" s="248"/>
      <c r="FS153" s="248"/>
      <c r="FT153" s="248"/>
      <c r="FU153" s="248"/>
      <c r="FV153" s="248"/>
      <c r="FW153" s="248"/>
      <c r="FX153" s="248"/>
      <c r="FY153" s="248"/>
      <c r="FZ153" s="248"/>
      <c r="GA153" s="248"/>
      <c r="GB153" s="248"/>
      <c r="GC153" s="248"/>
      <c r="GD153" s="248"/>
      <c r="GE153" s="248"/>
      <c r="GF153" s="248"/>
      <c r="GG153" s="248"/>
      <c r="GH153" s="248"/>
      <c r="GI153" s="248"/>
      <c r="GJ153" s="248"/>
      <c r="GK153" s="248"/>
      <c r="GL153" s="248"/>
      <c r="GM153" s="248"/>
      <c r="GN153" s="248"/>
      <c r="GO153" s="248"/>
      <c r="GP153" s="248"/>
      <c r="GQ153" s="248"/>
      <c r="GR153" s="248"/>
      <c r="GS153" s="248"/>
      <c r="GT153" s="248"/>
      <c r="GU153" s="248"/>
      <c r="GV153" s="248"/>
      <c r="GW153" s="248"/>
      <c r="GX153" s="248"/>
      <c r="GY153" s="248"/>
      <c r="GZ153" s="248"/>
      <c r="HA153" s="248"/>
      <c r="HB153" s="248"/>
      <c r="HC153" s="248"/>
      <c r="HD153" s="248"/>
      <c r="HE153" s="248"/>
      <c r="HF153" s="248"/>
      <c r="HG153" s="248"/>
      <c r="HH153" s="248"/>
      <c r="HI153" s="248"/>
      <c r="HJ153" s="248"/>
      <c r="HK153" s="248"/>
      <c r="HL153" s="248"/>
      <c r="HM153" s="248"/>
      <c r="HN153" s="248"/>
      <c r="HO153" s="248"/>
      <c r="HP153" s="248"/>
      <c r="HQ153" s="248"/>
      <c r="HR153" s="248"/>
      <c r="HS153" s="248"/>
      <c r="HT153" s="248"/>
      <c r="HU153" s="248"/>
      <c r="HV153" s="248"/>
      <c r="HW153" s="248"/>
      <c r="HX153" s="248"/>
      <c r="HY153" s="248"/>
      <c r="HZ153" s="248"/>
      <c r="IA153" s="248"/>
      <c r="IB153" s="248"/>
      <c r="IC153" s="248"/>
      <c r="ID153" s="248"/>
      <c r="IE153" s="248"/>
      <c r="IF153" s="248"/>
      <c r="IG153" s="248"/>
      <c r="IH153" s="248"/>
      <c r="II153" s="248"/>
      <c r="IJ153" s="248"/>
      <c r="IK153" s="248"/>
      <c r="IL153" s="248"/>
      <c r="IM153" s="248"/>
      <c r="IN153" s="248"/>
    </row>
    <row r="154" spans="1:248" s="164" customFormat="1">
      <c r="A154" s="242"/>
      <c r="B154" s="248"/>
      <c r="C154" s="248"/>
      <c r="D154" s="316"/>
      <c r="E154" s="316"/>
      <c r="F154" s="248"/>
      <c r="G154" s="316"/>
      <c r="H154" s="248"/>
      <c r="I154" s="248"/>
      <c r="J154" s="279"/>
      <c r="K154" s="35"/>
      <c r="L154" s="35"/>
      <c r="M154" s="35"/>
      <c r="N154" s="35"/>
      <c r="O154" s="58"/>
      <c r="P154" s="35"/>
      <c r="Q154" s="35"/>
      <c r="R154" s="248"/>
      <c r="S154" s="248"/>
      <c r="T154" s="248"/>
      <c r="U154" s="248"/>
      <c r="V154" s="248"/>
      <c r="W154" s="313"/>
      <c r="X154" s="248"/>
      <c r="Y154" s="248"/>
      <c r="Z154" s="248"/>
      <c r="AA154" s="248"/>
      <c r="AB154" s="248"/>
      <c r="AC154" s="248"/>
      <c r="AD154" s="248"/>
      <c r="AE154" s="248"/>
      <c r="AF154" s="248"/>
      <c r="AG154" s="248"/>
      <c r="AH154" s="248"/>
      <c r="AI154" s="248"/>
      <c r="AJ154" s="248"/>
      <c r="AK154" s="248"/>
      <c r="AL154" s="248"/>
      <c r="AM154" s="248"/>
      <c r="AN154" s="248"/>
      <c r="AO154" s="248"/>
      <c r="AP154" s="248"/>
      <c r="AQ154" s="248"/>
      <c r="AR154" s="248"/>
      <c r="AS154" s="248"/>
      <c r="AT154" s="248"/>
      <c r="AU154" s="248"/>
      <c r="AV154" s="248"/>
      <c r="AW154" s="248"/>
      <c r="AX154" s="248"/>
      <c r="AY154" s="248"/>
      <c r="AZ154" s="248"/>
      <c r="BA154" s="248"/>
      <c r="BB154" s="248"/>
      <c r="BC154" s="248"/>
      <c r="BD154" s="248"/>
      <c r="BE154" s="248"/>
      <c r="BF154" s="248"/>
      <c r="BG154" s="248"/>
      <c r="BH154" s="248"/>
      <c r="BI154" s="248"/>
      <c r="BJ154" s="248"/>
      <c r="BK154" s="248"/>
      <c r="BL154" s="248"/>
      <c r="BM154" s="248"/>
      <c r="BN154" s="248"/>
      <c r="BO154" s="248"/>
      <c r="BP154" s="248"/>
      <c r="BQ154" s="248"/>
      <c r="BR154" s="248"/>
      <c r="BS154" s="248"/>
      <c r="BT154" s="248"/>
      <c r="BU154" s="248"/>
      <c r="BV154" s="248"/>
      <c r="BW154" s="248"/>
      <c r="BX154" s="248"/>
      <c r="BY154" s="248"/>
      <c r="BZ154" s="248"/>
      <c r="CA154" s="248"/>
      <c r="CB154" s="248"/>
      <c r="CC154" s="248"/>
      <c r="CD154" s="248"/>
      <c r="CE154" s="248"/>
      <c r="CF154" s="248"/>
      <c r="CG154" s="248"/>
      <c r="CH154" s="248"/>
      <c r="CI154" s="248"/>
      <c r="CJ154" s="248"/>
      <c r="CK154" s="248"/>
      <c r="CL154" s="248"/>
      <c r="CM154" s="248"/>
      <c r="CN154" s="248"/>
      <c r="CO154" s="248"/>
      <c r="CP154" s="248"/>
      <c r="CQ154" s="248"/>
      <c r="CR154" s="248"/>
      <c r="CS154" s="248"/>
      <c r="CT154" s="248"/>
      <c r="CU154" s="248"/>
      <c r="CV154" s="248"/>
      <c r="CW154" s="248"/>
      <c r="CX154" s="248"/>
      <c r="CY154" s="248"/>
      <c r="CZ154" s="248"/>
      <c r="DA154" s="248"/>
      <c r="DB154" s="248"/>
      <c r="DC154" s="248"/>
      <c r="DD154" s="248"/>
      <c r="DE154" s="248"/>
      <c r="DF154" s="248"/>
      <c r="DG154" s="248"/>
      <c r="DH154" s="248"/>
      <c r="DI154" s="248"/>
      <c r="DJ154" s="248"/>
      <c r="DK154" s="248"/>
      <c r="DL154" s="248"/>
      <c r="DM154" s="248"/>
      <c r="DN154" s="248"/>
      <c r="DO154" s="248"/>
      <c r="DP154" s="248"/>
      <c r="DQ154" s="248"/>
      <c r="DR154" s="248"/>
      <c r="DS154" s="248"/>
      <c r="DT154" s="248"/>
      <c r="DU154" s="248"/>
      <c r="DV154" s="248"/>
      <c r="DW154" s="248"/>
      <c r="DX154" s="248"/>
      <c r="DY154" s="248"/>
      <c r="DZ154" s="248"/>
      <c r="EA154" s="248"/>
      <c r="EB154" s="248"/>
      <c r="EC154" s="248"/>
      <c r="ED154" s="248"/>
      <c r="EE154" s="248"/>
      <c r="EF154" s="248"/>
      <c r="EG154" s="248"/>
      <c r="EH154" s="248"/>
      <c r="EI154" s="248"/>
      <c r="EJ154" s="248"/>
      <c r="EK154" s="248"/>
      <c r="EL154" s="248"/>
      <c r="EM154" s="248"/>
      <c r="EN154" s="248"/>
      <c r="EO154" s="248"/>
      <c r="EP154" s="248"/>
      <c r="EQ154" s="248"/>
      <c r="ER154" s="248"/>
      <c r="ES154" s="248"/>
      <c r="ET154" s="248"/>
      <c r="EU154" s="248"/>
      <c r="EV154" s="248"/>
      <c r="EW154" s="248"/>
      <c r="EX154" s="248"/>
      <c r="EY154" s="248"/>
      <c r="EZ154" s="248"/>
      <c r="FA154" s="248"/>
      <c r="FB154" s="248"/>
      <c r="FC154" s="248"/>
      <c r="FD154" s="248"/>
      <c r="FE154" s="248"/>
      <c r="FF154" s="248"/>
      <c r="FG154" s="248"/>
      <c r="FH154" s="248"/>
      <c r="FI154" s="248"/>
      <c r="FJ154" s="248"/>
      <c r="FK154" s="248"/>
      <c r="FL154" s="248"/>
      <c r="FM154" s="248"/>
      <c r="FN154" s="248"/>
      <c r="FO154" s="248"/>
      <c r="FP154" s="248"/>
      <c r="FQ154" s="248"/>
      <c r="FR154" s="248"/>
      <c r="FS154" s="248"/>
      <c r="FT154" s="248"/>
      <c r="FU154" s="248"/>
      <c r="FV154" s="248"/>
      <c r="FW154" s="248"/>
      <c r="FX154" s="248"/>
      <c r="FY154" s="248"/>
      <c r="FZ154" s="248"/>
      <c r="GA154" s="248"/>
      <c r="GB154" s="248"/>
      <c r="GC154" s="248"/>
      <c r="GD154" s="248"/>
      <c r="GE154" s="248"/>
      <c r="GF154" s="248"/>
      <c r="GG154" s="248"/>
      <c r="GH154" s="248"/>
      <c r="GI154" s="248"/>
      <c r="GJ154" s="248"/>
      <c r="GK154" s="248"/>
      <c r="GL154" s="248"/>
      <c r="GM154" s="248"/>
      <c r="GN154" s="248"/>
      <c r="GO154" s="248"/>
      <c r="GP154" s="248"/>
      <c r="GQ154" s="248"/>
      <c r="GR154" s="248"/>
      <c r="GS154" s="248"/>
      <c r="GT154" s="248"/>
      <c r="GU154" s="248"/>
      <c r="GV154" s="248"/>
      <c r="GW154" s="248"/>
      <c r="GX154" s="248"/>
      <c r="GY154" s="248"/>
      <c r="GZ154" s="248"/>
      <c r="HA154" s="248"/>
      <c r="HB154" s="248"/>
      <c r="HC154" s="248"/>
      <c r="HD154" s="248"/>
      <c r="HE154" s="248"/>
      <c r="HF154" s="248"/>
      <c r="HG154" s="248"/>
      <c r="HH154" s="248"/>
      <c r="HI154" s="248"/>
      <c r="HJ154" s="248"/>
      <c r="HK154" s="248"/>
      <c r="HL154" s="248"/>
      <c r="HM154" s="248"/>
      <c r="HN154" s="248"/>
      <c r="HO154" s="248"/>
      <c r="HP154" s="248"/>
      <c r="HQ154" s="248"/>
      <c r="HR154" s="248"/>
      <c r="HS154" s="248"/>
      <c r="HT154" s="248"/>
      <c r="HU154" s="248"/>
      <c r="HV154" s="248"/>
      <c r="HW154" s="248"/>
      <c r="HX154" s="248"/>
      <c r="HY154" s="248"/>
      <c r="HZ154" s="248"/>
      <c r="IA154" s="248"/>
      <c r="IB154" s="248"/>
      <c r="IC154" s="248"/>
      <c r="ID154" s="248"/>
      <c r="IE154" s="248"/>
      <c r="IF154" s="248"/>
      <c r="IG154" s="248"/>
      <c r="IH154" s="248"/>
      <c r="II154" s="248"/>
      <c r="IJ154" s="248"/>
      <c r="IK154" s="248"/>
      <c r="IL154" s="248"/>
      <c r="IM154" s="248"/>
      <c r="IN154" s="248"/>
    </row>
    <row r="155" spans="1:248" s="164" customFormat="1">
      <c r="A155" s="242"/>
      <c r="B155" s="248"/>
      <c r="C155" s="248"/>
      <c r="D155" s="316"/>
      <c r="E155" s="316"/>
      <c r="F155" s="248"/>
      <c r="G155" s="316"/>
      <c r="H155" s="248"/>
      <c r="I155" s="248"/>
      <c r="J155" s="279"/>
      <c r="K155" s="35"/>
      <c r="L155" s="35"/>
      <c r="M155" s="35"/>
      <c r="N155" s="35"/>
      <c r="O155" s="58"/>
      <c r="P155" s="35"/>
      <c r="Q155" s="35"/>
      <c r="R155" s="248"/>
      <c r="S155" s="248"/>
      <c r="T155" s="248"/>
      <c r="U155" s="248"/>
      <c r="V155" s="248"/>
      <c r="W155" s="313"/>
      <c r="X155" s="248"/>
      <c r="Y155" s="248"/>
      <c r="Z155" s="248"/>
      <c r="AA155" s="248"/>
      <c r="AB155" s="248"/>
      <c r="AC155" s="248"/>
      <c r="AD155" s="248"/>
      <c r="AE155" s="248"/>
      <c r="AF155" s="248"/>
      <c r="AG155" s="248"/>
      <c r="AH155" s="248"/>
      <c r="AI155" s="248"/>
      <c r="AJ155" s="248"/>
      <c r="AK155" s="248"/>
      <c r="AL155" s="248"/>
      <c r="AM155" s="248"/>
      <c r="AN155" s="248"/>
      <c r="AO155" s="248"/>
      <c r="AP155" s="248"/>
      <c r="AQ155" s="248"/>
      <c r="AR155" s="248"/>
      <c r="AS155" s="248"/>
      <c r="AT155" s="248"/>
      <c r="AU155" s="248"/>
      <c r="AV155" s="248"/>
      <c r="AW155" s="248"/>
      <c r="AX155" s="248"/>
      <c r="AY155" s="248"/>
      <c r="AZ155" s="248"/>
      <c r="BA155" s="248"/>
      <c r="BB155" s="248"/>
      <c r="BC155" s="248"/>
      <c r="BD155" s="248"/>
      <c r="BE155" s="248"/>
      <c r="BF155" s="248"/>
      <c r="BG155" s="248"/>
      <c r="BH155" s="248"/>
      <c r="BI155" s="248"/>
      <c r="BJ155" s="248"/>
      <c r="BK155" s="248"/>
      <c r="BL155" s="248"/>
      <c r="BM155" s="248"/>
      <c r="BN155" s="248"/>
      <c r="BO155" s="248"/>
      <c r="BP155" s="248"/>
      <c r="BQ155" s="248"/>
      <c r="BR155" s="248"/>
      <c r="BS155" s="248"/>
      <c r="BT155" s="248"/>
      <c r="BU155" s="248"/>
      <c r="BV155" s="248"/>
      <c r="BW155" s="248"/>
      <c r="BX155" s="248"/>
      <c r="BY155" s="248"/>
      <c r="BZ155" s="248"/>
      <c r="CA155" s="248"/>
      <c r="CB155" s="248"/>
      <c r="CC155" s="248"/>
      <c r="CD155" s="248"/>
      <c r="CE155" s="248"/>
      <c r="CF155" s="248"/>
      <c r="CG155" s="248"/>
      <c r="CH155" s="248"/>
      <c r="CI155" s="248"/>
      <c r="CJ155" s="248"/>
      <c r="CK155" s="248"/>
      <c r="CL155" s="248"/>
      <c r="CM155" s="248"/>
      <c r="CN155" s="248"/>
      <c r="CO155" s="248"/>
      <c r="CP155" s="248"/>
      <c r="CQ155" s="248"/>
      <c r="CR155" s="248"/>
      <c r="CS155" s="248"/>
      <c r="CT155" s="248"/>
      <c r="CU155" s="248"/>
      <c r="CV155" s="248"/>
      <c r="CW155" s="248"/>
      <c r="CX155" s="248"/>
      <c r="CY155" s="248"/>
      <c r="CZ155" s="248"/>
      <c r="DA155" s="248"/>
      <c r="DB155" s="248"/>
      <c r="DC155" s="248"/>
      <c r="DD155" s="248"/>
      <c r="DE155" s="248"/>
      <c r="DF155" s="248"/>
      <c r="DG155" s="248"/>
      <c r="DH155" s="248"/>
      <c r="DI155" s="248"/>
      <c r="DJ155" s="248"/>
      <c r="DK155" s="248"/>
      <c r="DL155" s="248"/>
      <c r="DM155" s="248"/>
      <c r="DN155" s="248"/>
      <c r="DO155" s="248"/>
      <c r="DP155" s="248"/>
      <c r="DQ155" s="248"/>
      <c r="DR155" s="248"/>
      <c r="DS155" s="248"/>
      <c r="DT155" s="248"/>
      <c r="DU155" s="248"/>
      <c r="DV155" s="248"/>
      <c r="DW155" s="248"/>
      <c r="DX155" s="248"/>
      <c r="DY155" s="248"/>
      <c r="DZ155" s="248"/>
      <c r="EA155" s="248"/>
      <c r="EB155" s="248"/>
      <c r="EC155" s="248"/>
      <c r="ED155" s="248"/>
      <c r="EE155" s="248"/>
      <c r="EF155" s="248"/>
      <c r="EG155" s="248"/>
      <c r="EH155" s="248"/>
      <c r="EI155" s="248"/>
      <c r="EJ155" s="248"/>
      <c r="EK155" s="248"/>
      <c r="EL155" s="248"/>
      <c r="EM155" s="248"/>
      <c r="EN155" s="248"/>
      <c r="EO155" s="248"/>
      <c r="EP155" s="248"/>
      <c r="EQ155" s="248"/>
      <c r="ER155" s="248"/>
      <c r="ES155" s="248"/>
      <c r="ET155" s="248"/>
      <c r="EU155" s="248"/>
      <c r="EV155" s="248"/>
      <c r="EW155" s="248"/>
      <c r="EX155" s="248"/>
      <c r="EY155" s="248"/>
      <c r="EZ155" s="248"/>
      <c r="FA155" s="248"/>
      <c r="FB155" s="248"/>
      <c r="FC155" s="248"/>
      <c r="FD155" s="248"/>
      <c r="FE155" s="248"/>
      <c r="FF155" s="248"/>
      <c r="FG155" s="248"/>
      <c r="FH155" s="248"/>
      <c r="FI155" s="248"/>
      <c r="FJ155" s="248"/>
      <c r="FK155" s="248"/>
      <c r="FL155" s="248"/>
      <c r="FM155" s="248"/>
      <c r="FN155" s="248"/>
      <c r="FO155" s="248"/>
      <c r="FP155" s="248"/>
      <c r="FQ155" s="248"/>
      <c r="FR155" s="248"/>
      <c r="FS155" s="248"/>
      <c r="FT155" s="248"/>
      <c r="FU155" s="248"/>
      <c r="FV155" s="248"/>
      <c r="FW155" s="248"/>
      <c r="FX155" s="248"/>
      <c r="FY155" s="248"/>
      <c r="FZ155" s="248"/>
      <c r="GA155" s="248"/>
      <c r="GB155" s="248"/>
      <c r="GC155" s="248"/>
      <c r="GD155" s="248"/>
      <c r="GE155" s="248"/>
      <c r="GF155" s="248"/>
      <c r="GG155" s="248"/>
      <c r="GH155" s="248"/>
      <c r="GI155" s="248"/>
      <c r="GJ155" s="248"/>
      <c r="GK155" s="248"/>
      <c r="GL155" s="248"/>
      <c r="GM155" s="248"/>
      <c r="GN155" s="248"/>
      <c r="GO155" s="248"/>
      <c r="GP155" s="248"/>
      <c r="GQ155" s="248"/>
      <c r="GR155" s="248"/>
      <c r="GS155" s="248"/>
      <c r="GT155" s="248"/>
      <c r="GU155" s="248"/>
      <c r="GV155" s="248"/>
      <c r="GW155" s="248"/>
      <c r="GX155" s="248"/>
      <c r="GY155" s="248"/>
      <c r="GZ155" s="248"/>
      <c r="HA155" s="248"/>
      <c r="HB155" s="248"/>
      <c r="HC155" s="248"/>
      <c r="HD155" s="248"/>
      <c r="HE155" s="248"/>
      <c r="HF155" s="248"/>
      <c r="HG155" s="248"/>
      <c r="HH155" s="248"/>
      <c r="HI155" s="248"/>
      <c r="HJ155" s="248"/>
      <c r="HK155" s="248"/>
      <c r="HL155" s="248"/>
      <c r="HM155" s="248"/>
      <c r="HN155" s="248"/>
      <c r="HO155" s="248"/>
      <c r="HP155" s="248"/>
      <c r="HQ155" s="248"/>
      <c r="HR155" s="248"/>
      <c r="HS155" s="248"/>
      <c r="HT155" s="248"/>
      <c r="HU155" s="248"/>
      <c r="HV155" s="248"/>
      <c r="HW155" s="248"/>
      <c r="HX155" s="248"/>
      <c r="HY155" s="248"/>
      <c r="HZ155" s="248"/>
      <c r="IA155" s="248"/>
      <c r="IB155" s="248"/>
      <c r="IC155" s="248"/>
      <c r="ID155" s="248"/>
      <c r="IE155" s="248"/>
      <c r="IF155" s="248"/>
      <c r="IG155" s="248"/>
      <c r="IH155" s="248"/>
      <c r="II155" s="248"/>
      <c r="IJ155" s="248"/>
      <c r="IK155" s="248"/>
      <c r="IL155" s="248"/>
      <c r="IM155" s="248"/>
      <c r="IN155" s="248"/>
    </row>
    <row r="156" spans="1:248" s="164" customFormat="1">
      <c r="A156" s="242"/>
      <c r="B156" s="248"/>
      <c r="C156" s="248"/>
      <c r="D156" s="316"/>
      <c r="E156" s="316"/>
      <c r="F156" s="248"/>
      <c r="G156" s="316"/>
      <c r="H156" s="248"/>
      <c r="I156" s="248"/>
      <c r="J156" s="279"/>
      <c r="K156" s="35"/>
      <c r="L156" s="35"/>
      <c r="M156" s="35"/>
      <c r="N156" s="35"/>
      <c r="O156" s="58"/>
      <c r="P156" s="35"/>
      <c r="Q156" s="35"/>
      <c r="R156" s="248"/>
      <c r="S156" s="248"/>
      <c r="T156" s="248"/>
      <c r="U156" s="248"/>
      <c r="V156" s="248"/>
      <c r="W156" s="313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48"/>
      <c r="BF156" s="248"/>
      <c r="BG156" s="248"/>
      <c r="BH156" s="248"/>
      <c r="BI156" s="248"/>
      <c r="BJ156" s="248"/>
      <c r="BK156" s="248"/>
      <c r="BL156" s="248"/>
      <c r="BM156" s="248"/>
      <c r="BN156" s="248"/>
      <c r="BO156" s="248"/>
      <c r="BP156" s="248"/>
      <c r="BQ156" s="248"/>
      <c r="BR156" s="248"/>
      <c r="BS156" s="248"/>
      <c r="BT156" s="248"/>
      <c r="BU156" s="248"/>
      <c r="BV156" s="248"/>
      <c r="BW156" s="248"/>
      <c r="BX156" s="248"/>
      <c r="BY156" s="248"/>
      <c r="BZ156" s="248"/>
      <c r="CA156" s="248"/>
      <c r="CB156" s="248"/>
      <c r="CC156" s="248"/>
      <c r="CD156" s="248"/>
      <c r="CE156" s="248"/>
      <c r="CF156" s="248"/>
      <c r="CG156" s="248"/>
      <c r="CH156" s="248"/>
      <c r="CI156" s="248"/>
      <c r="CJ156" s="248"/>
      <c r="CK156" s="248"/>
      <c r="CL156" s="248"/>
      <c r="CM156" s="248"/>
      <c r="CN156" s="248"/>
      <c r="CO156" s="248"/>
      <c r="CP156" s="248"/>
      <c r="CQ156" s="248"/>
      <c r="CR156" s="248"/>
      <c r="CS156" s="248"/>
      <c r="CT156" s="248"/>
      <c r="CU156" s="248"/>
      <c r="CV156" s="248"/>
      <c r="CW156" s="248"/>
      <c r="CX156" s="248"/>
      <c r="CY156" s="248"/>
      <c r="CZ156" s="248"/>
      <c r="DA156" s="248"/>
      <c r="DB156" s="248"/>
      <c r="DC156" s="248"/>
      <c r="DD156" s="248"/>
      <c r="DE156" s="248"/>
      <c r="DF156" s="248"/>
      <c r="DG156" s="248"/>
      <c r="DH156" s="248"/>
      <c r="DI156" s="248"/>
      <c r="DJ156" s="248"/>
      <c r="DK156" s="248"/>
      <c r="DL156" s="248"/>
      <c r="DM156" s="248"/>
      <c r="DN156" s="248"/>
      <c r="DO156" s="248"/>
      <c r="DP156" s="248"/>
      <c r="DQ156" s="248"/>
      <c r="DR156" s="248"/>
      <c r="DS156" s="248"/>
      <c r="DT156" s="248"/>
      <c r="DU156" s="248"/>
      <c r="DV156" s="248"/>
      <c r="DW156" s="248"/>
      <c r="DX156" s="248"/>
      <c r="DY156" s="248"/>
      <c r="DZ156" s="248"/>
      <c r="EA156" s="248"/>
      <c r="EB156" s="248"/>
      <c r="EC156" s="248"/>
      <c r="ED156" s="248"/>
      <c r="EE156" s="248"/>
      <c r="EF156" s="248"/>
      <c r="EG156" s="248"/>
      <c r="EH156" s="248"/>
      <c r="EI156" s="248"/>
      <c r="EJ156" s="248"/>
      <c r="EK156" s="248"/>
      <c r="EL156" s="248"/>
      <c r="EM156" s="248"/>
      <c r="EN156" s="248"/>
      <c r="EO156" s="248"/>
      <c r="EP156" s="248"/>
      <c r="EQ156" s="248"/>
      <c r="ER156" s="248"/>
      <c r="ES156" s="248"/>
      <c r="ET156" s="248"/>
      <c r="EU156" s="248"/>
      <c r="EV156" s="248"/>
      <c r="EW156" s="248"/>
      <c r="EX156" s="248"/>
      <c r="EY156" s="248"/>
      <c r="EZ156" s="248"/>
      <c r="FA156" s="248"/>
      <c r="FB156" s="248"/>
      <c r="FC156" s="248"/>
      <c r="FD156" s="248"/>
      <c r="FE156" s="248"/>
      <c r="FF156" s="248"/>
      <c r="FG156" s="248"/>
      <c r="FH156" s="248"/>
      <c r="FI156" s="248"/>
      <c r="FJ156" s="248"/>
      <c r="FK156" s="248"/>
      <c r="FL156" s="248"/>
      <c r="FM156" s="248"/>
      <c r="FN156" s="248"/>
      <c r="FO156" s="248"/>
      <c r="FP156" s="248"/>
      <c r="FQ156" s="248"/>
      <c r="FR156" s="248"/>
      <c r="FS156" s="248"/>
      <c r="FT156" s="248"/>
      <c r="FU156" s="248"/>
      <c r="FV156" s="248"/>
      <c r="FW156" s="248"/>
      <c r="FX156" s="248"/>
      <c r="FY156" s="248"/>
      <c r="FZ156" s="248"/>
      <c r="GA156" s="248"/>
      <c r="GB156" s="248"/>
      <c r="GC156" s="248"/>
      <c r="GD156" s="248"/>
      <c r="GE156" s="248"/>
      <c r="GF156" s="248"/>
      <c r="GG156" s="248"/>
      <c r="GH156" s="248"/>
      <c r="GI156" s="248"/>
      <c r="GJ156" s="248"/>
      <c r="GK156" s="248"/>
      <c r="GL156" s="248"/>
      <c r="GM156" s="248"/>
      <c r="GN156" s="248"/>
      <c r="GO156" s="248"/>
      <c r="GP156" s="248"/>
      <c r="GQ156" s="248"/>
      <c r="GR156" s="248"/>
      <c r="GS156" s="248"/>
      <c r="GT156" s="248"/>
      <c r="GU156" s="248"/>
      <c r="GV156" s="248"/>
      <c r="GW156" s="248"/>
      <c r="GX156" s="248"/>
      <c r="GY156" s="248"/>
      <c r="GZ156" s="248"/>
      <c r="HA156" s="248"/>
      <c r="HB156" s="248"/>
      <c r="HC156" s="248"/>
      <c r="HD156" s="248"/>
      <c r="HE156" s="248"/>
      <c r="HF156" s="248"/>
      <c r="HG156" s="248"/>
      <c r="HH156" s="248"/>
      <c r="HI156" s="248"/>
      <c r="HJ156" s="248"/>
      <c r="HK156" s="248"/>
      <c r="HL156" s="248"/>
      <c r="HM156" s="248"/>
      <c r="HN156" s="248"/>
      <c r="HO156" s="248"/>
      <c r="HP156" s="248"/>
      <c r="HQ156" s="248"/>
      <c r="HR156" s="248"/>
      <c r="HS156" s="248"/>
      <c r="HT156" s="248"/>
      <c r="HU156" s="248"/>
      <c r="HV156" s="248"/>
      <c r="HW156" s="248"/>
      <c r="HX156" s="248"/>
      <c r="HY156" s="248"/>
      <c r="HZ156" s="248"/>
      <c r="IA156" s="248"/>
      <c r="IB156" s="248"/>
      <c r="IC156" s="248"/>
      <c r="ID156" s="248"/>
      <c r="IE156" s="248"/>
      <c r="IF156" s="248"/>
      <c r="IG156" s="248"/>
      <c r="IH156" s="248"/>
      <c r="II156" s="248"/>
      <c r="IJ156" s="248"/>
      <c r="IK156" s="248"/>
      <c r="IL156" s="248"/>
      <c r="IM156" s="248"/>
      <c r="IN156" s="248"/>
    </row>
    <row r="157" spans="1:248" s="164" customFormat="1">
      <c r="A157" s="242"/>
      <c r="B157" s="248"/>
      <c r="C157" s="248"/>
      <c r="D157" s="316"/>
      <c r="E157" s="316"/>
      <c r="F157" s="248"/>
      <c r="G157" s="316"/>
      <c r="H157" s="248"/>
      <c r="I157" s="248"/>
      <c r="J157" s="279"/>
      <c r="K157" s="35"/>
      <c r="L157" s="35"/>
      <c r="M157" s="35"/>
      <c r="N157" s="35"/>
      <c r="O157" s="58"/>
      <c r="P157" s="35"/>
      <c r="Q157" s="35"/>
      <c r="R157" s="248"/>
      <c r="S157" s="248"/>
      <c r="T157" s="248"/>
      <c r="U157" s="248"/>
      <c r="V157" s="248"/>
      <c r="W157" s="313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48"/>
      <c r="BF157" s="248"/>
      <c r="BG157" s="248"/>
      <c r="BH157" s="248"/>
      <c r="BI157" s="248"/>
      <c r="BJ157" s="248"/>
      <c r="BK157" s="248"/>
      <c r="BL157" s="248"/>
      <c r="BM157" s="248"/>
      <c r="BN157" s="248"/>
      <c r="BO157" s="248"/>
      <c r="BP157" s="248"/>
      <c r="BQ157" s="248"/>
      <c r="BR157" s="248"/>
      <c r="BS157" s="248"/>
      <c r="BT157" s="248"/>
      <c r="BU157" s="248"/>
      <c r="BV157" s="248"/>
      <c r="BW157" s="248"/>
      <c r="BX157" s="248"/>
      <c r="BY157" s="248"/>
      <c r="BZ157" s="248"/>
      <c r="CA157" s="248"/>
      <c r="CB157" s="248"/>
      <c r="CC157" s="248"/>
      <c r="CD157" s="248"/>
      <c r="CE157" s="248"/>
      <c r="CF157" s="248"/>
      <c r="CG157" s="248"/>
      <c r="CH157" s="248"/>
      <c r="CI157" s="248"/>
      <c r="CJ157" s="248"/>
      <c r="CK157" s="248"/>
      <c r="CL157" s="248"/>
      <c r="CM157" s="248"/>
      <c r="CN157" s="248"/>
      <c r="CO157" s="248"/>
      <c r="CP157" s="248"/>
      <c r="CQ157" s="248"/>
      <c r="CR157" s="248"/>
      <c r="CS157" s="248"/>
      <c r="CT157" s="248"/>
      <c r="CU157" s="248"/>
      <c r="CV157" s="248"/>
      <c r="CW157" s="248"/>
      <c r="CX157" s="248"/>
      <c r="CY157" s="248"/>
      <c r="CZ157" s="248"/>
      <c r="DA157" s="248"/>
      <c r="DB157" s="248"/>
      <c r="DC157" s="248"/>
      <c r="DD157" s="248"/>
      <c r="DE157" s="248"/>
      <c r="DF157" s="248"/>
      <c r="DG157" s="248"/>
      <c r="DH157" s="248"/>
      <c r="DI157" s="248"/>
      <c r="DJ157" s="248"/>
      <c r="DK157" s="248"/>
      <c r="DL157" s="248"/>
      <c r="DM157" s="248"/>
      <c r="DN157" s="248"/>
      <c r="DO157" s="248"/>
      <c r="DP157" s="248"/>
      <c r="DQ157" s="248"/>
      <c r="DR157" s="248"/>
      <c r="DS157" s="248"/>
      <c r="DT157" s="248"/>
      <c r="DU157" s="248"/>
      <c r="DV157" s="248"/>
      <c r="DW157" s="248"/>
      <c r="DX157" s="248"/>
      <c r="DY157" s="248"/>
      <c r="DZ157" s="248"/>
      <c r="EA157" s="248"/>
      <c r="EB157" s="248"/>
      <c r="EC157" s="248"/>
      <c r="ED157" s="248"/>
      <c r="EE157" s="248"/>
      <c r="EF157" s="248"/>
      <c r="EG157" s="248"/>
      <c r="EH157" s="248"/>
      <c r="EI157" s="248"/>
      <c r="EJ157" s="248"/>
      <c r="EK157" s="248"/>
      <c r="EL157" s="248"/>
      <c r="EM157" s="248"/>
      <c r="EN157" s="248"/>
      <c r="EO157" s="248"/>
      <c r="EP157" s="248"/>
      <c r="EQ157" s="248"/>
      <c r="ER157" s="248"/>
      <c r="ES157" s="248"/>
      <c r="ET157" s="248"/>
      <c r="EU157" s="248"/>
      <c r="EV157" s="248"/>
      <c r="EW157" s="248"/>
      <c r="EX157" s="248"/>
      <c r="EY157" s="248"/>
      <c r="EZ157" s="248"/>
      <c r="FA157" s="248"/>
      <c r="FB157" s="248"/>
      <c r="FC157" s="248"/>
      <c r="FD157" s="248"/>
      <c r="FE157" s="248"/>
      <c r="FF157" s="248"/>
      <c r="FG157" s="248"/>
      <c r="FH157" s="248"/>
      <c r="FI157" s="248"/>
      <c r="FJ157" s="248"/>
      <c r="FK157" s="248"/>
      <c r="FL157" s="248"/>
      <c r="FM157" s="248"/>
      <c r="FN157" s="248"/>
      <c r="FO157" s="248"/>
      <c r="FP157" s="248"/>
      <c r="FQ157" s="248"/>
      <c r="FR157" s="248"/>
      <c r="FS157" s="248"/>
      <c r="FT157" s="248"/>
      <c r="FU157" s="248"/>
      <c r="FV157" s="248"/>
      <c r="FW157" s="248"/>
      <c r="FX157" s="248"/>
      <c r="FY157" s="248"/>
      <c r="FZ157" s="248"/>
      <c r="GA157" s="248"/>
      <c r="GB157" s="248"/>
      <c r="GC157" s="248"/>
      <c r="GD157" s="248"/>
      <c r="GE157" s="248"/>
      <c r="GF157" s="248"/>
      <c r="GG157" s="248"/>
      <c r="GH157" s="248"/>
      <c r="GI157" s="248"/>
      <c r="GJ157" s="248"/>
      <c r="GK157" s="248"/>
      <c r="GL157" s="248"/>
      <c r="GM157" s="248"/>
      <c r="GN157" s="248"/>
      <c r="GO157" s="248"/>
      <c r="GP157" s="248"/>
      <c r="GQ157" s="248"/>
      <c r="GR157" s="248"/>
      <c r="GS157" s="248"/>
      <c r="GT157" s="248"/>
      <c r="GU157" s="248"/>
      <c r="GV157" s="248"/>
      <c r="GW157" s="248"/>
      <c r="GX157" s="248"/>
      <c r="GY157" s="248"/>
      <c r="GZ157" s="248"/>
      <c r="HA157" s="248"/>
      <c r="HB157" s="248"/>
      <c r="HC157" s="248"/>
      <c r="HD157" s="248"/>
      <c r="HE157" s="248"/>
      <c r="HF157" s="248"/>
      <c r="HG157" s="248"/>
      <c r="HH157" s="248"/>
      <c r="HI157" s="248"/>
      <c r="HJ157" s="248"/>
      <c r="HK157" s="248"/>
      <c r="HL157" s="248"/>
      <c r="HM157" s="248"/>
      <c r="HN157" s="248"/>
      <c r="HO157" s="248"/>
      <c r="HP157" s="248"/>
      <c r="HQ157" s="248"/>
      <c r="HR157" s="248"/>
      <c r="HS157" s="248"/>
      <c r="HT157" s="248"/>
      <c r="HU157" s="248"/>
      <c r="HV157" s="248"/>
      <c r="HW157" s="248"/>
      <c r="HX157" s="248"/>
      <c r="HY157" s="248"/>
      <c r="HZ157" s="248"/>
      <c r="IA157" s="248"/>
      <c r="IB157" s="248"/>
      <c r="IC157" s="248"/>
      <c r="ID157" s="248"/>
      <c r="IE157" s="248"/>
      <c r="IF157" s="248"/>
      <c r="IG157" s="248"/>
      <c r="IH157" s="248"/>
      <c r="II157" s="248"/>
      <c r="IJ157" s="248"/>
      <c r="IK157" s="248"/>
      <c r="IL157" s="248"/>
      <c r="IM157" s="248"/>
      <c r="IN157" s="248"/>
    </row>
    <row r="158" spans="1:248" s="164" customFormat="1">
      <c r="A158" s="242"/>
      <c r="B158" s="248"/>
      <c r="C158" s="248"/>
      <c r="D158" s="316"/>
      <c r="E158" s="316"/>
      <c r="F158" s="248"/>
      <c r="G158" s="316"/>
      <c r="H158" s="248"/>
      <c r="I158" s="248"/>
      <c r="J158" s="279"/>
      <c r="K158" s="35"/>
      <c r="L158" s="35"/>
      <c r="M158" s="35"/>
      <c r="N158" s="35"/>
      <c r="O158" s="58"/>
      <c r="P158" s="35"/>
      <c r="Q158" s="35"/>
      <c r="R158" s="248"/>
      <c r="S158" s="248"/>
      <c r="T158" s="248"/>
      <c r="U158" s="248"/>
      <c r="V158" s="248"/>
      <c r="W158" s="313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48"/>
      <c r="BF158" s="248"/>
      <c r="BG158" s="248"/>
      <c r="BH158" s="248"/>
      <c r="BI158" s="248"/>
      <c r="BJ158" s="248"/>
      <c r="BK158" s="248"/>
      <c r="BL158" s="248"/>
      <c r="BM158" s="248"/>
      <c r="BN158" s="248"/>
      <c r="BO158" s="248"/>
      <c r="BP158" s="248"/>
      <c r="BQ158" s="248"/>
      <c r="BR158" s="248"/>
      <c r="BS158" s="248"/>
      <c r="BT158" s="248"/>
      <c r="BU158" s="248"/>
      <c r="BV158" s="248"/>
      <c r="BW158" s="248"/>
      <c r="BX158" s="248"/>
      <c r="BY158" s="248"/>
      <c r="BZ158" s="248"/>
      <c r="CA158" s="248"/>
      <c r="CB158" s="248"/>
      <c r="CC158" s="248"/>
      <c r="CD158" s="248"/>
      <c r="CE158" s="248"/>
      <c r="CF158" s="248"/>
      <c r="CG158" s="248"/>
      <c r="CH158" s="248"/>
      <c r="CI158" s="248"/>
      <c r="CJ158" s="248"/>
      <c r="CK158" s="248"/>
      <c r="CL158" s="248"/>
      <c r="CM158" s="248"/>
      <c r="CN158" s="248"/>
      <c r="CO158" s="248"/>
      <c r="CP158" s="248"/>
      <c r="CQ158" s="248"/>
      <c r="CR158" s="248"/>
      <c r="CS158" s="248"/>
      <c r="CT158" s="248"/>
      <c r="CU158" s="248"/>
      <c r="CV158" s="248"/>
      <c r="CW158" s="248"/>
      <c r="CX158" s="248"/>
      <c r="CY158" s="248"/>
      <c r="CZ158" s="248"/>
      <c r="DA158" s="248"/>
      <c r="DB158" s="248"/>
      <c r="DC158" s="248"/>
      <c r="DD158" s="248"/>
      <c r="DE158" s="248"/>
      <c r="DF158" s="248"/>
      <c r="DG158" s="248"/>
      <c r="DH158" s="248"/>
      <c r="DI158" s="248"/>
      <c r="DJ158" s="248"/>
      <c r="DK158" s="248"/>
      <c r="DL158" s="248"/>
      <c r="DM158" s="248"/>
      <c r="DN158" s="248"/>
      <c r="DO158" s="248"/>
      <c r="DP158" s="248"/>
      <c r="DQ158" s="248"/>
      <c r="DR158" s="248"/>
      <c r="DS158" s="248"/>
      <c r="DT158" s="248"/>
      <c r="DU158" s="248"/>
      <c r="DV158" s="248"/>
      <c r="DW158" s="248"/>
      <c r="DX158" s="248"/>
      <c r="DY158" s="248"/>
      <c r="DZ158" s="248"/>
      <c r="EA158" s="248"/>
      <c r="EB158" s="248"/>
      <c r="EC158" s="248"/>
      <c r="ED158" s="248"/>
      <c r="EE158" s="248"/>
      <c r="EF158" s="248"/>
      <c r="EG158" s="248"/>
      <c r="EH158" s="248"/>
      <c r="EI158" s="248"/>
      <c r="EJ158" s="248"/>
      <c r="EK158" s="248"/>
      <c r="EL158" s="248"/>
      <c r="EM158" s="248"/>
      <c r="EN158" s="248"/>
      <c r="EO158" s="248"/>
      <c r="EP158" s="248"/>
      <c r="EQ158" s="248"/>
      <c r="ER158" s="248"/>
      <c r="ES158" s="248"/>
      <c r="ET158" s="248"/>
      <c r="EU158" s="248"/>
      <c r="EV158" s="248"/>
      <c r="EW158" s="248"/>
      <c r="EX158" s="248"/>
      <c r="EY158" s="248"/>
      <c r="EZ158" s="248"/>
      <c r="FA158" s="248"/>
      <c r="FB158" s="248"/>
      <c r="FC158" s="248"/>
      <c r="FD158" s="248"/>
      <c r="FE158" s="248"/>
      <c r="FF158" s="248"/>
      <c r="FG158" s="248"/>
      <c r="FH158" s="248"/>
      <c r="FI158" s="248"/>
      <c r="FJ158" s="248"/>
      <c r="FK158" s="248"/>
      <c r="FL158" s="248"/>
      <c r="FM158" s="248"/>
      <c r="FN158" s="248"/>
      <c r="FO158" s="248"/>
      <c r="FP158" s="248"/>
      <c r="FQ158" s="248"/>
      <c r="FR158" s="248"/>
      <c r="FS158" s="248"/>
      <c r="FT158" s="248"/>
      <c r="FU158" s="248"/>
      <c r="FV158" s="248"/>
      <c r="FW158" s="248"/>
      <c r="FX158" s="248"/>
      <c r="FY158" s="248"/>
      <c r="FZ158" s="248"/>
      <c r="GA158" s="248"/>
      <c r="GB158" s="248"/>
      <c r="GC158" s="248"/>
      <c r="GD158" s="248"/>
      <c r="GE158" s="248"/>
      <c r="GF158" s="248"/>
      <c r="GG158" s="248"/>
      <c r="GH158" s="248"/>
      <c r="GI158" s="248"/>
      <c r="GJ158" s="248"/>
      <c r="GK158" s="248"/>
      <c r="GL158" s="248"/>
      <c r="GM158" s="248"/>
      <c r="GN158" s="248"/>
      <c r="GO158" s="248"/>
      <c r="GP158" s="248"/>
      <c r="GQ158" s="248"/>
      <c r="GR158" s="248"/>
      <c r="GS158" s="248"/>
      <c r="GT158" s="248"/>
      <c r="GU158" s="248"/>
      <c r="GV158" s="248"/>
      <c r="GW158" s="248"/>
      <c r="GX158" s="248"/>
      <c r="GY158" s="248"/>
      <c r="GZ158" s="248"/>
      <c r="HA158" s="248"/>
      <c r="HB158" s="248"/>
      <c r="HC158" s="248"/>
      <c r="HD158" s="248"/>
      <c r="HE158" s="248"/>
      <c r="HF158" s="248"/>
      <c r="HG158" s="248"/>
      <c r="HH158" s="248"/>
      <c r="HI158" s="248"/>
      <c r="HJ158" s="248"/>
      <c r="HK158" s="248"/>
      <c r="HL158" s="248"/>
      <c r="HM158" s="248"/>
      <c r="HN158" s="248"/>
      <c r="HO158" s="248"/>
      <c r="HP158" s="248"/>
      <c r="HQ158" s="248"/>
      <c r="HR158" s="248"/>
      <c r="HS158" s="248"/>
      <c r="HT158" s="248"/>
      <c r="HU158" s="248"/>
      <c r="HV158" s="248"/>
      <c r="HW158" s="248"/>
      <c r="HX158" s="248"/>
      <c r="HY158" s="248"/>
      <c r="HZ158" s="248"/>
      <c r="IA158" s="248"/>
      <c r="IB158" s="248"/>
      <c r="IC158" s="248"/>
      <c r="ID158" s="248"/>
      <c r="IE158" s="248"/>
      <c r="IF158" s="248"/>
      <c r="IG158" s="248"/>
      <c r="IH158" s="248"/>
      <c r="II158" s="248"/>
      <c r="IJ158" s="248"/>
      <c r="IK158" s="248"/>
      <c r="IL158" s="248"/>
      <c r="IM158" s="248"/>
      <c r="IN158" s="248"/>
    </row>
    <row r="159" spans="1:248" s="164" customFormat="1">
      <c r="A159" s="242"/>
      <c r="B159" s="248"/>
      <c r="C159" s="248"/>
      <c r="D159" s="316"/>
      <c r="E159" s="316"/>
      <c r="F159" s="248"/>
      <c r="G159" s="316"/>
      <c r="H159" s="248"/>
      <c r="I159" s="248"/>
      <c r="J159" s="279"/>
      <c r="K159" s="35"/>
      <c r="L159" s="35"/>
      <c r="M159" s="35"/>
      <c r="N159" s="35"/>
      <c r="O159" s="58"/>
      <c r="P159" s="35"/>
      <c r="Q159" s="35"/>
      <c r="R159" s="248"/>
      <c r="S159" s="248"/>
      <c r="T159" s="248"/>
      <c r="U159" s="248"/>
      <c r="V159" s="248"/>
      <c r="W159" s="313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48"/>
      <c r="BF159" s="248"/>
      <c r="BG159" s="248"/>
      <c r="BH159" s="248"/>
      <c r="BI159" s="248"/>
      <c r="BJ159" s="248"/>
      <c r="BK159" s="248"/>
      <c r="BL159" s="248"/>
      <c r="BM159" s="248"/>
      <c r="BN159" s="248"/>
      <c r="BO159" s="248"/>
      <c r="BP159" s="248"/>
      <c r="BQ159" s="248"/>
      <c r="BR159" s="248"/>
      <c r="BS159" s="248"/>
      <c r="BT159" s="248"/>
      <c r="BU159" s="248"/>
      <c r="BV159" s="248"/>
      <c r="BW159" s="248"/>
      <c r="BX159" s="248"/>
      <c r="BY159" s="248"/>
      <c r="BZ159" s="248"/>
      <c r="CA159" s="248"/>
      <c r="CB159" s="248"/>
      <c r="CC159" s="248"/>
      <c r="CD159" s="248"/>
      <c r="CE159" s="248"/>
      <c r="CF159" s="248"/>
      <c r="CG159" s="248"/>
      <c r="CH159" s="248"/>
      <c r="CI159" s="248"/>
      <c r="CJ159" s="248"/>
      <c r="CK159" s="248"/>
      <c r="CL159" s="248"/>
      <c r="CM159" s="248"/>
      <c r="CN159" s="248"/>
      <c r="CO159" s="248"/>
      <c r="CP159" s="248"/>
      <c r="CQ159" s="248"/>
      <c r="CR159" s="248"/>
      <c r="CS159" s="248"/>
      <c r="CT159" s="248"/>
      <c r="CU159" s="248"/>
      <c r="CV159" s="248"/>
      <c r="CW159" s="248"/>
      <c r="CX159" s="248"/>
      <c r="CY159" s="248"/>
      <c r="CZ159" s="248"/>
      <c r="DA159" s="248"/>
      <c r="DB159" s="248"/>
      <c r="DC159" s="248"/>
      <c r="DD159" s="248"/>
      <c r="DE159" s="248"/>
      <c r="DF159" s="248"/>
      <c r="DG159" s="248"/>
      <c r="DH159" s="248"/>
      <c r="DI159" s="248"/>
      <c r="DJ159" s="248"/>
      <c r="DK159" s="248"/>
      <c r="DL159" s="248"/>
      <c r="DM159" s="248"/>
      <c r="DN159" s="248"/>
      <c r="DO159" s="248"/>
      <c r="DP159" s="248"/>
      <c r="DQ159" s="248"/>
      <c r="DR159" s="248"/>
      <c r="DS159" s="248"/>
      <c r="DT159" s="248"/>
      <c r="DU159" s="248"/>
      <c r="DV159" s="248"/>
      <c r="DW159" s="248"/>
      <c r="DX159" s="248"/>
      <c r="DY159" s="248"/>
      <c r="DZ159" s="248"/>
      <c r="EA159" s="248"/>
      <c r="EB159" s="248"/>
      <c r="EC159" s="248"/>
      <c r="ED159" s="248"/>
      <c r="EE159" s="248"/>
      <c r="EF159" s="248"/>
      <c r="EG159" s="248"/>
      <c r="EH159" s="248"/>
      <c r="EI159" s="248"/>
      <c r="EJ159" s="248"/>
      <c r="EK159" s="248"/>
      <c r="EL159" s="248"/>
      <c r="EM159" s="248"/>
      <c r="EN159" s="248"/>
      <c r="EO159" s="248"/>
      <c r="EP159" s="248"/>
      <c r="EQ159" s="248"/>
      <c r="ER159" s="248"/>
      <c r="ES159" s="248"/>
      <c r="ET159" s="248"/>
      <c r="EU159" s="248"/>
      <c r="EV159" s="248"/>
      <c r="EW159" s="248"/>
      <c r="EX159" s="248"/>
      <c r="EY159" s="248"/>
      <c r="EZ159" s="248"/>
      <c r="FA159" s="248"/>
      <c r="FB159" s="248"/>
      <c r="FC159" s="248"/>
      <c r="FD159" s="248"/>
      <c r="FE159" s="248"/>
      <c r="FF159" s="248"/>
      <c r="FG159" s="248"/>
      <c r="FH159" s="248"/>
      <c r="FI159" s="248"/>
      <c r="FJ159" s="248"/>
      <c r="FK159" s="248"/>
      <c r="FL159" s="248"/>
      <c r="FM159" s="248"/>
      <c r="FN159" s="248"/>
      <c r="FO159" s="248"/>
      <c r="FP159" s="248"/>
      <c r="FQ159" s="248"/>
      <c r="FR159" s="248"/>
      <c r="FS159" s="248"/>
      <c r="FT159" s="248"/>
      <c r="FU159" s="248"/>
      <c r="FV159" s="248"/>
      <c r="FW159" s="248"/>
      <c r="FX159" s="248"/>
      <c r="FY159" s="248"/>
      <c r="FZ159" s="248"/>
      <c r="GA159" s="248"/>
      <c r="GB159" s="248"/>
      <c r="GC159" s="248"/>
      <c r="GD159" s="248"/>
      <c r="GE159" s="248"/>
      <c r="GF159" s="248"/>
      <c r="GG159" s="248"/>
      <c r="GH159" s="248"/>
      <c r="GI159" s="248"/>
      <c r="GJ159" s="248"/>
      <c r="GK159" s="248"/>
      <c r="GL159" s="248"/>
      <c r="GM159" s="248"/>
      <c r="GN159" s="248"/>
      <c r="GO159" s="248"/>
      <c r="GP159" s="248"/>
      <c r="GQ159" s="248"/>
      <c r="GR159" s="248"/>
      <c r="GS159" s="248"/>
      <c r="GT159" s="248"/>
      <c r="GU159" s="248"/>
      <c r="GV159" s="248"/>
      <c r="GW159" s="248"/>
      <c r="GX159" s="248"/>
      <c r="GY159" s="248"/>
      <c r="GZ159" s="248"/>
      <c r="HA159" s="248"/>
      <c r="HB159" s="248"/>
      <c r="HC159" s="248"/>
      <c r="HD159" s="248"/>
      <c r="HE159" s="248"/>
      <c r="HF159" s="248"/>
      <c r="HG159" s="248"/>
      <c r="HH159" s="248"/>
      <c r="HI159" s="248"/>
      <c r="HJ159" s="248"/>
      <c r="HK159" s="248"/>
      <c r="HL159" s="248"/>
      <c r="HM159" s="248"/>
      <c r="HN159" s="248"/>
      <c r="HO159" s="248"/>
      <c r="HP159" s="248"/>
      <c r="HQ159" s="248"/>
      <c r="HR159" s="248"/>
      <c r="HS159" s="248"/>
      <c r="HT159" s="248"/>
      <c r="HU159" s="248"/>
      <c r="HV159" s="248"/>
      <c r="HW159" s="248"/>
      <c r="HX159" s="248"/>
      <c r="HY159" s="248"/>
      <c r="HZ159" s="248"/>
      <c r="IA159" s="248"/>
      <c r="IB159" s="248"/>
      <c r="IC159" s="248"/>
      <c r="ID159" s="248"/>
      <c r="IE159" s="248"/>
      <c r="IF159" s="248"/>
      <c r="IG159" s="248"/>
      <c r="IH159" s="248"/>
      <c r="II159" s="248"/>
      <c r="IJ159" s="248"/>
      <c r="IK159" s="248"/>
      <c r="IL159" s="248"/>
      <c r="IM159" s="248"/>
      <c r="IN159" s="248"/>
    </row>
    <row r="160" spans="1:248" s="164" customFormat="1">
      <c r="A160" s="242"/>
      <c r="B160" s="248"/>
      <c r="C160" s="248"/>
      <c r="D160" s="316"/>
      <c r="E160" s="316"/>
      <c r="F160" s="248"/>
      <c r="G160" s="316"/>
      <c r="H160" s="248"/>
      <c r="I160" s="248"/>
      <c r="J160" s="279"/>
      <c r="K160" s="35"/>
      <c r="L160" s="35"/>
      <c r="M160" s="35"/>
      <c r="N160" s="35"/>
      <c r="O160" s="58"/>
      <c r="P160" s="35"/>
      <c r="Q160" s="35"/>
      <c r="R160" s="248"/>
      <c r="S160" s="248"/>
      <c r="T160" s="248"/>
      <c r="U160" s="248"/>
      <c r="V160" s="248"/>
      <c r="W160" s="313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48"/>
      <c r="BF160" s="248"/>
      <c r="BG160" s="248"/>
      <c r="BH160" s="248"/>
      <c r="BI160" s="248"/>
      <c r="BJ160" s="248"/>
      <c r="BK160" s="248"/>
      <c r="BL160" s="248"/>
      <c r="BM160" s="248"/>
      <c r="BN160" s="248"/>
      <c r="BO160" s="248"/>
      <c r="BP160" s="248"/>
      <c r="BQ160" s="248"/>
      <c r="BR160" s="248"/>
      <c r="BS160" s="248"/>
      <c r="BT160" s="248"/>
      <c r="BU160" s="248"/>
      <c r="BV160" s="248"/>
      <c r="BW160" s="248"/>
      <c r="BX160" s="248"/>
      <c r="BY160" s="248"/>
      <c r="BZ160" s="248"/>
      <c r="CA160" s="248"/>
      <c r="CB160" s="248"/>
      <c r="CC160" s="248"/>
      <c r="CD160" s="248"/>
      <c r="CE160" s="248"/>
      <c r="CF160" s="248"/>
      <c r="CG160" s="248"/>
      <c r="CH160" s="248"/>
      <c r="CI160" s="248"/>
      <c r="CJ160" s="248"/>
      <c r="CK160" s="248"/>
      <c r="CL160" s="248"/>
      <c r="CM160" s="248"/>
      <c r="CN160" s="248"/>
      <c r="CO160" s="248"/>
      <c r="CP160" s="248"/>
      <c r="CQ160" s="248"/>
      <c r="CR160" s="248"/>
      <c r="CS160" s="248"/>
      <c r="CT160" s="248"/>
      <c r="CU160" s="248"/>
      <c r="CV160" s="248"/>
      <c r="CW160" s="248"/>
      <c r="CX160" s="248"/>
      <c r="CY160" s="248"/>
      <c r="CZ160" s="248"/>
      <c r="DA160" s="248"/>
      <c r="DB160" s="248"/>
      <c r="DC160" s="248"/>
      <c r="DD160" s="248"/>
      <c r="DE160" s="248"/>
      <c r="DF160" s="248"/>
      <c r="DG160" s="248"/>
      <c r="DH160" s="248"/>
      <c r="DI160" s="248"/>
      <c r="DJ160" s="248"/>
      <c r="DK160" s="248"/>
      <c r="DL160" s="248"/>
      <c r="DM160" s="248"/>
      <c r="DN160" s="248"/>
      <c r="DO160" s="248"/>
      <c r="DP160" s="248"/>
      <c r="DQ160" s="248"/>
      <c r="DR160" s="248"/>
      <c r="DS160" s="248"/>
      <c r="DT160" s="248"/>
      <c r="DU160" s="248"/>
      <c r="DV160" s="248"/>
      <c r="DW160" s="248"/>
      <c r="DX160" s="248"/>
      <c r="DY160" s="248"/>
      <c r="DZ160" s="248"/>
      <c r="EA160" s="248"/>
      <c r="EB160" s="248"/>
      <c r="EC160" s="248"/>
      <c r="ED160" s="248"/>
      <c r="EE160" s="248"/>
      <c r="EF160" s="248"/>
      <c r="EG160" s="248"/>
      <c r="EH160" s="248"/>
      <c r="EI160" s="248"/>
      <c r="EJ160" s="248"/>
      <c r="EK160" s="248"/>
      <c r="EL160" s="248"/>
      <c r="EM160" s="248"/>
      <c r="EN160" s="248"/>
      <c r="EO160" s="248"/>
      <c r="EP160" s="248"/>
      <c r="EQ160" s="248"/>
      <c r="ER160" s="248"/>
      <c r="ES160" s="248"/>
      <c r="ET160" s="248"/>
      <c r="EU160" s="248"/>
      <c r="EV160" s="248"/>
      <c r="EW160" s="248"/>
      <c r="EX160" s="248"/>
      <c r="EY160" s="248"/>
      <c r="EZ160" s="248"/>
      <c r="FA160" s="248"/>
      <c r="FB160" s="248"/>
      <c r="FC160" s="248"/>
      <c r="FD160" s="248"/>
      <c r="FE160" s="248"/>
      <c r="FF160" s="248"/>
      <c r="FG160" s="248"/>
      <c r="FH160" s="248"/>
      <c r="FI160" s="248"/>
      <c r="FJ160" s="248"/>
      <c r="FK160" s="248"/>
      <c r="FL160" s="248"/>
      <c r="FM160" s="248"/>
      <c r="FN160" s="248"/>
      <c r="FO160" s="248"/>
      <c r="FP160" s="248"/>
      <c r="FQ160" s="248"/>
      <c r="FR160" s="248"/>
      <c r="FS160" s="248"/>
      <c r="FT160" s="248"/>
      <c r="FU160" s="248"/>
      <c r="FV160" s="248"/>
      <c r="FW160" s="248"/>
      <c r="FX160" s="248"/>
      <c r="FY160" s="248"/>
      <c r="FZ160" s="248"/>
      <c r="GA160" s="248"/>
      <c r="GB160" s="248"/>
      <c r="GC160" s="248"/>
      <c r="GD160" s="248"/>
      <c r="GE160" s="248"/>
      <c r="GF160" s="248"/>
      <c r="GG160" s="248"/>
      <c r="GH160" s="248"/>
      <c r="GI160" s="248"/>
      <c r="GJ160" s="248"/>
      <c r="GK160" s="248"/>
      <c r="GL160" s="248"/>
      <c r="GM160" s="248"/>
      <c r="GN160" s="248"/>
      <c r="GO160" s="248"/>
      <c r="GP160" s="248"/>
      <c r="GQ160" s="248"/>
      <c r="GR160" s="248"/>
      <c r="GS160" s="248"/>
      <c r="GT160" s="248"/>
      <c r="GU160" s="248"/>
      <c r="GV160" s="248"/>
      <c r="GW160" s="248"/>
      <c r="GX160" s="248"/>
      <c r="GY160" s="248"/>
      <c r="GZ160" s="248"/>
      <c r="HA160" s="248"/>
      <c r="HB160" s="248"/>
      <c r="HC160" s="248"/>
      <c r="HD160" s="248"/>
      <c r="HE160" s="248"/>
      <c r="HF160" s="248"/>
      <c r="HG160" s="248"/>
      <c r="HH160" s="248"/>
      <c r="HI160" s="248"/>
      <c r="HJ160" s="248"/>
      <c r="HK160" s="248"/>
      <c r="HL160" s="248"/>
      <c r="HM160" s="248"/>
      <c r="HN160" s="248"/>
      <c r="HO160" s="248"/>
      <c r="HP160" s="248"/>
      <c r="HQ160" s="248"/>
      <c r="HR160" s="248"/>
      <c r="HS160" s="248"/>
      <c r="HT160" s="248"/>
      <c r="HU160" s="248"/>
      <c r="HV160" s="248"/>
      <c r="HW160" s="248"/>
      <c r="HX160" s="248"/>
      <c r="HY160" s="248"/>
      <c r="HZ160" s="248"/>
      <c r="IA160" s="248"/>
      <c r="IB160" s="248"/>
      <c r="IC160" s="248"/>
      <c r="ID160" s="248"/>
      <c r="IE160" s="248"/>
      <c r="IF160" s="248"/>
      <c r="IG160" s="248"/>
      <c r="IH160" s="248"/>
      <c r="II160" s="248"/>
      <c r="IJ160" s="248"/>
      <c r="IK160" s="248"/>
      <c r="IL160" s="248"/>
      <c r="IM160" s="248"/>
      <c r="IN160" s="248"/>
    </row>
    <row r="161" spans="1:248" s="164" customFormat="1">
      <c r="A161" s="242"/>
      <c r="B161" s="248"/>
      <c r="C161" s="248"/>
      <c r="D161" s="316"/>
      <c r="E161" s="316"/>
      <c r="F161" s="248"/>
      <c r="G161" s="316"/>
      <c r="H161" s="248"/>
      <c r="I161" s="248"/>
      <c r="J161" s="279"/>
      <c r="K161" s="35"/>
      <c r="L161" s="35"/>
      <c r="M161" s="35"/>
      <c r="N161" s="35"/>
      <c r="O161" s="58"/>
      <c r="P161" s="35"/>
      <c r="Q161" s="35"/>
      <c r="R161" s="248"/>
      <c r="S161" s="248"/>
      <c r="T161" s="248"/>
      <c r="U161" s="248"/>
      <c r="V161" s="248"/>
      <c r="W161" s="313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48"/>
      <c r="BF161" s="248"/>
      <c r="BG161" s="248"/>
      <c r="BH161" s="248"/>
      <c r="BI161" s="248"/>
      <c r="BJ161" s="248"/>
      <c r="BK161" s="248"/>
      <c r="BL161" s="248"/>
      <c r="BM161" s="248"/>
      <c r="BN161" s="248"/>
      <c r="BO161" s="248"/>
      <c r="BP161" s="248"/>
      <c r="BQ161" s="248"/>
      <c r="BR161" s="248"/>
      <c r="BS161" s="248"/>
      <c r="BT161" s="248"/>
      <c r="BU161" s="248"/>
      <c r="BV161" s="248"/>
      <c r="BW161" s="248"/>
      <c r="BX161" s="248"/>
      <c r="BY161" s="248"/>
      <c r="BZ161" s="248"/>
      <c r="CA161" s="248"/>
      <c r="CB161" s="248"/>
      <c r="CC161" s="248"/>
      <c r="CD161" s="248"/>
      <c r="CE161" s="248"/>
      <c r="CF161" s="248"/>
      <c r="CG161" s="248"/>
      <c r="CH161" s="248"/>
      <c r="CI161" s="248"/>
      <c r="CJ161" s="248"/>
      <c r="CK161" s="248"/>
      <c r="CL161" s="248"/>
      <c r="CM161" s="248"/>
      <c r="CN161" s="248"/>
      <c r="CO161" s="248"/>
      <c r="CP161" s="248"/>
      <c r="CQ161" s="248"/>
      <c r="CR161" s="248"/>
      <c r="CS161" s="248"/>
      <c r="CT161" s="248"/>
      <c r="CU161" s="248"/>
      <c r="CV161" s="248"/>
      <c r="CW161" s="248"/>
      <c r="CX161" s="248"/>
      <c r="CY161" s="248"/>
      <c r="CZ161" s="248"/>
      <c r="DA161" s="248"/>
      <c r="DB161" s="248"/>
      <c r="DC161" s="248"/>
      <c r="DD161" s="248"/>
      <c r="DE161" s="248"/>
      <c r="DF161" s="248"/>
      <c r="DG161" s="248"/>
      <c r="DH161" s="248"/>
      <c r="DI161" s="248"/>
      <c r="DJ161" s="248"/>
      <c r="DK161" s="248"/>
      <c r="DL161" s="248"/>
      <c r="DM161" s="248"/>
      <c r="DN161" s="248"/>
      <c r="DO161" s="248"/>
      <c r="DP161" s="248"/>
      <c r="DQ161" s="248"/>
      <c r="DR161" s="248"/>
      <c r="DS161" s="248"/>
      <c r="DT161" s="248"/>
      <c r="DU161" s="248"/>
      <c r="DV161" s="248"/>
      <c r="DW161" s="248"/>
      <c r="DX161" s="248"/>
      <c r="DY161" s="248"/>
      <c r="DZ161" s="248"/>
      <c r="EA161" s="248"/>
      <c r="EB161" s="248"/>
      <c r="EC161" s="248"/>
      <c r="ED161" s="248"/>
      <c r="EE161" s="248"/>
      <c r="EF161" s="248"/>
      <c r="EG161" s="248"/>
      <c r="EH161" s="248"/>
      <c r="EI161" s="248"/>
      <c r="EJ161" s="248"/>
      <c r="EK161" s="248"/>
      <c r="EL161" s="248"/>
      <c r="EM161" s="248"/>
      <c r="EN161" s="248"/>
      <c r="EO161" s="248"/>
      <c r="EP161" s="248"/>
      <c r="EQ161" s="248"/>
      <c r="ER161" s="248"/>
      <c r="ES161" s="248"/>
      <c r="ET161" s="248"/>
      <c r="EU161" s="248"/>
      <c r="EV161" s="248"/>
      <c r="EW161" s="248"/>
      <c r="EX161" s="248"/>
      <c r="EY161" s="248"/>
      <c r="EZ161" s="248"/>
      <c r="FA161" s="248"/>
      <c r="FB161" s="248"/>
      <c r="FC161" s="248"/>
      <c r="FD161" s="248"/>
      <c r="FE161" s="248"/>
      <c r="FF161" s="248"/>
      <c r="FG161" s="248"/>
      <c r="FH161" s="248"/>
      <c r="FI161" s="248"/>
      <c r="FJ161" s="248"/>
      <c r="FK161" s="248"/>
      <c r="FL161" s="248"/>
      <c r="FM161" s="248"/>
      <c r="FN161" s="248"/>
      <c r="FO161" s="248"/>
      <c r="FP161" s="248"/>
      <c r="FQ161" s="248"/>
      <c r="FR161" s="248"/>
      <c r="FS161" s="248"/>
      <c r="FT161" s="248"/>
      <c r="FU161" s="248"/>
      <c r="FV161" s="248"/>
      <c r="FW161" s="248"/>
      <c r="FX161" s="248"/>
      <c r="FY161" s="248"/>
      <c r="FZ161" s="248"/>
      <c r="GA161" s="248"/>
      <c r="GB161" s="248"/>
      <c r="GC161" s="248"/>
      <c r="GD161" s="248"/>
      <c r="GE161" s="248"/>
      <c r="GF161" s="248"/>
      <c r="GG161" s="248"/>
      <c r="GH161" s="248"/>
      <c r="GI161" s="248"/>
      <c r="GJ161" s="248"/>
      <c r="GK161" s="248"/>
      <c r="GL161" s="248"/>
      <c r="GM161" s="248"/>
      <c r="GN161" s="248"/>
      <c r="GO161" s="248"/>
      <c r="GP161" s="248"/>
      <c r="GQ161" s="248"/>
      <c r="GR161" s="248"/>
      <c r="GS161" s="248"/>
      <c r="GT161" s="248"/>
      <c r="GU161" s="248"/>
      <c r="GV161" s="248"/>
      <c r="GW161" s="248"/>
      <c r="GX161" s="248"/>
      <c r="GY161" s="248"/>
      <c r="GZ161" s="248"/>
      <c r="HA161" s="248"/>
      <c r="HB161" s="248"/>
      <c r="HC161" s="248"/>
      <c r="HD161" s="248"/>
      <c r="HE161" s="248"/>
      <c r="HF161" s="248"/>
      <c r="HG161" s="248"/>
      <c r="HH161" s="248"/>
      <c r="HI161" s="248"/>
      <c r="HJ161" s="248"/>
      <c r="HK161" s="248"/>
      <c r="HL161" s="248"/>
      <c r="HM161" s="248"/>
      <c r="HN161" s="248"/>
      <c r="HO161" s="248"/>
      <c r="HP161" s="248"/>
      <c r="HQ161" s="248"/>
      <c r="HR161" s="248"/>
      <c r="HS161" s="248"/>
      <c r="HT161" s="248"/>
      <c r="HU161" s="248"/>
      <c r="HV161" s="248"/>
      <c r="HW161" s="248"/>
      <c r="HX161" s="248"/>
      <c r="HY161" s="248"/>
      <c r="HZ161" s="248"/>
      <c r="IA161" s="248"/>
      <c r="IB161" s="248"/>
      <c r="IC161" s="248"/>
      <c r="ID161" s="248"/>
      <c r="IE161" s="248"/>
      <c r="IF161" s="248"/>
      <c r="IG161" s="248"/>
      <c r="IH161" s="248"/>
      <c r="II161" s="248"/>
      <c r="IJ161" s="248"/>
      <c r="IK161" s="248"/>
      <c r="IL161" s="248"/>
      <c r="IM161" s="248"/>
      <c r="IN161" s="248"/>
    </row>
    <row r="162" spans="1:248" s="164" customFormat="1">
      <c r="A162" s="242"/>
      <c r="B162" s="248"/>
      <c r="C162" s="248"/>
      <c r="D162" s="316"/>
      <c r="E162" s="316"/>
      <c r="F162" s="248"/>
      <c r="G162" s="316"/>
      <c r="H162" s="248"/>
      <c r="I162" s="248"/>
      <c r="J162" s="279"/>
      <c r="K162" s="35"/>
      <c r="L162" s="35"/>
      <c r="M162" s="35"/>
      <c r="N162" s="35"/>
      <c r="O162" s="58"/>
      <c r="P162" s="35"/>
      <c r="Q162" s="35"/>
      <c r="R162" s="248"/>
      <c r="S162" s="248"/>
      <c r="T162" s="248"/>
      <c r="U162" s="248"/>
      <c r="V162" s="248"/>
      <c r="W162" s="313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48"/>
      <c r="BF162" s="248"/>
      <c r="BG162" s="248"/>
      <c r="BH162" s="248"/>
      <c r="BI162" s="248"/>
      <c r="BJ162" s="248"/>
      <c r="BK162" s="248"/>
      <c r="BL162" s="248"/>
      <c r="BM162" s="248"/>
      <c r="BN162" s="248"/>
      <c r="BO162" s="248"/>
      <c r="BP162" s="248"/>
      <c r="BQ162" s="248"/>
      <c r="BR162" s="248"/>
      <c r="BS162" s="248"/>
      <c r="BT162" s="248"/>
      <c r="BU162" s="248"/>
      <c r="BV162" s="248"/>
      <c r="BW162" s="248"/>
      <c r="BX162" s="248"/>
      <c r="BY162" s="248"/>
      <c r="BZ162" s="248"/>
      <c r="CA162" s="248"/>
      <c r="CB162" s="248"/>
      <c r="CC162" s="248"/>
      <c r="CD162" s="248"/>
      <c r="CE162" s="248"/>
      <c r="CF162" s="248"/>
      <c r="CG162" s="248"/>
      <c r="CH162" s="248"/>
      <c r="CI162" s="248"/>
      <c r="CJ162" s="248"/>
      <c r="CK162" s="248"/>
      <c r="CL162" s="248"/>
      <c r="CM162" s="248"/>
      <c r="CN162" s="248"/>
      <c r="CO162" s="248"/>
      <c r="CP162" s="248"/>
      <c r="CQ162" s="248"/>
      <c r="CR162" s="248"/>
      <c r="CS162" s="248"/>
      <c r="CT162" s="248"/>
      <c r="CU162" s="248"/>
      <c r="CV162" s="248"/>
      <c r="CW162" s="248"/>
      <c r="CX162" s="248"/>
      <c r="CY162" s="248"/>
      <c r="CZ162" s="248"/>
      <c r="DA162" s="248"/>
      <c r="DB162" s="248"/>
      <c r="DC162" s="248"/>
      <c r="DD162" s="248"/>
      <c r="DE162" s="248"/>
      <c r="DF162" s="248"/>
      <c r="DG162" s="248"/>
      <c r="DH162" s="248"/>
      <c r="DI162" s="248"/>
      <c r="DJ162" s="248"/>
      <c r="DK162" s="248"/>
      <c r="DL162" s="248"/>
      <c r="DM162" s="248"/>
      <c r="DN162" s="248"/>
      <c r="DO162" s="248"/>
      <c r="DP162" s="248"/>
      <c r="DQ162" s="248"/>
      <c r="DR162" s="248"/>
      <c r="DS162" s="248"/>
      <c r="DT162" s="248"/>
      <c r="DU162" s="248"/>
      <c r="DV162" s="248"/>
      <c r="DW162" s="248"/>
      <c r="DX162" s="248"/>
      <c r="DY162" s="248"/>
      <c r="DZ162" s="248"/>
      <c r="EA162" s="248"/>
      <c r="EB162" s="248"/>
      <c r="EC162" s="248"/>
      <c r="ED162" s="248"/>
      <c r="EE162" s="248"/>
      <c r="EF162" s="248"/>
      <c r="EG162" s="248"/>
      <c r="EH162" s="248"/>
      <c r="EI162" s="248"/>
      <c r="EJ162" s="248"/>
      <c r="EK162" s="248"/>
      <c r="EL162" s="248"/>
      <c r="EM162" s="248"/>
      <c r="EN162" s="248"/>
      <c r="EO162" s="248"/>
      <c r="EP162" s="248"/>
      <c r="EQ162" s="248"/>
      <c r="ER162" s="248"/>
      <c r="ES162" s="248"/>
      <c r="ET162" s="248"/>
      <c r="EU162" s="248"/>
      <c r="EV162" s="248"/>
      <c r="EW162" s="248"/>
      <c r="EX162" s="248"/>
      <c r="EY162" s="248"/>
      <c r="EZ162" s="248"/>
      <c r="FA162" s="248"/>
      <c r="FB162" s="248"/>
      <c r="FC162" s="248"/>
      <c r="FD162" s="248"/>
      <c r="FE162" s="248"/>
      <c r="FF162" s="248"/>
      <c r="FG162" s="248"/>
      <c r="FH162" s="248"/>
      <c r="FI162" s="248"/>
      <c r="FJ162" s="248"/>
      <c r="FK162" s="248"/>
      <c r="FL162" s="248"/>
      <c r="FM162" s="248"/>
      <c r="FN162" s="248"/>
      <c r="FO162" s="248"/>
      <c r="FP162" s="248"/>
      <c r="FQ162" s="248"/>
      <c r="FR162" s="248"/>
      <c r="FS162" s="248"/>
      <c r="FT162" s="248"/>
      <c r="FU162" s="248"/>
      <c r="FV162" s="248"/>
      <c r="FW162" s="248"/>
      <c r="FX162" s="248"/>
      <c r="FY162" s="248"/>
      <c r="FZ162" s="248"/>
      <c r="GA162" s="248"/>
      <c r="GB162" s="248"/>
      <c r="GC162" s="248"/>
      <c r="GD162" s="248"/>
      <c r="GE162" s="248"/>
      <c r="GF162" s="248"/>
      <c r="GG162" s="248"/>
      <c r="GH162" s="248"/>
      <c r="GI162" s="248"/>
      <c r="GJ162" s="248"/>
      <c r="GK162" s="248"/>
      <c r="GL162" s="248"/>
      <c r="GM162" s="248"/>
      <c r="GN162" s="248"/>
      <c r="GO162" s="248"/>
      <c r="GP162" s="248"/>
      <c r="GQ162" s="248"/>
      <c r="GR162" s="248"/>
      <c r="GS162" s="248"/>
      <c r="GT162" s="248"/>
      <c r="GU162" s="248"/>
      <c r="GV162" s="248"/>
      <c r="GW162" s="248"/>
      <c r="GX162" s="248"/>
      <c r="GY162" s="248"/>
      <c r="GZ162" s="248"/>
      <c r="HA162" s="248"/>
      <c r="HB162" s="248"/>
      <c r="HC162" s="248"/>
      <c r="HD162" s="248"/>
      <c r="HE162" s="248"/>
      <c r="HF162" s="248"/>
      <c r="HG162" s="248"/>
      <c r="HH162" s="248"/>
      <c r="HI162" s="248"/>
      <c r="HJ162" s="248"/>
      <c r="HK162" s="248"/>
      <c r="HL162" s="248"/>
      <c r="HM162" s="248"/>
      <c r="HN162" s="248"/>
      <c r="HO162" s="248"/>
      <c r="HP162" s="248"/>
      <c r="HQ162" s="248"/>
      <c r="HR162" s="248"/>
      <c r="HS162" s="248"/>
      <c r="HT162" s="248"/>
      <c r="HU162" s="248"/>
      <c r="HV162" s="248"/>
      <c r="HW162" s="248"/>
      <c r="HX162" s="248"/>
      <c r="HY162" s="248"/>
      <c r="HZ162" s="248"/>
      <c r="IA162" s="248"/>
      <c r="IB162" s="248"/>
      <c r="IC162" s="248"/>
      <c r="ID162" s="248"/>
      <c r="IE162" s="248"/>
      <c r="IF162" s="248"/>
      <c r="IG162" s="248"/>
      <c r="IH162" s="248"/>
      <c r="II162" s="248"/>
      <c r="IJ162" s="248"/>
      <c r="IK162" s="248"/>
      <c r="IL162" s="248"/>
      <c r="IM162" s="248"/>
      <c r="IN162" s="248"/>
    </row>
    <row r="163" spans="1:248" s="164" customFormat="1">
      <c r="A163" s="242"/>
      <c r="B163" s="248"/>
      <c r="C163" s="248"/>
      <c r="D163" s="316"/>
      <c r="E163" s="316"/>
      <c r="F163" s="248"/>
      <c r="G163" s="316"/>
      <c r="H163" s="248"/>
      <c r="I163" s="248"/>
      <c r="J163" s="279"/>
      <c r="K163" s="35"/>
      <c r="L163" s="35"/>
      <c r="M163" s="35"/>
      <c r="N163" s="35"/>
      <c r="O163" s="58"/>
      <c r="P163" s="35"/>
      <c r="Q163" s="35"/>
      <c r="R163" s="248"/>
      <c r="S163" s="248"/>
      <c r="T163" s="248"/>
      <c r="U163" s="248"/>
      <c r="V163" s="248"/>
      <c r="W163" s="313"/>
      <c r="X163" s="248"/>
      <c r="Y163" s="248"/>
      <c r="Z163" s="248"/>
      <c r="AA163" s="248"/>
      <c r="AB163" s="248"/>
      <c r="AC163" s="248"/>
      <c r="AD163" s="248"/>
      <c r="AE163" s="248"/>
      <c r="AF163" s="248"/>
      <c r="AG163" s="248"/>
      <c r="AH163" s="248"/>
      <c r="AI163" s="248"/>
      <c r="AJ163" s="248"/>
      <c r="AK163" s="248"/>
      <c r="AL163" s="248"/>
      <c r="AM163" s="248"/>
      <c r="AN163" s="248"/>
      <c r="AO163" s="248"/>
      <c r="AP163" s="248"/>
      <c r="AQ163" s="248"/>
      <c r="AR163" s="248"/>
      <c r="AS163" s="248"/>
      <c r="AT163" s="248"/>
      <c r="AU163" s="248"/>
      <c r="AV163" s="248"/>
      <c r="AW163" s="248"/>
      <c r="AX163" s="248"/>
      <c r="AY163" s="248"/>
      <c r="AZ163" s="248"/>
      <c r="BA163" s="248"/>
      <c r="BB163" s="248"/>
      <c r="BC163" s="248"/>
      <c r="BD163" s="248"/>
      <c r="BE163" s="248"/>
      <c r="BF163" s="248"/>
      <c r="BG163" s="248"/>
      <c r="BH163" s="248"/>
      <c r="BI163" s="248"/>
      <c r="BJ163" s="248"/>
      <c r="BK163" s="248"/>
      <c r="BL163" s="248"/>
      <c r="BM163" s="248"/>
      <c r="BN163" s="248"/>
      <c r="BO163" s="248"/>
      <c r="BP163" s="248"/>
      <c r="BQ163" s="248"/>
      <c r="BR163" s="248"/>
      <c r="BS163" s="248"/>
      <c r="BT163" s="248"/>
      <c r="BU163" s="248"/>
      <c r="BV163" s="248"/>
      <c r="BW163" s="248"/>
      <c r="BX163" s="248"/>
      <c r="BY163" s="248"/>
      <c r="BZ163" s="248"/>
      <c r="CA163" s="248"/>
      <c r="CB163" s="248"/>
      <c r="CC163" s="248"/>
      <c r="CD163" s="248"/>
      <c r="CE163" s="248"/>
      <c r="CF163" s="248"/>
      <c r="CG163" s="248"/>
      <c r="CH163" s="248"/>
      <c r="CI163" s="248"/>
      <c r="CJ163" s="248"/>
      <c r="CK163" s="248"/>
      <c r="CL163" s="248"/>
      <c r="CM163" s="248"/>
      <c r="CN163" s="248"/>
      <c r="CO163" s="248"/>
      <c r="CP163" s="248"/>
      <c r="CQ163" s="248"/>
      <c r="CR163" s="248"/>
      <c r="CS163" s="248"/>
      <c r="CT163" s="248"/>
      <c r="CU163" s="248"/>
      <c r="CV163" s="248"/>
      <c r="CW163" s="248"/>
      <c r="CX163" s="248"/>
      <c r="CY163" s="248"/>
      <c r="CZ163" s="248"/>
      <c r="DA163" s="248"/>
      <c r="DB163" s="248"/>
      <c r="DC163" s="248"/>
      <c r="DD163" s="248"/>
      <c r="DE163" s="248"/>
      <c r="DF163" s="248"/>
      <c r="DG163" s="248"/>
      <c r="DH163" s="248"/>
      <c r="DI163" s="248"/>
      <c r="DJ163" s="248"/>
      <c r="DK163" s="248"/>
      <c r="DL163" s="248"/>
      <c r="DM163" s="248"/>
      <c r="DN163" s="248"/>
      <c r="DO163" s="248"/>
      <c r="DP163" s="248"/>
      <c r="DQ163" s="248"/>
      <c r="DR163" s="248"/>
      <c r="DS163" s="248"/>
      <c r="DT163" s="248"/>
      <c r="DU163" s="248"/>
      <c r="DV163" s="248"/>
      <c r="DW163" s="248"/>
      <c r="DX163" s="248"/>
      <c r="DY163" s="248"/>
      <c r="DZ163" s="248"/>
      <c r="EA163" s="248"/>
      <c r="EB163" s="248"/>
      <c r="EC163" s="248"/>
      <c r="ED163" s="248"/>
      <c r="EE163" s="248"/>
      <c r="EF163" s="248"/>
      <c r="EG163" s="248"/>
      <c r="EH163" s="248"/>
      <c r="EI163" s="248"/>
      <c r="EJ163" s="248"/>
      <c r="EK163" s="248"/>
      <c r="EL163" s="248"/>
      <c r="EM163" s="248"/>
      <c r="EN163" s="248"/>
      <c r="EO163" s="248"/>
      <c r="EP163" s="248"/>
      <c r="EQ163" s="248"/>
      <c r="ER163" s="248"/>
      <c r="ES163" s="248"/>
      <c r="ET163" s="248"/>
      <c r="EU163" s="248"/>
      <c r="EV163" s="248"/>
      <c r="EW163" s="248"/>
      <c r="EX163" s="248"/>
      <c r="EY163" s="248"/>
      <c r="EZ163" s="248"/>
      <c r="FA163" s="248"/>
      <c r="FB163" s="248"/>
      <c r="FC163" s="248"/>
      <c r="FD163" s="248"/>
      <c r="FE163" s="248"/>
      <c r="FF163" s="248"/>
      <c r="FG163" s="248"/>
      <c r="FH163" s="248"/>
      <c r="FI163" s="248"/>
      <c r="FJ163" s="248"/>
      <c r="FK163" s="248"/>
      <c r="FL163" s="248"/>
      <c r="FM163" s="248"/>
      <c r="FN163" s="248"/>
      <c r="FO163" s="248"/>
      <c r="FP163" s="248"/>
      <c r="FQ163" s="248"/>
      <c r="FR163" s="248"/>
      <c r="FS163" s="248"/>
      <c r="FT163" s="248"/>
      <c r="FU163" s="248"/>
      <c r="FV163" s="248"/>
      <c r="FW163" s="248"/>
      <c r="FX163" s="248"/>
      <c r="FY163" s="248"/>
      <c r="FZ163" s="248"/>
      <c r="GA163" s="248"/>
      <c r="GB163" s="248"/>
      <c r="GC163" s="248"/>
      <c r="GD163" s="248"/>
      <c r="GE163" s="248"/>
      <c r="GF163" s="248"/>
      <c r="GG163" s="248"/>
      <c r="GH163" s="248"/>
      <c r="GI163" s="248"/>
      <c r="GJ163" s="248"/>
      <c r="GK163" s="248"/>
      <c r="GL163" s="248"/>
      <c r="GM163" s="248"/>
      <c r="GN163" s="248"/>
      <c r="GO163" s="248"/>
      <c r="GP163" s="248"/>
      <c r="GQ163" s="248"/>
      <c r="GR163" s="248"/>
      <c r="GS163" s="248"/>
      <c r="GT163" s="248"/>
      <c r="GU163" s="248"/>
      <c r="GV163" s="248"/>
      <c r="GW163" s="248"/>
      <c r="GX163" s="248"/>
      <c r="GY163" s="248"/>
      <c r="GZ163" s="248"/>
      <c r="HA163" s="248"/>
      <c r="HB163" s="248"/>
      <c r="HC163" s="248"/>
      <c r="HD163" s="248"/>
      <c r="HE163" s="248"/>
      <c r="HF163" s="248"/>
      <c r="HG163" s="248"/>
      <c r="HH163" s="248"/>
      <c r="HI163" s="248"/>
      <c r="HJ163" s="248"/>
      <c r="HK163" s="248"/>
      <c r="HL163" s="248"/>
      <c r="HM163" s="248"/>
      <c r="HN163" s="248"/>
      <c r="HO163" s="248"/>
      <c r="HP163" s="248"/>
      <c r="HQ163" s="248"/>
      <c r="HR163" s="248"/>
      <c r="HS163" s="248"/>
      <c r="HT163" s="248"/>
      <c r="HU163" s="248"/>
      <c r="HV163" s="248"/>
      <c r="HW163" s="248"/>
      <c r="HX163" s="248"/>
      <c r="HY163" s="248"/>
      <c r="HZ163" s="248"/>
      <c r="IA163" s="248"/>
      <c r="IB163" s="248"/>
      <c r="IC163" s="248"/>
      <c r="ID163" s="248"/>
      <c r="IE163" s="248"/>
      <c r="IF163" s="248"/>
      <c r="IG163" s="248"/>
      <c r="IH163" s="248"/>
      <c r="II163" s="248"/>
      <c r="IJ163" s="248"/>
      <c r="IK163" s="248"/>
      <c r="IL163" s="248"/>
      <c r="IM163" s="248"/>
      <c r="IN163" s="248"/>
    </row>
    <row r="164" spans="1:248" s="164" customFormat="1">
      <c r="A164" s="242"/>
      <c r="B164" s="248"/>
      <c r="C164" s="248"/>
      <c r="D164" s="316"/>
      <c r="E164" s="316"/>
      <c r="F164" s="248"/>
      <c r="G164" s="316"/>
      <c r="H164" s="248"/>
      <c r="I164" s="248"/>
      <c r="J164" s="279"/>
      <c r="K164" s="35"/>
      <c r="L164" s="35"/>
      <c r="M164" s="35"/>
      <c r="N164" s="35"/>
      <c r="O164" s="58"/>
      <c r="P164" s="35"/>
      <c r="Q164" s="35"/>
      <c r="R164" s="248"/>
      <c r="S164" s="248"/>
      <c r="T164" s="248"/>
      <c r="U164" s="248"/>
      <c r="V164" s="248"/>
      <c r="W164" s="313"/>
      <c r="X164" s="248"/>
      <c r="Y164" s="248"/>
      <c r="Z164" s="248"/>
      <c r="AA164" s="248"/>
      <c r="AB164" s="248"/>
      <c r="AC164" s="248"/>
      <c r="AD164" s="248"/>
      <c r="AE164" s="248"/>
      <c r="AF164" s="248"/>
      <c r="AG164" s="248"/>
      <c r="AH164" s="248"/>
      <c r="AI164" s="248"/>
      <c r="AJ164" s="248"/>
      <c r="AK164" s="248"/>
      <c r="AL164" s="248"/>
      <c r="AM164" s="248"/>
      <c r="AN164" s="248"/>
      <c r="AO164" s="248"/>
      <c r="AP164" s="248"/>
      <c r="AQ164" s="248"/>
      <c r="AR164" s="248"/>
      <c r="AS164" s="248"/>
      <c r="AT164" s="248"/>
      <c r="AU164" s="248"/>
      <c r="AV164" s="248"/>
      <c r="AW164" s="248"/>
      <c r="AX164" s="248"/>
      <c r="AY164" s="248"/>
      <c r="AZ164" s="248"/>
      <c r="BA164" s="248"/>
      <c r="BB164" s="248"/>
      <c r="BC164" s="248"/>
      <c r="BD164" s="248"/>
      <c r="BE164" s="248"/>
      <c r="BF164" s="248"/>
      <c r="BG164" s="248"/>
      <c r="BH164" s="248"/>
      <c r="BI164" s="248"/>
      <c r="BJ164" s="248"/>
      <c r="BK164" s="248"/>
      <c r="BL164" s="248"/>
      <c r="BM164" s="248"/>
      <c r="BN164" s="248"/>
      <c r="BO164" s="248"/>
      <c r="BP164" s="248"/>
      <c r="BQ164" s="248"/>
      <c r="BR164" s="248"/>
      <c r="BS164" s="248"/>
      <c r="BT164" s="248"/>
      <c r="BU164" s="248"/>
      <c r="BV164" s="248"/>
      <c r="BW164" s="248"/>
      <c r="BX164" s="248"/>
      <c r="BY164" s="248"/>
      <c r="BZ164" s="248"/>
      <c r="CA164" s="248"/>
      <c r="CB164" s="248"/>
      <c r="CC164" s="248"/>
      <c r="CD164" s="248"/>
      <c r="CE164" s="248"/>
      <c r="CF164" s="248"/>
      <c r="CG164" s="248"/>
      <c r="CH164" s="248"/>
      <c r="CI164" s="248"/>
      <c r="CJ164" s="248"/>
      <c r="CK164" s="248"/>
      <c r="CL164" s="248"/>
      <c r="CM164" s="248"/>
      <c r="CN164" s="248"/>
      <c r="CO164" s="248"/>
      <c r="CP164" s="248"/>
      <c r="CQ164" s="248"/>
      <c r="CR164" s="248"/>
      <c r="CS164" s="248"/>
      <c r="CT164" s="248"/>
      <c r="CU164" s="248"/>
      <c r="CV164" s="248"/>
      <c r="CW164" s="248"/>
      <c r="CX164" s="248"/>
      <c r="CY164" s="248"/>
      <c r="CZ164" s="248"/>
      <c r="DA164" s="248"/>
      <c r="DB164" s="248"/>
      <c r="DC164" s="248"/>
      <c r="DD164" s="248"/>
      <c r="DE164" s="248"/>
      <c r="DF164" s="248"/>
      <c r="DG164" s="248"/>
      <c r="DH164" s="248"/>
      <c r="DI164" s="248"/>
      <c r="DJ164" s="248"/>
      <c r="DK164" s="248"/>
      <c r="DL164" s="248"/>
      <c r="DM164" s="248"/>
      <c r="DN164" s="248"/>
      <c r="DO164" s="248"/>
      <c r="DP164" s="248"/>
      <c r="DQ164" s="248"/>
      <c r="DR164" s="248"/>
      <c r="DS164" s="248"/>
      <c r="DT164" s="248"/>
      <c r="DU164" s="248"/>
      <c r="DV164" s="248"/>
      <c r="DW164" s="248"/>
      <c r="DX164" s="248"/>
      <c r="DY164" s="248"/>
      <c r="DZ164" s="248"/>
      <c r="EA164" s="248"/>
      <c r="EB164" s="248"/>
      <c r="EC164" s="248"/>
      <c r="ED164" s="248"/>
      <c r="EE164" s="248"/>
      <c r="EF164" s="248"/>
      <c r="EG164" s="248"/>
      <c r="EH164" s="248"/>
      <c r="EI164" s="248"/>
      <c r="EJ164" s="248"/>
      <c r="EK164" s="248"/>
      <c r="EL164" s="248"/>
      <c r="EM164" s="248"/>
      <c r="EN164" s="248"/>
      <c r="EO164" s="248"/>
      <c r="EP164" s="248"/>
      <c r="EQ164" s="248"/>
      <c r="ER164" s="248"/>
      <c r="ES164" s="248"/>
      <c r="ET164" s="248"/>
      <c r="EU164" s="248"/>
      <c r="EV164" s="248"/>
      <c r="EW164" s="248"/>
      <c r="EX164" s="248"/>
      <c r="EY164" s="248"/>
      <c r="EZ164" s="248"/>
      <c r="FA164" s="248"/>
      <c r="FB164" s="248"/>
      <c r="FC164" s="248"/>
      <c r="FD164" s="248"/>
      <c r="FE164" s="248"/>
      <c r="FF164" s="248"/>
      <c r="FG164" s="248"/>
      <c r="FH164" s="248"/>
      <c r="FI164" s="248"/>
      <c r="FJ164" s="248"/>
      <c r="FK164" s="248"/>
      <c r="FL164" s="248"/>
      <c r="FM164" s="248"/>
      <c r="FN164" s="248"/>
      <c r="FO164" s="248"/>
      <c r="FP164" s="248"/>
      <c r="FQ164" s="248"/>
      <c r="FR164" s="248"/>
      <c r="FS164" s="248"/>
      <c r="FT164" s="248"/>
      <c r="FU164" s="248"/>
      <c r="FV164" s="248"/>
      <c r="FW164" s="248"/>
      <c r="FX164" s="248"/>
      <c r="FY164" s="248"/>
      <c r="FZ164" s="248"/>
      <c r="GA164" s="248"/>
      <c r="GB164" s="248"/>
      <c r="GC164" s="248"/>
      <c r="GD164" s="248"/>
      <c r="GE164" s="248"/>
      <c r="GF164" s="248"/>
      <c r="GG164" s="248"/>
      <c r="GH164" s="248"/>
      <c r="GI164" s="248"/>
      <c r="GJ164" s="248"/>
      <c r="GK164" s="248"/>
      <c r="GL164" s="248"/>
      <c r="GM164" s="248"/>
      <c r="GN164" s="248"/>
      <c r="GO164" s="248"/>
      <c r="GP164" s="248"/>
      <c r="GQ164" s="248"/>
      <c r="GR164" s="248"/>
      <c r="GS164" s="248"/>
      <c r="GT164" s="248"/>
      <c r="GU164" s="248"/>
      <c r="GV164" s="248"/>
      <c r="GW164" s="248"/>
      <c r="GX164" s="248"/>
      <c r="GY164" s="248"/>
      <c r="GZ164" s="248"/>
      <c r="HA164" s="248"/>
      <c r="HB164" s="248"/>
      <c r="HC164" s="248"/>
      <c r="HD164" s="248"/>
      <c r="HE164" s="248"/>
      <c r="HF164" s="248"/>
      <c r="HG164" s="248"/>
      <c r="HH164" s="248"/>
      <c r="HI164" s="248"/>
      <c r="HJ164" s="248"/>
      <c r="HK164" s="248"/>
      <c r="HL164" s="248"/>
      <c r="HM164" s="248"/>
      <c r="HN164" s="248"/>
      <c r="HO164" s="248"/>
      <c r="HP164" s="248"/>
      <c r="HQ164" s="248"/>
      <c r="HR164" s="248"/>
      <c r="HS164" s="248"/>
      <c r="HT164" s="248"/>
      <c r="HU164" s="248"/>
      <c r="HV164" s="248"/>
      <c r="HW164" s="248"/>
      <c r="HX164" s="248"/>
      <c r="HY164" s="248"/>
      <c r="HZ164" s="248"/>
      <c r="IA164" s="248"/>
      <c r="IB164" s="248"/>
      <c r="IC164" s="248"/>
      <c r="ID164" s="248"/>
      <c r="IE164" s="248"/>
      <c r="IF164" s="248"/>
      <c r="IG164" s="248"/>
      <c r="IH164" s="248"/>
      <c r="II164" s="248"/>
      <c r="IJ164" s="248"/>
      <c r="IK164" s="248"/>
      <c r="IL164" s="248"/>
      <c r="IM164" s="248"/>
      <c r="IN164" s="248"/>
    </row>
    <row r="165" spans="1:248" s="164" customFormat="1">
      <c r="A165" s="242"/>
      <c r="B165" s="248"/>
      <c r="C165" s="248"/>
      <c r="D165" s="316"/>
      <c r="E165" s="316"/>
      <c r="F165" s="248"/>
      <c r="G165" s="316"/>
      <c r="H165" s="248"/>
      <c r="I165" s="248"/>
      <c r="J165" s="279"/>
      <c r="K165" s="35"/>
      <c r="L165" s="35"/>
      <c r="M165" s="35"/>
      <c r="N165" s="35"/>
      <c r="O165" s="58"/>
      <c r="P165" s="35"/>
      <c r="Q165" s="35"/>
      <c r="R165" s="248"/>
      <c r="S165" s="248"/>
      <c r="T165" s="248"/>
      <c r="U165" s="248"/>
      <c r="V165" s="248"/>
      <c r="W165" s="313"/>
      <c r="X165" s="248"/>
      <c r="Y165" s="248"/>
      <c r="Z165" s="248"/>
      <c r="AA165" s="248"/>
      <c r="AB165" s="248"/>
      <c r="AC165" s="248"/>
      <c r="AD165" s="248"/>
      <c r="AE165" s="248"/>
      <c r="AF165" s="248"/>
      <c r="AG165" s="248"/>
      <c r="AH165" s="248"/>
      <c r="AI165" s="248"/>
      <c r="AJ165" s="248"/>
      <c r="AK165" s="248"/>
      <c r="AL165" s="248"/>
      <c r="AM165" s="248"/>
      <c r="AN165" s="248"/>
      <c r="AO165" s="248"/>
      <c r="AP165" s="248"/>
      <c r="AQ165" s="248"/>
      <c r="AR165" s="248"/>
      <c r="AS165" s="248"/>
      <c r="AT165" s="248"/>
      <c r="AU165" s="248"/>
      <c r="AV165" s="248"/>
      <c r="AW165" s="248"/>
      <c r="AX165" s="248"/>
      <c r="AY165" s="248"/>
      <c r="AZ165" s="248"/>
      <c r="BA165" s="248"/>
      <c r="BB165" s="248"/>
      <c r="BC165" s="248"/>
      <c r="BD165" s="248"/>
      <c r="BE165" s="248"/>
      <c r="BF165" s="248"/>
      <c r="BG165" s="248"/>
      <c r="BH165" s="248"/>
      <c r="BI165" s="248"/>
      <c r="BJ165" s="248"/>
      <c r="BK165" s="248"/>
      <c r="BL165" s="248"/>
      <c r="BM165" s="248"/>
      <c r="BN165" s="248"/>
      <c r="BO165" s="248"/>
      <c r="BP165" s="248"/>
      <c r="BQ165" s="248"/>
      <c r="BR165" s="248"/>
      <c r="BS165" s="248"/>
      <c r="BT165" s="248"/>
      <c r="BU165" s="248"/>
      <c r="BV165" s="248"/>
      <c r="BW165" s="248"/>
      <c r="BX165" s="248"/>
      <c r="BY165" s="248"/>
      <c r="BZ165" s="248"/>
      <c r="CA165" s="248"/>
      <c r="CB165" s="248"/>
      <c r="CC165" s="248"/>
      <c r="CD165" s="248"/>
      <c r="CE165" s="248"/>
      <c r="CF165" s="248"/>
      <c r="CG165" s="248"/>
      <c r="CH165" s="248"/>
      <c r="CI165" s="248"/>
      <c r="CJ165" s="248"/>
      <c r="CK165" s="248"/>
      <c r="CL165" s="248"/>
      <c r="CM165" s="248"/>
      <c r="CN165" s="248"/>
      <c r="CO165" s="248"/>
      <c r="CP165" s="248"/>
      <c r="CQ165" s="248"/>
      <c r="CR165" s="248"/>
      <c r="CS165" s="248"/>
      <c r="CT165" s="248"/>
      <c r="CU165" s="248"/>
      <c r="CV165" s="248"/>
      <c r="CW165" s="248"/>
      <c r="CX165" s="248"/>
      <c r="CY165" s="248"/>
      <c r="CZ165" s="248"/>
      <c r="DA165" s="248"/>
      <c r="DB165" s="248"/>
      <c r="DC165" s="248"/>
      <c r="DD165" s="248"/>
      <c r="DE165" s="248"/>
      <c r="DF165" s="248"/>
      <c r="DG165" s="248"/>
      <c r="DH165" s="248"/>
      <c r="DI165" s="248"/>
      <c r="DJ165" s="248"/>
      <c r="DK165" s="248"/>
      <c r="DL165" s="248"/>
      <c r="DM165" s="248"/>
      <c r="DN165" s="248"/>
      <c r="DO165" s="248"/>
      <c r="DP165" s="248"/>
      <c r="DQ165" s="248"/>
      <c r="DR165" s="248"/>
      <c r="DS165" s="248"/>
      <c r="DT165" s="248"/>
      <c r="DU165" s="248"/>
      <c r="DV165" s="248"/>
      <c r="DW165" s="248"/>
      <c r="DX165" s="248"/>
      <c r="DY165" s="248"/>
      <c r="DZ165" s="248"/>
      <c r="EA165" s="248"/>
      <c r="EB165" s="248"/>
      <c r="EC165" s="248"/>
      <c r="ED165" s="248"/>
      <c r="EE165" s="248"/>
      <c r="EF165" s="248"/>
      <c r="EG165" s="248"/>
      <c r="EH165" s="248"/>
      <c r="EI165" s="248"/>
      <c r="EJ165" s="248"/>
      <c r="EK165" s="248"/>
      <c r="EL165" s="248"/>
      <c r="EM165" s="248"/>
      <c r="EN165" s="248"/>
      <c r="EO165" s="248"/>
      <c r="EP165" s="248"/>
      <c r="EQ165" s="248"/>
      <c r="ER165" s="248"/>
      <c r="ES165" s="248"/>
      <c r="ET165" s="248"/>
      <c r="EU165" s="248"/>
      <c r="EV165" s="248"/>
      <c r="EW165" s="248"/>
      <c r="EX165" s="248"/>
      <c r="EY165" s="248"/>
      <c r="EZ165" s="248"/>
      <c r="FA165" s="248"/>
      <c r="FB165" s="248"/>
      <c r="FC165" s="248"/>
      <c r="FD165" s="248"/>
      <c r="FE165" s="248"/>
      <c r="FF165" s="248"/>
      <c r="FG165" s="248"/>
      <c r="FH165" s="248"/>
      <c r="FI165" s="248"/>
      <c r="FJ165" s="248"/>
      <c r="FK165" s="248"/>
      <c r="FL165" s="248"/>
      <c r="FM165" s="248"/>
      <c r="FN165" s="248"/>
      <c r="FO165" s="248"/>
      <c r="FP165" s="248"/>
      <c r="FQ165" s="248"/>
      <c r="FR165" s="248"/>
      <c r="FS165" s="248"/>
      <c r="FT165" s="248"/>
      <c r="FU165" s="248"/>
      <c r="FV165" s="248"/>
      <c r="FW165" s="248"/>
      <c r="FX165" s="248"/>
      <c r="FY165" s="248"/>
      <c r="FZ165" s="248"/>
      <c r="GA165" s="248"/>
      <c r="GB165" s="248"/>
      <c r="GC165" s="248"/>
      <c r="GD165" s="248"/>
      <c r="GE165" s="248"/>
      <c r="GF165" s="248"/>
      <c r="GG165" s="248"/>
      <c r="GH165" s="248"/>
      <c r="GI165" s="248"/>
      <c r="GJ165" s="248"/>
      <c r="GK165" s="248"/>
      <c r="GL165" s="248"/>
      <c r="GM165" s="248"/>
      <c r="GN165" s="248"/>
      <c r="GO165" s="248"/>
      <c r="GP165" s="248"/>
      <c r="GQ165" s="248"/>
      <c r="GR165" s="248"/>
      <c r="GS165" s="248"/>
      <c r="GT165" s="248"/>
      <c r="GU165" s="248"/>
      <c r="GV165" s="248"/>
      <c r="GW165" s="248"/>
      <c r="GX165" s="248"/>
      <c r="GY165" s="248"/>
      <c r="GZ165" s="248"/>
      <c r="HA165" s="248"/>
      <c r="HB165" s="248"/>
      <c r="HC165" s="248"/>
      <c r="HD165" s="248"/>
      <c r="HE165" s="248"/>
      <c r="HF165" s="248"/>
      <c r="HG165" s="248"/>
      <c r="HH165" s="248"/>
      <c r="HI165" s="248"/>
      <c r="HJ165" s="248"/>
      <c r="HK165" s="248"/>
      <c r="HL165" s="248"/>
      <c r="HM165" s="248"/>
      <c r="HN165" s="248"/>
      <c r="HO165" s="248"/>
      <c r="HP165" s="248"/>
      <c r="HQ165" s="248"/>
      <c r="HR165" s="248"/>
      <c r="HS165" s="248"/>
      <c r="HT165" s="248"/>
      <c r="HU165" s="248"/>
      <c r="HV165" s="248"/>
      <c r="HW165" s="248"/>
      <c r="HX165" s="248"/>
      <c r="HY165" s="248"/>
      <c r="HZ165" s="248"/>
      <c r="IA165" s="248"/>
      <c r="IB165" s="248"/>
      <c r="IC165" s="248"/>
      <c r="ID165" s="248"/>
      <c r="IE165" s="248"/>
      <c r="IF165" s="248"/>
      <c r="IG165" s="248"/>
      <c r="IH165" s="248"/>
      <c r="II165" s="248"/>
      <c r="IJ165" s="248"/>
      <c r="IK165" s="248"/>
      <c r="IL165" s="248"/>
      <c r="IM165" s="248"/>
      <c r="IN165" s="248"/>
    </row>
    <row r="166" spans="1:248" s="164" customFormat="1">
      <c r="A166" s="242"/>
      <c r="B166" s="248"/>
      <c r="C166" s="248"/>
      <c r="D166" s="316"/>
      <c r="E166" s="316"/>
      <c r="F166" s="248"/>
      <c r="G166" s="316"/>
      <c r="H166" s="248"/>
      <c r="I166" s="248"/>
      <c r="J166" s="279"/>
      <c r="K166" s="35"/>
      <c r="L166" s="35"/>
      <c r="M166" s="35"/>
      <c r="N166" s="35"/>
      <c r="O166" s="58"/>
      <c r="P166" s="35"/>
      <c r="Q166" s="35"/>
      <c r="R166" s="248"/>
      <c r="S166" s="248"/>
      <c r="T166" s="248"/>
      <c r="U166" s="248"/>
      <c r="V166" s="248"/>
      <c r="W166" s="313"/>
      <c r="X166" s="248"/>
      <c r="Y166" s="248"/>
      <c r="Z166" s="248"/>
      <c r="AA166" s="248"/>
      <c r="AB166" s="248"/>
      <c r="AC166" s="248"/>
      <c r="AD166" s="248"/>
      <c r="AE166" s="248"/>
      <c r="AF166" s="248"/>
      <c r="AG166" s="248"/>
      <c r="AH166" s="248"/>
      <c r="AI166" s="248"/>
      <c r="AJ166" s="248"/>
      <c r="AK166" s="248"/>
      <c r="AL166" s="248"/>
      <c r="AM166" s="248"/>
      <c r="AN166" s="248"/>
      <c r="AO166" s="248"/>
      <c r="AP166" s="248"/>
      <c r="AQ166" s="248"/>
      <c r="AR166" s="248"/>
      <c r="AS166" s="248"/>
      <c r="AT166" s="248"/>
      <c r="AU166" s="248"/>
      <c r="AV166" s="248"/>
      <c r="AW166" s="248"/>
      <c r="AX166" s="248"/>
      <c r="AY166" s="248"/>
      <c r="AZ166" s="248"/>
      <c r="BA166" s="248"/>
      <c r="BB166" s="248"/>
      <c r="BC166" s="248"/>
      <c r="BD166" s="248"/>
      <c r="BE166" s="248"/>
      <c r="BF166" s="248"/>
      <c r="BG166" s="248"/>
      <c r="BH166" s="248"/>
      <c r="BI166" s="248"/>
      <c r="BJ166" s="248"/>
      <c r="BK166" s="248"/>
      <c r="BL166" s="248"/>
      <c r="BM166" s="248"/>
      <c r="BN166" s="248"/>
      <c r="BO166" s="248"/>
      <c r="BP166" s="248"/>
      <c r="BQ166" s="248"/>
      <c r="BR166" s="248"/>
      <c r="BS166" s="248"/>
      <c r="BT166" s="248"/>
      <c r="BU166" s="248"/>
      <c r="BV166" s="248"/>
      <c r="BW166" s="248"/>
      <c r="BX166" s="248"/>
      <c r="BY166" s="248"/>
      <c r="BZ166" s="248"/>
      <c r="CA166" s="248"/>
      <c r="CB166" s="248"/>
      <c r="CC166" s="248"/>
      <c r="CD166" s="248"/>
      <c r="CE166" s="248"/>
      <c r="CF166" s="248"/>
      <c r="CG166" s="248"/>
      <c r="CH166" s="248"/>
      <c r="CI166" s="248"/>
      <c r="CJ166" s="248"/>
      <c r="CK166" s="248"/>
      <c r="CL166" s="248"/>
      <c r="CM166" s="248"/>
      <c r="CN166" s="248"/>
      <c r="CO166" s="248"/>
      <c r="CP166" s="248"/>
      <c r="CQ166" s="248"/>
      <c r="CR166" s="248"/>
      <c r="CS166" s="248"/>
      <c r="CT166" s="248"/>
      <c r="CU166" s="248"/>
      <c r="CV166" s="248"/>
      <c r="CW166" s="248"/>
      <c r="CX166" s="248"/>
      <c r="CY166" s="248"/>
      <c r="CZ166" s="248"/>
      <c r="DA166" s="248"/>
      <c r="DB166" s="248"/>
      <c r="DC166" s="248"/>
      <c r="DD166" s="248"/>
      <c r="DE166" s="248"/>
      <c r="DF166" s="248"/>
      <c r="DG166" s="248"/>
      <c r="DH166" s="248"/>
      <c r="DI166" s="248"/>
      <c r="DJ166" s="248"/>
      <c r="DK166" s="248"/>
      <c r="DL166" s="248"/>
      <c r="DM166" s="248"/>
      <c r="DN166" s="248"/>
      <c r="DO166" s="248"/>
      <c r="DP166" s="248"/>
      <c r="DQ166" s="248"/>
      <c r="DR166" s="248"/>
      <c r="DS166" s="248"/>
      <c r="DT166" s="248"/>
      <c r="DU166" s="248"/>
      <c r="DV166" s="248"/>
      <c r="DW166" s="248"/>
      <c r="DX166" s="248"/>
      <c r="DY166" s="248"/>
      <c r="DZ166" s="248"/>
      <c r="EA166" s="248"/>
      <c r="EB166" s="248"/>
      <c r="EC166" s="248"/>
      <c r="ED166" s="248"/>
      <c r="EE166" s="248"/>
      <c r="EF166" s="248"/>
      <c r="EG166" s="248"/>
      <c r="EH166" s="248"/>
      <c r="EI166" s="248"/>
      <c r="EJ166" s="248"/>
      <c r="EK166" s="248"/>
      <c r="EL166" s="248"/>
      <c r="EM166" s="248"/>
      <c r="EN166" s="248"/>
      <c r="EO166" s="248"/>
      <c r="EP166" s="248"/>
      <c r="EQ166" s="248"/>
      <c r="ER166" s="248"/>
      <c r="ES166" s="248"/>
      <c r="ET166" s="248"/>
      <c r="EU166" s="248"/>
      <c r="EV166" s="248"/>
      <c r="EW166" s="248"/>
      <c r="EX166" s="248"/>
      <c r="EY166" s="248"/>
      <c r="EZ166" s="248"/>
      <c r="FA166" s="248"/>
      <c r="FB166" s="248"/>
      <c r="FC166" s="248"/>
      <c r="FD166" s="248"/>
      <c r="FE166" s="248"/>
      <c r="FF166" s="248"/>
      <c r="FG166" s="248"/>
      <c r="FH166" s="248"/>
      <c r="FI166" s="248"/>
      <c r="FJ166" s="248"/>
      <c r="FK166" s="248"/>
      <c r="FL166" s="248"/>
      <c r="FM166" s="248"/>
      <c r="FN166" s="248"/>
      <c r="FO166" s="248"/>
      <c r="FP166" s="248"/>
      <c r="FQ166" s="248"/>
      <c r="FR166" s="248"/>
      <c r="FS166" s="248"/>
      <c r="FT166" s="248"/>
      <c r="FU166" s="248"/>
      <c r="FV166" s="248"/>
      <c r="FW166" s="248"/>
      <c r="FX166" s="248"/>
      <c r="FY166" s="248"/>
      <c r="FZ166" s="248"/>
      <c r="GA166" s="248"/>
      <c r="GB166" s="248"/>
      <c r="GC166" s="248"/>
      <c r="GD166" s="248"/>
      <c r="GE166" s="248"/>
      <c r="GF166" s="248"/>
      <c r="GG166" s="248"/>
      <c r="GH166" s="248"/>
      <c r="GI166" s="248"/>
      <c r="GJ166" s="248"/>
      <c r="GK166" s="248"/>
      <c r="GL166" s="248"/>
      <c r="GM166" s="248"/>
      <c r="GN166" s="248"/>
      <c r="GO166" s="248"/>
      <c r="GP166" s="248"/>
      <c r="GQ166" s="248"/>
      <c r="GR166" s="248"/>
      <c r="GS166" s="248"/>
      <c r="GT166" s="248"/>
      <c r="GU166" s="248"/>
      <c r="GV166" s="248"/>
      <c r="GW166" s="248"/>
      <c r="GX166" s="248"/>
      <c r="GY166" s="248"/>
      <c r="GZ166" s="248"/>
      <c r="HA166" s="248"/>
      <c r="HB166" s="248"/>
      <c r="HC166" s="248"/>
      <c r="HD166" s="248"/>
      <c r="HE166" s="248"/>
      <c r="HF166" s="248"/>
      <c r="HG166" s="248"/>
      <c r="HH166" s="248"/>
      <c r="HI166" s="248"/>
      <c r="HJ166" s="248"/>
      <c r="HK166" s="248"/>
      <c r="HL166" s="248"/>
      <c r="HM166" s="248"/>
      <c r="HN166" s="248"/>
      <c r="HO166" s="248"/>
      <c r="HP166" s="248"/>
      <c r="HQ166" s="248"/>
      <c r="HR166" s="248"/>
      <c r="HS166" s="248"/>
      <c r="HT166" s="248"/>
      <c r="HU166" s="248"/>
      <c r="HV166" s="248"/>
      <c r="HW166" s="248"/>
      <c r="HX166" s="248"/>
      <c r="HY166" s="248"/>
      <c r="HZ166" s="248"/>
      <c r="IA166" s="248"/>
      <c r="IB166" s="248"/>
      <c r="IC166" s="248"/>
      <c r="ID166" s="248"/>
      <c r="IE166" s="248"/>
      <c r="IF166" s="248"/>
      <c r="IG166" s="248"/>
      <c r="IH166" s="248"/>
      <c r="II166" s="248"/>
      <c r="IJ166" s="248"/>
      <c r="IK166" s="248"/>
      <c r="IL166" s="248"/>
      <c r="IM166" s="248"/>
      <c r="IN166" s="248"/>
    </row>
    <row r="167" spans="1:248" s="164" customFormat="1">
      <c r="A167" s="242"/>
      <c r="B167" s="248"/>
      <c r="C167" s="248"/>
      <c r="D167" s="316"/>
      <c r="E167" s="316"/>
      <c r="F167" s="248"/>
      <c r="G167" s="316"/>
      <c r="H167" s="248"/>
      <c r="I167" s="248"/>
      <c r="J167" s="279"/>
      <c r="K167" s="35"/>
      <c r="L167" s="35"/>
      <c r="M167" s="35"/>
      <c r="N167" s="35"/>
      <c r="O167" s="58"/>
      <c r="P167" s="35"/>
      <c r="Q167" s="35"/>
      <c r="R167" s="248"/>
      <c r="S167" s="248"/>
      <c r="T167" s="248"/>
      <c r="U167" s="248"/>
      <c r="V167" s="248"/>
      <c r="W167" s="313"/>
      <c r="X167" s="248"/>
      <c r="Y167" s="248"/>
      <c r="Z167" s="248"/>
      <c r="AA167" s="248"/>
      <c r="AB167" s="248"/>
      <c r="AC167" s="248"/>
      <c r="AD167" s="248"/>
      <c r="AE167" s="248"/>
      <c r="AF167" s="248"/>
      <c r="AG167" s="248"/>
      <c r="AH167" s="248"/>
      <c r="AI167" s="248"/>
      <c r="AJ167" s="248"/>
      <c r="AK167" s="248"/>
      <c r="AL167" s="248"/>
      <c r="AM167" s="248"/>
      <c r="AN167" s="248"/>
      <c r="AO167" s="248"/>
      <c r="AP167" s="248"/>
      <c r="AQ167" s="248"/>
      <c r="AR167" s="248"/>
      <c r="AS167" s="248"/>
      <c r="AT167" s="248"/>
      <c r="AU167" s="248"/>
      <c r="AV167" s="248"/>
      <c r="AW167" s="248"/>
      <c r="AX167" s="248"/>
      <c r="AY167" s="248"/>
      <c r="AZ167" s="248"/>
      <c r="BA167" s="248"/>
      <c r="BB167" s="248"/>
      <c r="BC167" s="248"/>
      <c r="BD167" s="248"/>
      <c r="BE167" s="248"/>
      <c r="BF167" s="248"/>
      <c r="BG167" s="248"/>
      <c r="BH167" s="248"/>
      <c r="BI167" s="248"/>
      <c r="BJ167" s="248"/>
      <c r="BK167" s="248"/>
      <c r="BL167" s="248"/>
      <c r="BM167" s="248"/>
      <c r="BN167" s="248"/>
      <c r="BO167" s="248"/>
      <c r="BP167" s="248"/>
      <c r="BQ167" s="248"/>
      <c r="BR167" s="248"/>
      <c r="BS167" s="248"/>
      <c r="BT167" s="248"/>
      <c r="BU167" s="248"/>
      <c r="BV167" s="248"/>
      <c r="BW167" s="248"/>
      <c r="BX167" s="248"/>
      <c r="BY167" s="248"/>
      <c r="BZ167" s="248"/>
      <c r="CA167" s="248"/>
      <c r="CB167" s="248"/>
      <c r="CC167" s="248"/>
      <c r="CD167" s="248"/>
      <c r="CE167" s="248"/>
      <c r="CF167" s="248"/>
      <c r="CG167" s="248"/>
      <c r="CH167" s="248"/>
      <c r="CI167" s="248"/>
      <c r="CJ167" s="248"/>
      <c r="CK167" s="248"/>
      <c r="CL167" s="248"/>
      <c r="CM167" s="248"/>
      <c r="CN167" s="248"/>
      <c r="CO167" s="248"/>
      <c r="CP167" s="248"/>
      <c r="CQ167" s="248"/>
      <c r="CR167" s="248"/>
      <c r="CS167" s="248"/>
      <c r="CT167" s="248"/>
      <c r="CU167" s="248"/>
      <c r="CV167" s="248"/>
      <c r="CW167" s="248"/>
      <c r="CX167" s="248"/>
      <c r="CY167" s="248"/>
      <c r="CZ167" s="248"/>
      <c r="DA167" s="248"/>
      <c r="DB167" s="248"/>
      <c r="DC167" s="248"/>
      <c r="DD167" s="248"/>
      <c r="DE167" s="248"/>
      <c r="DF167" s="248"/>
      <c r="DG167" s="248"/>
      <c r="DH167" s="248"/>
      <c r="DI167" s="248"/>
      <c r="DJ167" s="248"/>
      <c r="DK167" s="248"/>
      <c r="DL167" s="248"/>
      <c r="DM167" s="248"/>
      <c r="DN167" s="248"/>
      <c r="DO167" s="248"/>
      <c r="DP167" s="248"/>
      <c r="DQ167" s="248"/>
      <c r="DR167" s="248"/>
      <c r="DS167" s="248"/>
      <c r="DT167" s="248"/>
      <c r="DU167" s="248"/>
      <c r="DV167" s="248"/>
      <c r="DW167" s="248"/>
      <c r="DX167" s="248"/>
      <c r="DY167" s="248"/>
      <c r="DZ167" s="248"/>
      <c r="EA167" s="248"/>
      <c r="EB167" s="248"/>
      <c r="EC167" s="248"/>
      <c r="ED167" s="248"/>
      <c r="EE167" s="248"/>
      <c r="EF167" s="248"/>
      <c r="EG167" s="248"/>
      <c r="EH167" s="248"/>
      <c r="EI167" s="248"/>
      <c r="EJ167" s="248"/>
      <c r="EK167" s="248"/>
      <c r="EL167" s="248"/>
      <c r="EM167" s="248"/>
      <c r="EN167" s="248"/>
      <c r="EO167" s="248"/>
      <c r="EP167" s="248"/>
      <c r="EQ167" s="248"/>
      <c r="ER167" s="248"/>
      <c r="ES167" s="248"/>
      <c r="ET167" s="248"/>
      <c r="EU167" s="248"/>
      <c r="EV167" s="248"/>
      <c r="EW167" s="248"/>
      <c r="EX167" s="248"/>
      <c r="EY167" s="248"/>
      <c r="EZ167" s="248"/>
      <c r="FA167" s="248"/>
      <c r="FB167" s="248"/>
      <c r="FC167" s="248"/>
      <c r="FD167" s="248"/>
      <c r="FE167" s="248"/>
      <c r="FF167" s="248"/>
      <c r="FG167" s="248"/>
      <c r="FH167" s="248"/>
      <c r="FI167" s="248"/>
      <c r="FJ167" s="248"/>
      <c r="FK167" s="248"/>
      <c r="FL167" s="248"/>
      <c r="FM167" s="248"/>
      <c r="FN167" s="248"/>
      <c r="FO167" s="248"/>
      <c r="FP167" s="248"/>
      <c r="FQ167" s="248"/>
      <c r="FR167" s="248"/>
      <c r="FS167" s="248"/>
      <c r="FT167" s="248"/>
      <c r="FU167" s="248"/>
      <c r="FV167" s="248"/>
      <c r="FW167" s="248"/>
      <c r="FX167" s="248"/>
      <c r="FY167" s="248"/>
      <c r="FZ167" s="248"/>
      <c r="GA167" s="248"/>
      <c r="GB167" s="248"/>
      <c r="GC167" s="248"/>
      <c r="GD167" s="248"/>
      <c r="GE167" s="248"/>
      <c r="GF167" s="248"/>
      <c r="GG167" s="248"/>
      <c r="GH167" s="248"/>
      <c r="GI167" s="248"/>
      <c r="GJ167" s="248"/>
      <c r="GK167" s="248"/>
      <c r="GL167" s="248"/>
      <c r="GM167" s="248"/>
      <c r="GN167" s="248"/>
      <c r="GO167" s="248"/>
      <c r="GP167" s="248"/>
      <c r="GQ167" s="248"/>
      <c r="GR167" s="248"/>
      <c r="GS167" s="248"/>
      <c r="GT167" s="248"/>
      <c r="GU167" s="248"/>
      <c r="GV167" s="248"/>
      <c r="GW167" s="248"/>
      <c r="GX167" s="248"/>
      <c r="GY167" s="248"/>
      <c r="GZ167" s="248"/>
      <c r="HA167" s="248"/>
      <c r="HB167" s="248"/>
      <c r="HC167" s="248"/>
      <c r="HD167" s="248"/>
      <c r="HE167" s="248"/>
      <c r="HF167" s="248"/>
      <c r="HG167" s="248"/>
      <c r="HH167" s="248"/>
      <c r="HI167" s="248"/>
      <c r="HJ167" s="248"/>
      <c r="HK167" s="248"/>
      <c r="HL167" s="248"/>
      <c r="HM167" s="248"/>
      <c r="HN167" s="248"/>
      <c r="HO167" s="248"/>
      <c r="HP167" s="248"/>
      <c r="HQ167" s="248"/>
      <c r="HR167" s="248"/>
      <c r="HS167" s="248"/>
      <c r="HT167" s="248"/>
      <c r="HU167" s="248"/>
      <c r="HV167" s="248"/>
      <c r="HW167" s="248"/>
      <c r="HX167" s="248"/>
      <c r="HY167" s="248"/>
      <c r="HZ167" s="248"/>
      <c r="IA167" s="248"/>
      <c r="IB167" s="248"/>
      <c r="IC167" s="248"/>
      <c r="ID167" s="248"/>
      <c r="IE167" s="248"/>
      <c r="IF167" s="248"/>
      <c r="IG167" s="248"/>
      <c r="IH167" s="248"/>
      <c r="II167" s="248"/>
      <c r="IJ167" s="248"/>
      <c r="IK167" s="248"/>
      <c r="IL167" s="248"/>
      <c r="IM167" s="248"/>
      <c r="IN167" s="248"/>
    </row>
    <row r="168" spans="1:248" s="164" customFormat="1">
      <c r="A168" s="242"/>
      <c r="B168" s="248"/>
      <c r="C168" s="248"/>
      <c r="D168" s="316"/>
      <c r="E168" s="316"/>
      <c r="F168" s="248"/>
      <c r="G168" s="316"/>
      <c r="H168" s="248"/>
      <c r="I168" s="248"/>
      <c r="J168" s="279"/>
      <c r="K168" s="35"/>
      <c r="L168" s="35"/>
      <c r="M168" s="35"/>
      <c r="N168" s="35"/>
      <c r="O168" s="58"/>
      <c r="P168" s="35"/>
      <c r="Q168" s="35"/>
      <c r="R168" s="248"/>
      <c r="S168" s="248"/>
      <c r="T168" s="248"/>
      <c r="U168" s="248"/>
      <c r="V168" s="248"/>
      <c r="W168" s="313"/>
      <c r="X168" s="248"/>
      <c r="Y168" s="248"/>
      <c r="Z168" s="248"/>
      <c r="AA168" s="248"/>
      <c r="AB168" s="248"/>
      <c r="AC168" s="248"/>
      <c r="AD168" s="248"/>
      <c r="AE168" s="248"/>
      <c r="AF168" s="248"/>
      <c r="AG168" s="248"/>
      <c r="AH168" s="248"/>
      <c r="AI168" s="248"/>
      <c r="AJ168" s="248"/>
      <c r="AK168" s="248"/>
      <c r="AL168" s="248"/>
      <c r="AM168" s="248"/>
      <c r="AN168" s="248"/>
      <c r="AO168" s="248"/>
      <c r="AP168" s="248"/>
      <c r="AQ168" s="248"/>
      <c r="AR168" s="248"/>
      <c r="AS168" s="248"/>
      <c r="AT168" s="248"/>
      <c r="AU168" s="248"/>
      <c r="AV168" s="248"/>
      <c r="AW168" s="248"/>
      <c r="AX168" s="248"/>
      <c r="AY168" s="248"/>
      <c r="AZ168" s="248"/>
      <c r="BA168" s="248"/>
      <c r="BB168" s="248"/>
      <c r="BC168" s="248"/>
      <c r="BD168" s="248"/>
      <c r="BE168" s="248"/>
      <c r="BF168" s="248"/>
      <c r="BG168" s="248"/>
      <c r="BH168" s="248"/>
      <c r="BI168" s="248"/>
      <c r="BJ168" s="248"/>
      <c r="BK168" s="248"/>
      <c r="BL168" s="248"/>
      <c r="BM168" s="248"/>
      <c r="BN168" s="248"/>
      <c r="BO168" s="248"/>
      <c r="BP168" s="248"/>
      <c r="BQ168" s="248"/>
      <c r="BR168" s="248"/>
      <c r="BS168" s="248"/>
      <c r="BT168" s="248"/>
      <c r="BU168" s="248"/>
      <c r="BV168" s="248"/>
      <c r="BW168" s="248"/>
      <c r="BX168" s="248"/>
      <c r="BY168" s="248"/>
      <c r="BZ168" s="248"/>
      <c r="CA168" s="248"/>
      <c r="CB168" s="248"/>
      <c r="CC168" s="248"/>
      <c r="CD168" s="248"/>
      <c r="CE168" s="248"/>
      <c r="CF168" s="248"/>
      <c r="CG168" s="248"/>
      <c r="CH168" s="248"/>
      <c r="CI168" s="248"/>
      <c r="CJ168" s="248"/>
      <c r="CK168" s="248"/>
      <c r="CL168" s="248"/>
      <c r="CM168" s="248"/>
      <c r="CN168" s="248"/>
      <c r="CO168" s="248"/>
      <c r="CP168" s="248"/>
      <c r="CQ168" s="248"/>
      <c r="CR168" s="248"/>
      <c r="CS168" s="248"/>
      <c r="CT168" s="248"/>
      <c r="CU168" s="248"/>
      <c r="CV168" s="248"/>
      <c r="CW168" s="248"/>
      <c r="CX168" s="248"/>
      <c r="CY168" s="248"/>
      <c r="CZ168" s="248"/>
      <c r="DA168" s="248"/>
      <c r="DB168" s="248"/>
      <c r="DC168" s="248"/>
      <c r="DD168" s="248"/>
      <c r="DE168" s="248"/>
      <c r="DF168" s="248"/>
      <c r="DG168" s="248"/>
      <c r="DH168" s="248"/>
      <c r="DI168" s="248"/>
      <c r="DJ168" s="248"/>
      <c r="DK168" s="248"/>
      <c r="DL168" s="248"/>
      <c r="DM168" s="248"/>
      <c r="DN168" s="248"/>
      <c r="DO168" s="248"/>
      <c r="DP168" s="248"/>
      <c r="DQ168" s="248"/>
      <c r="DR168" s="248"/>
      <c r="DS168" s="248"/>
      <c r="DT168" s="248"/>
      <c r="DU168" s="248"/>
      <c r="DV168" s="248"/>
      <c r="DW168" s="248"/>
      <c r="DX168" s="248"/>
      <c r="DY168" s="248"/>
      <c r="DZ168" s="248"/>
      <c r="EA168" s="248"/>
      <c r="EB168" s="248"/>
      <c r="EC168" s="248"/>
      <c r="ED168" s="248"/>
      <c r="EE168" s="248"/>
      <c r="EF168" s="248"/>
      <c r="EG168" s="248"/>
      <c r="EH168" s="248"/>
      <c r="EI168" s="248"/>
      <c r="EJ168" s="248"/>
      <c r="EK168" s="248"/>
      <c r="EL168" s="248"/>
      <c r="EM168" s="248"/>
      <c r="EN168" s="248"/>
      <c r="EO168" s="248"/>
      <c r="EP168" s="248"/>
      <c r="EQ168" s="248"/>
      <c r="ER168" s="248"/>
      <c r="ES168" s="248"/>
      <c r="ET168" s="248"/>
      <c r="EU168" s="248"/>
      <c r="EV168" s="248"/>
      <c r="EW168" s="248"/>
      <c r="EX168" s="248"/>
      <c r="EY168" s="248"/>
      <c r="EZ168" s="248"/>
      <c r="FA168" s="248"/>
      <c r="FB168" s="248"/>
      <c r="FC168" s="248"/>
      <c r="FD168" s="248"/>
      <c r="FE168" s="248"/>
      <c r="FF168" s="248"/>
      <c r="FG168" s="248"/>
      <c r="FH168" s="248"/>
      <c r="FI168" s="248"/>
      <c r="FJ168" s="248"/>
      <c r="FK168" s="248"/>
      <c r="FL168" s="248"/>
      <c r="FM168" s="248"/>
      <c r="FN168" s="248"/>
      <c r="FO168" s="248"/>
      <c r="FP168" s="248"/>
      <c r="FQ168" s="248"/>
      <c r="FR168" s="248"/>
      <c r="FS168" s="248"/>
      <c r="FT168" s="248"/>
      <c r="FU168" s="248"/>
      <c r="FV168" s="248"/>
      <c r="FW168" s="248"/>
      <c r="FX168" s="248"/>
      <c r="FY168" s="248"/>
      <c r="FZ168" s="248"/>
      <c r="GA168" s="248"/>
      <c r="GB168" s="248"/>
      <c r="GC168" s="248"/>
      <c r="GD168" s="248"/>
      <c r="GE168" s="248"/>
      <c r="GF168" s="248"/>
      <c r="GG168" s="248"/>
      <c r="GH168" s="248"/>
      <c r="GI168" s="248"/>
      <c r="GJ168" s="248"/>
      <c r="GK168" s="248"/>
      <c r="GL168" s="248"/>
      <c r="GM168" s="248"/>
      <c r="GN168" s="248"/>
      <c r="GO168" s="248"/>
      <c r="GP168" s="248"/>
      <c r="GQ168" s="248"/>
      <c r="GR168" s="248"/>
      <c r="GS168" s="248"/>
      <c r="GT168" s="248"/>
      <c r="GU168" s="248"/>
      <c r="GV168" s="248"/>
      <c r="GW168" s="248"/>
      <c r="GX168" s="248"/>
      <c r="GY168" s="248"/>
      <c r="GZ168" s="248"/>
      <c r="HA168" s="248"/>
      <c r="HB168" s="248"/>
      <c r="HC168" s="248"/>
      <c r="HD168" s="248"/>
      <c r="HE168" s="248"/>
      <c r="HF168" s="248"/>
      <c r="HG168" s="248"/>
      <c r="HH168" s="248"/>
      <c r="HI168" s="248"/>
      <c r="HJ168" s="248"/>
      <c r="HK168" s="248"/>
      <c r="HL168" s="248"/>
      <c r="HM168" s="248"/>
      <c r="HN168" s="248"/>
      <c r="HO168" s="248"/>
      <c r="HP168" s="248"/>
      <c r="HQ168" s="248"/>
      <c r="HR168" s="248"/>
      <c r="HS168" s="248"/>
      <c r="HT168" s="248"/>
      <c r="HU168" s="248"/>
      <c r="HV168" s="248"/>
      <c r="HW168" s="248"/>
      <c r="HX168" s="248"/>
      <c r="HY168" s="248"/>
      <c r="HZ168" s="248"/>
      <c r="IA168" s="248"/>
      <c r="IB168" s="248"/>
      <c r="IC168" s="248"/>
      <c r="ID168" s="248"/>
      <c r="IE168" s="248"/>
      <c r="IF168" s="248"/>
      <c r="IG168" s="248"/>
      <c r="IH168" s="248"/>
      <c r="II168" s="248"/>
      <c r="IJ168" s="248"/>
      <c r="IK168" s="248"/>
      <c r="IL168" s="248"/>
      <c r="IM168" s="248"/>
      <c r="IN168" s="248"/>
    </row>
    <row r="169" spans="1:248" s="164" customFormat="1">
      <c r="A169" s="242"/>
      <c r="B169" s="248"/>
      <c r="C169" s="248"/>
      <c r="D169" s="316"/>
      <c r="E169" s="316"/>
      <c r="F169" s="248"/>
      <c r="G169" s="316"/>
      <c r="H169" s="248"/>
      <c r="I169" s="248"/>
      <c r="J169" s="279"/>
      <c r="K169" s="35"/>
      <c r="L169" s="35"/>
      <c r="M169" s="35"/>
      <c r="N169" s="35"/>
      <c r="O169" s="58"/>
      <c r="P169" s="35"/>
      <c r="Q169" s="35"/>
      <c r="R169" s="248"/>
      <c r="S169" s="248"/>
      <c r="T169" s="248"/>
      <c r="U169" s="248"/>
      <c r="V169" s="248"/>
      <c r="W169" s="313"/>
      <c r="X169" s="248"/>
      <c r="Y169" s="248"/>
      <c r="Z169" s="248"/>
      <c r="AA169" s="248"/>
      <c r="AB169" s="248"/>
      <c r="AC169" s="248"/>
      <c r="AD169" s="248"/>
      <c r="AE169" s="248"/>
      <c r="AF169" s="248"/>
      <c r="AG169" s="248"/>
      <c r="AH169" s="248"/>
      <c r="AI169" s="248"/>
      <c r="AJ169" s="248"/>
      <c r="AK169" s="248"/>
      <c r="AL169" s="248"/>
      <c r="AM169" s="248"/>
      <c r="AN169" s="248"/>
      <c r="AO169" s="248"/>
      <c r="AP169" s="248"/>
      <c r="AQ169" s="248"/>
      <c r="AR169" s="248"/>
      <c r="AS169" s="248"/>
      <c r="AT169" s="248"/>
      <c r="AU169" s="248"/>
      <c r="AV169" s="248"/>
      <c r="AW169" s="248"/>
      <c r="AX169" s="248"/>
      <c r="AY169" s="248"/>
      <c r="AZ169" s="248"/>
      <c r="BA169" s="248"/>
      <c r="BB169" s="248"/>
      <c r="BC169" s="248"/>
      <c r="BD169" s="248"/>
      <c r="BE169" s="248"/>
      <c r="BF169" s="248"/>
      <c r="BG169" s="248"/>
      <c r="BH169" s="248"/>
      <c r="BI169" s="248"/>
      <c r="BJ169" s="248"/>
      <c r="BK169" s="248"/>
      <c r="BL169" s="248"/>
      <c r="BM169" s="248"/>
      <c r="BN169" s="248"/>
      <c r="BO169" s="248"/>
      <c r="BP169" s="248"/>
      <c r="BQ169" s="248"/>
      <c r="BR169" s="248"/>
      <c r="BS169" s="248"/>
      <c r="BT169" s="248"/>
      <c r="BU169" s="248"/>
      <c r="BV169" s="248"/>
      <c r="BW169" s="248"/>
      <c r="BX169" s="248"/>
      <c r="BY169" s="248"/>
      <c r="BZ169" s="248"/>
      <c r="CA169" s="248"/>
      <c r="CB169" s="248"/>
      <c r="CC169" s="248"/>
      <c r="CD169" s="248"/>
      <c r="CE169" s="248"/>
      <c r="CF169" s="248"/>
      <c r="CG169" s="248"/>
      <c r="CH169" s="248"/>
      <c r="CI169" s="248"/>
      <c r="CJ169" s="248"/>
      <c r="CK169" s="248"/>
      <c r="CL169" s="248"/>
      <c r="CM169" s="248"/>
      <c r="CN169" s="248"/>
      <c r="CO169" s="248"/>
      <c r="CP169" s="248"/>
      <c r="CQ169" s="248"/>
      <c r="CR169" s="248"/>
      <c r="CS169" s="248"/>
      <c r="CT169" s="248"/>
      <c r="CU169" s="248"/>
      <c r="CV169" s="248"/>
      <c r="CW169" s="248"/>
      <c r="CX169" s="248"/>
      <c r="CY169" s="248"/>
      <c r="CZ169" s="248"/>
      <c r="DA169" s="248"/>
      <c r="DB169" s="248"/>
      <c r="DC169" s="248"/>
      <c r="DD169" s="248"/>
      <c r="DE169" s="248"/>
      <c r="DF169" s="248"/>
      <c r="DG169" s="248"/>
      <c r="DH169" s="248"/>
      <c r="DI169" s="248"/>
      <c r="DJ169" s="248"/>
      <c r="DK169" s="248"/>
      <c r="DL169" s="248"/>
      <c r="DM169" s="248"/>
      <c r="DN169" s="248"/>
      <c r="DO169" s="248"/>
      <c r="DP169" s="248"/>
      <c r="DQ169" s="248"/>
      <c r="DR169" s="248"/>
      <c r="DS169" s="248"/>
      <c r="DT169" s="248"/>
      <c r="DU169" s="248"/>
      <c r="DV169" s="248"/>
      <c r="DW169" s="248"/>
      <c r="DX169" s="248"/>
      <c r="DY169" s="248"/>
      <c r="DZ169" s="248"/>
      <c r="EA169" s="248"/>
      <c r="EB169" s="248"/>
      <c r="EC169" s="248"/>
      <c r="ED169" s="248"/>
      <c r="EE169" s="248"/>
      <c r="EF169" s="248"/>
      <c r="EG169" s="248"/>
      <c r="EH169" s="248"/>
      <c r="EI169" s="248"/>
      <c r="EJ169" s="248"/>
      <c r="EK169" s="248"/>
      <c r="EL169" s="248"/>
      <c r="EM169" s="248"/>
      <c r="EN169" s="248"/>
      <c r="EO169" s="248"/>
      <c r="EP169" s="248"/>
      <c r="EQ169" s="248"/>
      <c r="ER169" s="248"/>
      <c r="ES169" s="248"/>
      <c r="ET169" s="248"/>
      <c r="EU169" s="248"/>
      <c r="EV169" s="248"/>
      <c r="EW169" s="248"/>
      <c r="EX169" s="248"/>
      <c r="EY169" s="248"/>
      <c r="EZ169" s="248"/>
      <c r="FA169" s="248"/>
      <c r="FB169" s="248"/>
      <c r="FC169" s="248"/>
      <c r="FD169" s="248"/>
      <c r="FE169" s="248"/>
      <c r="FF169" s="248"/>
      <c r="FG169" s="248"/>
      <c r="FH169" s="248"/>
      <c r="FI169" s="248"/>
      <c r="FJ169" s="248"/>
      <c r="FK169" s="248"/>
      <c r="FL169" s="248"/>
      <c r="FM169" s="248"/>
      <c r="FN169" s="248"/>
      <c r="FO169" s="248"/>
      <c r="FP169" s="248"/>
      <c r="FQ169" s="248"/>
      <c r="FR169" s="248"/>
      <c r="FS169" s="248"/>
      <c r="FT169" s="248"/>
      <c r="FU169" s="248"/>
      <c r="FV169" s="248"/>
      <c r="FW169" s="248"/>
      <c r="FX169" s="248"/>
      <c r="FY169" s="248"/>
      <c r="FZ169" s="248"/>
      <c r="GA169" s="248"/>
      <c r="GB169" s="248"/>
      <c r="GC169" s="248"/>
      <c r="GD169" s="248"/>
      <c r="GE169" s="248"/>
      <c r="GF169" s="248"/>
      <c r="GG169" s="248"/>
      <c r="GH169" s="248"/>
      <c r="GI169" s="248"/>
      <c r="GJ169" s="248"/>
      <c r="GK169" s="248"/>
      <c r="GL169" s="248"/>
      <c r="GM169" s="248"/>
      <c r="GN169" s="248"/>
      <c r="GO169" s="248"/>
      <c r="GP169" s="248"/>
      <c r="GQ169" s="248"/>
      <c r="GR169" s="248"/>
      <c r="GS169" s="248"/>
      <c r="GT169" s="248"/>
      <c r="GU169" s="248"/>
      <c r="GV169" s="248"/>
      <c r="GW169" s="248"/>
      <c r="GX169" s="248"/>
      <c r="GY169" s="248"/>
      <c r="GZ169" s="248"/>
      <c r="HA169" s="248"/>
      <c r="HB169" s="248"/>
      <c r="HC169" s="248"/>
      <c r="HD169" s="248"/>
      <c r="HE169" s="248"/>
      <c r="HF169" s="248"/>
      <c r="HG169" s="248"/>
      <c r="HH169" s="248"/>
      <c r="HI169" s="248"/>
      <c r="HJ169" s="248"/>
      <c r="HK169" s="248"/>
      <c r="HL169" s="248"/>
      <c r="HM169" s="248"/>
      <c r="HN169" s="248"/>
      <c r="HO169" s="248"/>
      <c r="HP169" s="248"/>
      <c r="HQ169" s="248"/>
      <c r="HR169" s="248"/>
      <c r="HS169" s="248"/>
      <c r="HT169" s="248"/>
      <c r="HU169" s="248"/>
      <c r="HV169" s="248"/>
      <c r="HW169" s="248"/>
      <c r="HX169" s="248"/>
      <c r="HY169" s="248"/>
      <c r="HZ169" s="248"/>
      <c r="IA169" s="248"/>
      <c r="IB169" s="248"/>
      <c r="IC169" s="248"/>
      <c r="ID169" s="248"/>
      <c r="IE169" s="248"/>
      <c r="IF169" s="248"/>
      <c r="IG169" s="248"/>
      <c r="IH169" s="248"/>
      <c r="II169" s="248"/>
      <c r="IJ169" s="248"/>
      <c r="IK169" s="248"/>
      <c r="IL169" s="248"/>
      <c r="IM169" s="248"/>
      <c r="IN169" s="248"/>
    </row>
    <row r="170" spans="1:248" s="164" customFormat="1">
      <c r="A170" s="242"/>
      <c r="B170" s="248"/>
      <c r="C170" s="248"/>
      <c r="D170" s="316"/>
      <c r="E170" s="316"/>
      <c r="F170" s="248"/>
      <c r="G170" s="316"/>
      <c r="H170" s="248"/>
      <c r="I170" s="248"/>
      <c r="J170" s="279"/>
      <c r="K170" s="35"/>
      <c r="L170" s="35"/>
      <c r="M170" s="35"/>
      <c r="N170" s="35"/>
      <c r="O170" s="58"/>
      <c r="P170" s="35"/>
      <c r="Q170" s="35"/>
      <c r="R170" s="248"/>
      <c r="S170" s="248"/>
      <c r="T170" s="248"/>
      <c r="U170" s="248"/>
      <c r="V170" s="248"/>
      <c r="W170" s="313"/>
      <c r="X170" s="248"/>
      <c r="Y170" s="248"/>
      <c r="Z170" s="248"/>
      <c r="AA170" s="248"/>
      <c r="AB170" s="248"/>
      <c r="AC170" s="248"/>
      <c r="AD170" s="248"/>
      <c r="AE170" s="248"/>
      <c r="AF170" s="248"/>
      <c r="AG170" s="248"/>
      <c r="AH170" s="248"/>
      <c r="AI170" s="248"/>
      <c r="AJ170" s="248"/>
      <c r="AK170" s="248"/>
      <c r="AL170" s="248"/>
      <c r="AM170" s="248"/>
      <c r="AN170" s="248"/>
      <c r="AO170" s="248"/>
      <c r="AP170" s="248"/>
      <c r="AQ170" s="248"/>
      <c r="AR170" s="248"/>
      <c r="AS170" s="248"/>
      <c r="AT170" s="248"/>
      <c r="AU170" s="248"/>
      <c r="AV170" s="248"/>
      <c r="AW170" s="248"/>
      <c r="AX170" s="248"/>
      <c r="AY170" s="248"/>
      <c r="AZ170" s="248"/>
      <c r="BA170" s="248"/>
      <c r="BB170" s="248"/>
      <c r="BC170" s="248"/>
      <c r="BD170" s="248"/>
      <c r="BE170" s="248"/>
      <c r="BF170" s="248"/>
      <c r="BG170" s="248"/>
      <c r="BH170" s="248"/>
      <c r="BI170" s="248"/>
      <c r="BJ170" s="248"/>
      <c r="BK170" s="248"/>
      <c r="BL170" s="248"/>
      <c r="BM170" s="248"/>
      <c r="BN170" s="248"/>
      <c r="BO170" s="248"/>
      <c r="BP170" s="248"/>
      <c r="BQ170" s="248"/>
      <c r="BR170" s="248"/>
      <c r="BS170" s="248"/>
      <c r="BT170" s="248"/>
      <c r="BU170" s="248"/>
      <c r="BV170" s="248"/>
      <c r="BW170" s="248"/>
      <c r="BX170" s="248"/>
      <c r="BY170" s="248"/>
      <c r="BZ170" s="248"/>
      <c r="CA170" s="248"/>
      <c r="CB170" s="248"/>
      <c r="CC170" s="248"/>
      <c r="CD170" s="248"/>
      <c r="CE170" s="248"/>
      <c r="CF170" s="248"/>
      <c r="CG170" s="248"/>
      <c r="CH170" s="248"/>
      <c r="CI170" s="248"/>
      <c r="CJ170" s="248"/>
      <c r="CK170" s="248"/>
      <c r="CL170" s="248"/>
      <c r="CM170" s="248"/>
      <c r="CN170" s="248"/>
      <c r="CO170" s="248"/>
      <c r="CP170" s="248"/>
      <c r="CQ170" s="248"/>
      <c r="CR170" s="248"/>
      <c r="CS170" s="248"/>
      <c r="CT170" s="248"/>
      <c r="CU170" s="248"/>
      <c r="CV170" s="248"/>
      <c r="CW170" s="248"/>
      <c r="CX170" s="248"/>
      <c r="CY170" s="248"/>
      <c r="CZ170" s="248"/>
      <c r="DA170" s="248"/>
      <c r="DB170" s="248"/>
      <c r="DC170" s="248"/>
      <c r="DD170" s="248"/>
      <c r="DE170" s="248"/>
      <c r="DF170" s="248"/>
      <c r="DG170" s="248"/>
      <c r="DH170" s="248"/>
      <c r="DI170" s="248"/>
      <c r="DJ170" s="248"/>
      <c r="DK170" s="248"/>
      <c r="DL170" s="248"/>
      <c r="DM170" s="248"/>
      <c r="DN170" s="248"/>
      <c r="DO170" s="248"/>
      <c r="DP170" s="248"/>
      <c r="DQ170" s="248"/>
      <c r="DR170" s="248"/>
      <c r="DS170" s="248"/>
      <c r="DT170" s="248"/>
      <c r="DU170" s="248"/>
      <c r="DV170" s="248"/>
      <c r="DW170" s="248"/>
      <c r="DX170" s="248"/>
      <c r="DY170" s="248"/>
      <c r="DZ170" s="248"/>
      <c r="EA170" s="248"/>
      <c r="EB170" s="248"/>
      <c r="EC170" s="248"/>
      <c r="ED170" s="248"/>
      <c r="EE170" s="248"/>
      <c r="EF170" s="248"/>
      <c r="EG170" s="248"/>
      <c r="EH170" s="248"/>
      <c r="EI170" s="248"/>
      <c r="EJ170" s="248"/>
      <c r="EK170" s="248"/>
      <c r="EL170" s="248"/>
      <c r="EM170" s="248"/>
      <c r="EN170" s="248"/>
      <c r="EO170" s="248"/>
      <c r="EP170" s="248"/>
      <c r="EQ170" s="248"/>
      <c r="ER170" s="248"/>
      <c r="ES170" s="248"/>
      <c r="ET170" s="248"/>
      <c r="EU170" s="248"/>
      <c r="EV170" s="248"/>
      <c r="EW170" s="248"/>
      <c r="EX170" s="248"/>
      <c r="EY170" s="248"/>
      <c r="EZ170" s="248"/>
      <c r="FA170" s="248"/>
      <c r="FB170" s="248"/>
      <c r="FC170" s="248"/>
      <c r="FD170" s="248"/>
      <c r="FE170" s="248"/>
      <c r="FF170" s="248"/>
      <c r="FG170" s="248"/>
      <c r="FH170" s="248"/>
      <c r="FI170" s="248"/>
      <c r="FJ170" s="248"/>
      <c r="FK170" s="248"/>
      <c r="FL170" s="248"/>
      <c r="FM170" s="248"/>
      <c r="FN170" s="248"/>
      <c r="FO170" s="248"/>
      <c r="FP170" s="248"/>
      <c r="FQ170" s="248"/>
      <c r="FR170" s="248"/>
      <c r="FS170" s="248"/>
      <c r="FT170" s="248"/>
      <c r="FU170" s="248"/>
      <c r="FV170" s="248"/>
      <c r="FW170" s="248"/>
      <c r="FX170" s="248"/>
      <c r="FY170" s="248"/>
      <c r="FZ170" s="248"/>
      <c r="GA170" s="248"/>
      <c r="GB170" s="248"/>
      <c r="GC170" s="248"/>
      <c r="GD170" s="248"/>
      <c r="GE170" s="248"/>
      <c r="GF170" s="248"/>
      <c r="GG170" s="248"/>
      <c r="GH170" s="248"/>
      <c r="GI170" s="248"/>
      <c r="GJ170" s="248"/>
      <c r="GK170" s="248"/>
      <c r="GL170" s="248"/>
      <c r="GM170" s="248"/>
      <c r="GN170" s="248"/>
      <c r="GO170" s="248"/>
      <c r="GP170" s="248"/>
      <c r="GQ170" s="248"/>
      <c r="GR170" s="248"/>
      <c r="GS170" s="248"/>
      <c r="GT170" s="248"/>
      <c r="GU170" s="248"/>
      <c r="GV170" s="248"/>
      <c r="GW170" s="248"/>
      <c r="GX170" s="248"/>
      <c r="GY170" s="248"/>
      <c r="GZ170" s="248"/>
      <c r="HA170" s="248"/>
      <c r="HB170" s="248"/>
      <c r="HC170" s="248"/>
      <c r="HD170" s="248"/>
      <c r="HE170" s="248"/>
      <c r="HF170" s="248"/>
      <c r="HG170" s="248"/>
      <c r="HH170" s="248"/>
      <c r="HI170" s="248"/>
      <c r="HJ170" s="248"/>
      <c r="HK170" s="248"/>
      <c r="HL170" s="248"/>
      <c r="HM170" s="248"/>
      <c r="HN170" s="248"/>
      <c r="HO170" s="248"/>
      <c r="HP170" s="248"/>
      <c r="HQ170" s="248"/>
      <c r="HR170" s="248"/>
      <c r="HS170" s="248"/>
      <c r="HT170" s="248"/>
      <c r="HU170" s="248"/>
      <c r="HV170" s="248"/>
      <c r="HW170" s="248"/>
      <c r="HX170" s="248"/>
      <c r="HY170" s="248"/>
      <c r="HZ170" s="248"/>
      <c r="IA170" s="248"/>
      <c r="IB170" s="248"/>
      <c r="IC170" s="248"/>
      <c r="ID170" s="248"/>
      <c r="IE170" s="248"/>
      <c r="IF170" s="248"/>
      <c r="IG170" s="248"/>
      <c r="IH170" s="248"/>
      <c r="II170" s="248"/>
      <c r="IJ170" s="248"/>
      <c r="IK170" s="248"/>
      <c r="IL170" s="248"/>
      <c r="IM170" s="248"/>
      <c r="IN170" s="248"/>
    </row>
    <row r="171" spans="1:248" s="164" customFormat="1">
      <c r="A171" s="242"/>
      <c r="B171" s="248"/>
      <c r="C171" s="248"/>
      <c r="D171" s="316"/>
      <c r="E171" s="316"/>
      <c r="F171" s="248"/>
      <c r="G171" s="316"/>
      <c r="H171" s="248"/>
      <c r="I171" s="248"/>
      <c r="J171" s="279"/>
      <c r="K171" s="35"/>
      <c r="L171" s="35"/>
      <c r="M171" s="35"/>
      <c r="N171" s="35"/>
      <c r="O171" s="58"/>
      <c r="P171" s="35"/>
      <c r="Q171" s="35"/>
      <c r="R171" s="248"/>
      <c r="S171" s="248"/>
      <c r="T171" s="248"/>
      <c r="U171" s="248"/>
      <c r="V171" s="248"/>
      <c r="W171" s="313"/>
      <c r="X171" s="248"/>
      <c r="Y171" s="248"/>
      <c r="Z171" s="248"/>
      <c r="AA171" s="248"/>
      <c r="AB171" s="248"/>
      <c r="AC171" s="248"/>
      <c r="AD171" s="248"/>
      <c r="AE171" s="248"/>
      <c r="AF171" s="248"/>
      <c r="AG171" s="248"/>
      <c r="AH171" s="248"/>
      <c r="AI171" s="248"/>
      <c r="AJ171" s="248"/>
      <c r="AK171" s="248"/>
      <c r="AL171" s="248"/>
      <c r="AM171" s="248"/>
      <c r="AN171" s="248"/>
      <c r="AO171" s="248"/>
      <c r="AP171" s="248"/>
      <c r="AQ171" s="248"/>
      <c r="AR171" s="248"/>
      <c r="AS171" s="248"/>
      <c r="AT171" s="248"/>
      <c r="AU171" s="248"/>
      <c r="AV171" s="248"/>
      <c r="AW171" s="248"/>
      <c r="AX171" s="248"/>
      <c r="AY171" s="248"/>
      <c r="AZ171" s="248"/>
      <c r="BA171" s="248"/>
      <c r="BB171" s="248"/>
      <c r="BC171" s="248"/>
      <c r="BD171" s="248"/>
      <c r="BE171" s="248"/>
      <c r="BF171" s="248"/>
      <c r="BG171" s="248"/>
      <c r="BH171" s="248"/>
      <c r="BI171" s="248"/>
      <c r="BJ171" s="248"/>
      <c r="BK171" s="248"/>
      <c r="BL171" s="248"/>
      <c r="BM171" s="248"/>
      <c r="BN171" s="248"/>
      <c r="BO171" s="248"/>
      <c r="BP171" s="248"/>
      <c r="BQ171" s="248"/>
      <c r="BR171" s="248"/>
      <c r="BS171" s="248"/>
      <c r="BT171" s="248"/>
      <c r="BU171" s="248"/>
      <c r="BV171" s="248"/>
      <c r="BW171" s="248"/>
      <c r="BX171" s="248"/>
      <c r="BY171" s="248"/>
      <c r="BZ171" s="248"/>
      <c r="CA171" s="248"/>
      <c r="CB171" s="248"/>
      <c r="CC171" s="248"/>
      <c r="CD171" s="248"/>
      <c r="CE171" s="248"/>
      <c r="CF171" s="248"/>
      <c r="CG171" s="248"/>
      <c r="CH171" s="248"/>
      <c r="CI171" s="248"/>
      <c r="CJ171" s="248"/>
      <c r="CK171" s="248"/>
      <c r="CL171" s="248"/>
      <c r="CM171" s="248"/>
      <c r="CN171" s="248"/>
      <c r="CO171" s="248"/>
      <c r="CP171" s="248"/>
      <c r="CQ171" s="248"/>
      <c r="CR171" s="248"/>
      <c r="CS171" s="248"/>
      <c r="CT171" s="248"/>
      <c r="CU171" s="248"/>
      <c r="CV171" s="248"/>
      <c r="CW171" s="248"/>
      <c r="CX171" s="248"/>
      <c r="CY171" s="248"/>
      <c r="CZ171" s="248"/>
      <c r="DA171" s="248"/>
      <c r="DB171" s="248"/>
      <c r="DC171" s="248"/>
      <c r="DD171" s="248"/>
      <c r="DE171" s="248"/>
      <c r="DF171" s="248"/>
      <c r="DG171" s="248"/>
      <c r="DH171" s="248"/>
      <c r="DI171" s="248"/>
      <c r="DJ171" s="248"/>
      <c r="DK171" s="248"/>
      <c r="DL171" s="248"/>
      <c r="DM171" s="248"/>
      <c r="DN171" s="248"/>
      <c r="DO171" s="248"/>
      <c r="DP171" s="248"/>
      <c r="DQ171" s="248"/>
      <c r="DR171" s="248"/>
      <c r="DS171" s="248"/>
      <c r="DT171" s="248"/>
      <c r="DU171" s="248"/>
      <c r="DV171" s="248"/>
      <c r="DW171" s="248"/>
      <c r="DX171" s="248"/>
      <c r="DY171" s="248"/>
      <c r="DZ171" s="248"/>
      <c r="EA171" s="248"/>
      <c r="EB171" s="248"/>
      <c r="EC171" s="248"/>
      <c r="ED171" s="248"/>
      <c r="EE171" s="248"/>
      <c r="EF171" s="248"/>
      <c r="EG171" s="248"/>
      <c r="EH171" s="248"/>
      <c r="EI171" s="248"/>
      <c r="EJ171" s="248"/>
      <c r="EK171" s="248"/>
      <c r="EL171" s="248"/>
      <c r="EM171" s="248"/>
      <c r="EN171" s="248"/>
      <c r="EO171" s="248"/>
      <c r="EP171" s="248"/>
      <c r="EQ171" s="248"/>
      <c r="ER171" s="248"/>
      <c r="ES171" s="248"/>
      <c r="ET171" s="248"/>
      <c r="EU171" s="248"/>
      <c r="EV171" s="248"/>
      <c r="EW171" s="248"/>
      <c r="EX171" s="248"/>
      <c r="EY171" s="248"/>
      <c r="EZ171" s="248"/>
      <c r="FA171" s="248"/>
      <c r="FB171" s="248"/>
      <c r="FC171" s="248"/>
      <c r="FD171" s="248"/>
      <c r="FE171" s="248"/>
      <c r="FF171" s="248"/>
      <c r="FG171" s="248"/>
      <c r="FH171" s="248"/>
      <c r="FI171" s="248"/>
      <c r="FJ171" s="248"/>
      <c r="FK171" s="248"/>
      <c r="FL171" s="248"/>
      <c r="FM171" s="248"/>
      <c r="FN171" s="248"/>
      <c r="FO171" s="248"/>
      <c r="FP171" s="248"/>
      <c r="FQ171" s="248"/>
      <c r="FR171" s="248"/>
      <c r="FS171" s="248"/>
      <c r="FT171" s="248"/>
      <c r="FU171" s="248"/>
      <c r="FV171" s="248"/>
      <c r="FW171" s="248"/>
      <c r="FX171" s="248"/>
      <c r="FY171" s="248"/>
      <c r="FZ171" s="248"/>
      <c r="GA171" s="248"/>
      <c r="GB171" s="248"/>
      <c r="GC171" s="248"/>
      <c r="GD171" s="248"/>
      <c r="GE171" s="248"/>
      <c r="GF171" s="248"/>
      <c r="GG171" s="248"/>
      <c r="GH171" s="248"/>
      <c r="GI171" s="248"/>
      <c r="GJ171" s="248"/>
      <c r="GK171" s="248"/>
      <c r="GL171" s="248"/>
      <c r="GM171" s="248"/>
      <c r="GN171" s="248"/>
      <c r="GO171" s="248"/>
      <c r="GP171" s="248"/>
      <c r="GQ171" s="248"/>
      <c r="GR171" s="248"/>
      <c r="GS171" s="248"/>
      <c r="GT171" s="248"/>
      <c r="GU171" s="248"/>
      <c r="GV171" s="248"/>
      <c r="GW171" s="248"/>
      <c r="GX171" s="248"/>
      <c r="GY171" s="248"/>
      <c r="GZ171" s="248"/>
      <c r="HA171" s="248"/>
      <c r="HB171" s="248"/>
      <c r="HC171" s="248"/>
      <c r="HD171" s="248"/>
      <c r="HE171" s="248"/>
      <c r="HF171" s="248"/>
      <c r="HG171" s="248"/>
      <c r="HH171" s="248"/>
      <c r="HI171" s="248"/>
      <c r="HJ171" s="248"/>
      <c r="HK171" s="248"/>
      <c r="HL171" s="248"/>
      <c r="HM171" s="248"/>
      <c r="HN171" s="248"/>
      <c r="HO171" s="248"/>
      <c r="HP171" s="248"/>
      <c r="HQ171" s="248"/>
      <c r="HR171" s="248"/>
      <c r="HS171" s="248"/>
      <c r="HT171" s="248"/>
      <c r="HU171" s="248"/>
      <c r="HV171" s="248"/>
      <c r="HW171" s="248"/>
      <c r="HX171" s="248"/>
      <c r="HY171" s="248"/>
      <c r="HZ171" s="248"/>
      <c r="IA171" s="248"/>
      <c r="IB171" s="248"/>
      <c r="IC171" s="248"/>
      <c r="ID171" s="248"/>
      <c r="IE171" s="248"/>
      <c r="IF171" s="248"/>
      <c r="IG171" s="248"/>
      <c r="IH171" s="248"/>
      <c r="II171" s="248"/>
      <c r="IJ171" s="248"/>
      <c r="IK171" s="248"/>
      <c r="IL171" s="248"/>
      <c r="IM171" s="248"/>
      <c r="IN171" s="248"/>
    </row>
    <row r="172" spans="1:248" s="164" customFormat="1">
      <c r="A172" s="242"/>
      <c r="B172" s="248"/>
      <c r="C172" s="248"/>
      <c r="D172" s="316"/>
      <c r="E172" s="316"/>
      <c r="F172" s="248"/>
      <c r="G172" s="316"/>
      <c r="H172" s="248"/>
      <c r="I172" s="248"/>
      <c r="J172" s="279"/>
      <c r="K172" s="35"/>
      <c r="L172" s="35"/>
      <c r="M172" s="35"/>
      <c r="N172" s="35"/>
      <c r="O172" s="58"/>
      <c r="P172" s="35"/>
      <c r="Q172" s="35"/>
      <c r="R172" s="248"/>
      <c r="S172" s="248"/>
      <c r="T172" s="248"/>
      <c r="U172" s="248"/>
      <c r="V172" s="248"/>
      <c r="W172" s="313"/>
      <c r="X172" s="248"/>
      <c r="Y172" s="248"/>
      <c r="Z172" s="248"/>
      <c r="AA172" s="248"/>
      <c r="AB172" s="248"/>
      <c r="AC172" s="248"/>
      <c r="AD172" s="248"/>
      <c r="AE172" s="248"/>
      <c r="AF172" s="248"/>
      <c r="AG172" s="248"/>
      <c r="AH172" s="248"/>
      <c r="AI172" s="248"/>
      <c r="AJ172" s="248"/>
      <c r="AK172" s="248"/>
      <c r="AL172" s="248"/>
      <c r="AM172" s="248"/>
      <c r="AN172" s="248"/>
      <c r="AO172" s="248"/>
      <c r="AP172" s="248"/>
      <c r="AQ172" s="248"/>
      <c r="AR172" s="248"/>
      <c r="AS172" s="248"/>
      <c r="AT172" s="248"/>
      <c r="AU172" s="248"/>
      <c r="AV172" s="248"/>
      <c r="AW172" s="248"/>
      <c r="AX172" s="248"/>
      <c r="AY172" s="248"/>
      <c r="AZ172" s="248"/>
      <c r="BA172" s="248"/>
      <c r="BB172" s="248"/>
      <c r="BC172" s="248"/>
      <c r="BD172" s="248"/>
      <c r="BE172" s="248"/>
      <c r="BF172" s="248"/>
      <c r="BG172" s="248"/>
      <c r="BH172" s="248"/>
      <c r="BI172" s="248"/>
      <c r="BJ172" s="248"/>
      <c r="BK172" s="248"/>
      <c r="BL172" s="248"/>
      <c r="BM172" s="248"/>
      <c r="BN172" s="248"/>
      <c r="BO172" s="248"/>
      <c r="BP172" s="248"/>
      <c r="BQ172" s="248"/>
      <c r="BR172" s="248"/>
      <c r="BS172" s="248"/>
      <c r="BT172" s="248"/>
      <c r="BU172" s="248"/>
      <c r="BV172" s="248"/>
      <c r="BW172" s="248"/>
      <c r="BX172" s="248"/>
      <c r="BY172" s="248"/>
      <c r="BZ172" s="248"/>
      <c r="CA172" s="248"/>
      <c r="CB172" s="248"/>
      <c r="CC172" s="248"/>
      <c r="CD172" s="248"/>
      <c r="CE172" s="248"/>
      <c r="CF172" s="248"/>
      <c r="CG172" s="248"/>
      <c r="CH172" s="248"/>
      <c r="CI172" s="248"/>
      <c r="CJ172" s="248"/>
      <c r="CK172" s="248"/>
      <c r="CL172" s="248"/>
      <c r="CM172" s="248"/>
      <c r="CN172" s="248"/>
      <c r="CO172" s="248"/>
      <c r="CP172" s="248"/>
      <c r="CQ172" s="248"/>
      <c r="CR172" s="248"/>
      <c r="CS172" s="248"/>
      <c r="CT172" s="248"/>
      <c r="CU172" s="248"/>
      <c r="CV172" s="248"/>
      <c r="CW172" s="248"/>
      <c r="CX172" s="248"/>
      <c r="CY172" s="248"/>
      <c r="CZ172" s="248"/>
      <c r="DA172" s="248"/>
      <c r="DB172" s="248"/>
      <c r="DC172" s="248"/>
      <c r="DD172" s="248"/>
      <c r="DE172" s="248"/>
      <c r="DF172" s="248"/>
      <c r="DG172" s="248"/>
      <c r="DH172" s="248"/>
      <c r="DI172" s="248"/>
      <c r="DJ172" s="248"/>
      <c r="DK172" s="248"/>
      <c r="DL172" s="248"/>
      <c r="DM172" s="248"/>
      <c r="DN172" s="248"/>
      <c r="DO172" s="248"/>
      <c r="DP172" s="248"/>
      <c r="DQ172" s="248"/>
      <c r="DR172" s="248"/>
      <c r="DS172" s="248"/>
      <c r="DT172" s="248"/>
      <c r="DU172" s="248"/>
      <c r="DV172" s="248"/>
      <c r="DW172" s="248"/>
      <c r="DX172" s="248"/>
      <c r="DY172" s="248"/>
      <c r="DZ172" s="248"/>
      <c r="EA172" s="248"/>
      <c r="EB172" s="248"/>
      <c r="EC172" s="248"/>
      <c r="ED172" s="248"/>
      <c r="EE172" s="248"/>
      <c r="EF172" s="248"/>
      <c r="EG172" s="248"/>
      <c r="EH172" s="248"/>
      <c r="EI172" s="248"/>
      <c r="EJ172" s="248"/>
      <c r="EK172" s="248"/>
      <c r="EL172" s="248"/>
      <c r="EM172" s="248"/>
      <c r="EN172" s="248"/>
      <c r="EO172" s="248"/>
      <c r="EP172" s="248"/>
      <c r="EQ172" s="248"/>
      <c r="ER172" s="248"/>
      <c r="ES172" s="248"/>
      <c r="ET172" s="248"/>
      <c r="EU172" s="248"/>
      <c r="EV172" s="248"/>
      <c r="EW172" s="248"/>
      <c r="EX172" s="248"/>
      <c r="EY172" s="248"/>
      <c r="EZ172" s="248"/>
      <c r="FA172" s="248"/>
      <c r="FB172" s="248"/>
      <c r="FC172" s="248"/>
      <c r="FD172" s="248"/>
      <c r="FE172" s="248"/>
      <c r="FF172" s="248"/>
      <c r="FG172" s="248"/>
      <c r="FH172" s="248"/>
      <c r="FI172" s="248"/>
      <c r="FJ172" s="248"/>
      <c r="FK172" s="248"/>
      <c r="FL172" s="248"/>
      <c r="FM172" s="248"/>
      <c r="FN172" s="248"/>
      <c r="FO172" s="248"/>
      <c r="FP172" s="248"/>
      <c r="FQ172" s="248"/>
      <c r="FR172" s="248"/>
      <c r="FS172" s="248"/>
      <c r="FT172" s="248"/>
      <c r="FU172" s="248"/>
      <c r="FV172" s="248"/>
      <c r="FW172" s="248"/>
      <c r="FX172" s="248"/>
      <c r="FY172" s="248"/>
      <c r="FZ172" s="248"/>
      <c r="GA172" s="248"/>
      <c r="GB172" s="248"/>
      <c r="GC172" s="248"/>
      <c r="GD172" s="248"/>
      <c r="GE172" s="248"/>
      <c r="GF172" s="248"/>
      <c r="GG172" s="248"/>
      <c r="GH172" s="248"/>
      <c r="GI172" s="248"/>
      <c r="GJ172" s="248"/>
      <c r="GK172" s="248"/>
      <c r="GL172" s="248"/>
      <c r="GM172" s="248"/>
      <c r="GN172" s="248"/>
      <c r="GO172" s="248"/>
      <c r="GP172" s="248"/>
      <c r="GQ172" s="248"/>
      <c r="GR172" s="248"/>
      <c r="GS172" s="248"/>
      <c r="GT172" s="248"/>
      <c r="GU172" s="248"/>
      <c r="GV172" s="248"/>
      <c r="GW172" s="248"/>
      <c r="GX172" s="248"/>
      <c r="GY172" s="248"/>
      <c r="GZ172" s="248"/>
      <c r="HA172" s="248"/>
      <c r="HB172" s="248"/>
      <c r="HC172" s="248"/>
      <c r="HD172" s="248"/>
      <c r="HE172" s="248"/>
      <c r="HF172" s="248"/>
      <c r="HG172" s="248"/>
      <c r="HH172" s="248"/>
      <c r="HI172" s="248"/>
      <c r="HJ172" s="248"/>
      <c r="HK172" s="248"/>
      <c r="HL172" s="248"/>
      <c r="HM172" s="248"/>
      <c r="HN172" s="248"/>
      <c r="HO172" s="248"/>
      <c r="HP172" s="248"/>
      <c r="HQ172" s="248"/>
      <c r="HR172" s="248"/>
      <c r="HS172" s="248"/>
      <c r="HT172" s="248"/>
      <c r="HU172" s="248"/>
      <c r="HV172" s="248"/>
      <c r="HW172" s="248"/>
      <c r="HX172" s="248"/>
      <c r="HY172" s="248"/>
      <c r="HZ172" s="248"/>
      <c r="IA172" s="248"/>
      <c r="IB172" s="248"/>
      <c r="IC172" s="248"/>
      <c r="ID172" s="248"/>
      <c r="IE172" s="248"/>
      <c r="IF172" s="248"/>
      <c r="IG172" s="248"/>
      <c r="IH172" s="248"/>
      <c r="II172" s="248"/>
      <c r="IJ172" s="248"/>
      <c r="IK172" s="248"/>
      <c r="IL172" s="248"/>
      <c r="IM172" s="248"/>
      <c r="IN172" s="248"/>
    </row>
    <row r="173" spans="1:248" s="164" customFormat="1">
      <c r="A173" s="242"/>
      <c r="B173" s="248"/>
      <c r="C173" s="248"/>
      <c r="D173" s="316"/>
      <c r="E173" s="316"/>
      <c r="F173" s="248"/>
      <c r="G173" s="316"/>
      <c r="H173" s="248"/>
      <c r="I173" s="248"/>
      <c r="J173" s="279"/>
      <c r="K173" s="35"/>
      <c r="L173" s="35"/>
      <c r="M173" s="35"/>
      <c r="N173" s="35"/>
      <c r="O173" s="58"/>
      <c r="P173" s="35"/>
      <c r="Q173" s="35"/>
      <c r="R173" s="248"/>
      <c r="S173" s="248"/>
      <c r="T173" s="248"/>
      <c r="U173" s="248"/>
      <c r="V173" s="248"/>
      <c r="W173" s="313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248"/>
      <c r="AP173" s="248"/>
      <c r="AQ173" s="248"/>
      <c r="AR173" s="248"/>
      <c r="AS173" s="248"/>
      <c r="AT173" s="248"/>
      <c r="AU173" s="248"/>
      <c r="AV173" s="248"/>
      <c r="AW173" s="248"/>
      <c r="AX173" s="248"/>
      <c r="AY173" s="248"/>
      <c r="AZ173" s="248"/>
      <c r="BA173" s="248"/>
      <c r="BB173" s="248"/>
      <c r="BC173" s="248"/>
      <c r="BD173" s="248"/>
      <c r="BE173" s="248"/>
      <c r="BF173" s="248"/>
      <c r="BG173" s="248"/>
      <c r="BH173" s="248"/>
      <c r="BI173" s="248"/>
      <c r="BJ173" s="248"/>
      <c r="BK173" s="248"/>
      <c r="BL173" s="248"/>
      <c r="BM173" s="248"/>
      <c r="BN173" s="248"/>
      <c r="BO173" s="248"/>
      <c r="BP173" s="248"/>
      <c r="BQ173" s="248"/>
      <c r="BR173" s="248"/>
      <c r="BS173" s="248"/>
      <c r="BT173" s="248"/>
      <c r="BU173" s="248"/>
      <c r="BV173" s="248"/>
      <c r="BW173" s="248"/>
      <c r="BX173" s="248"/>
      <c r="BY173" s="248"/>
      <c r="BZ173" s="248"/>
      <c r="CA173" s="248"/>
      <c r="CB173" s="248"/>
      <c r="CC173" s="248"/>
      <c r="CD173" s="248"/>
      <c r="CE173" s="248"/>
      <c r="CF173" s="248"/>
      <c r="CG173" s="248"/>
      <c r="CH173" s="248"/>
      <c r="CI173" s="248"/>
      <c r="CJ173" s="248"/>
      <c r="CK173" s="248"/>
      <c r="CL173" s="248"/>
      <c r="CM173" s="248"/>
      <c r="CN173" s="248"/>
      <c r="CO173" s="248"/>
      <c r="CP173" s="248"/>
      <c r="CQ173" s="248"/>
      <c r="CR173" s="248"/>
      <c r="CS173" s="248"/>
      <c r="CT173" s="248"/>
      <c r="CU173" s="248"/>
      <c r="CV173" s="248"/>
      <c r="CW173" s="248"/>
      <c r="CX173" s="248"/>
      <c r="CY173" s="248"/>
      <c r="CZ173" s="248"/>
      <c r="DA173" s="248"/>
      <c r="DB173" s="248"/>
      <c r="DC173" s="248"/>
      <c r="DD173" s="248"/>
      <c r="DE173" s="248"/>
      <c r="DF173" s="248"/>
      <c r="DG173" s="248"/>
      <c r="DH173" s="248"/>
      <c r="DI173" s="248"/>
      <c r="DJ173" s="248"/>
      <c r="DK173" s="248"/>
      <c r="DL173" s="248"/>
      <c r="DM173" s="248"/>
      <c r="DN173" s="248"/>
      <c r="DO173" s="248"/>
      <c r="DP173" s="248"/>
      <c r="DQ173" s="248"/>
      <c r="DR173" s="248"/>
      <c r="DS173" s="248"/>
      <c r="DT173" s="248"/>
      <c r="DU173" s="248"/>
      <c r="DV173" s="248"/>
      <c r="DW173" s="248"/>
      <c r="DX173" s="248"/>
      <c r="DY173" s="248"/>
      <c r="DZ173" s="248"/>
      <c r="EA173" s="248"/>
      <c r="EB173" s="248"/>
      <c r="EC173" s="248"/>
      <c r="ED173" s="248"/>
      <c r="EE173" s="248"/>
      <c r="EF173" s="248"/>
      <c r="EG173" s="248"/>
      <c r="EH173" s="248"/>
      <c r="EI173" s="248"/>
      <c r="EJ173" s="248"/>
      <c r="EK173" s="248"/>
      <c r="EL173" s="248"/>
      <c r="EM173" s="248"/>
      <c r="EN173" s="248"/>
      <c r="EO173" s="248"/>
      <c r="EP173" s="248"/>
      <c r="EQ173" s="248"/>
      <c r="ER173" s="248"/>
      <c r="ES173" s="248"/>
      <c r="ET173" s="248"/>
      <c r="EU173" s="248"/>
      <c r="EV173" s="248"/>
      <c r="EW173" s="248"/>
      <c r="EX173" s="248"/>
      <c r="EY173" s="248"/>
      <c r="EZ173" s="248"/>
      <c r="FA173" s="248"/>
      <c r="FB173" s="248"/>
      <c r="FC173" s="248"/>
      <c r="FD173" s="248"/>
      <c r="FE173" s="248"/>
      <c r="FF173" s="248"/>
      <c r="FG173" s="248"/>
      <c r="FH173" s="248"/>
      <c r="FI173" s="248"/>
      <c r="FJ173" s="248"/>
      <c r="FK173" s="248"/>
      <c r="FL173" s="248"/>
      <c r="FM173" s="248"/>
      <c r="FN173" s="248"/>
      <c r="FO173" s="248"/>
      <c r="FP173" s="248"/>
      <c r="FQ173" s="248"/>
      <c r="FR173" s="248"/>
      <c r="FS173" s="248"/>
      <c r="FT173" s="248"/>
      <c r="FU173" s="248"/>
      <c r="FV173" s="248"/>
      <c r="FW173" s="248"/>
      <c r="FX173" s="248"/>
      <c r="FY173" s="248"/>
      <c r="FZ173" s="248"/>
      <c r="GA173" s="248"/>
      <c r="GB173" s="248"/>
      <c r="GC173" s="248"/>
      <c r="GD173" s="248"/>
      <c r="GE173" s="248"/>
      <c r="GF173" s="248"/>
      <c r="GG173" s="248"/>
      <c r="GH173" s="248"/>
      <c r="GI173" s="248"/>
      <c r="GJ173" s="248"/>
      <c r="GK173" s="248"/>
      <c r="GL173" s="248"/>
      <c r="GM173" s="248"/>
      <c r="GN173" s="248"/>
      <c r="GO173" s="248"/>
      <c r="GP173" s="248"/>
      <c r="GQ173" s="248"/>
      <c r="GR173" s="248"/>
      <c r="GS173" s="248"/>
      <c r="GT173" s="248"/>
      <c r="GU173" s="248"/>
      <c r="GV173" s="248"/>
      <c r="GW173" s="248"/>
      <c r="GX173" s="248"/>
      <c r="GY173" s="248"/>
      <c r="GZ173" s="248"/>
      <c r="HA173" s="248"/>
      <c r="HB173" s="248"/>
      <c r="HC173" s="248"/>
      <c r="HD173" s="248"/>
      <c r="HE173" s="248"/>
      <c r="HF173" s="248"/>
      <c r="HG173" s="248"/>
      <c r="HH173" s="248"/>
      <c r="HI173" s="248"/>
      <c r="HJ173" s="248"/>
      <c r="HK173" s="248"/>
      <c r="HL173" s="248"/>
      <c r="HM173" s="248"/>
      <c r="HN173" s="248"/>
      <c r="HO173" s="248"/>
      <c r="HP173" s="248"/>
      <c r="HQ173" s="248"/>
      <c r="HR173" s="248"/>
      <c r="HS173" s="248"/>
      <c r="HT173" s="248"/>
      <c r="HU173" s="248"/>
      <c r="HV173" s="248"/>
      <c r="HW173" s="248"/>
      <c r="HX173" s="248"/>
      <c r="HY173" s="248"/>
      <c r="HZ173" s="248"/>
      <c r="IA173" s="248"/>
      <c r="IB173" s="248"/>
      <c r="IC173" s="248"/>
      <c r="ID173" s="248"/>
      <c r="IE173" s="248"/>
      <c r="IF173" s="248"/>
      <c r="IG173" s="248"/>
      <c r="IH173" s="248"/>
      <c r="II173" s="248"/>
      <c r="IJ173" s="248"/>
      <c r="IK173" s="248"/>
      <c r="IL173" s="248"/>
      <c r="IM173" s="248"/>
      <c r="IN173" s="248"/>
    </row>
    <row r="174" spans="1:248" s="164" customFormat="1">
      <c r="A174" s="242"/>
      <c r="B174" s="248"/>
      <c r="C174" s="248"/>
      <c r="D174" s="316"/>
      <c r="E174" s="316"/>
      <c r="F174" s="248"/>
      <c r="G174" s="316"/>
      <c r="H174" s="248"/>
      <c r="I174" s="248"/>
      <c r="J174" s="279"/>
      <c r="K174" s="35"/>
      <c r="L174" s="35"/>
      <c r="M174" s="35"/>
      <c r="N174" s="35"/>
      <c r="O174" s="58"/>
      <c r="P174" s="35"/>
      <c r="Q174" s="35"/>
      <c r="R174" s="248"/>
      <c r="S174" s="248"/>
      <c r="T174" s="248"/>
      <c r="U174" s="248"/>
      <c r="V174" s="248"/>
      <c r="W174" s="313"/>
      <c r="X174" s="248"/>
      <c r="Y174" s="248"/>
      <c r="Z174" s="248"/>
      <c r="AA174" s="248"/>
      <c r="AB174" s="248"/>
      <c r="AC174" s="248"/>
      <c r="AD174" s="248"/>
      <c r="AE174" s="248"/>
      <c r="AF174" s="248"/>
      <c r="AG174" s="248"/>
      <c r="AH174" s="248"/>
      <c r="AI174" s="248"/>
      <c r="AJ174" s="248"/>
      <c r="AK174" s="248"/>
      <c r="AL174" s="248"/>
      <c r="AM174" s="248"/>
      <c r="AN174" s="248"/>
      <c r="AO174" s="248"/>
      <c r="AP174" s="248"/>
      <c r="AQ174" s="248"/>
      <c r="AR174" s="248"/>
      <c r="AS174" s="248"/>
      <c r="AT174" s="248"/>
      <c r="AU174" s="248"/>
      <c r="AV174" s="248"/>
      <c r="AW174" s="248"/>
      <c r="AX174" s="248"/>
      <c r="AY174" s="248"/>
      <c r="AZ174" s="248"/>
      <c r="BA174" s="248"/>
      <c r="BB174" s="248"/>
      <c r="BC174" s="248"/>
      <c r="BD174" s="248"/>
      <c r="BE174" s="248"/>
      <c r="BF174" s="248"/>
      <c r="BG174" s="248"/>
      <c r="BH174" s="248"/>
      <c r="BI174" s="248"/>
      <c r="BJ174" s="248"/>
      <c r="BK174" s="248"/>
      <c r="BL174" s="248"/>
      <c r="BM174" s="248"/>
      <c r="BN174" s="248"/>
      <c r="BO174" s="248"/>
      <c r="BP174" s="248"/>
      <c r="BQ174" s="248"/>
      <c r="BR174" s="248"/>
      <c r="BS174" s="248"/>
      <c r="BT174" s="248"/>
      <c r="BU174" s="248"/>
      <c r="BV174" s="248"/>
      <c r="BW174" s="248"/>
      <c r="BX174" s="248"/>
      <c r="BY174" s="248"/>
      <c r="BZ174" s="248"/>
      <c r="CA174" s="248"/>
      <c r="CB174" s="248"/>
      <c r="CC174" s="248"/>
      <c r="CD174" s="248"/>
      <c r="CE174" s="248"/>
      <c r="CF174" s="248"/>
      <c r="CG174" s="248"/>
      <c r="CH174" s="248"/>
      <c r="CI174" s="248"/>
      <c r="CJ174" s="248"/>
      <c r="CK174" s="248"/>
      <c r="CL174" s="248"/>
      <c r="CM174" s="248"/>
      <c r="CN174" s="248"/>
      <c r="CO174" s="248"/>
      <c r="CP174" s="248"/>
      <c r="CQ174" s="248"/>
      <c r="CR174" s="248"/>
      <c r="CS174" s="248"/>
      <c r="CT174" s="248"/>
      <c r="CU174" s="248"/>
      <c r="CV174" s="248"/>
      <c r="CW174" s="248"/>
      <c r="CX174" s="248"/>
      <c r="CY174" s="248"/>
      <c r="CZ174" s="248"/>
      <c r="DA174" s="248"/>
      <c r="DB174" s="248"/>
      <c r="DC174" s="248"/>
      <c r="DD174" s="248"/>
      <c r="DE174" s="248"/>
      <c r="DF174" s="248"/>
      <c r="DG174" s="248"/>
      <c r="DH174" s="248"/>
      <c r="DI174" s="248"/>
      <c r="DJ174" s="248"/>
      <c r="DK174" s="248"/>
      <c r="DL174" s="248"/>
      <c r="DM174" s="248"/>
      <c r="DN174" s="248"/>
      <c r="DO174" s="248"/>
      <c r="DP174" s="248"/>
      <c r="DQ174" s="248"/>
      <c r="DR174" s="248"/>
      <c r="DS174" s="248"/>
      <c r="DT174" s="248"/>
      <c r="DU174" s="248"/>
      <c r="DV174" s="248"/>
      <c r="DW174" s="248"/>
      <c r="DX174" s="248"/>
      <c r="DY174" s="248"/>
      <c r="DZ174" s="248"/>
      <c r="EA174" s="248"/>
      <c r="EB174" s="248"/>
      <c r="EC174" s="248"/>
      <c r="ED174" s="248"/>
      <c r="EE174" s="248"/>
      <c r="EF174" s="248"/>
      <c r="EG174" s="248"/>
      <c r="EH174" s="248"/>
      <c r="EI174" s="248"/>
      <c r="EJ174" s="248"/>
      <c r="EK174" s="248"/>
      <c r="EL174" s="248"/>
      <c r="EM174" s="248"/>
      <c r="EN174" s="248"/>
      <c r="EO174" s="248"/>
      <c r="EP174" s="248"/>
      <c r="EQ174" s="248"/>
      <c r="ER174" s="248"/>
      <c r="ES174" s="248"/>
      <c r="ET174" s="248"/>
      <c r="EU174" s="248"/>
      <c r="EV174" s="248"/>
      <c r="EW174" s="248"/>
      <c r="EX174" s="248"/>
      <c r="EY174" s="248"/>
      <c r="EZ174" s="248"/>
      <c r="FA174" s="248"/>
      <c r="FB174" s="248"/>
      <c r="FC174" s="248"/>
      <c r="FD174" s="248"/>
      <c r="FE174" s="248"/>
      <c r="FF174" s="248"/>
      <c r="FG174" s="248"/>
      <c r="FH174" s="248"/>
      <c r="FI174" s="248"/>
      <c r="FJ174" s="248"/>
      <c r="FK174" s="248"/>
      <c r="FL174" s="248"/>
      <c r="FM174" s="248"/>
      <c r="FN174" s="248"/>
      <c r="FO174" s="248"/>
      <c r="FP174" s="248"/>
      <c r="FQ174" s="248"/>
      <c r="FR174" s="248"/>
      <c r="FS174" s="248"/>
      <c r="FT174" s="248"/>
      <c r="FU174" s="248"/>
      <c r="FV174" s="248"/>
      <c r="FW174" s="248"/>
      <c r="FX174" s="248"/>
      <c r="FY174" s="248"/>
      <c r="FZ174" s="248"/>
      <c r="GA174" s="248"/>
      <c r="GB174" s="248"/>
      <c r="GC174" s="248"/>
      <c r="GD174" s="248"/>
      <c r="GE174" s="248"/>
      <c r="GF174" s="248"/>
      <c r="GG174" s="248"/>
      <c r="GH174" s="248"/>
      <c r="GI174" s="248"/>
      <c r="GJ174" s="248"/>
      <c r="GK174" s="248"/>
      <c r="GL174" s="248"/>
      <c r="GM174" s="248"/>
      <c r="GN174" s="248"/>
      <c r="GO174" s="248"/>
      <c r="GP174" s="248"/>
      <c r="GQ174" s="248"/>
      <c r="GR174" s="248"/>
      <c r="GS174" s="248"/>
      <c r="GT174" s="248"/>
      <c r="GU174" s="248"/>
      <c r="GV174" s="248"/>
      <c r="GW174" s="248"/>
      <c r="GX174" s="248"/>
      <c r="GY174" s="248"/>
      <c r="GZ174" s="248"/>
      <c r="HA174" s="248"/>
      <c r="HB174" s="248"/>
      <c r="HC174" s="248"/>
      <c r="HD174" s="248"/>
      <c r="HE174" s="248"/>
      <c r="HF174" s="248"/>
      <c r="HG174" s="248"/>
      <c r="HH174" s="248"/>
      <c r="HI174" s="248"/>
      <c r="HJ174" s="248"/>
      <c r="HK174" s="248"/>
      <c r="HL174" s="248"/>
      <c r="HM174" s="248"/>
      <c r="HN174" s="248"/>
      <c r="HO174" s="248"/>
      <c r="HP174" s="248"/>
      <c r="HQ174" s="248"/>
      <c r="HR174" s="248"/>
      <c r="HS174" s="248"/>
      <c r="HT174" s="248"/>
      <c r="HU174" s="248"/>
      <c r="HV174" s="248"/>
      <c r="HW174" s="248"/>
      <c r="HX174" s="248"/>
      <c r="HY174" s="248"/>
      <c r="HZ174" s="248"/>
      <c r="IA174" s="248"/>
      <c r="IB174" s="248"/>
      <c r="IC174" s="248"/>
      <c r="ID174" s="248"/>
      <c r="IE174" s="248"/>
      <c r="IF174" s="248"/>
      <c r="IG174" s="248"/>
      <c r="IH174" s="248"/>
      <c r="II174" s="248"/>
      <c r="IJ174" s="248"/>
      <c r="IK174" s="248"/>
      <c r="IL174" s="248"/>
      <c r="IM174" s="248"/>
      <c r="IN174" s="248"/>
    </row>
    <row r="175" spans="1:248" s="164" customFormat="1">
      <c r="A175" s="242"/>
      <c r="B175" s="248"/>
      <c r="C175" s="248"/>
      <c r="D175" s="316"/>
      <c r="E175" s="316"/>
      <c r="F175" s="248"/>
      <c r="G175" s="316"/>
      <c r="H175" s="248"/>
      <c r="I175" s="248"/>
      <c r="J175" s="279"/>
      <c r="K175" s="35"/>
      <c r="L175" s="35"/>
      <c r="M175" s="35"/>
      <c r="N175" s="35"/>
      <c r="O175" s="58"/>
      <c r="P175" s="35"/>
      <c r="Q175" s="35"/>
      <c r="R175" s="248"/>
      <c r="S175" s="248"/>
      <c r="T175" s="248"/>
      <c r="U175" s="248"/>
      <c r="V175" s="248"/>
      <c r="W175" s="313"/>
      <c r="X175" s="248"/>
      <c r="Y175" s="248"/>
      <c r="Z175" s="248"/>
      <c r="AA175" s="248"/>
      <c r="AB175" s="248"/>
      <c r="AC175" s="248"/>
      <c r="AD175" s="248"/>
      <c r="AE175" s="248"/>
      <c r="AF175" s="248"/>
      <c r="AG175" s="248"/>
      <c r="AH175" s="248"/>
      <c r="AI175" s="248"/>
      <c r="AJ175" s="248"/>
      <c r="AK175" s="248"/>
      <c r="AL175" s="248"/>
      <c r="AM175" s="248"/>
      <c r="AN175" s="248"/>
      <c r="AO175" s="248"/>
      <c r="AP175" s="248"/>
      <c r="AQ175" s="248"/>
      <c r="AR175" s="248"/>
      <c r="AS175" s="248"/>
      <c r="AT175" s="248"/>
      <c r="AU175" s="248"/>
      <c r="AV175" s="248"/>
      <c r="AW175" s="248"/>
      <c r="AX175" s="248"/>
      <c r="AY175" s="248"/>
      <c r="AZ175" s="248"/>
      <c r="BA175" s="248"/>
      <c r="BB175" s="248"/>
      <c r="BC175" s="248"/>
      <c r="BD175" s="248"/>
      <c r="BE175" s="248"/>
      <c r="BF175" s="248"/>
      <c r="BG175" s="248"/>
      <c r="BH175" s="248"/>
      <c r="BI175" s="248"/>
      <c r="BJ175" s="248"/>
      <c r="BK175" s="248"/>
      <c r="BL175" s="248"/>
      <c r="BM175" s="248"/>
      <c r="BN175" s="248"/>
      <c r="BO175" s="248"/>
      <c r="BP175" s="248"/>
      <c r="BQ175" s="248"/>
      <c r="BR175" s="248"/>
      <c r="BS175" s="248"/>
      <c r="BT175" s="248"/>
      <c r="BU175" s="248"/>
      <c r="BV175" s="248"/>
      <c r="BW175" s="248"/>
      <c r="BX175" s="248"/>
      <c r="BY175" s="248"/>
      <c r="BZ175" s="248"/>
      <c r="CA175" s="248"/>
      <c r="CB175" s="248"/>
      <c r="CC175" s="248"/>
      <c r="CD175" s="248"/>
      <c r="CE175" s="248"/>
      <c r="CF175" s="248"/>
      <c r="CG175" s="248"/>
      <c r="CH175" s="248"/>
      <c r="CI175" s="248"/>
      <c r="CJ175" s="248"/>
      <c r="CK175" s="248"/>
      <c r="CL175" s="248"/>
      <c r="CM175" s="248"/>
      <c r="CN175" s="248"/>
      <c r="CO175" s="248"/>
      <c r="CP175" s="248"/>
      <c r="CQ175" s="248"/>
      <c r="CR175" s="248"/>
      <c r="CS175" s="248"/>
      <c r="CT175" s="248"/>
      <c r="CU175" s="248"/>
      <c r="CV175" s="248"/>
      <c r="CW175" s="248"/>
      <c r="CX175" s="248"/>
      <c r="CY175" s="248"/>
      <c r="CZ175" s="248"/>
      <c r="DA175" s="248"/>
      <c r="DB175" s="248"/>
      <c r="DC175" s="248"/>
      <c r="DD175" s="248"/>
      <c r="DE175" s="248"/>
      <c r="DF175" s="248"/>
      <c r="DG175" s="248"/>
      <c r="DH175" s="248"/>
      <c r="DI175" s="248"/>
      <c r="DJ175" s="248"/>
      <c r="DK175" s="248"/>
      <c r="DL175" s="248"/>
      <c r="DM175" s="248"/>
      <c r="DN175" s="248"/>
      <c r="DO175" s="248"/>
      <c r="DP175" s="248"/>
      <c r="DQ175" s="248"/>
      <c r="DR175" s="248"/>
      <c r="DS175" s="248"/>
      <c r="DT175" s="248"/>
      <c r="DU175" s="248"/>
      <c r="DV175" s="248"/>
      <c r="DW175" s="248"/>
      <c r="DX175" s="248"/>
      <c r="DY175" s="248"/>
      <c r="DZ175" s="248"/>
      <c r="EA175" s="248"/>
      <c r="EB175" s="248"/>
      <c r="EC175" s="248"/>
      <c r="ED175" s="248"/>
      <c r="EE175" s="248"/>
      <c r="EF175" s="248"/>
      <c r="EG175" s="248"/>
      <c r="EH175" s="248"/>
      <c r="EI175" s="248"/>
      <c r="EJ175" s="248"/>
      <c r="EK175" s="248"/>
      <c r="EL175" s="248"/>
      <c r="EM175" s="248"/>
      <c r="EN175" s="248"/>
      <c r="EO175" s="248"/>
      <c r="EP175" s="248"/>
      <c r="EQ175" s="248"/>
      <c r="ER175" s="248"/>
      <c r="ES175" s="248"/>
      <c r="ET175" s="248"/>
      <c r="EU175" s="248"/>
      <c r="EV175" s="248"/>
      <c r="EW175" s="248"/>
      <c r="EX175" s="248"/>
      <c r="EY175" s="248"/>
      <c r="EZ175" s="248"/>
      <c r="FA175" s="248"/>
      <c r="FB175" s="248"/>
      <c r="FC175" s="248"/>
      <c r="FD175" s="248"/>
      <c r="FE175" s="248"/>
      <c r="FF175" s="248"/>
      <c r="FG175" s="248"/>
      <c r="FH175" s="248"/>
      <c r="FI175" s="248"/>
      <c r="FJ175" s="248"/>
      <c r="FK175" s="248"/>
      <c r="FL175" s="248"/>
      <c r="FM175" s="248"/>
      <c r="FN175" s="248"/>
      <c r="FO175" s="248"/>
      <c r="FP175" s="248"/>
      <c r="FQ175" s="248"/>
      <c r="FR175" s="248"/>
      <c r="FS175" s="248"/>
      <c r="FT175" s="248"/>
      <c r="FU175" s="248"/>
      <c r="FV175" s="248"/>
      <c r="FW175" s="248"/>
      <c r="FX175" s="248"/>
      <c r="FY175" s="248"/>
      <c r="FZ175" s="248"/>
      <c r="GA175" s="248"/>
      <c r="GB175" s="248"/>
      <c r="GC175" s="248"/>
      <c r="GD175" s="248"/>
      <c r="GE175" s="248"/>
      <c r="GF175" s="248"/>
      <c r="GG175" s="248"/>
      <c r="GH175" s="248"/>
      <c r="GI175" s="248"/>
      <c r="GJ175" s="248"/>
      <c r="GK175" s="248"/>
      <c r="GL175" s="248"/>
      <c r="GM175" s="248"/>
      <c r="GN175" s="248"/>
      <c r="GO175" s="248"/>
      <c r="GP175" s="248"/>
      <c r="GQ175" s="248"/>
      <c r="GR175" s="248"/>
      <c r="GS175" s="248"/>
      <c r="GT175" s="248"/>
      <c r="GU175" s="248"/>
      <c r="GV175" s="248"/>
      <c r="GW175" s="248"/>
      <c r="GX175" s="248"/>
      <c r="GY175" s="248"/>
      <c r="GZ175" s="248"/>
      <c r="HA175" s="248"/>
      <c r="HB175" s="248"/>
      <c r="HC175" s="248"/>
      <c r="HD175" s="248"/>
      <c r="HE175" s="248"/>
      <c r="HF175" s="248"/>
      <c r="HG175" s="248"/>
      <c r="HH175" s="248"/>
      <c r="HI175" s="248"/>
      <c r="HJ175" s="248"/>
      <c r="HK175" s="248"/>
      <c r="HL175" s="248"/>
      <c r="HM175" s="248"/>
      <c r="HN175" s="248"/>
      <c r="HO175" s="248"/>
      <c r="HP175" s="248"/>
      <c r="HQ175" s="248"/>
      <c r="HR175" s="248"/>
      <c r="HS175" s="248"/>
      <c r="HT175" s="248"/>
      <c r="HU175" s="248"/>
      <c r="HV175" s="248"/>
      <c r="HW175" s="248"/>
      <c r="HX175" s="248"/>
      <c r="HY175" s="248"/>
      <c r="HZ175" s="248"/>
      <c r="IA175" s="248"/>
      <c r="IB175" s="248"/>
      <c r="IC175" s="248"/>
      <c r="ID175" s="248"/>
      <c r="IE175" s="248"/>
      <c r="IF175" s="248"/>
      <c r="IG175" s="248"/>
      <c r="IH175" s="248"/>
      <c r="II175" s="248"/>
      <c r="IJ175" s="248"/>
      <c r="IK175" s="248"/>
      <c r="IL175" s="248"/>
      <c r="IM175" s="248"/>
      <c r="IN175" s="248"/>
    </row>
    <row r="176" spans="1:248" s="164" customFormat="1">
      <c r="A176" s="242"/>
      <c r="B176" s="248"/>
      <c r="C176" s="248"/>
      <c r="D176" s="316"/>
      <c r="E176" s="316"/>
      <c r="F176" s="248"/>
      <c r="G176" s="316"/>
      <c r="H176" s="248"/>
      <c r="I176" s="248"/>
      <c r="J176" s="279"/>
      <c r="K176" s="35"/>
      <c r="L176" s="35"/>
      <c r="M176" s="35"/>
      <c r="N176" s="35"/>
      <c r="O176" s="58"/>
      <c r="P176" s="35"/>
      <c r="Q176" s="35"/>
      <c r="R176" s="248"/>
      <c r="S176" s="248"/>
      <c r="T176" s="248"/>
      <c r="U176" s="248"/>
      <c r="V176" s="248"/>
      <c r="W176" s="313"/>
      <c r="X176" s="248"/>
      <c r="Y176" s="248"/>
      <c r="Z176" s="248"/>
      <c r="AA176" s="248"/>
      <c r="AB176" s="248"/>
      <c r="AC176" s="248"/>
      <c r="AD176" s="248"/>
      <c r="AE176" s="248"/>
      <c r="AF176" s="248"/>
      <c r="AG176" s="248"/>
      <c r="AH176" s="248"/>
      <c r="AI176" s="248"/>
      <c r="AJ176" s="248"/>
      <c r="AK176" s="248"/>
      <c r="AL176" s="248"/>
      <c r="AM176" s="248"/>
      <c r="AN176" s="248"/>
      <c r="AO176" s="248"/>
      <c r="AP176" s="248"/>
      <c r="AQ176" s="248"/>
      <c r="AR176" s="248"/>
      <c r="AS176" s="248"/>
      <c r="AT176" s="248"/>
      <c r="AU176" s="248"/>
      <c r="AV176" s="248"/>
      <c r="AW176" s="248"/>
      <c r="AX176" s="248"/>
      <c r="AY176" s="248"/>
      <c r="AZ176" s="248"/>
      <c r="BA176" s="248"/>
      <c r="BB176" s="248"/>
      <c r="BC176" s="248"/>
      <c r="BD176" s="248"/>
      <c r="BE176" s="248"/>
      <c r="BF176" s="248"/>
      <c r="BG176" s="248"/>
      <c r="BH176" s="248"/>
      <c r="BI176" s="248"/>
      <c r="BJ176" s="248"/>
      <c r="BK176" s="248"/>
      <c r="BL176" s="248"/>
      <c r="BM176" s="248"/>
      <c r="BN176" s="248"/>
      <c r="BO176" s="248"/>
      <c r="BP176" s="248"/>
      <c r="BQ176" s="248"/>
      <c r="BR176" s="248"/>
      <c r="BS176" s="248"/>
      <c r="BT176" s="248"/>
      <c r="BU176" s="248"/>
      <c r="BV176" s="248"/>
      <c r="BW176" s="248"/>
      <c r="BX176" s="248"/>
      <c r="BY176" s="248"/>
      <c r="BZ176" s="248"/>
      <c r="CA176" s="248"/>
      <c r="CB176" s="248"/>
      <c r="CC176" s="248"/>
      <c r="CD176" s="248"/>
      <c r="CE176" s="248"/>
      <c r="CF176" s="248"/>
      <c r="CG176" s="248"/>
      <c r="CH176" s="248"/>
      <c r="CI176" s="248"/>
      <c r="CJ176" s="248"/>
      <c r="CK176" s="248"/>
      <c r="CL176" s="248"/>
      <c r="CM176" s="248"/>
      <c r="CN176" s="248"/>
      <c r="CO176" s="248"/>
      <c r="CP176" s="248"/>
      <c r="CQ176" s="248"/>
      <c r="CR176" s="248"/>
      <c r="CS176" s="248"/>
      <c r="CT176" s="248"/>
      <c r="CU176" s="248"/>
      <c r="CV176" s="248"/>
      <c r="CW176" s="248"/>
      <c r="CX176" s="248"/>
      <c r="CY176" s="248"/>
      <c r="CZ176" s="248"/>
      <c r="DA176" s="248"/>
      <c r="DB176" s="248"/>
      <c r="DC176" s="248"/>
      <c r="DD176" s="248"/>
      <c r="DE176" s="248"/>
      <c r="DF176" s="248"/>
      <c r="DG176" s="248"/>
      <c r="DH176" s="248"/>
      <c r="DI176" s="248"/>
      <c r="DJ176" s="248"/>
      <c r="DK176" s="248"/>
      <c r="DL176" s="248"/>
      <c r="DM176" s="248"/>
      <c r="DN176" s="248"/>
      <c r="DO176" s="248"/>
      <c r="DP176" s="248"/>
      <c r="DQ176" s="248"/>
      <c r="DR176" s="248"/>
      <c r="DS176" s="248"/>
      <c r="DT176" s="248"/>
      <c r="DU176" s="248"/>
      <c r="DV176" s="248"/>
      <c r="DW176" s="248"/>
      <c r="DX176" s="248"/>
      <c r="DY176" s="248"/>
      <c r="DZ176" s="248"/>
      <c r="EA176" s="248"/>
      <c r="EB176" s="248"/>
      <c r="EC176" s="248"/>
      <c r="ED176" s="248"/>
      <c r="EE176" s="248"/>
      <c r="EF176" s="248"/>
      <c r="EG176" s="248"/>
      <c r="EH176" s="248"/>
      <c r="EI176" s="248"/>
      <c r="EJ176" s="248"/>
      <c r="EK176" s="248"/>
      <c r="EL176" s="248"/>
      <c r="EM176" s="248"/>
      <c r="EN176" s="248"/>
      <c r="EO176" s="248"/>
      <c r="EP176" s="248"/>
      <c r="EQ176" s="248"/>
      <c r="ER176" s="248"/>
      <c r="ES176" s="248"/>
      <c r="ET176" s="248"/>
      <c r="EU176" s="248"/>
      <c r="EV176" s="248"/>
      <c r="EW176" s="248"/>
      <c r="EX176" s="248"/>
      <c r="EY176" s="248"/>
      <c r="EZ176" s="248"/>
      <c r="FA176" s="248"/>
      <c r="FB176" s="248"/>
      <c r="FC176" s="248"/>
      <c r="FD176" s="248"/>
      <c r="FE176" s="248"/>
      <c r="FF176" s="248"/>
      <c r="FG176" s="248"/>
      <c r="FH176" s="248"/>
      <c r="FI176" s="248"/>
      <c r="FJ176" s="248"/>
      <c r="FK176" s="248"/>
      <c r="FL176" s="248"/>
      <c r="FM176" s="248"/>
      <c r="FN176" s="248"/>
      <c r="FO176" s="248"/>
      <c r="FP176" s="248"/>
      <c r="FQ176" s="248"/>
      <c r="FR176" s="248"/>
      <c r="FS176" s="248"/>
      <c r="FT176" s="248"/>
      <c r="FU176" s="248"/>
      <c r="FV176" s="248"/>
      <c r="FW176" s="248"/>
      <c r="FX176" s="248"/>
      <c r="FY176" s="248"/>
      <c r="FZ176" s="248"/>
      <c r="GA176" s="248"/>
      <c r="GB176" s="248"/>
      <c r="GC176" s="248"/>
      <c r="GD176" s="248"/>
      <c r="GE176" s="248"/>
      <c r="GF176" s="248"/>
      <c r="GG176" s="248"/>
      <c r="GH176" s="248"/>
      <c r="GI176" s="248"/>
      <c r="GJ176" s="248"/>
      <c r="GK176" s="248"/>
      <c r="GL176" s="248"/>
      <c r="GM176" s="248"/>
      <c r="GN176" s="248"/>
      <c r="GO176" s="248"/>
      <c r="GP176" s="248"/>
      <c r="GQ176" s="248"/>
      <c r="GR176" s="248"/>
      <c r="GS176" s="248"/>
      <c r="GT176" s="248"/>
      <c r="GU176" s="248"/>
      <c r="GV176" s="248"/>
      <c r="GW176" s="248"/>
      <c r="GX176" s="248"/>
      <c r="GY176" s="248"/>
      <c r="GZ176" s="248"/>
      <c r="HA176" s="248"/>
      <c r="HB176" s="248"/>
      <c r="HC176" s="248"/>
      <c r="HD176" s="248"/>
      <c r="HE176" s="248"/>
      <c r="HF176" s="248"/>
      <c r="HG176" s="248"/>
      <c r="HH176" s="248"/>
      <c r="HI176" s="248"/>
      <c r="HJ176" s="248"/>
      <c r="HK176" s="248"/>
      <c r="HL176" s="248"/>
      <c r="HM176" s="248"/>
      <c r="HN176" s="248"/>
      <c r="HO176" s="248"/>
      <c r="HP176" s="248"/>
      <c r="HQ176" s="248"/>
      <c r="HR176" s="248"/>
      <c r="HS176" s="248"/>
      <c r="HT176" s="248"/>
      <c r="HU176" s="248"/>
      <c r="HV176" s="248"/>
      <c r="HW176" s="248"/>
      <c r="HX176" s="248"/>
      <c r="HY176" s="248"/>
      <c r="HZ176" s="248"/>
      <c r="IA176" s="248"/>
      <c r="IB176" s="248"/>
      <c r="IC176" s="248"/>
      <c r="ID176" s="248"/>
      <c r="IE176" s="248"/>
      <c r="IF176" s="248"/>
      <c r="IG176" s="248"/>
      <c r="IH176" s="248"/>
      <c r="II176" s="248"/>
      <c r="IJ176" s="248"/>
      <c r="IK176" s="248"/>
      <c r="IL176" s="248"/>
      <c r="IM176" s="248"/>
      <c r="IN176" s="248"/>
    </row>
    <row r="177" spans="1:248" s="164" customFormat="1">
      <c r="A177" s="242"/>
      <c r="B177" s="248"/>
      <c r="C177" s="248"/>
      <c r="D177" s="316"/>
      <c r="E177" s="316"/>
      <c r="F177" s="248"/>
      <c r="G177" s="316"/>
      <c r="H177" s="248"/>
      <c r="I177" s="248"/>
      <c r="J177" s="279"/>
      <c r="K177" s="35"/>
      <c r="L177" s="35"/>
      <c r="M177" s="35"/>
      <c r="N177" s="35"/>
      <c r="O177" s="58"/>
      <c r="P177" s="35"/>
      <c r="Q177" s="35"/>
      <c r="R177" s="248"/>
      <c r="S177" s="248"/>
      <c r="T177" s="248"/>
      <c r="U177" s="248"/>
      <c r="V177" s="248"/>
      <c r="W177" s="313"/>
      <c r="X177" s="248"/>
      <c r="Y177" s="248"/>
      <c r="Z177" s="248"/>
      <c r="AA177" s="248"/>
      <c r="AB177" s="248"/>
      <c r="AC177" s="248"/>
      <c r="AD177" s="248"/>
      <c r="AE177" s="248"/>
      <c r="AF177" s="248"/>
      <c r="AG177" s="248"/>
      <c r="AH177" s="248"/>
      <c r="AI177" s="248"/>
      <c r="AJ177" s="248"/>
      <c r="AK177" s="248"/>
      <c r="AL177" s="248"/>
      <c r="AM177" s="248"/>
      <c r="AN177" s="248"/>
      <c r="AO177" s="248"/>
      <c r="AP177" s="248"/>
      <c r="AQ177" s="248"/>
      <c r="AR177" s="248"/>
      <c r="AS177" s="248"/>
      <c r="AT177" s="248"/>
      <c r="AU177" s="248"/>
      <c r="AV177" s="248"/>
      <c r="AW177" s="248"/>
      <c r="AX177" s="248"/>
      <c r="AY177" s="248"/>
      <c r="AZ177" s="248"/>
      <c r="BA177" s="248"/>
      <c r="BB177" s="248"/>
      <c r="BC177" s="248"/>
      <c r="BD177" s="248"/>
      <c r="BE177" s="248"/>
      <c r="BF177" s="248"/>
      <c r="BG177" s="248"/>
      <c r="BH177" s="248"/>
      <c r="BI177" s="248"/>
      <c r="BJ177" s="248"/>
      <c r="BK177" s="248"/>
      <c r="BL177" s="248"/>
      <c r="BM177" s="248"/>
      <c r="BN177" s="248"/>
      <c r="BO177" s="248"/>
      <c r="BP177" s="248"/>
      <c r="BQ177" s="248"/>
      <c r="BR177" s="248"/>
      <c r="BS177" s="248"/>
      <c r="BT177" s="248"/>
      <c r="BU177" s="248"/>
      <c r="BV177" s="248"/>
      <c r="BW177" s="248"/>
      <c r="BX177" s="248"/>
      <c r="BY177" s="248"/>
      <c r="BZ177" s="248"/>
      <c r="CA177" s="248"/>
      <c r="CB177" s="248"/>
      <c r="CC177" s="248"/>
      <c r="CD177" s="248"/>
      <c r="CE177" s="248"/>
      <c r="CF177" s="248"/>
      <c r="CG177" s="248"/>
      <c r="CH177" s="248"/>
      <c r="CI177" s="248"/>
      <c r="CJ177" s="248"/>
      <c r="CK177" s="248"/>
      <c r="CL177" s="248"/>
      <c r="CM177" s="248"/>
      <c r="CN177" s="248"/>
      <c r="CO177" s="248"/>
      <c r="CP177" s="248"/>
      <c r="CQ177" s="248"/>
      <c r="CR177" s="248"/>
      <c r="CS177" s="248"/>
      <c r="CT177" s="248"/>
      <c r="CU177" s="248"/>
      <c r="CV177" s="248"/>
      <c r="CW177" s="248"/>
      <c r="CX177" s="248"/>
      <c r="CY177" s="248"/>
      <c r="CZ177" s="248"/>
      <c r="DA177" s="248"/>
      <c r="DB177" s="248"/>
      <c r="DC177" s="248"/>
      <c r="DD177" s="248"/>
      <c r="DE177" s="248"/>
      <c r="DF177" s="248"/>
      <c r="DG177" s="248"/>
      <c r="DH177" s="248"/>
      <c r="DI177" s="248"/>
      <c r="DJ177" s="248"/>
      <c r="DK177" s="248"/>
      <c r="DL177" s="248"/>
      <c r="DM177" s="248"/>
      <c r="DN177" s="248"/>
      <c r="DO177" s="248"/>
      <c r="DP177" s="248"/>
      <c r="DQ177" s="248"/>
      <c r="DR177" s="248"/>
      <c r="DS177" s="248"/>
      <c r="DT177" s="248"/>
      <c r="DU177" s="248"/>
      <c r="DV177" s="248"/>
      <c r="DW177" s="248"/>
      <c r="DX177" s="248"/>
      <c r="DY177" s="248"/>
      <c r="DZ177" s="248"/>
      <c r="EA177" s="248"/>
      <c r="EB177" s="248"/>
      <c r="EC177" s="248"/>
      <c r="ED177" s="248"/>
      <c r="EE177" s="248"/>
      <c r="EF177" s="248"/>
      <c r="EG177" s="248"/>
      <c r="EH177" s="248"/>
      <c r="EI177" s="248"/>
      <c r="EJ177" s="248"/>
      <c r="EK177" s="248"/>
      <c r="EL177" s="248"/>
      <c r="EM177" s="248"/>
      <c r="EN177" s="248"/>
      <c r="EO177" s="248"/>
      <c r="EP177" s="248"/>
      <c r="EQ177" s="248"/>
      <c r="ER177" s="248"/>
      <c r="ES177" s="248"/>
      <c r="ET177" s="248"/>
      <c r="EU177" s="248"/>
      <c r="EV177" s="248"/>
      <c r="EW177" s="248"/>
      <c r="EX177" s="248"/>
      <c r="EY177" s="248"/>
      <c r="EZ177" s="248"/>
      <c r="FA177" s="248"/>
      <c r="FB177" s="248"/>
      <c r="FC177" s="248"/>
      <c r="FD177" s="248"/>
      <c r="FE177" s="248"/>
      <c r="FF177" s="248"/>
      <c r="FG177" s="248"/>
      <c r="FH177" s="248"/>
      <c r="FI177" s="248"/>
      <c r="FJ177" s="248"/>
      <c r="FK177" s="248"/>
      <c r="FL177" s="248"/>
      <c r="FM177" s="248"/>
      <c r="FN177" s="248"/>
      <c r="FO177" s="248"/>
      <c r="FP177" s="248"/>
      <c r="FQ177" s="248"/>
      <c r="FR177" s="248"/>
      <c r="FS177" s="248"/>
      <c r="FT177" s="248"/>
      <c r="FU177" s="248"/>
      <c r="FV177" s="248"/>
      <c r="FW177" s="248"/>
      <c r="FX177" s="248"/>
      <c r="FY177" s="248"/>
      <c r="FZ177" s="248"/>
      <c r="GA177" s="248"/>
      <c r="GB177" s="248"/>
      <c r="GC177" s="248"/>
      <c r="GD177" s="248"/>
      <c r="GE177" s="248"/>
      <c r="GF177" s="248"/>
      <c r="GG177" s="248"/>
      <c r="GH177" s="248"/>
      <c r="GI177" s="248"/>
      <c r="GJ177" s="248"/>
      <c r="GK177" s="248"/>
      <c r="GL177" s="248"/>
      <c r="GM177" s="248"/>
      <c r="GN177" s="248"/>
      <c r="GO177" s="248"/>
      <c r="GP177" s="248"/>
      <c r="GQ177" s="248"/>
      <c r="GR177" s="248"/>
      <c r="GS177" s="248"/>
      <c r="GT177" s="248"/>
      <c r="GU177" s="248"/>
      <c r="GV177" s="248"/>
      <c r="GW177" s="248"/>
      <c r="GX177" s="248"/>
      <c r="GY177" s="248"/>
      <c r="GZ177" s="248"/>
      <c r="HA177" s="248"/>
      <c r="HB177" s="248"/>
      <c r="HC177" s="248"/>
      <c r="HD177" s="248"/>
      <c r="HE177" s="248"/>
      <c r="HF177" s="248"/>
      <c r="HG177" s="248"/>
      <c r="HH177" s="248"/>
      <c r="HI177" s="248"/>
      <c r="HJ177" s="248"/>
      <c r="HK177" s="248"/>
      <c r="HL177" s="248"/>
      <c r="HM177" s="248"/>
      <c r="HN177" s="248"/>
      <c r="HO177" s="248"/>
      <c r="HP177" s="248"/>
      <c r="HQ177" s="248"/>
      <c r="HR177" s="248"/>
      <c r="HS177" s="248"/>
      <c r="HT177" s="248"/>
      <c r="HU177" s="248"/>
      <c r="HV177" s="248"/>
      <c r="HW177" s="248"/>
      <c r="HX177" s="248"/>
      <c r="HY177" s="248"/>
      <c r="HZ177" s="248"/>
      <c r="IA177" s="248"/>
      <c r="IB177" s="248"/>
      <c r="IC177" s="248"/>
      <c r="ID177" s="248"/>
      <c r="IE177" s="248"/>
      <c r="IF177" s="248"/>
      <c r="IG177" s="248"/>
      <c r="IH177" s="248"/>
      <c r="II177" s="248"/>
      <c r="IJ177" s="248"/>
      <c r="IK177" s="248"/>
      <c r="IL177" s="248"/>
      <c r="IM177" s="248"/>
      <c r="IN177" s="248"/>
    </row>
    <row r="178" spans="1:248" s="164" customFormat="1">
      <c r="A178" s="242"/>
      <c r="B178" s="248"/>
      <c r="C178" s="248"/>
      <c r="D178" s="316"/>
      <c r="E178" s="316"/>
      <c r="F178" s="248"/>
      <c r="G178" s="316"/>
      <c r="H178" s="248"/>
      <c r="I178" s="248"/>
      <c r="J178" s="279"/>
      <c r="K178" s="35"/>
      <c r="L178" s="35"/>
      <c r="M178" s="35"/>
      <c r="N178" s="35"/>
      <c r="O178" s="58"/>
      <c r="P178" s="35"/>
      <c r="Q178" s="35"/>
      <c r="R178" s="248"/>
      <c r="S178" s="248"/>
      <c r="T178" s="248"/>
      <c r="U178" s="248"/>
      <c r="V178" s="248"/>
      <c r="W178" s="313"/>
      <c r="X178" s="248"/>
      <c r="Y178" s="248"/>
      <c r="Z178" s="248"/>
      <c r="AA178" s="248"/>
      <c r="AB178" s="248"/>
      <c r="AC178" s="248"/>
      <c r="AD178" s="248"/>
      <c r="AE178" s="248"/>
      <c r="AF178" s="248"/>
      <c r="AG178" s="248"/>
      <c r="AH178" s="248"/>
      <c r="AI178" s="248"/>
      <c r="AJ178" s="248"/>
      <c r="AK178" s="248"/>
      <c r="AL178" s="248"/>
      <c r="AM178" s="248"/>
      <c r="AN178" s="248"/>
      <c r="AO178" s="248"/>
      <c r="AP178" s="248"/>
      <c r="AQ178" s="248"/>
      <c r="AR178" s="248"/>
      <c r="AS178" s="248"/>
      <c r="AT178" s="248"/>
      <c r="AU178" s="248"/>
      <c r="AV178" s="248"/>
      <c r="AW178" s="248"/>
      <c r="AX178" s="248"/>
      <c r="AY178" s="248"/>
      <c r="AZ178" s="248"/>
      <c r="BA178" s="248"/>
      <c r="BB178" s="248"/>
      <c r="BC178" s="248"/>
      <c r="BD178" s="248"/>
      <c r="BE178" s="248"/>
      <c r="BF178" s="248"/>
      <c r="BG178" s="248"/>
      <c r="BH178" s="248"/>
      <c r="BI178" s="248"/>
      <c r="BJ178" s="248"/>
      <c r="BK178" s="248"/>
      <c r="BL178" s="248"/>
      <c r="BM178" s="248"/>
      <c r="BN178" s="248"/>
      <c r="BO178" s="248"/>
      <c r="BP178" s="248"/>
      <c r="BQ178" s="248"/>
      <c r="BR178" s="248"/>
      <c r="BS178" s="248"/>
      <c r="BT178" s="248"/>
      <c r="BU178" s="248"/>
      <c r="BV178" s="248"/>
      <c r="BW178" s="248"/>
      <c r="BX178" s="248"/>
      <c r="BY178" s="248"/>
      <c r="BZ178" s="248"/>
      <c r="CA178" s="248"/>
      <c r="CB178" s="248"/>
      <c r="CC178" s="248"/>
      <c r="CD178" s="248"/>
      <c r="CE178" s="248"/>
      <c r="CF178" s="248"/>
      <c r="CG178" s="248"/>
      <c r="CH178" s="248"/>
      <c r="CI178" s="248"/>
      <c r="CJ178" s="248"/>
      <c r="CK178" s="248"/>
      <c r="CL178" s="248"/>
      <c r="CM178" s="248"/>
      <c r="CN178" s="248"/>
      <c r="CO178" s="248"/>
      <c r="CP178" s="248"/>
      <c r="CQ178" s="248"/>
      <c r="CR178" s="248"/>
      <c r="CS178" s="248"/>
      <c r="CT178" s="248"/>
      <c r="CU178" s="248"/>
      <c r="CV178" s="248"/>
      <c r="CW178" s="248"/>
      <c r="CX178" s="248"/>
      <c r="CY178" s="248"/>
      <c r="CZ178" s="248"/>
      <c r="DA178" s="248"/>
      <c r="DB178" s="248"/>
      <c r="DC178" s="248"/>
      <c r="DD178" s="248"/>
      <c r="DE178" s="248"/>
      <c r="DF178" s="248"/>
      <c r="DG178" s="248"/>
      <c r="DH178" s="248"/>
      <c r="DI178" s="248"/>
      <c r="DJ178" s="248"/>
      <c r="DK178" s="248"/>
      <c r="DL178" s="248"/>
      <c r="DM178" s="248"/>
      <c r="DN178" s="248"/>
      <c r="DO178" s="248"/>
      <c r="DP178" s="248"/>
      <c r="DQ178" s="248"/>
      <c r="DR178" s="248"/>
      <c r="DS178" s="248"/>
      <c r="DT178" s="248"/>
      <c r="DU178" s="248"/>
      <c r="DV178" s="248"/>
      <c r="DW178" s="248"/>
      <c r="DX178" s="248"/>
      <c r="DY178" s="248"/>
      <c r="DZ178" s="248"/>
      <c r="EA178" s="248"/>
      <c r="EB178" s="248"/>
      <c r="EC178" s="248"/>
      <c r="ED178" s="248"/>
      <c r="EE178" s="248"/>
      <c r="EF178" s="248"/>
      <c r="EG178" s="248"/>
      <c r="EH178" s="248"/>
      <c r="EI178" s="248"/>
      <c r="EJ178" s="248"/>
      <c r="EK178" s="248"/>
      <c r="EL178" s="248"/>
      <c r="EM178" s="248"/>
      <c r="EN178" s="248"/>
      <c r="EO178" s="248"/>
      <c r="EP178" s="248"/>
      <c r="EQ178" s="248"/>
      <c r="ER178" s="248"/>
      <c r="ES178" s="248"/>
      <c r="ET178" s="248"/>
      <c r="EU178" s="248"/>
      <c r="EV178" s="248"/>
      <c r="EW178" s="248"/>
      <c r="EX178" s="248"/>
      <c r="EY178" s="248"/>
      <c r="EZ178" s="248"/>
      <c r="FA178" s="248"/>
      <c r="FB178" s="248"/>
      <c r="FC178" s="248"/>
      <c r="FD178" s="248"/>
      <c r="FE178" s="248"/>
      <c r="FF178" s="248"/>
      <c r="FG178" s="248"/>
      <c r="FH178" s="248"/>
      <c r="FI178" s="248"/>
      <c r="FJ178" s="248"/>
      <c r="FK178" s="248"/>
      <c r="FL178" s="248"/>
      <c r="FM178" s="248"/>
      <c r="FN178" s="248"/>
      <c r="FO178" s="248"/>
      <c r="FP178" s="248"/>
      <c r="FQ178" s="248"/>
      <c r="FR178" s="248"/>
      <c r="FS178" s="248"/>
      <c r="FT178" s="248"/>
      <c r="FU178" s="248"/>
      <c r="FV178" s="248"/>
      <c r="FW178" s="248"/>
      <c r="FX178" s="248"/>
      <c r="FY178" s="248"/>
      <c r="FZ178" s="248"/>
      <c r="GA178" s="248"/>
      <c r="GB178" s="248"/>
      <c r="GC178" s="248"/>
      <c r="GD178" s="248"/>
      <c r="GE178" s="248"/>
      <c r="GF178" s="248"/>
      <c r="GG178" s="248"/>
      <c r="GH178" s="248"/>
      <c r="GI178" s="248"/>
      <c r="GJ178" s="248"/>
      <c r="GK178" s="248"/>
      <c r="GL178" s="248"/>
      <c r="GM178" s="248"/>
      <c r="GN178" s="248"/>
      <c r="GO178" s="248"/>
      <c r="GP178" s="248"/>
      <c r="GQ178" s="248"/>
      <c r="GR178" s="248"/>
      <c r="GS178" s="248"/>
      <c r="GT178" s="248"/>
      <c r="GU178" s="248"/>
      <c r="GV178" s="248"/>
      <c r="GW178" s="248"/>
      <c r="GX178" s="248"/>
      <c r="GY178" s="248"/>
      <c r="GZ178" s="248"/>
      <c r="HA178" s="248"/>
      <c r="HB178" s="248"/>
      <c r="HC178" s="248"/>
      <c r="HD178" s="248"/>
      <c r="HE178" s="248"/>
      <c r="HF178" s="248"/>
      <c r="HG178" s="248"/>
      <c r="HH178" s="248"/>
      <c r="HI178" s="248"/>
      <c r="HJ178" s="248"/>
      <c r="HK178" s="248"/>
      <c r="HL178" s="248"/>
      <c r="HM178" s="248"/>
      <c r="HN178" s="248"/>
      <c r="HO178" s="248"/>
      <c r="HP178" s="248"/>
      <c r="HQ178" s="248"/>
      <c r="HR178" s="248"/>
      <c r="HS178" s="248"/>
      <c r="HT178" s="248"/>
      <c r="HU178" s="248"/>
      <c r="HV178" s="248"/>
      <c r="HW178" s="248"/>
      <c r="HX178" s="248"/>
      <c r="HY178" s="248"/>
      <c r="HZ178" s="248"/>
      <c r="IA178" s="248"/>
      <c r="IB178" s="248"/>
      <c r="IC178" s="248"/>
      <c r="ID178" s="248"/>
      <c r="IE178" s="248"/>
      <c r="IF178" s="248"/>
      <c r="IG178" s="248"/>
      <c r="IH178" s="248"/>
      <c r="II178" s="248"/>
      <c r="IJ178" s="248"/>
      <c r="IK178" s="248"/>
      <c r="IL178" s="248"/>
      <c r="IM178" s="248"/>
      <c r="IN178" s="248"/>
    </row>
    <row r="179" spans="1:248" s="164" customFormat="1">
      <c r="A179" s="242"/>
      <c r="B179" s="248"/>
      <c r="C179" s="248"/>
      <c r="D179" s="316"/>
      <c r="E179" s="316"/>
      <c r="F179" s="248"/>
      <c r="G179" s="316"/>
      <c r="H179" s="248"/>
      <c r="I179" s="248"/>
      <c r="J179" s="279"/>
      <c r="K179" s="35"/>
      <c r="L179" s="35"/>
      <c r="M179" s="35"/>
      <c r="N179" s="35"/>
      <c r="O179" s="58"/>
      <c r="P179" s="35"/>
      <c r="Q179" s="35"/>
      <c r="R179" s="248"/>
      <c r="S179" s="248"/>
      <c r="T179" s="248"/>
      <c r="U179" s="248"/>
      <c r="V179" s="248"/>
      <c r="W179" s="313"/>
      <c r="X179" s="248"/>
      <c r="Y179" s="248"/>
      <c r="Z179" s="248"/>
      <c r="AA179" s="248"/>
      <c r="AB179" s="248"/>
      <c r="AC179" s="248"/>
      <c r="AD179" s="248"/>
      <c r="AE179" s="248"/>
      <c r="AF179" s="248"/>
      <c r="AG179" s="248"/>
      <c r="AH179" s="248"/>
      <c r="AI179" s="248"/>
      <c r="AJ179" s="248"/>
      <c r="AK179" s="248"/>
      <c r="AL179" s="248"/>
      <c r="AM179" s="248"/>
      <c r="AN179" s="248"/>
      <c r="AO179" s="248"/>
      <c r="AP179" s="248"/>
      <c r="AQ179" s="248"/>
      <c r="AR179" s="248"/>
      <c r="AS179" s="248"/>
      <c r="AT179" s="248"/>
      <c r="AU179" s="248"/>
      <c r="AV179" s="248"/>
      <c r="AW179" s="248"/>
      <c r="AX179" s="248"/>
      <c r="AY179" s="248"/>
      <c r="AZ179" s="248"/>
      <c r="BA179" s="248"/>
      <c r="BB179" s="248"/>
      <c r="BC179" s="248"/>
      <c r="BD179" s="248"/>
      <c r="BE179" s="248"/>
      <c r="BF179" s="248"/>
      <c r="BG179" s="248"/>
      <c r="BH179" s="248"/>
      <c r="BI179" s="248"/>
      <c r="BJ179" s="248"/>
      <c r="BK179" s="248"/>
      <c r="BL179" s="248"/>
      <c r="BM179" s="248"/>
      <c r="BN179" s="248"/>
      <c r="BO179" s="248"/>
      <c r="BP179" s="248"/>
      <c r="BQ179" s="248"/>
      <c r="BR179" s="248"/>
      <c r="BS179" s="248"/>
      <c r="BT179" s="248"/>
      <c r="BU179" s="248"/>
      <c r="BV179" s="248"/>
      <c r="BW179" s="248"/>
      <c r="BX179" s="248"/>
      <c r="BY179" s="248"/>
      <c r="BZ179" s="248"/>
      <c r="CA179" s="248"/>
      <c r="CB179" s="248"/>
      <c r="CC179" s="248"/>
      <c r="CD179" s="248"/>
      <c r="CE179" s="248"/>
      <c r="CF179" s="248"/>
      <c r="CG179" s="248"/>
      <c r="CH179" s="248"/>
      <c r="CI179" s="248"/>
      <c r="CJ179" s="248"/>
      <c r="CK179" s="248"/>
      <c r="CL179" s="248"/>
      <c r="CM179" s="248"/>
      <c r="CN179" s="248"/>
      <c r="CO179" s="248"/>
      <c r="CP179" s="248"/>
      <c r="CQ179" s="248"/>
      <c r="CR179" s="248"/>
      <c r="CS179" s="248"/>
      <c r="CT179" s="248"/>
      <c r="CU179" s="248"/>
      <c r="CV179" s="248"/>
      <c r="CW179" s="248"/>
      <c r="CX179" s="248"/>
      <c r="CY179" s="248"/>
      <c r="CZ179" s="248"/>
      <c r="DA179" s="248"/>
      <c r="DB179" s="248"/>
      <c r="DC179" s="248"/>
      <c r="DD179" s="248"/>
      <c r="DE179" s="248"/>
      <c r="DF179" s="248"/>
      <c r="DG179" s="248"/>
      <c r="DH179" s="248"/>
      <c r="DI179" s="248"/>
      <c r="DJ179" s="248"/>
      <c r="DK179" s="248"/>
      <c r="DL179" s="248"/>
      <c r="DM179" s="248"/>
      <c r="DN179" s="248"/>
      <c r="DO179" s="248"/>
      <c r="DP179" s="248"/>
      <c r="DQ179" s="248"/>
      <c r="DR179" s="248"/>
      <c r="DS179" s="248"/>
      <c r="DT179" s="248"/>
      <c r="DU179" s="248"/>
      <c r="DV179" s="248"/>
      <c r="DW179" s="248"/>
      <c r="DX179" s="248"/>
      <c r="DY179" s="248"/>
      <c r="DZ179" s="248"/>
      <c r="EA179" s="248"/>
      <c r="EB179" s="248"/>
      <c r="EC179" s="248"/>
      <c r="ED179" s="248"/>
      <c r="EE179" s="248"/>
      <c r="EF179" s="248"/>
      <c r="EG179" s="248"/>
      <c r="EH179" s="248"/>
      <c r="EI179" s="248"/>
      <c r="EJ179" s="248"/>
      <c r="EK179" s="248"/>
      <c r="EL179" s="248"/>
      <c r="EM179" s="248"/>
      <c r="EN179" s="248"/>
      <c r="EO179" s="248"/>
      <c r="EP179" s="248"/>
      <c r="EQ179" s="248"/>
      <c r="ER179" s="248"/>
      <c r="ES179" s="248"/>
      <c r="ET179" s="248"/>
      <c r="EU179" s="248"/>
      <c r="EV179" s="248"/>
      <c r="EW179" s="248"/>
      <c r="EX179" s="248"/>
      <c r="EY179" s="248"/>
      <c r="EZ179" s="248"/>
      <c r="FA179" s="248"/>
      <c r="FB179" s="248"/>
      <c r="FC179" s="248"/>
      <c r="FD179" s="248"/>
      <c r="FE179" s="248"/>
      <c r="FF179" s="248"/>
      <c r="FG179" s="248"/>
      <c r="FH179" s="248"/>
      <c r="FI179" s="248"/>
      <c r="FJ179" s="248"/>
      <c r="FK179" s="248"/>
      <c r="FL179" s="248"/>
      <c r="FM179" s="248"/>
      <c r="FN179" s="248"/>
      <c r="FO179" s="248"/>
      <c r="FP179" s="248"/>
      <c r="FQ179" s="248"/>
      <c r="FR179" s="248"/>
      <c r="FS179" s="248"/>
      <c r="FT179" s="248"/>
      <c r="FU179" s="248"/>
      <c r="FV179" s="248"/>
      <c r="FW179" s="248"/>
      <c r="FX179" s="248"/>
      <c r="FY179" s="248"/>
      <c r="FZ179" s="248"/>
      <c r="GA179" s="248"/>
      <c r="GB179" s="248"/>
      <c r="GC179" s="248"/>
      <c r="GD179" s="248"/>
      <c r="GE179" s="248"/>
      <c r="GF179" s="248"/>
      <c r="GG179" s="248"/>
      <c r="GH179" s="248"/>
      <c r="GI179" s="248"/>
      <c r="GJ179" s="248"/>
      <c r="GK179" s="248"/>
      <c r="GL179" s="248"/>
      <c r="GM179" s="248"/>
      <c r="GN179" s="248"/>
      <c r="GO179" s="248"/>
      <c r="GP179" s="248"/>
      <c r="GQ179" s="248"/>
      <c r="GR179" s="248"/>
      <c r="GS179" s="248"/>
      <c r="GT179" s="248"/>
      <c r="GU179" s="248"/>
      <c r="GV179" s="248"/>
      <c r="GW179" s="248"/>
      <c r="GX179" s="248"/>
      <c r="GY179" s="248"/>
      <c r="GZ179" s="248"/>
      <c r="HA179" s="248"/>
      <c r="HB179" s="248"/>
      <c r="HC179" s="248"/>
      <c r="HD179" s="248"/>
      <c r="HE179" s="248"/>
      <c r="HF179" s="248"/>
      <c r="HG179" s="248"/>
      <c r="HH179" s="248"/>
      <c r="HI179" s="248"/>
      <c r="HJ179" s="248"/>
      <c r="HK179" s="248"/>
      <c r="HL179" s="248"/>
      <c r="HM179" s="248"/>
      <c r="HN179" s="248"/>
      <c r="HO179" s="248"/>
      <c r="HP179" s="248"/>
      <c r="HQ179" s="248"/>
      <c r="HR179" s="248"/>
      <c r="HS179" s="248"/>
      <c r="HT179" s="248"/>
      <c r="HU179" s="248"/>
      <c r="HV179" s="248"/>
      <c r="HW179" s="248"/>
      <c r="HX179" s="248"/>
      <c r="HY179" s="248"/>
      <c r="HZ179" s="248"/>
      <c r="IA179" s="248"/>
      <c r="IB179" s="248"/>
      <c r="IC179" s="248"/>
      <c r="ID179" s="248"/>
      <c r="IE179" s="248"/>
      <c r="IF179" s="248"/>
      <c r="IG179" s="248"/>
      <c r="IH179" s="248"/>
      <c r="II179" s="248"/>
      <c r="IJ179" s="248"/>
      <c r="IK179" s="248"/>
      <c r="IL179" s="248"/>
      <c r="IM179" s="248"/>
      <c r="IN179" s="248"/>
    </row>
    <row r="180" spans="1:248" s="164" customFormat="1">
      <c r="A180" s="242"/>
      <c r="B180" s="248"/>
      <c r="C180" s="248"/>
      <c r="D180" s="316"/>
      <c r="E180" s="316"/>
      <c r="F180" s="248"/>
      <c r="G180" s="316"/>
      <c r="H180" s="248"/>
      <c r="I180" s="248"/>
      <c r="J180" s="279"/>
      <c r="K180" s="35"/>
      <c r="L180" s="35"/>
      <c r="M180" s="35"/>
      <c r="N180" s="35"/>
      <c r="O180" s="58"/>
      <c r="P180" s="35"/>
      <c r="Q180" s="35"/>
      <c r="R180" s="248"/>
      <c r="S180" s="248"/>
      <c r="T180" s="248"/>
      <c r="U180" s="248"/>
      <c r="V180" s="248"/>
      <c r="W180" s="313"/>
      <c r="X180" s="248"/>
      <c r="Y180" s="248"/>
      <c r="Z180" s="248"/>
      <c r="AA180" s="248"/>
      <c r="AB180" s="248"/>
      <c r="AC180" s="248"/>
      <c r="AD180" s="248"/>
      <c r="AE180" s="248"/>
      <c r="AF180" s="248"/>
      <c r="AG180" s="248"/>
      <c r="AH180" s="248"/>
      <c r="AI180" s="248"/>
      <c r="AJ180" s="248"/>
      <c r="AK180" s="248"/>
      <c r="AL180" s="248"/>
      <c r="AM180" s="248"/>
      <c r="AN180" s="248"/>
      <c r="AO180" s="248"/>
      <c r="AP180" s="248"/>
      <c r="AQ180" s="248"/>
      <c r="AR180" s="248"/>
      <c r="AS180" s="248"/>
      <c r="AT180" s="248"/>
      <c r="AU180" s="248"/>
      <c r="AV180" s="248"/>
      <c r="AW180" s="248"/>
      <c r="AX180" s="248"/>
      <c r="AY180" s="248"/>
      <c r="AZ180" s="248"/>
      <c r="BA180" s="248"/>
      <c r="BB180" s="248"/>
      <c r="BC180" s="248"/>
      <c r="BD180" s="248"/>
      <c r="BE180" s="248"/>
      <c r="BF180" s="248"/>
      <c r="BG180" s="248"/>
      <c r="BH180" s="248"/>
      <c r="BI180" s="248"/>
      <c r="BJ180" s="248"/>
      <c r="BK180" s="248"/>
      <c r="BL180" s="248"/>
      <c r="BM180" s="248"/>
      <c r="BN180" s="248"/>
      <c r="BO180" s="248"/>
      <c r="BP180" s="248"/>
      <c r="BQ180" s="248"/>
      <c r="BR180" s="248"/>
      <c r="BS180" s="248"/>
      <c r="BT180" s="248"/>
      <c r="BU180" s="248"/>
      <c r="BV180" s="248"/>
      <c r="BW180" s="248"/>
      <c r="BX180" s="248"/>
      <c r="BY180" s="248"/>
      <c r="BZ180" s="248"/>
      <c r="CA180" s="248"/>
      <c r="CB180" s="248"/>
      <c r="CC180" s="248"/>
      <c r="CD180" s="248"/>
      <c r="CE180" s="248"/>
      <c r="CF180" s="248"/>
      <c r="CG180" s="248"/>
      <c r="CH180" s="248"/>
      <c r="CI180" s="248"/>
      <c r="CJ180" s="248"/>
      <c r="CK180" s="248"/>
      <c r="CL180" s="248"/>
      <c r="CM180" s="248"/>
      <c r="CN180" s="248"/>
      <c r="CO180" s="248"/>
      <c r="CP180" s="248"/>
      <c r="CQ180" s="248"/>
      <c r="CR180" s="248"/>
      <c r="CS180" s="248"/>
      <c r="CT180" s="248"/>
      <c r="CU180" s="248"/>
      <c r="CV180" s="248"/>
      <c r="CW180" s="248"/>
      <c r="CX180" s="248"/>
      <c r="CY180" s="248"/>
      <c r="CZ180" s="248"/>
      <c r="DA180" s="248"/>
      <c r="DB180" s="248"/>
      <c r="DC180" s="248"/>
      <c r="DD180" s="248"/>
      <c r="DE180" s="248"/>
      <c r="DF180" s="248"/>
      <c r="DG180" s="248"/>
      <c r="DH180" s="248"/>
      <c r="DI180" s="248"/>
      <c r="DJ180" s="248"/>
      <c r="DK180" s="248"/>
      <c r="DL180" s="248"/>
      <c r="DM180" s="248"/>
      <c r="DN180" s="248"/>
      <c r="DO180" s="248"/>
      <c r="DP180" s="248"/>
      <c r="DQ180" s="248"/>
      <c r="DR180" s="248"/>
      <c r="DS180" s="248"/>
      <c r="DT180" s="248"/>
      <c r="DU180" s="248"/>
      <c r="DV180" s="248"/>
      <c r="DW180" s="248"/>
      <c r="DX180" s="248"/>
      <c r="DY180" s="248"/>
      <c r="DZ180" s="248"/>
      <c r="EA180" s="248"/>
      <c r="EB180" s="248"/>
      <c r="EC180" s="248"/>
      <c r="ED180" s="248"/>
      <c r="EE180" s="248"/>
      <c r="EF180" s="248"/>
      <c r="EG180" s="248"/>
      <c r="EH180" s="248"/>
      <c r="EI180" s="248"/>
      <c r="EJ180" s="248"/>
      <c r="EK180" s="248"/>
      <c r="EL180" s="248"/>
      <c r="EM180" s="248"/>
      <c r="EN180" s="248"/>
      <c r="EO180" s="248"/>
      <c r="EP180" s="248"/>
      <c r="EQ180" s="248"/>
      <c r="ER180" s="248"/>
      <c r="ES180" s="248"/>
      <c r="ET180" s="248"/>
      <c r="EU180" s="248"/>
      <c r="EV180" s="248"/>
      <c r="EW180" s="248"/>
      <c r="EX180" s="248"/>
      <c r="EY180" s="248"/>
      <c r="EZ180" s="248"/>
      <c r="FA180" s="248"/>
      <c r="FB180" s="248"/>
      <c r="FC180" s="248"/>
      <c r="FD180" s="248"/>
      <c r="FE180" s="248"/>
      <c r="FF180" s="248"/>
      <c r="FG180" s="248"/>
      <c r="FH180" s="248"/>
      <c r="FI180" s="248"/>
      <c r="FJ180" s="248"/>
      <c r="FK180" s="248"/>
      <c r="FL180" s="248"/>
      <c r="FM180" s="248"/>
      <c r="FN180" s="248"/>
      <c r="FO180" s="248"/>
      <c r="FP180" s="248"/>
      <c r="FQ180" s="248"/>
      <c r="FR180" s="248"/>
      <c r="FS180" s="248"/>
      <c r="FT180" s="248"/>
      <c r="FU180" s="248"/>
      <c r="FV180" s="248"/>
      <c r="FW180" s="248"/>
      <c r="FX180" s="248"/>
      <c r="FY180" s="248"/>
      <c r="FZ180" s="248"/>
      <c r="GA180" s="248"/>
      <c r="GB180" s="248"/>
      <c r="GC180" s="248"/>
      <c r="GD180" s="248"/>
      <c r="GE180" s="248"/>
      <c r="GF180" s="248"/>
      <c r="GG180" s="248"/>
      <c r="GH180" s="248"/>
      <c r="GI180" s="248"/>
      <c r="GJ180" s="248"/>
      <c r="GK180" s="248"/>
      <c r="GL180" s="248"/>
      <c r="GM180" s="248"/>
      <c r="GN180" s="248"/>
      <c r="GO180" s="248"/>
      <c r="GP180" s="248"/>
      <c r="GQ180" s="248"/>
      <c r="GR180" s="248"/>
      <c r="GS180" s="248"/>
      <c r="GT180" s="248"/>
      <c r="GU180" s="248"/>
      <c r="GV180" s="248"/>
      <c r="GW180" s="248"/>
      <c r="GX180" s="248"/>
      <c r="GY180" s="248"/>
      <c r="GZ180" s="248"/>
      <c r="HA180" s="248"/>
      <c r="HB180" s="248"/>
      <c r="HC180" s="248"/>
      <c r="HD180" s="248"/>
      <c r="HE180" s="248"/>
      <c r="HF180" s="248"/>
      <c r="HG180" s="248"/>
      <c r="HH180" s="248"/>
      <c r="HI180" s="248"/>
      <c r="HJ180" s="248"/>
      <c r="HK180" s="248"/>
      <c r="HL180" s="248"/>
      <c r="HM180" s="248"/>
      <c r="HN180" s="248"/>
      <c r="HO180" s="248"/>
      <c r="HP180" s="248"/>
      <c r="HQ180" s="248"/>
      <c r="HR180" s="248"/>
      <c r="HS180" s="248"/>
      <c r="HT180" s="248"/>
      <c r="HU180" s="248"/>
      <c r="HV180" s="248"/>
      <c r="HW180" s="248"/>
      <c r="HX180" s="248"/>
      <c r="HY180" s="248"/>
      <c r="HZ180" s="248"/>
      <c r="IA180" s="248"/>
      <c r="IB180" s="248"/>
      <c r="IC180" s="248"/>
      <c r="ID180" s="248"/>
      <c r="IE180" s="248"/>
      <c r="IF180" s="248"/>
      <c r="IG180" s="248"/>
      <c r="IH180" s="248"/>
      <c r="II180" s="248"/>
      <c r="IJ180" s="248"/>
      <c r="IK180" s="248"/>
      <c r="IL180" s="248"/>
      <c r="IM180" s="248"/>
      <c r="IN180" s="248"/>
    </row>
    <row r="181" spans="1:248" s="164" customFormat="1">
      <c r="A181" s="242"/>
      <c r="B181" s="248"/>
      <c r="C181" s="248"/>
      <c r="D181" s="316"/>
      <c r="E181" s="316"/>
      <c r="F181" s="248"/>
      <c r="G181" s="316"/>
      <c r="H181" s="248"/>
      <c r="I181" s="248"/>
      <c r="J181" s="279"/>
      <c r="K181" s="35"/>
      <c r="L181" s="35"/>
      <c r="M181" s="35"/>
      <c r="N181" s="35"/>
      <c r="O181" s="58"/>
      <c r="P181" s="35"/>
      <c r="Q181" s="35"/>
      <c r="R181" s="248"/>
      <c r="S181" s="248"/>
      <c r="T181" s="248"/>
      <c r="U181" s="248"/>
      <c r="V181" s="248"/>
      <c r="W181" s="313"/>
      <c r="X181" s="248"/>
      <c r="Y181" s="248"/>
      <c r="Z181" s="248"/>
      <c r="AA181" s="248"/>
      <c r="AB181" s="248"/>
      <c r="AC181" s="248"/>
      <c r="AD181" s="248"/>
      <c r="AE181" s="248"/>
      <c r="AF181" s="248"/>
      <c r="AG181" s="248"/>
      <c r="AH181" s="248"/>
      <c r="AI181" s="248"/>
      <c r="AJ181" s="248"/>
      <c r="AK181" s="248"/>
      <c r="AL181" s="248"/>
      <c r="AM181" s="248"/>
      <c r="AN181" s="248"/>
      <c r="AO181" s="248"/>
      <c r="AP181" s="248"/>
      <c r="AQ181" s="248"/>
      <c r="AR181" s="248"/>
      <c r="AS181" s="248"/>
      <c r="AT181" s="248"/>
      <c r="AU181" s="248"/>
      <c r="AV181" s="248"/>
      <c r="AW181" s="248"/>
      <c r="AX181" s="248"/>
      <c r="AY181" s="248"/>
      <c r="AZ181" s="248"/>
      <c r="BA181" s="248"/>
      <c r="BB181" s="248"/>
      <c r="BC181" s="248"/>
      <c r="BD181" s="248"/>
      <c r="BE181" s="248"/>
      <c r="BF181" s="248"/>
      <c r="BG181" s="248"/>
      <c r="BH181" s="248"/>
      <c r="BI181" s="248"/>
      <c r="BJ181" s="248"/>
      <c r="BK181" s="248"/>
      <c r="BL181" s="248"/>
      <c r="BM181" s="248"/>
      <c r="BN181" s="248"/>
      <c r="BO181" s="248"/>
      <c r="BP181" s="248"/>
      <c r="BQ181" s="248"/>
      <c r="BR181" s="248"/>
      <c r="BS181" s="248"/>
      <c r="BT181" s="248"/>
      <c r="BU181" s="248"/>
      <c r="BV181" s="248"/>
      <c r="BW181" s="248"/>
      <c r="BX181" s="248"/>
      <c r="BY181" s="248"/>
      <c r="BZ181" s="248"/>
      <c r="CA181" s="248"/>
      <c r="CB181" s="248"/>
      <c r="CC181" s="248"/>
      <c r="CD181" s="248"/>
      <c r="CE181" s="248"/>
      <c r="CF181" s="248"/>
      <c r="CG181" s="248"/>
      <c r="CH181" s="248"/>
      <c r="CI181" s="248"/>
      <c r="CJ181" s="248"/>
      <c r="CK181" s="248"/>
      <c r="CL181" s="248"/>
      <c r="CM181" s="248"/>
      <c r="CN181" s="248"/>
      <c r="CO181" s="248"/>
      <c r="CP181" s="248"/>
      <c r="CQ181" s="248"/>
      <c r="CR181" s="248"/>
      <c r="CS181" s="248"/>
      <c r="CT181" s="248"/>
      <c r="CU181" s="248"/>
      <c r="CV181" s="248"/>
      <c r="CW181" s="248"/>
      <c r="CX181" s="248"/>
      <c r="CY181" s="248"/>
      <c r="CZ181" s="248"/>
      <c r="DA181" s="248"/>
      <c r="DB181" s="248"/>
      <c r="DC181" s="248"/>
      <c r="DD181" s="248"/>
      <c r="DE181" s="248"/>
      <c r="DF181" s="248"/>
      <c r="DG181" s="248"/>
      <c r="DH181" s="248"/>
      <c r="DI181" s="248"/>
      <c r="DJ181" s="248"/>
      <c r="DK181" s="248"/>
      <c r="DL181" s="248"/>
      <c r="DM181" s="248"/>
      <c r="DN181" s="248"/>
      <c r="DO181" s="248"/>
      <c r="DP181" s="248"/>
      <c r="DQ181" s="248"/>
      <c r="DR181" s="248"/>
      <c r="DS181" s="248"/>
      <c r="DT181" s="248"/>
      <c r="DU181" s="248"/>
      <c r="DV181" s="248"/>
      <c r="DW181" s="248"/>
      <c r="DX181" s="248"/>
      <c r="DY181" s="248"/>
      <c r="DZ181" s="248"/>
      <c r="EA181" s="248"/>
      <c r="EB181" s="248"/>
      <c r="EC181" s="248"/>
      <c r="ED181" s="248"/>
      <c r="EE181" s="248"/>
      <c r="EF181" s="248"/>
      <c r="EG181" s="248"/>
      <c r="EH181" s="248"/>
      <c r="EI181" s="248"/>
      <c r="EJ181" s="248"/>
      <c r="EK181" s="248"/>
      <c r="EL181" s="248"/>
      <c r="EM181" s="248"/>
      <c r="EN181" s="248"/>
      <c r="EO181" s="248"/>
      <c r="EP181" s="248"/>
      <c r="EQ181" s="248"/>
      <c r="ER181" s="248"/>
      <c r="ES181" s="248"/>
      <c r="ET181" s="248"/>
      <c r="EU181" s="248"/>
      <c r="EV181" s="248"/>
      <c r="EW181" s="248"/>
      <c r="EX181" s="248"/>
      <c r="EY181" s="248"/>
      <c r="EZ181" s="248"/>
      <c r="FA181" s="248"/>
      <c r="FB181" s="248"/>
      <c r="FC181" s="248"/>
      <c r="FD181" s="248"/>
      <c r="FE181" s="248"/>
      <c r="FF181" s="248"/>
      <c r="FG181" s="248"/>
      <c r="FH181" s="248"/>
      <c r="FI181" s="248"/>
      <c r="FJ181" s="248"/>
      <c r="FK181" s="248"/>
      <c r="FL181" s="248"/>
      <c r="FM181" s="248"/>
      <c r="FN181" s="248"/>
      <c r="FO181" s="248"/>
      <c r="FP181" s="248"/>
      <c r="FQ181" s="248"/>
      <c r="FR181" s="248"/>
      <c r="FS181" s="248"/>
      <c r="FT181" s="248"/>
      <c r="FU181" s="248"/>
      <c r="FV181" s="248"/>
      <c r="FW181" s="248"/>
      <c r="FX181" s="248"/>
      <c r="FY181" s="248"/>
      <c r="FZ181" s="248"/>
      <c r="GA181" s="248"/>
      <c r="GB181" s="248"/>
      <c r="GC181" s="248"/>
      <c r="GD181" s="248"/>
      <c r="GE181" s="248"/>
      <c r="GF181" s="248"/>
      <c r="GG181" s="248"/>
      <c r="GH181" s="248"/>
      <c r="GI181" s="248"/>
      <c r="GJ181" s="248"/>
      <c r="GK181" s="248"/>
      <c r="GL181" s="248"/>
      <c r="GM181" s="248"/>
      <c r="GN181" s="248"/>
      <c r="GO181" s="248"/>
      <c r="GP181" s="248"/>
      <c r="GQ181" s="248"/>
      <c r="GR181" s="248"/>
      <c r="GS181" s="248"/>
      <c r="GT181" s="248"/>
      <c r="GU181" s="248"/>
      <c r="GV181" s="248"/>
      <c r="GW181" s="248"/>
      <c r="GX181" s="248"/>
      <c r="GY181" s="248"/>
      <c r="GZ181" s="248"/>
      <c r="HA181" s="248"/>
      <c r="HB181" s="248"/>
      <c r="HC181" s="248"/>
      <c r="HD181" s="248"/>
      <c r="HE181" s="248"/>
      <c r="HF181" s="248"/>
      <c r="HG181" s="248"/>
      <c r="HH181" s="248"/>
      <c r="HI181" s="248"/>
      <c r="HJ181" s="248"/>
      <c r="HK181" s="248"/>
      <c r="HL181" s="248"/>
      <c r="HM181" s="248"/>
      <c r="HN181" s="248"/>
      <c r="HO181" s="248"/>
      <c r="HP181" s="248"/>
      <c r="HQ181" s="248"/>
      <c r="HR181" s="248"/>
      <c r="HS181" s="248"/>
      <c r="HT181" s="248"/>
      <c r="HU181" s="248"/>
      <c r="HV181" s="248"/>
      <c r="HW181" s="248"/>
      <c r="HX181" s="248"/>
      <c r="HY181" s="248"/>
      <c r="HZ181" s="248"/>
      <c r="IA181" s="248"/>
      <c r="IB181" s="248"/>
      <c r="IC181" s="248"/>
      <c r="ID181" s="248"/>
      <c r="IE181" s="248"/>
      <c r="IF181" s="248"/>
      <c r="IG181" s="248"/>
      <c r="IH181" s="248"/>
      <c r="II181" s="248"/>
      <c r="IJ181" s="248"/>
      <c r="IK181" s="248"/>
      <c r="IL181" s="248"/>
      <c r="IM181" s="248"/>
      <c r="IN181" s="248"/>
    </row>
    <row r="182" spans="1:248" s="164" customFormat="1">
      <c r="A182" s="242"/>
      <c r="B182" s="248"/>
      <c r="C182" s="248"/>
      <c r="D182" s="316"/>
      <c r="E182" s="316"/>
      <c r="F182" s="248"/>
      <c r="G182" s="316"/>
      <c r="H182" s="248"/>
      <c r="I182" s="248"/>
      <c r="J182" s="279"/>
      <c r="K182" s="35"/>
      <c r="L182" s="35"/>
      <c r="M182" s="35"/>
      <c r="N182" s="35"/>
      <c r="O182" s="58"/>
      <c r="P182" s="35"/>
      <c r="Q182" s="35"/>
      <c r="R182" s="248"/>
      <c r="S182" s="248"/>
      <c r="T182" s="248"/>
      <c r="U182" s="248"/>
      <c r="V182" s="248"/>
      <c r="W182" s="313"/>
      <c r="X182" s="248"/>
      <c r="Y182" s="248"/>
      <c r="Z182" s="248"/>
      <c r="AA182" s="248"/>
      <c r="AB182" s="248"/>
      <c r="AC182" s="248"/>
      <c r="AD182" s="248"/>
      <c r="AE182" s="248"/>
      <c r="AF182" s="248"/>
      <c r="AG182" s="248"/>
      <c r="AH182" s="248"/>
      <c r="AI182" s="248"/>
      <c r="AJ182" s="248"/>
      <c r="AK182" s="248"/>
      <c r="AL182" s="248"/>
      <c r="AM182" s="248"/>
      <c r="AN182" s="248"/>
      <c r="AO182" s="248"/>
      <c r="AP182" s="248"/>
      <c r="AQ182" s="248"/>
      <c r="AR182" s="248"/>
      <c r="AS182" s="248"/>
      <c r="AT182" s="248"/>
      <c r="AU182" s="248"/>
      <c r="AV182" s="248"/>
      <c r="AW182" s="248"/>
      <c r="AX182" s="248"/>
      <c r="AY182" s="248"/>
      <c r="AZ182" s="248"/>
      <c r="BA182" s="248"/>
      <c r="BB182" s="248"/>
      <c r="BC182" s="248"/>
      <c r="BD182" s="248"/>
      <c r="BE182" s="248"/>
      <c r="BF182" s="248"/>
      <c r="BG182" s="248"/>
      <c r="BH182" s="248"/>
      <c r="BI182" s="248"/>
      <c r="BJ182" s="248"/>
      <c r="BK182" s="248"/>
      <c r="BL182" s="248"/>
      <c r="BM182" s="248"/>
      <c r="BN182" s="248"/>
      <c r="BO182" s="248"/>
      <c r="BP182" s="248"/>
      <c r="BQ182" s="248"/>
      <c r="BR182" s="248"/>
      <c r="BS182" s="248"/>
      <c r="BT182" s="248"/>
      <c r="BU182" s="248"/>
      <c r="BV182" s="248"/>
      <c r="BW182" s="248"/>
      <c r="BX182" s="248"/>
      <c r="BY182" s="248"/>
      <c r="BZ182" s="248"/>
      <c r="CA182" s="248"/>
      <c r="CB182" s="248"/>
      <c r="CC182" s="248"/>
      <c r="CD182" s="248"/>
      <c r="CE182" s="248"/>
      <c r="CF182" s="248"/>
      <c r="CG182" s="248"/>
      <c r="CH182" s="248"/>
      <c r="CI182" s="248"/>
      <c r="CJ182" s="248"/>
      <c r="CK182" s="248"/>
      <c r="CL182" s="248"/>
      <c r="CM182" s="248"/>
      <c r="CN182" s="248"/>
      <c r="CO182" s="248"/>
      <c r="CP182" s="248"/>
      <c r="CQ182" s="248"/>
      <c r="CR182" s="248"/>
      <c r="CS182" s="248"/>
      <c r="CT182" s="248"/>
      <c r="CU182" s="248"/>
      <c r="CV182" s="248"/>
      <c r="CW182" s="248"/>
      <c r="CX182" s="248"/>
      <c r="CY182" s="248"/>
      <c r="CZ182" s="248"/>
      <c r="DA182" s="248"/>
      <c r="DB182" s="248"/>
      <c r="DC182" s="248"/>
      <c r="DD182" s="248"/>
      <c r="DE182" s="248"/>
      <c r="DF182" s="248"/>
      <c r="DG182" s="248"/>
      <c r="DH182" s="248"/>
      <c r="DI182" s="248"/>
      <c r="DJ182" s="248"/>
      <c r="DK182" s="248"/>
      <c r="DL182" s="248"/>
      <c r="DM182" s="248"/>
      <c r="DN182" s="248"/>
      <c r="DO182" s="248"/>
      <c r="DP182" s="248"/>
      <c r="DQ182" s="248"/>
      <c r="DR182" s="248"/>
      <c r="DS182" s="248"/>
      <c r="DT182" s="248"/>
      <c r="DU182" s="248"/>
      <c r="DV182" s="248"/>
      <c r="DW182" s="248"/>
      <c r="DX182" s="248"/>
      <c r="DY182" s="248"/>
      <c r="DZ182" s="248"/>
      <c r="EA182" s="248"/>
      <c r="EB182" s="248"/>
      <c r="EC182" s="248"/>
      <c r="ED182" s="248"/>
      <c r="EE182" s="248"/>
      <c r="EF182" s="248"/>
      <c r="EG182" s="248"/>
      <c r="EH182" s="248"/>
      <c r="EI182" s="248"/>
      <c r="EJ182" s="248"/>
      <c r="EK182" s="248"/>
      <c r="EL182" s="248"/>
      <c r="EM182" s="248"/>
      <c r="EN182" s="248"/>
      <c r="EO182" s="248"/>
      <c r="EP182" s="248"/>
      <c r="EQ182" s="248"/>
      <c r="ER182" s="248"/>
      <c r="ES182" s="248"/>
      <c r="ET182" s="248"/>
      <c r="EU182" s="248"/>
      <c r="EV182" s="248"/>
      <c r="EW182" s="248"/>
      <c r="EX182" s="248"/>
      <c r="EY182" s="248"/>
      <c r="EZ182" s="248"/>
      <c r="FA182" s="248"/>
      <c r="FB182" s="248"/>
      <c r="FC182" s="248"/>
      <c r="FD182" s="248"/>
      <c r="FE182" s="248"/>
      <c r="FF182" s="248"/>
      <c r="FG182" s="248"/>
      <c r="FH182" s="248"/>
      <c r="FI182" s="248"/>
      <c r="FJ182" s="248"/>
      <c r="FK182" s="248"/>
      <c r="FL182" s="248"/>
      <c r="FM182" s="248"/>
      <c r="FN182" s="248"/>
      <c r="FO182" s="248"/>
      <c r="FP182" s="248"/>
      <c r="FQ182" s="248"/>
      <c r="FR182" s="248"/>
      <c r="FS182" s="248"/>
      <c r="FT182" s="248"/>
      <c r="FU182" s="248"/>
      <c r="FV182" s="248"/>
      <c r="FW182" s="248"/>
      <c r="FX182" s="248"/>
      <c r="FY182" s="248"/>
      <c r="FZ182" s="248"/>
      <c r="GA182" s="248"/>
      <c r="GB182" s="248"/>
      <c r="GC182" s="248"/>
      <c r="GD182" s="248"/>
      <c r="GE182" s="248"/>
      <c r="GF182" s="248"/>
      <c r="GG182" s="248"/>
      <c r="GH182" s="248"/>
      <c r="GI182" s="248"/>
      <c r="GJ182" s="248"/>
      <c r="GK182" s="248"/>
      <c r="GL182" s="248"/>
      <c r="GM182" s="248"/>
      <c r="GN182" s="248"/>
      <c r="GO182" s="248"/>
      <c r="GP182" s="248"/>
      <c r="GQ182" s="248"/>
      <c r="GR182" s="248"/>
      <c r="GS182" s="248"/>
      <c r="GT182" s="248"/>
      <c r="GU182" s="248"/>
      <c r="GV182" s="248"/>
      <c r="GW182" s="248"/>
      <c r="GX182" s="248"/>
      <c r="GY182" s="248"/>
      <c r="GZ182" s="248"/>
      <c r="HA182" s="248"/>
      <c r="HB182" s="248"/>
      <c r="HC182" s="248"/>
      <c r="HD182" s="248"/>
      <c r="HE182" s="248"/>
      <c r="HF182" s="248"/>
      <c r="HG182" s="248"/>
      <c r="HH182" s="248"/>
      <c r="HI182" s="248"/>
      <c r="HJ182" s="248"/>
      <c r="HK182" s="248"/>
      <c r="HL182" s="248"/>
      <c r="HM182" s="248"/>
      <c r="HN182" s="248"/>
      <c r="HO182" s="248"/>
      <c r="HP182" s="248"/>
      <c r="HQ182" s="248"/>
      <c r="HR182" s="248"/>
      <c r="HS182" s="248"/>
      <c r="HT182" s="248"/>
      <c r="HU182" s="248"/>
      <c r="HV182" s="248"/>
      <c r="HW182" s="248"/>
      <c r="HX182" s="248"/>
      <c r="HY182" s="248"/>
      <c r="HZ182" s="248"/>
      <c r="IA182" s="248"/>
      <c r="IB182" s="248"/>
      <c r="IC182" s="248"/>
      <c r="ID182" s="248"/>
      <c r="IE182" s="248"/>
      <c r="IF182" s="248"/>
      <c r="IG182" s="248"/>
      <c r="IH182" s="248"/>
      <c r="II182" s="248"/>
      <c r="IJ182" s="248"/>
      <c r="IK182" s="248"/>
      <c r="IL182" s="248"/>
      <c r="IM182" s="248"/>
      <c r="IN182" s="248"/>
    </row>
    <row r="183" spans="1:248" s="164" customFormat="1">
      <c r="A183" s="242"/>
      <c r="B183" s="248"/>
      <c r="C183" s="248"/>
      <c r="D183" s="316"/>
      <c r="E183" s="316"/>
      <c r="F183" s="248"/>
      <c r="G183" s="316"/>
      <c r="H183" s="248"/>
      <c r="I183" s="248"/>
      <c r="J183" s="279"/>
      <c r="K183" s="35"/>
      <c r="L183" s="35"/>
      <c r="M183" s="35"/>
      <c r="N183" s="35"/>
      <c r="O183" s="58"/>
      <c r="P183" s="35"/>
      <c r="Q183" s="35"/>
      <c r="R183" s="248"/>
      <c r="S183" s="248"/>
      <c r="T183" s="248"/>
      <c r="U183" s="248"/>
      <c r="V183" s="248"/>
      <c r="W183" s="313"/>
      <c r="X183" s="248"/>
      <c r="Y183" s="248"/>
      <c r="Z183" s="248"/>
      <c r="AA183" s="248"/>
      <c r="AB183" s="248"/>
      <c r="AC183" s="248"/>
      <c r="AD183" s="248"/>
      <c r="AE183" s="248"/>
      <c r="AF183" s="248"/>
      <c r="AG183" s="248"/>
      <c r="AH183" s="248"/>
      <c r="AI183" s="248"/>
      <c r="AJ183" s="248"/>
      <c r="AK183" s="248"/>
      <c r="AL183" s="248"/>
      <c r="AM183" s="248"/>
      <c r="AN183" s="248"/>
      <c r="AO183" s="248"/>
      <c r="AP183" s="248"/>
      <c r="AQ183" s="248"/>
      <c r="AR183" s="248"/>
      <c r="AS183" s="248"/>
      <c r="AT183" s="248"/>
      <c r="AU183" s="248"/>
      <c r="AV183" s="248"/>
      <c r="AW183" s="248"/>
      <c r="AX183" s="248"/>
      <c r="AY183" s="248"/>
      <c r="AZ183" s="248"/>
      <c r="BA183" s="248"/>
      <c r="BB183" s="248"/>
      <c r="BC183" s="248"/>
      <c r="BD183" s="248"/>
      <c r="BE183" s="248"/>
      <c r="BF183" s="248"/>
      <c r="BG183" s="248"/>
      <c r="BH183" s="248"/>
      <c r="BI183" s="248"/>
      <c r="BJ183" s="248"/>
      <c r="BK183" s="248"/>
      <c r="BL183" s="248"/>
      <c r="BM183" s="248"/>
      <c r="BN183" s="248"/>
      <c r="BO183" s="248"/>
      <c r="BP183" s="248"/>
      <c r="BQ183" s="248"/>
      <c r="BR183" s="248"/>
      <c r="BS183" s="248"/>
      <c r="BT183" s="248"/>
      <c r="BU183" s="248"/>
      <c r="BV183" s="248"/>
      <c r="BW183" s="248"/>
      <c r="BX183" s="248"/>
      <c r="BY183" s="248"/>
      <c r="BZ183" s="248"/>
      <c r="CA183" s="248"/>
      <c r="CB183" s="248"/>
      <c r="CC183" s="248"/>
      <c r="CD183" s="248"/>
      <c r="CE183" s="248"/>
      <c r="CF183" s="248"/>
      <c r="CG183" s="248"/>
      <c r="CH183" s="248"/>
      <c r="CI183" s="248"/>
      <c r="CJ183" s="248"/>
      <c r="CK183" s="248"/>
      <c r="CL183" s="248"/>
      <c r="CM183" s="248"/>
      <c r="CN183" s="248"/>
      <c r="CO183" s="248"/>
      <c r="CP183" s="248"/>
      <c r="CQ183" s="248"/>
      <c r="CR183" s="248"/>
      <c r="CS183" s="248"/>
      <c r="CT183" s="248"/>
      <c r="CU183" s="248"/>
      <c r="CV183" s="248"/>
      <c r="CW183" s="248"/>
      <c r="CX183" s="248"/>
      <c r="CY183" s="248"/>
      <c r="CZ183" s="248"/>
      <c r="DA183" s="248"/>
      <c r="DB183" s="248"/>
      <c r="DC183" s="248"/>
      <c r="DD183" s="248"/>
      <c r="DE183" s="248"/>
      <c r="DF183" s="248"/>
      <c r="DG183" s="248"/>
      <c r="DH183" s="248"/>
      <c r="DI183" s="248"/>
      <c r="DJ183" s="248"/>
      <c r="DK183" s="248"/>
      <c r="DL183" s="248"/>
      <c r="DM183" s="248"/>
      <c r="DN183" s="248"/>
      <c r="DO183" s="248"/>
      <c r="DP183" s="248"/>
      <c r="DQ183" s="248"/>
      <c r="DR183" s="248"/>
      <c r="DS183" s="248"/>
      <c r="DT183" s="248"/>
      <c r="DU183" s="248"/>
      <c r="DV183" s="248"/>
      <c r="DW183" s="248"/>
      <c r="DX183" s="248"/>
      <c r="DY183" s="248"/>
      <c r="DZ183" s="248"/>
      <c r="EA183" s="248"/>
      <c r="EB183" s="248"/>
      <c r="EC183" s="248"/>
      <c r="ED183" s="248"/>
      <c r="EE183" s="248"/>
      <c r="EF183" s="248"/>
      <c r="EG183" s="248"/>
      <c r="EH183" s="248"/>
      <c r="EI183" s="248"/>
      <c r="EJ183" s="248"/>
      <c r="EK183" s="248"/>
      <c r="EL183" s="248"/>
      <c r="EM183" s="248"/>
      <c r="EN183" s="248"/>
      <c r="EO183" s="248"/>
      <c r="EP183" s="248"/>
      <c r="EQ183" s="248"/>
      <c r="ER183" s="248"/>
      <c r="ES183" s="248"/>
      <c r="ET183" s="248"/>
      <c r="EU183" s="248"/>
      <c r="EV183" s="248"/>
      <c r="EW183" s="248"/>
      <c r="EX183" s="248"/>
      <c r="EY183" s="248"/>
      <c r="EZ183" s="248"/>
      <c r="FA183" s="248"/>
      <c r="FB183" s="248"/>
      <c r="FC183" s="248"/>
      <c r="FD183" s="248"/>
      <c r="FE183" s="248"/>
      <c r="FF183" s="248"/>
      <c r="FG183" s="248"/>
      <c r="FH183" s="248"/>
      <c r="FI183" s="248"/>
      <c r="FJ183" s="248"/>
      <c r="FK183" s="248"/>
      <c r="FL183" s="248"/>
      <c r="FM183" s="248"/>
      <c r="FN183" s="248"/>
      <c r="FO183" s="248"/>
      <c r="FP183" s="248"/>
      <c r="FQ183" s="248"/>
      <c r="FR183" s="248"/>
      <c r="FS183" s="248"/>
      <c r="FT183" s="248"/>
      <c r="FU183" s="248"/>
      <c r="FV183" s="248"/>
      <c r="FW183" s="248"/>
      <c r="FX183" s="248"/>
      <c r="FY183" s="248"/>
      <c r="FZ183" s="248"/>
      <c r="GA183" s="248"/>
      <c r="GB183" s="248"/>
      <c r="GC183" s="248"/>
      <c r="GD183" s="248"/>
      <c r="GE183" s="248"/>
      <c r="GF183" s="248"/>
      <c r="GG183" s="248"/>
      <c r="GH183" s="248"/>
      <c r="GI183" s="248"/>
      <c r="GJ183" s="248"/>
      <c r="GK183" s="248"/>
      <c r="GL183" s="248"/>
      <c r="GM183" s="248"/>
      <c r="GN183" s="248"/>
      <c r="GO183" s="248"/>
      <c r="GP183" s="248"/>
      <c r="GQ183" s="248"/>
      <c r="GR183" s="248"/>
      <c r="GS183" s="248"/>
      <c r="GT183" s="248"/>
      <c r="GU183" s="248"/>
      <c r="GV183" s="248"/>
      <c r="GW183" s="248"/>
      <c r="GX183" s="248"/>
      <c r="GY183" s="248"/>
      <c r="GZ183" s="248"/>
      <c r="HA183" s="248"/>
      <c r="HB183" s="248"/>
      <c r="HC183" s="248"/>
      <c r="HD183" s="248"/>
      <c r="HE183" s="248"/>
      <c r="HF183" s="248"/>
      <c r="HG183" s="248"/>
      <c r="HH183" s="248"/>
      <c r="HI183" s="248"/>
      <c r="HJ183" s="248"/>
      <c r="HK183" s="248"/>
      <c r="HL183" s="248"/>
      <c r="HM183" s="248"/>
      <c r="HN183" s="248"/>
      <c r="HO183" s="248"/>
      <c r="HP183" s="248"/>
      <c r="HQ183" s="248"/>
      <c r="HR183" s="248"/>
      <c r="HS183" s="248"/>
      <c r="HT183" s="248"/>
      <c r="HU183" s="248"/>
      <c r="HV183" s="248"/>
      <c r="HW183" s="248"/>
      <c r="HX183" s="248"/>
      <c r="HY183" s="248"/>
      <c r="HZ183" s="248"/>
      <c r="IA183" s="248"/>
      <c r="IB183" s="248"/>
      <c r="IC183" s="248"/>
      <c r="ID183" s="248"/>
      <c r="IE183" s="248"/>
      <c r="IF183" s="248"/>
      <c r="IG183" s="248"/>
      <c r="IH183" s="248"/>
      <c r="II183" s="248"/>
      <c r="IJ183" s="248"/>
      <c r="IK183" s="248"/>
      <c r="IL183" s="248"/>
      <c r="IM183" s="248"/>
      <c r="IN183" s="248"/>
    </row>
    <row r="184" spans="1:248" s="164" customFormat="1">
      <c r="A184" s="242"/>
      <c r="B184" s="248"/>
      <c r="C184" s="248"/>
      <c r="D184" s="316"/>
      <c r="E184" s="316"/>
      <c r="F184" s="248"/>
      <c r="G184" s="316"/>
      <c r="H184" s="248"/>
      <c r="I184" s="248"/>
      <c r="J184" s="279"/>
      <c r="K184" s="35"/>
      <c r="L184" s="35"/>
      <c r="M184" s="35"/>
      <c r="N184" s="35"/>
      <c r="O184" s="58"/>
      <c r="P184" s="35"/>
      <c r="Q184" s="35"/>
      <c r="R184" s="248"/>
      <c r="S184" s="248"/>
      <c r="T184" s="248"/>
      <c r="U184" s="248"/>
      <c r="V184" s="248"/>
      <c r="W184" s="313"/>
      <c r="X184" s="248"/>
      <c r="Y184" s="248"/>
      <c r="Z184" s="248"/>
      <c r="AA184" s="248"/>
      <c r="AB184" s="248"/>
      <c r="AC184" s="248"/>
      <c r="AD184" s="248"/>
      <c r="AE184" s="248"/>
      <c r="AF184" s="248"/>
      <c r="AG184" s="248"/>
      <c r="AH184" s="248"/>
      <c r="AI184" s="248"/>
      <c r="AJ184" s="248"/>
      <c r="AK184" s="248"/>
      <c r="AL184" s="248"/>
      <c r="AM184" s="248"/>
      <c r="AN184" s="248"/>
      <c r="AO184" s="248"/>
      <c r="AP184" s="248"/>
      <c r="AQ184" s="248"/>
      <c r="AR184" s="248"/>
      <c r="AS184" s="248"/>
      <c r="AT184" s="248"/>
      <c r="AU184" s="248"/>
      <c r="AV184" s="248"/>
      <c r="AW184" s="248"/>
      <c r="AX184" s="248"/>
      <c r="AY184" s="248"/>
      <c r="AZ184" s="248"/>
      <c r="BA184" s="248"/>
      <c r="BB184" s="248"/>
      <c r="BC184" s="248"/>
      <c r="BD184" s="248"/>
      <c r="BE184" s="248"/>
      <c r="BF184" s="248"/>
      <c r="BG184" s="248"/>
      <c r="BH184" s="248"/>
      <c r="BI184" s="248"/>
      <c r="BJ184" s="248"/>
      <c r="BK184" s="248"/>
      <c r="BL184" s="248"/>
      <c r="BM184" s="248"/>
      <c r="BN184" s="248"/>
      <c r="BO184" s="248"/>
      <c r="BP184" s="248"/>
      <c r="BQ184" s="248"/>
      <c r="BR184" s="248"/>
      <c r="BS184" s="248"/>
      <c r="BT184" s="248"/>
      <c r="BU184" s="248"/>
      <c r="BV184" s="248"/>
      <c r="BW184" s="248"/>
      <c r="BX184" s="248"/>
      <c r="BY184" s="248"/>
      <c r="BZ184" s="248"/>
      <c r="CA184" s="248"/>
      <c r="CB184" s="248"/>
      <c r="CC184" s="248"/>
      <c r="CD184" s="248"/>
      <c r="CE184" s="248"/>
      <c r="CF184" s="248"/>
      <c r="CG184" s="248"/>
      <c r="CH184" s="248"/>
      <c r="CI184" s="248"/>
      <c r="CJ184" s="248"/>
      <c r="CK184" s="248"/>
      <c r="CL184" s="248"/>
      <c r="CM184" s="248"/>
      <c r="CN184" s="248"/>
      <c r="CO184" s="248"/>
      <c r="CP184" s="248"/>
      <c r="CQ184" s="248"/>
      <c r="CR184" s="248"/>
      <c r="CS184" s="248"/>
      <c r="CT184" s="248"/>
      <c r="CU184" s="248"/>
      <c r="CV184" s="248"/>
      <c r="CW184" s="248"/>
      <c r="CX184" s="248"/>
      <c r="CY184" s="248"/>
      <c r="CZ184" s="248"/>
      <c r="DA184" s="248"/>
      <c r="DB184" s="248"/>
      <c r="DC184" s="248"/>
      <c r="DD184" s="248"/>
      <c r="DE184" s="248"/>
      <c r="DF184" s="248"/>
      <c r="DG184" s="248"/>
      <c r="DH184" s="248"/>
      <c r="DI184" s="248"/>
      <c r="DJ184" s="248"/>
      <c r="DK184" s="248"/>
      <c r="DL184" s="248"/>
      <c r="DM184" s="248"/>
      <c r="DN184" s="248"/>
      <c r="DO184" s="248"/>
      <c r="DP184" s="248"/>
      <c r="DQ184" s="248"/>
      <c r="DR184" s="248"/>
      <c r="DS184" s="248"/>
      <c r="DT184" s="248"/>
      <c r="DU184" s="248"/>
      <c r="DV184" s="248"/>
      <c r="DW184" s="248"/>
      <c r="DX184" s="248"/>
      <c r="DY184" s="248"/>
      <c r="DZ184" s="248"/>
      <c r="EA184" s="248"/>
      <c r="EB184" s="248"/>
      <c r="EC184" s="248"/>
      <c r="ED184" s="248"/>
      <c r="EE184" s="248"/>
      <c r="EF184" s="248"/>
      <c r="EG184" s="248"/>
      <c r="EH184" s="248"/>
      <c r="EI184" s="248"/>
      <c r="EJ184" s="248"/>
      <c r="EK184" s="248"/>
      <c r="EL184" s="248"/>
      <c r="EM184" s="248"/>
      <c r="EN184" s="248"/>
      <c r="EO184" s="248"/>
      <c r="EP184" s="248"/>
      <c r="EQ184" s="248"/>
      <c r="ER184" s="248"/>
      <c r="ES184" s="248"/>
      <c r="ET184" s="248"/>
      <c r="EU184" s="248"/>
      <c r="EV184" s="248"/>
      <c r="EW184" s="248"/>
      <c r="EX184" s="248"/>
      <c r="EY184" s="248"/>
      <c r="EZ184" s="248"/>
      <c r="FA184" s="248"/>
      <c r="FB184" s="248"/>
      <c r="FC184" s="248"/>
      <c r="FD184" s="248"/>
      <c r="FE184" s="248"/>
      <c r="FF184" s="248"/>
      <c r="FG184" s="248"/>
      <c r="FH184" s="248"/>
      <c r="FI184" s="248"/>
      <c r="FJ184" s="248"/>
      <c r="FK184" s="248"/>
      <c r="FL184" s="248"/>
      <c r="FM184" s="248"/>
      <c r="FN184" s="248"/>
      <c r="FO184" s="248"/>
      <c r="FP184" s="248"/>
      <c r="FQ184" s="248"/>
      <c r="FR184" s="248"/>
      <c r="FS184" s="248"/>
      <c r="FT184" s="248"/>
      <c r="FU184" s="248"/>
      <c r="FV184" s="248"/>
      <c r="FW184" s="248"/>
      <c r="FX184" s="248"/>
      <c r="FY184" s="248"/>
      <c r="FZ184" s="248"/>
      <c r="GA184" s="248"/>
      <c r="GB184" s="248"/>
      <c r="GC184" s="248"/>
      <c r="GD184" s="248"/>
      <c r="GE184" s="248"/>
      <c r="GF184" s="248"/>
      <c r="GG184" s="248"/>
      <c r="GH184" s="248"/>
      <c r="GI184" s="248"/>
      <c r="GJ184" s="248"/>
      <c r="GK184" s="248"/>
      <c r="GL184" s="248"/>
      <c r="GM184" s="248"/>
      <c r="GN184" s="248"/>
      <c r="GO184" s="248"/>
      <c r="GP184" s="248"/>
      <c r="GQ184" s="248"/>
      <c r="GR184" s="248"/>
      <c r="GS184" s="248"/>
      <c r="GT184" s="248"/>
      <c r="GU184" s="248"/>
      <c r="GV184" s="248"/>
      <c r="GW184" s="248"/>
      <c r="GX184" s="248"/>
      <c r="GY184" s="248"/>
      <c r="GZ184" s="248"/>
      <c r="HA184" s="248"/>
      <c r="HB184" s="248"/>
      <c r="HC184" s="248"/>
      <c r="HD184" s="248"/>
      <c r="HE184" s="248"/>
      <c r="HF184" s="248"/>
      <c r="HG184" s="248"/>
      <c r="HH184" s="248"/>
      <c r="HI184" s="248"/>
      <c r="HJ184" s="248"/>
      <c r="HK184" s="248"/>
      <c r="HL184" s="248"/>
      <c r="HM184" s="248"/>
      <c r="HN184" s="248"/>
      <c r="HO184" s="248"/>
      <c r="HP184" s="248"/>
      <c r="HQ184" s="248"/>
      <c r="HR184" s="248"/>
      <c r="HS184" s="248"/>
      <c r="HT184" s="248"/>
      <c r="HU184" s="248"/>
      <c r="HV184" s="248"/>
      <c r="HW184" s="248"/>
      <c r="HX184" s="248"/>
      <c r="HY184" s="248"/>
      <c r="HZ184" s="248"/>
      <c r="IA184" s="248"/>
      <c r="IB184" s="248"/>
      <c r="IC184" s="248"/>
      <c r="ID184" s="248"/>
      <c r="IE184" s="248"/>
      <c r="IF184" s="248"/>
      <c r="IG184" s="248"/>
      <c r="IH184" s="248"/>
      <c r="II184" s="248"/>
      <c r="IJ184" s="248"/>
      <c r="IK184" s="248"/>
      <c r="IL184" s="248"/>
      <c r="IM184" s="248"/>
      <c r="IN184" s="248"/>
    </row>
    <row r="185" spans="1:248" s="164" customFormat="1">
      <c r="A185" s="242"/>
      <c r="B185" s="248"/>
      <c r="C185" s="248"/>
      <c r="D185" s="316"/>
      <c r="E185" s="316"/>
      <c r="F185" s="248"/>
      <c r="G185" s="316"/>
      <c r="H185" s="248"/>
      <c r="I185" s="248"/>
      <c r="J185" s="279"/>
      <c r="K185" s="35"/>
      <c r="L185" s="35"/>
      <c r="M185" s="35"/>
      <c r="N185" s="35"/>
      <c r="O185" s="58"/>
      <c r="P185" s="35"/>
      <c r="Q185" s="35"/>
      <c r="R185" s="248"/>
      <c r="S185" s="248"/>
      <c r="T185" s="248"/>
      <c r="U185" s="248"/>
      <c r="V185" s="248"/>
      <c r="W185" s="313"/>
      <c r="X185" s="248"/>
      <c r="Y185" s="248"/>
      <c r="Z185" s="248"/>
      <c r="AA185" s="248"/>
      <c r="AB185" s="248"/>
      <c r="AC185" s="248"/>
      <c r="AD185" s="248"/>
      <c r="AE185" s="248"/>
      <c r="AF185" s="248"/>
      <c r="AG185" s="248"/>
      <c r="AH185" s="248"/>
      <c r="AI185" s="248"/>
      <c r="AJ185" s="248"/>
      <c r="AK185" s="248"/>
      <c r="AL185" s="248"/>
      <c r="AM185" s="248"/>
      <c r="AN185" s="248"/>
      <c r="AO185" s="248"/>
      <c r="AP185" s="248"/>
      <c r="AQ185" s="248"/>
      <c r="AR185" s="248"/>
      <c r="AS185" s="248"/>
      <c r="AT185" s="248"/>
      <c r="AU185" s="248"/>
      <c r="AV185" s="248"/>
      <c r="AW185" s="248"/>
      <c r="AX185" s="248"/>
      <c r="AY185" s="248"/>
      <c r="AZ185" s="248"/>
      <c r="BA185" s="248"/>
      <c r="BB185" s="248"/>
      <c r="BC185" s="248"/>
      <c r="BD185" s="248"/>
      <c r="BE185" s="248"/>
      <c r="BF185" s="248"/>
      <c r="BG185" s="248"/>
      <c r="BH185" s="248"/>
      <c r="BI185" s="248"/>
      <c r="BJ185" s="248"/>
      <c r="BK185" s="248"/>
      <c r="BL185" s="248"/>
      <c r="BM185" s="248"/>
      <c r="BN185" s="248"/>
      <c r="BO185" s="248"/>
      <c r="BP185" s="248"/>
      <c r="BQ185" s="248"/>
      <c r="BR185" s="248"/>
      <c r="BS185" s="248"/>
      <c r="BT185" s="248"/>
      <c r="BU185" s="248"/>
      <c r="BV185" s="248"/>
      <c r="BW185" s="248"/>
      <c r="BX185" s="248"/>
      <c r="BY185" s="248"/>
      <c r="BZ185" s="248"/>
      <c r="CA185" s="248"/>
      <c r="CB185" s="248"/>
      <c r="CC185" s="248"/>
      <c r="CD185" s="248"/>
      <c r="CE185" s="248"/>
      <c r="CF185" s="248"/>
      <c r="CG185" s="248"/>
      <c r="CH185" s="248"/>
      <c r="CI185" s="248"/>
      <c r="CJ185" s="248"/>
      <c r="CK185" s="248"/>
      <c r="CL185" s="248"/>
      <c r="CM185" s="248"/>
      <c r="CN185" s="248"/>
      <c r="CO185" s="248"/>
      <c r="CP185" s="248"/>
      <c r="CQ185" s="248"/>
      <c r="CR185" s="248"/>
      <c r="CS185" s="248"/>
      <c r="CT185" s="248"/>
      <c r="CU185" s="248"/>
      <c r="CV185" s="248"/>
      <c r="CW185" s="248"/>
      <c r="CX185" s="248"/>
      <c r="CY185" s="248"/>
      <c r="CZ185" s="248"/>
      <c r="DA185" s="248"/>
      <c r="DB185" s="248"/>
      <c r="DC185" s="248"/>
      <c r="DD185" s="248"/>
      <c r="DE185" s="248"/>
      <c r="DF185" s="248"/>
      <c r="DG185" s="248"/>
      <c r="DH185" s="248"/>
      <c r="DI185" s="248"/>
      <c r="DJ185" s="248"/>
      <c r="DK185" s="248"/>
      <c r="DL185" s="248"/>
      <c r="DM185" s="248"/>
      <c r="DN185" s="248"/>
      <c r="DO185" s="248"/>
      <c r="DP185" s="248"/>
      <c r="DQ185" s="248"/>
      <c r="DR185" s="248"/>
      <c r="DS185" s="248"/>
      <c r="DT185" s="248"/>
      <c r="DU185" s="248"/>
      <c r="DV185" s="248"/>
      <c r="DW185" s="248"/>
      <c r="DX185" s="248"/>
      <c r="DY185" s="248"/>
      <c r="DZ185" s="248"/>
      <c r="EA185" s="248"/>
      <c r="EB185" s="248"/>
      <c r="EC185" s="248"/>
      <c r="ED185" s="248"/>
      <c r="EE185" s="248"/>
      <c r="EF185" s="248"/>
      <c r="EG185" s="248"/>
      <c r="EH185" s="248"/>
      <c r="EI185" s="248"/>
      <c r="EJ185" s="248"/>
      <c r="EK185" s="248"/>
      <c r="EL185" s="248"/>
      <c r="EM185" s="248"/>
      <c r="EN185" s="248"/>
      <c r="EO185" s="248"/>
      <c r="EP185" s="248"/>
      <c r="EQ185" s="248"/>
      <c r="ER185" s="248"/>
      <c r="ES185" s="248"/>
      <c r="ET185" s="248"/>
      <c r="EU185" s="248"/>
      <c r="EV185" s="248"/>
      <c r="EW185" s="248"/>
      <c r="EX185" s="248"/>
      <c r="EY185" s="248"/>
      <c r="EZ185" s="248"/>
      <c r="FA185" s="248"/>
      <c r="FB185" s="248"/>
      <c r="FC185" s="248"/>
      <c r="FD185" s="248"/>
      <c r="FE185" s="248"/>
      <c r="FF185" s="248"/>
      <c r="FG185" s="248"/>
      <c r="FH185" s="248"/>
      <c r="FI185" s="248"/>
      <c r="FJ185" s="248"/>
      <c r="FK185" s="248"/>
      <c r="FL185" s="248"/>
      <c r="FM185" s="248"/>
      <c r="FN185" s="248"/>
      <c r="FO185" s="248"/>
      <c r="FP185" s="248"/>
      <c r="FQ185" s="248"/>
      <c r="FR185" s="248"/>
      <c r="FS185" s="248"/>
      <c r="FT185" s="248"/>
      <c r="FU185" s="248"/>
      <c r="FV185" s="248"/>
      <c r="FW185" s="248"/>
      <c r="FX185" s="248"/>
      <c r="FY185" s="248"/>
      <c r="FZ185" s="248"/>
      <c r="GA185" s="248"/>
      <c r="GB185" s="248"/>
      <c r="GC185" s="248"/>
      <c r="GD185" s="248"/>
      <c r="GE185" s="248"/>
      <c r="GF185" s="248"/>
      <c r="GG185" s="248"/>
      <c r="GH185" s="248"/>
      <c r="GI185" s="248"/>
      <c r="GJ185" s="248"/>
      <c r="GK185" s="248"/>
      <c r="GL185" s="248"/>
      <c r="GM185" s="248"/>
      <c r="GN185" s="248"/>
      <c r="GO185" s="248"/>
      <c r="GP185" s="248"/>
      <c r="GQ185" s="248"/>
      <c r="GR185" s="248"/>
      <c r="GS185" s="248"/>
      <c r="GT185" s="248"/>
      <c r="GU185" s="248"/>
      <c r="GV185" s="248"/>
      <c r="GW185" s="248"/>
      <c r="GX185" s="248"/>
      <c r="GY185" s="248"/>
      <c r="GZ185" s="248"/>
      <c r="HA185" s="248"/>
      <c r="HB185" s="248"/>
      <c r="HC185" s="248"/>
      <c r="HD185" s="248"/>
      <c r="HE185" s="248"/>
      <c r="HF185" s="248"/>
      <c r="HG185" s="248"/>
      <c r="HH185" s="248"/>
      <c r="HI185" s="248"/>
      <c r="HJ185" s="248"/>
      <c r="HK185" s="248"/>
      <c r="HL185" s="248"/>
      <c r="HM185" s="248"/>
      <c r="HN185" s="248"/>
      <c r="HO185" s="248"/>
      <c r="HP185" s="248"/>
      <c r="HQ185" s="248"/>
      <c r="HR185" s="248"/>
      <c r="HS185" s="248"/>
      <c r="HT185" s="248"/>
      <c r="HU185" s="248"/>
      <c r="HV185" s="248"/>
      <c r="HW185" s="248"/>
      <c r="HX185" s="248"/>
      <c r="HY185" s="248"/>
      <c r="HZ185" s="248"/>
      <c r="IA185" s="248"/>
      <c r="IB185" s="248"/>
      <c r="IC185" s="248"/>
      <c r="ID185" s="248"/>
      <c r="IE185" s="248"/>
      <c r="IF185" s="248"/>
      <c r="IG185" s="248"/>
      <c r="IH185" s="248"/>
      <c r="II185" s="248"/>
      <c r="IJ185" s="248"/>
      <c r="IK185" s="248"/>
      <c r="IL185" s="248"/>
      <c r="IM185" s="248"/>
      <c r="IN185" s="248"/>
    </row>
    <row r="186" spans="1:248" s="164" customFormat="1">
      <c r="A186" s="242"/>
      <c r="B186" s="248"/>
      <c r="C186" s="248"/>
      <c r="D186" s="316"/>
      <c r="E186" s="316"/>
      <c r="F186" s="248"/>
      <c r="G186" s="316"/>
      <c r="H186" s="248"/>
      <c r="I186" s="248"/>
      <c r="J186" s="279"/>
      <c r="K186" s="35"/>
      <c r="L186" s="35"/>
      <c r="M186" s="35"/>
      <c r="N186" s="35"/>
      <c r="O186" s="58"/>
      <c r="P186" s="35"/>
      <c r="Q186" s="35"/>
      <c r="R186" s="248"/>
      <c r="S186" s="248"/>
      <c r="T186" s="248"/>
      <c r="U186" s="248"/>
      <c r="V186" s="248"/>
      <c r="W186" s="313"/>
      <c r="X186" s="248"/>
      <c r="Y186" s="248"/>
      <c r="Z186" s="248"/>
      <c r="AA186" s="248"/>
      <c r="AB186" s="248"/>
      <c r="AC186" s="248"/>
      <c r="AD186" s="248"/>
      <c r="AE186" s="248"/>
      <c r="AF186" s="248"/>
      <c r="AG186" s="248"/>
      <c r="AH186" s="248"/>
      <c r="AI186" s="248"/>
      <c r="AJ186" s="248"/>
      <c r="AK186" s="248"/>
      <c r="AL186" s="248"/>
      <c r="AM186" s="248"/>
      <c r="AN186" s="248"/>
      <c r="AO186" s="248"/>
      <c r="AP186" s="248"/>
      <c r="AQ186" s="248"/>
      <c r="AR186" s="248"/>
      <c r="AS186" s="248"/>
      <c r="AT186" s="248"/>
      <c r="AU186" s="248"/>
      <c r="AV186" s="248"/>
      <c r="AW186" s="248"/>
      <c r="AX186" s="248"/>
      <c r="AY186" s="248"/>
      <c r="AZ186" s="248"/>
      <c r="BA186" s="248"/>
      <c r="BB186" s="248"/>
      <c r="BC186" s="248"/>
      <c r="BD186" s="248"/>
      <c r="BE186" s="248"/>
      <c r="BF186" s="248"/>
      <c r="BG186" s="248"/>
      <c r="BH186" s="248"/>
      <c r="BI186" s="248"/>
      <c r="BJ186" s="248"/>
      <c r="BK186" s="248"/>
      <c r="BL186" s="248"/>
      <c r="BM186" s="248"/>
      <c r="BN186" s="248"/>
      <c r="BO186" s="248"/>
      <c r="BP186" s="248"/>
      <c r="BQ186" s="248"/>
      <c r="BR186" s="248"/>
      <c r="BS186" s="248"/>
      <c r="BT186" s="248"/>
      <c r="BU186" s="248"/>
      <c r="BV186" s="248"/>
      <c r="BW186" s="248"/>
      <c r="BX186" s="248"/>
      <c r="BY186" s="248"/>
      <c r="BZ186" s="248"/>
      <c r="CA186" s="248"/>
      <c r="CB186" s="248"/>
      <c r="CC186" s="248"/>
      <c r="CD186" s="248"/>
      <c r="CE186" s="248"/>
      <c r="CF186" s="248"/>
      <c r="CG186" s="248"/>
      <c r="CH186" s="248"/>
      <c r="CI186" s="248"/>
      <c r="CJ186" s="248"/>
      <c r="CK186" s="248"/>
      <c r="CL186" s="248"/>
      <c r="CM186" s="248"/>
      <c r="CN186" s="248"/>
      <c r="CO186" s="248"/>
      <c r="CP186" s="248"/>
      <c r="CQ186" s="248"/>
      <c r="CR186" s="248"/>
      <c r="CS186" s="248"/>
      <c r="CT186" s="248"/>
      <c r="CU186" s="248"/>
      <c r="CV186" s="248"/>
      <c r="CW186" s="248"/>
      <c r="CX186" s="248"/>
      <c r="CY186" s="248"/>
      <c r="CZ186" s="248"/>
      <c r="DA186" s="248"/>
      <c r="DB186" s="248"/>
      <c r="DC186" s="248"/>
      <c r="DD186" s="248"/>
      <c r="DE186" s="248"/>
      <c r="DF186" s="248"/>
      <c r="DG186" s="248"/>
      <c r="DH186" s="248"/>
      <c r="DI186" s="248"/>
      <c r="DJ186" s="248"/>
      <c r="DK186" s="248"/>
      <c r="DL186" s="248"/>
      <c r="DM186" s="248"/>
      <c r="DN186" s="248"/>
      <c r="DO186" s="248"/>
      <c r="DP186" s="248"/>
      <c r="DQ186" s="248"/>
      <c r="DR186" s="248"/>
      <c r="DS186" s="248"/>
      <c r="DT186" s="248"/>
      <c r="DU186" s="248"/>
      <c r="DV186" s="248"/>
      <c r="DW186" s="248"/>
      <c r="DX186" s="248"/>
      <c r="DY186" s="248"/>
      <c r="DZ186" s="248"/>
      <c r="EA186" s="248"/>
      <c r="EB186" s="248"/>
      <c r="EC186" s="248"/>
      <c r="ED186" s="248"/>
      <c r="EE186" s="248"/>
      <c r="EF186" s="248"/>
      <c r="EG186" s="248"/>
      <c r="EH186" s="248"/>
      <c r="EI186" s="248"/>
      <c r="EJ186" s="248"/>
      <c r="EK186" s="248"/>
      <c r="EL186" s="248"/>
      <c r="EM186" s="248"/>
      <c r="EN186" s="248"/>
      <c r="EO186" s="248"/>
      <c r="EP186" s="248"/>
      <c r="EQ186" s="248"/>
      <c r="ER186" s="248"/>
      <c r="ES186" s="248"/>
      <c r="ET186" s="248"/>
      <c r="EU186" s="248"/>
      <c r="EV186" s="248"/>
      <c r="EW186" s="248"/>
      <c r="EX186" s="248"/>
      <c r="EY186" s="248"/>
      <c r="EZ186" s="248"/>
      <c r="FA186" s="248"/>
      <c r="FB186" s="248"/>
      <c r="FC186" s="248"/>
      <c r="FD186" s="248"/>
      <c r="FE186" s="248"/>
      <c r="FF186" s="248"/>
      <c r="FG186" s="248"/>
      <c r="FH186" s="248"/>
      <c r="FI186" s="248"/>
      <c r="FJ186" s="248"/>
      <c r="FK186" s="248"/>
      <c r="FL186" s="248"/>
      <c r="FM186" s="248"/>
      <c r="FN186" s="248"/>
      <c r="FO186" s="248"/>
      <c r="FP186" s="248"/>
      <c r="FQ186" s="248"/>
      <c r="FR186" s="248"/>
      <c r="FS186" s="248"/>
      <c r="FT186" s="248"/>
      <c r="FU186" s="248"/>
      <c r="FV186" s="248"/>
      <c r="FW186" s="248"/>
      <c r="FX186" s="248"/>
      <c r="FY186" s="248"/>
      <c r="FZ186" s="248"/>
      <c r="GA186" s="248"/>
      <c r="GB186" s="248"/>
      <c r="GC186" s="248"/>
      <c r="GD186" s="248"/>
      <c r="GE186" s="248"/>
      <c r="GF186" s="248"/>
      <c r="GG186" s="248"/>
      <c r="GH186" s="248"/>
      <c r="GI186" s="248"/>
      <c r="GJ186" s="248"/>
      <c r="GK186" s="248"/>
      <c r="GL186" s="248"/>
      <c r="GM186" s="248"/>
      <c r="GN186" s="248"/>
      <c r="GO186" s="248"/>
      <c r="GP186" s="248"/>
      <c r="GQ186" s="248"/>
      <c r="GR186" s="248"/>
      <c r="GS186" s="248"/>
      <c r="GT186" s="248"/>
      <c r="GU186" s="248"/>
      <c r="GV186" s="248"/>
      <c r="GW186" s="248"/>
      <c r="GX186" s="248"/>
      <c r="GY186" s="248"/>
      <c r="GZ186" s="248"/>
      <c r="HA186" s="248"/>
      <c r="HB186" s="248"/>
      <c r="HC186" s="248"/>
      <c r="HD186" s="248"/>
      <c r="HE186" s="248"/>
      <c r="HF186" s="248"/>
      <c r="HG186" s="248"/>
      <c r="HH186" s="248"/>
      <c r="HI186" s="248"/>
      <c r="HJ186" s="248"/>
      <c r="HK186" s="248"/>
      <c r="HL186" s="248"/>
      <c r="HM186" s="248"/>
      <c r="HN186" s="248"/>
      <c r="HO186" s="248"/>
      <c r="HP186" s="248"/>
      <c r="HQ186" s="248"/>
      <c r="HR186" s="248"/>
      <c r="HS186" s="248"/>
      <c r="HT186" s="248"/>
      <c r="HU186" s="248"/>
      <c r="HV186" s="248"/>
      <c r="HW186" s="248"/>
      <c r="HX186" s="248"/>
      <c r="HY186" s="248"/>
      <c r="HZ186" s="248"/>
      <c r="IA186" s="248"/>
      <c r="IB186" s="248"/>
      <c r="IC186" s="248"/>
      <c r="ID186" s="248"/>
      <c r="IE186" s="248"/>
      <c r="IF186" s="248"/>
      <c r="IG186" s="248"/>
      <c r="IH186" s="248"/>
      <c r="II186" s="248"/>
      <c r="IJ186" s="248"/>
      <c r="IK186" s="248"/>
      <c r="IL186" s="248"/>
      <c r="IM186" s="248"/>
      <c r="IN186" s="248"/>
    </row>
    <row r="187" spans="1:248" s="164" customFormat="1">
      <c r="A187" s="242"/>
      <c r="B187" s="248"/>
      <c r="C187" s="248"/>
      <c r="D187" s="316"/>
      <c r="E187" s="316"/>
      <c r="F187" s="248"/>
      <c r="G187" s="316"/>
      <c r="H187" s="248"/>
      <c r="I187" s="248"/>
      <c r="J187" s="279"/>
      <c r="K187" s="35"/>
      <c r="L187" s="35"/>
      <c r="M187" s="35"/>
      <c r="N187" s="35"/>
      <c r="O187" s="58"/>
      <c r="P187" s="35"/>
      <c r="Q187" s="35"/>
      <c r="R187" s="248"/>
      <c r="S187" s="248"/>
      <c r="T187" s="248"/>
      <c r="U187" s="248"/>
      <c r="V187" s="248"/>
      <c r="W187" s="313"/>
      <c r="X187" s="248"/>
      <c r="Y187" s="248"/>
      <c r="Z187" s="248"/>
      <c r="AA187" s="248"/>
      <c r="AB187" s="248"/>
      <c r="AC187" s="248"/>
      <c r="AD187" s="248"/>
      <c r="AE187" s="248"/>
      <c r="AF187" s="248"/>
      <c r="AG187" s="248"/>
      <c r="AH187" s="248"/>
      <c r="AI187" s="248"/>
      <c r="AJ187" s="248"/>
      <c r="AK187" s="248"/>
      <c r="AL187" s="248"/>
      <c r="AM187" s="248"/>
      <c r="AN187" s="248"/>
      <c r="AO187" s="248"/>
      <c r="AP187" s="248"/>
      <c r="AQ187" s="248"/>
      <c r="AR187" s="248"/>
      <c r="AS187" s="248"/>
      <c r="AT187" s="248"/>
      <c r="AU187" s="248"/>
      <c r="AV187" s="248"/>
      <c r="AW187" s="248"/>
      <c r="AX187" s="248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48"/>
      <c r="HL187" s="248"/>
      <c r="HM187" s="248"/>
      <c r="HN187" s="248"/>
      <c r="HO187" s="248"/>
      <c r="HP187" s="248"/>
      <c r="HQ187" s="248"/>
      <c r="HR187" s="248"/>
      <c r="HS187" s="248"/>
      <c r="HT187" s="248"/>
      <c r="HU187" s="248"/>
      <c r="HV187" s="248"/>
      <c r="HW187" s="248"/>
      <c r="HX187" s="248"/>
      <c r="HY187" s="248"/>
      <c r="HZ187" s="248"/>
      <c r="IA187" s="248"/>
      <c r="IB187" s="248"/>
      <c r="IC187" s="248"/>
      <c r="ID187" s="248"/>
      <c r="IE187" s="248"/>
      <c r="IF187" s="248"/>
      <c r="IG187" s="248"/>
      <c r="IH187" s="248"/>
      <c r="II187" s="248"/>
      <c r="IJ187" s="248"/>
      <c r="IK187" s="248"/>
      <c r="IL187" s="248"/>
      <c r="IM187" s="248"/>
      <c r="IN187" s="248"/>
    </row>
    <row r="188" spans="1:248" s="164" customFormat="1">
      <c r="A188" s="242"/>
      <c r="B188" s="248"/>
      <c r="C188" s="248"/>
      <c r="D188" s="316"/>
      <c r="E188" s="316"/>
      <c r="F188" s="248"/>
      <c r="G188" s="316"/>
      <c r="H188" s="248"/>
      <c r="I188" s="248"/>
      <c r="J188" s="279"/>
      <c r="K188" s="35"/>
      <c r="L188" s="35"/>
      <c r="M188" s="35"/>
      <c r="N188" s="35"/>
      <c r="O188" s="58"/>
      <c r="P188" s="35"/>
      <c r="Q188" s="35"/>
      <c r="R188" s="248"/>
      <c r="S188" s="248"/>
      <c r="T188" s="248"/>
      <c r="U188" s="248"/>
      <c r="V188" s="248"/>
      <c r="W188" s="313"/>
      <c r="X188" s="248"/>
      <c r="Y188" s="248"/>
      <c r="Z188" s="248"/>
      <c r="AA188" s="248"/>
      <c r="AB188" s="248"/>
      <c r="AC188" s="248"/>
      <c r="AD188" s="248"/>
      <c r="AE188" s="248"/>
      <c r="AF188" s="248"/>
      <c r="AG188" s="248"/>
      <c r="AH188" s="248"/>
      <c r="AI188" s="248"/>
      <c r="AJ188" s="248"/>
      <c r="AK188" s="248"/>
      <c r="AL188" s="248"/>
      <c r="AM188" s="248"/>
      <c r="AN188" s="248"/>
      <c r="AO188" s="248"/>
      <c r="AP188" s="248"/>
      <c r="AQ188" s="248"/>
      <c r="AR188" s="248"/>
      <c r="AS188" s="248"/>
      <c r="AT188" s="248"/>
      <c r="AU188" s="248"/>
      <c r="AV188" s="248"/>
      <c r="AW188" s="248"/>
      <c r="AX188" s="248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48"/>
      <c r="HL188" s="248"/>
      <c r="HM188" s="248"/>
      <c r="HN188" s="248"/>
      <c r="HO188" s="248"/>
      <c r="HP188" s="248"/>
      <c r="HQ188" s="248"/>
      <c r="HR188" s="248"/>
      <c r="HS188" s="248"/>
      <c r="HT188" s="248"/>
      <c r="HU188" s="248"/>
      <c r="HV188" s="248"/>
      <c r="HW188" s="248"/>
      <c r="HX188" s="248"/>
      <c r="HY188" s="248"/>
      <c r="HZ188" s="248"/>
      <c r="IA188" s="248"/>
      <c r="IB188" s="248"/>
      <c r="IC188" s="248"/>
      <c r="ID188" s="248"/>
      <c r="IE188" s="248"/>
      <c r="IF188" s="248"/>
      <c r="IG188" s="248"/>
      <c r="IH188" s="248"/>
      <c r="II188" s="248"/>
      <c r="IJ188" s="248"/>
      <c r="IK188" s="248"/>
      <c r="IL188" s="248"/>
      <c r="IM188" s="248"/>
      <c r="IN188" s="248"/>
    </row>
    <row r="189" spans="1:248" s="164" customFormat="1">
      <c r="A189" s="242"/>
      <c r="B189" s="248"/>
      <c r="C189" s="248"/>
      <c r="D189" s="316"/>
      <c r="E189" s="316"/>
      <c r="F189" s="248"/>
      <c r="G189" s="316"/>
      <c r="H189" s="248"/>
      <c r="I189" s="248"/>
      <c r="J189" s="279"/>
      <c r="K189" s="35"/>
      <c r="L189" s="35"/>
      <c r="M189" s="35"/>
      <c r="N189" s="35"/>
      <c r="O189" s="58"/>
      <c r="P189" s="35"/>
      <c r="Q189" s="35"/>
      <c r="R189" s="248"/>
      <c r="S189" s="248"/>
      <c r="T189" s="248"/>
      <c r="U189" s="248"/>
      <c r="V189" s="248"/>
      <c r="W189" s="313"/>
      <c r="X189" s="248"/>
      <c r="Y189" s="248"/>
      <c r="Z189" s="248"/>
      <c r="AA189" s="248"/>
      <c r="AB189" s="248"/>
      <c r="AC189" s="248"/>
      <c r="AD189" s="248"/>
      <c r="AE189" s="248"/>
      <c r="AF189" s="248"/>
      <c r="AG189" s="248"/>
      <c r="AH189" s="248"/>
      <c r="AI189" s="248"/>
      <c r="AJ189" s="248"/>
      <c r="AK189" s="248"/>
      <c r="AL189" s="248"/>
      <c r="AM189" s="248"/>
      <c r="AN189" s="248"/>
      <c r="AO189" s="248"/>
      <c r="AP189" s="248"/>
      <c r="AQ189" s="248"/>
      <c r="AR189" s="248"/>
      <c r="AS189" s="248"/>
      <c r="AT189" s="248"/>
      <c r="AU189" s="248"/>
      <c r="AV189" s="248"/>
      <c r="AW189" s="248"/>
      <c r="AX189" s="248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48"/>
      <c r="HL189" s="248"/>
      <c r="HM189" s="248"/>
      <c r="HN189" s="248"/>
      <c r="HO189" s="248"/>
      <c r="HP189" s="248"/>
      <c r="HQ189" s="248"/>
      <c r="HR189" s="248"/>
      <c r="HS189" s="248"/>
      <c r="HT189" s="248"/>
      <c r="HU189" s="248"/>
      <c r="HV189" s="248"/>
      <c r="HW189" s="248"/>
      <c r="HX189" s="248"/>
      <c r="HY189" s="248"/>
      <c r="HZ189" s="248"/>
      <c r="IA189" s="248"/>
      <c r="IB189" s="248"/>
      <c r="IC189" s="248"/>
      <c r="ID189" s="248"/>
      <c r="IE189" s="248"/>
      <c r="IF189" s="248"/>
      <c r="IG189" s="248"/>
      <c r="IH189" s="248"/>
      <c r="II189" s="248"/>
      <c r="IJ189" s="248"/>
      <c r="IK189" s="248"/>
      <c r="IL189" s="248"/>
      <c r="IM189" s="248"/>
      <c r="IN189" s="248"/>
    </row>
    <row r="190" spans="1:248" s="164" customFormat="1">
      <c r="A190" s="242"/>
      <c r="B190" s="248"/>
      <c r="C190" s="248"/>
      <c r="D190" s="316"/>
      <c r="E190" s="316"/>
      <c r="F190" s="248"/>
      <c r="G190" s="316"/>
      <c r="H190" s="248"/>
      <c r="I190" s="248"/>
      <c r="J190" s="279"/>
      <c r="K190" s="35"/>
      <c r="L190" s="35"/>
      <c r="M190" s="35"/>
      <c r="N190" s="35"/>
      <c r="O190" s="58"/>
      <c r="P190" s="35"/>
      <c r="Q190" s="35"/>
      <c r="R190" s="248"/>
      <c r="S190" s="248"/>
      <c r="T190" s="248"/>
      <c r="U190" s="248"/>
      <c r="V190" s="248"/>
      <c r="W190" s="313"/>
      <c r="X190" s="248"/>
      <c r="Y190" s="248"/>
      <c r="Z190" s="248"/>
      <c r="AA190" s="248"/>
      <c r="AB190" s="248"/>
      <c r="AC190" s="248"/>
      <c r="AD190" s="248"/>
      <c r="AE190" s="248"/>
      <c r="AF190" s="248"/>
      <c r="AG190" s="248"/>
      <c r="AH190" s="248"/>
      <c r="AI190" s="248"/>
      <c r="AJ190" s="248"/>
      <c r="AK190" s="248"/>
      <c r="AL190" s="248"/>
      <c r="AM190" s="248"/>
      <c r="AN190" s="248"/>
      <c r="AO190" s="248"/>
      <c r="AP190" s="248"/>
      <c r="AQ190" s="248"/>
      <c r="AR190" s="248"/>
      <c r="AS190" s="248"/>
      <c r="AT190" s="248"/>
      <c r="AU190" s="248"/>
      <c r="AV190" s="248"/>
      <c r="AW190" s="248"/>
      <c r="AX190" s="248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48"/>
      <c r="HL190" s="248"/>
      <c r="HM190" s="248"/>
      <c r="HN190" s="248"/>
      <c r="HO190" s="248"/>
      <c r="HP190" s="248"/>
      <c r="HQ190" s="248"/>
      <c r="HR190" s="248"/>
      <c r="HS190" s="248"/>
      <c r="HT190" s="248"/>
      <c r="HU190" s="248"/>
      <c r="HV190" s="248"/>
      <c r="HW190" s="248"/>
      <c r="HX190" s="248"/>
      <c r="HY190" s="248"/>
      <c r="HZ190" s="248"/>
      <c r="IA190" s="248"/>
      <c r="IB190" s="248"/>
      <c r="IC190" s="248"/>
      <c r="ID190" s="248"/>
      <c r="IE190" s="248"/>
      <c r="IF190" s="248"/>
      <c r="IG190" s="248"/>
      <c r="IH190" s="248"/>
      <c r="II190" s="248"/>
      <c r="IJ190" s="248"/>
      <c r="IK190" s="248"/>
      <c r="IL190" s="248"/>
      <c r="IM190" s="248"/>
      <c r="IN190" s="248"/>
    </row>
    <row r="191" spans="1:248" s="164" customFormat="1">
      <c r="A191" s="242"/>
      <c r="B191" s="248"/>
      <c r="C191" s="248"/>
      <c r="D191" s="316"/>
      <c r="E191" s="316"/>
      <c r="F191" s="248"/>
      <c r="G191" s="316"/>
      <c r="H191" s="248"/>
      <c r="I191" s="248"/>
      <c r="J191" s="279"/>
      <c r="K191" s="35"/>
      <c r="L191" s="35"/>
      <c r="M191" s="35"/>
      <c r="N191" s="35"/>
      <c r="O191" s="58"/>
      <c r="P191" s="35"/>
      <c r="Q191" s="35"/>
      <c r="R191" s="248"/>
      <c r="S191" s="248"/>
      <c r="T191" s="248"/>
      <c r="U191" s="248"/>
      <c r="V191" s="248"/>
      <c r="W191" s="313"/>
      <c r="X191" s="248"/>
      <c r="Y191" s="248"/>
      <c r="Z191" s="248"/>
      <c r="AA191" s="248"/>
      <c r="AB191" s="248"/>
      <c r="AC191" s="248"/>
      <c r="AD191" s="248"/>
      <c r="AE191" s="248"/>
      <c r="AF191" s="248"/>
      <c r="AG191" s="248"/>
      <c r="AH191" s="248"/>
      <c r="AI191" s="248"/>
      <c r="AJ191" s="248"/>
      <c r="AK191" s="248"/>
      <c r="AL191" s="248"/>
      <c r="AM191" s="248"/>
      <c r="AN191" s="248"/>
      <c r="AO191" s="248"/>
      <c r="AP191" s="248"/>
      <c r="AQ191" s="248"/>
      <c r="AR191" s="248"/>
      <c r="AS191" s="248"/>
      <c r="AT191" s="248"/>
      <c r="AU191" s="248"/>
      <c r="AV191" s="248"/>
      <c r="AW191" s="248"/>
      <c r="AX191" s="248"/>
      <c r="AY191" s="248"/>
      <c r="AZ191" s="248"/>
      <c r="BA191" s="248"/>
      <c r="BB191" s="248"/>
      <c r="BC191" s="248"/>
      <c r="BD191" s="248"/>
      <c r="BE191" s="248"/>
      <c r="BF191" s="248"/>
      <c r="BG191" s="248"/>
      <c r="BH191" s="248"/>
      <c r="BI191" s="248"/>
      <c r="BJ191" s="248"/>
      <c r="BK191" s="248"/>
      <c r="BL191" s="248"/>
      <c r="BM191" s="248"/>
      <c r="BN191" s="248"/>
      <c r="BO191" s="248"/>
      <c r="BP191" s="248"/>
      <c r="BQ191" s="248"/>
      <c r="BR191" s="248"/>
      <c r="BS191" s="248"/>
      <c r="BT191" s="248"/>
      <c r="BU191" s="248"/>
      <c r="BV191" s="248"/>
      <c r="BW191" s="248"/>
      <c r="BX191" s="248"/>
      <c r="BY191" s="248"/>
      <c r="BZ191" s="248"/>
      <c r="CA191" s="248"/>
      <c r="CB191" s="248"/>
      <c r="CC191" s="248"/>
      <c r="CD191" s="248"/>
      <c r="CE191" s="248"/>
      <c r="CF191" s="248"/>
      <c r="CG191" s="248"/>
      <c r="CH191" s="248"/>
      <c r="CI191" s="248"/>
      <c r="CJ191" s="248"/>
      <c r="CK191" s="248"/>
      <c r="CL191" s="248"/>
      <c r="CM191" s="248"/>
      <c r="CN191" s="248"/>
      <c r="CO191" s="248"/>
      <c r="CP191" s="248"/>
      <c r="CQ191" s="248"/>
      <c r="CR191" s="248"/>
      <c r="CS191" s="248"/>
      <c r="CT191" s="248"/>
      <c r="CU191" s="248"/>
      <c r="CV191" s="248"/>
      <c r="CW191" s="248"/>
      <c r="CX191" s="248"/>
      <c r="CY191" s="248"/>
      <c r="CZ191" s="248"/>
      <c r="DA191" s="248"/>
      <c r="DB191" s="248"/>
      <c r="DC191" s="248"/>
      <c r="DD191" s="248"/>
      <c r="DE191" s="248"/>
      <c r="DF191" s="248"/>
      <c r="DG191" s="248"/>
      <c r="DH191" s="248"/>
      <c r="DI191" s="248"/>
      <c r="DJ191" s="248"/>
      <c r="DK191" s="248"/>
      <c r="DL191" s="248"/>
      <c r="DM191" s="248"/>
      <c r="DN191" s="248"/>
      <c r="DO191" s="248"/>
      <c r="DP191" s="248"/>
      <c r="DQ191" s="248"/>
      <c r="DR191" s="248"/>
      <c r="DS191" s="248"/>
      <c r="DT191" s="248"/>
      <c r="DU191" s="248"/>
      <c r="DV191" s="248"/>
      <c r="DW191" s="248"/>
      <c r="DX191" s="248"/>
      <c r="DY191" s="248"/>
      <c r="DZ191" s="248"/>
      <c r="EA191" s="248"/>
      <c r="EB191" s="248"/>
      <c r="EC191" s="248"/>
      <c r="ED191" s="248"/>
      <c r="EE191" s="248"/>
      <c r="EF191" s="248"/>
      <c r="EG191" s="248"/>
      <c r="EH191" s="248"/>
      <c r="EI191" s="248"/>
      <c r="EJ191" s="248"/>
      <c r="EK191" s="248"/>
      <c r="EL191" s="248"/>
      <c r="EM191" s="248"/>
      <c r="EN191" s="248"/>
      <c r="EO191" s="248"/>
      <c r="EP191" s="248"/>
      <c r="EQ191" s="248"/>
      <c r="ER191" s="248"/>
      <c r="ES191" s="248"/>
      <c r="ET191" s="248"/>
      <c r="EU191" s="248"/>
      <c r="EV191" s="248"/>
      <c r="EW191" s="248"/>
      <c r="EX191" s="248"/>
      <c r="EY191" s="248"/>
      <c r="EZ191" s="248"/>
      <c r="FA191" s="248"/>
      <c r="FB191" s="248"/>
      <c r="FC191" s="248"/>
      <c r="FD191" s="248"/>
      <c r="FE191" s="248"/>
      <c r="FF191" s="248"/>
      <c r="FG191" s="248"/>
      <c r="FH191" s="248"/>
      <c r="FI191" s="248"/>
      <c r="FJ191" s="248"/>
      <c r="FK191" s="248"/>
      <c r="FL191" s="248"/>
      <c r="FM191" s="248"/>
      <c r="FN191" s="248"/>
      <c r="FO191" s="248"/>
      <c r="FP191" s="248"/>
      <c r="FQ191" s="248"/>
      <c r="FR191" s="248"/>
      <c r="FS191" s="248"/>
      <c r="FT191" s="248"/>
      <c r="FU191" s="248"/>
      <c r="FV191" s="248"/>
      <c r="FW191" s="248"/>
      <c r="FX191" s="248"/>
      <c r="FY191" s="248"/>
      <c r="FZ191" s="248"/>
      <c r="GA191" s="248"/>
      <c r="GB191" s="248"/>
      <c r="GC191" s="248"/>
      <c r="GD191" s="248"/>
      <c r="GE191" s="248"/>
      <c r="GF191" s="248"/>
      <c r="GG191" s="248"/>
      <c r="GH191" s="248"/>
      <c r="GI191" s="248"/>
      <c r="GJ191" s="248"/>
      <c r="GK191" s="248"/>
      <c r="GL191" s="248"/>
      <c r="GM191" s="248"/>
      <c r="GN191" s="248"/>
      <c r="GO191" s="248"/>
      <c r="GP191" s="248"/>
      <c r="GQ191" s="248"/>
      <c r="GR191" s="248"/>
      <c r="GS191" s="248"/>
      <c r="GT191" s="248"/>
      <c r="GU191" s="248"/>
      <c r="GV191" s="248"/>
      <c r="GW191" s="248"/>
      <c r="GX191" s="248"/>
      <c r="GY191" s="248"/>
      <c r="GZ191" s="248"/>
      <c r="HA191" s="248"/>
      <c r="HB191" s="248"/>
      <c r="HC191" s="248"/>
      <c r="HD191" s="248"/>
      <c r="HE191" s="248"/>
      <c r="HF191" s="248"/>
      <c r="HG191" s="248"/>
      <c r="HH191" s="248"/>
      <c r="HI191" s="248"/>
      <c r="HJ191" s="248"/>
      <c r="HK191" s="248"/>
      <c r="HL191" s="248"/>
      <c r="HM191" s="248"/>
      <c r="HN191" s="248"/>
      <c r="HO191" s="248"/>
      <c r="HP191" s="248"/>
      <c r="HQ191" s="248"/>
      <c r="HR191" s="248"/>
      <c r="HS191" s="248"/>
      <c r="HT191" s="248"/>
      <c r="HU191" s="248"/>
      <c r="HV191" s="248"/>
      <c r="HW191" s="248"/>
      <c r="HX191" s="248"/>
      <c r="HY191" s="248"/>
      <c r="HZ191" s="248"/>
      <c r="IA191" s="248"/>
      <c r="IB191" s="248"/>
      <c r="IC191" s="248"/>
      <c r="ID191" s="248"/>
      <c r="IE191" s="248"/>
      <c r="IF191" s="248"/>
      <c r="IG191" s="248"/>
      <c r="IH191" s="248"/>
      <c r="II191" s="248"/>
      <c r="IJ191" s="248"/>
      <c r="IK191" s="248"/>
      <c r="IL191" s="248"/>
      <c r="IM191" s="248"/>
      <c r="IN191" s="248"/>
    </row>
    <row r="192" spans="1:248" s="164" customFormat="1">
      <c r="A192" s="242"/>
      <c r="B192" s="248"/>
      <c r="C192" s="248"/>
      <c r="D192" s="316"/>
      <c r="E192" s="316"/>
      <c r="F192" s="248"/>
      <c r="G192" s="316"/>
      <c r="H192" s="248"/>
      <c r="I192" s="248"/>
      <c r="J192" s="279"/>
      <c r="K192" s="35"/>
      <c r="L192" s="35"/>
      <c r="M192" s="35"/>
      <c r="N192" s="35"/>
      <c r="O192" s="58"/>
      <c r="P192" s="35"/>
      <c r="Q192" s="35"/>
      <c r="R192" s="248"/>
      <c r="S192" s="248"/>
      <c r="T192" s="248"/>
      <c r="U192" s="248"/>
      <c r="V192" s="248"/>
      <c r="W192" s="313"/>
      <c r="X192" s="248"/>
      <c r="Y192" s="248"/>
      <c r="Z192" s="248"/>
      <c r="AA192" s="248"/>
      <c r="AB192" s="248"/>
      <c r="AC192" s="248"/>
      <c r="AD192" s="248"/>
      <c r="AE192" s="248"/>
      <c r="AF192" s="248"/>
      <c r="AG192" s="248"/>
      <c r="AH192" s="248"/>
      <c r="AI192" s="248"/>
      <c r="AJ192" s="248"/>
      <c r="AK192" s="248"/>
      <c r="AL192" s="248"/>
      <c r="AM192" s="248"/>
      <c r="AN192" s="248"/>
      <c r="AO192" s="248"/>
      <c r="AP192" s="248"/>
      <c r="AQ192" s="248"/>
      <c r="AR192" s="248"/>
      <c r="AS192" s="248"/>
      <c r="AT192" s="248"/>
      <c r="AU192" s="248"/>
      <c r="AV192" s="248"/>
      <c r="AW192" s="248"/>
      <c r="AX192" s="248"/>
      <c r="AY192" s="248"/>
      <c r="AZ192" s="248"/>
      <c r="BA192" s="248"/>
      <c r="BB192" s="248"/>
      <c r="BC192" s="248"/>
      <c r="BD192" s="248"/>
      <c r="BE192" s="248"/>
      <c r="BF192" s="248"/>
      <c r="BG192" s="248"/>
      <c r="BH192" s="248"/>
      <c r="BI192" s="248"/>
      <c r="BJ192" s="248"/>
      <c r="BK192" s="248"/>
      <c r="BL192" s="248"/>
      <c r="BM192" s="248"/>
      <c r="BN192" s="248"/>
      <c r="BO192" s="248"/>
      <c r="BP192" s="248"/>
      <c r="BQ192" s="248"/>
      <c r="BR192" s="248"/>
      <c r="BS192" s="248"/>
      <c r="BT192" s="248"/>
      <c r="BU192" s="248"/>
      <c r="BV192" s="248"/>
      <c r="BW192" s="248"/>
      <c r="BX192" s="248"/>
      <c r="BY192" s="248"/>
      <c r="BZ192" s="248"/>
      <c r="CA192" s="248"/>
      <c r="CB192" s="248"/>
      <c r="CC192" s="248"/>
      <c r="CD192" s="248"/>
      <c r="CE192" s="248"/>
      <c r="CF192" s="248"/>
      <c r="CG192" s="248"/>
      <c r="CH192" s="248"/>
      <c r="CI192" s="248"/>
      <c r="CJ192" s="248"/>
      <c r="CK192" s="248"/>
      <c r="CL192" s="248"/>
      <c r="CM192" s="248"/>
      <c r="CN192" s="248"/>
      <c r="CO192" s="248"/>
      <c r="CP192" s="248"/>
      <c r="CQ192" s="248"/>
      <c r="CR192" s="248"/>
      <c r="CS192" s="248"/>
      <c r="CT192" s="248"/>
      <c r="CU192" s="248"/>
      <c r="CV192" s="248"/>
      <c r="CW192" s="248"/>
      <c r="CX192" s="248"/>
      <c r="CY192" s="248"/>
      <c r="CZ192" s="248"/>
      <c r="DA192" s="248"/>
      <c r="DB192" s="248"/>
      <c r="DC192" s="248"/>
      <c r="DD192" s="248"/>
      <c r="DE192" s="248"/>
      <c r="DF192" s="248"/>
      <c r="DG192" s="248"/>
      <c r="DH192" s="248"/>
      <c r="DI192" s="248"/>
      <c r="DJ192" s="248"/>
      <c r="DK192" s="248"/>
      <c r="DL192" s="248"/>
      <c r="DM192" s="248"/>
      <c r="DN192" s="248"/>
      <c r="DO192" s="248"/>
      <c r="DP192" s="248"/>
      <c r="DQ192" s="248"/>
      <c r="DR192" s="248"/>
      <c r="DS192" s="248"/>
      <c r="DT192" s="248"/>
      <c r="DU192" s="248"/>
      <c r="DV192" s="248"/>
      <c r="DW192" s="248"/>
      <c r="DX192" s="248"/>
      <c r="DY192" s="248"/>
      <c r="DZ192" s="248"/>
      <c r="EA192" s="248"/>
      <c r="EB192" s="248"/>
      <c r="EC192" s="248"/>
      <c r="ED192" s="248"/>
      <c r="EE192" s="248"/>
      <c r="EF192" s="248"/>
      <c r="EG192" s="248"/>
      <c r="EH192" s="248"/>
      <c r="EI192" s="248"/>
      <c r="EJ192" s="248"/>
      <c r="EK192" s="248"/>
      <c r="EL192" s="248"/>
      <c r="EM192" s="248"/>
      <c r="EN192" s="248"/>
      <c r="EO192" s="248"/>
      <c r="EP192" s="248"/>
      <c r="EQ192" s="248"/>
      <c r="ER192" s="248"/>
      <c r="ES192" s="248"/>
      <c r="ET192" s="248"/>
      <c r="EU192" s="248"/>
      <c r="EV192" s="248"/>
      <c r="EW192" s="248"/>
      <c r="EX192" s="248"/>
      <c r="EY192" s="248"/>
      <c r="EZ192" s="248"/>
      <c r="FA192" s="248"/>
      <c r="FB192" s="248"/>
      <c r="FC192" s="248"/>
      <c r="FD192" s="248"/>
      <c r="FE192" s="248"/>
      <c r="FF192" s="248"/>
      <c r="FG192" s="248"/>
      <c r="FH192" s="248"/>
      <c r="FI192" s="248"/>
      <c r="FJ192" s="248"/>
      <c r="FK192" s="248"/>
      <c r="FL192" s="248"/>
      <c r="FM192" s="248"/>
      <c r="FN192" s="248"/>
      <c r="FO192" s="248"/>
      <c r="FP192" s="248"/>
      <c r="FQ192" s="248"/>
      <c r="FR192" s="248"/>
      <c r="FS192" s="248"/>
      <c r="FT192" s="248"/>
      <c r="FU192" s="248"/>
      <c r="FV192" s="248"/>
      <c r="FW192" s="248"/>
      <c r="FX192" s="248"/>
      <c r="FY192" s="248"/>
      <c r="FZ192" s="248"/>
      <c r="GA192" s="248"/>
      <c r="GB192" s="248"/>
      <c r="GC192" s="248"/>
      <c r="GD192" s="248"/>
      <c r="GE192" s="248"/>
      <c r="GF192" s="248"/>
      <c r="GG192" s="248"/>
      <c r="GH192" s="248"/>
      <c r="GI192" s="248"/>
      <c r="GJ192" s="248"/>
      <c r="GK192" s="248"/>
      <c r="GL192" s="248"/>
      <c r="GM192" s="248"/>
      <c r="GN192" s="248"/>
      <c r="GO192" s="248"/>
      <c r="GP192" s="248"/>
      <c r="GQ192" s="248"/>
      <c r="GR192" s="248"/>
      <c r="GS192" s="248"/>
      <c r="GT192" s="248"/>
      <c r="GU192" s="248"/>
      <c r="GV192" s="248"/>
      <c r="GW192" s="248"/>
      <c r="GX192" s="248"/>
      <c r="GY192" s="248"/>
      <c r="GZ192" s="248"/>
      <c r="HA192" s="248"/>
      <c r="HB192" s="248"/>
      <c r="HC192" s="248"/>
      <c r="HD192" s="248"/>
      <c r="HE192" s="248"/>
      <c r="HF192" s="248"/>
      <c r="HG192" s="248"/>
      <c r="HH192" s="248"/>
      <c r="HI192" s="248"/>
      <c r="HJ192" s="248"/>
      <c r="HK192" s="248"/>
      <c r="HL192" s="248"/>
      <c r="HM192" s="248"/>
      <c r="HN192" s="248"/>
      <c r="HO192" s="248"/>
      <c r="HP192" s="248"/>
      <c r="HQ192" s="248"/>
      <c r="HR192" s="248"/>
      <c r="HS192" s="248"/>
      <c r="HT192" s="248"/>
      <c r="HU192" s="248"/>
      <c r="HV192" s="248"/>
      <c r="HW192" s="248"/>
      <c r="HX192" s="248"/>
      <c r="HY192" s="248"/>
      <c r="HZ192" s="248"/>
      <c r="IA192" s="248"/>
      <c r="IB192" s="248"/>
      <c r="IC192" s="248"/>
      <c r="ID192" s="248"/>
      <c r="IE192" s="248"/>
      <c r="IF192" s="248"/>
      <c r="IG192" s="248"/>
      <c r="IH192" s="248"/>
      <c r="II192" s="248"/>
      <c r="IJ192" s="248"/>
      <c r="IK192" s="248"/>
      <c r="IL192" s="248"/>
      <c r="IM192" s="248"/>
      <c r="IN192" s="248"/>
    </row>
    <row r="193" spans="1:248" s="164" customFormat="1">
      <c r="A193" s="242"/>
      <c r="B193" s="248"/>
      <c r="C193" s="248"/>
      <c r="D193" s="316"/>
      <c r="E193" s="316"/>
      <c r="F193" s="248"/>
      <c r="G193" s="316"/>
      <c r="H193" s="248"/>
      <c r="I193" s="248"/>
      <c r="J193" s="279"/>
      <c r="K193" s="35"/>
      <c r="L193" s="35"/>
      <c r="M193" s="35"/>
      <c r="N193" s="35"/>
      <c r="O193" s="58"/>
      <c r="P193" s="35"/>
      <c r="Q193" s="35"/>
      <c r="R193" s="248"/>
      <c r="S193" s="248"/>
      <c r="T193" s="248"/>
      <c r="U193" s="248"/>
      <c r="V193" s="248"/>
      <c r="W193" s="313"/>
      <c r="X193" s="248"/>
      <c r="Y193" s="248"/>
      <c r="Z193" s="248"/>
      <c r="AA193" s="248"/>
      <c r="AB193" s="248"/>
      <c r="AC193" s="248"/>
      <c r="AD193" s="248"/>
      <c r="AE193" s="248"/>
      <c r="AF193" s="248"/>
      <c r="AG193" s="248"/>
      <c r="AH193" s="248"/>
      <c r="AI193" s="248"/>
      <c r="AJ193" s="248"/>
      <c r="AK193" s="248"/>
      <c r="AL193" s="248"/>
      <c r="AM193" s="248"/>
      <c r="AN193" s="248"/>
      <c r="AO193" s="248"/>
      <c r="AP193" s="248"/>
      <c r="AQ193" s="248"/>
      <c r="AR193" s="248"/>
      <c r="AS193" s="248"/>
      <c r="AT193" s="248"/>
      <c r="AU193" s="248"/>
      <c r="AV193" s="248"/>
      <c r="AW193" s="248"/>
      <c r="AX193" s="248"/>
      <c r="AY193" s="248"/>
      <c r="AZ193" s="248"/>
      <c r="BA193" s="248"/>
      <c r="BB193" s="248"/>
      <c r="BC193" s="248"/>
      <c r="BD193" s="248"/>
      <c r="BE193" s="248"/>
      <c r="BF193" s="248"/>
      <c r="BG193" s="248"/>
      <c r="BH193" s="248"/>
      <c r="BI193" s="248"/>
      <c r="BJ193" s="248"/>
      <c r="BK193" s="248"/>
      <c r="BL193" s="248"/>
      <c r="BM193" s="248"/>
      <c r="BN193" s="248"/>
      <c r="BO193" s="248"/>
      <c r="BP193" s="248"/>
      <c r="BQ193" s="248"/>
      <c r="BR193" s="248"/>
      <c r="BS193" s="248"/>
      <c r="BT193" s="248"/>
      <c r="BU193" s="248"/>
      <c r="BV193" s="248"/>
      <c r="BW193" s="248"/>
      <c r="BX193" s="248"/>
      <c r="BY193" s="248"/>
      <c r="BZ193" s="248"/>
      <c r="CA193" s="248"/>
      <c r="CB193" s="248"/>
      <c r="CC193" s="248"/>
      <c r="CD193" s="248"/>
      <c r="CE193" s="248"/>
      <c r="CF193" s="248"/>
      <c r="CG193" s="248"/>
      <c r="CH193" s="248"/>
      <c r="CI193" s="248"/>
      <c r="CJ193" s="248"/>
      <c r="CK193" s="248"/>
      <c r="CL193" s="248"/>
      <c r="CM193" s="248"/>
      <c r="CN193" s="248"/>
      <c r="CO193" s="248"/>
      <c r="CP193" s="248"/>
      <c r="CQ193" s="248"/>
      <c r="CR193" s="248"/>
      <c r="CS193" s="248"/>
      <c r="CT193" s="248"/>
      <c r="CU193" s="248"/>
      <c r="CV193" s="248"/>
      <c r="CW193" s="248"/>
      <c r="CX193" s="248"/>
      <c r="CY193" s="248"/>
      <c r="CZ193" s="248"/>
      <c r="DA193" s="248"/>
      <c r="DB193" s="248"/>
      <c r="DC193" s="248"/>
      <c r="DD193" s="248"/>
      <c r="DE193" s="248"/>
      <c r="DF193" s="248"/>
      <c r="DG193" s="248"/>
      <c r="DH193" s="248"/>
      <c r="DI193" s="248"/>
      <c r="DJ193" s="248"/>
      <c r="DK193" s="248"/>
      <c r="DL193" s="248"/>
      <c r="DM193" s="248"/>
      <c r="DN193" s="248"/>
      <c r="DO193" s="248"/>
      <c r="DP193" s="248"/>
      <c r="DQ193" s="248"/>
      <c r="DR193" s="248"/>
      <c r="DS193" s="248"/>
      <c r="DT193" s="248"/>
      <c r="DU193" s="248"/>
      <c r="DV193" s="248"/>
      <c r="DW193" s="248"/>
      <c r="DX193" s="248"/>
      <c r="DY193" s="248"/>
      <c r="DZ193" s="248"/>
      <c r="EA193" s="248"/>
      <c r="EB193" s="248"/>
      <c r="EC193" s="248"/>
      <c r="ED193" s="248"/>
      <c r="EE193" s="248"/>
      <c r="EF193" s="248"/>
      <c r="EG193" s="248"/>
      <c r="EH193" s="248"/>
      <c r="EI193" s="248"/>
      <c r="EJ193" s="248"/>
      <c r="EK193" s="248"/>
      <c r="EL193" s="248"/>
      <c r="EM193" s="248"/>
      <c r="EN193" s="248"/>
      <c r="EO193" s="248"/>
      <c r="EP193" s="248"/>
      <c r="EQ193" s="248"/>
      <c r="ER193" s="248"/>
      <c r="ES193" s="248"/>
      <c r="ET193" s="248"/>
      <c r="EU193" s="248"/>
      <c r="EV193" s="248"/>
      <c r="EW193" s="248"/>
      <c r="EX193" s="248"/>
      <c r="EY193" s="248"/>
      <c r="EZ193" s="248"/>
      <c r="FA193" s="248"/>
      <c r="FB193" s="248"/>
      <c r="FC193" s="248"/>
      <c r="FD193" s="248"/>
      <c r="FE193" s="248"/>
      <c r="FF193" s="248"/>
      <c r="FG193" s="248"/>
      <c r="FH193" s="248"/>
      <c r="FI193" s="248"/>
      <c r="FJ193" s="248"/>
      <c r="FK193" s="248"/>
      <c r="FL193" s="248"/>
      <c r="FM193" s="248"/>
      <c r="FN193" s="248"/>
      <c r="FO193" s="248"/>
      <c r="FP193" s="248"/>
      <c r="FQ193" s="248"/>
      <c r="FR193" s="248"/>
      <c r="FS193" s="248"/>
      <c r="FT193" s="248"/>
      <c r="FU193" s="248"/>
      <c r="FV193" s="248"/>
      <c r="FW193" s="248"/>
      <c r="FX193" s="248"/>
      <c r="FY193" s="248"/>
      <c r="FZ193" s="248"/>
      <c r="GA193" s="248"/>
      <c r="GB193" s="248"/>
      <c r="GC193" s="248"/>
      <c r="GD193" s="248"/>
      <c r="GE193" s="248"/>
      <c r="GF193" s="248"/>
      <c r="GG193" s="248"/>
      <c r="GH193" s="248"/>
      <c r="GI193" s="248"/>
      <c r="GJ193" s="248"/>
      <c r="GK193" s="248"/>
      <c r="GL193" s="248"/>
      <c r="GM193" s="248"/>
      <c r="GN193" s="248"/>
      <c r="GO193" s="248"/>
      <c r="GP193" s="248"/>
      <c r="GQ193" s="248"/>
      <c r="GR193" s="248"/>
      <c r="GS193" s="248"/>
      <c r="GT193" s="248"/>
      <c r="GU193" s="248"/>
      <c r="GV193" s="248"/>
      <c r="GW193" s="248"/>
      <c r="GX193" s="248"/>
      <c r="GY193" s="248"/>
      <c r="GZ193" s="248"/>
      <c r="HA193" s="248"/>
      <c r="HB193" s="248"/>
      <c r="HC193" s="248"/>
      <c r="HD193" s="248"/>
      <c r="HE193" s="248"/>
      <c r="HF193" s="248"/>
      <c r="HG193" s="248"/>
      <c r="HH193" s="248"/>
      <c r="HI193" s="248"/>
      <c r="HJ193" s="248"/>
      <c r="HK193" s="248"/>
      <c r="HL193" s="248"/>
      <c r="HM193" s="248"/>
      <c r="HN193" s="248"/>
      <c r="HO193" s="248"/>
      <c r="HP193" s="248"/>
      <c r="HQ193" s="248"/>
      <c r="HR193" s="248"/>
      <c r="HS193" s="248"/>
      <c r="HT193" s="248"/>
      <c r="HU193" s="248"/>
      <c r="HV193" s="248"/>
      <c r="HW193" s="248"/>
      <c r="HX193" s="248"/>
      <c r="HY193" s="248"/>
      <c r="HZ193" s="248"/>
      <c r="IA193" s="248"/>
      <c r="IB193" s="248"/>
      <c r="IC193" s="248"/>
      <c r="ID193" s="248"/>
      <c r="IE193" s="248"/>
      <c r="IF193" s="248"/>
      <c r="IG193" s="248"/>
      <c r="IH193" s="248"/>
      <c r="II193" s="248"/>
      <c r="IJ193" s="248"/>
      <c r="IK193" s="248"/>
      <c r="IL193" s="248"/>
      <c r="IM193" s="248"/>
      <c r="IN193" s="248"/>
    </row>
    <row r="194" spans="1:248" s="164" customFormat="1">
      <c r="A194" s="242"/>
      <c r="B194" s="248"/>
      <c r="C194" s="248"/>
      <c r="D194" s="316"/>
      <c r="E194" s="316"/>
      <c r="F194" s="248"/>
      <c r="G194" s="316"/>
      <c r="H194" s="248"/>
      <c r="I194" s="248"/>
      <c r="J194" s="279"/>
      <c r="K194" s="35"/>
      <c r="L194" s="35"/>
      <c r="M194" s="35"/>
      <c r="N194" s="35"/>
      <c r="O194" s="58"/>
      <c r="P194" s="35"/>
      <c r="Q194" s="35"/>
      <c r="R194" s="248"/>
      <c r="S194" s="248"/>
      <c r="T194" s="248"/>
      <c r="U194" s="248"/>
      <c r="V194" s="248"/>
      <c r="W194" s="313"/>
      <c r="X194" s="248"/>
      <c r="Y194" s="248"/>
      <c r="Z194" s="248"/>
      <c r="AA194" s="248"/>
      <c r="AB194" s="248"/>
      <c r="AC194" s="248"/>
      <c r="AD194" s="248"/>
      <c r="AE194" s="248"/>
      <c r="AF194" s="248"/>
      <c r="AG194" s="248"/>
      <c r="AH194" s="248"/>
      <c r="AI194" s="248"/>
      <c r="AJ194" s="248"/>
      <c r="AK194" s="248"/>
      <c r="AL194" s="248"/>
      <c r="AM194" s="248"/>
      <c r="AN194" s="248"/>
      <c r="AO194" s="248"/>
      <c r="AP194" s="248"/>
      <c r="AQ194" s="248"/>
      <c r="AR194" s="248"/>
      <c r="AS194" s="248"/>
      <c r="AT194" s="248"/>
      <c r="AU194" s="248"/>
      <c r="AV194" s="248"/>
      <c r="AW194" s="248"/>
      <c r="AX194" s="248"/>
      <c r="AY194" s="248"/>
      <c r="AZ194" s="248"/>
      <c r="BA194" s="248"/>
      <c r="BB194" s="248"/>
      <c r="BC194" s="248"/>
      <c r="BD194" s="248"/>
      <c r="BE194" s="248"/>
      <c r="BF194" s="248"/>
      <c r="BG194" s="248"/>
      <c r="BH194" s="248"/>
      <c r="BI194" s="248"/>
      <c r="BJ194" s="248"/>
      <c r="BK194" s="248"/>
      <c r="BL194" s="248"/>
      <c r="BM194" s="248"/>
      <c r="BN194" s="248"/>
      <c r="BO194" s="248"/>
      <c r="BP194" s="248"/>
      <c r="BQ194" s="248"/>
      <c r="BR194" s="248"/>
      <c r="BS194" s="248"/>
      <c r="BT194" s="248"/>
      <c r="BU194" s="248"/>
      <c r="BV194" s="248"/>
      <c r="BW194" s="248"/>
      <c r="BX194" s="248"/>
      <c r="BY194" s="248"/>
      <c r="BZ194" s="248"/>
      <c r="CA194" s="248"/>
      <c r="CB194" s="248"/>
      <c r="CC194" s="248"/>
      <c r="CD194" s="248"/>
      <c r="CE194" s="248"/>
      <c r="CF194" s="248"/>
      <c r="CG194" s="248"/>
      <c r="CH194" s="248"/>
      <c r="CI194" s="248"/>
      <c r="CJ194" s="248"/>
      <c r="CK194" s="248"/>
      <c r="CL194" s="248"/>
      <c r="CM194" s="248"/>
      <c r="CN194" s="248"/>
      <c r="CO194" s="248"/>
      <c r="CP194" s="248"/>
      <c r="CQ194" s="248"/>
      <c r="CR194" s="248"/>
      <c r="CS194" s="248"/>
      <c r="CT194" s="248"/>
      <c r="CU194" s="248"/>
      <c r="CV194" s="248"/>
      <c r="CW194" s="248"/>
      <c r="CX194" s="248"/>
      <c r="CY194" s="248"/>
      <c r="CZ194" s="248"/>
      <c r="DA194" s="248"/>
      <c r="DB194" s="248"/>
      <c r="DC194" s="248"/>
      <c r="DD194" s="248"/>
      <c r="DE194" s="248"/>
      <c r="DF194" s="248"/>
      <c r="DG194" s="248"/>
      <c r="DH194" s="248"/>
      <c r="DI194" s="248"/>
      <c r="DJ194" s="248"/>
      <c r="DK194" s="248"/>
      <c r="DL194" s="248"/>
      <c r="DM194" s="248"/>
      <c r="DN194" s="248"/>
      <c r="DO194" s="248"/>
      <c r="DP194" s="248"/>
      <c r="DQ194" s="248"/>
      <c r="DR194" s="248"/>
      <c r="DS194" s="248"/>
      <c r="DT194" s="248"/>
      <c r="DU194" s="248"/>
      <c r="DV194" s="248"/>
      <c r="DW194" s="248"/>
      <c r="DX194" s="248"/>
      <c r="DY194" s="248"/>
      <c r="DZ194" s="248"/>
      <c r="EA194" s="248"/>
      <c r="EB194" s="248"/>
      <c r="EC194" s="248"/>
      <c r="ED194" s="248"/>
      <c r="EE194" s="248"/>
      <c r="EF194" s="248"/>
      <c r="EG194" s="248"/>
      <c r="EH194" s="248"/>
      <c r="EI194" s="248"/>
      <c r="EJ194" s="248"/>
      <c r="EK194" s="248"/>
      <c r="EL194" s="248"/>
      <c r="EM194" s="248"/>
      <c r="EN194" s="248"/>
      <c r="EO194" s="248"/>
      <c r="EP194" s="248"/>
      <c r="EQ194" s="248"/>
      <c r="ER194" s="248"/>
      <c r="ES194" s="248"/>
      <c r="ET194" s="248"/>
      <c r="EU194" s="248"/>
      <c r="EV194" s="248"/>
      <c r="EW194" s="248"/>
      <c r="EX194" s="248"/>
      <c r="EY194" s="248"/>
      <c r="EZ194" s="248"/>
      <c r="FA194" s="248"/>
      <c r="FB194" s="248"/>
      <c r="FC194" s="248"/>
      <c r="FD194" s="248"/>
      <c r="FE194" s="248"/>
      <c r="FF194" s="248"/>
      <c r="FG194" s="248"/>
      <c r="FH194" s="248"/>
      <c r="FI194" s="248"/>
      <c r="FJ194" s="248"/>
      <c r="FK194" s="248"/>
      <c r="FL194" s="248"/>
      <c r="FM194" s="248"/>
      <c r="FN194" s="248"/>
      <c r="FO194" s="248"/>
      <c r="FP194" s="248"/>
      <c r="FQ194" s="248"/>
      <c r="FR194" s="248"/>
      <c r="FS194" s="248"/>
      <c r="FT194" s="248"/>
      <c r="FU194" s="248"/>
      <c r="FV194" s="248"/>
      <c r="FW194" s="248"/>
      <c r="FX194" s="248"/>
      <c r="FY194" s="248"/>
      <c r="FZ194" s="248"/>
      <c r="GA194" s="248"/>
      <c r="GB194" s="248"/>
      <c r="GC194" s="248"/>
      <c r="GD194" s="248"/>
      <c r="GE194" s="248"/>
      <c r="GF194" s="248"/>
      <c r="GG194" s="248"/>
      <c r="GH194" s="248"/>
      <c r="GI194" s="248"/>
      <c r="GJ194" s="248"/>
      <c r="GK194" s="248"/>
      <c r="GL194" s="248"/>
      <c r="GM194" s="248"/>
      <c r="GN194" s="248"/>
      <c r="GO194" s="248"/>
      <c r="GP194" s="248"/>
      <c r="GQ194" s="248"/>
      <c r="GR194" s="248"/>
      <c r="GS194" s="248"/>
      <c r="GT194" s="248"/>
      <c r="GU194" s="248"/>
      <c r="GV194" s="248"/>
      <c r="GW194" s="248"/>
      <c r="GX194" s="248"/>
      <c r="GY194" s="248"/>
      <c r="GZ194" s="248"/>
      <c r="HA194" s="248"/>
      <c r="HB194" s="248"/>
      <c r="HC194" s="248"/>
      <c r="HD194" s="248"/>
      <c r="HE194" s="248"/>
      <c r="HF194" s="248"/>
      <c r="HG194" s="248"/>
      <c r="HH194" s="248"/>
      <c r="HI194" s="248"/>
      <c r="HJ194" s="248"/>
      <c r="HK194" s="248"/>
      <c r="HL194" s="248"/>
      <c r="HM194" s="248"/>
      <c r="HN194" s="248"/>
      <c r="HO194" s="248"/>
      <c r="HP194" s="248"/>
      <c r="HQ194" s="248"/>
      <c r="HR194" s="248"/>
      <c r="HS194" s="248"/>
      <c r="HT194" s="248"/>
      <c r="HU194" s="248"/>
      <c r="HV194" s="248"/>
      <c r="HW194" s="248"/>
      <c r="HX194" s="248"/>
      <c r="HY194" s="248"/>
      <c r="HZ194" s="248"/>
      <c r="IA194" s="248"/>
      <c r="IB194" s="248"/>
      <c r="IC194" s="248"/>
      <c r="ID194" s="248"/>
      <c r="IE194" s="248"/>
      <c r="IF194" s="248"/>
      <c r="IG194" s="248"/>
      <c r="IH194" s="248"/>
      <c r="II194" s="248"/>
      <c r="IJ194" s="248"/>
      <c r="IK194" s="248"/>
      <c r="IL194" s="248"/>
      <c r="IM194" s="248"/>
      <c r="IN194" s="248"/>
    </row>
    <row r="195" spans="1:248">
      <c r="A195" s="242"/>
      <c r="J195" s="376"/>
      <c r="K195" s="5"/>
      <c r="L195" s="5"/>
      <c r="M195" s="5"/>
      <c r="N195" s="5"/>
      <c r="O195" s="60"/>
      <c r="P195" s="5"/>
      <c r="Q195" s="5"/>
    </row>
    <row r="196" spans="1:248">
      <c r="A196" s="242"/>
    </row>
    <row r="197" spans="1:248">
      <c r="A197" s="242"/>
    </row>
    <row r="198" spans="1:248">
      <c r="A198" s="242"/>
    </row>
    <row r="199" spans="1:248">
      <c r="A199" s="242"/>
    </row>
    <row r="200" spans="1:248">
      <c r="A200" s="242"/>
    </row>
    <row r="201" spans="1:248">
      <c r="A201" s="242"/>
    </row>
    <row r="202" spans="1:248">
      <c r="A202" s="242"/>
    </row>
    <row r="203" spans="1:248">
      <c r="A203" s="242"/>
    </row>
    <row r="204" spans="1:248">
      <c r="A204" s="242"/>
    </row>
    <row r="205" spans="1:248">
      <c r="A205" s="242"/>
    </row>
    <row r="206" spans="1:248">
      <c r="A206" s="242"/>
    </row>
    <row r="207" spans="1:248">
      <c r="A207" s="242"/>
    </row>
    <row r="208" spans="1:248">
      <c r="A208" s="242"/>
    </row>
    <row r="209" spans="1:1">
      <c r="A209" s="242"/>
    </row>
    <row r="210" spans="1:1">
      <c r="A210" s="242"/>
    </row>
    <row r="211" spans="1:1">
      <c r="A211" s="242"/>
    </row>
    <row r="212" spans="1:1">
      <c r="A212" s="242"/>
    </row>
    <row r="213" spans="1:1">
      <c r="A213" s="242"/>
    </row>
    <row r="214" spans="1:1">
      <c r="A214" s="242"/>
    </row>
    <row r="215" spans="1:1">
      <c r="A215" s="242"/>
    </row>
    <row r="216" spans="1:1">
      <c r="A216" s="242"/>
    </row>
    <row r="217" spans="1:1">
      <c r="A217" s="242"/>
    </row>
    <row r="218" spans="1:1">
      <c r="A218" s="242"/>
    </row>
    <row r="219" spans="1:1">
      <c r="A219" s="242"/>
    </row>
    <row r="220" spans="1:1">
      <c r="A220" s="242"/>
    </row>
    <row r="221" spans="1:1">
      <c r="A221" s="242"/>
    </row>
    <row r="222" spans="1:1">
      <c r="A222" s="242"/>
    </row>
    <row r="223" spans="1:1">
      <c r="A223" s="242"/>
    </row>
    <row r="224" spans="1:1">
      <c r="A224" s="242"/>
    </row>
    <row r="225" spans="1:1">
      <c r="A225" s="242"/>
    </row>
    <row r="226" spans="1:1">
      <c r="A226" s="242"/>
    </row>
    <row r="227" spans="1:1">
      <c r="A227" s="242"/>
    </row>
    <row r="228" spans="1:1">
      <c r="A228" s="242"/>
    </row>
    <row r="229" spans="1:1">
      <c r="A229" s="242"/>
    </row>
    <row r="230" spans="1:1">
      <c r="A230" s="242"/>
    </row>
  </sheetData>
  <autoFilter ref="A3:IN112"/>
  <conditionalFormatting sqref="T73:V73 T78:V78 T82:V82">
    <cfRule type="cellIs" dxfId="358" priority="600" stopIfTrue="1" operator="equal">
      <formula>"AKTUELL"</formula>
    </cfRule>
    <cfRule type="cellIs" dxfId="357" priority="601" stopIfTrue="1" operator="equal">
      <formula>"NICHT AKTUELL"</formula>
    </cfRule>
    <cfRule type="cellIs" dxfId="356" priority="602" stopIfTrue="1" operator="equal">
      <formula>"NOCH NICHT AKTUELL"</formula>
    </cfRule>
  </conditionalFormatting>
  <conditionalFormatting sqref="S2">
    <cfRule type="cellIs" dxfId="355" priority="595" operator="equal">
      <formula>"KEIN LIEFERUMFANG"</formula>
    </cfRule>
    <cfRule type="cellIs" dxfId="354" priority="596" stopIfTrue="1" operator="equal">
      <formula>"KEIN SERIENEINSATZ"</formula>
    </cfRule>
    <cfRule type="cellIs" dxfId="353" priority="597" stopIfTrue="1" operator="equal">
      <formula>"NICHT AKTUELL"</formula>
    </cfRule>
    <cfRule type="cellIs" dxfId="352" priority="598" stopIfTrue="1" operator="equal">
      <formula>"NOCH NICHT AKTUELL"</formula>
    </cfRule>
    <cfRule type="cellIs" dxfId="351" priority="599" stopIfTrue="1" operator="equal">
      <formula>"AKTUELL"</formula>
    </cfRule>
  </conditionalFormatting>
  <conditionalFormatting sqref="S73 S78 S82">
    <cfRule type="cellIs" dxfId="350" priority="586" stopIfTrue="1" operator="equal">
      <formula>"AKTUELL"</formula>
    </cfRule>
    <cfRule type="cellIs" dxfId="349" priority="587" stopIfTrue="1" operator="equal">
      <formula>"NICHT AKTUELL"</formula>
    </cfRule>
    <cfRule type="cellIs" dxfId="348" priority="588" stopIfTrue="1" operator="equal">
      <formula>"NOCH NICHT AKTUELL"</formula>
    </cfRule>
  </conditionalFormatting>
  <conditionalFormatting sqref="S40:V40">
    <cfRule type="cellIs" dxfId="347" priority="523" stopIfTrue="1" operator="equal">
      <formula>"AKTUELL"</formula>
    </cfRule>
    <cfRule type="cellIs" dxfId="346" priority="524" stopIfTrue="1" operator="equal">
      <formula>"NICHT AKTUELL"</formula>
    </cfRule>
    <cfRule type="cellIs" dxfId="345" priority="525" stopIfTrue="1" operator="equal">
      <formula>"NOCH NICHT AKTUELL"</formula>
    </cfRule>
  </conditionalFormatting>
  <conditionalFormatting sqref="S42:V42">
    <cfRule type="cellIs" dxfId="344" priority="517" stopIfTrue="1" operator="equal">
      <formula>"AKTUELL"</formula>
    </cfRule>
    <cfRule type="cellIs" dxfId="343" priority="518" stopIfTrue="1" operator="equal">
      <formula>"NICHT AKTUELL"</formula>
    </cfRule>
    <cfRule type="cellIs" dxfId="342" priority="519" stopIfTrue="1" operator="equal">
      <formula>"NOCH NICHT AKTUELL"</formula>
    </cfRule>
  </conditionalFormatting>
  <conditionalFormatting sqref="S44:V44">
    <cfRule type="cellIs" dxfId="341" priority="511" stopIfTrue="1" operator="equal">
      <formula>"AKTUELL"</formula>
    </cfRule>
    <cfRule type="cellIs" dxfId="340" priority="512" stopIfTrue="1" operator="equal">
      <formula>"NICHT AKTUELL"</formula>
    </cfRule>
    <cfRule type="cellIs" dxfId="339" priority="513" stopIfTrue="1" operator="equal">
      <formula>"NOCH NICHT AKTUELL"</formula>
    </cfRule>
  </conditionalFormatting>
  <conditionalFormatting sqref="S53:V53">
    <cfRule type="cellIs" dxfId="338" priority="493" stopIfTrue="1" operator="equal">
      <formula>"AKTUELL"</formula>
    </cfRule>
    <cfRule type="cellIs" dxfId="337" priority="494" stopIfTrue="1" operator="equal">
      <formula>"NICHT AKTUELL"</formula>
    </cfRule>
    <cfRule type="cellIs" dxfId="336" priority="495" stopIfTrue="1" operator="equal">
      <formula>"NOCH NICHT AKTUELL"</formula>
    </cfRule>
  </conditionalFormatting>
  <conditionalFormatting sqref="S61:V61">
    <cfRule type="cellIs" dxfId="335" priority="475" stopIfTrue="1" operator="equal">
      <formula>"AKTUELL"</formula>
    </cfRule>
    <cfRule type="cellIs" dxfId="334" priority="476" stopIfTrue="1" operator="equal">
      <formula>"NICHT AKTUELL"</formula>
    </cfRule>
    <cfRule type="cellIs" dxfId="333" priority="477" stopIfTrue="1" operator="equal">
      <formula>"NOCH NICHT AKTUELL"</formula>
    </cfRule>
  </conditionalFormatting>
  <conditionalFormatting sqref="S64:V64">
    <cfRule type="cellIs" dxfId="332" priority="469" stopIfTrue="1" operator="equal">
      <formula>"AKTUELL"</formula>
    </cfRule>
    <cfRule type="cellIs" dxfId="331" priority="470" stopIfTrue="1" operator="equal">
      <formula>"NICHT AKTUELL"</formula>
    </cfRule>
    <cfRule type="cellIs" dxfId="330" priority="471" stopIfTrue="1" operator="equal">
      <formula>"NOCH NICHT AKTUELL"</formula>
    </cfRule>
  </conditionalFormatting>
  <conditionalFormatting sqref="S67:V67">
    <cfRule type="cellIs" dxfId="329" priority="463" stopIfTrue="1" operator="equal">
      <formula>"AKTUELL"</formula>
    </cfRule>
    <cfRule type="cellIs" dxfId="328" priority="464" stopIfTrue="1" operator="equal">
      <formula>"NICHT AKTUELL"</formula>
    </cfRule>
    <cfRule type="cellIs" dxfId="327" priority="465" stopIfTrue="1" operator="equal">
      <formula>"NOCH NICHT AKTUELL"</formula>
    </cfRule>
  </conditionalFormatting>
  <conditionalFormatting sqref="S88:V88">
    <cfRule type="cellIs" dxfId="326" priority="457" stopIfTrue="1" operator="equal">
      <formula>"AKTUELL"</formula>
    </cfRule>
    <cfRule type="cellIs" dxfId="325" priority="458" stopIfTrue="1" operator="equal">
      <formula>"NICHT AKTUELL"</formula>
    </cfRule>
    <cfRule type="cellIs" dxfId="324" priority="459" stopIfTrue="1" operator="equal">
      <formula>"NOCH NICHT AKTUELL"</formula>
    </cfRule>
  </conditionalFormatting>
  <conditionalFormatting sqref="S89:V89">
    <cfRule type="cellIs" dxfId="323" priority="451" stopIfTrue="1" operator="equal">
      <formula>"AKTUELL"</formula>
    </cfRule>
    <cfRule type="cellIs" dxfId="322" priority="452" stopIfTrue="1" operator="equal">
      <formula>"NICHT AKTUELL"</formula>
    </cfRule>
    <cfRule type="cellIs" dxfId="321" priority="453" stopIfTrue="1" operator="equal">
      <formula>"NOCH NICHT AKTUELL"</formula>
    </cfRule>
  </conditionalFormatting>
  <conditionalFormatting sqref="S91:V93">
    <cfRule type="cellIs" dxfId="320" priority="445" stopIfTrue="1" operator="equal">
      <formula>"AKTUELL"</formula>
    </cfRule>
    <cfRule type="cellIs" dxfId="319" priority="446" stopIfTrue="1" operator="equal">
      <formula>"NICHT AKTUELL"</formula>
    </cfRule>
    <cfRule type="cellIs" dxfId="318" priority="447" stopIfTrue="1" operator="equal">
      <formula>"NOCH NICHT AKTUELL"</formula>
    </cfRule>
  </conditionalFormatting>
  <conditionalFormatting sqref="S96:V96">
    <cfRule type="cellIs" dxfId="317" priority="439" stopIfTrue="1" operator="equal">
      <formula>"AKTUELL"</formula>
    </cfRule>
    <cfRule type="cellIs" dxfId="316" priority="440" stopIfTrue="1" operator="equal">
      <formula>"NICHT AKTUELL"</formula>
    </cfRule>
    <cfRule type="cellIs" dxfId="315" priority="441" stopIfTrue="1" operator="equal">
      <formula>"NOCH NICHT AKTUELL"</formula>
    </cfRule>
  </conditionalFormatting>
  <conditionalFormatting sqref="S97:V97">
    <cfRule type="cellIs" dxfId="314" priority="433" stopIfTrue="1" operator="equal">
      <formula>"AKTUELL"</formula>
    </cfRule>
    <cfRule type="cellIs" dxfId="313" priority="434" stopIfTrue="1" operator="equal">
      <formula>"NICHT AKTUELL"</formula>
    </cfRule>
    <cfRule type="cellIs" dxfId="312" priority="435" stopIfTrue="1" operator="equal">
      <formula>"NOCH NICHT AKTUELL"</formula>
    </cfRule>
  </conditionalFormatting>
  <conditionalFormatting sqref="S98:V98">
    <cfRule type="cellIs" dxfId="311" priority="427" stopIfTrue="1" operator="equal">
      <formula>"AKTUELL"</formula>
    </cfRule>
    <cfRule type="cellIs" dxfId="310" priority="428" stopIfTrue="1" operator="equal">
      <formula>"NICHT AKTUELL"</formula>
    </cfRule>
    <cfRule type="cellIs" dxfId="309" priority="429" stopIfTrue="1" operator="equal">
      <formula>"NOCH NICHT AKTUELL"</formula>
    </cfRule>
  </conditionalFormatting>
  <conditionalFormatting sqref="S99:V99">
    <cfRule type="cellIs" dxfId="308" priority="421" stopIfTrue="1" operator="equal">
      <formula>"AKTUELL"</formula>
    </cfRule>
    <cfRule type="cellIs" dxfId="307" priority="422" stopIfTrue="1" operator="equal">
      <formula>"NICHT AKTUELL"</formula>
    </cfRule>
    <cfRule type="cellIs" dxfId="306" priority="423" stopIfTrue="1" operator="equal">
      <formula>"NOCH NICHT AKTUELL"</formula>
    </cfRule>
  </conditionalFormatting>
  <conditionalFormatting sqref="S15:V15">
    <cfRule type="cellIs" dxfId="305" priority="391" stopIfTrue="1" operator="equal">
      <formula>"AKTUELL"</formula>
    </cfRule>
    <cfRule type="cellIs" dxfId="304" priority="392" stopIfTrue="1" operator="equal">
      <formula>"NICHT AKTUELL"</formula>
    </cfRule>
    <cfRule type="cellIs" dxfId="303" priority="393" stopIfTrue="1" operator="equal">
      <formula>"NOCH NICHT AKTUELL"</formula>
    </cfRule>
  </conditionalFormatting>
  <conditionalFormatting sqref="S19:V19">
    <cfRule type="cellIs" dxfId="302" priority="388" stopIfTrue="1" operator="equal">
      <formula>"AKTUELL"</formula>
    </cfRule>
    <cfRule type="cellIs" dxfId="301" priority="389" stopIfTrue="1" operator="equal">
      <formula>"NICHT AKTUELL"</formula>
    </cfRule>
    <cfRule type="cellIs" dxfId="300" priority="390" stopIfTrue="1" operator="equal">
      <formula>"NOCH NICHT AKTUELL"</formula>
    </cfRule>
  </conditionalFormatting>
  <conditionalFormatting sqref="S55:V55">
    <cfRule type="cellIs" dxfId="299" priority="382" stopIfTrue="1" operator="equal">
      <formula>"AKTUELL"</formula>
    </cfRule>
    <cfRule type="cellIs" dxfId="298" priority="383" stopIfTrue="1" operator="equal">
      <formula>"NICHT AKTUELL"</formula>
    </cfRule>
    <cfRule type="cellIs" dxfId="297" priority="384" stopIfTrue="1" operator="equal">
      <formula>"NOCH NICHT AKTUELL"</formula>
    </cfRule>
  </conditionalFormatting>
  <conditionalFormatting sqref="S24:V24">
    <cfRule type="cellIs" dxfId="296" priority="385" stopIfTrue="1" operator="equal">
      <formula>"AKTUELL"</formula>
    </cfRule>
    <cfRule type="cellIs" dxfId="295" priority="386" stopIfTrue="1" operator="equal">
      <formula>"NICHT AKTUELL"</formula>
    </cfRule>
    <cfRule type="cellIs" dxfId="294" priority="387" stopIfTrue="1" operator="equal">
      <formula>"NOCH NICHT AKTUELL"</formula>
    </cfRule>
  </conditionalFormatting>
  <conditionalFormatting sqref="S57:V57">
    <cfRule type="cellIs" dxfId="293" priority="379" stopIfTrue="1" operator="equal">
      <formula>"AKTUELL"</formula>
    </cfRule>
    <cfRule type="cellIs" dxfId="292" priority="380" stopIfTrue="1" operator="equal">
      <formula>"NICHT AKTUELL"</formula>
    </cfRule>
    <cfRule type="cellIs" dxfId="291" priority="381" stopIfTrue="1" operator="equal">
      <formula>"NOCH NICHT AKTUELL"</formula>
    </cfRule>
  </conditionalFormatting>
  <conditionalFormatting sqref="S94:V94">
    <cfRule type="cellIs" dxfId="290" priority="370" stopIfTrue="1" operator="equal">
      <formula>"AKTUELL"</formula>
    </cfRule>
    <cfRule type="cellIs" dxfId="289" priority="371" stopIfTrue="1" operator="equal">
      <formula>"NICHT AKTUELL"</formula>
    </cfRule>
    <cfRule type="cellIs" dxfId="288" priority="372" stopIfTrue="1" operator="equal">
      <formula>"NOCH NICHT AKTUELL"</formula>
    </cfRule>
  </conditionalFormatting>
  <conditionalFormatting sqref="S54:V54">
    <cfRule type="cellIs" dxfId="287" priority="367" stopIfTrue="1" operator="equal">
      <formula>"AKTUELL"</formula>
    </cfRule>
    <cfRule type="cellIs" dxfId="286" priority="368" stopIfTrue="1" operator="equal">
      <formula>"NICHT AKTUELL"</formula>
    </cfRule>
    <cfRule type="cellIs" dxfId="285" priority="369" stopIfTrue="1" operator="equal">
      <formula>"NOCH NICHT AKTUELL"</formula>
    </cfRule>
  </conditionalFormatting>
  <conditionalFormatting sqref="S112:V112">
    <cfRule type="cellIs" dxfId="284" priority="358" stopIfTrue="1" operator="equal">
      <formula>"AKTUELL"</formula>
    </cfRule>
    <cfRule type="cellIs" dxfId="283" priority="359" stopIfTrue="1" operator="equal">
      <formula>"NICHT AKTUELL"</formula>
    </cfRule>
    <cfRule type="cellIs" dxfId="282" priority="360" stopIfTrue="1" operator="equal">
      <formula>"NOCH NICHT AKTUELL"</formula>
    </cfRule>
  </conditionalFormatting>
  <conditionalFormatting sqref="S29:V29">
    <cfRule type="cellIs" dxfId="281" priority="349" stopIfTrue="1" operator="equal">
      <formula>"AKTUELL"</formula>
    </cfRule>
    <cfRule type="cellIs" dxfId="280" priority="350" stopIfTrue="1" operator="equal">
      <formula>"NICHT AKTUELL"</formula>
    </cfRule>
    <cfRule type="cellIs" dxfId="279" priority="351" stopIfTrue="1" operator="equal">
      <formula>"NOCH NICHT AKTUELL"</formula>
    </cfRule>
  </conditionalFormatting>
  <conditionalFormatting sqref="S34:V34">
    <cfRule type="cellIs" dxfId="278" priority="346" stopIfTrue="1" operator="equal">
      <formula>"AKTUELL"</formula>
    </cfRule>
    <cfRule type="cellIs" dxfId="277" priority="347" stopIfTrue="1" operator="equal">
      <formula>"NICHT AKTUELL"</formula>
    </cfRule>
    <cfRule type="cellIs" dxfId="276" priority="348" stopIfTrue="1" operator="equal">
      <formula>"NOCH NICHT AKTUELL"</formula>
    </cfRule>
  </conditionalFormatting>
  <conditionalFormatting sqref="S46:V46">
    <cfRule type="cellIs" dxfId="275" priority="343" stopIfTrue="1" operator="equal">
      <formula>"AKTUELL"</formula>
    </cfRule>
    <cfRule type="cellIs" dxfId="274" priority="344" stopIfTrue="1" operator="equal">
      <formula>"NICHT AKTUELL"</formula>
    </cfRule>
    <cfRule type="cellIs" dxfId="273" priority="345" stopIfTrue="1" operator="equal">
      <formula>"NOCH NICHT AKTUELL"</formula>
    </cfRule>
  </conditionalFormatting>
  <conditionalFormatting sqref="S109:V109">
    <cfRule type="cellIs" dxfId="272" priority="337" stopIfTrue="1" operator="equal">
      <formula>"AKTUELL"</formula>
    </cfRule>
    <cfRule type="cellIs" dxfId="271" priority="338" stopIfTrue="1" operator="equal">
      <formula>"NICHT AKTUELL"</formula>
    </cfRule>
    <cfRule type="cellIs" dxfId="270" priority="339" stopIfTrue="1" operator="equal">
      <formula>"NOCH NICHT AKTUELL"</formula>
    </cfRule>
  </conditionalFormatting>
  <conditionalFormatting sqref="S111:V111">
    <cfRule type="cellIs" dxfId="269" priority="322" stopIfTrue="1" operator="equal">
      <formula>"AKTUELL"</formula>
    </cfRule>
    <cfRule type="cellIs" dxfId="268" priority="323" stopIfTrue="1" operator="equal">
      <formula>"NICHT AKTUELL"</formula>
    </cfRule>
    <cfRule type="cellIs" dxfId="267" priority="324" stopIfTrue="1" operator="equal">
      <formula>"NOCH NICHT AKTUELL"</formula>
    </cfRule>
  </conditionalFormatting>
  <conditionalFormatting sqref="S39:V39">
    <cfRule type="cellIs" dxfId="266" priority="319" stopIfTrue="1" operator="equal">
      <formula>"AKTUELL"</formula>
    </cfRule>
    <cfRule type="cellIs" dxfId="265" priority="320" stopIfTrue="1" operator="equal">
      <formula>"NICHT AKTUELL"</formula>
    </cfRule>
    <cfRule type="cellIs" dxfId="264" priority="321" stopIfTrue="1" operator="equal">
      <formula>"NOCH NICHT AKTUELL"</formula>
    </cfRule>
  </conditionalFormatting>
  <conditionalFormatting sqref="S50:V50">
    <cfRule type="cellIs" dxfId="263" priority="316" stopIfTrue="1" operator="equal">
      <formula>"AKTUELL"</formula>
    </cfRule>
    <cfRule type="cellIs" dxfId="262" priority="317" stopIfTrue="1" operator="equal">
      <formula>"NICHT AKTUELL"</formula>
    </cfRule>
    <cfRule type="cellIs" dxfId="261" priority="318" stopIfTrue="1" operator="equal">
      <formula>"NOCH NICHT AKTUELL"</formula>
    </cfRule>
  </conditionalFormatting>
  <conditionalFormatting sqref="S101:V101">
    <cfRule type="cellIs" dxfId="260" priority="313" stopIfTrue="1" operator="equal">
      <formula>"AKTUELL"</formula>
    </cfRule>
    <cfRule type="cellIs" dxfId="259" priority="314" stopIfTrue="1" operator="equal">
      <formula>"NICHT AKTUELL"</formula>
    </cfRule>
    <cfRule type="cellIs" dxfId="258" priority="315" stopIfTrue="1" operator="equal">
      <formula>"NOCH NICHT AKTUELL"</formula>
    </cfRule>
  </conditionalFormatting>
  <conditionalFormatting sqref="S105:V105">
    <cfRule type="cellIs" dxfId="257" priority="310" stopIfTrue="1" operator="equal">
      <formula>"AKTUELL"</formula>
    </cfRule>
    <cfRule type="cellIs" dxfId="256" priority="311" stopIfTrue="1" operator="equal">
      <formula>"NICHT AKTUELL"</formula>
    </cfRule>
    <cfRule type="cellIs" dxfId="255" priority="312" stopIfTrue="1" operator="equal">
      <formula>"NOCH NICHT AKTUELL"</formula>
    </cfRule>
  </conditionalFormatting>
  <conditionalFormatting sqref="S59:V59">
    <cfRule type="cellIs" dxfId="254" priority="307" stopIfTrue="1" operator="equal">
      <formula>"AKTUELL"</formula>
    </cfRule>
    <cfRule type="cellIs" dxfId="253" priority="308" stopIfTrue="1" operator="equal">
      <formula>"NICHT AKTUELL"</formula>
    </cfRule>
    <cfRule type="cellIs" dxfId="252" priority="309" stopIfTrue="1" operator="equal">
      <formula>"NOCH NICHT AKTUELL"</formula>
    </cfRule>
  </conditionalFormatting>
  <conditionalFormatting sqref="S4:V4">
    <cfRule type="cellIs" dxfId="251" priority="304" stopIfTrue="1" operator="equal">
      <formula>"AKTUELL"</formula>
    </cfRule>
    <cfRule type="cellIs" dxfId="250" priority="305" stopIfTrue="1" operator="equal">
      <formula>"NICHT AKTUELL"</formula>
    </cfRule>
    <cfRule type="cellIs" dxfId="249" priority="306" stopIfTrue="1" operator="equal">
      <formula>"NOCH NICHT AKTUELL"</formula>
    </cfRule>
  </conditionalFormatting>
  <conditionalFormatting sqref="S51:V51">
    <cfRule type="cellIs" dxfId="248" priority="301" stopIfTrue="1" operator="equal">
      <formula>"AKTUELL"</formula>
    </cfRule>
    <cfRule type="cellIs" dxfId="247" priority="302" stopIfTrue="1" operator="equal">
      <formula>"NICHT AKTUELL"</formula>
    </cfRule>
    <cfRule type="cellIs" dxfId="246" priority="303" stopIfTrue="1" operator="equal">
      <formula>"NOCH NICHT AKTUELL"</formula>
    </cfRule>
  </conditionalFormatting>
  <conditionalFormatting sqref="S5:V5">
    <cfRule type="cellIs" dxfId="245" priority="298" stopIfTrue="1" operator="equal">
      <formula>"AKTUELL"</formula>
    </cfRule>
    <cfRule type="cellIs" dxfId="244" priority="299" stopIfTrue="1" operator="equal">
      <formula>"NICHT AKTUELL"</formula>
    </cfRule>
    <cfRule type="cellIs" dxfId="243" priority="300" stopIfTrue="1" operator="equal">
      <formula>"NOCH NICHT AKTUELL"</formula>
    </cfRule>
  </conditionalFormatting>
  <conditionalFormatting sqref="S16:V16">
    <cfRule type="cellIs" dxfId="242" priority="295" stopIfTrue="1" operator="equal">
      <formula>"AKTUELL"</formula>
    </cfRule>
    <cfRule type="cellIs" dxfId="241" priority="296" stopIfTrue="1" operator="equal">
      <formula>"NICHT AKTUELL"</formula>
    </cfRule>
    <cfRule type="cellIs" dxfId="240" priority="297" stopIfTrue="1" operator="equal">
      <formula>"NOCH NICHT AKTUELL"</formula>
    </cfRule>
  </conditionalFormatting>
  <conditionalFormatting sqref="S12:V12">
    <cfRule type="cellIs" dxfId="239" priority="289" stopIfTrue="1" operator="equal">
      <formula>"AKTUELL"</formula>
    </cfRule>
    <cfRule type="cellIs" dxfId="238" priority="290" stopIfTrue="1" operator="equal">
      <formula>"NICHT AKTUELL"</formula>
    </cfRule>
    <cfRule type="cellIs" dxfId="237" priority="291" stopIfTrue="1" operator="equal">
      <formula>"NOCH NICHT AKTUELL"</formula>
    </cfRule>
  </conditionalFormatting>
  <conditionalFormatting sqref="S25:V25">
    <cfRule type="cellIs" dxfId="236" priority="283" stopIfTrue="1" operator="equal">
      <formula>"AKTUELL"</formula>
    </cfRule>
    <cfRule type="cellIs" dxfId="235" priority="284" stopIfTrue="1" operator="equal">
      <formula>"NICHT AKTUELL"</formula>
    </cfRule>
    <cfRule type="cellIs" dxfId="234" priority="285" stopIfTrue="1" operator="equal">
      <formula>"NOCH NICHT AKTUELL"</formula>
    </cfRule>
  </conditionalFormatting>
  <conditionalFormatting sqref="S20:V20">
    <cfRule type="cellIs" dxfId="233" priority="286" stopIfTrue="1" operator="equal">
      <formula>"AKTUELL"</formula>
    </cfRule>
    <cfRule type="cellIs" dxfId="232" priority="287" stopIfTrue="1" operator="equal">
      <formula>"NICHT AKTUELL"</formula>
    </cfRule>
    <cfRule type="cellIs" dxfId="231" priority="288" stopIfTrue="1" operator="equal">
      <formula>"NOCH NICHT AKTUELL"</formula>
    </cfRule>
  </conditionalFormatting>
  <conditionalFormatting sqref="S30:V30">
    <cfRule type="cellIs" dxfId="230" priority="280" stopIfTrue="1" operator="equal">
      <formula>"AKTUELL"</formula>
    </cfRule>
    <cfRule type="cellIs" dxfId="229" priority="281" stopIfTrue="1" operator="equal">
      <formula>"NICHT AKTUELL"</formula>
    </cfRule>
    <cfRule type="cellIs" dxfId="228" priority="282" stopIfTrue="1" operator="equal">
      <formula>"NOCH NICHT AKTUELL"</formula>
    </cfRule>
  </conditionalFormatting>
  <conditionalFormatting sqref="S35:V35">
    <cfRule type="cellIs" dxfId="227" priority="277" stopIfTrue="1" operator="equal">
      <formula>"AKTUELL"</formula>
    </cfRule>
    <cfRule type="cellIs" dxfId="226" priority="278" stopIfTrue="1" operator="equal">
      <formula>"NICHT AKTUELL"</formula>
    </cfRule>
    <cfRule type="cellIs" dxfId="225" priority="279" stopIfTrue="1" operator="equal">
      <formula>"NOCH NICHT AKTUELL"</formula>
    </cfRule>
  </conditionalFormatting>
  <conditionalFormatting sqref="S47:V47">
    <cfRule type="cellIs" dxfId="224" priority="274" stopIfTrue="1" operator="equal">
      <formula>"AKTUELL"</formula>
    </cfRule>
    <cfRule type="cellIs" dxfId="223" priority="275" stopIfTrue="1" operator="equal">
      <formula>"NICHT AKTUELL"</formula>
    </cfRule>
    <cfRule type="cellIs" dxfId="222" priority="276" stopIfTrue="1" operator="equal">
      <formula>"NOCH NICHT AKTUELL"</formula>
    </cfRule>
  </conditionalFormatting>
  <conditionalFormatting sqref="S56:V56">
    <cfRule type="cellIs" dxfId="221" priority="271" stopIfTrue="1" operator="equal">
      <formula>"AKTUELL"</formula>
    </cfRule>
    <cfRule type="cellIs" dxfId="220" priority="272" stopIfTrue="1" operator="equal">
      <formula>"NICHT AKTUELL"</formula>
    </cfRule>
    <cfRule type="cellIs" dxfId="219" priority="273" stopIfTrue="1" operator="equal">
      <formula>"NOCH NICHT AKTUELL"</formula>
    </cfRule>
  </conditionalFormatting>
  <conditionalFormatting sqref="S58:V58">
    <cfRule type="cellIs" dxfId="218" priority="268" stopIfTrue="1" operator="equal">
      <formula>"AKTUELL"</formula>
    </cfRule>
    <cfRule type="cellIs" dxfId="217" priority="269" stopIfTrue="1" operator="equal">
      <formula>"NICHT AKTUELL"</formula>
    </cfRule>
    <cfRule type="cellIs" dxfId="216" priority="270" stopIfTrue="1" operator="equal">
      <formula>"NOCH NICHT AKTUELL"</formula>
    </cfRule>
  </conditionalFormatting>
  <conditionalFormatting sqref="S60:V60">
    <cfRule type="cellIs" dxfId="215" priority="265" stopIfTrue="1" operator="equal">
      <formula>"AKTUELL"</formula>
    </cfRule>
    <cfRule type="cellIs" dxfId="214" priority="266" stopIfTrue="1" operator="equal">
      <formula>"NICHT AKTUELL"</formula>
    </cfRule>
    <cfRule type="cellIs" dxfId="213" priority="267" stopIfTrue="1" operator="equal">
      <formula>"NOCH NICHT AKTUELL"</formula>
    </cfRule>
  </conditionalFormatting>
  <conditionalFormatting sqref="S95:V95">
    <cfRule type="cellIs" dxfId="212" priority="262" stopIfTrue="1" operator="equal">
      <formula>"AKTUELL"</formula>
    </cfRule>
    <cfRule type="cellIs" dxfId="211" priority="263" stopIfTrue="1" operator="equal">
      <formula>"NICHT AKTUELL"</formula>
    </cfRule>
    <cfRule type="cellIs" dxfId="210" priority="264" stopIfTrue="1" operator="equal">
      <formula>"NOCH NICHT AKTUELL"</formula>
    </cfRule>
  </conditionalFormatting>
  <conditionalFormatting sqref="S102:V102">
    <cfRule type="cellIs" dxfId="209" priority="259" stopIfTrue="1" operator="equal">
      <formula>"AKTUELL"</formula>
    </cfRule>
    <cfRule type="cellIs" dxfId="208" priority="260" stopIfTrue="1" operator="equal">
      <formula>"NICHT AKTUELL"</formula>
    </cfRule>
    <cfRule type="cellIs" dxfId="207" priority="261" stopIfTrue="1" operator="equal">
      <formula>"NOCH NICHT AKTUELL"</formula>
    </cfRule>
  </conditionalFormatting>
  <conditionalFormatting sqref="S106:V106">
    <cfRule type="cellIs" dxfId="206" priority="256" stopIfTrue="1" operator="equal">
      <formula>"AKTUELL"</formula>
    </cfRule>
    <cfRule type="cellIs" dxfId="205" priority="257" stopIfTrue="1" operator="equal">
      <formula>"NICHT AKTUELL"</formula>
    </cfRule>
    <cfRule type="cellIs" dxfId="204" priority="258" stopIfTrue="1" operator="equal">
      <formula>"NOCH NICHT AKTUELL"</formula>
    </cfRule>
  </conditionalFormatting>
  <conditionalFormatting sqref="S13:V13">
    <cfRule type="cellIs" dxfId="203" priority="250" stopIfTrue="1" operator="equal">
      <formula>"AKTUELL"</formula>
    </cfRule>
    <cfRule type="cellIs" dxfId="202" priority="251" stopIfTrue="1" operator="equal">
      <formula>"NICHT AKTUELL"</formula>
    </cfRule>
    <cfRule type="cellIs" dxfId="201" priority="252" stopIfTrue="1" operator="equal">
      <formula>"NOCH NICHT AKTUELL"</formula>
    </cfRule>
  </conditionalFormatting>
  <conditionalFormatting sqref="S17:V17">
    <cfRule type="cellIs" dxfId="200" priority="247" stopIfTrue="1" operator="equal">
      <formula>"AKTUELL"</formula>
    </cfRule>
    <cfRule type="cellIs" dxfId="199" priority="248" stopIfTrue="1" operator="equal">
      <formula>"NICHT AKTUELL"</formula>
    </cfRule>
    <cfRule type="cellIs" dxfId="198" priority="249" stopIfTrue="1" operator="equal">
      <formula>"NOCH NICHT AKTUELL"</formula>
    </cfRule>
  </conditionalFormatting>
  <conditionalFormatting sqref="S21:V21">
    <cfRule type="cellIs" dxfId="197" priority="244" stopIfTrue="1" operator="equal">
      <formula>"AKTUELL"</formula>
    </cfRule>
    <cfRule type="cellIs" dxfId="196" priority="245" stopIfTrue="1" operator="equal">
      <formula>"NICHT AKTUELL"</formula>
    </cfRule>
    <cfRule type="cellIs" dxfId="195" priority="246" stopIfTrue="1" operator="equal">
      <formula>"NOCH NICHT AKTUELL"</formula>
    </cfRule>
  </conditionalFormatting>
  <conditionalFormatting sqref="S26:V26">
    <cfRule type="cellIs" dxfId="194" priority="241" stopIfTrue="1" operator="equal">
      <formula>"AKTUELL"</formula>
    </cfRule>
    <cfRule type="cellIs" dxfId="193" priority="242" stopIfTrue="1" operator="equal">
      <formula>"NICHT AKTUELL"</formula>
    </cfRule>
    <cfRule type="cellIs" dxfId="192" priority="243" stopIfTrue="1" operator="equal">
      <formula>"NOCH NICHT AKTUELL"</formula>
    </cfRule>
  </conditionalFormatting>
  <conditionalFormatting sqref="S31:V31">
    <cfRule type="cellIs" dxfId="191" priority="238" stopIfTrue="1" operator="equal">
      <formula>"AKTUELL"</formula>
    </cfRule>
    <cfRule type="cellIs" dxfId="190" priority="239" stopIfTrue="1" operator="equal">
      <formula>"NICHT AKTUELL"</formula>
    </cfRule>
    <cfRule type="cellIs" dxfId="189" priority="240" stopIfTrue="1" operator="equal">
      <formula>"NOCH NICHT AKTUELL"</formula>
    </cfRule>
  </conditionalFormatting>
  <conditionalFormatting sqref="S36:V36">
    <cfRule type="cellIs" dxfId="188" priority="235" stopIfTrue="1" operator="equal">
      <formula>"AKTUELL"</formula>
    </cfRule>
    <cfRule type="cellIs" dxfId="187" priority="236" stopIfTrue="1" operator="equal">
      <formula>"NICHT AKTUELL"</formula>
    </cfRule>
    <cfRule type="cellIs" dxfId="186" priority="237" stopIfTrue="1" operator="equal">
      <formula>"NOCH NICHT AKTUELL"</formula>
    </cfRule>
  </conditionalFormatting>
  <conditionalFormatting sqref="S41:V41">
    <cfRule type="cellIs" dxfId="185" priority="232" stopIfTrue="1" operator="equal">
      <formula>"AKTUELL"</formula>
    </cfRule>
    <cfRule type="cellIs" dxfId="184" priority="233" stopIfTrue="1" operator="equal">
      <formula>"NICHT AKTUELL"</formula>
    </cfRule>
    <cfRule type="cellIs" dxfId="183" priority="234" stopIfTrue="1" operator="equal">
      <formula>"NOCH NICHT AKTUELL"</formula>
    </cfRule>
  </conditionalFormatting>
  <conditionalFormatting sqref="S43:V43">
    <cfRule type="cellIs" dxfId="182" priority="229" stopIfTrue="1" operator="equal">
      <formula>"AKTUELL"</formula>
    </cfRule>
    <cfRule type="cellIs" dxfId="181" priority="230" stopIfTrue="1" operator="equal">
      <formula>"NICHT AKTUELL"</formula>
    </cfRule>
    <cfRule type="cellIs" dxfId="180" priority="231" stopIfTrue="1" operator="equal">
      <formula>"NOCH NICHT AKTUELL"</formula>
    </cfRule>
  </conditionalFormatting>
  <conditionalFormatting sqref="S45:V45">
    <cfRule type="cellIs" dxfId="179" priority="226" stopIfTrue="1" operator="equal">
      <formula>"AKTUELL"</formula>
    </cfRule>
    <cfRule type="cellIs" dxfId="178" priority="227" stopIfTrue="1" operator="equal">
      <formula>"NICHT AKTUELL"</formula>
    </cfRule>
    <cfRule type="cellIs" dxfId="177" priority="228" stopIfTrue="1" operator="equal">
      <formula>"NOCH NICHT AKTUELL"</formula>
    </cfRule>
  </conditionalFormatting>
  <conditionalFormatting sqref="S90:V90">
    <cfRule type="cellIs" dxfId="176" priority="196" stopIfTrue="1" operator="equal">
      <formula>"AKTUELL"</formula>
    </cfRule>
    <cfRule type="cellIs" dxfId="175" priority="197" stopIfTrue="1" operator="equal">
      <formula>"NICHT AKTUELL"</formula>
    </cfRule>
    <cfRule type="cellIs" dxfId="174" priority="198" stopIfTrue="1" operator="equal">
      <formula>"NOCH NICHT AKTUELL"</formula>
    </cfRule>
  </conditionalFormatting>
  <conditionalFormatting sqref="S103:V103">
    <cfRule type="cellIs" dxfId="173" priority="193" stopIfTrue="1" operator="equal">
      <formula>"AKTUELL"</formula>
    </cfRule>
    <cfRule type="cellIs" dxfId="172" priority="194" stopIfTrue="1" operator="equal">
      <formula>"NICHT AKTUELL"</formula>
    </cfRule>
    <cfRule type="cellIs" dxfId="171" priority="195" stopIfTrue="1" operator="equal">
      <formula>"NOCH NICHT AKTUELL"</formula>
    </cfRule>
  </conditionalFormatting>
  <conditionalFormatting sqref="S107:V107">
    <cfRule type="cellIs" dxfId="170" priority="190" stopIfTrue="1" operator="equal">
      <formula>"AKTUELL"</formula>
    </cfRule>
    <cfRule type="cellIs" dxfId="169" priority="191" stopIfTrue="1" operator="equal">
      <formula>"NICHT AKTUELL"</formula>
    </cfRule>
    <cfRule type="cellIs" dxfId="168" priority="192" stopIfTrue="1" operator="equal">
      <formula>"NOCH NICHT AKTUELL"</formula>
    </cfRule>
  </conditionalFormatting>
  <conditionalFormatting sqref="S110:V110">
    <cfRule type="cellIs" dxfId="167" priority="187" stopIfTrue="1" operator="equal">
      <formula>"AKTUELL"</formula>
    </cfRule>
    <cfRule type="cellIs" dxfId="166" priority="188" stopIfTrue="1" operator="equal">
      <formula>"NICHT AKTUELL"</formula>
    </cfRule>
    <cfRule type="cellIs" dxfId="165" priority="189" stopIfTrue="1" operator="equal">
      <formula>"NOCH NICHT AKTUELL"</formula>
    </cfRule>
  </conditionalFormatting>
  <conditionalFormatting sqref="S62:V62">
    <cfRule type="cellIs" dxfId="164" priority="184" stopIfTrue="1" operator="equal">
      <formula>"AKTUELL"</formula>
    </cfRule>
    <cfRule type="cellIs" dxfId="163" priority="185" stopIfTrue="1" operator="equal">
      <formula>"NICHT AKTUELL"</formula>
    </cfRule>
    <cfRule type="cellIs" dxfId="162" priority="186" stopIfTrue="1" operator="equal">
      <formula>"NOCH NICHT AKTUELL"</formula>
    </cfRule>
  </conditionalFormatting>
  <conditionalFormatting sqref="S65:V65">
    <cfRule type="cellIs" dxfId="161" priority="181" stopIfTrue="1" operator="equal">
      <formula>"AKTUELL"</formula>
    </cfRule>
    <cfRule type="cellIs" dxfId="160" priority="182" stopIfTrue="1" operator="equal">
      <formula>"NICHT AKTUELL"</formula>
    </cfRule>
    <cfRule type="cellIs" dxfId="159" priority="183" stopIfTrue="1" operator="equal">
      <formula>"NOCH NICHT AKTUELL"</formula>
    </cfRule>
  </conditionalFormatting>
  <conditionalFormatting sqref="S69:V69">
    <cfRule type="cellIs" dxfId="158" priority="178" stopIfTrue="1" operator="equal">
      <formula>"AKTUELL"</formula>
    </cfRule>
    <cfRule type="cellIs" dxfId="157" priority="179" stopIfTrue="1" operator="equal">
      <formula>"NICHT AKTUELL"</formula>
    </cfRule>
    <cfRule type="cellIs" dxfId="156" priority="180" stopIfTrue="1" operator="equal">
      <formula>"NOCH NICHT AKTUELL"</formula>
    </cfRule>
  </conditionalFormatting>
  <conditionalFormatting sqref="T74:V74">
    <cfRule type="cellIs" dxfId="155" priority="175" stopIfTrue="1" operator="equal">
      <formula>"AKTUELL"</formula>
    </cfRule>
    <cfRule type="cellIs" dxfId="154" priority="176" stopIfTrue="1" operator="equal">
      <formula>"NICHT AKTUELL"</formula>
    </cfRule>
    <cfRule type="cellIs" dxfId="153" priority="177" stopIfTrue="1" operator="equal">
      <formula>"NOCH NICHT AKTUELL"</formula>
    </cfRule>
  </conditionalFormatting>
  <conditionalFormatting sqref="S74">
    <cfRule type="cellIs" dxfId="152" priority="172" stopIfTrue="1" operator="equal">
      <formula>"AKTUELL"</formula>
    </cfRule>
    <cfRule type="cellIs" dxfId="151" priority="173" stopIfTrue="1" operator="equal">
      <formula>"NICHT AKTUELL"</formula>
    </cfRule>
    <cfRule type="cellIs" dxfId="150" priority="174" stopIfTrue="1" operator="equal">
      <formula>"NOCH NICHT AKTUELL"</formula>
    </cfRule>
  </conditionalFormatting>
  <conditionalFormatting sqref="T79:V79">
    <cfRule type="cellIs" dxfId="149" priority="169" stopIfTrue="1" operator="equal">
      <formula>"AKTUELL"</formula>
    </cfRule>
    <cfRule type="cellIs" dxfId="148" priority="170" stopIfTrue="1" operator="equal">
      <formula>"NICHT AKTUELL"</formula>
    </cfRule>
    <cfRule type="cellIs" dxfId="147" priority="171" stopIfTrue="1" operator="equal">
      <formula>"NOCH NICHT AKTUELL"</formula>
    </cfRule>
  </conditionalFormatting>
  <conditionalFormatting sqref="S79">
    <cfRule type="cellIs" dxfId="146" priority="166" stopIfTrue="1" operator="equal">
      <formula>"AKTUELL"</formula>
    </cfRule>
    <cfRule type="cellIs" dxfId="145" priority="167" stopIfTrue="1" operator="equal">
      <formula>"NICHT AKTUELL"</formula>
    </cfRule>
    <cfRule type="cellIs" dxfId="144" priority="168" stopIfTrue="1" operator="equal">
      <formula>"NOCH NICHT AKTUELL"</formula>
    </cfRule>
  </conditionalFormatting>
  <conditionalFormatting sqref="T85:V85">
    <cfRule type="cellIs" dxfId="143" priority="163" stopIfTrue="1" operator="equal">
      <formula>"AKTUELL"</formula>
    </cfRule>
    <cfRule type="cellIs" dxfId="142" priority="164" stopIfTrue="1" operator="equal">
      <formula>"NICHT AKTUELL"</formula>
    </cfRule>
    <cfRule type="cellIs" dxfId="141" priority="165" stopIfTrue="1" operator="equal">
      <formula>"NOCH NICHT AKTUELL"</formula>
    </cfRule>
  </conditionalFormatting>
  <conditionalFormatting sqref="S85">
    <cfRule type="cellIs" dxfId="140" priority="160" stopIfTrue="1" operator="equal">
      <formula>"AKTUELL"</formula>
    </cfRule>
    <cfRule type="cellIs" dxfId="139" priority="161" stopIfTrue="1" operator="equal">
      <formula>"NICHT AKTUELL"</formula>
    </cfRule>
    <cfRule type="cellIs" dxfId="138" priority="162" stopIfTrue="1" operator="equal">
      <formula>"NOCH NICHT AKTUELL"</formula>
    </cfRule>
  </conditionalFormatting>
  <conditionalFormatting sqref="S49:V49">
    <cfRule type="cellIs" dxfId="137" priority="157" stopIfTrue="1" operator="equal">
      <formula>"AKTUELL"</formula>
    </cfRule>
    <cfRule type="cellIs" dxfId="136" priority="158" stopIfTrue="1" operator="equal">
      <formula>"NICHT AKTUELL"</formula>
    </cfRule>
    <cfRule type="cellIs" dxfId="135" priority="159" stopIfTrue="1" operator="equal">
      <formula>"NOCH NICHT AKTUELL"</formula>
    </cfRule>
  </conditionalFormatting>
  <conditionalFormatting sqref="S22:V22">
    <cfRule type="cellIs" dxfId="134" priority="148" stopIfTrue="1" operator="equal">
      <formula>"AKTUELL"</formula>
    </cfRule>
    <cfRule type="cellIs" dxfId="133" priority="149" stopIfTrue="1" operator="equal">
      <formula>"NICHT AKTUELL"</formula>
    </cfRule>
    <cfRule type="cellIs" dxfId="132" priority="150" stopIfTrue="1" operator="equal">
      <formula>"NOCH NICHT AKTUELL"</formula>
    </cfRule>
  </conditionalFormatting>
  <conditionalFormatting sqref="S27:V27">
    <cfRule type="cellIs" dxfId="131" priority="145" stopIfTrue="1" operator="equal">
      <formula>"AKTUELL"</formula>
    </cfRule>
    <cfRule type="cellIs" dxfId="130" priority="146" stopIfTrue="1" operator="equal">
      <formula>"NICHT AKTUELL"</formula>
    </cfRule>
    <cfRule type="cellIs" dxfId="129" priority="147" stopIfTrue="1" operator="equal">
      <formula>"NOCH NICHT AKTUELL"</formula>
    </cfRule>
  </conditionalFormatting>
  <conditionalFormatting sqref="S33:V33">
    <cfRule type="cellIs" dxfId="128" priority="142" stopIfTrue="1" operator="equal">
      <formula>"AKTUELL"</formula>
    </cfRule>
    <cfRule type="cellIs" dxfId="127" priority="143" stopIfTrue="1" operator="equal">
      <formula>"NICHT AKTUELL"</formula>
    </cfRule>
    <cfRule type="cellIs" dxfId="126" priority="144" stopIfTrue="1" operator="equal">
      <formula>"NOCH NICHT AKTUELL"</formula>
    </cfRule>
  </conditionalFormatting>
  <conditionalFormatting sqref="S37:V37">
    <cfRule type="cellIs" dxfId="125" priority="139" stopIfTrue="1" operator="equal">
      <formula>"AKTUELL"</formula>
    </cfRule>
    <cfRule type="cellIs" dxfId="124" priority="140" stopIfTrue="1" operator="equal">
      <formula>"NICHT AKTUELL"</formula>
    </cfRule>
    <cfRule type="cellIs" dxfId="123" priority="141" stopIfTrue="1" operator="equal">
      <formula>"NOCH NICHT AKTUELL"</formula>
    </cfRule>
  </conditionalFormatting>
  <conditionalFormatting sqref="S8:V8">
    <cfRule type="cellIs" dxfId="122" priority="136" stopIfTrue="1" operator="equal">
      <formula>"AKTUELL"</formula>
    </cfRule>
    <cfRule type="cellIs" dxfId="121" priority="137" stopIfTrue="1" operator="equal">
      <formula>"NICHT AKTUELL"</formula>
    </cfRule>
    <cfRule type="cellIs" dxfId="120" priority="138" stopIfTrue="1" operator="equal">
      <formula>"NOCH NICHT AKTUELL"</formula>
    </cfRule>
  </conditionalFormatting>
  <conditionalFormatting sqref="S71:V71">
    <cfRule type="cellIs" dxfId="119" priority="133" stopIfTrue="1" operator="equal">
      <formula>"AKTUELL"</formula>
    </cfRule>
    <cfRule type="cellIs" dxfId="118" priority="134" stopIfTrue="1" operator="equal">
      <formula>"NICHT AKTUELL"</formula>
    </cfRule>
    <cfRule type="cellIs" dxfId="117" priority="135" stopIfTrue="1" operator="equal">
      <formula>"NOCH NICHT AKTUELL"</formula>
    </cfRule>
  </conditionalFormatting>
  <conditionalFormatting sqref="S48:V48">
    <cfRule type="cellIs" dxfId="116" priority="130" stopIfTrue="1" operator="equal">
      <formula>"AKTUELL"</formula>
    </cfRule>
    <cfRule type="cellIs" dxfId="115" priority="131" stopIfTrue="1" operator="equal">
      <formula>"NICHT AKTUELL"</formula>
    </cfRule>
    <cfRule type="cellIs" dxfId="114" priority="132" stopIfTrue="1" operator="equal">
      <formula>"NOCH NICHT AKTUELL"</formula>
    </cfRule>
  </conditionalFormatting>
  <conditionalFormatting sqref="S23:V23">
    <cfRule type="cellIs" dxfId="113" priority="127" stopIfTrue="1" operator="equal">
      <formula>"AKTUELL"</formula>
    </cfRule>
    <cfRule type="cellIs" dxfId="112" priority="128" stopIfTrue="1" operator="equal">
      <formula>"NICHT AKTUELL"</formula>
    </cfRule>
    <cfRule type="cellIs" dxfId="111" priority="129" stopIfTrue="1" operator="equal">
      <formula>"NOCH NICHT AKTUELL"</formula>
    </cfRule>
  </conditionalFormatting>
  <conditionalFormatting sqref="S28:V28">
    <cfRule type="cellIs" dxfId="110" priority="124" stopIfTrue="1" operator="equal">
      <formula>"AKTUELL"</formula>
    </cfRule>
    <cfRule type="cellIs" dxfId="109" priority="125" stopIfTrue="1" operator="equal">
      <formula>"NICHT AKTUELL"</formula>
    </cfRule>
    <cfRule type="cellIs" dxfId="108" priority="126" stopIfTrue="1" operator="equal">
      <formula>"NOCH NICHT AKTUELL"</formula>
    </cfRule>
  </conditionalFormatting>
  <conditionalFormatting sqref="S32:V32">
    <cfRule type="cellIs" dxfId="107" priority="121" stopIfTrue="1" operator="equal">
      <formula>"AKTUELL"</formula>
    </cfRule>
    <cfRule type="cellIs" dxfId="106" priority="122" stopIfTrue="1" operator="equal">
      <formula>"NICHT AKTUELL"</formula>
    </cfRule>
    <cfRule type="cellIs" dxfId="105" priority="123" stopIfTrue="1" operator="equal">
      <formula>"NOCH NICHT AKTUELL"</formula>
    </cfRule>
  </conditionalFormatting>
  <conditionalFormatting sqref="S38:V38">
    <cfRule type="cellIs" dxfId="104" priority="118" stopIfTrue="1" operator="equal">
      <formula>"AKTUELL"</formula>
    </cfRule>
    <cfRule type="cellIs" dxfId="103" priority="119" stopIfTrue="1" operator="equal">
      <formula>"NICHT AKTUELL"</formula>
    </cfRule>
    <cfRule type="cellIs" dxfId="102" priority="120" stopIfTrue="1" operator="equal">
      <formula>"NOCH NICHT AKTUELL"</formula>
    </cfRule>
  </conditionalFormatting>
  <conditionalFormatting sqref="S9:V9">
    <cfRule type="cellIs" dxfId="101" priority="115" stopIfTrue="1" operator="equal">
      <formula>"AKTUELL"</formula>
    </cfRule>
    <cfRule type="cellIs" dxfId="100" priority="116" stopIfTrue="1" operator="equal">
      <formula>"NICHT AKTUELL"</formula>
    </cfRule>
    <cfRule type="cellIs" dxfId="99" priority="117" stopIfTrue="1" operator="equal">
      <formula>"NOCH NICHT AKTUELL"</formula>
    </cfRule>
  </conditionalFormatting>
  <conditionalFormatting sqref="S75">
    <cfRule type="cellIs" dxfId="98" priority="109" stopIfTrue="1" operator="equal">
      <formula>"AKTUELL"</formula>
    </cfRule>
    <cfRule type="cellIs" dxfId="97" priority="110" stopIfTrue="1" operator="equal">
      <formula>"NICHT AKTUELL"</formula>
    </cfRule>
    <cfRule type="cellIs" dxfId="96" priority="111" stopIfTrue="1" operator="equal">
      <formula>"NOCH NICHT AKTUELL"</formula>
    </cfRule>
  </conditionalFormatting>
  <conditionalFormatting sqref="T75:V75">
    <cfRule type="cellIs" dxfId="95" priority="112" stopIfTrue="1" operator="equal">
      <formula>"AKTUELL"</formula>
    </cfRule>
    <cfRule type="cellIs" dxfId="94" priority="113" stopIfTrue="1" operator="equal">
      <formula>"NICHT AKTUELL"</formula>
    </cfRule>
    <cfRule type="cellIs" dxfId="93" priority="114" stopIfTrue="1" operator="equal">
      <formula>"NOCH NICHT AKTUELL"</formula>
    </cfRule>
  </conditionalFormatting>
  <conditionalFormatting sqref="S108:V108">
    <cfRule type="cellIs" dxfId="92" priority="106" stopIfTrue="1" operator="equal">
      <formula>"AKTUELL"</formula>
    </cfRule>
    <cfRule type="cellIs" dxfId="91" priority="107" stopIfTrue="1" operator="equal">
      <formula>"NICHT AKTUELL"</formula>
    </cfRule>
    <cfRule type="cellIs" dxfId="90" priority="108" stopIfTrue="1" operator="equal">
      <formula>"NOCH NICHT AKTUELL"</formula>
    </cfRule>
  </conditionalFormatting>
  <conditionalFormatting sqref="S14:V14">
    <cfRule type="cellIs" dxfId="89" priority="103" stopIfTrue="1" operator="equal">
      <formula>"AKTUELL"</formula>
    </cfRule>
    <cfRule type="cellIs" dxfId="88" priority="104" stopIfTrue="1" operator="equal">
      <formula>"NICHT AKTUELL"</formula>
    </cfRule>
    <cfRule type="cellIs" dxfId="87" priority="105" stopIfTrue="1" operator="equal">
      <formula>"NOCH NICHT AKTUELL"</formula>
    </cfRule>
  </conditionalFormatting>
  <conditionalFormatting sqref="S18:V18">
    <cfRule type="cellIs" dxfId="86" priority="100" stopIfTrue="1" operator="equal">
      <formula>"AKTUELL"</formula>
    </cfRule>
    <cfRule type="cellIs" dxfId="85" priority="101" stopIfTrue="1" operator="equal">
      <formula>"NICHT AKTUELL"</formula>
    </cfRule>
    <cfRule type="cellIs" dxfId="84" priority="102" stopIfTrue="1" operator="equal">
      <formula>"NOCH NICHT AKTUELL"</formula>
    </cfRule>
  </conditionalFormatting>
  <conditionalFormatting sqref="S100:V100">
    <cfRule type="cellIs" dxfId="83" priority="88" stopIfTrue="1" operator="equal">
      <formula>"AKTUELL"</formula>
    </cfRule>
    <cfRule type="cellIs" dxfId="82" priority="89" stopIfTrue="1" operator="equal">
      <formula>"NICHT AKTUELL"</formula>
    </cfRule>
    <cfRule type="cellIs" dxfId="81" priority="90" stopIfTrue="1" operator="equal">
      <formula>"NOCH NICHT AKTUELL"</formula>
    </cfRule>
  </conditionalFormatting>
  <conditionalFormatting sqref="S10:V10">
    <cfRule type="cellIs" dxfId="80" priority="82" stopIfTrue="1" operator="equal">
      <formula>"AKTUELL"</formula>
    </cfRule>
    <cfRule type="cellIs" dxfId="79" priority="83" stopIfTrue="1" operator="equal">
      <formula>"NICHT AKTUELL"</formula>
    </cfRule>
    <cfRule type="cellIs" dxfId="78" priority="84" stopIfTrue="1" operator="equal">
      <formula>"NOCH NICHT AKTUELL"</formula>
    </cfRule>
  </conditionalFormatting>
  <conditionalFormatting sqref="S6:V6">
    <cfRule type="cellIs" dxfId="77" priority="76" stopIfTrue="1" operator="equal">
      <formula>"AKTUELL"</formula>
    </cfRule>
    <cfRule type="cellIs" dxfId="76" priority="77" stopIfTrue="1" operator="equal">
      <formula>"NICHT AKTUELL"</formula>
    </cfRule>
    <cfRule type="cellIs" dxfId="75" priority="78" stopIfTrue="1" operator="equal">
      <formula>"NOCH NICHT AKTUELL"</formula>
    </cfRule>
  </conditionalFormatting>
  <conditionalFormatting sqref="S76">
    <cfRule type="cellIs" dxfId="74" priority="70" stopIfTrue="1" operator="equal">
      <formula>"AKTUELL"</formula>
    </cfRule>
    <cfRule type="cellIs" dxfId="73" priority="71" stopIfTrue="1" operator="equal">
      <formula>"NICHT AKTUELL"</formula>
    </cfRule>
    <cfRule type="cellIs" dxfId="72" priority="72" stopIfTrue="1" operator="equal">
      <formula>"NOCH NICHT AKTUELL"</formula>
    </cfRule>
  </conditionalFormatting>
  <conditionalFormatting sqref="T76:V76">
    <cfRule type="cellIs" dxfId="71" priority="73" stopIfTrue="1" operator="equal">
      <formula>"AKTUELL"</formula>
    </cfRule>
    <cfRule type="cellIs" dxfId="70" priority="74" stopIfTrue="1" operator="equal">
      <formula>"NICHT AKTUELL"</formula>
    </cfRule>
    <cfRule type="cellIs" dxfId="69" priority="75" stopIfTrue="1" operator="equal">
      <formula>"NOCH NICHT AKTUELL"</formula>
    </cfRule>
  </conditionalFormatting>
  <conditionalFormatting sqref="T80:V80">
    <cfRule type="cellIs" dxfId="68" priority="67" stopIfTrue="1" operator="equal">
      <formula>"AKTUELL"</formula>
    </cfRule>
    <cfRule type="cellIs" dxfId="67" priority="68" stopIfTrue="1" operator="equal">
      <formula>"NICHT AKTUELL"</formula>
    </cfRule>
    <cfRule type="cellIs" dxfId="66" priority="69" stopIfTrue="1" operator="equal">
      <formula>"NOCH NICHT AKTUELL"</formula>
    </cfRule>
  </conditionalFormatting>
  <conditionalFormatting sqref="S80">
    <cfRule type="cellIs" dxfId="65" priority="64" stopIfTrue="1" operator="equal">
      <formula>"AKTUELL"</formula>
    </cfRule>
    <cfRule type="cellIs" dxfId="64" priority="65" stopIfTrue="1" operator="equal">
      <formula>"NICHT AKTUELL"</formula>
    </cfRule>
    <cfRule type="cellIs" dxfId="63" priority="66" stopIfTrue="1" operator="equal">
      <formula>"NOCH NICHT AKTUELL"</formula>
    </cfRule>
  </conditionalFormatting>
  <conditionalFormatting sqref="T83:V83">
    <cfRule type="cellIs" dxfId="62" priority="61" stopIfTrue="1" operator="equal">
      <formula>"AKTUELL"</formula>
    </cfRule>
    <cfRule type="cellIs" dxfId="61" priority="62" stopIfTrue="1" operator="equal">
      <formula>"NICHT AKTUELL"</formula>
    </cfRule>
    <cfRule type="cellIs" dxfId="60" priority="63" stopIfTrue="1" operator="equal">
      <formula>"NOCH NICHT AKTUELL"</formula>
    </cfRule>
  </conditionalFormatting>
  <conditionalFormatting sqref="S83">
    <cfRule type="cellIs" dxfId="59" priority="58" stopIfTrue="1" operator="equal">
      <formula>"AKTUELL"</formula>
    </cfRule>
    <cfRule type="cellIs" dxfId="58" priority="59" stopIfTrue="1" operator="equal">
      <formula>"NICHT AKTUELL"</formula>
    </cfRule>
    <cfRule type="cellIs" dxfId="57" priority="60" stopIfTrue="1" operator="equal">
      <formula>"NOCH NICHT AKTUELL"</formula>
    </cfRule>
  </conditionalFormatting>
  <conditionalFormatting sqref="T86:V86">
    <cfRule type="cellIs" dxfId="56" priority="55" stopIfTrue="1" operator="equal">
      <formula>"AKTUELL"</formula>
    </cfRule>
    <cfRule type="cellIs" dxfId="55" priority="56" stopIfTrue="1" operator="equal">
      <formula>"NICHT AKTUELL"</formula>
    </cfRule>
    <cfRule type="cellIs" dxfId="54" priority="57" stopIfTrue="1" operator="equal">
      <formula>"NOCH NICHT AKTUELL"</formula>
    </cfRule>
  </conditionalFormatting>
  <conditionalFormatting sqref="S86">
    <cfRule type="cellIs" dxfId="53" priority="52" stopIfTrue="1" operator="equal">
      <formula>"AKTUELL"</formula>
    </cfRule>
    <cfRule type="cellIs" dxfId="52" priority="53" stopIfTrue="1" operator="equal">
      <formula>"NICHT AKTUELL"</formula>
    </cfRule>
    <cfRule type="cellIs" dxfId="51" priority="54" stopIfTrue="1" operator="equal">
      <formula>"NOCH NICHT AKTUELL"</formula>
    </cfRule>
  </conditionalFormatting>
  <conditionalFormatting sqref="S52:V52">
    <cfRule type="cellIs" dxfId="50" priority="49" stopIfTrue="1" operator="equal">
      <formula>"AKTUELL"</formula>
    </cfRule>
    <cfRule type="cellIs" dxfId="49" priority="50" stopIfTrue="1" operator="equal">
      <formula>"NICHT AKTUELL"</formula>
    </cfRule>
    <cfRule type="cellIs" dxfId="48" priority="51" stopIfTrue="1" operator="equal">
      <formula>"NOCH NICHT AKTUELL"</formula>
    </cfRule>
  </conditionalFormatting>
  <conditionalFormatting sqref="S63:V63">
    <cfRule type="cellIs" dxfId="47" priority="46" stopIfTrue="1" operator="equal">
      <formula>"AKTUELL"</formula>
    </cfRule>
    <cfRule type="cellIs" dxfId="46" priority="47" stopIfTrue="1" operator="equal">
      <formula>"NICHT AKTUELL"</formula>
    </cfRule>
    <cfRule type="cellIs" dxfId="45" priority="48" stopIfTrue="1" operator="equal">
      <formula>"NOCH NICHT AKTUELL"</formula>
    </cfRule>
  </conditionalFormatting>
  <conditionalFormatting sqref="S66:V66">
    <cfRule type="cellIs" dxfId="44" priority="43" stopIfTrue="1" operator="equal">
      <formula>"AKTUELL"</formula>
    </cfRule>
    <cfRule type="cellIs" dxfId="43" priority="44" stopIfTrue="1" operator="equal">
      <formula>"NICHT AKTUELL"</formula>
    </cfRule>
    <cfRule type="cellIs" dxfId="42" priority="45" stopIfTrue="1" operator="equal">
      <formula>"NOCH NICHT AKTUELL"</formula>
    </cfRule>
  </conditionalFormatting>
  <conditionalFormatting sqref="S68:V68">
    <cfRule type="cellIs" dxfId="41" priority="40" stopIfTrue="1" operator="equal">
      <formula>"AKTUELL"</formula>
    </cfRule>
    <cfRule type="cellIs" dxfId="40" priority="41" stopIfTrue="1" operator="equal">
      <formula>"NICHT AKTUELL"</formula>
    </cfRule>
    <cfRule type="cellIs" dxfId="39" priority="42" stopIfTrue="1" operator="equal">
      <formula>"NOCH NICHT AKTUELL"</formula>
    </cfRule>
  </conditionalFormatting>
  <conditionalFormatting sqref="S70:V70">
    <cfRule type="cellIs" dxfId="38" priority="37" stopIfTrue="1" operator="equal">
      <formula>"AKTUELL"</formula>
    </cfRule>
    <cfRule type="cellIs" dxfId="37" priority="38" stopIfTrue="1" operator="equal">
      <formula>"NICHT AKTUELL"</formula>
    </cfRule>
    <cfRule type="cellIs" dxfId="36" priority="39" stopIfTrue="1" operator="equal">
      <formula>"NOCH NICHT AKTUELL"</formula>
    </cfRule>
  </conditionalFormatting>
  <conditionalFormatting sqref="S72:V72">
    <cfRule type="cellIs" dxfId="35" priority="34" stopIfTrue="1" operator="equal">
      <formula>"AKTUELL"</formula>
    </cfRule>
    <cfRule type="cellIs" dxfId="34" priority="35" stopIfTrue="1" operator="equal">
      <formula>"NICHT AKTUELL"</formula>
    </cfRule>
    <cfRule type="cellIs" dxfId="33" priority="36" stopIfTrue="1" operator="equal">
      <formula>"NOCH NICHT AKTUELL"</formula>
    </cfRule>
  </conditionalFormatting>
  <conditionalFormatting sqref="S77">
    <cfRule type="cellIs" dxfId="32" priority="28" stopIfTrue="1" operator="equal">
      <formula>"AKTUELL"</formula>
    </cfRule>
    <cfRule type="cellIs" dxfId="31" priority="29" stopIfTrue="1" operator="equal">
      <formula>"NICHT AKTUELL"</formula>
    </cfRule>
    <cfRule type="cellIs" dxfId="30" priority="30" stopIfTrue="1" operator="equal">
      <formula>"NOCH NICHT AKTUELL"</formula>
    </cfRule>
  </conditionalFormatting>
  <conditionalFormatting sqref="T77:V77">
    <cfRule type="cellIs" dxfId="29" priority="31" stopIfTrue="1" operator="equal">
      <formula>"AKTUELL"</formula>
    </cfRule>
    <cfRule type="cellIs" dxfId="28" priority="32" stopIfTrue="1" operator="equal">
      <formula>"NICHT AKTUELL"</formula>
    </cfRule>
    <cfRule type="cellIs" dxfId="27" priority="33" stopIfTrue="1" operator="equal">
      <formula>"NOCH NICHT AKTUELL"</formula>
    </cfRule>
  </conditionalFormatting>
  <conditionalFormatting sqref="T81:V81">
    <cfRule type="cellIs" dxfId="26" priority="25" stopIfTrue="1" operator="equal">
      <formula>"AKTUELL"</formula>
    </cfRule>
    <cfRule type="cellIs" dxfId="25" priority="26" stopIfTrue="1" operator="equal">
      <formula>"NICHT AKTUELL"</formula>
    </cfRule>
    <cfRule type="cellIs" dxfId="24" priority="27" stopIfTrue="1" operator="equal">
      <formula>"NOCH NICHT AKTUELL"</formula>
    </cfRule>
  </conditionalFormatting>
  <conditionalFormatting sqref="S81">
    <cfRule type="cellIs" dxfId="23" priority="22" stopIfTrue="1" operator="equal">
      <formula>"AKTUELL"</formula>
    </cfRule>
    <cfRule type="cellIs" dxfId="22" priority="23" stopIfTrue="1" operator="equal">
      <formula>"NICHT AKTUELL"</formula>
    </cfRule>
    <cfRule type="cellIs" dxfId="21" priority="24" stopIfTrue="1" operator="equal">
      <formula>"NOCH NICHT AKTUELL"</formula>
    </cfRule>
  </conditionalFormatting>
  <conditionalFormatting sqref="T84:V84">
    <cfRule type="cellIs" dxfId="20" priority="19" stopIfTrue="1" operator="equal">
      <formula>"AKTUELL"</formula>
    </cfRule>
    <cfRule type="cellIs" dxfId="19" priority="20" stopIfTrue="1" operator="equal">
      <formula>"NICHT AKTUELL"</formula>
    </cfRule>
    <cfRule type="cellIs" dxfId="18" priority="21" stopIfTrue="1" operator="equal">
      <formula>"NOCH NICHT AKTUELL"</formula>
    </cfRule>
  </conditionalFormatting>
  <conditionalFormatting sqref="S84">
    <cfRule type="cellIs" dxfId="17" priority="16" stopIfTrue="1" operator="equal">
      <formula>"AKTUELL"</formula>
    </cfRule>
    <cfRule type="cellIs" dxfId="16" priority="17" stopIfTrue="1" operator="equal">
      <formula>"NICHT AKTUELL"</formula>
    </cfRule>
    <cfRule type="cellIs" dxfId="15" priority="18" stopIfTrue="1" operator="equal">
      <formula>"NOCH NICHT AKTUELL"</formula>
    </cfRule>
  </conditionalFormatting>
  <conditionalFormatting sqref="T87:V87">
    <cfRule type="cellIs" dxfId="14" priority="13" stopIfTrue="1" operator="equal">
      <formula>"AKTUELL"</formula>
    </cfRule>
    <cfRule type="cellIs" dxfId="13" priority="14" stopIfTrue="1" operator="equal">
      <formula>"NICHT AKTUELL"</formula>
    </cfRule>
    <cfRule type="cellIs" dxfId="12" priority="15" stopIfTrue="1" operator="equal">
      <formula>"NOCH NICHT AKTUELL"</formula>
    </cfRule>
  </conditionalFormatting>
  <conditionalFormatting sqref="S87">
    <cfRule type="cellIs" dxfId="11" priority="10" stopIfTrue="1" operator="equal">
      <formula>"AKTUELL"</formula>
    </cfRule>
    <cfRule type="cellIs" dxfId="10" priority="11" stopIfTrue="1" operator="equal">
      <formula>"NICHT AKTUELL"</formula>
    </cfRule>
    <cfRule type="cellIs" dxfId="9" priority="12" stopIfTrue="1" operator="equal">
      <formula>"NOCH NICHT AKTUELL"</formula>
    </cfRule>
  </conditionalFormatting>
  <conditionalFormatting sqref="S104:V104">
    <cfRule type="cellIs" dxfId="8" priority="7" stopIfTrue="1" operator="equal">
      <formula>"AKTUELL"</formula>
    </cfRule>
    <cfRule type="cellIs" dxfId="7" priority="8" stopIfTrue="1" operator="equal">
      <formula>"NICHT AKTUELL"</formula>
    </cfRule>
    <cfRule type="cellIs" dxfId="6" priority="9" stopIfTrue="1" operator="equal">
      <formula>"NOCH NICHT AKTUELL"</formula>
    </cfRule>
  </conditionalFormatting>
  <conditionalFormatting sqref="S7:V7">
    <cfRule type="cellIs" dxfId="5" priority="4" stopIfTrue="1" operator="equal">
      <formula>"AKTUELL"</formula>
    </cfRule>
    <cfRule type="cellIs" dxfId="4" priority="5" stopIfTrue="1" operator="equal">
      <formula>"NICHT AKTUELL"</formula>
    </cfRule>
    <cfRule type="cellIs" dxfId="3" priority="6" stopIfTrue="1" operator="equal">
      <formula>"NOCH NICHT AKTUELL"</formula>
    </cfRule>
  </conditionalFormatting>
  <conditionalFormatting sqref="S11:V11">
    <cfRule type="cellIs" dxfId="2" priority="1" stopIfTrue="1" operator="equal">
      <formula>"AKTUELL"</formula>
    </cfRule>
    <cfRule type="cellIs" dxfId="1" priority="2" stopIfTrue="1" operator="equal">
      <formula>"NICHT AKTUELL"</formula>
    </cfRule>
    <cfRule type="cellIs" dxfId="0" priority="3" stopIfTrue="1" operator="equal">
      <formula>"NOCH NICHT AKTUELL"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9"/>
  <dimension ref="A1:IS170"/>
  <sheetViews>
    <sheetView topLeftCell="C1" zoomScale="80" zoomScaleNormal="80" workbookViewId="0">
      <selection activeCell="X24" sqref="X24"/>
    </sheetView>
  </sheetViews>
  <sheetFormatPr baseColWidth="10" defaultColWidth="9.140625" defaultRowHeight="15"/>
  <cols>
    <col min="1" max="1" width="24.28515625" style="3" customWidth="1"/>
    <col min="2" max="2" width="15.28515625" customWidth="1"/>
    <col min="3" max="3" width="11" customWidth="1"/>
    <col min="4" max="4" width="7.7109375" customWidth="1"/>
    <col min="5" max="5" width="3.28515625" bestFit="1" customWidth="1"/>
    <col min="6" max="6" width="5.28515625" bestFit="1" customWidth="1"/>
    <col min="7" max="7" width="24.5703125" customWidth="1"/>
    <col min="8" max="8" width="7.85546875" customWidth="1"/>
    <col min="9" max="9" width="7.85546875" style="3" customWidth="1"/>
    <col min="11" max="11" width="3.28515625" customWidth="1"/>
    <col min="12" max="14" width="10.5703125" customWidth="1"/>
    <col min="15" max="16" width="6.140625" customWidth="1"/>
    <col min="17" max="17" width="3.140625" customWidth="1"/>
    <col min="18" max="18" width="6.28515625" customWidth="1"/>
    <col min="19" max="20" width="3.85546875" customWidth="1"/>
    <col min="21" max="21" width="3.28515625" customWidth="1"/>
    <col min="22" max="22" width="5.7109375" customWidth="1"/>
    <col min="23" max="23" width="10" customWidth="1"/>
    <col min="24" max="25" width="3.28515625" customWidth="1"/>
    <col min="26" max="27" width="3.28515625" style="3" customWidth="1"/>
    <col min="28" max="28" width="6.7109375" customWidth="1"/>
    <col min="29" max="35" width="3.28515625" customWidth="1"/>
    <col min="36" max="36" width="3.28515625" style="3" customWidth="1"/>
    <col min="37" max="37" width="7" style="276" customWidth="1"/>
    <col min="38" max="38" width="11.28515625" customWidth="1"/>
    <col min="39" max="39" width="11.5703125" customWidth="1"/>
    <col min="40" max="40" width="10.85546875" customWidth="1"/>
    <col min="41" max="41" width="10.28515625" customWidth="1"/>
    <col min="42" max="42" width="14" bestFit="1" customWidth="1"/>
    <col min="43" max="43" width="4.140625" bestFit="1" customWidth="1"/>
    <col min="44" max="44" width="6" bestFit="1" customWidth="1"/>
    <col min="45" max="45" width="18.140625" bestFit="1" customWidth="1"/>
    <col min="46" max="46" width="9.7109375" customWidth="1"/>
    <col min="47" max="47" width="67.140625" customWidth="1"/>
    <col min="48" max="48" width="10.28515625" customWidth="1"/>
    <col min="49" max="49" width="14.7109375" bestFit="1" customWidth="1"/>
    <col min="50" max="50" width="4.140625" bestFit="1" customWidth="1"/>
    <col min="51" max="51" width="6" bestFit="1" customWidth="1"/>
    <col min="52" max="52" width="18.140625" bestFit="1" customWidth="1"/>
    <col min="53" max="53" width="9.5703125" customWidth="1"/>
    <col min="54" max="54" width="13.5703125" bestFit="1" customWidth="1"/>
    <col min="55" max="55" width="4.5703125" bestFit="1" customWidth="1"/>
    <col min="56" max="57" width="8.85546875" bestFit="1" customWidth="1"/>
    <col min="58" max="58" width="8.140625" bestFit="1" customWidth="1"/>
    <col min="59" max="59" width="7.42578125" bestFit="1" customWidth="1"/>
    <col min="60" max="60" width="6.42578125" bestFit="1" customWidth="1"/>
    <col min="61" max="61" width="24.28515625" bestFit="1" customWidth="1"/>
    <col min="62" max="63" width="14.140625" bestFit="1" customWidth="1"/>
    <col min="64" max="65" width="14" bestFit="1" customWidth="1"/>
    <col min="66" max="66" width="14.140625" bestFit="1" customWidth="1"/>
    <col min="67" max="67" width="13.85546875" bestFit="1" customWidth="1"/>
    <col min="68" max="68" width="8" bestFit="1" customWidth="1"/>
    <col min="69" max="69" width="3.42578125" bestFit="1" customWidth="1"/>
  </cols>
  <sheetData>
    <row r="1" spans="1:69" s="275" customFormat="1" ht="120.75" customHeight="1">
      <c r="B1" s="317" t="s">
        <v>27</v>
      </c>
      <c r="C1" s="19" t="s">
        <v>569</v>
      </c>
      <c r="D1" s="22" t="s">
        <v>28</v>
      </c>
      <c r="E1" s="20" t="s">
        <v>570</v>
      </c>
      <c r="F1" s="41" t="s">
        <v>552</v>
      </c>
      <c r="G1" s="249" t="s">
        <v>2609</v>
      </c>
      <c r="H1" s="19" t="s">
        <v>29</v>
      </c>
      <c r="I1" s="19" t="s">
        <v>2643</v>
      </c>
      <c r="J1" s="509" t="s">
        <v>2644</v>
      </c>
      <c r="K1" s="21" t="s">
        <v>571</v>
      </c>
      <c r="L1" s="21" t="s">
        <v>572</v>
      </c>
      <c r="M1" s="22" t="s">
        <v>2610</v>
      </c>
      <c r="N1" s="19" t="s">
        <v>573</v>
      </c>
      <c r="O1" s="258" t="s">
        <v>574</v>
      </c>
      <c r="P1" s="259" t="s">
        <v>575</v>
      </c>
      <c r="Q1" s="162" t="s">
        <v>554</v>
      </c>
      <c r="R1" s="23" t="s">
        <v>576</v>
      </c>
      <c r="S1" s="79" t="s">
        <v>1112</v>
      </c>
      <c r="T1" s="79" t="s">
        <v>1113</v>
      </c>
      <c r="U1" s="24" t="s">
        <v>577</v>
      </c>
      <c r="V1" s="23" t="s">
        <v>2611</v>
      </c>
      <c r="W1" s="23" t="s">
        <v>560</v>
      </c>
      <c r="X1" s="24" t="s">
        <v>578</v>
      </c>
      <c r="Y1" s="23" t="s">
        <v>579</v>
      </c>
      <c r="Z1" s="23" t="s">
        <v>580</v>
      </c>
      <c r="AA1" s="23" t="s">
        <v>581</v>
      </c>
      <c r="AB1" s="80" t="s">
        <v>31</v>
      </c>
      <c r="AC1" s="80" t="s">
        <v>32</v>
      </c>
      <c r="AD1" s="80" t="s">
        <v>33</v>
      </c>
      <c r="AE1" s="80" t="s">
        <v>30</v>
      </c>
      <c r="AF1" s="80" t="s">
        <v>564</v>
      </c>
      <c r="AG1" s="80" t="s">
        <v>565</v>
      </c>
      <c r="AH1" s="80" t="s">
        <v>566</v>
      </c>
      <c r="AI1" s="451" t="s">
        <v>568</v>
      </c>
      <c r="AJ1" s="514" t="s">
        <v>2646</v>
      </c>
      <c r="AK1" s="318" t="s">
        <v>618</v>
      </c>
      <c r="AL1" s="28" t="s">
        <v>12</v>
      </c>
      <c r="AM1" s="28" t="s">
        <v>13</v>
      </c>
      <c r="AN1" s="28" t="s">
        <v>356</v>
      </c>
      <c r="AO1" s="28" t="s">
        <v>14</v>
      </c>
      <c r="AP1" s="36" t="s">
        <v>7</v>
      </c>
      <c r="AQ1" s="28" t="s">
        <v>15</v>
      </c>
      <c r="AR1" s="28" t="s">
        <v>8</v>
      </c>
      <c r="AS1" s="28" t="s">
        <v>16</v>
      </c>
      <c r="AT1" s="28" t="s">
        <v>17</v>
      </c>
      <c r="AU1" s="28" t="s">
        <v>356</v>
      </c>
      <c r="AV1" s="28" t="s">
        <v>18</v>
      </c>
      <c r="AW1" s="37" t="s">
        <v>7</v>
      </c>
      <c r="AX1" s="28" t="s">
        <v>15</v>
      </c>
      <c r="AY1" s="28" t="s">
        <v>8</v>
      </c>
      <c r="AZ1" s="28" t="s">
        <v>16</v>
      </c>
      <c r="BA1" s="28" t="s">
        <v>17</v>
      </c>
      <c r="BB1" s="28" t="s">
        <v>19</v>
      </c>
      <c r="BC1" s="28" t="s">
        <v>1737</v>
      </c>
      <c r="BD1" s="28" t="s">
        <v>20</v>
      </c>
      <c r="BE1" s="28" t="s">
        <v>21</v>
      </c>
      <c r="BF1" s="451" t="s">
        <v>2612</v>
      </c>
      <c r="BG1" s="28" t="s">
        <v>9</v>
      </c>
      <c r="BH1" s="28" t="s">
        <v>23</v>
      </c>
      <c r="BI1" s="28" t="s">
        <v>24</v>
      </c>
      <c r="BJ1" s="28" t="s">
        <v>0</v>
      </c>
      <c r="BK1" s="28" t="s">
        <v>2</v>
      </c>
      <c r="BL1" s="28" t="s">
        <v>3</v>
      </c>
      <c r="BM1" s="28" t="s">
        <v>4</v>
      </c>
      <c r="BN1" s="28" t="s">
        <v>5</v>
      </c>
      <c r="BO1" s="28" t="s">
        <v>6</v>
      </c>
      <c r="BP1" s="28" t="s">
        <v>35</v>
      </c>
      <c r="BQ1" s="28" t="s">
        <v>36</v>
      </c>
    </row>
    <row r="2" spans="1:69" s="4" customFormat="1">
      <c r="A2" s="4" t="str">
        <f xml:space="preserve"> AP2 &amp; REPT(" ",20-LEN(AP2)) &amp; AW2</f>
        <v>KI_A                SP_30A_KOMBI</v>
      </c>
      <c r="B2" s="1"/>
      <c r="C2" s="4">
        <v>8</v>
      </c>
      <c r="D2" s="6" t="s">
        <v>605</v>
      </c>
      <c r="E2" s="6"/>
      <c r="F2" s="4" t="s">
        <v>1086</v>
      </c>
      <c r="G2" s="4" t="s">
        <v>2224</v>
      </c>
      <c r="H2" s="43" t="s">
        <v>610</v>
      </c>
      <c r="I2" s="43"/>
      <c r="K2" s="43"/>
      <c r="L2" s="43"/>
      <c r="M2" s="43"/>
      <c r="N2" s="43" t="s">
        <v>537</v>
      </c>
      <c r="O2" s="260" t="s">
        <v>1086</v>
      </c>
      <c r="P2" s="261" t="s">
        <v>1097</v>
      </c>
      <c r="Q2" s="55"/>
      <c r="R2" s="52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2"/>
      <c r="AI2" s="42" t="s">
        <v>1117</v>
      </c>
      <c r="AJ2" s="42"/>
      <c r="AK2" s="42" t="s">
        <v>538</v>
      </c>
      <c r="AL2" s="4">
        <v>8</v>
      </c>
      <c r="AM2" s="4" t="s">
        <v>1368</v>
      </c>
      <c r="AN2" s="4" t="s">
        <v>896</v>
      </c>
      <c r="AO2" s="4" t="s">
        <v>624</v>
      </c>
      <c r="AP2" s="34" t="s">
        <v>2254</v>
      </c>
      <c r="AQ2" s="4">
        <v>27</v>
      </c>
      <c r="AR2" s="4" t="s">
        <v>350</v>
      </c>
      <c r="AS2" s="4" t="s">
        <v>77</v>
      </c>
      <c r="AT2" s="4" t="s">
        <v>10</v>
      </c>
      <c r="AU2" s="4" t="s">
        <v>1688</v>
      </c>
      <c r="AV2" s="4" t="s">
        <v>625</v>
      </c>
      <c r="AW2" s="34" t="s">
        <v>2224</v>
      </c>
      <c r="AX2" s="4">
        <v>1</v>
      </c>
      <c r="AY2" s="4" t="s">
        <v>1745</v>
      </c>
      <c r="AZ2" s="4" t="s">
        <v>10</v>
      </c>
      <c r="BA2" s="4" t="s">
        <v>10</v>
      </c>
      <c r="BB2" s="4" t="s">
        <v>164</v>
      </c>
      <c r="BC2" s="4" t="s">
        <v>1742</v>
      </c>
      <c r="BD2" s="4" t="s">
        <v>10</v>
      </c>
      <c r="BE2" s="4" t="s">
        <v>10</v>
      </c>
      <c r="BF2" s="4">
        <v>322</v>
      </c>
      <c r="BG2" s="4" t="s">
        <v>165</v>
      </c>
      <c r="BH2" s="4">
        <v>0.5</v>
      </c>
      <c r="BI2" s="4" t="s">
        <v>1369</v>
      </c>
      <c r="BJ2" s="4" t="s">
        <v>2374</v>
      </c>
      <c r="BK2" s="4" t="s">
        <v>2492</v>
      </c>
      <c r="BL2" s="4">
        <v>8</v>
      </c>
    </row>
    <row r="3" spans="1:69" s="4" customFormat="1">
      <c r="A3" s="4" t="str">
        <f t="shared" ref="A3:A102" si="0" xml:space="preserve"> AP3 &amp; REPT(" ",20-LEN(AP3)) &amp; AW3</f>
        <v>KI_A                SP_30A_KOMBI</v>
      </c>
      <c r="B3" s="1"/>
      <c r="C3" s="4">
        <v>9</v>
      </c>
      <c r="D3" s="6" t="s">
        <v>605</v>
      </c>
      <c r="E3" s="6"/>
      <c r="F3" s="4" t="s">
        <v>1086</v>
      </c>
      <c r="G3" s="4" t="s">
        <v>2224</v>
      </c>
      <c r="H3" s="43" t="s">
        <v>610</v>
      </c>
      <c r="I3" s="43"/>
      <c r="K3" s="43"/>
      <c r="L3" s="43"/>
      <c r="M3" s="43"/>
      <c r="N3" s="43" t="s">
        <v>537</v>
      </c>
      <c r="O3" s="260" t="s">
        <v>1086</v>
      </c>
      <c r="P3" s="261" t="s">
        <v>1097</v>
      </c>
      <c r="Q3" s="55"/>
      <c r="R3" s="52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2"/>
      <c r="AI3" s="42" t="s">
        <v>1117</v>
      </c>
      <c r="AJ3" s="42"/>
      <c r="AK3" s="42" t="s">
        <v>538</v>
      </c>
      <c r="AL3" s="4">
        <v>9</v>
      </c>
      <c r="AM3" s="4" t="s">
        <v>1370</v>
      </c>
      <c r="AN3" s="4" t="s">
        <v>896</v>
      </c>
      <c r="AO3" s="4" t="s">
        <v>624</v>
      </c>
      <c r="AP3" s="34" t="s">
        <v>2254</v>
      </c>
      <c r="AQ3" s="4">
        <v>31</v>
      </c>
      <c r="AR3" s="4" t="s">
        <v>350</v>
      </c>
      <c r="AS3" s="4" t="s">
        <v>77</v>
      </c>
      <c r="AT3" s="4" t="s">
        <v>10</v>
      </c>
      <c r="AU3" s="4" t="s">
        <v>1688</v>
      </c>
      <c r="AV3" s="4" t="s">
        <v>625</v>
      </c>
      <c r="AW3" s="34" t="s">
        <v>2224</v>
      </c>
      <c r="AX3" s="4">
        <v>1</v>
      </c>
      <c r="AY3" s="4" t="s">
        <v>1745</v>
      </c>
      <c r="AZ3" s="4" t="s">
        <v>10</v>
      </c>
      <c r="BA3" s="4" t="s">
        <v>10</v>
      </c>
      <c r="BB3" s="4" t="s">
        <v>164</v>
      </c>
      <c r="BC3" s="4" t="s">
        <v>1742</v>
      </c>
      <c r="BD3" s="4" t="s">
        <v>10</v>
      </c>
      <c r="BE3" s="4" t="s">
        <v>10</v>
      </c>
      <c r="BF3" s="4">
        <v>322</v>
      </c>
      <c r="BG3" s="4" t="s">
        <v>165</v>
      </c>
      <c r="BH3" s="4">
        <v>0.5</v>
      </c>
      <c r="BI3" s="4" t="s">
        <v>1369</v>
      </c>
      <c r="BJ3" s="4" t="s">
        <v>2374</v>
      </c>
      <c r="BK3" s="4" t="s">
        <v>2492</v>
      </c>
      <c r="BL3" s="4">
        <v>9</v>
      </c>
    </row>
    <row r="4" spans="1:69" s="4" customFormat="1">
      <c r="A4" s="4" t="str">
        <f t="shared" si="0"/>
        <v>KI_A                SP_30A_KOMBI</v>
      </c>
      <c r="B4" s="1"/>
      <c r="C4" s="4">
        <v>10</v>
      </c>
      <c r="D4" s="6" t="s">
        <v>605</v>
      </c>
      <c r="E4" s="6"/>
      <c r="F4" s="4" t="s">
        <v>1086</v>
      </c>
      <c r="G4" s="4" t="s">
        <v>2224</v>
      </c>
      <c r="H4" s="43" t="s">
        <v>610</v>
      </c>
      <c r="I4" s="43"/>
      <c r="K4" s="43"/>
      <c r="L4" s="43"/>
      <c r="M4" s="43"/>
      <c r="N4" s="43" t="s">
        <v>537</v>
      </c>
      <c r="O4" s="260" t="s">
        <v>1086</v>
      </c>
      <c r="P4" s="261" t="s">
        <v>1097</v>
      </c>
      <c r="Q4" s="55"/>
      <c r="R4" s="52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2"/>
      <c r="AI4" s="42" t="s">
        <v>1117</v>
      </c>
      <c r="AJ4" s="42"/>
      <c r="AK4" s="42" t="s">
        <v>538</v>
      </c>
      <c r="AL4" s="4">
        <v>10</v>
      </c>
      <c r="AM4" s="4" t="s">
        <v>1371</v>
      </c>
      <c r="AN4" s="4" t="s">
        <v>896</v>
      </c>
      <c r="AO4" s="4" t="s">
        <v>624</v>
      </c>
      <c r="AP4" s="34" t="s">
        <v>2254</v>
      </c>
      <c r="AQ4" s="4">
        <v>32</v>
      </c>
      <c r="AR4" s="4" t="s">
        <v>350</v>
      </c>
      <c r="AS4" s="4" t="s">
        <v>77</v>
      </c>
      <c r="AT4" s="4" t="s">
        <v>10</v>
      </c>
      <c r="AU4" s="4" t="s">
        <v>1688</v>
      </c>
      <c r="AV4" s="4" t="s">
        <v>625</v>
      </c>
      <c r="AW4" s="34" t="s">
        <v>2224</v>
      </c>
      <c r="AX4" s="4">
        <v>1</v>
      </c>
      <c r="AY4" s="4" t="s">
        <v>1745</v>
      </c>
      <c r="AZ4" s="4" t="s">
        <v>10</v>
      </c>
      <c r="BA4" s="4" t="s">
        <v>10</v>
      </c>
      <c r="BB4" s="4" t="s">
        <v>164</v>
      </c>
      <c r="BC4" s="4" t="s">
        <v>1742</v>
      </c>
      <c r="BD4" s="4" t="s">
        <v>10</v>
      </c>
      <c r="BE4" s="4" t="s">
        <v>10</v>
      </c>
      <c r="BF4" s="4">
        <v>322</v>
      </c>
      <c r="BG4" s="4" t="s">
        <v>165</v>
      </c>
      <c r="BH4" s="4">
        <v>0.5</v>
      </c>
      <c r="BI4" s="4" t="s">
        <v>1369</v>
      </c>
      <c r="BJ4" s="4" t="s">
        <v>2374</v>
      </c>
      <c r="BK4" s="4" t="s">
        <v>2492</v>
      </c>
      <c r="BL4" s="4">
        <v>10</v>
      </c>
    </row>
    <row r="5" spans="1:69" s="4" customFormat="1">
      <c r="A5" s="4" t="str">
        <f t="shared" si="0"/>
        <v>SIDO_O              SP_30A_KOMBI</v>
      </c>
      <c r="B5" s="1"/>
      <c r="C5" s="4">
        <v>11</v>
      </c>
      <c r="D5" s="6" t="s">
        <v>605</v>
      </c>
      <c r="E5" s="6"/>
      <c r="F5" s="4" t="s">
        <v>1086</v>
      </c>
      <c r="G5" s="4" t="s">
        <v>2224</v>
      </c>
      <c r="H5" s="43" t="s">
        <v>610</v>
      </c>
      <c r="I5" s="43"/>
      <c r="K5" s="43"/>
      <c r="L5" s="43"/>
      <c r="M5" s="43"/>
      <c r="N5" s="43" t="s">
        <v>537</v>
      </c>
      <c r="O5" s="260" t="s">
        <v>1086</v>
      </c>
      <c r="P5" s="261" t="s">
        <v>1097</v>
      </c>
      <c r="Q5" s="55"/>
      <c r="R5" s="52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2"/>
      <c r="AI5" s="42" t="s">
        <v>1117</v>
      </c>
      <c r="AJ5" s="42"/>
      <c r="AK5" s="42" t="s">
        <v>539</v>
      </c>
      <c r="AL5" s="4">
        <v>11</v>
      </c>
      <c r="AM5" s="4" t="s">
        <v>1746</v>
      </c>
      <c r="AN5" s="4" t="s">
        <v>897</v>
      </c>
      <c r="AO5" s="4" t="s">
        <v>626</v>
      </c>
      <c r="AP5" s="34" t="s">
        <v>2255</v>
      </c>
      <c r="AQ5" s="4" t="s">
        <v>270</v>
      </c>
      <c r="AR5" s="4" t="s">
        <v>1158</v>
      </c>
      <c r="AS5" s="4" t="s">
        <v>98</v>
      </c>
      <c r="AT5" s="4" t="s">
        <v>10</v>
      </c>
      <c r="AU5" s="4" t="s">
        <v>1688</v>
      </c>
      <c r="AV5" s="4" t="s">
        <v>625</v>
      </c>
      <c r="AW5" s="34" t="s">
        <v>2224</v>
      </c>
      <c r="AX5" s="4">
        <v>1</v>
      </c>
      <c r="AY5" s="4" t="s">
        <v>1745</v>
      </c>
      <c r="AZ5" s="4" t="s">
        <v>10</v>
      </c>
      <c r="BA5" s="4" t="s">
        <v>10</v>
      </c>
      <c r="BB5" s="4" t="s">
        <v>627</v>
      </c>
      <c r="BC5" s="4" t="s">
        <v>1742</v>
      </c>
      <c r="BD5" s="4" t="s">
        <v>10</v>
      </c>
      <c r="BE5" s="4" t="s">
        <v>10</v>
      </c>
      <c r="BF5" s="4">
        <v>729</v>
      </c>
      <c r="BG5" s="4" t="s">
        <v>165</v>
      </c>
      <c r="BH5" s="4">
        <v>1.5</v>
      </c>
      <c r="BI5" s="4" t="s">
        <v>1369</v>
      </c>
      <c r="BJ5" s="4" t="s">
        <v>2374</v>
      </c>
      <c r="BK5" s="4" t="s">
        <v>2492</v>
      </c>
      <c r="BL5" s="4">
        <v>11</v>
      </c>
    </row>
    <row r="6" spans="1:69" s="4" customFormat="1">
      <c r="A6" s="4" t="str">
        <f t="shared" si="0"/>
        <v xml:space="preserve">                    </v>
      </c>
      <c r="B6" s="1"/>
      <c r="D6" s="6"/>
      <c r="E6" s="6"/>
      <c r="H6" s="43"/>
      <c r="I6" s="43"/>
      <c r="K6" s="43"/>
      <c r="L6" s="43"/>
      <c r="M6" s="43"/>
      <c r="N6" s="43"/>
      <c r="O6" s="260"/>
      <c r="P6" s="261"/>
      <c r="Q6" s="55"/>
      <c r="R6" s="52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2"/>
      <c r="AI6" s="42"/>
      <c r="AJ6" s="42"/>
      <c r="AK6" s="42"/>
      <c r="AP6" s="34"/>
      <c r="AW6" s="34"/>
    </row>
    <row r="7" spans="1:69" s="4" customFormat="1">
      <c r="A7" s="4" t="str">
        <f t="shared" si="0"/>
        <v>FRL2_VL             SP_ILM</v>
      </c>
      <c r="B7" s="1"/>
      <c r="C7" s="4">
        <v>901005</v>
      </c>
      <c r="D7" s="6">
        <v>901</v>
      </c>
      <c r="E7" s="43"/>
      <c r="F7" s="4" t="s">
        <v>1086</v>
      </c>
      <c r="G7" s="4" t="s">
        <v>2251</v>
      </c>
      <c r="H7" s="43" t="s">
        <v>610</v>
      </c>
      <c r="I7" s="43"/>
      <c r="N7" s="43" t="s">
        <v>537</v>
      </c>
      <c r="O7" s="260" t="s">
        <v>1086</v>
      </c>
      <c r="P7" s="261" t="s">
        <v>1097</v>
      </c>
      <c r="Q7" s="56"/>
      <c r="R7" s="33"/>
      <c r="AH7" s="42"/>
      <c r="AI7" s="42" t="s">
        <v>1117</v>
      </c>
      <c r="AJ7" s="42"/>
      <c r="AK7" s="42" t="s">
        <v>539</v>
      </c>
      <c r="AL7" s="4">
        <v>901005</v>
      </c>
      <c r="AM7" s="4" t="s">
        <v>1665</v>
      </c>
      <c r="AN7" s="4" t="s">
        <v>1724</v>
      </c>
      <c r="AO7" s="4" t="s">
        <v>873</v>
      </c>
      <c r="AP7" s="34" t="s">
        <v>2301</v>
      </c>
      <c r="AQ7" s="4">
        <v>1</v>
      </c>
      <c r="AR7" s="4" t="s">
        <v>2071</v>
      </c>
      <c r="AS7" s="4" t="s">
        <v>218</v>
      </c>
      <c r="AT7" s="4" t="s">
        <v>10</v>
      </c>
      <c r="AU7" s="4" t="s">
        <v>1726</v>
      </c>
      <c r="AV7" s="4" t="s">
        <v>872</v>
      </c>
      <c r="AW7" s="34" t="s">
        <v>2251</v>
      </c>
      <c r="AX7" s="4">
        <v>1</v>
      </c>
      <c r="AY7" s="4" t="s">
        <v>540</v>
      </c>
      <c r="AZ7" s="4" t="s">
        <v>10</v>
      </c>
      <c r="BA7" s="4" t="s">
        <v>10</v>
      </c>
      <c r="BB7" s="4" t="s">
        <v>483</v>
      </c>
      <c r="BC7" s="4" t="s">
        <v>1742</v>
      </c>
      <c r="BD7" s="4" t="s">
        <v>10</v>
      </c>
      <c r="BE7" s="4" t="s">
        <v>10</v>
      </c>
      <c r="BF7" s="4">
        <v>833</v>
      </c>
      <c r="BG7" s="4" t="s">
        <v>64</v>
      </c>
      <c r="BH7" s="4">
        <v>0.13</v>
      </c>
      <c r="BI7" s="4" t="s">
        <v>1666</v>
      </c>
      <c r="BJ7" s="4" t="s">
        <v>10</v>
      </c>
      <c r="BK7" s="4" t="s">
        <v>867</v>
      </c>
      <c r="BL7" s="4">
        <v>901005</v>
      </c>
    </row>
    <row r="8" spans="1:69" s="4" customFormat="1">
      <c r="A8" s="4" t="str">
        <f t="shared" si="0"/>
        <v>FRL2_VR             SP_ILM</v>
      </c>
      <c r="B8" s="1"/>
      <c r="C8" s="4">
        <v>901006</v>
      </c>
      <c r="D8" s="6">
        <v>901</v>
      </c>
      <c r="E8" s="43"/>
      <c r="F8" s="4" t="s">
        <v>1086</v>
      </c>
      <c r="G8" s="4" t="s">
        <v>2251</v>
      </c>
      <c r="H8" s="43" t="s">
        <v>610</v>
      </c>
      <c r="I8" s="43"/>
      <c r="N8" s="43" t="s">
        <v>537</v>
      </c>
      <c r="O8" s="260" t="s">
        <v>1086</v>
      </c>
      <c r="P8" s="261" t="s">
        <v>1097</v>
      </c>
      <c r="Q8" s="56"/>
      <c r="R8" s="33"/>
      <c r="AH8" s="42"/>
      <c r="AI8" s="42" t="s">
        <v>1117</v>
      </c>
      <c r="AJ8" s="42"/>
      <c r="AK8" s="42" t="s">
        <v>2491</v>
      </c>
      <c r="AL8" s="4">
        <v>901006</v>
      </c>
      <c r="AM8" s="4" t="s">
        <v>1667</v>
      </c>
      <c r="AN8" s="4" t="s">
        <v>1725</v>
      </c>
      <c r="AO8" s="4" t="s">
        <v>875</v>
      </c>
      <c r="AP8" s="34" t="s">
        <v>2302</v>
      </c>
      <c r="AQ8" s="4">
        <v>1</v>
      </c>
      <c r="AR8" s="4" t="s">
        <v>413</v>
      </c>
      <c r="AS8" s="4" t="s">
        <v>218</v>
      </c>
      <c r="AT8" s="4" t="s">
        <v>10</v>
      </c>
      <c r="AU8" s="4" t="s">
        <v>1726</v>
      </c>
      <c r="AV8" s="4" t="s">
        <v>872</v>
      </c>
      <c r="AW8" s="34" t="s">
        <v>2251</v>
      </c>
      <c r="AX8" s="4">
        <v>1</v>
      </c>
      <c r="AY8" s="4" t="s">
        <v>540</v>
      </c>
      <c r="AZ8" s="4" t="s">
        <v>10</v>
      </c>
      <c r="BA8" s="4" t="s">
        <v>10</v>
      </c>
      <c r="BB8" s="4" t="s">
        <v>483</v>
      </c>
      <c r="BC8" s="4" t="s">
        <v>1742</v>
      </c>
      <c r="BD8" s="4" t="s">
        <v>10</v>
      </c>
      <c r="BE8" s="4" t="s">
        <v>10</v>
      </c>
      <c r="BF8" s="4">
        <v>1337</v>
      </c>
      <c r="BG8" s="4" t="s">
        <v>64</v>
      </c>
      <c r="BH8" s="4">
        <v>0.13</v>
      </c>
      <c r="BI8" s="4" t="s">
        <v>1666</v>
      </c>
      <c r="BJ8" s="4" t="s">
        <v>10</v>
      </c>
      <c r="BK8" s="4" t="s">
        <v>867</v>
      </c>
      <c r="BL8" s="4">
        <v>901006</v>
      </c>
    </row>
    <row r="9" spans="1:69" s="4" customFormat="1">
      <c r="A9" s="4" t="str">
        <f t="shared" si="0"/>
        <v>KS_CPM_D            SP_ILM</v>
      </c>
      <c r="B9" s="1"/>
      <c r="C9" s="4">
        <v>901007</v>
      </c>
      <c r="D9" s="6">
        <v>901</v>
      </c>
      <c r="E9" s="43"/>
      <c r="F9" s="4" t="s">
        <v>1086</v>
      </c>
      <c r="G9" s="4" t="s">
        <v>2251</v>
      </c>
      <c r="H9" s="43" t="s">
        <v>610</v>
      </c>
      <c r="I9" s="43"/>
      <c r="N9" s="43" t="s">
        <v>537</v>
      </c>
      <c r="O9" s="260" t="s">
        <v>1086</v>
      </c>
      <c r="P9" s="261" t="s">
        <v>1097</v>
      </c>
      <c r="Q9" s="56"/>
      <c r="R9" s="33"/>
      <c r="AH9" s="42"/>
      <c r="AI9" s="42" t="s">
        <v>1117</v>
      </c>
      <c r="AJ9" s="42"/>
      <c r="AK9" s="42" t="s">
        <v>2491</v>
      </c>
      <c r="AL9" s="4">
        <v>901007</v>
      </c>
      <c r="AM9" s="4" t="s">
        <v>2073</v>
      </c>
      <c r="AN9" s="4" t="s">
        <v>502</v>
      </c>
      <c r="AO9" s="4" t="s">
        <v>641</v>
      </c>
      <c r="AP9" s="34" t="s">
        <v>1776</v>
      </c>
      <c r="AQ9" s="4">
        <v>10</v>
      </c>
      <c r="AR9" s="4" t="s">
        <v>1389</v>
      </c>
      <c r="AS9" s="4" t="s">
        <v>255</v>
      </c>
      <c r="AT9" s="4" t="s">
        <v>10</v>
      </c>
      <c r="AU9" s="4" t="s">
        <v>1726</v>
      </c>
      <c r="AV9" s="4" t="s">
        <v>872</v>
      </c>
      <c r="AW9" s="34" t="s">
        <v>2251</v>
      </c>
      <c r="AX9" s="4">
        <v>1</v>
      </c>
      <c r="AY9" s="4" t="s">
        <v>540</v>
      </c>
      <c r="AZ9" s="4" t="s">
        <v>10</v>
      </c>
      <c r="BA9" s="4" t="s">
        <v>10</v>
      </c>
      <c r="BB9" s="4" t="s">
        <v>483</v>
      </c>
      <c r="BC9" s="4" t="s">
        <v>1742</v>
      </c>
      <c r="BD9" s="4" t="s">
        <v>10</v>
      </c>
      <c r="BE9" s="4" t="s">
        <v>10</v>
      </c>
      <c r="BF9" s="4">
        <v>902</v>
      </c>
      <c r="BG9" s="4" t="s">
        <v>64</v>
      </c>
      <c r="BH9" s="4">
        <v>0.13</v>
      </c>
      <c r="BI9" s="4" t="s">
        <v>1666</v>
      </c>
      <c r="BJ9" s="4" t="s">
        <v>10</v>
      </c>
      <c r="BK9" s="4" t="s">
        <v>867</v>
      </c>
      <c r="BL9" s="4">
        <v>901007</v>
      </c>
    </row>
    <row r="10" spans="1:69" s="4" customFormat="1">
      <c r="A10" s="4" t="str">
        <f t="shared" si="0"/>
        <v>KS_CPL_C            SP_ILM</v>
      </c>
      <c r="B10" s="1"/>
      <c r="C10" s="4">
        <v>901017</v>
      </c>
      <c r="D10" s="6">
        <v>901</v>
      </c>
      <c r="E10" s="43"/>
      <c r="F10" s="4" t="s">
        <v>1086</v>
      </c>
      <c r="G10" s="4" t="s">
        <v>2251</v>
      </c>
      <c r="H10" s="43" t="s">
        <v>610</v>
      </c>
      <c r="I10" s="43"/>
      <c r="N10" s="43" t="s">
        <v>537</v>
      </c>
      <c r="O10" s="260" t="s">
        <v>1086</v>
      </c>
      <c r="P10" s="261" t="s">
        <v>1097</v>
      </c>
      <c r="Q10" s="56"/>
      <c r="R10" s="33"/>
      <c r="AH10" s="42"/>
      <c r="AI10" s="56" t="s">
        <v>1117</v>
      </c>
      <c r="AJ10" s="56"/>
      <c r="AK10" s="42" t="s">
        <v>539</v>
      </c>
      <c r="AL10" s="4">
        <v>901017</v>
      </c>
      <c r="AM10" s="4" t="s">
        <v>2076</v>
      </c>
      <c r="AN10" s="4" t="s">
        <v>416</v>
      </c>
      <c r="AO10" s="4" t="s">
        <v>632</v>
      </c>
      <c r="AP10" s="34" t="s">
        <v>1758</v>
      </c>
      <c r="AQ10" s="4">
        <v>1</v>
      </c>
      <c r="AR10" s="4" t="s">
        <v>1759</v>
      </c>
      <c r="AS10" s="4" t="s">
        <v>492</v>
      </c>
      <c r="AT10" s="4" t="s">
        <v>10</v>
      </c>
      <c r="AU10" s="4" t="s">
        <v>1726</v>
      </c>
      <c r="AV10" s="4" t="s">
        <v>872</v>
      </c>
      <c r="AW10" s="34" t="s">
        <v>2251</v>
      </c>
      <c r="AX10" s="4">
        <v>1</v>
      </c>
      <c r="AY10" s="4" t="s">
        <v>540</v>
      </c>
      <c r="AZ10" s="4" t="s">
        <v>10</v>
      </c>
      <c r="BA10" s="4" t="s">
        <v>10</v>
      </c>
      <c r="BB10" s="4" t="s">
        <v>483</v>
      </c>
      <c r="BC10" s="4" t="s">
        <v>1742</v>
      </c>
      <c r="BD10" s="4" t="s">
        <v>10</v>
      </c>
      <c r="BE10" s="4" t="s">
        <v>10</v>
      </c>
      <c r="BF10" s="4">
        <v>638</v>
      </c>
      <c r="BG10" s="4" t="s">
        <v>64</v>
      </c>
      <c r="BH10" s="4">
        <v>0.13</v>
      </c>
      <c r="BI10" s="4" t="s">
        <v>1666</v>
      </c>
      <c r="BJ10" s="4" t="s">
        <v>10</v>
      </c>
      <c r="BK10" s="4" t="s">
        <v>867</v>
      </c>
      <c r="BL10" s="4">
        <v>901017</v>
      </c>
    </row>
    <row r="11" spans="1:69" s="4" customFormat="1">
      <c r="A11" s="4" t="str">
        <f t="shared" si="0"/>
        <v xml:space="preserve">                    </v>
      </c>
      <c r="B11" s="1"/>
      <c r="D11" s="6"/>
      <c r="E11" s="43"/>
      <c r="H11" s="43"/>
      <c r="I11" s="43"/>
      <c r="N11" s="43"/>
      <c r="O11" s="260"/>
      <c r="P11" s="261"/>
      <c r="Q11" s="56"/>
      <c r="R11" s="33"/>
      <c r="AH11" s="42"/>
      <c r="AI11" s="56"/>
      <c r="AJ11" s="56"/>
      <c r="AK11" s="42"/>
      <c r="AP11" s="34"/>
      <c r="AW11" s="34"/>
    </row>
    <row r="12" spans="1:69" s="35" customFormat="1">
      <c r="A12" s="4" t="str">
        <f t="shared" si="0"/>
        <v>SP_MTVRP            KS_CP_C</v>
      </c>
      <c r="B12" s="349"/>
      <c r="C12" s="248">
        <v>76003</v>
      </c>
      <c r="D12" s="283" t="s">
        <v>608</v>
      </c>
      <c r="F12" s="35" t="s">
        <v>1086</v>
      </c>
      <c r="G12" s="35" t="s">
        <v>2246</v>
      </c>
      <c r="H12" s="35" t="s">
        <v>610</v>
      </c>
      <c r="N12" s="35" t="s">
        <v>537</v>
      </c>
      <c r="O12" s="34" t="s">
        <v>1097</v>
      </c>
      <c r="P12" s="34" t="s">
        <v>1086</v>
      </c>
      <c r="AF12" s="279"/>
      <c r="AI12" s="279" t="s">
        <v>1117</v>
      </c>
      <c r="AJ12" s="279"/>
      <c r="AK12" s="279" t="s">
        <v>538</v>
      </c>
      <c r="AL12" s="35">
        <v>76003</v>
      </c>
      <c r="AM12" s="35" t="s">
        <v>733</v>
      </c>
      <c r="AN12" s="35" t="s">
        <v>1712</v>
      </c>
      <c r="AO12" s="35" t="s">
        <v>732</v>
      </c>
      <c r="AP12" s="34" t="s">
        <v>2246</v>
      </c>
      <c r="AQ12" s="35">
        <v>1</v>
      </c>
      <c r="AR12" s="35" t="s">
        <v>1168</v>
      </c>
      <c r="AS12" s="35" t="s">
        <v>10</v>
      </c>
      <c r="AT12" s="35" t="s">
        <v>10</v>
      </c>
      <c r="AU12" s="35" t="s">
        <v>959</v>
      </c>
      <c r="AV12" s="35" t="s">
        <v>683</v>
      </c>
      <c r="AW12" s="34" t="s">
        <v>1867</v>
      </c>
      <c r="AX12" s="35">
        <v>3</v>
      </c>
      <c r="AY12" s="35" t="s">
        <v>477</v>
      </c>
      <c r="AZ12" s="35" t="s">
        <v>238</v>
      </c>
      <c r="BA12" s="35" t="s">
        <v>10</v>
      </c>
      <c r="BB12" s="35" t="s">
        <v>2422</v>
      </c>
      <c r="BC12" s="35" t="s">
        <v>1742</v>
      </c>
      <c r="BD12" s="35" t="s">
        <v>288</v>
      </c>
      <c r="BE12" s="35" t="s">
        <v>2423</v>
      </c>
      <c r="BF12" s="35">
        <v>473</v>
      </c>
      <c r="BG12" s="35" t="s">
        <v>168</v>
      </c>
      <c r="BH12" s="35">
        <v>0.75</v>
      </c>
      <c r="BI12" s="35" t="s">
        <v>115</v>
      </c>
      <c r="BJ12" s="35" t="s">
        <v>727</v>
      </c>
      <c r="BK12" s="35" t="s">
        <v>10</v>
      </c>
      <c r="BL12" s="35" t="s">
        <v>10</v>
      </c>
      <c r="BM12" s="35">
        <v>76003</v>
      </c>
    </row>
    <row r="13" spans="1:69" s="35" customFormat="1">
      <c r="A13" s="4" t="str">
        <f t="shared" si="0"/>
        <v>SP_MTVRP            KS_CPR_B</v>
      </c>
      <c r="B13" s="349"/>
      <c r="C13" s="248">
        <v>76005</v>
      </c>
      <c r="D13" s="283" t="s">
        <v>608</v>
      </c>
      <c r="F13" s="35" t="s">
        <v>1086</v>
      </c>
      <c r="G13" s="35" t="s">
        <v>2246</v>
      </c>
      <c r="H13" s="35" t="s">
        <v>610</v>
      </c>
      <c r="N13" s="35" t="s">
        <v>537</v>
      </c>
      <c r="O13" s="34" t="s">
        <v>1097</v>
      </c>
      <c r="P13" s="285" t="s">
        <v>1086</v>
      </c>
      <c r="AF13" s="279"/>
      <c r="AI13" s="279" t="s">
        <v>1117</v>
      </c>
      <c r="AJ13" s="279"/>
      <c r="AK13" s="279" t="s">
        <v>538</v>
      </c>
      <c r="AL13" s="35">
        <v>76005</v>
      </c>
      <c r="AM13" s="35" t="s">
        <v>1498</v>
      </c>
      <c r="AN13" s="35" t="s">
        <v>1712</v>
      </c>
      <c r="AO13" s="35" t="s">
        <v>732</v>
      </c>
      <c r="AP13" s="34" t="s">
        <v>2246</v>
      </c>
      <c r="AQ13" s="35">
        <v>1</v>
      </c>
      <c r="AR13" s="35" t="s">
        <v>1168</v>
      </c>
      <c r="AS13" s="35" t="s">
        <v>10</v>
      </c>
      <c r="AT13" s="35" t="s">
        <v>10</v>
      </c>
      <c r="AU13" s="35" t="s">
        <v>424</v>
      </c>
      <c r="AV13" s="35" t="s">
        <v>651</v>
      </c>
      <c r="AW13" s="34" t="s">
        <v>1807</v>
      </c>
      <c r="AX13" s="35">
        <v>1</v>
      </c>
      <c r="AY13" s="35" t="s">
        <v>1808</v>
      </c>
      <c r="AZ13" s="35" t="s">
        <v>81</v>
      </c>
      <c r="BA13" s="35" t="s">
        <v>10</v>
      </c>
      <c r="BB13" s="35" t="s">
        <v>2422</v>
      </c>
      <c r="BC13" s="35" t="s">
        <v>1742</v>
      </c>
      <c r="BD13" s="35" t="s">
        <v>289</v>
      </c>
      <c r="BE13" s="35" t="s">
        <v>2423</v>
      </c>
      <c r="BF13" s="35">
        <v>659</v>
      </c>
      <c r="BG13" s="35" t="s">
        <v>168</v>
      </c>
      <c r="BH13" s="35">
        <v>0.75</v>
      </c>
      <c r="BI13" s="35" t="s">
        <v>115</v>
      </c>
      <c r="BJ13" s="35" t="s">
        <v>727</v>
      </c>
      <c r="BK13" s="35" t="s">
        <v>10</v>
      </c>
      <c r="BL13" s="35" t="s">
        <v>10</v>
      </c>
      <c r="BM13" s="35">
        <v>76005</v>
      </c>
    </row>
    <row r="14" spans="1:69" s="35" customFormat="1">
      <c r="A14" s="4" t="str">
        <f t="shared" si="0"/>
        <v>MIB_A               SP_MTVRP</v>
      </c>
      <c r="B14" s="349"/>
      <c r="C14" s="248">
        <v>76009</v>
      </c>
      <c r="D14" s="283" t="s">
        <v>608</v>
      </c>
      <c r="F14" s="35" t="s">
        <v>1086</v>
      </c>
      <c r="G14" s="39" t="s">
        <v>2246</v>
      </c>
      <c r="H14" s="35" t="s">
        <v>610</v>
      </c>
      <c r="N14" s="35" t="s">
        <v>537</v>
      </c>
      <c r="O14" s="34" t="s">
        <v>1086</v>
      </c>
      <c r="P14" s="285" t="s">
        <v>1097</v>
      </c>
      <c r="AF14" s="279"/>
      <c r="AI14" s="279" t="s">
        <v>1117</v>
      </c>
      <c r="AJ14" s="279"/>
      <c r="AK14" s="279" t="s">
        <v>539</v>
      </c>
      <c r="AL14" s="35">
        <v>76009</v>
      </c>
      <c r="AM14" s="35" t="s">
        <v>1503</v>
      </c>
      <c r="AN14" s="35" t="s">
        <v>920</v>
      </c>
      <c r="AO14" s="35" t="s">
        <v>735</v>
      </c>
      <c r="AP14" s="34" t="s">
        <v>2278</v>
      </c>
      <c r="AQ14" s="35">
        <v>2</v>
      </c>
      <c r="AR14" s="35" t="s">
        <v>879</v>
      </c>
      <c r="AS14" s="35" t="s">
        <v>736</v>
      </c>
      <c r="AT14" s="35" t="s">
        <v>10</v>
      </c>
      <c r="AU14" s="35" t="s">
        <v>1712</v>
      </c>
      <c r="AV14" s="35" t="s">
        <v>732</v>
      </c>
      <c r="AW14" s="34" t="s">
        <v>2246</v>
      </c>
      <c r="AX14" s="35">
        <v>1</v>
      </c>
      <c r="AY14" s="35" t="s">
        <v>1168</v>
      </c>
      <c r="AZ14" s="35" t="s">
        <v>10</v>
      </c>
      <c r="BA14" s="35" t="s">
        <v>10</v>
      </c>
      <c r="BB14" s="35" t="s">
        <v>2424</v>
      </c>
      <c r="BC14" s="35" t="s">
        <v>1742</v>
      </c>
      <c r="BD14" s="35" t="s">
        <v>296</v>
      </c>
      <c r="BE14" s="35" t="s">
        <v>2423</v>
      </c>
      <c r="BF14" s="35">
        <v>1363</v>
      </c>
      <c r="BG14" s="35" t="s">
        <v>168</v>
      </c>
      <c r="BH14" s="35">
        <v>1.5</v>
      </c>
      <c r="BI14" s="35" t="s">
        <v>115</v>
      </c>
      <c r="BJ14" s="35" t="s">
        <v>727</v>
      </c>
      <c r="BK14" s="35" t="s">
        <v>10</v>
      </c>
      <c r="BL14" s="35" t="s">
        <v>10</v>
      </c>
      <c r="BM14" s="35">
        <v>76009</v>
      </c>
    </row>
    <row r="15" spans="1:69" s="4" customFormat="1">
      <c r="A15" s="4" t="str">
        <f t="shared" si="0"/>
        <v xml:space="preserve">                    </v>
      </c>
      <c r="B15" s="1"/>
      <c r="D15" s="6"/>
      <c r="E15" s="43"/>
      <c r="G15" s="33"/>
      <c r="H15" s="43"/>
      <c r="I15" s="43"/>
      <c r="N15" s="43"/>
      <c r="O15" s="260"/>
      <c r="P15" s="261"/>
      <c r="Q15" s="56"/>
      <c r="R15" s="33"/>
      <c r="AH15" s="42"/>
      <c r="AI15" s="42"/>
      <c r="AJ15" s="42"/>
      <c r="AK15" s="42"/>
      <c r="AP15" s="34"/>
      <c r="AW15" s="34"/>
    </row>
    <row r="16" spans="1:69" s="35" customFormat="1">
      <c r="A16" s="4" t="str">
        <f t="shared" si="0"/>
        <v>SP_MTVRM            KS_CP_C</v>
      </c>
      <c r="B16" s="349"/>
      <c r="C16" s="248">
        <v>76004</v>
      </c>
      <c r="D16" s="283" t="s">
        <v>608</v>
      </c>
      <c r="F16" s="35" t="s">
        <v>1086</v>
      </c>
      <c r="G16" s="35" t="s">
        <v>2247</v>
      </c>
      <c r="H16" s="35" t="s">
        <v>610</v>
      </c>
      <c r="N16" s="35" t="s">
        <v>537</v>
      </c>
      <c r="O16" s="34" t="s">
        <v>1097</v>
      </c>
      <c r="P16" s="34" t="s">
        <v>1086</v>
      </c>
      <c r="AF16" s="279"/>
      <c r="AI16" s="279" t="s">
        <v>1117</v>
      </c>
      <c r="AJ16" s="279"/>
      <c r="AK16" s="279" t="s">
        <v>538</v>
      </c>
      <c r="AL16" s="35">
        <v>76004</v>
      </c>
      <c r="AM16" s="35" t="s">
        <v>734</v>
      </c>
      <c r="AN16" s="35" t="s">
        <v>1713</v>
      </c>
      <c r="AO16" s="35" t="s">
        <v>121</v>
      </c>
      <c r="AP16" s="34" t="s">
        <v>2247</v>
      </c>
      <c r="AQ16" s="35">
        <v>1</v>
      </c>
      <c r="AR16" s="35" t="s">
        <v>1168</v>
      </c>
      <c r="AS16" s="35" t="s">
        <v>10</v>
      </c>
      <c r="AT16" s="35" t="s">
        <v>10</v>
      </c>
      <c r="AU16" s="35" t="s">
        <v>959</v>
      </c>
      <c r="AV16" s="35" t="s">
        <v>683</v>
      </c>
      <c r="AW16" s="34" t="s">
        <v>1867</v>
      </c>
      <c r="AX16" s="35">
        <v>4</v>
      </c>
      <c r="AY16" s="35" t="s">
        <v>477</v>
      </c>
      <c r="AZ16" s="35" t="s">
        <v>238</v>
      </c>
      <c r="BA16" s="35" t="s">
        <v>10</v>
      </c>
      <c r="BB16" s="35" t="s">
        <v>2422</v>
      </c>
      <c r="BC16" s="35" t="s">
        <v>1742</v>
      </c>
      <c r="BD16" s="35" t="s">
        <v>288</v>
      </c>
      <c r="BE16" s="35" t="s">
        <v>319</v>
      </c>
      <c r="BF16" s="35">
        <v>515</v>
      </c>
      <c r="BG16" s="35" t="s">
        <v>117</v>
      </c>
      <c r="BH16" s="35">
        <v>0.75</v>
      </c>
      <c r="BI16" s="35" t="s">
        <v>118</v>
      </c>
      <c r="BJ16" s="35" t="s">
        <v>727</v>
      </c>
      <c r="BK16" s="35" t="s">
        <v>10</v>
      </c>
      <c r="BL16" s="35" t="s">
        <v>10</v>
      </c>
      <c r="BM16" s="35">
        <v>76004</v>
      </c>
    </row>
    <row r="17" spans="1:132" s="35" customFormat="1">
      <c r="A17" s="4" t="str">
        <f t="shared" si="0"/>
        <v>SP_MTVRM            KS_CPR_B</v>
      </c>
      <c r="B17" s="349"/>
      <c r="C17" s="248">
        <v>76006</v>
      </c>
      <c r="D17" s="283" t="s">
        <v>608</v>
      </c>
      <c r="F17" s="35" t="s">
        <v>1086</v>
      </c>
      <c r="G17" s="35" t="s">
        <v>2247</v>
      </c>
      <c r="H17" s="35" t="s">
        <v>610</v>
      </c>
      <c r="N17" s="35" t="s">
        <v>537</v>
      </c>
      <c r="O17" s="34" t="s">
        <v>1097</v>
      </c>
      <c r="P17" s="285" t="s">
        <v>1086</v>
      </c>
      <c r="AF17" s="279"/>
      <c r="AI17" s="279" t="s">
        <v>1117</v>
      </c>
      <c r="AJ17" s="279"/>
      <c r="AK17" s="279" t="s">
        <v>538</v>
      </c>
      <c r="AL17" s="35">
        <v>76006</v>
      </c>
      <c r="AM17" s="35" t="s">
        <v>1500</v>
      </c>
      <c r="AN17" s="35" t="s">
        <v>1713</v>
      </c>
      <c r="AO17" s="35" t="s">
        <v>121</v>
      </c>
      <c r="AP17" s="34" t="s">
        <v>2247</v>
      </c>
      <c r="AQ17" s="35">
        <v>1</v>
      </c>
      <c r="AR17" s="35" t="s">
        <v>1168</v>
      </c>
      <c r="AS17" s="35" t="s">
        <v>10</v>
      </c>
      <c r="AT17" s="35" t="s">
        <v>10</v>
      </c>
      <c r="AU17" s="35" t="s">
        <v>424</v>
      </c>
      <c r="AV17" s="35" t="s">
        <v>651</v>
      </c>
      <c r="AW17" s="34" t="s">
        <v>1807</v>
      </c>
      <c r="AX17" s="35">
        <v>2</v>
      </c>
      <c r="AY17" s="35" t="s">
        <v>1808</v>
      </c>
      <c r="AZ17" s="35" t="s">
        <v>81</v>
      </c>
      <c r="BA17" s="35" t="s">
        <v>10</v>
      </c>
      <c r="BB17" s="35" t="s">
        <v>2422</v>
      </c>
      <c r="BC17" s="35" t="s">
        <v>1742</v>
      </c>
      <c r="BD17" s="35" t="s">
        <v>289</v>
      </c>
      <c r="BE17" s="35" t="s">
        <v>319</v>
      </c>
      <c r="BF17" s="35">
        <v>702</v>
      </c>
      <c r="BG17" s="35" t="s">
        <v>117</v>
      </c>
      <c r="BH17" s="35">
        <v>0.75</v>
      </c>
      <c r="BI17" s="35" t="s">
        <v>118</v>
      </c>
      <c r="BJ17" s="35" t="s">
        <v>727</v>
      </c>
      <c r="BK17" s="35" t="s">
        <v>10</v>
      </c>
      <c r="BL17" s="35" t="s">
        <v>10</v>
      </c>
      <c r="BM17" s="35">
        <v>76006</v>
      </c>
    </row>
    <row r="18" spans="1:132" s="35" customFormat="1">
      <c r="A18" s="4" t="str">
        <f t="shared" si="0"/>
        <v>MIB_A               SP_MTVRM</v>
      </c>
      <c r="B18" s="349"/>
      <c r="C18" s="248">
        <v>76011</v>
      </c>
      <c r="D18" s="283" t="s">
        <v>608</v>
      </c>
      <c r="F18" s="35" t="s">
        <v>1086</v>
      </c>
      <c r="G18" s="35" t="s">
        <v>2247</v>
      </c>
      <c r="H18" s="35" t="s">
        <v>610</v>
      </c>
      <c r="N18" s="35" t="s">
        <v>537</v>
      </c>
      <c r="O18" s="34" t="s">
        <v>1086</v>
      </c>
      <c r="P18" s="285" t="s">
        <v>1097</v>
      </c>
      <c r="AF18" s="279"/>
      <c r="AI18" s="279" t="s">
        <v>1117</v>
      </c>
      <c r="AJ18" s="279"/>
      <c r="AK18" s="279" t="s">
        <v>539</v>
      </c>
      <c r="AL18" s="35">
        <v>76011</v>
      </c>
      <c r="AM18" s="35" t="s">
        <v>1505</v>
      </c>
      <c r="AN18" s="35" t="s">
        <v>920</v>
      </c>
      <c r="AO18" s="35" t="s">
        <v>735</v>
      </c>
      <c r="AP18" s="34" t="s">
        <v>2278</v>
      </c>
      <c r="AQ18" s="35">
        <v>6</v>
      </c>
      <c r="AR18" s="35" t="s">
        <v>879</v>
      </c>
      <c r="AS18" s="35" t="s">
        <v>736</v>
      </c>
      <c r="AT18" s="35" t="s">
        <v>10</v>
      </c>
      <c r="AU18" s="35" t="s">
        <v>1713</v>
      </c>
      <c r="AV18" s="35" t="s">
        <v>121</v>
      </c>
      <c r="AW18" s="34" t="s">
        <v>2247</v>
      </c>
      <c r="AX18" s="35">
        <v>1</v>
      </c>
      <c r="AY18" s="35" t="s">
        <v>1168</v>
      </c>
      <c r="AZ18" s="35" t="s">
        <v>10</v>
      </c>
      <c r="BA18" s="35" t="s">
        <v>10</v>
      </c>
      <c r="BB18" s="35" t="s">
        <v>2424</v>
      </c>
      <c r="BC18" s="35" t="s">
        <v>1742</v>
      </c>
      <c r="BD18" s="35" t="s">
        <v>296</v>
      </c>
      <c r="BE18" s="35" t="s">
        <v>319</v>
      </c>
      <c r="BF18" s="35">
        <v>1321</v>
      </c>
      <c r="BG18" s="35" t="s">
        <v>117</v>
      </c>
      <c r="BH18" s="35">
        <v>1.5</v>
      </c>
      <c r="BI18" s="35" t="s">
        <v>118</v>
      </c>
      <c r="BJ18" s="35" t="s">
        <v>727</v>
      </c>
      <c r="BK18" s="35" t="s">
        <v>10</v>
      </c>
      <c r="BL18" s="35" t="s">
        <v>10</v>
      </c>
      <c r="BM18" s="35">
        <v>76011</v>
      </c>
    </row>
    <row r="19" spans="1:132" s="4" customFormat="1">
      <c r="A19" s="4" t="str">
        <f t="shared" si="0"/>
        <v xml:space="preserve">                    </v>
      </c>
      <c r="B19" s="1"/>
      <c r="D19" s="6"/>
      <c r="E19" s="43"/>
      <c r="H19" s="43"/>
      <c r="I19" s="43"/>
      <c r="N19" s="43"/>
      <c r="O19" s="260"/>
      <c r="P19" s="261"/>
      <c r="Q19" s="56"/>
      <c r="R19" s="33"/>
      <c r="AH19" s="42"/>
      <c r="AI19" s="42"/>
      <c r="AJ19" s="42"/>
      <c r="AK19" s="42"/>
      <c r="AP19" s="34"/>
      <c r="AW19" s="34"/>
    </row>
    <row r="20" spans="1:132" s="4" customFormat="1">
      <c r="A20" s="4" t="str">
        <f t="shared" si="0"/>
        <v>SP_MTVLP            KS_CP_C</v>
      </c>
      <c r="B20" s="1"/>
      <c r="C20" s="4">
        <v>76001</v>
      </c>
      <c r="D20" s="6" t="s">
        <v>608</v>
      </c>
      <c r="F20" s="4" t="s">
        <v>1086</v>
      </c>
      <c r="G20" s="4" t="s">
        <v>2244</v>
      </c>
      <c r="H20" s="4" t="s">
        <v>610</v>
      </c>
      <c r="N20" s="43" t="s">
        <v>537</v>
      </c>
      <c r="O20" s="260" t="s">
        <v>1097</v>
      </c>
      <c r="P20" s="260" t="s">
        <v>1086</v>
      </c>
      <c r="Q20" s="56"/>
      <c r="R20" s="33"/>
      <c r="AH20" s="42"/>
      <c r="AI20" s="42" t="s">
        <v>1117</v>
      </c>
      <c r="AJ20" s="42"/>
      <c r="AK20" s="42" t="s">
        <v>538</v>
      </c>
      <c r="AL20" s="4">
        <v>76001</v>
      </c>
      <c r="AM20" s="4" t="s">
        <v>1501</v>
      </c>
      <c r="AN20" s="4" t="s">
        <v>1710</v>
      </c>
      <c r="AO20" s="4" t="s">
        <v>529</v>
      </c>
      <c r="AP20" s="34" t="s">
        <v>2244</v>
      </c>
      <c r="AQ20" s="4">
        <v>1</v>
      </c>
      <c r="AR20" s="4" t="s">
        <v>497</v>
      </c>
      <c r="AS20" s="4" t="s">
        <v>10</v>
      </c>
      <c r="AT20" s="4" t="s">
        <v>10</v>
      </c>
      <c r="AU20" s="4" t="s">
        <v>959</v>
      </c>
      <c r="AV20" s="4" t="s">
        <v>683</v>
      </c>
      <c r="AW20" s="34" t="s">
        <v>1867</v>
      </c>
      <c r="AX20" s="4">
        <v>1</v>
      </c>
      <c r="AY20" s="4" t="s">
        <v>477</v>
      </c>
      <c r="AZ20" s="4" t="s">
        <v>238</v>
      </c>
      <c r="BA20" s="4" t="s">
        <v>10</v>
      </c>
      <c r="BB20" s="4" t="s">
        <v>102</v>
      </c>
      <c r="BC20" s="4" t="s">
        <v>1742</v>
      </c>
      <c r="BD20" s="4" t="s">
        <v>287</v>
      </c>
      <c r="BE20" s="4" t="s">
        <v>103</v>
      </c>
      <c r="BF20" s="4">
        <v>1251</v>
      </c>
      <c r="BG20" s="4" t="s">
        <v>74</v>
      </c>
      <c r="BH20" s="4">
        <v>0.75</v>
      </c>
      <c r="BI20" s="4" t="s">
        <v>106</v>
      </c>
      <c r="BJ20" s="4" t="s">
        <v>727</v>
      </c>
      <c r="BK20" s="4" t="s">
        <v>10</v>
      </c>
      <c r="BL20" s="4" t="s">
        <v>10</v>
      </c>
      <c r="BM20" s="4">
        <v>76001</v>
      </c>
    </row>
    <row r="21" spans="1:132" s="4" customFormat="1">
      <c r="A21" s="4" t="str">
        <f t="shared" si="0"/>
        <v>SP_MTVLP            KS_CPL_A</v>
      </c>
      <c r="B21" s="1"/>
      <c r="C21" s="4">
        <v>76007</v>
      </c>
      <c r="D21" s="6" t="s">
        <v>608</v>
      </c>
      <c r="E21" s="43"/>
      <c r="F21" s="4" t="s">
        <v>1086</v>
      </c>
      <c r="G21" s="33" t="s">
        <v>2244</v>
      </c>
      <c r="H21" s="43" t="s">
        <v>610</v>
      </c>
      <c r="I21" s="43"/>
      <c r="N21" s="43" t="s">
        <v>537</v>
      </c>
      <c r="O21" s="260" t="s">
        <v>1097</v>
      </c>
      <c r="P21" s="261" t="s">
        <v>1086</v>
      </c>
      <c r="Q21" s="56"/>
      <c r="R21" s="33"/>
      <c r="AH21" s="42"/>
      <c r="AI21" s="42" t="s">
        <v>1117</v>
      </c>
      <c r="AJ21" s="42"/>
      <c r="AK21" s="42" t="s">
        <v>538</v>
      </c>
      <c r="AL21" s="4">
        <v>76007</v>
      </c>
      <c r="AM21" s="4" t="s">
        <v>730</v>
      </c>
      <c r="AN21" s="4" t="s">
        <v>1710</v>
      </c>
      <c r="AO21" s="4" t="s">
        <v>529</v>
      </c>
      <c r="AP21" s="34" t="s">
        <v>2244</v>
      </c>
      <c r="AQ21" s="4">
        <v>1</v>
      </c>
      <c r="AR21" s="4" t="s">
        <v>497</v>
      </c>
      <c r="AS21" s="4" t="s">
        <v>10</v>
      </c>
      <c r="AT21" s="4" t="s">
        <v>10</v>
      </c>
      <c r="AU21" s="4" t="s">
        <v>416</v>
      </c>
      <c r="AV21" s="4" t="s">
        <v>639</v>
      </c>
      <c r="AW21" s="34" t="s">
        <v>1794</v>
      </c>
      <c r="AX21" s="4">
        <v>1</v>
      </c>
      <c r="AY21" s="4" t="s">
        <v>876</v>
      </c>
      <c r="AZ21" s="4" t="s">
        <v>81</v>
      </c>
      <c r="BA21" s="4" t="s">
        <v>10</v>
      </c>
      <c r="BB21" s="4" t="s">
        <v>102</v>
      </c>
      <c r="BC21" s="4" t="s">
        <v>1742</v>
      </c>
      <c r="BD21" s="4" t="s">
        <v>291</v>
      </c>
      <c r="BE21" s="4" t="s">
        <v>103</v>
      </c>
      <c r="BF21" s="4">
        <v>1179</v>
      </c>
      <c r="BG21" s="4" t="s">
        <v>74</v>
      </c>
      <c r="BH21" s="4">
        <v>0.75</v>
      </c>
      <c r="BI21" s="4" t="s">
        <v>106</v>
      </c>
      <c r="BJ21" s="4" t="s">
        <v>727</v>
      </c>
      <c r="BK21" s="4" t="s">
        <v>10</v>
      </c>
      <c r="BL21" s="4" t="s">
        <v>10</v>
      </c>
      <c r="BM21" s="4">
        <v>76007</v>
      </c>
    </row>
    <row r="22" spans="1:132" s="4" customFormat="1">
      <c r="A22" s="4" t="str">
        <f t="shared" si="0"/>
        <v>MIB_A               SP_MTVLP</v>
      </c>
      <c r="B22" s="1"/>
      <c r="C22" s="4">
        <v>76010</v>
      </c>
      <c r="D22" s="6" t="s">
        <v>608</v>
      </c>
      <c r="E22" s="43"/>
      <c r="F22" s="4" t="s">
        <v>1086</v>
      </c>
      <c r="G22" s="4" t="s">
        <v>2244</v>
      </c>
      <c r="H22" s="43" t="s">
        <v>610</v>
      </c>
      <c r="I22" s="43"/>
      <c r="N22" s="43" t="s">
        <v>537</v>
      </c>
      <c r="O22" s="260" t="s">
        <v>1086</v>
      </c>
      <c r="P22" s="261" t="s">
        <v>1097</v>
      </c>
      <c r="Q22" s="56"/>
      <c r="R22" s="33"/>
      <c r="AH22" s="42"/>
      <c r="AI22" s="42" t="s">
        <v>1117</v>
      </c>
      <c r="AJ22" s="42"/>
      <c r="AK22" s="42" t="s">
        <v>539</v>
      </c>
      <c r="AL22" s="4">
        <v>76010</v>
      </c>
      <c r="AM22" s="4" t="s">
        <v>1504</v>
      </c>
      <c r="AN22" s="4" t="s">
        <v>920</v>
      </c>
      <c r="AO22" s="4" t="s">
        <v>735</v>
      </c>
      <c r="AP22" s="34" t="s">
        <v>2278</v>
      </c>
      <c r="AQ22" s="4">
        <v>3</v>
      </c>
      <c r="AR22" s="4" t="s">
        <v>879</v>
      </c>
      <c r="AS22" s="4" t="s">
        <v>736</v>
      </c>
      <c r="AT22" s="4" t="s">
        <v>10</v>
      </c>
      <c r="AU22" s="4" t="s">
        <v>1710</v>
      </c>
      <c r="AV22" s="4" t="s">
        <v>529</v>
      </c>
      <c r="AW22" s="34" t="s">
        <v>2244</v>
      </c>
      <c r="AX22" s="4">
        <v>1</v>
      </c>
      <c r="AY22" s="4" t="s">
        <v>497</v>
      </c>
      <c r="AZ22" s="4" t="s">
        <v>10</v>
      </c>
      <c r="BA22" s="4" t="s">
        <v>10</v>
      </c>
      <c r="BB22" s="4" t="s">
        <v>737</v>
      </c>
      <c r="BC22" s="4" t="s">
        <v>1742</v>
      </c>
      <c r="BD22" s="4" t="s">
        <v>738</v>
      </c>
      <c r="BE22" s="4" t="s">
        <v>114</v>
      </c>
      <c r="BF22" s="4">
        <v>585</v>
      </c>
      <c r="BG22" s="4" t="s">
        <v>74</v>
      </c>
      <c r="BH22" s="4">
        <v>1.5</v>
      </c>
      <c r="BI22" s="4" t="s">
        <v>106</v>
      </c>
      <c r="BJ22" s="4" t="s">
        <v>727</v>
      </c>
      <c r="BK22" s="4" t="s">
        <v>10</v>
      </c>
      <c r="BL22" s="4" t="s">
        <v>10</v>
      </c>
      <c r="BM22" s="4">
        <v>76010</v>
      </c>
    </row>
    <row r="23" spans="1:132" s="4" customFormat="1">
      <c r="A23" s="4" t="str">
        <f t="shared" si="0"/>
        <v xml:space="preserve">                    </v>
      </c>
      <c r="B23" s="1"/>
      <c r="D23" s="6"/>
      <c r="E23" s="43"/>
      <c r="H23" s="43"/>
      <c r="I23" s="43"/>
      <c r="N23" s="43"/>
      <c r="O23" s="260"/>
      <c r="P23" s="261"/>
      <c r="Q23" s="56"/>
      <c r="R23" s="33"/>
      <c r="AH23" s="42"/>
      <c r="AI23" s="42"/>
      <c r="AJ23" s="42"/>
      <c r="AK23" s="42"/>
      <c r="AP23" s="34"/>
      <c r="AW23" s="34"/>
    </row>
    <row r="24" spans="1:132" s="4" customFormat="1">
      <c r="A24" s="4" t="str">
        <f t="shared" si="0"/>
        <v>SP_MTVLM            KS_CP_C</v>
      </c>
      <c r="B24" s="1"/>
      <c r="C24" s="4">
        <v>76002</v>
      </c>
      <c r="D24" s="6" t="s">
        <v>608</v>
      </c>
      <c r="F24" s="4" t="s">
        <v>1086</v>
      </c>
      <c r="G24" s="4" t="s">
        <v>2245</v>
      </c>
      <c r="H24" s="4" t="s">
        <v>610</v>
      </c>
      <c r="N24" s="43" t="s">
        <v>537</v>
      </c>
      <c r="O24" s="260" t="s">
        <v>1097</v>
      </c>
      <c r="P24" s="260" t="s">
        <v>1086</v>
      </c>
      <c r="Q24" s="56"/>
      <c r="R24" s="33"/>
      <c r="AH24" s="42"/>
      <c r="AI24" s="42" t="s">
        <v>1117</v>
      </c>
      <c r="AJ24" s="42"/>
      <c r="AK24" s="42" t="s">
        <v>538</v>
      </c>
      <c r="AL24" s="4">
        <v>76002</v>
      </c>
      <c r="AM24" s="4" t="s">
        <v>1502</v>
      </c>
      <c r="AN24" s="4" t="s">
        <v>1711</v>
      </c>
      <c r="AO24" s="4" t="s">
        <v>542</v>
      </c>
      <c r="AP24" s="34" t="s">
        <v>2245</v>
      </c>
      <c r="AQ24" s="4">
        <v>1</v>
      </c>
      <c r="AR24" s="4" t="s">
        <v>1925</v>
      </c>
      <c r="AS24" s="4" t="s">
        <v>10</v>
      </c>
      <c r="AT24" s="4" t="s">
        <v>10</v>
      </c>
      <c r="AU24" s="4" t="s">
        <v>959</v>
      </c>
      <c r="AV24" s="4" t="s">
        <v>683</v>
      </c>
      <c r="AW24" s="34" t="s">
        <v>1867</v>
      </c>
      <c r="AX24" s="4">
        <v>2</v>
      </c>
      <c r="AY24" s="4" t="s">
        <v>477</v>
      </c>
      <c r="AZ24" s="4" t="s">
        <v>238</v>
      </c>
      <c r="BA24" s="4" t="s">
        <v>10</v>
      </c>
      <c r="BB24" s="4" t="s">
        <v>102</v>
      </c>
      <c r="BC24" s="4" t="s">
        <v>1742</v>
      </c>
      <c r="BD24" s="4" t="s">
        <v>287</v>
      </c>
      <c r="BE24" s="4" t="s">
        <v>104</v>
      </c>
      <c r="BF24" s="4">
        <v>1317</v>
      </c>
      <c r="BG24" s="4" t="s">
        <v>105</v>
      </c>
      <c r="BH24" s="4">
        <v>0.75</v>
      </c>
      <c r="BI24" s="4" t="s">
        <v>107</v>
      </c>
      <c r="BJ24" s="4" t="s">
        <v>727</v>
      </c>
      <c r="BK24" s="4" t="s">
        <v>10</v>
      </c>
      <c r="BL24" s="4" t="s">
        <v>10</v>
      </c>
      <c r="BM24" s="4">
        <v>76002</v>
      </c>
    </row>
    <row r="25" spans="1:132" s="4" customFormat="1">
      <c r="A25" s="4" t="str">
        <f t="shared" si="0"/>
        <v>SP_MTVLM            KS_CPL_A</v>
      </c>
      <c r="B25" s="1"/>
      <c r="C25" s="4">
        <v>76008</v>
      </c>
      <c r="D25" s="6" t="s">
        <v>608</v>
      </c>
      <c r="E25" s="43"/>
      <c r="F25" s="4" t="s">
        <v>1086</v>
      </c>
      <c r="G25" s="33" t="s">
        <v>2245</v>
      </c>
      <c r="H25" s="43" t="s">
        <v>610</v>
      </c>
      <c r="I25" s="43"/>
      <c r="N25" s="43" t="s">
        <v>537</v>
      </c>
      <c r="O25" s="260" t="s">
        <v>1097</v>
      </c>
      <c r="P25" s="261" t="s">
        <v>1086</v>
      </c>
      <c r="Q25" s="56"/>
      <c r="R25" s="33"/>
      <c r="AH25" s="42"/>
      <c r="AI25" s="42" t="s">
        <v>1117</v>
      </c>
      <c r="AJ25" s="42"/>
      <c r="AK25" s="42" t="s">
        <v>538</v>
      </c>
      <c r="AL25" s="4">
        <v>76008</v>
      </c>
      <c r="AM25" s="4" t="s">
        <v>731</v>
      </c>
      <c r="AN25" s="4" t="s">
        <v>1711</v>
      </c>
      <c r="AO25" s="4" t="s">
        <v>542</v>
      </c>
      <c r="AP25" s="34" t="s">
        <v>2245</v>
      </c>
      <c r="AQ25" s="4">
        <v>1</v>
      </c>
      <c r="AR25" s="4" t="s">
        <v>1925</v>
      </c>
      <c r="AS25" s="4" t="s">
        <v>10</v>
      </c>
      <c r="AT25" s="4" t="s">
        <v>10</v>
      </c>
      <c r="AU25" s="4" t="s">
        <v>416</v>
      </c>
      <c r="AV25" s="4" t="s">
        <v>639</v>
      </c>
      <c r="AW25" s="34" t="s">
        <v>1794</v>
      </c>
      <c r="AX25" s="4">
        <v>2</v>
      </c>
      <c r="AY25" s="4" t="s">
        <v>876</v>
      </c>
      <c r="AZ25" s="4" t="s">
        <v>81</v>
      </c>
      <c r="BA25" s="4" t="s">
        <v>10</v>
      </c>
      <c r="BB25" s="4" t="s">
        <v>102</v>
      </c>
      <c r="BC25" s="4" t="s">
        <v>1742</v>
      </c>
      <c r="BD25" s="4" t="s">
        <v>291</v>
      </c>
      <c r="BE25" s="4" t="s">
        <v>104</v>
      </c>
      <c r="BF25" s="4">
        <v>1246</v>
      </c>
      <c r="BG25" s="4" t="s">
        <v>105</v>
      </c>
      <c r="BH25" s="4">
        <v>0.75</v>
      </c>
      <c r="BI25" s="4" t="s">
        <v>107</v>
      </c>
      <c r="BJ25" s="4" t="s">
        <v>727</v>
      </c>
      <c r="BK25" s="4" t="s">
        <v>10</v>
      </c>
      <c r="BL25" s="4" t="s">
        <v>10</v>
      </c>
      <c r="BM25" s="4">
        <v>76008</v>
      </c>
    </row>
    <row r="26" spans="1:132" s="4" customFormat="1">
      <c r="A26" s="4" t="str">
        <f t="shared" si="0"/>
        <v>MIB_A               SP_MTVLM</v>
      </c>
      <c r="B26" s="1"/>
      <c r="C26" s="4">
        <v>76012</v>
      </c>
      <c r="D26" s="6" t="s">
        <v>608</v>
      </c>
      <c r="E26" s="43"/>
      <c r="F26" s="4" t="s">
        <v>1086</v>
      </c>
      <c r="G26" s="4" t="s">
        <v>2245</v>
      </c>
      <c r="H26" s="43" t="s">
        <v>610</v>
      </c>
      <c r="I26" s="43"/>
      <c r="N26" s="43" t="s">
        <v>537</v>
      </c>
      <c r="O26" s="260" t="s">
        <v>1086</v>
      </c>
      <c r="P26" s="261" t="s">
        <v>1097</v>
      </c>
      <c r="Q26" s="56"/>
      <c r="R26" s="33"/>
      <c r="AH26" s="42"/>
      <c r="AI26" s="42" t="s">
        <v>1117</v>
      </c>
      <c r="AJ26" s="42"/>
      <c r="AK26" s="42" t="s">
        <v>539</v>
      </c>
      <c r="AL26" s="4">
        <v>76012</v>
      </c>
      <c r="AM26" s="4" t="s">
        <v>1506</v>
      </c>
      <c r="AN26" s="4" t="s">
        <v>920</v>
      </c>
      <c r="AO26" s="4" t="s">
        <v>735</v>
      </c>
      <c r="AP26" s="34" t="s">
        <v>2278</v>
      </c>
      <c r="AQ26" s="4">
        <v>7</v>
      </c>
      <c r="AR26" s="4" t="s">
        <v>879</v>
      </c>
      <c r="AS26" s="4" t="s">
        <v>736</v>
      </c>
      <c r="AT26" s="4" t="s">
        <v>10</v>
      </c>
      <c r="AU26" s="4" t="s">
        <v>1711</v>
      </c>
      <c r="AV26" s="4" t="s">
        <v>542</v>
      </c>
      <c r="AW26" s="34" t="s">
        <v>2245</v>
      </c>
      <c r="AX26" s="4">
        <v>1</v>
      </c>
      <c r="AY26" s="4" t="s">
        <v>1925</v>
      </c>
      <c r="AZ26" s="4" t="s">
        <v>10</v>
      </c>
      <c r="BA26" s="4" t="s">
        <v>10</v>
      </c>
      <c r="BB26" s="4" t="s">
        <v>737</v>
      </c>
      <c r="BC26" s="4" t="s">
        <v>1742</v>
      </c>
      <c r="BD26" s="4" t="s">
        <v>738</v>
      </c>
      <c r="BE26" s="4" t="s">
        <v>739</v>
      </c>
      <c r="BF26" s="4">
        <v>519</v>
      </c>
      <c r="BG26" s="4" t="s">
        <v>105</v>
      </c>
      <c r="BH26" s="4">
        <v>1.5</v>
      </c>
      <c r="BI26" s="4" t="s">
        <v>107</v>
      </c>
      <c r="BJ26" s="4" t="s">
        <v>727</v>
      </c>
      <c r="BK26" s="4" t="s">
        <v>10</v>
      </c>
      <c r="BL26" s="4" t="s">
        <v>10</v>
      </c>
      <c r="BM26" s="4">
        <v>76012</v>
      </c>
    </row>
    <row r="27" spans="1:132" s="4" customFormat="1">
      <c r="A27" s="4" t="str">
        <f t="shared" si="0"/>
        <v xml:space="preserve">                    </v>
      </c>
      <c r="B27" s="1"/>
      <c r="D27" s="6"/>
      <c r="E27" s="43"/>
      <c r="H27" s="43"/>
      <c r="I27" s="43"/>
      <c r="N27" s="43"/>
      <c r="O27" s="260"/>
      <c r="P27" s="261"/>
      <c r="Q27" s="56"/>
      <c r="R27" s="33"/>
      <c r="AH27" s="42"/>
      <c r="AI27" s="42"/>
      <c r="AJ27" s="42"/>
      <c r="AK27" s="42"/>
      <c r="AP27" s="34"/>
      <c r="AW27" s="34"/>
    </row>
    <row r="28" spans="1:132" s="35" customFormat="1">
      <c r="A28" s="4" t="str">
        <f t="shared" si="0"/>
        <v>SP_CANHI            KS_CPR_A</v>
      </c>
      <c r="B28" s="349"/>
      <c r="C28" s="248">
        <v>45</v>
      </c>
      <c r="D28" s="283" t="s">
        <v>605</v>
      </c>
      <c r="E28" s="283"/>
      <c r="F28" s="286" t="s">
        <v>1093</v>
      </c>
      <c r="G28" s="39" t="s">
        <v>2233</v>
      </c>
      <c r="H28" s="35" t="s">
        <v>610</v>
      </c>
      <c r="N28" s="35" t="s">
        <v>619</v>
      </c>
      <c r="O28" s="34" t="s">
        <v>1097</v>
      </c>
      <c r="P28" s="34" t="s">
        <v>1086</v>
      </c>
      <c r="Q28" s="39"/>
      <c r="AG28" s="279"/>
      <c r="AI28" s="279" t="s">
        <v>1116</v>
      </c>
      <c r="AJ28" s="279"/>
      <c r="AK28" s="279" t="s">
        <v>539</v>
      </c>
      <c r="AL28" s="35">
        <v>45</v>
      </c>
      <c r="AM28" s="35" t="s">
        <v>1787</v>
      </c>
      <c r="AN28" s="35" t="s">
        <v>1695</v>
      </c>
      <c r="AO28" s="35" t="s">
        <v>1189</v>
      </c>
      <c r="AP28" s="34" t="s">
        <v>2233</v>
      </c>
      <c r="AQ28" s="35">
        <v>1</v>
      </c>
      <c r="AR28" s="35" t="s">
        <v>1394</v>
      </c>
      <c r="AS28" s="35" t="s">
        <v>10</v>
      </c>
      <c r="AT28" s="35" t="s">
        <v>10</v>
      </c>
      <c r="AU28" s="35" t="s">
        <v>424</v>
      </c>
      <c r="AV28" s="35" t="s">
        <v>637</v>
      </c>
      <c r="AW28" s="34" t="s">
        <v>1770</v>
      </c>
      <c r="AX28" s="35">
        <v>12</v>
      </c>
      <c r="AY28" s="35" t="s">
        <v>1771</v>
      </c>
      <c r="AZ28" s="35" t="s">
        <v>72</v>
      </c>
      <c r="BA28" s="35" t="s">
        <v>10</v>
      </c>
      <c r="BB28" s="35" t="s">
        <v>2385</v>
      </c>
      <c r="BC28" s="35" t="s">
        <v>1742</v>
      </c>
      <c r="BD28" s="35" t="s">
        <v>148</v>
      </c>
      <c r="BE28" s="35" t="s">
        <v>181</v>
      </c>
      <c r="BF28" s="35">
        <v>1187</v>
      </c>
      <c r="BG28" s="35" t="s">
        <v>79</v>
      </c>
      <c r="BH28" s="35">
        <v>0.35</v>
      </c>
      <c r="BI28" s="35" t="s">
        <v>1789</v>
      </c>
      <c r="BJ28" s="35" t="s">
        <v>2374</v>
      </c>
      <c r="BK28" s="35" t="s">
        <v>2492</v>
      </c>
      <c r="BL28" s="35">
        <v>45</v>
      </c>
      <c r="CB28" s="248"/>
      <c r="CC28" s="248"/>
      <c r="CD28" s="248"/>
      <c r="CE28" s="248"/>
      <c r="CF28" s="248"/>
      <c r="CG28" s="248"/>
      <c r="CH28" s="248"/>
      <c r="CI28" s="248"/>
      <c r="CJ28" s="248"/>
      <c r="CK28" s="248"/>
      <c r="CL28" s="248"/>
      <c r="CM28" s="248"/>
      <c r="CN28" s="248"/>
      <c r="CO28" s="248"/>
      <c r="CP28" s="248"/>
      <c r="CQ28" s="248"/>
      <c r="CR28" s="248"/>
      <c r="CS28" s="248"/>
      <c r="CT28" s="248"/>
      <c r="CU28" s="248"/>
      <c r="CV28" s="248"/>
      <c r="CW28" s="248"/>
      <c r="CX28" s="248"/>
      <c r="CY28" s="248"/>
      <c r="CZ28" s="248"/>
      <c r="DA28" s="248"/>
      <c r="DB28" s="248"/>
      <c r="DC28" s="248"/>
      <c r="DD28" s="248"/>
      <c r="DE28" s="248"/>
      <c r="DF28" s="248"/>
      <c r="DG28" s="248"/>
      <c r="DH28" s="248"/>
      <c r="DI28" s="248"/>
      <c r="DJ28" s="248"/>
      <c r="DK28" s="248"/>
      <c r="DL28" s="248"/>
      <c r="DM28" s="248"/>
      <c r="DN28" s="248"/>
      <c r="DO28" s="248"/>
      <c r="DP28" s="248"/>
      <c r="DQ28" s="248"/>
      <c r="DR28" s="248"/>
      <c r="DS28" s="248"/>
      <c r="DT28" s="248"/>
      <c r="DU28" s="248"/>
      <c r="DV28" s="248"/>
      <c r="DW28" s="248"/>
      <c r="DX28" s="248"/>
      <c r="DY28" s="248"/>
      <c r="DZ28" s="248"/>
      <c r="EA28" s="248"/>
      <c r="EB28" s="248"/>
    </row>
    <row r="29" spans="1:132" s="35" customFormat="1">
      <c r="A29" s="4" t="str">
        <f t="shared" si="0"/>
        <v>MIB_E               SP_CANHI</v>
      </c>
      <c r="B29" s="349"/>
      <c r="C29" s="248">
        <v>121</v>
      </c>
      <c r="D29" s="283" t="s">
        <v>605</v>
      </c>
      <c r="F29" s="286" t="s">
        <v>1093</v>
      </c>
      <c r="G29" s="35" t="s">
        <v>2233</v>
      </c>
      <c r="H29" s="35" t="s">
        <v>610</v>
      </c>
      <c r="N29" s="35" t="s">
        <v>619</v>
      </c>
      <c r="O29" s="34" t="s">
        <v>1086</v>
      </c>
      <c r="P29" s="34" t="s">
        <v>1097</v>
      </c>
      <c r="Q29" s="39"/>
      <c r="AG29" s="279"/>
      <c r="AI29" s="279" t="s">
        <v>1116</v>
      </c>
      <c r="AJ29" s="279"/>
      <c r="AK29" s="279" t="s">
        <v>539</v>
      </c>
      <c r="AL29" s="35">
        <v>121</v>
      </c>
      <c r="AM29" s="35" t="s">
        <v>1841</v>
      </c>
      <c r="AN29" s="35" t="s">
        <v>920</v>
      </c>
      <c r="AO29" s="35" t="s">
        <v>664</v>
      </c>
      <c r="AP29" s="34" t="s">
        <v>2264</v>
      </c>
      <c r="AQ29" s="35">
        <v>6</v>
      </c>
      <c r="AR29" s="35" t="s">
        <v>1257</v>
      </c>
      <c r="AS29" s="35" t="s">
        <v>87</v>
      </c>
      <c r="AT29" s="35" t="s">
        <v>10</v>
      </c>
      <c r="AU29" s="35" t="s">
        <v>1695</v>
      </c>
      <c r="AV29" s="35" t="s">
        <v>1189</v>
      </c>
      <c r="AW29" s="34" t="s">
        <v>2233</v>
      </c>
      <c r="AX29" s="35">
        <v>1</v>
      </c>
      <c r="AY29" s="35" t="s">
        <v>1394</v>
      </c>
      <c r="AZ29" s="35" t="s">
        <v>10</v>
      </c>
      <c r="BA29" s="35" t="s">
        <v>10</v>
      </c>
      <c r="BB29" s="35" t="s">
        <v>2385</v>
      </c>
      <c r="BC29" s="35" t="s">
        <v>1742</v>
      </c>
      <c r="BD29" s="35" t="s">
        <v>665</v>
      </c>
      <c r="BE29" s="35" t="s">
        <v>181</v>
      </c>
      <c r="BF29" s="35">
        <v>907</v>
      </c>
      <c r="BG29" s="35" t="s">
        <v>79</v>
      </c>
      <c r="BH29" s="35">
        <v>0.35</v>
      </c>
      <c r="BI29" s="35" t="s">
        <v>1789</v>
      </c>
      <c r="BJ29" s="35" t="s">
        <v>2374</v>
      </c>
      <c r="BK29" s="35" t="s">
        <v>2492</v>
      </c>
      <c r="BL29" s="35">
        <v>121</v>
      </c>
      <c r="CB29" s="248"/>
      <c r="CC29" s="248"/>
      <c r="CD29" s="248"/>
      <c r="CE29" s="248"/>
      <c r="CF29" s="248"/>
      <c r="CG29" s="248"/>
      <c r="CH29" s="248"/>
      <c r="CI29" s="248"/>
      <c r="CJ29" s="248"/>
      <c r="CK29" s="248"/>
      <c r="CL29" s="248"/>
      <c r="CM29" s="248"/>
      <c r="CN29" s="248"/>
      <c r="CO29" s="248"/>
      <c r="CP29" s="248"/>
      <c r="CQ29" s="248"/>
      <c r="CR29" s="248"/>
      <c r="CS29" s="248"/>
      <c r="CT29" s="248"/>
      <c r="CU29" s="248"/>
      <c r="CV29" s="248"/>
      <c r="CW29" s="248"/>
      <c r="CX29" s="248"/>
      <c r="CY29" s="248"/>
      <c r="CZ29" s="248"/>
      <c r="DA29" s="248"/>
      <c r="DB29" s="248"/>
      <c r="DC29" s="248"/>
      <c r="DD29" s="248"/>
      <c r="DE29" s="248"/>
      <c r="DF29" s="248"/>
      <c r="DG29" s="248"/>
      <c r="DH29" s="248"/>
      <c r="DI29" s="248"/>
      <c r="DJ29" s="248"/>
      <c r="DK29" s="248"/>
      <c r="DL29" s="248"/>
      <c r="DM29" s="248"/>
      <c r="DN29" s="248"/>
      <c r="DO29" s="248"/>
      <c r="DP29" s="248"/>
      <c r="DQ29" s="248"/>
      <c r="DR29" s="248"/>
      <c r="DS29" s="248"/>
      <c r="DT29" s="248"/>
      <c r="DU29" s="248"/>
      <c r="DV29" s="248"/>
      <c r="DW29" s="248"/>
      <c r="DX29" s="248"/>
      <c r="DY29" s="248"/>
      <c r="DZ29" s="248"/>
      <c r="EA29" s="248"/>
      <c r="EB29" s="248"/>
    </row>
    <row r="30" spans="1:132" s="35" customFormat="1">
      <c r="A30" s="4" t="str">
        <f t="shared" si="0"/>
        <v>SP_CANHI            KS_CPM_A</v>
      </c>
      <c r="B30" s="349"/>
      <c r="C30" s="35">
        <v>29053</v>
      </c>
      <c r="D30" s="283" t="s">
        <v>606</v>
      </c>
      <c r="F30" s="286" t="s">
        <v>1093</v>
      </c>
      <c r="G30" s="35" t="s">
        <v>2233</v>
      </c>
      <c r="H30" s="35" t="s">
        <v>610</v>
      </c>
      <c r="N30" s="35" t="s">
        <v>619</v>
      </c>
      <c r="O30" s="34" t="s">
        <v>1097</v>
      </c>
      <c r="P30" s="285" t="s">
        <v>1086</v>
      </c>
      <c r="Q30" s="39"/>
      <c r="AG30" s="279"/>
      <c r="AI30" s="279" t="s">
        <v>1116</v>
      </c>
      <c r="AJ30" s="279"/>
      <c r="AK30" s="279" t="s">
        <v>539</v>
      </c>
      <c r="AL30" s="35">
        <v>29053</v>
      </c>
      <c r="AM30" s="35" t="s">
        <v>1899</v>
      </c>
      <c r="AN30" s="35" t="s">
        <v>1695</v>
      </c>
      <c r="AO30" s="35" t="s">
        <v>1189</v>
      </c>
      <c r="AP30" s="34" t="s">
        <v>2233</v>
      </c>
      <c r="AQ30" s="35">
        <v>1</v>
      </c>
      <c r="AR30" s="35" t="s">
        <v>1394</v>
      </c>
      <c r="AS30" s="35" t="s">
        <v>10</v>
      </c>
      <c r="AT30" s="35" t="s">
        <v>10</v>
      </c>
      <c r="AU30" s="35" t="s">
        <v>502</v>
      </c>
      <c r="AV30" s="35" t="s">
        <v>685</v>
      </c>
      <c r="AW30" s="34" t="s">
        <v>1870</v>
      </c>
      <c r="AX30" s="35">
        <v>2</v>
      </c>
      <c r="AY30" s="35" t="s">
        <v>1392</v>
      </c>
      <c r="AZ30" s="35" t="s">
        <v>245</v>
      </c>
      <c r="BA30" s="35" t="s">
        <v>10</v>
      </c>
      <c r="BB30" s="35" t="s">
        <v>2385</v>
      </c>
      <c r="BC30" s="35" t="s">
        <v>1742</v>
      </c>
      <c r="BD30" s="35" t="s">
        <v>707</v>
      </c>
      <c r="BE30" s="35" t="s">
        <v>181</v>
      </c>
      <c r="BF30" s="35">
        <v>1070</v>
      </c>
      <c r="BG30" s="35" t="s">
        <v>79</v>
      </c>
      <c r="BH30" s="35">
        <v>0.35</v>
      </c>
      <c r="BI30" s="35" t="s">
        <v>1789</v>
      </c>
      <c r="BJ30" s="35" t="s">
        <v>10</v>
      </c>
      <c r="BK30" s="35" t="s">
        <v>680</v>
      </c>
      <c r="BL30" s="35" t="s">
        <v>10</v>
      </c>
      <c r="BM30" s="35" t="s">
        <v>682</v>
      </c>
      <c r="BN30" s="35" t="s">
        <v>10</v>
      </c>
      <c r="BO30" s="35" t="s">
        <v>2359</v>
      </c>
      <c r="BP30" s="35">
        <v>29053</v>
      </c>
    </row>
    <row r="31" spans="1:132" s="4" customFormat="1">
      <c r="A31" s="4" t="str">
        <f t="shared" si="0"/>
        <v xml:space="preserve">                    </v>
      </c>
      <c r="B31" s="1"/>
      <c r="D31" s="6"/>
      <c r="F31" s="6"/>
      <c r="H31" s="43"/>
      <c r="I31" s="43"/>
      <c r="N31" s="43"/>
      <c r="O31" s="260"/>
      <c r="P31" s="261"/>
      <c r="Q31" s="56"/>
      <c r="R31" s="33"/>
      <c r="AH31" s="42"/>
      <c r="AI31" s="42"/>
      <c r="AJ31" s="42"/>
      <c r="AK31" s="42"/>
      <c r="AP31" s="34"/>
      <c r="AW31" s="34"/>
      <c r="BP31" s="35"/>
    </row>
    <row r="32" spans="1:132" s="35" customFormat="1">
      <c r="A32" s="4" t="str">
        <f t="shared" si="0"/>
        <v>SP_CANLI            KS_CPR_A</v>
      </c>
      <c r="B32" s="349"/>
      <c r="C32" s="248">
        <v>46</v>
      </c>
      <c r="D32" s="283" t="s">
        <v>605</v>
      </c>
      <c r="E32" s="283"/>
      <c r="F32" s="286" t="s">
        <v>1093</v>
      </c>
      <c r="G32" s="39" t="s">
        <v>2234</v>
      </c>
      <c r="H32" s="35" t="s">
        <v>610</v>
      </c>
      <c r="N32" s="35" t="s">
        <v>619</v>
      </c>
      <c r="O32" s="34" t="s">
        <v>1097</v>
      </c>
      <c r="P32" s="285" t="s">
        <v>1086</v>
      </c>
      <c r="Q32" s="39"/>
      <c r="AG32" s="279"/>
      <c r="AI32" s="279" t="s">
        <v>1116</v>
      </c>
      <c r="AJ32" s="279"/>
      <c r="AK32" s="279" t="s">
        <v>539</v>
      </c>
      <c r="AL32" s="35">
        <v>46</v>
      </c>
      <c r="AM32" s="35" t="s">
        <v>1790</v>
      </c>
      <c r="AN32" s="35" t="s">
        <v>1696</v>
      </c>
      <c r="AO32" s="35" t="s">
        <v>1190</v>
      </c>
      <c r="AP32" s="34" t="s">
        <v>2234</v>
      </c>
      <c r="AQ32" s="35">
        <v>1</v>
      </c>
      <c r="AR32" s="35" t="s">
        <v>1394</v>
      </c>
      <c r="AS32" s="35" t="s">
        <v>10</v>
      </c>
      <c r="AT32" s="35" t="s">
        <v>10</v>
      </c>
      <c r="AU32" s="35" t="s">
        <v>424</v>
      </c>
      <c r="AV32" s="35" t="s">
        <v>637</v>
      </c>
      <c r="AW32" s="34" t="s">
        <v>1770</v>
      </c>
      <c r="AX32" s="35">
        <v>13</v>
      </c>
      <c r="AY32" s="35" t="s">
        <v>1771</v>
      </c>
      <c r="AZ32" s="35" t="s">
        <v>72</v>
      </c>
      <c r="BA32" s="35" t="s">
        <v>10</v>
      </c>
      <c r="BB32" s="35" t="s">
        <v>2385</v>
      </c>
      <c r="BC32" s="35" t="s">
        <v>1742</v>
      </c>
      <c r="BD32" s="35" t="s">
        <v>148</v>
      </c>
      <c r="BE32" s="35" t="s">
        <v>88</v>
      </c>
      <c r="BF32" s="35">
        <v>1187</v>
      </c>
      <c r="BG32" s="35" t="s">
        <v>89</v>
      </c>
      <c r="BH32" s="35">
        <v>0.35</v>
      </c>
      <c r="BI32" s="35" t="s">
        <v>1792</v>
      </c>
      <c r="BJ32" s="35" t="s">
        <v>2374</v>
      </c>
      <c r="BK32" s="35" t="s">
        <v>2492</v>
      </c>
      <c r="BL32" s="35">
        <v>46</v>
      </c>
      <c r="CB32" s="248"/>
      <c r="CC32" s="248"/>
      <c r="CD32" s="248"/>
      <c r="CE32" s="248"/>
      <c r="CF32" s="248"/>
      <c r="CG32" s="248"/>
      <c r="CH32" s="248"/>
      <c r="CI32" s="248"/>
      <c r="CJ32" s="248"/>
      <c r="CK32" s="248"/>
      <c r="CL32" s="248"/>
      <c r="CM32" s="248"/>
      <c r="CN32" s="248"/>
      <c r="CO32" s="248"/>
      <c r="CP32" s="248"/>
      <c r="CQ32" s="248"/>
      <c r="CR32" s="248"/>
      <c r="CS32" s="248"/>
      <c r="CT32" s="248"/>
      <c r="CU32" s="248"/>
      <c r="CV32" s="248"/>
      <c r="CW32" s="248"/>
      <c r="CX32" s="248"/>
      <c r="CY32" s="248"/>
      <c r="CZ32" s="248"/>
      <c r="DA32" s="248"/>
      <c r="DB32" s="248"/>
      <c r="DC32" s="248"/>
      <c r="DD32" s="248"/>
      <c r="DE32" s="248"/>
      <c r="DF32" s="248"/>
      <c r="DG32" s="248"/>
      <c r="DH32" s="248"/>
      <c r="DI32" s="248"/>
      <c r="DJ32" s="248"/>
      <c r="DK32" s="248"/>
      <c r="DL32" s="248"/>
      <c r="DM32" s="248"/>
      <c r="DN32" s="248"/>
      <c r="DO32" s="248"/>
      <c r="DP32" s="248"/>
      <c r="DQ32" s="248"/>
      <c r="DR32" s="248"/>
      <c r="DS32" s="248"/>
      <c r="DT32" s="248"/>
      <c r="DU32" s="248"/>
      <c r="DV32" s="248"/>
      <c r="DW32" s="248"/>
      <c r="DX32" s="248"/>
      <c r="DY32" s="248"/>
      <c r="DZ32" s="248"/>
      <c r="EA32" s="248"/>
      <c r="EB32" s="248"/>
    </row>
    <row r="33" spans="1:253" s="35" customFormat="1">
      <c r="A33" s="4" t="str">
        <f t="shared" si="0"/>
        <v>MIB_E               SP_CANLI</v>
      </c>
      <c r="B33" s="349"/>
      <c r="C33" s="248">
        <v>122</v>
      </c>
      <c r="D33" s="283" t="s">
        <v>605</v>
      </c>
      <c r="F33" s="286" t="s">
        <v>1093</v>
      </c>
      <c r="G33" s="35" t="s">
        <v>2234</v>
      </c>
      <c r="H33" s="35" t="s">
        <v>610</v>
      </c>
      <c r="N33" s="35" t="s">
        <v>619</v>
      </c>
      <c r="O33" s="34" t="s">
        <v>1086</v>
      </c>
      <c r="P33" s="34" t="s">
        <v>1097</v>
      </c>
      <c r="Q33" s="39"/>
      <c r="V33" s="39"/>
      <c r="AG33" s="279"/>
      <c r="AI33" s="279" t="s">
        <v>1116</v>
      </c>
      <c r="AJ33" s="279"/>
      <c r="AK33" s="279" t="s">
        <v>539</v>
      </c>
      <c r="AL33" s="35">
        <v>122</v>
      </c>
      <c r="AM33" s="35" t="s">
        <v>1842</v>
      </c>
      <c r="AN33" s="35" t="s">
        <v>920</v>
      </c>
      <c r="AO33" s="35" t="s">
        <v>664</v>
      </c>
      <c r="AP33" s="34" t="s">
        <v>2264</v>
      </c>
      <c r="AQ33" s="35">
        <v>12</v>
      </c>
      <c r="AR33" s="35" t="s">
        <v>1257</v>
      </c>
      <c r="AS33" s="35" t="s">
        <v>87</v>
      </c>
      <c r="AT33" s="35" t="s">
        <v>10</v>
      </c>
      <c r="AU33" s="35" t="s">
        <v>1696</v>
      </c>
      <c r="AV33" s="35" t="s">
        <v>1190</v>
      </c>
      <c r="AW33" s="34" t="s">
        <v>2234</v>
      </c>
      <c r="AX33" s="35">
        <v>1</v>
      </c>
      <c r="AY33" s="35" t="s">
        <v>1394</v>
      </c>
      <c r="AZ33" s="35" t="s">
        <v>10</v>
      </c>
      <c r="BA33" s="35" t="s">
        <v>10</v>
      </c>
      <c r="BB33" s="35" t="s">
        <v>2385</v>
      </c>
      <c r="BC33" s="35" t="s">
        <v>1742</v>
      </c>
      <c r="BD33" s="35" t="s">
        <v>665</v>
      </c>
      <c r="BE33" s="35" t="s">
        <v>88</v>
      </c>
      <c r="BF33" s="35">
        <v>907</v>
      </c>
      <c r="BG33" s="35" t="s">
        <v>89</v>
      </c>
      <c r="BH33" s="35">
        <v>0.35</v>
      </c>
      <c r="BI33" s="35" t="s">
        <v>1792</v>
      </c>
      <c r="BJ33" s="35" t="s">
        <v>2374</v>
      </c>
      <c r="BK33" s="35" t="s">
        <v>2492</v>
      </c>
      <c r="BL33" s="35">
        <v>122</v>
      </c>
      <c r="CB33" s="248"/>
      <c r="CC33" s="248"/>
      <c r="CD33" s="248"/>
      <c r="CE33" s="248"/>
      <c r="CF33" s="248"/>
      <c r="CG33" s="248"/>
      <c r="CH33" s="248"/>
      <c r="CI33" s="248"/>
      <c r="CJ33" s="248"/>
      <c r="CK33" s="248"/>
      <c r="CL33" s="248"/>
      <c r="CM33" s="248"/>
      <c r="CN33" s="248"/>
      <c r="CO33" s="248"/>
      <c r="CP33" s="248"/>
      <c r="CQ33" s="248"/>
      <c r="CR33" s="248"/>
      <c r="CS33" s="248"/>
      <c r="CT33" s="248"/>
      <c r="CU33" s="248"/>
      <c r="CV33" s="248"/>
      <c r="CW33" s="248"/>
      <c r="CX33" s="248"/>
      <c r="CY33" s="248"/>
      <c r="CZ33" s="248"/>
      <c r="DA33" s="248"/>
      <c r="DB33" s="248"/>
      <c r="DC33" s="248"/>
      <c r="DD33" s="248"/>
      <c r="DE33" s="248"/>
      <c r="DF33" s="248"/>
      <c r="DG33" s="248"/>
      <c r="DH33" s="248"/>
      <c r="DI33" s="248"/>
      <c r="DJ33" s="248"/>
      <c r="DK33" s="248"/>
      <c r="DL33" s="248"/>
      <c r="DM33" s="248"/>
      <c r="DN33" s="248"/>
      <c r="DO33" s="248"/>
      <c r="DP33" s="248"/>
      <c r="DQ33" s="248"/>
      <c r="DR33" s="248"/>
      <c r="DS33" s="248"/>
      <c r="DT33" s="248"/>
      <c r="DU33" s="248"/>
      <c r="DV33" s="248"/>
      <c r="DW33" s="248"/>
      <c r="DX33" s="248"/>
      <c r="DY33" s="248"/>
      <c r="DZ33" s="248"/>
      <c r="EA33" s="248"/>
      <c r="EB33" s="248"/>
    </row>
    <row r="34" spans="1:253" s="35" customFormat="1">
      <c r="A34" s="4" t="str">
        <f t="shared" si="0"/>
        <v>SP_CANLI            KS_CPM_A</v>
      </c>
      <c r="B34" s="349"/>
      <c r="C34" s="248">
        <v>29054</v>
      </c>
      <c r="D34" s="283" t="s">
        <v>606</v>
      </c>
      <c r="F34" s="286" t="s">
        <v>1093</v>
      </c>
      <c r="G34" s="35" t="s">
        <v>2234</v>
      </c>
      <c r="H34" s="35" t="s">
        <v>610</v>
      </c>
      <c r="N34" s="35" t="s">
        <v>619</v>
      </c>
      <c r="O34" s="34" t="s">
        <v>1097</v>
      </c>
      <c r="P34" s="34" t="s">
        <v>1086</v>
      </c>
      <c r="Q34" s="39"/>
      <c r="AG34" s="279"/>
      <c r="AI34" s="279" t="s">
        <v>1116</v>
      </c>
      <c r="AJ34" s="279"/>
      <c r="AK34" s="279" t="s">
        <v>539</v>
      </c>
      <c r="AL34" s="35">
        <v>29054</v>
      </c>
      <c r="AM34" s="35" t="s">
        <v>1900</v>
      </c>
      <c r="AN34" s="35" t="s">
        <v>1696</v>
      </c>
      <c r="AO34" s="35" t="s">
        <v>1190</v>
      </c>
      <c r="AP34" s="34" t="s">
        <v>2234</v>
      </c>
      <c r="AQ34" s="35">
        <v>1</v>
      </c>
      <c r="AR34" s="35" t="s">
        <v>1394</v>
      </c>
      <c r="AS34" s="35" t="s">
        <v>10</v>
      </c>
      <c r="AT34" s="35" t="s">
        <v>10</v>
      </c>
      <c r="AU34" s="35" t="s">
        <v>502</v>
      </c>
      <c r="AV34" s="35" t="s">
        <v>685</v>
      </c>
      <c r="AW34" s="34" t="s">
        <v>1870</v>
      </c>
      <c r="AX34" s="35">
        <v>3</v>
      </c>
      <c r="AY34" s="35" t="s">
        <v>1392</v>
      </c>
      <c r="AZ34" s="35" t="s">
        <v>245</v>
      </c>
      <c r="BA34" s="35" t="s">
        <v>10</v>
      </c>
      <c r="BB34" s="35" t="s">
        <v>2385</v>
      </c>
      <c r="BC34" s="35" t="s">
        <v>1742</v>
      </c>
      <c r="BD34" s="35" t="s">
        <v>707</v>
      </c>
      <c r="BE34" s="35" t="s">
        <v>88</v>
      </c>
      <c r="BF34" s="35">
        <v>1070</v>
      </c>
      <c r="BG34" s="35" t="s">
        <v>89</v>
      </c>
      <c r="BH34" s="35">
        <v>0.35</v>
      </c>
      <c r="BI34" s="35" t="s">
        <v>1792</v>
      </c>
      <c r="BJ34" s="35" t="s">
        <v>10</v>
      </c>
      <c r="BK34" s="35" t="s">
        <v>680</v>
      </c>
      <c r="BL34" s="35" t="s">
        <v>10</v>
      </c>
      <c r="BM34" s="35" t="s">
        <v>682</v>
      </c>
      <c r="BN34" s="35" t="s">
        <v>10</v>
      </c>
      <c r="BO34" s="35" t="s">
        <v>2359</v>
      </c>
      <c r="BP34" s="35">
        <v>29054</v>
      </c>
      <c r="CB34" s="248"/>
      <c r="CC34" s="248"/>
      <c r="CD34" s="248"/>
      <c r="CE34" s="248"/>
      <c r="CF34" s="248"/>
      <c r="CG34" s="248"/>
      <c r="CH34" s="248"/>
      <c r="CI34" s="248"/>
      <c r="CJ34" s="248"/>
      <c r="CK34" s="248"/>
      <c r="CL34" s="248"/>
      <c r="CM34" s="248"/>
      <c r="CN34" s="248"/>
      <c r="CO34" s="248"/>
      <c r="CP34" s="248"/>
      <c r="CQ34" s="248"/>
      <c r="CR34" s="248"/>
      <c r="CS34" s="248"/>
      <c r="CT34" s="248"/>
      <c r="CU34" s="248"/>
      <c r="CV34" s="248"/>
      <c r="CW34" s="248"/>
      <c r="CX34" s="248"/>
      <c r="CY34" s="248"/>
      <c r="CZ34" s="248"/>
      <c r="DA34" s="248"/>
      <c r="DB34" s="248"/>
      <c r="DC34" s="248"/>
      <c r="DD34" s="248"/>
      <c r="DE34" s="248"/>
      <c r="DF34" s="248"/>
      <c r="DG34" s="248"/>
      <c r="DH34" s="248"/>
      <c r="DI34" s="248"/>
      <c r="DJ34" s="248"/>
      <c r="DK34" s="248"/>
      <c r="DL34" s="248"/>
      <c r="DM34" s="248"/>
      <c r="DN34" s="248"/>
      <c r="DO34" s="248"/>
      <c r="DP34" s="248"/>
      <c r="DQ34" s="248"/>
      <c r="DR34" s="248"/>
      <c r="DS34" s="248"/>
      <c r="DT34" s="248"/>
      <c r="DU34" s="248"/>
      <c r="DV34" s="248"/>
      <c r="DW34" s="248"/>
      <c r="DX34" s="248"/>
      <c r="DY34" s="248"/>
      <c r="DZ34" s="248"/>
      <c r="EA34" s="248"/>
      <c r="EB34" s="248"/>
    </row>
    <row r="35" spans="1:253" s="4" customFormat="1">
      <c r="A35" s="4" t="str">
        <f t="shared" si="0"/>
        <v xml:space="preserve">                    </v>
      </c>
      <c r="B35" s="1"/>
      <c r="D35" s="6"/>
      <c r="H35" s="43"/>
      <c r="I35" s="43"/>
      <c r="N35" s="43"/>
      <c r="O35" s="260"/>
      <c r="P35" s="261"/>
      <c r="Q35" s="56"/>
      <c r="R35" s="33"/>
      <c r="AH35" s="42"/>
      <c r="AI35" s="42"/>
      <c r="AJ35" s="42"/>
      <c r="AK35" s="42"/>
      <c r="AP35" s="34"/>
      <c r="AW35" s="34"/>
    </row>
    <row r="36" spans="1:253" s="35" customFormat="1">
      <c r="A36" s="4" t="str">
        <f t="shared" si="0"/>
        <v>KS_CPM_E            SP_CANH_MIB</v>
      </c>
      <c r="B36" s="349"/>
      <c r="C36" s="248">
        <v>77004</v>
      </c>
      <c r="D36" s="283" t="s">
        <v>749</v>
      </c>
      <c r="F36" s="177" t="s">
        <v>1094</v>
      </c>
      <c r="G36" s="35" t="s">
        <v>2249</v>
      </c>
      <c r="H36" s="35" t="s">
        <v>610</v>
      </c>
      <c r="N36" s="35" t="s">
        <v>619</v>
      </c>
      <c r="O36" s="34" t="s">
        <v>1086</v>
      </c>
      <c r="P36" s="34" t="s">
        <v>1097</v>
      </c>
      <c r="Q36" s="58"/>
      <c r="R36" s="39" t="s">
        <v>2551</v>
      </c>
      <c r="V36" s="39"/>
      <c r="AG36" s="279"/>
      <c r="AI36" s="279" t="s">
        <v>1116</v>
      </c>
      <c r="AJ36" s="279"/>
      <c r="AK36" s="279" t="s">
        <v>539</v>
      </c>
      <c r="AL36" s="35">
        <v>77004</v>
      </c>
      <c r="AM36" s="35" t="s">
        <v>1932</v>
      </c>
      <c r="AN36" s="35" t="s">
        <v>502</v>
      </c>
      <c r="AO36" s="35" t="s">
        <v>647</v>
      </c>
      <c r="AP36" s="34" t="s">
        <v>1786</v>
      </c>
      <c r="AQ36" s="35">
        <v>1</v>
      </c>
      <c r="AR36" s="35" t="s">
        <v>1392</v>
      </c>
      <c r="AS36" s="35" t="s">
        <v>245</v>
      </c>
      <c r="AT36" s="35" t="s">
        <v>10</v>
      </c>
      <c r="AU36" s="35" t="s">
        <v>1717</v>
      </c>
      <c r="AV36" s="35" t="s">
        <v>1191</v>
      </c>
      <c r="AW36" s="34" t="s">
        <v>2249</v>
      </c>
      <c r="AX36" s="35">
        <v>1</v>
      </c>
      <c r="AY36" s="35" t="s">
        <v>1930</v>
      </c>
      <c r="AZ36" s="35" t="s">
        <v>10</v>
      </c>
      <c r="BA36" s="35" t="s">
        <v>10</v>
      </c>
      <c r="BB36" s="35" t="s">
        <v>2392</v>
      </c>
      <c r="BC36" s="35" t="s">
        <v>1742</v>
      </c>
      <c r="BD36" s="35" t="s">
        <v>1521</v>
      </c>
      <c r="BE36" s="35" t="s">
        <v>95</v>
      </c>
      <c r="BF36" s="35">
        <v>805</v>
      </c>
      <c r="BG36" s="35" t="s">
        <v>96</v>
      </c>
      <c r="BH36" s="35">
        <v>0.35</v>
      </c>
      <c r="BI36" s="35" t="s">
        <v>1934</v>
      </c>
      <c r="BJ36" s="35" t="s">
        <v>1681</v>
      </c>
      <c r="BK36" s="35">
        <v>77004</v>
      </c>
      <c r="CB36" s="248"/>
      <c r="CC36" s="248"/>
      <c r="CD36" s="248"/>
      <c r="CE36" s="248"/>
      <c r="CF36" s="248"/>
      <c r="CG36" s="248"/>
      <c r="CH36" s="248"/>
      <c r="CI36" s="248"/>
      <c r="CJ36" s="248"/>
      <c r="CK36" s="248"/>
      <c r="CL36" s="248"/>
      <c r="CM36" s="248"/>
      <c r="CN36" s="248"/>
      <c r="CO36" s="248"/>
      <c r="CP36" s="248"/>
      <c r="CQ36" s="248"/>
      <c r="CR36" s="248"/>
      <c r="CS36" s="248"/>
      <c r="CT36" s="248"/>
      <c r="CU36" s="248"/>
      <c r="CV36" s="248"/>
      <c r="CW36" s="248"/>
      <c r="CX36" s="248"/>
      <c r="CY36" s="248"/>
      <c r="CZ36" s="248"/>
      <c r="DA36" s="248"/>
      <c r="DB36" s="248"/>
      <c r="DC36" s="248"/>
      <c r="DD36" s="248"/>
      <c r="DE36" s="248"/>
      <c r="DF36" s="248"/>
      <c r="DG36" s="248"/>
      <c r="DH36" s="248"/>
      <c r="DI36" s="248"/>
      <c r="DJ36" s="248"/>
      <c r="DK36" s="248"/>
      <c r="DL36" s="248"/>
      <c r="DM36" s="248"/>
      <c r="DN36" s="248"/>
      <c r="DO36" s="248"/>
      <c r="DP36" s="248"/>
      <c r="DQ36" s="248"/>
      <c r="DR36" s="248"/>
      <c r="DS36" s="248"/>
      <c r="DT36" s="248"/>
      <c r="DU36" s="248"/>
      <c r="DV36" s="248"/>
      <c r="DW36" s="248"/>
      <c r="DX36" s="248"/>
      <c r="DY36" s="248"/>
      <c r="DZ36" s="248"/>
      <c r="EA36" s="248"/>
      <c r="EB36" s="248"/>
    </row>
    <row r="37" spans="1:253" s="35" customFormat="1">
      <c r="A37" s="4" t="str">
        <f t="shared" si="0"/>
        <v>DISM_A              SP_CANH_MIB</v>
      </c>
      <c r="B37" s="349"/>
      <c r="C37" s="248">
        <v>216003</v>
      </c>
      <c r="D37" s="283">
        <v>216</v>
      </c>
      <c r="F37" s="177" t="s">
        <v>1094</v>
      </c>
      <c r="G37" s="35" t="s">
        <v>2249</v>
      </c>
      <c r="H37" s="35" t="s">
        <v>610</v>
      </c>
      <c r="N37" s="35" t="s">
        <v>619</v>
      </c>
      <c r="O37" s="34" t="s">
        <v>1086</v>
      </c>
      <c r="P37" s="285" t="s">
        <v>1097</v>
      </c>
      <c r="Q37" s="58"/>
      <c r="R37" s="39" t="s">
        <v>2551</v>
      </c>
      <c r="S37" s="35" t="s">
        <v>1348</v>
      </c>
      <c r="Z37" s="35" t="s">
        <v>2645</v>
      </c>
      <c r="AG37" s="279"/>
      <c r="AI37" s="279" t="s">
        <v>1116</v>
      </c>
      <c r="AJ37" s="279"/>
      <c r="AK37" s="279" t="s">
        <v>538</v>
      </c>
      <c r="AL37" s="35">
        <v>216003</v>
      </c>
      <c r="AM37" s="35" t="s">
        <v>1949</v>
      </c>
      <c r="AN37" s="35" t="s">
        <v>1716</v>
      </c>
      <c r="AO37" s="35" t="s">
        <v>775</v>
      </c>
      <c r="AP37" s="34" t="s">
        <v>2282</v>
      </c>
      <c r="AQ37" s="35">
        <v>1</v>
      </c>
      <c r="AR37" s="35" t="s">
        <v>1312</v>
      </c>
      <c r="AS37" s="35" t="s">
        <v>524</v>
      </c>
      <c r="AT37" s="35" t="s">
        <v>10</v>
      </c>
      <c r="AU37" s="35" t="s">
        <v>1717</v>
      </c>
      <c r="AV37" s="35" t="s">
        <v>1191</v>
      </c>
      <c r="AW37" s="34" t="s">
        <v>2249</v>
      </c>
      <c r="AX37" s="35">
        <v>1</v>
      </c>
      <c r="AY37" s="35" t="s">
        <v>1930</v>
      </c>
      <c r="AZ37" s="35" t="s">
        <v>10</v>
      </c>
      <c r="BA37" s="35" t="s">
        <v>10</v>
      </c>
      <c r="BB37" s="35" t="s">
        <v>2392</v>
      </c>
      <c r="BC37" s="35" t="s">
        <v>1742</v>
      </c>
      <c r="BD37" s="35" t="s">
        <v>776</v>
      </c>
      <c r="BE37" s="35" t="s">
        <v>95</v>
      </c>
      <c r="BF37" s="35">
        <v>453</v>
      </c>
      <c r="BG37" s="35" t="s">
        <v>96</v>
      </c>
      <c r="BH37" s="35">
        <v>0.35</v>
      </c>
      <c r="BI37" s="35" t="s">
        <v>1934</v>
      </c>
      <c r="BJ37" s="35" t="s">
        <v>774</v>
      </c>
      <c r="BK37" s="35" t="s">
        <v>2166</v>
      </c>
      <c r="BL37" s="35">
        <v>216003</v>
      </c>
      <c r="CB37" s="248"/>
      <c r="CC37" s="248"/>
      <c r="CD37" s="248"/>
      <c r="CE37" s="248"/>
      <c r="CF37" s="248"/>
      <c r="CG37" s="248"/>
      <c r="CH37" s="248"/>
      <c r="CI37" s="248"/>
      <c r="CJ37" s="248"/>
      <c r="CK37" s="248"/>
      <c r="CL37" s="248"/>
      <c r="CM37" s="248"/>
      <c r="CN37" s="248"/>
      <c r="CO37" s="248"/>
      <c r="CP37" s="248"/>
      <c r="CQ37" s="248"/>
      <c r="CR37" s="248"/>
      <c r="CS37" s="248"/>
      <c r="CT37" s="248"/>
      <c r="CU37" s="248"/>
      <c r="CV37" s="248"/>
      <c r="CW37" s="248"/>
      <c r="CX37" s="248"/>
      <c r="CY37" s="248"/>
      <c r="CZ37" s="248"/>
      <c r="DA37" s="248"/>
      <c r="DB37" s="248"/>
      <c r="DC37" s="248"/>
      <c r="DD37" s="248"/>
      <c r="DE37" s="248"/>
      <c r="DF37" s="248"/>
      <c r="DG37" s="248"/>
      <c r="DH37" s="248"/>
      <c r="DI37" s="248"/>
      <c r="DJ37" s="248"/>
      <c r="DK37" s="248"/>
      <c r="DL37" s="248"/>
      <c r="DM37" s="248"/>
      <c r="DN37" s="248"/>
      <c r="DO37" s="248"/>
      <c r="DP37" s="248"/>
      <c r="DQ37" s="248"/>
      <c r="DR37" s="248"/>
      <c r="DS37" s="248"/>
      <c r="DT37" s="248"/>
      <c r="DU37" s="248"/>
      <c r="DV37" s="248"/>
      <c r="DW37" s="248"/>
      <c r="DX37" s="248"/>
      <c r="DY37" s="248"/>
      <c r="DZ37" s="248"/>
      <c r="EA37" s="248"/>
      <c r="EB37" s="248"/>
    </row>
    <row r="38" spans="1:253" s="35" customFormat="1">
      <c r="A38" s="4" t="str">
        <f t="shared" si="0"/>
        <v>MIB_E               SP_CANH_MIB</v>
      </c>
      <c r="B38" s="349"/>
      <c r="C38" s="248">
        <v>216005</v>
      </c>
      <c r="D38" s="283">
        <v>216</v>
      </c>
      <c r="F38" s="177" t="s">
        <v>1094</v>
      </c>
      <c r="G38" s="35" t="s">
        <v>2249</v>
      </c>
      <c r="H38" s="35" t="s">
        <v>610</v>
      </c>
      <c r="N38" s="35" t="s">
        <v>619</v>
      </c>
      <c r="O38" s="34" t="s">
        <v>1086</v>
      </c>
      <c r="P38" s="285" t="s">
        <v>1097</v>
      </c>
      <c r="Q38" s="58"/>
      <c r="R38" s="39" t="s">
        <v>2551</v>
      </c>
      <c r="AG38" s="279"/>
      <c r="AI38" s="279" t="s">
        <v>1116</v>
      </c>
      <c r="AJ38" s="279"/>
      <c r="AK38" s="279" t="s">
        <v>539</v>
      </c>
      <c r="AL38" s="35">
        <v>216005</v>
      </c>
      <c r="AM38" s="35" t="s">
        <v>1951</v>
      </c>
      <c r="AN38" s="35" t="s">
        <v>920</v>
      </c>
      <c r="AO38" s="35" t="s">
        <v>664</v>
      </c>
      <c r="AP38" s="34" t="s">
        <v>2264</v>
      </c>
      <c r="AQ38" s="35">
        <v>1</v>
      </c>
      <c r="AR38" s="35" t="s">
        <v>1257</v>
      </c>
      <c r="AS38" s="35" t="s">
        <v>87</v>
      </c>
      <c r="AT38" s="35" t="s">
        <v>10</v>
      </c>
      <c r="AU38" s="35" t="s">
        <v>1717</v>
      </c>
      <c r="AV38" s="35" t="s">
        <v>1191</v>
      </c>
      <c r="AW38" s="34" t="s">
        <v>2249</v>
      </c>
      <c r="AX38" s="35">
        <v>1</v>
      </c>
      <c r="AY38" s="35" t="s">
        <v>1930</v>
      </c>
      <c r="AZ38" s="35" t="s">
        <v>10</v>
      </c>
      <c r="BA38" s="35" t="s">
        <v>10</v>
      </c>
      <c r="BB38" s="35" t="s">
        <v>2392</v>
      </c>
      <c r="BC38" s="35" t="s">
        <v>1742</v>
      </c>
      <c r="BD38" s="35" t="s">
        <v>777</v>
      </c>
      <c r="BE38" s="35" t="s">
        <v>95</v>
      </c>
      <c r="BF38" s="35">
        <v>661</v>
      </c>
      <c r="BG38" s="35" t="s">
        <v>96</v>
      </c>
      <c r="BH38" s="35">
        <v>0.35</v>
      </c>
      <c r="BI38" s="35" t="s">
        <v>1934</v>
      </c>
      <c r="BJ38" s="35" t="s">
        <v>774</v>
      </c>
      <c r="BK38" s="35" t="s">
        <v>2166</v>
      </c>
      <c r="BL38" s="35">
        <v>216005</v>
      </c>
      <c r="CB38" s="248"/>
      <c r="CC38" s="248"/>
      <c r="CD38" s="248"/>
      <c r="CE38" s="248"/>
      <c r="CF38" s="248"/>
      <c r="CG38" s="248"/>
      <c r="CH38" s="248"/>
      <c r="CI38" s="248"/>
      <c r="CJ38" s="248"/>
      <c r="CK38" s="248"/>
      <c r="CL38" s="248"/>
      <c r="CM38" s="248"/>
      <c r="CN38" s="248"/>
      <c r="CO38" s="248"/>
      <c r="CP38" s="248"/>
      <c r="CQ38" s="248"/>
      <c r="CR38" s="248"/>
      <c r="CS38" s="248"/>
      <c r="CT38" s="248"/>
      <c r="CU38" s="248"/>
      <c r="CV38" s="248"/>
      <c r="CW38" s="248"/>
      <c r="CX38" s="248"/>
      <c r="CY38" s="248"/>
      <c r="CZ38" s="248"/>
      <c r="DA38" s="248"/>
      <c r="DB38" s="248"/>
      <c r="DC38" s="248"/>
      <c r="DD38" s="248"/>
      <c r="DE38" s="248"/>
      <c r="DF38" s="248"/>
      <c r="DG38" s="248"/>
      <c r="DH38" s="248"/>
      <c r="DI38" s="248"/>
      <c r="DJ38" s="248"/>
      <c r="DK38" s="248"/>
      <c r="DL38" s="248"/>
      <c r="DM38" s="248"/>
      <c r="DN38" s="248"/>
      <c r="DO38" s="248"/>
      <c r="DP38" s="248"/>
      <c r="DQ38" s="248"/>
      <c r="DR38" s="248"/>
      <c r="DS38" s="248"/>
      <c r="DT38" s="248"/>
      <c r="DU38" s="248"/>
      <c r="DV38" s="248"/>
      <c r="DW38" s="248"/>
      <c r="DX38" s="248"/>
      <c r="DY38" s="248"/>
      <c r="DZ38" s="248"/>
      <c r="EA38" s="248"/>
      <c r="EB38" s="248"/>
    </row>
    <row r="39" spans="1:253" s="35" customFormat="1">
      <c r="A39" s="4" t="str">
        <f t="shared" si="0"/>
        <v>SP_CANH_MIB         KS_CPR_B</v>
      </c>
      <c r="B39" s="349"/>
      <c r="C39" s="248">
        <v>216007</v>
      </c>
      <c r="D39" s="283">
        <v>216</v>
      </c>
      <c r="F39" s="177" t="s">
        <v>1094</v>
      </c>
      <c r="G39" s="35" t="s">
        <v>2249</v>
      </c>
      <c r="H39" s="35" t="s">
        <v>610</v>
      </c>
      <c r="N39" s="35" t="s">
        <v>619</v>
      </c>
      <c r="O39" s="34" t="s">
        <v>1097</v>
      </c>
      <c r="P39" s="285" t="s">
        <v>1086</v>
      </c>
      <c r="Q39" s="58"/>
      <c r="R39" s="39" t="s">
        <v>2551</v>
      </c>
      <c r="AG39" s="279"/>
      <c r="AI39" s="279" t="s">
        <v>1116</v>
      </c>
      <c r="AJ39" s="279"/>
      <c r="AK39" s="279" t="s">
        <v>539</v>
      </c>
      <c r="AL39" s="35">
        <v>216007</v>
      </c>
      <c r="AM39" s="35" t="s">
        <v>1953</v>
      </c>
      <c r="AN39" s="35" t="s">
        <v>1717</v>
      </c>
      <c r="AO39" s="35" t="s">
        <v>1191</v>
      </c>
      <c r="AP39" s="34" t="s">
        <v>2249</v>
      </c>
      <c r="AQ39" s="35">
        <v>1</v>
      </c>
      <c r="AR39" s="35" t="s">
        <v>1930</v>
      </c>
      <c r="AS39" s="35" t="s">
        <v>10</v>
      </c>
      <c r="AT39" s="35" t="s">
        <v>10</v>
      </c>
      <c r="AU39" s="35" t="s">
        <v>424</v>
      </c>
      <c r="AV39" s="35" t="s">
        <v>651</v>
      </c>
      <c r="AW39" s="34" t="s">
        <v>1807</v>
      </c>
      <c r="AX39" s="35">
        <v>13</v>
      </c>
      <c r="AY39" s="35" t="s">
        <v>1808</v>
      </c>
      <c r="AZ39" s="35" t="s">
        <v>72</v>
      </c>
      <c r="BA39" s="35" t="s">
        <v>10</v>
      </c>
      <c r="BB39" s="35" t="s">
        <v>2392</v>
      </c>
      <c r="BC39" s="35" t="s">
        <v>1742</v>
      </c>
      <c r="BD39" s="35" t="s">
        <v>778</v>
      </c>
      <c r="BE39" s="35" t="s">
        <v>95</v>
      </c>
      <c r="BF39" s="35">
        <v>1395</v>
      </c>
      <c r="BG39" s="35" t="s">
        <v>96</v>
      </c>
      <c r="BH39" s="35">
        <v>0.35</v>
      </c>
      <c r="BI39" s="35" t="s">
        <v>1934</v>
      </c>
      <c r="BJ39" s="35" t="s">
        <v>774</v>
      </c>
      <c r="BK39" s="58" t="s">
        <v>10</v>
      </c>
      <c r="BL39" s="35">
        <v>216007</v>
      </c>
      <c r="CB39" s="248"/>
      <c r="CC39" s="248"/>
      <c r="CD39" s="248"/>
      <c r="CE39" s="248"/>
      <c r="CF39" s="248"/>
      <c r="CG39" s="248"/>
      <c r="CH39" s="248"/>
      <c r="CI39" s="248"/>
      <c r="CJ39" s="248"/>
      <c r="CK39" s="248"/>
      <c r="CL39" s="248"/>
      <c r="CM39" s="248"/>
      <c r="CN39" s="248"/>
      <c r="CO39" s="248"/>
      <c r="CP39" s="248"/>
      <c r="CQ39" s="248"/>
      <c r="CR39" s="248"/>
      <c r="CS39" s="248"/>
      <c r="CT39" s="248"/>
      <c r="CU39" s="248"/>
      <c r="CV39" s="248"/>
      <c r="CW39" s="248"/>
      <c r="CX39" s="248"/>
      <c r="CY39" s="248"/>
      <c r="CZ39" s="248"/>
      <c r="DA39" s="248"/>
      <c r="DB39" s="248"/>
      <c r="DC39" s="248"/>
      <c r="DD39" s="248"/>
      <c r="DE39" s="248"/>
      <c r="DF39" s="248"/>
      <c r="DG39" s="248"/>
      <c r="DH39" s="248"/>
      <c r="DI39" s="248"/>
      <c r="DJ39" s="248"/>
      <c r="DK39" s="248"/>
      <c r="DL39" s="248"/>
      <c r="DM39" s="248"/>
      <c r="DN39" s="248"/>
      <c r="DO39" s="248"/>
      <c r="DP39" s="248"/>
      <c r="DQ39" s="248"/>
      <c r="DR39" s="248"/>
      <c r="DS39" s="248"/>
      <c r="DT39" s="248"/>
      <c r="DU39" s="248"/>
      <c r="DV39" s="248"/>
      <c r="DW39" s="248"/>
      <c r="DX39" s="248"/>
      <c r="DY39" s="248"/>
      <c r="DZ39" s="248"/>
      <c r="EA39" s="248"/>
      <c r="EB39" s="248"/>
    </row>
    <row r="40" spans="1:253" s="35" customFormat="1">
      <c r="A40" s="4" t="str">
        <f t="shared" si="0"/>
        <v>BTMK_A              SP_CANH_MIB</v>
      </c>
      <c r="B40" s="349"/>
      <c r="C40" s="248">
        <v>216018</v>
      </c>
      <c r="D40" s="283">
        <v>216</v>
      </c>
      <c r="F40" s="177" t="s">
        <v>1094</v>
      </c>
      <c r="G40" s="35" t="s">
        <v>2249</v>
      </c>
      <c r="H40" s="35" t="s">
        <v>610</v>
      </c>
      <c r="N40" s="35" t="s">
        <v>619</v>
      </c>
      <c r="O40" s="34" t="s">
        <v>1086</v>
      </c>
      <c r="P40" s="34" t="s">
        <v>1097</v>
      </c>
      <c r="Q40" s="58"/>
      <c r="R40" s="39" t="s">
        <v>2551</v>
      </c>
      <c r="V40" s="39"/>
      <c r="AG40" s="279"/>
      <c r="AI40" s="279" t="s">
        <v>1116</v>
      </c>
      <c r="AJ40" s="279"/>
      <c r="AK40" s="279" t="s">
        <v>539</v>
      </c>
      <c r="AL40" s="35">
        <v>216018</v>
      </c>
      <c r="AM40" s="35" t="s">
        <v>1963</v>
      </c>
      <c r="AN40" s="35" t="s">
        <v>1698</v>
      </c>
      <c r="AO40" s="35" t="s">
        <v>657</v>
      </c>
      <c r="AP40" s="34" t="s">
        <v>2263</v>
      </c>
      <c r="AQ40" s="35">
        <v>2</v>
      </c>
      <c r="AR40" s="35" t="s">
        <v>642</v>
      </c>
      <c r="AS40" s="35" t="s">
        <v>87</v>
      </c>
      <c r="AT40" s="35" t="s">
        <v>10</v>
      </c>
      <c r="AU40" s="35" t="s">
        <v>1717</v>
      </c>
      <c r="AV40" s="35" t="s">
        <v>1191</v>
      </c>
      <c r="AW40" s="34" t="s">
        <v>2249</v>
      </c>
      <c r="AX40" s="35">
        <v>1</v>
      </c>
      <c r="AY40" s="35" t="s">
        <v>1930</v>
      </c>
      <c r="AZ40" s="35" t="s">
        <v>10</v>
      </c>
      <c r="BA40" s="35" t="s">
        <v>10</v>
      </c>
      <c r="BB40" s="35" t="s">
        <v>2392</v>
      </c>
      <c r="BC40" s="35" t="s">
        <v>1742</v>
      </c>
      <c r="BD40" s="35" t="s">
        <v>782</v>
      </c>
      <c r="BE40" s="35" t="s">
        <v>95</v>
      </c>
      <c r="BF40" s="35">
        <v>1036</v>
      </c>
      <c r="BG40" s="35" t="s">
        <v>96</v>
      </c>
      <c r="BH40" s="35">
        <v>0.35</v>
      </c>
      <c r="BI40" s="35" t="s">
        <v>1934</v>
      </c>
      <c r="BJ40" s="35" t="s">
        <v>774</v>
      </c>
      <c r="BK40" s="35" t="s">
        <v>2166</v>
      </c>
      <c r="BL40" s="35">
        <v>216018</v>
      </c>
      <c r="CB40" s="248"/>
      <c r="CC40" s="248"/>
      <c r="CD40" s="248"/>
      <c r="CE40" s="248"/>
      <c r="CF40" s="248"/>
      <c r="CG40" s="248"/>
      <c r="CH40" s="248"/>
      <c r="CI40" s="248"/>
      <c r="CJ40" s="248"/>
      <c r="CK40" s="248"/>
      <c r="CL40" s="248"/>
      <c r="CM40" s="248"/>
      <c r="CN40" s="248"/>
      <c r="CO40" s="248"/>
      <c r="CP40" s="248"/>
      <c r="CQ40" s="248"/>
      <c r="CR40" s="248"/>
      <c r="CS40" s="248"/>
      <c r="CT40" s="248"/>
      <c r="CU40" s="248"/>
      <c r="CV40" s="248"/>
      <c r="CW40" s="248"/>
      <c r="CX40" s="248"/>
      <c r="CY40" s="248"/>
      <c r="CZ40" s="248"/>
      <c r="DA40" s="248"/>
      <c r="DB40" s="248"/>
      <c r="DC40" s="248"/>
      <c r="DD40" s="248"/>
      <c r="DE40" s="248"/>
      <c r="DF40" s="248"/>
      <c r="DG40" s="248"/>
      <c r="DH40" s="248"/>
      <c r="DI40" s="248"/>
      <c r="DJ40" s="248"/>
      <c r="DK40" s="248"/>
      <c r="DL40" s="248"/>
      <c r="DM40" s="248"/>
      <c r="DN40" s="248"/>
      <c r="DO40" s="248"/>
      <c r="DP40" s="248"/>
      <c r="DQ40" s="248"/>
      <c r="DR40" s="248"/>
      <c r="DS40" s="248"/>
      <c r="DT40" s="248"/>
      <c r="DU40" s="248"/>
      <c r="DV40" s="248"/>
      <c r="DW40" s="248"/>
      <c r="DX40" s="248"/>
      <c r="DY40" s="248"/>
      <c r="DZ40" s="248"/>
      <c r="EA40" s="248"/>
      <c r="EB40" s="248"/>
    </row>
    <row r="41" spans="1:253" s="4" customFormat="1">
      <c r="A41" s="4" t="str">
        <f t="shared" si="0"/>
        <v>DISA_A              SP_CANH_MIB</v>
      </c>
      <c r="B41" s="369"/>
      <c r="C41" s="248">
        <v>218001</v>
      </c>
      <c r="D41" s="283">
        <v>218</v>
      </c>
      <c r="E41" s="32"/>
      <c r="F41" s="177" t="s">
        <v>1094</v>
      </c>
      <c r="G41" s="35" t="s">
        <v>2249</v>
      </c>
      <c r="H41" s="35" t="s">
        <v>610</v>
      </c>
      <c r="I41" s="35"/>
      <c r="K41" s="32"/>
      <c r="L41" s="32"/>
      <c r="N41" s="35" t="s">
        <v>619</v>
      </c>
      <c r="O41" s="34" t="s">
        <v>1086</v>
      </c>
      <c r="P41" s="285" t="s">
        <v>1097</v>
      </c>
      <c r="Q41" s="59"/>
      <c r="R41" s="39" t="s">
        <v>2551</v>
      </c>
      <c r="S41" s="32"/>
      <c r="T41" s="32"/>
      <c r="U41" s="32"/>
      <c r="V41" s="32"/>
      <c r="W41" s="32"/>
      <c r="X41" s="32"/>
      <c r="Y41" s="32"/>
      <c r="Z41" s="35" t="s">
        <v>2645</v>
      </c>
      <c r="AA41" s="32"/>
      <c r="AB41" s="32"/>
      <c r="AC41" s="32"/>
      <c r="AD41" s="32"/>
      <c r="AE41" s="32"/>
      <c r="AF41" s="32"/>
      <c r="AG41" s="279"/>
      <c r="AH41" s="35"/>
      <c r="AI41" s="279" t="s">
        <v>1116</v>
      </c>
      <c r="AJ41" s="279"/>
      <c r="AK41" s="42" t="s">
        <v>539</v>
      </c>
      <c r="AL41" s="35">
        <v>218001</v>
      </c>
      <c r="AM41" s="35" t="s">
        <v>1971</v>
      </c>
      <c r="AN41" s="35" t="s">
        <v>1003</v>
      </c>
      <c r="AO41" s="35" t="s">
        <v>767</v>
      </c>
      <c r="AP41" s="34" t="s">
        <v>2285</v>
      </c>
      <c r="AQ41" s="35">
        <v>1</v>
      </c>
      <c r="AR41" s="35" t="s">
        <v>521</v>
      </c>
      <c r="AS41" s="35" t="s">
        <v>524</v>
      </c>
      <c r="AT41" s="35" t="s">
        <v>10</v>
      </c>
      <c r="AU41" s="35" t="s">
        <v>1717</v>
      </c>
      <c r="AV41" s="35" t="s">
        <v>1191</v>
      </c>
      <c r="AW41" s="34" t="s">
        <v>2249</v>
      </c>
      <c r="AX41" s="35">
        <v>1</v>
      </c>
      <c r="AY41" s="35" t="s">
        <v>1930</v>
      </c>
      <c r="AZ41" s="35" t="s">
        <v>10</v>
      </c>
      <c r="BA41" s="35" t="s">
        <v>10</v>
      </c>
      <c r="BB41" s="35" t="s">
        <v>2392</v>
      </c>
      <c r="BC41" s="35" t="s">
        <v>1742</v>
      </c>
      <c r="BD41" s="35" t="s">
        <v>1252</v>
      </c>
      <c r="BE41" s="35" t="s">
        <v>95</v>
      </c>
      <c r="BF41" s="35">
        <v>902</v>
      </c>
      <c r="BG41" s="35" t="s">
        <v>96</v>
      </c>
      <c r="BH41" s="35">
        <v>0.35</v>
      </c>
      <c r="BI41" s="35" t="s">
        <v>1934</v>
      </c>
      <c r="BJ41" s="35" t="s">
        <v>2373</v>
      </c>
      <c r="BK41" s="35">
        <v>218001</v>
      </c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248"/>
      <c r="CC41" s="248"/>
      <c r="CD41" s="248"/>
      <c r="CE41" s="248"/>
      <c r="CF41" s="248"/>
      <c r="CG41" s="248"/>
      <c r="CH41" s="248"/>
      <c r="CI41" s="248"/>
      <c r="CJ41" s="248"/>
      <c r="CK41" s="248"/>
      <c r="CL41" s="248"/>
      <c r="CM41" s="248"/>
      <c r="CN41" s="248"/>
      <c r="CO41" s="248"/>
      <c r="CP41" s="248"/>
      <c r="CQ41" s="248"/>
      <c r="CR41" s="248"/>
      <c r="CS41" s="248"/>
      <c r="CT41" s="248"/>
      <c r="CU41" s="248"/>
      <c r="CV41" s="248"/>
      <c r="CW41" s="248"/>
      <c r="CX41" s="248"/>
      <c r="CY41" s="248"/>
      <c r="CZ41" s="248"/>
      <c r="DA41" s="248"/>
      <c r="DB41" s="248"/>
      <c r="DC41" s="248"/>
      <c r="DD41" s="248"/>
      <c r="DE41" s="248"/>
      <c r="DF41" s="248"/>
      <c r="DG41" s="248"/>
      <c r="DH41" s="248"/>
      <c r="DI41" s="248"/>
      <c r="DJ41" s="248"/>
      <c r="DK41" s="248"/>
      <c r="DL41" s="248"/>
      <c r="DM41" s="248"/>
      <c r="DN41" s="248"/>
      <c r="DO41" s="248"/>
      <c r="DP41" s="248"/>
      <c r="DQ41" s="248"/>
      <c r="DR41" s="248"/>
      <c r="DS41" s="248"/>
      <c r="DT41" s="248"/>
      <c r="DU41" s="248"/>
      <c r="DV41" s="248"/>
      <c r="DW41" s="248"/>
      <c r="DX41" s="248"/>
      <c r="DY41" s="248"/>
      <c r="DZ41" s="248"/>
      <c r="EA41" s="248"/>
      <c r="EB41" s="248"/>
      <c r="EC41" s="302"/>
      <c r="ED41" s="302"/>
      <c r="EE41" s="302"/>
      <c r="EF41" s="302"/>
      <c r="EG41" s="302"/>
      <c r="EH41" s="302"/>
      <c r="EI41" s="302"/>
      <c r="EJ41" s="302"/>
      <c r="EK41" s="302"/>
      <c r="EL41" s="302"/>
      <c r="EM41" s="302"/>
      <c r="EN41" s="302"/>
      <c r="EO41" s="302"/>
      <c r="EP41" s="302"/>
      <c r="EQ41" s="302"/>
      <c r="ER41" s="302"/>
      <c r="ES41" s="302"/>
      <c r="ET41" s="302"/>
      <c r="EU41" s="302"/>
      <c r="EV41" s="302"/>
      <c r="EW41" s="302"/>
      <c r="EX41" s="302"/>
      <c r="EY41" s="302"/>
      <c r="EZ41" s="302"/>
      <c r="FA41" s="302"/>
      <c r="FB41" s="302"/>
      <c r="FC41" s="302"/>
      <c r="FD41" s="302"/>
      <c r="FE41" s="302"/>
      <c r="FF41" s="302"/>
      <c r="FG41" s="302"/>
      <c r="FH41" s="302"/>
      <c r="FI41" s="302"/>
      <c r="FJ41" s="302"/>
      <c r="FK41" s="302"/>
      <c r="FL41" s="302"/>
      <c r="FM41" s="302"/>
      <c r="FN41" s="302"/>
      <c r="FO41" s="302"/>
      <c r="FP41" s="302"/>
      <c r="FQ41" s="302"/>
      <c r="FR41" s="302"/>
      <c r="FS41" s="302"/>
      <c r="FT41" s="302"/>
      <c r="FU41" s="302"/>
      <c r="FV41" s="302"/>
      <c r="FW41" s="302"/>
      <c r="FX41" s="302"/>
      <c r="FY41" s="302"/>
      <c r="FZ41" s="302"/>
      <c r="GA41" s="302"/>
      <c r="GB41" s="302"/>
      <c r="GC41" s="302"/>
      <c r="GD41" s="302"/>
      <c r="GE41" s="302"/>
      <c r="GF41" s="302"/>
      <c r="GG41" s="302"/>
      <c r="GH41" s="302"/>
      <c r="GI41" s="302"/>
      <c r="GJ41" s="302"/>
      <c r="GK41" s="302"/>
      <c r="GL41" s="302"/>
      <c r="GM41" s="302"/>
      <c r="GN41" s="302"/>
      <c r="GO41" s="302"/>
      <c r="GP41" s="302"/>
      <c r="GQ41" s="302"/>
      <c r="GR41" s="302"/>
      <c r="GS41" s="302"/>
      <c r="GT41" s="302"/>
      <c r="GU41" s="302"/>
      <c r="GV41" s="302"/>
      <c r="GW41" s="302"/>
      <c r="GX41" s="302"/>
      <c r="GY41" s="302"/>
      <c r="GZ41" s="302"/>
      <c r="HA41" s="302"/>
      <c r="HB41" s="302"/>
      <c r="HC41" s="302"/>
      <c r="HD41" s="302"/>
      <c r="HE41" s="302"/>
      <c r="HF41" s="302"/>
      <c r="HG41" s="302"/>
      <c r="HH41" s="302"/>
      <c r="HI41" s="302"/>
      <c r="HJ41" s="302"/>
      <c r="HK41" s="302"/>
      <c r="HL41" s="302"/>
      <c r="HM41" s="302"/>
      <c r="HN41" s="302"/>
      <c r="HO41" s="302"/>
      <c r="HP41" s="302"/>
      <c r="HQ41" s="302"/>
      <c r="HR41" s="302"/>
      <c r="HS41" s="302"/>
      <c r="HT41" s="302"/>
      <c r="HU41" s="302"/>
      <c r="HV41" s="302"/>
      <c r="HW41" s="302"/>
      <c r="HX41" s="302"/>
      <c r="HY41" s="302"/>
      <c r="HZ41" s="302"/>
      <c r="IA41" s="302"/>
      <c r="IB41" s="302"/>
      <c r="IC41" s="302"/>
      <c r="ID41" s="302"/>
      <c r="IE41" s="302"/>
      <c r="IF41" s="302"/>
      <c r="IG41" s="302"/>
      <c r="IH41" s="302"/>
      <c r="II41" s="302"/>
      <c r="IJ41" s="302"/>
      <c r="IK41" s="302"/>
      <c r="IL41" s="302"/>
      <c r="IM41" s="302"/>
      <c r="IN41" s="302"/>
      <c r="IO41" s="302"/>
      <c r="IP41" s="302"/>
      <c r="IQ41" s="302"/>
      <c r="IR41" s="302"/>
      <c r="IS41" s="302"/>
    </row>
    <row r="42" spans="1:253" s="4" customFormat="1">
      <c r="A42" s="4" t="str">
        <f t="shared" si="0"/>
        <v xml:space="preserve">                    </v>
      </c>
      <c r="B42" s="1"/>
      <c r="D42" s="6"/>
      <c r="E42" s="29"/>
      <c r="K42" s="29"/>
      <c r="L42" s="29"/>
      <c r="N42" s="29"/>
      <c r="P42" s="260"/>
      <c r="Q42" s="261"/>
      <c r="R42" s="57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42"/>
      <c r="AK42" s="42"/>
      <c r="AL42" s="42"/>
      <c r="AR42" s="34"/>
      <c r="AY42" s="34"/>
    </row>
    <row r="43" spans="1:253" s="35" customFormat="1">
      <c r="A43" s="4" t="str">
        <f t="shared" si="0"/>
        <v>KS_CPM_E            SP_CANL_MIB</v>
      </c>
      <c r="B43" s="349"/>
      <c r="C43" s="35">
        <v>77001</v>
      </c>
      <c r="D43" s="283" t="s">
        <v>749</v>
      </c>
      <c r="F43" s="177" t="s">
        <v>1094</v>
      </c>
      <c r="G43" s="35" t="s">
        <v>2248</v>
      </c>
      <c r="H43" s="35" t="s">
        <v>610</v>
      </c>
      <c r="N43" s="35" t="s">
        <v>619</v>
      </c>
      <c r="O43" s="34" t="s">
        <v>1086</v>
      </c>
      <c r="P43" s="34" t="s">
        <v>1097</v>
      </c>
      <c r="Q43" s="58"/>
      <c r="R43" s="39" t="s">
        <v>2551</v>
      </c>
      <c r="AG43" s="279"/>
      <c r="AI43" s="279" t="s">
        <v>1116</v>
      </c>
      <c r="AJ43" s="279"/>
      <c r="AK43" s="279" t="s">
        <v>539</v>
      </c>
      <c r="AL43" s="35">
        <v>77001</v>
      </c>
      <c r="AM43" s="35" t="s">
        <v>1928</v>
      </c>
      <c r="AN43" s="35" t="s">
        <v>502</v>
      </c>
      <c r="AO43" s="35" t="s">
        <v>647</v>
      </c>
      <c r="AP43" s="34" t="s">
        <v>1786</v>
      </c>
      <c r="AQ43" s="35">
        <v>2</v>
      </c>
      <c r="AR43" s="35" t="s">
        <v>1392</v>
      </c>
      <c r="AS43" s="35" t="s">
        <v>245</v>
      </c>
      <c r="AT43" s="35" t="s">
        <v>10</v>
      </c>
      <c r="AU43" s="35" t="s">
        <v>1715</v>
      </c>
      <c r="AV43" s="35" t="s">
        <v>1192</v>
      </c>
      <c r="AW43" s="34" t="s">
        <v>2248</v>
      </c>
      <c r="AX43" s="35">
        <v>1</v>
      </c>
      <c r="AY43" s="35" t="s">
        <v>1930</v>
      </c>
      <c r="AZ43" s="35" t="s">
        <v>10</v>
      </c>
      <c r="BA43" s="35" t="s">
        <v>10</v>
      </c>
      <c r="BB43" s="35" t="s">
        <v>2392</v>
      </c>
      <c r="BC43" s="35" t="s">
        <v>1742</v>
      </c>
      <c r="BD43" s="35" t="s">
        <v>1521</v>
      </c>
      <c r="BE43" s="35" t="s">
        <v>88</v>
      </c>
      <c r="BF43" s="35">
        <v>818</v>
      </c>
      <c r="BG43" s="35" t="s">
        <v>89</v>
      </c>
      <c r="BH43" s="35">
        <v>0.35</v>
      </c>
      <c r="BI43" s="35" t="s">
        <v>1931</v>
      </c>
      <c r="BJ43" s="35" t="s">
        <v>1681</v>
      </c>
      <c r="BK43" s="35">
        <v>77001</v>
      </c>
    </row>
    <row r="44" spans="1:253" s="35" customFormat="1">
      <c r="A44" s="4" t="str">
        <f t="shared" si="0"/>
        <v>DISM_A              SP_CANL_MIB</v>
      </c>
      <c r="B44" s="349"/>
      <c r="C44" s="35">
        <v>216004</v>
      </c>
      <c r="D44" s="283">
        <v>216</v>
      </c>
      <c r="F44" s="177" t="s">
        <v>1094</v>
      </c>
      <c r="G44" s="35" t="s">
        <v>2248</v>
      </c>
      <c r="H44" s="35" t="s">
        <v>610</v>
      </c>
      <c r="N44" s="35" t="s">
        <v>619</v>
      </c>
      <c r="O44" s="34" t="s">
        <v>1086</v>
      </c>
      <c r="P44" s="285" t="s">
        <v>1097</v>
      </c>
      <c r="Q44" s="58"/>
      <c r="R44" s="39" t="s">
        <v>2551</v>
      </c>
      <c r="S44" s="35" t="s">
        <v>1348</v>
      </c>
      <c r="Z44" s="35" t="s">
        <v>2645</v>
      </c>
      <c r="AG44" s="279"/>
      <c r="AI44" s="279" t="s">
        <v>1116</v>
      </c>
      <c r="AJ44" s="279"/>
      <c r="AK44" s="279" t="s">
        <v>538</v>
      </c>
      <c r="AL44" s="35">
        <v>216004</v>
      </c>
      <c r="AM44" s="35" t="s">
        <v>1950</v>
      </c>
      <c r="AN44" s="35" t="s">
        <v>1716</v>
      </c>
      <c r="AO44" s="35" t="s">
        <v>775</v>
      </c>
      <c r="AP44" s="34" t="s">
        <v>2282</v>
      </c>
      <c r="AQ44" s="35">
        <v>5</v>
      </c>
      <c r="AR44" s="35" t="s">
        <v>1312</v>
      </c>
      <c r="AS44" s="35" t="s">
        <v>524</v>
      </c>
      <c r="AT44" s="35" t="s">
        <v>10</v>
      </c>
      <c r="AU44" s="35" t="s">
        <v>1715</v>
      </c>
      <c r="AV44" s="35" t="s">
        <v>1192</v>
      </c>
      <c r="AW44" s="34" t="s">
        <v>2248</v>
      </c>
      <c r="AX44" s="35">
        <v>1</v>
      </c>
      <c r="AY44" s="35" t="s">
        <v>1930</v>
      </c>
      <c r="AZ44" s="35" t="s">
        <v>10</v>
      </c>
      <c r="BA44" s="35" t="s">
        <v>10</v>
      </c>
      <c r="BB44" s="35" t="s">
        <v>2392</v>
      </c>
      <c r="BC44" s="35" t="s">
        <v>1742</v>
      </c>
      <c r="BD44" s="35" t="s">
        <v>776</v>
      </c>
      <c r="BE44" s="35" t="s">
        <v>88</v>
      </c>
      <c r="BF44" s="35">
        <v>439</v>
      </c>
      <c r="BG44" s="35" t="s">
        <v>89</v>
      </c>
      <c r="BH44" s="35">
        <v>0.35</v>
      </c>
      <c r="BI44" s="35" t="s">
        <v>1931</v>
      </c>
      <c r="BJ44" s="35" t="s">
        <v>774</v>
      </c>
      <c r="BK44" s="35" t="s">
        <v>2166</v>
      </c>
      <c r="BL44" s="35">
        <v>216004</v>
      </c>
    </row>
    <row r="45" spans="1:253" s="35" customFormat="1">
      <c r="A45" s="4" t="str">
        <f t="shared" si="0"/>
        <v>MIB_E               SP_CANL_MIB</v>
      </c>
      <c r="B45" s="349"/>
      <c r="C45" s="35">
        <v>216006</v>
      </c>
      <c r="D45" s="283">
        <v>216</v>
      </c>
      <c r="F45" s="177" t="s">
        <v>1094</v>
      </c>
      <c r="G45" s="35" t="s">
        <v>2248</v>
      </c>
      <c r="H45" s="35" t="s">
        <v>610</v>
      </c>
      <c r="N45" s="35" t="s">
        <v>619</v>
      </c>
      <c r="O45" s="34" t="s">
        <v>1086</v>
      </c>
      <c r="P45" s="285" t="s">
        <v>1097</v>
      </c>
      <c r="Q45" s="58"/>
      <c r="R45" s="39" t="s">
        <v>2551</v>
      </c>
      <c r="AG45" s="279"/>
      <c r="AI45" s="279" t="s">
        <v>1116</v>
      </c>
      <c r="AJ45" s="279"/>
      <c r="AK45" s="279" t="s">
        <v>539</v>
      </c>
      <c r="AL45" s="35">
        <v>216006</v>
      </c>
      <c r="AM45" s="35" t="s">
        <v>1952</v>
      </c>
      <c r="AN45" s="35" t="s">
        <v>920</v>
      </c>
      <c r="AO45" s="35" t="s">
        <v>664</v>
      </c>
      <c r="AP45" s="34" t="s">
        <v>2264</v>
      </c>
      <c r="AQ45" s="35">
        <v>7</v>
      </c>
      <c r="AR45" s="35" t="s">
        <v>1257</v>
      </c>
      <c r="AS45" s="35" t="s">
        <v>87</v>
      </c>
      <c r="AT45" s="35" t="s">
        <v>10</v>
      </c>
      <c r="AU45" s="35" t="s">
        <v>1715</v>
      </c>
      <c r="AV45" s="35" t="s">
        <v>1192</v>
      </c>
      <c r="AW45" s="34" t="s">
        <v>2248</v>
      </c>
      <c r="AX45" s="35">
        <v>1</v>
      </c>
      <c r="AY45" s="35" t="s">
        <v>1930</v>
      </c>
      <c r="AZ45" s="35" t="s">
        <v>10</v>
      </c>
      <c r="BA45" s="35" t="s">
        <v>10</v>
      </c>
      <c r="BB45" s="35" t="s">
        <v>2392</v>
      </c>
      <c r="BC45" s="35" t="s">
        <v>1742</v>
      </c>
      <c r="BD45" s="35" t="s">
        <v>777</v>
      </c>
      <c r="BE45" s="35" t="s">
        <v>88</v>
      </c>
      <c r="BF45" s="35">
        <v>675</v>
      </c>
      <c r="BG45" s="35" t="s">
        <v>89</v>
      </c>
      <c r="BH45" s="35">
        <v>0.35</v>
      </c>
      <c r="BI45" s="35" t="s">
        <v>1931</v>
      </c>
      <c r="BJ45" s="35" t="s">
        <v>774</v>
      </c>
      <c r="BK45" s="35" t="s">
        <v>2166</v>
      </c>
      <c r="BL45" s="35">
        <v>216006</v>
      </c>
    </row>
    <row r="46" spans="1:253" s="35" customFormat="1">
      <c r="A46" s="4" t="str">
        <f t="shared" si="0"/>
        <v>SP_CANL_MIB         KS_CPR_B</v>
      </c>
      <c r="B46" s="349"/>
      <c r="C46" s="35">
        <v>216008</v>
      </c>
      <c r="D46" s="283">
        <v>216</v>
      </c>
      <c r="F46" s="177" t="s">
        <v>1094</v>
      </c>
      <c r="G46" s="35" t="s">
        <v>2248</v>
      </c>
      <c r="H46" s="35" t="s">
        <v>610</v>
      </c>
      <c r="N46" s="35" t="s">
        <v>619</v>
      </c>
      <c r="O46" s="34" t="s">
        <v>1097</v>
      </c>
      <c r="P46" s="285" t="s">
        <v>1086</v>
      </c>
      <c r="Q46" s="58"/>
      <c r="R46" s="39" t="s">
        <v>2551</v>
      </c>
      <c r="V46" s="39"/>
      <c r="AG46" s="279"/>
      <c r="AI46" s="279" t="s">
        <v>1116</v>
      </c>
      <c r="AJ46" s="279"/>
      <c r="AK46" s="279" t="s">
        <v>539</v>
      </c>
      <c r="AL46" s="35">
        <v>216008</v>
      </c>
      <c r="AM46" s="35" t="s">
        <v>1954</v>
      </c>
      <c r="AN46" s="35" t="s">
        <v>1715</v>
      </c>
      <c r="AO46" s="35" t="s">
        <v>1192</v>
      </c>
      <c r="AP46" s="34" t="s">
        <v>2248</v>
      </c>
      <c r="AQ46" s="35">
        <v>1</v>
      </c>
      <c r="AR46" s="35" t="s">
        <v>1930</v>
      </c>
      <c r="AS46" s="35" t="s">
        <v>10</v>
      </c>
      <c r="AT46" s="35" t="s">
        <v>10</v>
      </c>
      <c r="AU46" s="35" t="s">
        <v>424</v>
      </c>
      <c r="AV46" s="35" t="s">
        <v>651</v>
      </c>
      <c r="AW46" s="34" t="s">
        <v>1807</v>
      </c>
      <c r="AX46" s="35">
        <v>14</v>
      </c>
      <c r="AY46" s="35" t="s">
        <v>1808</v>
      </c>
      <c r="AZ46" s="35" t="s">
        <v>72</v>
      </c>
      <c r="BA46" s="35" t="s">
        <v>10</v>
      </c>
      <c r="BB46" s="35" t="s">
        <v>2392</v>
      </c>
      <c r="BC46" s="35" t="s">
        <v>1742</v>
      </c>
      <c r="BD46" s="35" t="s">
        <v>778</v>
      </c>
      <c r="BE46" s="35" t="s">
        <v>88</v>
      </c>
      <c r="BF46" s="35">
        <v>1409</v>
      </c>
      <c r="BG46" s="35" t="s">
        <v>89</v>
      </c>
      <c r="BH46" s="35">
        <v>0.35</v>
      </c>
      <c r="BI46" s="35" t="s">
        <v>1931</v>
      </c>
      <c r="BJ46" s="35" t="s">
        <v>774</v>
      </c>
      <c r="BK46" s="58" t="s">
        <v>10</v>
      </c>
      <c r="BL46" s="35">
        <v>216008</v>
      </c>
    </row>
    <row r="47" spans="1:253" s="35" customFormat="1">
      <c r="A47" s="4" t="str">
        <f t="shared" si="0"/>
        <v>BTMK_A              SP_CANL_MIB</v>
      </c>
      <c r="B47" s="349"/>
      <c r="C47" s="35">
        <v>216019</v>
      </c>
      <c r="D47" s="283">
        <v>216</v>
      </c>
      <c r="F47" s="177" t="s">
        <v>1094</v>
      </c>
      <c r="G47" s="35" t="s">
        <v>2248</v>
      </c>
      <c r="H47" s="35" t="s">
        <v>610</v>
      </c>
      <c r="N47" s="35" t="s">
        <v>619</v>
      </c>
      <c r="O47" s="34" t="s">
        <v>1086</v>
      </c>
      <c r="P47" s="34" t="s">
        <v>1097</v>
      </c>
      <c r="Q47" s="58"/>
      <c r="R47" s="39" t="s">
        <v>2551</v>
      </c>
      <c r="V47" s="39"/>
      <c r="AG47" s="279"/>
      <c r="AI47" s="279" t="s">
        <v>1116</v>
      </c>
      <c r="AJ47" s="279"/>
      <c r="AK47" s="279" t="s">
        <v>539</v>
      </c>
      <c r="AL47" s="35">
        <v>216019</v>
      </c>
      <c r="AM47" s="35" t="s">
        <v>1964</v>
      </c>
      <c r="AN47" s="35" t="s">
        <v>1698</v>
      </c>
      <c r="AO47" s="35" t="s">
        <v>657</v>
      </c>
      <c r="AP47" s="34" t="s">
        <v>2263</v>
      </c>
      <c r="AQ47" s="35">
        <v>4</v>
      </c>
      <c r="AR47" s="35" t="s">
        <v>642</v>
      </c>
      <c r="AS47" s="35" t="s">
        <v>87</v>
      </c>
      <c r="AT47" s="35" t="s">
        <v>10</v>
      </c>
      <c r="AU47" s="35" t="s">
        <v>1715</v>
      </c>
      <c r="AV47" s="35" t="s">
        <v>1192</v>
      </c>
      <c r="AW47" s="34" t="s">
        <v>2248</v>
      </c>
      <c r="AX47" s="35">
        <v>1</v>
      </c>
      <c r="AY47" s="35" t="s">
        <v>1930</v>
      </c>
      <c r="AZ47" s="35" t="s">
        <v>10</v>
      </c>
      <c r="BA47" s="35" t="s">
        <v>10</v>
      </c>
      <c r="BB47" s="35" t="s">
        <v>2392</v>
      </c>
      <c r="BC47" s="35" t="s">
        <v>1742</v>
      </c>
      <c r="BD47" s="35" t="s">
        <v>782</v>
      </c>
      <c r="BE47" s="35" t="s">
        <v>88</v>
      </c>
      <c r="BF47" s="35">
        <v>1050</v>
      </c>
      <c r="BG47" s="35" t="s">
        <v>89</v>
      </c>
      <c r="BH47" s="35">
        <v>0.35</v>
      </c>
      <c r="BI47" s="35" t="s">
        <v>1931</v>
      </c>
      <c r="BJ47" s="35" t="s">
        <v>774</v>
      </c>
      <c r="BK47" s="35" t="s">
        <v>2166</v>
      </c>
      <c r="BL47" s="35">
        <v>216019</v>
      </c>
    </row>
    <row r="48" spans="1:253" s="4" customFormat="1">
      <c r="A48" s="4" t="str">
        <f t="shared" si="0"/>
        <v>DISA_A              SP_CANL_MIB</v>
      </c>
      <c r="B48" s="369"/>
      <c r="C48" s="248">
        <v>218002</v>
      </c>
      <c r="D48" s="283">
        <v>218</v>
      </c>
      <c r="E48" s="32"/>
      <c r="F48" s="177" t="s">
        <v>1094</v>
      </c>
      <c r="G48" s="35" t="s">
        <v>2248</v>
      </c>
      <c r="H48" s="35" t="s">
        <v>610</v>
      </c>
      <c r="I48" s="35"/>
      <c r="K48" s="32"/>
      <c r="L48" s="32"/>
      <c r="N48" s="35" t="s">
        <v>619</v>
      </c>
      <c r="O48" s="34" t="s">
        <v>1086</v>
      </c>
      <c r="P48" s="285" t="s">
        <v>1097</v>
      </c>
      <c r="Q48" s="59"/>
      <c r="R48" s="39" t="s">
        <v>2551</v>
      </c>
      <c r="S48" s="32"/>
      <c r="T48" s="32"/>
      <c r="U48" s="32"/>
      <c r="V48" s="32"/>
      <c r="W48" s="32"/>
      <c r="X48" s="32"/>
      <c r="Y48" s="32"/>
      <c r="Z48" s="35" t="s">
        <v>2645</v>
      </c>
      <c r="AA48" s="32"/>
      <c r="AB48" s="32"/>
      <c r="AC48" s="32"/>
      <c r="AD48" s="32"/>
      <c r="AE48" s="32"/>
      <c r="AF48" s="32"/>
      <c r="AG48" s="279"/>
      <c r="AH48" s="35"/>
      <c r="AI48" s="279" t="s">
        <v>1116</v>
      </c>
      <c r="AJ48" s="279"/>
      <c r="AK48" s="42" t="s">
        <v>539</v>
      </c>
      <c r="AL48" s="35">
        <v>218002</v>
      </c>
      <c r="AM48" s="35" t="s">
        <v>1972</v>
      </c>
      <c r="AN48" s="35" t="s">
        <v>1003</v>
      </c>
      <c r="AO48" s="35" t="s">
        <v>767</v>
      </c>
      <c r="AP48" s="34" t="s">
        <v>2285</v>
      </c>
      <c r="AQ48" s="35">
        <v>5</v>
      </c>
      <c r="AR48" s="35" t="s">
        <v>521</v>
      </c>
      <c r="AS48" s="35" t="s">
        <v>524</v>
      </c>
      <c r="AT48" s="35" t="s">
        <v>10</v>
      </c>
      <c r="AU48" s="35" t="s">
        <v>1715</v>
      </c>
      <c r="AV48" s="35" t="s">
        <v>1192</v>
      </c>
      <c r="AW48" s="34" t="s">
        <v>2248</v>
      </c>
      <c r="AX48" s="35">
        <v>1</v>
      </c>
      <c r="AY48" s="35" t="s">
        <v>1930</v>
      </c>
      <c r="AZ48" s="35" t="s">
        <v>10</v>
      </c>
      <c r="BA48" s="35" t="s">
        <v>10</v>
      </c>
      <c r="BB48" s="35" t="s">
        <v>2392</v>
      </c>
      <c r="BC48" s="35" t="s">
        <v>1742</v>
      </c>
      <c r="BD48" s="35" t="s">
        <v>1252</v>
      </c>
      <c r="BE48" s="35" t="s">
        <v>88</v>
      </c>
      <c r="BF48" s="35">
        <v>916</v>
      </c>
      <c r="BG48" s="35" t="s">
        <v>89</v>
      </c>
      <c r="BH48" s="35">
        <v>0.35</v>
      </c>
      <c r="BI48" s="35" t="s">
        <v>1931</v>
      </c>
      <c r="BJ48" s="35" t="s">
        <v>2373</v>
      </c>
      <c r="BK48" s="35">
        <v>218002</v>
      </c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248"/>
      <c r="CC48" s="248"/>
      <c r="CD48" s="248"/>
      <c r="CE48" s="248"/>
      <c r="CF48" s="248"/>
      <c r="CG48" s="248"/>
      <c r="CH48" s="248"/>
      <c r="CI48" s="248"/>
      <c r="CJ48" s="248"/>
      <c r="CK48" s="248"/>
      <c r="CL48" s="248"/>
      <c r="CM48" s="248"/>
      <c r="CN48" s="248"/>
      <c r="CO48" s="248"/>
      <c r="CP48" s="248"/>
      <c r="CQ48" s="248"/>
      <c r="CR48" s="248"/>
      <c r="CS48" s="248"/>
      <c r="CT48" s="248"/>
      <c r="CU48" s="248"/>
      <c r="CV48" s="248"/>
      <c r="CW48" s="248"/>
      <c r="CX48" s="248"/>
      <c r="CY48" s="248"/>
      <c r="CZ48" s="248"/>
      <c r="DA48" s="248"/>
      <c r="DB48" s="248"/>
      <c r="DC48" s="248"/>
      <c r="DD48" s="248"/>
      <c r="DE48" s="248"/>
      <c r="DF48" s="248"/>
      <c r="DG48" s="248"/>
      <c r="DH48" s="248"/>
      <c r="DI48" s="248"/>
      <c r="DJ48" s="248"/>
      <c r="DK48" s="248"/>
      <c r="DL48" s="248"/>
      <c r="DM48" s="248"/>
      <c r="DN48" s="248"/>
      <c r="DO48" s="248"/>
      <c r="DP48" s="248"/>
      <c r="DQ48" s="248"/>
      <c r="DR48" s="248"/>
      <c r="DS48" s="248"/>
      <c r="DT48" s="248"/>
      <c r="DU48" s="248"/>
      <c r="DV48" s="248"/>
      <c r="DW48" s="248"/>
      <c r="DX48" s="248"/>
      <c r="DY48" s="248"/>
      <c r="DZ48" s="248"/>
      <c r="EA48" s="248"/>
      <c r="EB48" s="248"/>
      <c r="EC48" s="302"/>
      <c r="ED48" s="302"/>
      <c r="EE48" s="302"/>
      <c r="EF48" s="302"/>
      <c r="EG48" s="302"/>
      <c r="EH48" s="302"/>
      <c r="EI48" s="302"/>
      <c r="EJ48" s="302"/>
      <c r="EK48" s="302"/>
      <c r="EL48" s="302"/>
      <c r="EM48" s="302"/>
      <c r="EN48" s="302"/>
      <c r="EO48" s="302"/>
      <c r="EP48" s="302"/>
      <c r="EQ48" s="302"/>
      <c r="ER48" s="302"/>
      <c r="ES48" s="302"/>
      <c r="ET48" s="302"/>
      <c r="EU48" s="302"/>
      <c r="EV48" s="302"/>
      <c r="EW48" s="302"/>
      <c r="EX48" s="302"/>
      <c r="EY48" s="302"/>
      <c r="EZ48" s="302"/>
      <c r="FA48" s="302"/>
      <c r="FB48" s="302"/>
      <c r="FC48" s="302"/>
      <c r="FD48" s="302"/>
      <c r="FE48" s="302"/>
      <c r="FF48" s="302"/>
      <c r="FG48" s="302"/>
      <c r="FH48" s="302"/>
      <c r="FI48" s="302"/>
      <c r="FJ48" s="302"/>
      <c r="FK48" s="302"/>
      <c r="FL48" s="302"/>
      <c r="FM48" s="302"/>
      <c r="FN48" s="302"/>
      <c r="FO48" s="302"/>
      <c r="FP48" s="302"/>
      <c r="FQ48" s="302"/>
      <c r="FR48" s="302"/>
      <c r="FS48" s="302"/>
      <c r="FT48" s="302"/>
      <c r="FU48" s="302"/>
      <c r="FV48" s="302"/>
      <c r="FW48" s="302"/>
      <c r="FX48" s="302"/>
      <c r="FY48" s="302"/>
      <c r="FZ48" s="302"/>
      <c r="GA48" s="302"/>
      <c r="GB48" s="302"/>
      <c r="GC48" s="302"/>
      <c r="GD48" s="302"/>
      <c r="GE48" s="302"/>
      <c r="GF48" s="302"/>
      <c r="GG48" s="302"/>
      <c r="GH48" s="302"/>
      <c r="GI48" s="302"/>
      <c r="GJ48" s="302"/>
      <c r="GK48" s="302"/>
      <c r="GL48" s="302"/>
      <c r="GM48" s="302"/>
      <c r="GN48" s="302"/>
      <c r="GO48" s="302"/>
      <c r="GP48" s="302"/>
      <c r="GQ48" s="302"/>
      <c r="GR48" s="302"/>
      <c r="GS48" s="302"/>
      <c r="GT48" s="302"/>
      <c r="GU48" s="302"/>
      <c r="GV48" s="302"/>
      <c r="GW48" s="302"/>
      <c r="GX48" s="302"/>
      <c r="GY48" s="302"/>
      <c r="GZ48" s="302"/>
      <c r="HA48" s="302"/>
      <c r="HB48" s="302"/>
      <c r="HC48" s="302"/>
      <c r="HD48" s="302"/>
      <c r="HE48" s="302"/>
      <c r="HF48" s="302"/>
      <c r="HG48" s="302"/>
      <c r="HH48" s="302"/>
      <c r="HI48" s="302"/>
      <c r="HJ48" s="302"/>
      <c r="HK48" s="302"/>
      <c r="HL48" s="302"/>
      <c r="HM48" s="302"/>
      <c r="HN48" s="302"/>
      <c r="HO48" s="302"/>
      <c r="HP48" s="302"/>
      <c r="HQ48" s="302"/>
      <c r="HR48" s="302"/>
      <c r="HS48" s="302"/>
      <c r="HT48" s="302"/>
      <c r="HU48" s="302"/>
      <c r="HV48" s="302"/>
      <c r="HW48" s="302"/>
      <c r="HX48" s="302"/>
      <c r="HY48" s="302"/>
      <c r="HZ48" s="302"/>
      <c r="IA48" s="302"/>
      <c r="IB48" s="302"/>
      <c r="IC48" s="302"/>
      <c r="ID48" s="302"/>
      <c r="IE48" s="302"/>
      <c r="IF48" s="302"/>
      <c r="IG48" s="302"/>
      <c r="IH48" s="302"/>
      <c r="II48" s="302"/>
      <c r="IJ48" s="302"/>
      <c r="IK48" s="302"/>
      <c r="IL48" s="302"/>
      <c r="IM48" s="302"/>
      <c r="IN48" s="302"/>
      <c r="IO48" s="302"/>
      <c r="IP48" s="302"/>
      <c r="IQ48" s="302"/>
      <c r="IR48" s="302"/>
      <c r="IS48" s="302"/>
    </row>
    <row r="49" spans="1:253" s="4" customFormat="1">
      <c r="B49" s="369"/>
      <c r="C49" s="248"/>
      <c r="D49" s="283"/>
      <c r="E49" s="32"/>
      <c r="F49" s="35"/>
      <c r="G49" s="35"/>
      <c r="H49" s="35"/>
      <c r="I49" s="35"/>
      <c r="K49" s="32"/>
      <c r="L49" s="32"/>
      <c r="N49" s="35"/>
      <c r="O49" s="34"/>
      <c r="P49" s="285"/>
      <c r="Q49" s="59"/>
      <c r="R49" s="39"/>
      <c r="S49" s="32"/>
      <c r="T49" s="32"/>
      <c r="U49" s="32"/>
      <c r="V49" s="32"/>
      <c r="W49" s="32"/>
      <c r="X49" s="32"/>
      <c r="Y49" s="32"/>
      <c r="Z49" s="35"/>
      <c r="AA49" s="32"/>
      <c r="AB49" s="32"/>
      <c r="AC49" s="32"/>
      <c r="AD49" s="32"/>
      <c r="AE49" s="32"/>
      <c r="AF49" s="32"/>
      <c r="AG49" s="279"/>
      <c r="AH49" s="35"/>
      <c r="AI49" s="279"/>
      <c r="AJ49" s="279"/>
      <c r="AK49" s="42"/>
      <c r="AL49" s="35"/>
      <c r="AM49" s="35"/>
      <c r="AN49" s="35"/>
      <c r="AO49" s="35"/>
      <c r="AP49" s="34"/>
      <c r="AQ49" s="35"/>
      <c r="AR49" s="35"/>
      <c r="AS49" s="35"/>
      <c r="AT49" s="35"/>
      <c r="AU49" s="35"/>
      <c r="AV49" s="35"/>
      <c r="AW49" s="34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248"/>
      <c r="CC49" s="248"/>
      <c r="CD49" s="248"/>
      <c r="CE49" s="248"/>
      <c r="CF49" s="248"/>
      <c r="CG49" s="248"/>
      <c r="CH49" s="248"/>
      <c r="CI49" s="248"/>
      <c r="CJ49" s="248"/>
      <c r="CK49" s="248"/>
      <c r="CL49" s="248"/>
      <c r="CM49" s="248"/>
      <c r="CN49" s="248"/>
      <c r="CO49" s="248"/>
      <c r="CP49" s="248"/>
      <c r="CQ49" s="248"/>
      <c r="CR49" s="248"/>
      <c r="CS49" s="248"/>
      <c r="CT49" s="248"/>
      <c r="CU49" s="248"/>
      <c r="CV49" s="248"/>
      <c r="CW49" s="248"/>
      <c r="CX49" s="248"/>
      <c r="CY49" s="248"/>
      <c r="CZ49" s="248"/>
      <c r="DA49" s="248"/>
      <c r="DB49" s="248"/>
      <c r="DC49" s="248"/>
      <c r="DD49" s="248"/>
      <c r="DE49" s="248"/>
      <c r="DF49" s="248"/>
      <c r="DG49" s="248"/>
      <c r="DH49" s="248"/>
      <c r="DI49" s="248"/>
      <c r="DJ49" s="248"/>
      <c r="DK49" s="248"/>
      <c r="DL49" s="248"/>
      <c r="DM49" s="248"/>
      <c r="DN49" s="248"/>
      <c r="DO49" s="248"/>
      <c r="DP49" s="248"/>
      <c r="DQ49" s="248"/>
      <c r="DR49" s="248"/>
      <c r="DS49" s="248"/>
      <c r="DT49" s="248"/>
      <c r="DU49" s="248"/>
      <c r="DV49" s="248"/>
      <c r="DW49" s="248"/>
      <c r="DX49" s="248"/>
      <c r="DY49" s="248"/>
      <c r="DZ49" s="248"/>
      <c r="EA49" s="248"/>
      <c r="EB49" s="248"/>
      <c r="EC49" s="302"/>
      <c r="ED49" s="302"/>
      <c r="EE49" s="302"/>
      <c r="EF49" s="302"/>
      <c r="EG49" s="302"/>
      <c r="EH49" s="302"/>
      <c r="EI49" s="302"/>
      <c r="EJ49" s="302"/>
      <c r="EK49" s="302"/>
      <c r="EL49" s="302"/>
      <c r="EM49" s="302"/>
      <c r="EN49" s="302"/>
      <c r="EO49" s="302"/>
      <c r="EP49" s="302"/>
      <c r="EQ49" s="302"/>
      <c r="ER49" s="302"/>
      <c r="ES49" s="302"/>
      <c r="ET49" s="302"/>
      <c r="EU49" s="302"/>
      <c r="EV49" s="302"/>
      <c r="EW49" s="302"/>
      <c r="EX49" s="302"/>
      <c r="EY49" s="302"/>
      <c r="EZ49" s="302"/>
      <c r="FA49" s="302"/>
      <c r="FB49" s="302"/>
      <c r="FC49" s="302"/>
      <c r="FD49" s="302"/>
      <c r="FE49" s="302"/>
      <c r="FF49" s="302"/>
      <c r="FG49" s="302"/>
      <c r="FH49" s="302"/>
      <c r="FI49" s="302"/>
      <c r="FJ49" s="302"/>
      <c r="FK49" s="302"/>
      <c r="FL49" s="302"/>
      <c r="FM49" s="302"/>
      <c r="FN49" s="302"/>
      <c r="FO49" s="302"/>
      <c r="FP49" s="302"/>
      <c r="FQ49" s="302"/>
      <c r="FR49" s="302"/>
      <c r="FS49" s="302"/>
      <c r="FT49" s="302"/>
      <c r="FU49" s="302"/>
      <c r="FV49" s="302"/>
      <c r="FW49" s="302"/>
      <c r="FX49" s="302"/>
      <c r="FY49" s="302"/>
      <c r="FZ49" s="302"/>
      <c r="GA49" s="302"/>
      <c r="GB49" s="302"/>
      <c r="GC49" s="302"/>
      <c r="GD49" s="302"/>
      <c r="GE49" s="302"/>
      <c r="GF49" s="302"/>
      <c r="GG49" s="302"/>
      <c r="GH49" s="302"/>
      <c r="GI49" s="302"/>
      <c r="GJ49" s="302"/>
      <c r="GK49" s="302"/>
      <c r="GL49" s="302"/>
      <c r="GM49" s="302"/>
      <c r="GN49" s="302"/>
      <c r="GO49" s="302"/>
      <c r="GP49" s="302"/>
      <c r="GQ49" s="302"/>
      <c r="GR49" s="302"/>
      <c r="GS49" s="302"/>
      <c r="GT49" s="302"/>
      <c r="GU49" s="302"/>
      <c r="GV49" s="302"/>
      <c r="GW49" s="302"/>
      <c r="GX49" s="302"/>
      <c r="GY49" s="302"/>
      <c r="GZ49" s="302"/>
      <c r="HA49" s="302"/>
      <c r="HB49" s="302"/>
      <c r="HC49" s="302"/>
      <c r="HD49" s="302"/>
      <c r="HE49" s="302"/>
      <c r="HF49" s="302"/>
      <c r="HG49" s="302"/>
      <c r="HH49" s="302"/>
      <c r="HI49" s="302"/>
      <c r="HJ49" s="302"/>
      <c r="HK49" s="302"/>
      <c r="HL49" s="302"/>
      <c r="HM49" s="302"/>
      <c r="HN49" s="302"/>
      <c r="HO49" s="302"/>
      <c r="HP49" s="302"/>
      <c r="HQ49" s="302"/>
      <c r="HR49" s="302"/>
      <c r="HS49" s="302"/>
      <c r="HT49" s="302"/>
      <c r="HU49" s="302"/>
      <c r="HV49" s="302"/>
      <c r="HW49" s="302"/>
      <c r="HX49" s="302"/>
      <c r="HY49" s="302"/>
      <c r="HZ49" s="302"/>
      <c r="IA49" s="302"/>
      <c r="IB49" s="302"/>
      <c r="IC49" s="302"/>
      <c r="ID49" s="302"/>
      <c r="IE49" s="302"/>
      <c r="IF49" s="302"/>
      <c r="IG49" s="302"/>
      <c r="IH49" s="302"/>
      <c r="II49" s="302"/>
      <c r="IJ49" s="302"/>
      <c r="IK49" s="302"/>
      <c r="IL49" s="302"/>
      <c r="IM49" s="302"/>
      <c r="IN49" s="302"/>
      <c r="IO49" s="302"/>
      <c r="IP49" s="302"/>
      <c r="IQ49" s="302"/>
      <c r="IR49" s="302"/>
      <c r="IS49" s="302"/>
    </row>
    <row r="50" spans="1:253" s="35" customFormat="1">
      <c r="A50" s="35" t="s">
        <v>2647</v>
      </c>
      <c r="B50" s="331"/>
      <c r="C50" s="248">
        <v>12</v>
      </c>
      <c r="D50" s="283" t="s">
        <v>605</v>
      </c>
      <c r="E50" s="283"/>
      <c r="F50" s="35" t="s">
        <v>1086</v>
      </c>
      <c r="G50" s="39" t="s">
        <v>2225</v>
      </c>
      <c r="H50" s="35" t="s">
        <v>609</v>
      </c>
      <c r="N50" s="35" t="s">
        <v>537</v>
      </c>
      <c r="O50" s="34" t="s">
        <v>1086</v>
      </c>
      <c r="P50" s="34" t="s">
        <v>1086</v>
      </c>
      <c r="Q50" s="58"/>
      <c r="R50" s="39"/>
      <c r="AH50" s="279"/>
      <c r="AI50" s="279" t="s">
        <v>1117</v>
      </c>
      <c r="AJ50" s="279"/>
      <c r="AK50" s="279" t="s">
        <v>538</v>
      </c>
      <c r="AL50" s="35">
        <v>12</v>
      </c>
      <c r="AM50" s="35" t="s">
        <v>1491</v>
      </c>
      <c r="AN50" s="35" t="s">
        <v>2145</v>
      </c>
      <c r="AO50" s="35" t="s">
        <v>532</v>
      </c>
      <c r="AP50" s="34" t="s">
        <v>2225</v>
      </c>
      <c r="AQ50" s="35">
        <v>1</v>
      </c>
      <c r="AR50" s="35" t="s">
        <v>1748</v>
      </c>
      <c r="AS50" s="35" t="s">
        <v>10</v>
      </c>
      <c r="AT50" s="35" t="s">
        <v>10</v>
      </c>
      <c r="AU50" s="35" t="s">
        <v>896</v>
      </c>
      <c r="AV50" s="35" t="s">
        <v>624</v>
      </c>
      <c r="AW50" s="34" t="s">
        <v>2254</v>
      </c>
      <c r="AX50" s="35">
        <v>28</v>
      </c>
      <c r="AY50" s="35" t="s">
        <v>350</v>
      </c>
      <c r="AZ50" s="35" t="s">
        <v>77</v>
      </c>
      <c r="BA50" s="35" t="s">
        <v>10</v>
      </c>
      <c r="BB50" s="35" t="s">
        <v>26</v>
      </c>
      <c r="BC50" s="35" t="s">
        <v>1742</v>
      </c>
      <c r="BD50" s="35" t="s">
        <v>10</v>
      </c>
      <c r="BE50" s="35" t="s">
        <v>10</v>
      </c>
      <c r="BF50" s="35">
        <v>567</v>
      </c>
      <c r="BG50" s="35" t="s">
        <v>25</v>
      </c>
      <c r="BH50" s="35">
        <v>0.5</v>
      </c>
      <c r="BI50" s="35" t="s">
        <v>1285</v>
      </c>
      <c r="BJ50" s="335" t="s">
        <v>2374</v>
      </c>
      <c r="BK50" s="35" t="s">
        <v>2492</v>
      </c>
      <c r="BL50" s="35">
        <v>12</v>
      </c>
      <c r="BV50" s="248"/>
      <c r="BW50" s="248"/>
      <c r="BX50" s="248"/>
      <c r="BY50" s="248"/>
      <c r="BZ50" s="248"/>
      <c r="CA50" s="248"/>
      <c r="CB50" s="248"/>
      <c r="CC50" s="248"/>
      <c r="CD50" s="248"/>
      <c r="CE50" s="248"/>
      <c r="CF50" s="248"/>
      <c r="CG50" s="248"/>
      <c r="CH50" s="248"/>
      <c r="CI50" s="248"/>
      <c r="CJ50" s="248"/>
      <c r="CK50" s="248"/>
      <c r="CL50" s="248"/>
      <c r="CM50" s="248"/>
      <c r="CN50" s="248"/>
      <c r="CO50" s="248"/>
      <c r="CP50" s="248"/>
      <c r="CQ50" s="248"/>
      <c r="CR50" s="248"/>
      <c r="CS50" s="248"/>
      <c r="CT50" s="248"/>
      <c r="CU50" s="248"/>
      <c r="CV50" s="248"/>
      <c r="CW50" s="248"/>
      <c r="CX50" s="248"/>
      <c r="CY50" s="248"/>
      <c r="CZ50" s="248"/>
      <c r="DA50" s="248"/>
      <c r="DB50" s="248"/>
      <c r="DC50" s="248"/>
      <c r="DD50" s="248"/>
      <c r="DE50" s="248"/>
      <c r="DF50" s="248"/>
      <c r="DG50" s="248"/>
      <c r="DH50" s="248"/>
      <c r="DI50" s="248"/>
      <c r="DJ50" s="248"/>
      <c r="DK50" s="248"/>
      <c r="DL50" s="248"/>
      <c r="DM50" s="248"/>
      <c r="DN50" s="248"/>
      <c r="DO50" s="248"/>
      <c r="DP50" s="248"/>
      <c r="DQ50" s="248"/>
      <c r="DR50" s="248"/>
      <c r="DS50" s="248"/>
      <c r="DT50" s="248"/>
      <c r="DU50" s="248"/>
      <c r="DV50" s="248"/>
      <c r="DW50" s="248"/>
      <c r="DX50" s="248"/>
      <c r="DY50" s="248"/>
      <c r="DZ50" s="248"/>
      <c r="EA50" s="248"/>
      <c r="EB50" s="248"/>
      <c r="EC50" s="248"/>
      <c r="ED50" s="248"/>
    </row>
    <row r="51" spans="1:253" s="35" customFormat="1">
      <c r="A51" s="35" t="s">
        <v>2647</v>
      </c>
      <c r="B51" s="331"/>
      <c r="C51" s="248">
        <v>13</v>
      </c>
      <c r="D51" s="283" t="s">
        <v>605</v>
      </c>
      <c r="E51" s="283"/>
      <c r="F51" s="35" t="s">
        <v>1086</v>
      </c>
      <c r="G51" s="39" t="s">
        <v>2225</v>
      </c>
      <c r="H51" s="35" t="s">
        <v>609</v>
      </c>
      <c r="N51" s="35" t="s">
        <v>537</v>
      </c>
      <c r="O51" s="34" t="s">
        <v>1086</v>
      </c>
      <c r="P51" s="34" t="s">
        <v>1086</v>
      </c>
      <c r="Q51" s="58"/>
      <c r="R51" s="39"/>
      <c r="AH51" s="279"/>
      <c r="AI51" s="279" t="s">
        <v>1117</v>
      </c>
      <c r="AJ51" s="279"/>
      <c r="AK51" s="279" t="s">
        <v>538</v>
      </c>
      <c r="AL51" s="35">
        <v>13</v>
      </c>
      <c r="AM51" s="35" t="s">
        <v>1749</v>
      </c>
      <c r="AN51" s="35" t="s">
        <v>2145</v>
      </c>
      <c r="AO51" s="35" t="s">
        <v>532</v>
      </c>
      <c r="AP51" s="34" t="s">
        <v>2225</v>
      </c>
      <c r="AQ51" s="35">
        <v>1</v>
      </c>
      <c r="AR51" s="35" t="s">
        <v>1748</v>
      </c>
      <c r="AS51" s="35" t="s">
        <v>10</v>
      </c>
      <c r="AT51" s="35" t="s">
        <v>10</v>
      </c>
      <c r="AU51" s="35" t="s">
        <v>896</v>
      </c>
      <c r="AV51" s="35" t="s">
        <v>624</v>
      </c>
      <c r="AW51" s="34" t="s">
        <v>2254</v>
      </c>
      <c r="AX51" s="35">
        <v>29</v>
      </c>
      <c r="AY51" s="35" t="s">
        <v>350</v>
      </c>
      <c r="AZ51" s="35" t="s">
        <v>77</v>
      </c>
      <c r="BA51" s="35" t="s">
        <v>10</v>
      </c>
      <c r="BB51" s="35" t="s">
        <v>26</v>
      </c>
      <c r="BC51" s="35" t="s">
        <v>1742</v>
      </c>
      <c r="BD51" s="35" t="s">
        <v>10</v>
      </c>
      <c r="BE51" s="35" t="s">
        <v>10</v>
      </c>
      <c r="BF51" s="35">
        <v>567</v>
      </c>
      <c r="BG51" s="35" t="s">
        <v>25</v>
      </c>
      <c r="BH51" s="35">
        <v>0.5</v>
      </c>
      <c r="BI51" s="35" t="s">
        <v>1285</v>
      </c>
      <c r="BJ51" s="335" t="s">
        <v>2374</v>
      </c>
      <c r="BK51" s="35" t="s">
        <v>2492</v>
      </c>
      <c r="BL51" s="35">
        <v>13</v>
      </c>
      <c r="BV51" s="248"/>
      <c r="BW51" s="248"/>
      <c r="BX51" s="248"/>
      <c r="BY51" s="248"/>
      <c r="BZ51" s="248"/>
      <c r="CA51" s="248"/>
      <c r="CB51" s="248"/>
      <c r="CC51" s="248"/>
      <c r="CD51" s="248"/>
      <c r="CE51" s="248"/>
      <c r="CF51" s="248"/>
      <c r="CG51" s="248"/>
      <c r="CH51" s="248"/>
      <c r="CI51" s="248"/>
      <c r="CJ51" s="248"/>
      <c r="CK51" s="248"/>
      <c r="CL51" s="248"/>
      <c r="CM51" s="248"/>
      <c r="CN51" s="248"/>
      <c r="CO51" s="248"/>
      <c r="CP51" s="248"/>
      <c r="CQ51" s="248"/>
      <c r="CR51" s="248"/>
      <c r="CS51" s="248"/>
      <c r="CT51" s="248"/>
      <c r="CU51" s="248"/>
      <c r="CV51" s="248"/>
      <c r="CW51" s="248"/>
      <c r="CX51" s="248"/>
      <c r="CY51" s="248"/>
      <c r="CZ51" s="248"/>
      <c r="DA51" s="248"/>
      <c r="DB51" s="248"/>
      <c r="DC51" s="248"/>
      <c r="DD51" s="248"/>
      <c r="DE51" s="248"/>
      <c r="DF51" s="248"/>
      <c r="DG51" s="248"/>
      <c r="DH51" s="248"/>
      <c r="DI51" s="248"/>
      <c r="DJ51" s="248"/>
      <c r="DK51" s="248"/>
      <c r="DL51" s="248"/>
      <c r="DM51" s="248"/>
      <c r="DN51" s="248"/>
      <c r="DO51" s="248"/>
      <c r="DP51" s="248"/>
      <c r="DQ51" s="248"/>
      <c r="DR51" s="248"/>
      <c r="DS51" s="248"/>
      <c r="DT51" s="248"/>
      <c r="DU51" s="248"/>
      <c r="DV51" s="248"/>
      <c r="DW51" s="248"/>
      <c r="DX51" s="248"/>
      <c r="DY51" s="248"/>
      <c r="DZ51" s="248"/>
      <c r="EA51" s="248"/>
      <c r="EB51" s="248"/>
      <c r="EC51" s="248"/>
      <c r="ED51" s="248"/>
    </row>
    <row r="52" spans="1:253" s="35" customFormat="1">
      <c r="A52" s="35" t="s">
        <v>2647</v>
      </c>
      <c r="B52" s="331"/>
      <c r="C52" s="248">
        <v>14</v>
      </c>
      <c r="D52" s="283" t="s">
        <v>605</v>
      </c>
      <c r="E52" s="283"/>
      <c r="F52" s="35" t="s">
        <v>1086</v>
      </c>
      <c r="G52" s="39" t="s">
        <v>2225</v>
      </c>
      <c r="H52" s="35" t="s">
        <v>609</v>
      </c>
      <c r="N52" s="35" t="s">
        <v>537</v>
      </c>
      <c r="O52" s="34" t="s">
        <v>1086</v>
      </c>
      <c r="P52" s="34" t="s">
        <v>1086</v>
      </c>
      <c r="Q52" s="58"/>
      <c r="R52" s="39"/>
      <c r="AH52" s="279"/>
      <c r="AI52" s="279" t="s">
        <v>1117</v>
      </c>
      <c r="AJ52" s="279"/>
      <c r="AK52" s="279" t="s">
        <v>538</v>
      </c>
      <c r="AL52" s="35">
        <v>14</v>
      </c>
      <c r="AM52" s="35" t="s">
        <v>1373</v>
      </c>
      <c r="AN52" s="35" t="s">
        <v>2145</v>
      </c>
      <c r="AO52" s="35" t="s">
        <v>532</v>
      </c>
      <c r="AP52" s="34" t="s">
        <v>2225</v>
      </c>
      <c r="AQ52" s="35">
        <v>1</v>
      </c>
      <c r="AR52" s="35" t="s">
        <v>1748</v>
      </c>
      <c r="AS52" s="35" t="s">
        <v>10</v>
      </c>
      <c r="AT52" s="35" t="s">
        <v>10</v>
      </c>
      <c r="AU52" s="35" t="s">
        <v>896</v>
      </c>
      <c r="AV52" s="35" t="s">
        <v>624</v>
      </c>
      <c r="AW52" s="34" t="s">
        <v>2254</v>
      </c>
      <c r="AX52" s="35">
        <v>30</v>
      </c>
      <c r="AY52" s="35" t="s">
        <v>350</v>
      </c>
      <c r="AZ52" s="35" t="s">
        <v>77</v>
      </c>
      <c r="BA52" s="35" t="s">
        <v>10</v>
      </c>
      <c r="BB52" s="35" t="s">
        <v>26</v>
      </c>
      <c r="BC52" s="35" t="s">
        <v>1742</v>
      </c>
      <c r="BD52" s="35" t="s">
        <v>10</v>
      </c>
      <c r="BE52" s="35" t="s">
        <v>10</v>
      </c>
      <c r="BF52" s="35">
        <v>567</v>
      </c>
      <c r="BG52" s="35" t="s">
        <v>25</v>
      </c>
      <c r="BH52" s="35">
        <v>0.5</v>
      </c>
      <c r="BI52" s="35" t="s">
        <v>1285</v>
      </c>
      <c r="BJ52" s="335" t="s">
        <v>2374</v>
      </c>
      <c r="BK52" s="35" t="s">
        <v>2492</v>
      </c>
      <c r="BL52" s="35">
        <v>14</v>
      </c>
      <c r="BV52" s="248"/>
      <c r="BW52" s="248"/>
      <c r="BX52" s="248"/>
      <c r="BY52" s="248"/>
      <c r="BZ52" s="248"/>
      <c r="CA52" s="248"/>
      <c r="CB52" s="248"/>
      <c r="CC52" s="248"/>
      <c r="CD52" s="248"/>
      <c r="CE52" s="248"/>
      <c r="CF52" s="248"/>
      <c r="CG52" s="248"/>
      <c r="CH52" s="248"/>
      <c r="CI52" s="248"/>
      <c r="CJ52" s="248"/>
      <c r="CK52" s="248"/>
      <c r="CL52" s="248"/>
      <c r="CM52" s="248"/>
      <c r="CN52" s="248"/>
      <c r="CO52" s="248"/>
      <c r="CP52" s="248"/>
      <c r="CQ52" s="248"/>
      <c r="CR52" s="248"/>
      <c r="CS52" s="248"/>
      <c r="CT52" s="248"/>
      <c r="CU52" s="248"/>
      <c r="CV52" s="248"/>
      <c r="CW52" s="248"/>
      <c r="CX52" s="248"/>
      <c r="CY52" s="248"/>
      <c r="CZ52" s="248"/>
      <c r="DA52" s="248"/>
      <c r="DB52" s="248"/>
      <c r="DC52" s="248"/>
      <c r="DD52" s="248"/>
      <c r="DE52" s="248"/>
      <c r="DF52" s="248"/>
      <c r="DG52" s="248"/>
      <c r="DH52" s="248"/>
      <c r="DI52" s="248"/>
      <c r="DJ52" s="248"/>
      <c r="DK52" s="248"/>
      <c r="DL52" s="248"/>
      <c r="DM52" s="248"/>
      <c r="DN52" s="248"/>
      <c r="DO52" s="248"/>
      <c r="DP52" s="248"/>
      <c r="DQ52" s="248"/>
      <c r="DR52" s="248"/>
      <c r="DS52" s="248"/>
      <c r="DT52" s="248"/>
      <c r="DU52" s="248"/>
      <c r="DV52" s="248"/>
      <c r="DW52" s="248"/>
      <c r="DX52" s="248"/>
      <c r="DY52" s="248"/>
      <c r="DZ52" s="248"/>
      <c r="EA52" s="248"/>
      <c r="EB52" s="248"/>
      <c r="EC52" s="248"/>
      <c r="ED52" s="248"/>
    </row>
    <row r="53" spans="1:253" s="35" customFormat="1">
      <c r="A53" s="35" t="s">
        <v>2648</v>
      </c>
      <c r="B53" s="331"/>
      <c r="C53" s="248">
        <v>38</v>
      </c>
      <c r="D53" s="283" t="s">
        <v>605</v>
      </c>
      <c r="E53" s="283"/>
      <c r="F53" s="35" t="s">
        <v>1086</v>
      </c>
      <c r="G53" s="39" t="s">
        <v>2225</v>
      </c>
      <c r="H53" s="35" t="s">
        <v>609</v>
      </c>
      <c r="N53" s="35" t="s">
        <v>537</v>
      </c>
      <c r="O53" s="34" t="s">
        <v>1086</v>
      </c>
      <c r="P53" s="34" t="s">
        <v>1086</v>
      </c>
      <c r="Q53" s="58"/>
      <c r="R53" s="39"/>
      <c r="AH53" s="279"/>
      <c r="AI53" s="279" t="s">
        <v>1117</v>
      </c>
      <c r="AJ53" s="279"/>
      <c r="AK53" s="279" t="s">
        <v>538</v>
      </c>
      <c r="AL53" s="35">
        <v>38</v>
      </c>
      <c r="AM53" s="35" t="s">
        <v>1376</v>
      </c>
      <c r="AN53" s="35" t="s">
        <v>2145</v>
      </c>
      <c r="AO53" s="35" t="s">
        <v>532</v>
      </c>
      <c r="AP53" s="34" t="s">
        <v>2225</v>
      </c>
      <c r="AQ53" s="35">
        <v>1</v>
      </c>
      <c r="AR53" s="35" t="s">
        <v>1748</v>
      </c>
      <c r="AS53" s="35" t="s">
        <v>10</v>
      </c>
      <c r="AT53" s="35" t="s">
        <v>10</v>
      </c>
      <c r="AU53" s="35" t="s">
        <v>502</v>
      </c>
      <c r="AV53" s="35" t="s">
        <v>641</v>
      </c>
      <c r="AW53" s="34" t="s">
        <v>1776</v>
      </c>
      <c r="AX53" s="35">
        <v>14</v>
      </c>
      <c r="AY53" s="35" t="s">
        <v>1389</v>
      </c>
      <c r="AZ53" s="35" t="s">
        <v>241</v>
      </c>
      <c r="BA53" s="35" t="s">
        <v>10</v>
      </c>
      <c r="BB53" s="35" t="s">
        <v>224</v>
      </c>
      <c r="BC53" s="35" t="s">
        <v>1742</v>
      </c>
      <c r="BD53" s="35" t="s">
        <v>10</v>
      </c>
      <c r="BE53" s="35" t="s">
        <v>10</v>
      </c>
      <c r="BF53" s="35">
        <v>942</v>
      </c>
      <c r="BG53" s="35" t="s">
        <v>25</v>
      </c>
      <c r="BH53" s="35">
        <v>0.75</v>
      </c>
      <c r="BI53" s="35" t="s">
        <v>1285</v>
      </c>
      <c r="BJ53" s="335" t="s">
        <v>2374</v>
      </c>
      <c r="BK53" s="35" t="s">
        <v>2492</v>
      </c>
      <c r="BL53" s="35">
        <v>38</v>
      </c>
      <c r="BV53" s="248"/>
      <c r="BW53" s="248"/>
      <c r="BX53" s="248"/>
      <c r="BY53" s="248"/>
      <c r="BZ53" s="248"/>
      <c r="CA53" s="248"/>
      <c r="CB53" s="248"/>
      <c r="CC53" s="248"/>
      <c r="CD53" s="248"/>
      <c r="CE53" s="248"/>
      <c r="CF53" s="248"/>
      <c r="CG53" s="248"/>
      <c r="CH53" s="248"/>
      <c r="CI53" s="248"/>
      <c r="CJ53" s="248"/>
      <c r="CK53" s="248"/>
      <c r="CL53" s="248"/>
      <c r="CM53" s="248"/>
      <c r="CN53" s="248"/>
      <c r="CO53" s="248"/>
      <c r="CP53" s="248"/>
      <c r="CQ53" s="248"/>
      <c r="CR53" s="248"/>
      <c r="CS53" s="248"/>
      <c r="CT53" s="248"/>
      <c r="CU53" s="248"/>
      <c r="CV53" s="248"/>
      <c r="CW53" s="248"/>
      <c r="CX53" s="248"/>
      <c r="CY53" s="248"/>
      <c r="CZ53" s="248"/>
      <c r="DA53" s="248"/>
      <c r="DB53" s="248"/>
      <c r="DC53" s="248"/>
      <c r="DD53" s="248"/>
      <c r="DE53" s="248"/>
      <c r="DF53" s="248"/>
      <c r="DG53" s="248"/>
      <c r="DH53" s="248"/>
      <c r="DI53" s="248"/>
      <c r="DJ53" s="248"/>
      <c r="DK53" s="248"/>
      <c r="DL53" s="248"/>
      <c r="DM53" s="248"/>
      <c r="DN53" s="248"/>
      <c r="DO53" s="248"/>
      <c r="DP53" s="248"/>
      <c r="DQ53" s="248"/>
      <c r="DR53" s="248"/>
      <c r="DS53" s="248"/>
      <c r="DT53" s="248"/>
      <c r="DU53" s="248"/>
      <c r="DV53" s="248"/>
      <c r="DW53" s="248"/>
      <c r="DX53" s="248"/>
      <c r="DY53" s="248"/>
      <c r="DZ53" s="248"/>
      <c r="EA53" s="248"/>
      <c r="EB53" s="248"/>
      <c r="EC53" s="248"/>
      <c r="ED53" s="248"/>
    </row>
    <row r="54" spans="1:253" s="35" customFormat="1">
      <c r="A54" s="35" t="s">
        <v>2649</v>
      </c>
      <c r="B54" s="331"/>
      <c r="C54" s="248">
        <v>53</v>
      </c>
      <c r="D54" s="283" t="s">
        <v>605</v>
      </c>
      <c r="E54" s="283"/>
      <c r="F54" s="35" t="s">
        <v>1086</v>
      </c>
      <c r="G54" s="39" t="s">
        <v>2225</v>
      </c>
      <c r="H54" s="35" t="s">
        <v>609</v>
      </c>
      <c r="N54" s="35" t="s">
        <v>537</v>
      </c>
      <c r="O54" s="34" t="s">
        <v>1086</v>
      </c>
      <c r="P54" s="34" t="s">
        <v>1086</v>
      </c>
      <c r="Q54" s="58"/>
      <c r="R54" s="39"/>
      <c r="AH54" s="279"/>
      <c r="AI54" s="279" t="s">
        <v>1117</v>
      </c>
      <c r="AJ54" s="279"/>
      <c r="AK54" s="279" t="s">
        <v>539</v>
      </c>
      <c r="AL54" s="35">
        <v>53</v>
      </c>
      <c r="AM54" s="35" t="s">
        <v>1375</v>
      </c>
      <c r="AN54" s="35" t="s">
        <v>2145</v>
      </c>
      <c r="AO54" s="35" t="s">
        <v>532</v>
      </c>
      <c r="AP54" s="34" t="s">
        <v>2225</v>
      </c>
      <c r="AQ54" s="35">
        <v>1</v>
      </c>
      <c r="AR54" s="35" t="s">
        <v>1748</v>
      </c>
      <c r="AS54" s="35" t="s">
        <v>10</v>
      </c>
      <c r="AT54" s="35" t="s">
        <v>10</v>
      </c>
      <c r="AU54" s="35" t="s">
        <v>416</v>
      </c>
      <c r="AV54" s="35" t="s">
        <v>639</v>
      </c>
      <c r="AW54" s="34" t="s">
        <v>1794</v>
      </c>
      <c r="AX54" s="35">
        <v>15</v>
      </c>
      <c r="AY54" s="35" t="s">
        <v>876</v>
      </c>
      <c r="AZ54" s="35" t="s">
        <v>75</v>
      </c>
      <c r="BA54" s="35" t="s">
        <v>10</v>
      </c>
      <c r="BB54" s="35" t="s">
        <v>92</v>
      </c>
      <c r="BC54" s="35" t="s">
        <v>1742</v>
      </c>
      <c r="BD54" s="35" t="s">
        <v>10</v>
      </c>
      <c r="BE54" s="35" t="s">
        <v>10</v>
      </c>
      <c r="BF54" s="35">
        <v>762</v>
      </c>
      <c r="BG54" s="35" t="s">
        <v>25</v>
      </c>
      <c r="BH54" s="35">
        <v>2.5</v>
      </c>
      <c r="BI54" s="35" t="s">
        <v>1285</v>
      </c>
      <c r="BJ54" s="335" t="s">
        <v>2374</v>
      </c>
      <c r="BK54" s="35" t="s">
        <v>2492</v>
      </c>
      <c r="BL54" s="35">
        <v>53</v>
      </c>
      <c r="BV54" s="248"/>
      <c r="BW54" s="248"/>
      <c r="BX54" s="248"/>
      <c r="BY54" s="248"/>
      <c r="BZ54" s="248"/>
      <c r="CA54" s="248"/>
      <c r="CB54" s="248"/>
      <c r="CC54" s="248"/>
      <c r="CD54" s="248"/>
      <c r="CE54" s="248"/>
      <c r="CF54" s="248"/>
      <c r="CG54" s="248"/>
      <c r="CH54" s="248"/>
      <c r="CI54" s="248"/>
      <c r="CJ54" s="248"/>
      <c r="CK54" s="248"/>
      <c r="CL54" s="248"/>
      <c r="CM54" s="248"/>
      <c r="CN54" s="248"/>
      <c r="CO54" s="248"/>
      <c r="CP54" s="248"/>
      <c r="CQ54" s="248"/>
      <c r="CR54" s="248"/>
      <c r="CS54" s="248"/>
      <c r="CT54" s="248"/>
      <c r="CU54" s="248"/>
      <c r="CV54" s="248"/>
      <c r="CW54" s="248"/>
      <c r="CX54" s="248"/>
      <c r="CY54" s="248"/>
      <c r="CZ54" s="248"/>
      <c r="DA54" s="248"/>
      <c r="DB54" s="248"/>
      <c r="DC54" s="248"/>
      <c r="DD54" s="248"/>
      <c r="DE54" s="248"/>
      <c r="DF54" s="248"/>
      <c r="DG54" s="248"/>
      <c r="DH54" s="248"/>
      <c r="DI54" s="248"/>
      <c r="DJ54" s="248"/>
      <c r="DK54" s="248"/>
      <c r="DL54" s="248"/>
      <c r="DM54" s="248"/>
      <c r="DN54" s="248"/>
      <c r="DO54" s="248"/>
      <c r="DP54" s="248"/>
      <c r="DQ54" s="248"/>
      <c r="DR54" s="248"/>
      <c r="DS54" s="248"/>
      <c r="DT54" s="248"/>
      <c r="DU54" s="248"/>
      <c r="DV54" s="248"/>
      <c r="DW54" s="248"/>
      <c r="DX54" s="248"/>
      <c r="DY54" s="248"/>
      <c r="DZ54" s="248"/>
      <c r="EA54" s="248"/>
      <c r="EB54" s="248"/>
      <c r="EC54" s="248"/>
      <c r="ED54" s="248"/>
    </row>
    <row r="55" spans="1:253" s="35" customFormat="1">
      <c r="A55" s="35" t="s">
        <v>2650</v>
      </c>
      <c r="B55" s="331"/>
      <c r="C55" s="248">
        <v>82</v>
      </c>
      <c r="D55" s="283" t="s">
        <v>605</v>
      </c>
      <c r="F55" s="283" t="s">
        <v>1086</v>
      </c>
      <c r="G55" s="39" t="s">
        <v>2252</v>
      </c>
      <c r="H55" s="35" t="s">
        <v>611</v>
      </c>
      <c r="N55" s="35" t="s">
        <v>537</v>
      </c>
      <c r="O55" s="34" t="s">
        <v>1086</v>
      </c>
      <c r="P55" s="34" t="s">
        <v>1086</v>
      </c>
      <c r="Q55" s="58"/>
      <c r="R55" s="39"/>
      <c r="AH55" s="279"/>
      <c r="AI55" s="279" t="s">
        <v>1117</v>
      </c>
      <c r="AJ55" s="279"/>
      <c r="AK55" s="279" t="s">
        <v>538</v>
      </c>
      <c r="AL55" s="35">
        <v>82</v>
      </c>
      <c r="AM55" s="35" t="s">
        <v>1407</v>
      </c>
      <c r="AN55" s="35" t="s">
        <v>2148</v>
      </c>
      <c r="AO55" s="35" t="s">
        <v>535</v>
      </c>
      <c r="AP55" s="34" t="s">
        <v>2232</v>
      </c>
      <c r="AQ55" s="35">
        <v>1</v>
      </c>
      <c r="AR55" s="35" t="s">
        <v>1254</v>
      </c>
      <c r="AS55" s="35" t="s">
        <v>10</v>
      </c>
      <c r="AT55" s="35" t="s">
        <v>10</v>
      </c>
      <c r="AU55" s="35" t="s">
        <v>2145</v>
      </c>
      <c r="AV55" s="35" t="s">
        <v>532</v>
      </c>
      <c r="AW55" s="34" t="s">
        <v>2225</v>
      </c>
      <c r="AX55" s="35">
        <v>1</v>
      </c>
      <c r="AY55" s="35" t="s">
        <v>1748</v>
      </c>
      <c r="AZ55" s="35" t="s">
        <v>10</v>
      </c>
      <c r="BA55" s="35" t="s">
        <v>10</v>
      </c>
      <c r="BB55" s="35" t="s">
        <v>163</v>
      </c>
      <c r="BC55" s="35" t="s">
        <v>1742</v>
      </c>
      <c r="BD55" s="35" t="s">
        <v>10</v>
      </c>
      <c r="BE55" s="35" t="s">
        <v>10</v>
      </c>
      <c r="BF55" s="35">
        <v>493</v>
      </c>
      <c r="BG55" s="35" t="s">
        <v>25</v>
      </c>
      <c r="BH55" s="35">
        <v>1.5</v>
      </c>
      <c r="BI55" s="35" t="s">
        <v>1285</v>
      </c>
      <c r="BJ55" s="335" t="s">
        <v>2374</v>
      </c>
      <c r="BK55" s="35" t="s">
        <v>2492</v>
      </c>
      <c r="BL55" s="35">
        <v>82</v>
      </c>
      <c r="BV55" s="248"/>
      <c r="BW55" s="248"/>
      <c r="BX55" s="248"/>
      <c r="BY55" s="248"/>
      <c r="BZ55" s="248"/>
      <c r="CA55" s="248"/>
      <c r="CB55" s="248"/>
      <c r="CC55" s="248"/>
      <c r="CD55" s="248"/>
      <c r="CE55" s="248"/>
      <c r="CF55" s="248"/>
      <c r="CG55" s="248"/>
      <c r="CH55" s="248"/>
      <c r="CI55" s="248"/>
      <c r="CJ55" s="248"/>
      <c r="CK55" s="248"/>
      <c r="CL55" s="248"/>
      <c r="CM55" s="248"/>
      <c r="CN55" s="248"/>
      <c r="CO55" s="248"/>
      <c r="CP55" s="248"/>
      <c r="CQ55" s="248"/>
      <c r="CR55" s="248"/>
      <c r="CS55" s="248"/>
      <c r="CT55" s="248"/>
      <c r="CU55" s="248"/>
      <c r="CV55" s="248"/>
      <c r="CW55" s="248"/>
      <c r="CX55" s="248"/>
      <c r="CY55" s="248"/>
      <c r="CZ55" s="248"/>
      <c r="DA55" s="248"/>
      <c r="DB55" s="248"/>
      <c r="DC55" s="248"/>
      <c r="DD55" s="248"/>
      <c r="DE55" s="248"/>
      <c r="DF55" s="248"/>
      <c r="DG55" s="248"/>
      <c r="DH55" s="248"/>
      <c r="DI55" s="248"/>
      <c r="DJ55" s="248"/>
      <c r="DK55" s="248"/>
      <c r="DL55" s="248"/>
      <c r="DM55" s="248"/>
      <c r="DN55" s="248"/>
      <c r="DO55" s="248"/>
      <c r="DP55" s="248"/>
      <c r="DQ55" s="248"/>
      <c r="DR55" s="248"/>
      <c r="DS55" s="248"/>
      <c r="DT55" s="248"/>
      <c r="DU55" s="248"/>
      <c r="DV55" s="248"/>
      <c r="DW55" s="248"/>
      <c r="DX55" s="248"/>
      <c r="DY55" s="248"/>
      <c r="DZ55" s="248"/>
      <c r="EA55" s="248"/>
      <c r="EB55" s="248"/>
      <c r="EC55" s="248"/>
      <c r="ED55" s="248"/>
    </row>
    <row r="56" spans="1:253" s="35" customFormat="1">
      <c r="A56" s="35" t="s">
        <v>2651</v>
      </c>
      <c r="B56" s="331"/>
      <c r="C56" s="248">
        <v>72003</v>
      </c>
      <c r="D56" s="283" t="s">
        <v>607</v>
      </c>
      <c r="F56" s="35" t="s">
        <v>1086</v>
      </c>
      <c r="G56" s="35" t="s">
        <v>2225</v>
      </c>
      <c r="H56" s="35" t="s">
        <v>609</v>
      </c>
      <c r="N56" s="35" t="s">
        <v>537</v>
      </c>
      <c r="O56" s="34" t="s">
        <v>1086</v>
      </c>
      <c r="P56" s="34" t="s">
        <v>1086</v>
      </c>
      <c r="Q56" s="58"/>
      <c r="R56" s="39"/>
      <c r="AH56" s="279"/>
      <c r="AI56" s="279" t="s">
        <v>1117</v>
      </c>
      <c r="AJ56" s="279"/>
      <c r="AK56" s="279" t="s">
        <v>539</v>
      </c>
      <c r="AL56" s="35">
        <v>72003</v>
      </c>
      <c r="AM56" s="35" t="s">
        <v>1916</v>
      </c>
      <c r="AN56" s="35" t="s">
        <v>2145</v>
      </c>
      <c r="AO56" s="35" t="s">
        <v>532</v>
      </c>
      <c r="AP56" s="34" t="s">
        <v>2225</v>
      </c>
      <c r="AQ56" s="35">
        <v>1</v>
      </c>
      <c r="AR56" s="35" t="s">
        <v>1748</v>
      </c>
      <c r="AS56" s="35" t="s">
        <v>10</v>
      </c>
      <c r="AT56" s="35" t="s">
        <v>10</v>
      </c>
      <c r="AU56" s="35" t="s">
        <v>1709</v>
      </c>
      <c r="AV56" s="35" t="s">
        <v>723</v>
      </c>
      <c r="AW56" s="34" t="s">
        <v>2277</v>
      </c>
      <c r="AX56" s="35">
        <v>3</v>
      </c>
      <c r="AY56" s="35" t="s">
        <v>694</v>
      </c>
      <c r="AZ56" s="35" t="s">
        <v>237</v>
      </c>
      <c r="BA56" s="35" t="s">
        <v>10</v>
      </c>
      <c r="BB56" s="35" t="s">
        <v>160</v>
      </c>
      <c r="BC56" s="35" t="s">
        <v>1742</v>
      </c>
      <c r="BD56" s="35" t="s">
        <v>10</v>
      </c>
      <c r="BE56" s="35" t="s">
        <v>10</v>
      </c>
      <c r="BF56" s="35">
        <v>447</v>
      </c>
      <c r="BG56" s="35" t="s">
        <v>25</v>
      </c>
      <c r="BH56" s="35">
        <v>1</v>
      </c>
      <c r="BI56" s="35" t="s">
        <v>1285</v>
      </c>
      <c r="BJ56" s="35" t="s">
        <v>722</v>
      </c>
      <c r="BK56" s="35">
        <v>72003</v>
      </c>
      <c r="BV56" s="248"/>
      <c r="BW56" s="248"/>
      <c r="BX56" s="248"/>
      <c r="BY56" s="248"/>
      <c r="BZ56" s="248"/>
      <c r="CA56" s="248"/>
      <c r="CB56" s="248"/>
      <c r="CC56" s="248"/>
      <c r="CD56" s="248"/>
      <c r="CE56" s="248"/>
      <c r="CF56" s="248"/>
      <c r="CG56" s="248"/>
      <c r="CH56" s="248"/>
      <c r="CI56" s="248"/>
      <c r="CJ56" s="248"/>
      <c r="CK56" s="248"/>
      <c r="CL56" s="248"/>
      <c r="CM56" s="248"/>
      <c r="CN56" s="248"/>
      <c r="CO56" s="248"/>
      <c r="CP56" s="248"/>
      <c r="CQ56" s="248"/>
      <c r="CR56" s="248"/>
      <c r="CS56" s="248"/>
      <c r="CT56" s="248"/>
      <c r="CU56" s="248"/>
      <c r="CV56" s="248"/>
      <c r="CW56" s="248"/>
      <c r="CX56" s="248"/>
      <c r="CY56" s="248"/>
      <c r="CZ56" s="248"/>
      <c r="DA56" s="248"/>
      <c r="DB56" s="248"/>
      <c r="DC56" s="248"/>
      <c r="DD56" s="248"/>
      <c r="DE56" s="248"/>
      <c r="DF56" s="248"/>
      <c r="DG56" s="248"/>
      <c r="DH56" s="248"/>
      <c r="DI56" s="248"/>
      <c r="DJ56" s="248"/>
      <c r="DK56" s="248"/>
      <c r="DL56" s="248"/>
      <c r="DM56" s="248"/>
      <c r="DN56" s="248"/>
      <c r="DO56" s="248"/>
      <c r="DP56" s="248"/>
      <c r="DQ56" s="248"/>
      <c r="DR56" s="248"/>
      <c r="DS56" s="248"/>
      <c r="DT56" s="248"/>
      <c r="DU56" s="248"/>
      <c r="DV56" s="248"/>
      <c r="DW56" s="248"/>
      <c r="DX56" s="248"/>
      <c r="DY56" s="248"/>
      <c r="DZ56" s="248"/>
      <c r="EA56" s="248"/>
      <c r="EB56" s="248"/>
      <c r="EC56" s="248"/>
      <c r="ED56" s="248"/>
    </row>
    <row r="57" spans="1:253" s="3" customFormat="1">
      <c r="AK57" s="276"/>
    </row>
    <row r="58" spans="1:253" s="35" customFormat="1">
      <c r="A58" s="35" t="s">
        <v>2652</v>
      </c>
      <c r="B58" s="331"/>
      <c r="C58" s="248">
        <v>33</v>
      </c>
      <c r="D58" s="283" t="s">
        <v>605</v>
      </c>
      <c r="F58" s="283" t="s">
        <v>1086</v>
      </c>
      <c r="G58" s="39" t="s">
        <v>2232</v>
      </c>
      <c r="H58" s="35" t="s">
        <v>609</v>
      </c>
      <c r="N58" s="35" t="s">
        <v>537</v>
      </c>
      <c r="O58" s="34" t="s">
        <v>1086</v>
      </c>
      <c r="P58" s="34" t="s">
        <v>1086</v>
      </c>
      <c r="Q58" s="58"/>
      <c r="R58" s="39"/>
      <c r="AH58" s="279"/>
      <c r="AI58" s="279" t="s">
        <v>1117</v>
      </c>
      <c r="AJ58" s="279"/>
      <c r="AK58" s="279" t="s">
        <v>539</v>
      </c>
      <c r="AL58" s="35">
        <v>33</v>
      </c>
      <c r="AM58" s="35" t="s">
        <v>1388</v>
      </c>
      <c r="AN58" s="35" t="s">
        <v>2148</v>
      </c>
      <c r="AO58" s="35" t="s">
        <v>535</v>
      </c>
      <c r="AP58" s="34" t="s">
        <v>2232</v>
      </c>
      <c r="AQ58" s="35">
        <v>1</v>
      </c>
      <c r="AR58" s="35" t="s">
        <v>1254</v>
      </c>
      <c r="AS58" s="35" t="s">
        <v>10</v>
      </c>
      <c r="AT58" s="35" t="s">
        <v>10</v>
      </c>
      <c r="AU58" s="35" t="s">
        <v>1693</v>
      </c>
      <c r="AV58" s="35" t="s">
        <v>635</v>
      </c>
      <c r="AW58" s="34" t="s">
        <v>2258</v>
      </c>
      <c r="AX58" s="35">
        <v>4</v>
      </c>
      <c r="AY58" s="35" t="s">
        <v>603</v>
      </c>
      <c r="AZ58" s="35" t="s">
        <v>77</v>
      </c>
      <c r="BA58" s="35" t="s">
        <v>10</v>
      </c>
      <c r="BB58" s="35" t="s">
        <v>26</v>
      </c>
      <c r="BC58" s="35" t="s">
        <v>1742</v>
      </c>
      <c r="BD58" s="35" t="s">
        <v>10</v>
      </c>
      <c r="BE58" s="35" t="s">
        <v>10</v>
      </c>
      <c r="BF58" s="35">
        <v>644</v>
      </c>
      <c r="BG58" s="35" t="s">
        <v>25</v>
      </c>
      <c r="BH58" s="35">
        <v>0.5</v>
      </c>
      <c r="BI58" s="35" t="s">
        <v>1285</v>
      </c>
      <c r="BJ58" s="335" t="s">
        <v>2374</v>
      </c>
      <c r="BK58" s="35" t="s">
        <v>2492</v>
      </c>
      <c r="BL58" s="35">
        <v>33</v>
      </c>
      <c r="BV58" s="248"/>
      <c r="BW58" s="248"/>
      <c r="BX58" s="248"/>
      <c r="BY58" s="248"/>
      <c r="BZ58" s="248"/>
      <c r="CA58" s="248"/>
      <c r="CB58" s="248"/>
      <c r="CC58" s="248"/>
      <c r="CD58" s="248"/>
      <c r="CE58" s="248"/>
      <c r="CF58" s="248"/>
      <c r="CG58" s="248"/>
      <c r="CH58" s="248"/>
      <c r="CI58" s="248"/>
      <c r="CJ58" s="248"/>
      <c r="CK58" s="248"/>
      <c r="CL58" s="248"/>
      <c r="CM58" s="248"/>
      <c r="CN58" s="248"/>
      <c r="CO58" s="248"/>
      <c r="CP58" s="248"/>
      <c r="CQ58" s="248"/>
      <c r="CR58" s="248"/>
      <c r="CS58" s="248"/>
      <c r="CT58" s="248"/>
      <c r="CU58" s="248"/>
      <c r="CV58" s="248"/>
      <c r="CW58" s="248"/>
      <c r="CX58" s="248"/>
      <c r="CY58" s="248"/>
      <c r="CZ58" s="248"/>
      <c r="DA58" s="248"/>
      <c r="DB58" s="248"/>
      <c r="DC58" s="248"/>
      <c r="DD58" s="248"/>
      <c r="DE58" s="248"/>
      <c r="DF58" s="248"/>
      <c r="DG58" s="248"/>
      <c r="DH58" s="248"/>
      <c r="DI58" s="248"/>
      <c r="DJ58" s="248"/>
      <c r="DK58" s="248"/>
      <c r="DL58" s="248"/>
      <c r="DM58" s="248"/>
      <c r="DN58" s="248"/>
      <c r="DO58" s="248"/>
      <c r="DP58" s="248"/>
      <c r="DQ58" s="248"/>
      <c r="DR58" s="248"/>
      <c r="DS58" s="248"/>
      <c r="DT58" s="248"/>
      <c r="DU58" s="248"/>
      <c r="DV58" s="248"/>
      <c r="DW58" s="248"/>
      <c r="DX58" s="248"/>
      <c r="DY58" s="248"/>
      <c r="DZ58" s="248"/>
      <c r="EA58" s="248"/>
      <c r="EB58" s="248"/>
      <c r="EC58" s="248"/>
      <c r="ED58" s="248"/>
    </row>
    <row r="59" spans="1:253" s="35" customFormat="1">
      <c r="A59" s="35" t="s">
        <v>2653</v>
      </c>
      <c r="B59" s="331"/>
      <c r="C59" s="248">
        <v>52</v>
      </c>
      <c r="D59" s="283" t="s">
        <v>605</v>
      </c>
      <c r="F59" s="283" t="s">
        <v>1086</v>
      </c>
      <c r="G59" s="39" t="s">
        <v>2232</v>
      </c>
      <c r="H59" s="35" t="s">
        <v>609</v>
      </c>
      <c r="N59" s="35" t="s">
        <v>537</v>
      </c>
      <c r="O59" s="34" t="s">
        <v>1086</v>
      </c>
      <c r="P59" s="34" t="s">
        <v>1086</v>
      </c>
      <c r="Q59" s="58"/>
      <c r="R59" s="39"/>
      <c r="AH59" s="279"/>
      <c r="AI59" s="279" t="s">
        <v>1117</v>
      </c>
      <c r="AJ59" s="279"/>
      <c r="AK59" s="279" t="s">
        <v>538</v>
      </c>
      <c r="AL59" s="35">
        <v>52</v>
      </c>
      <c r="AM59" s="35" t="s">
        <v>1397</v>
      </c>
      <c r="AN59" s="35" t="s">
        <v>2148</v>
      </c>
      <c r="AO59" s="35" t="s">
        <v>535</v>
      </c>
      <c r="AP59" s="34" t="s">
        <v>2232</v>
      </c>
      <c r="AQ59" s="35">
        <v>1</v>
      </c>
      <c r="AR59" s="35" t="s">
        <v>1254</v>
      </c>
      <c r="AS59" s="35" t="s">
        <v>10</v>
      </c>
      <c r="AT59" s="35" t="s">
        <v>10</v>
      </c>
      <c r="AU59" s="35" t="s">
        <v>1694</v>
      </c>
      <c r="AV59" s="35" t="s">
        <v>643</v>
      </c>
      <c r="AW59" s="34" t="s">
        <v>2305</v>
      </c>
      <c r="AX59" s="35">
        <v>17</v>
      </c>
      <c r="AY59" s="35" t="s">
        <v>478</v>
      </c>
      <c r="AZ59" s="35" t="s">
        <v>237</v>
      </c>
      <c r="BA59" s="35" t="s">
        <v>10</v>
      </c>
      <c r="BB59" s="35" t="s">
        <v>224</v>
      </c>
      <c r="BC59" s="35" t="s">
        <v>1742</v>
      </c>
      <c r="BD59" s="35" t="s">
        <v>10</v>
      </c>
      <c r="BE59" s="35" t="s">
        <v>10</v>
      </c>
      <c r="BF59" s="35">
        <v>633</v>
      </c>
      <c r="BG59" s="35" t="s">
        <v>25</v>
      </c>
      <c r="BH59" s="35">
        <v>0.75</v>
      </c>
      <c r="BI59" s="35" t="s">
        <v>1285</v>
      </c>
      <c r="BJ59" s="335" t="s">
        <v>2374</v>
      </c>
      <c r="BK59" s="35" t="s">
        <v>2492</v>
      </c>
      <c r="BL59" s="35">
        <v>52</v>
      </c>
      <c r="BV59" s="248"/>
      <c r="BW59" s="248"/>
      <c r="BX59" s="248"/>
      <c r="BY59" s="248"/>
      <c r="BZ59" s="248"/>
      <c r="CA59" s="248"/>
      <c r="CB59" s="248"/>
      <c r="CC59" s="248"/>
      <c r="CD59" s="248"/>
      <c r="CE59" s="248"/>
      <c r="CF59" s="248"/>
      <c r="CG59" s="248"/>
      <c r="CH59" s="248"/>
      <c r="CI59" s="248"/>
      <c r="CJ59" s="248"/>
      <c r="CK59" s="248"/>
      <c r="CL59" s="248"/>
      <c r="CM59" s="248"/>
      <c r="CN59" s="248"/>
      <c r="CO59" s="248"/>
      <c r="CP59" s="248"/>
      <c r="CQ59" s="248"/>
      <c r="CR59" s="248"/>
      <c r="CS59" s="248"/>
      <c r="CT59" s="248"/>
      <c r="CU59" s="248"/>
      <c r="CV59" s="248"/>
      <c r="CW59" s="248"/>
      <c r="CX59" s="248"/>
      <c r="CY59" s="248"/>
      <c r="CZ59" s="248"/>
      <c r="DA59" s="248"/>
      <c r="DB59" s="248"/>
      <c r="DC59" s="248"/>
      <c r="DD59" s="248"/>
      <c r="DE59" s="248"/>
      <c r="DF59" s="248"/>
      <c r="DG59" s="248"/>
      <c r="DH59" s="248"/>
      <c r="DI59" s="248"/>
      <c r="DJ59" s="248"/>
      <c r="DK59" s="248"/>
      <c r="DL59" s="248"/>
      <c r="DM59" s="248"/>
      <c r="DN59" s="248"/>
      <c r="DO59" s="248"/>
      <c r="DP59" s="248"/>
      <c r="DQ59" s="248"/>
      <c r="DR59" s="248"/>
      <c r="DS59" s="248"/>
      <c r="DT59" s="248"/>
      <c r="DU59" s="248"/>
      <c r="DV59" s="248"/>
      <c r="DW59" s="248"/>
      <c r="DX59" s="248"/>
      <c r="DY59" s="248"/>
      <c r="DZ59" s="248"/>
      <c r="EA59" s="248"/>
      <c r="EB59" s="248"/>
      <c r="EC59" s="248"/>
      <c r="ED59" s="248"/>
    </row>
    <row r="60" spans="1:253" s="35" customFormat="1">
      <c r="A60" s="35" t="s">
        <v>2650</v>
      </c>
      <c r="B60" s="331"/>
      <c r="C60" s="248">
        <v>82</v>
      </c>
      <c r="D60" s="283" t="s">
        <v>605</v>
      </c>
      <c r="F60" s="283" t="s">
        <v>1086</v>
      </c>
      <c r="G60" s="39" t="s">
        <v>2252</v>
      </c>
      <c r="H60" s="35" t="s">
        <v>611</v>
      </c>
      <c r="N60" s="35" t="s">
        <v>537</v>
      </c>
      <c r="O60" s="34" t="s">
        <v>1086</v>
      </c>
      <c r="P60" s="34" t="s">
        <v>1086</v>
      </c>
      <c r="Q60" s="58"/>
      <c r="R60" s="39"/>
      <c r="AH60" s="279"/>
      <c r="AI60" s="279" t="s">
        <v>1117</v>
      </c>
      <c r="AJ60" s="279"/>
      <c r="AK60" s="279" t="s">
        <v>539</v>
      </c>
      <c r="AL60" s="35">
        <v>82</v>
      </c>
      <c r="AM60" s="35" t="s">
        <v>1407</v>
      </c>
      <c r="AN60" s="35" t="s">
        <v>2148</v>
      </c>
      <c r="AO60" s="35" t="s">
        <v>535</v>
      </c>
      <c r="AP60" s="34" t="s">
        <v>2232</v>
      </c>
      <c r="AQ60" s="35">
        <v>1</v>
      </c>
      <c r="AR60" s="35" t="s">
        <v>1254</v>
      </c>
      <c r="AS60" s="35" t="s">
        <v>10</v>
      </c>
      <c r="AT60" s="35" t="s">
        <v>10</v>
      </c>
      <c r="AU60" s="35" t="s">
        <v>2145</v>
      </c>
      <c r="AV60" s="35" t="s">
        <v>532</v>
      </c>
      <c r="AW60" s="34" t="s">
        <v>2225</v>
      </c>
      <c r="AX60" s="35">
        <v>1</v>
      </c>
      <c r="AY60" s="35" t="s">
        <v>1748</v>
      </c>
      <c r="AZ60" s="35" t="s">
        <v>10</v>
      </c>
      <c r="BA60" s="35" t="s">
        <v>10</v>
      </c>
      <c r="BB60" s="35" t="s">
        <v>163</v>
      </c>
      <c r="BC60" s="35" t="s">
        <v>1742</v>
      </c>
      <c r="BD60" s="35" t="s">
        <v>10</v>
      </c>
      <c r="BE60" s="35" t="s">
        <v>10</v>
      </c>
      <c r="BF60" s="35">
        <v>493</v>
      </c>
      <c r="BG60" s="35" t="s">
        <v>25</v>
      </c>
      <c r="BH60" s="35">
        <v>1.5</v>
      </c>
      <c r="BI60" s="35" t="s">
        <v>1285</v>
      </c>
      <c r="BJ60" s="335" t="s">
        <v>2374</v>
      </c>
      <c r="BK60" s="35" t="s">
        <v>2492</v>
      </c>
      <c r="BL60" s="35">
        <v>82</v>
      </c>
      <c r="BV60" s="248"/>
      <c r="BW60" s="248"/>
      <c r="BX60" s="248"/>
      <c r="BY60" s="248"/>
      <c r="BZ60" s="248"/>
      <c r="CA60" s="248"/>
      <c r="CB60" s="248"/>
      <c r="CC60" s="248"/>
      <c r="CD60" s="248"/>
      <c r="CE60" s="248"/>
      <c r="CF60" s="248"/>
      <c r="CG60" s="248"/>
      <c r="CH60" s="248"/>
      <c r="CI60" s="248"/>
      <c r="CJ60" s="248"/>
      <c r="CK60" s="248"/>
      <c r="CL60" s="248"/>
      <c r="CM60" s="248"/>
      <c r="CN60" s="248"/>
      <c r="CO60" s="248"/>
      <c r="CP60" s="248"/>
      <c r="CQ60" s="248"/>
      <c r="CR60" s="248"/>
      <c r="CS60" s="248"/>
      <c r="CT60" s="248"/>
      <c r="CU60" s="248"/>
      <c r="CV60" s="248"/>
      <c r="CW60" s="248"/>
      <c r="CX60" s="248"/>
      <c r="CY60" s="248"/>
      <c r="CZ60" s="248"/>
      <c r="DA60" s="248"/>
      <c r="DB60" s="248"/>
      <c r="DC60" s="248"/>
      <c r="DD60" s="248"/>
      <c r="DE60" s="248"/>
      <c r="DF60" s="248"/>
      <c r="DG60" s="248"/>
      <c r="DH60" s="248"/>
      <c r="DI60" s="248"/>
      <c r="DJ60" s="248"/>
      <c r="DK60" s="248"/>
      <c r="DL60" s="248"/>
      <c r="DM60" s="248"/>
      <c r="DN60" s="248"/>
      <c r="DO60" s="248"/>
      <c r="DP60" s="248"/>
      <c r="DQ60" s="248"/>
      <c r="DR60" s="248"/>
      <c r="DS60" s="248"/>
      <c r="DT60" s="248"/>
      <c r="DU60" s="248"/>
      <c r="DV60" s="248"/>
      <c r="DW60" s="248"/>
      <c r="DX60" s="248"/>
      <c r="DY60" s="248"/>
      <c r="DZ60" s="248"/>
      <c r="EA60" s="248"/>
      <c r="EB60" s="248"/>
      <c r="EC60" s="248"/>
      <c r="ED60" s="248"/>
    </row>
    <row r="61" spans="1:253" s="35" customFormat="1">
      <c r="A61" s="35" t="s">
        <v>2654</v>
      </c>
      <c r="B61" s="331"/>
      <c r="C61" s="248">
        <v>90</v>
      </c>
      <c r="D61" s="283" t="s">
        <v>605</v>
      </c>
      <c r="F61" s="283" t="s">
        <v>1086</v>
      </c>
      <c r="G61" s="39" t="s">
        <v>2232</v>
      </c>
      <c r="H61" s="35" t="s">
        <v>609</v>
      </c>
      <c r="N61" s="35" t="s">
        <v>537</v>
      </c>
      <c r="O61" s="34" t="s">
        <v>1086</v>
      </c>
      <c r="P61" s="34" t="s">
        <v>1086</v>
      </c>
      <c r="Q61" s="58"/>
      <c r="R61" s="39"/>
      <c r="AH61" s="279"/>
      <c r="AI61" s="279" t="s">
        <v>1117</v>
      </c>
      <c r="AJ61" s="279"/>
      <c r="AK61" s="279" t="s">
        <v>539</v>
      </c>
      <c r="AL61" s="35">
        <v>90</v>
      </c>
      <c r="AM61" s="35" t="s">
        <v>1611</v>
      </c>
      <c r="AN61" s="35" t="s">
        <v>2148</v>
      </c>
      <c r="AO61" s="35" t="s">
        <v>535</v>
      </c>
      <c r="AP61" s="34" t="s">
        <v>2232</v>
      </c>
      <c r="AQ61" s="35">
        <v>1</v>
      </c>
      <c r="AR61" s="35" t="s">
        <v>1254</v>
      </c>
      <c r="AS61" s="35" t="s">
        <v>10</v>
      </c>
      <c r="AT61" s="35" t="s">
        <v>10</v>
      </c>
      <c r="AU61" s="35" t="s">
        <v>1697</v>
      </c>
      <c r="AV61" s="35" t="s">
        <v>654</v>
      </c>
      <c r="AW61" s="34" t="s">
        <v>2261</v>
      </c>
      <c r="AX61" s="35">
        <v>10</v>
      </c>
      <c r="AY61" s="35" t="s">
        <v>1813</v>
      </c>
      <c r="AZ61" s="35" t="s">
        <v>87</v>
      </c>
      <c r="BA61" s="35" t="s">
        <v>10</v>
      </c>
      <c r="BB61" s="35" t="s">
        <v>71</v>
      </c>
      <c r="BC61" s="35" t="s">
        <v>1742</v>
      </c>
      <c r="BD61" s="35" t="s">
        <v>10</v>
      </c>
      <c r="BE61" s="35" t="s">
        <v>10</v>
      </c>
      <c r="BF61" s="35">
        <v>426</v>
      </c>
      <c r="BG61" s="35" t="s">
        <v>25</v>
      </c>
      <c r="BH61" s="35">
        <v>0.35</v>
      </c>
      <c r="BI61" s="35" t="s">
        <v>1285</v>
      </c>
      <c r="BJ61" s="335" t="s">
        <v>2374</v>
      </c>
      <c r="BK61" s="35" t="s">
        <v>2492</v>
      </c>
      <c r="BL61" s="35">
        <v>90</v>
      </c>
      <c r="BV61" s="248"/>
      <c r="BW61" s="248"/>
      <c r="BX61" s="248"/>
      <c r="BY61" s="248"/>
      <c r="BZ61" s="248"/>
      <c r="CA61" s="248"/>
      <c r="CB61" s="248"/>
      <c r="CC61" s="248"/>
      <c r="CD61" s="248"/>
      <c r="CE61" s="248"/>
      <c r="CF61" s="248"/>
      <c r="CG61" s="248"/>
      <c r="CH61" s="248"/>
      <c r="CI61" s="248"/>
      <c r="CJ61" s="248"/>
      <c r="CK61" s="248"/>
      <c r="CL61" s="248"/>
      <c r="CM61" s="248"/>
      <c r="CN61" s="248"/>
      <c r="CO61" s="248"/>
      <c r="CP61" s="248"/>
      <c r="CQ61" s="248"/>
      <c r="CR61" s="248"/>
      <c r="CS61" s="248"/>
      <c r="CT61" s="248"/>
      <c r="CU61" s="248"/>
      <c r="CV61" s="248"/>
      <c r="CW61" s="248"/>
      <c r="CX61" s="248"/>
      <c r="CY61" s="248"/>
      <c r="CZ61" s="248"/>
      <c r="DA61" s="248"/>
      <c r="DB61" s="248"/>
      <c r="DC61" s="248"/>
      <c r="DD61" s="248"/>
      <c r="DE61" s="248"/>
      <c r="DF61" s="248"/>
      <c r="DG61" s="248"/>
      <c r="DH61" s="248"/>
      <c r="DI61" s="248"/>
      <c r="DJ61" s="248"/>
      <c r="DK61" s="248"/>
      <c r="DL61" s="248"/>
      <c r="DM61" s="248"/>
      <c r="DN61" s="248"/>
      <c r="DO61" s="248"/>
      <c r="DP61" s="248"/>
      <c r="DQ61" s="248"/>
      <c r="DR61" s="248"/>
      <c r="DS61" s="248"/>
      <c r="DT61" s="248"/>
      <c r="DU61" s="248"/>
      <c r="DV61" s="248"/>
      <c r="DW61" s="248"/>
      <c r="DX61" s="248"/>
      <c r="DY61" s="248"/>
      <c r="DZ61" s="248"/>
      <c r="EA61" s="248"/>
      <c r="EB61" s="248"/>
      <c r="EC61" s="248"/>
      <c r="ED61" s="248"/>
    </row>
    <row r="62" spans="1:253" s="35" customFormat="1">
      <c r="A62" s="35" t="s">
        <v>2655</v>
      </c>
      <c r="B62" s="331"/>
      <c r="C62" s="248">
        <v>163</v>
      </c>
      <c r="D62" s="283" t="s">
        <v>605</v>
      </c>
      <c r="F62" s="283" t="s">
        <v>1086</v>
      </c>
      <c r="G62" s="35" t="s">
        <v>2232</v>
      </c>
      <c r="H62" s="35" t="s">
        <v>609</v>
      </c>
      <c r="N62" s="35" t="s">
        <v>537</v>
      </c>
      <c r="O62" s="34" t="s">
        <v>1086</v>
      </c>
      <c r="P62" s="34" t="s">
        <v>1086</v>
      </c>
      <c r="Q62" s="58" t="s">
        <v>523</v>
      </c>
      <c r="R62" s="39"/>
      <c r="AH62" s="279"/>
      <c r="AI62" s="279" t="s">
        <v>1117</v>
      </c>
      <c r="AJ62" s="279"/>
      <c r="AK62" s="279" t="s">
        <v>539</v>
      </c>
      <c r="AL62" s="35">
        <v>163</v>
      </c>
      <c r="AM62" s="35" t="s">
        <v>1656</v>
      </c>
      <c r="AN62" s="35" t="s">
        <v>2148</v>
      </c>
      <c r="AO62" s="35" t="s">
        <v>535</v>
      </c>
      <c r="AP62" s="34" t="s">
        <v>2232</v>
      </c>
      <c r="AQ62" s="35">
        <v>1</v>
      </c>
      <c r="AR62" s="35" t="s">
        <v>1254</v>
      </c>
      <c r="AS62" s="35" t="s">
        <v>10</v>
      </c>
      <c r="AT62" s="35" t="s">
        <v>10</v>
      </c>
      <c r="AU62" s="35" t="s">
        <v>1697</v>
      </c>
      <c r="AV62" s="35" t="s">
        <v>670</v>
      </c>
      <c r="AW62" s="34" t="s">
        <v>2307</v>
      </c>
      <c r="AX62" s="35">
        <v>6</v>
      </c>
      <c r="AY62" s="35" t="s">
        <v>485</v>
      </c>
      <c r="AZ62" s="35" t="s">
        <v>87</v>
      </c>
      <c r="BA62" s="35" t="s">
        <v>10</v>
      </c>
      <c r="BB62" s="35" t="s">
        <v>71</v>
      </c>
      <c r="BC62" s="35" t="s">
        <v>1742</v>
      </c>
      <c r="BD62" s="35" t="s">
        <v>10</v>
      </c>
      <c r="BE62" s="35" t="s">
        <v>10</v>
      </c>
      <c r="BF62" s="35">
        <v>476</v>
      </c>
      <c r="BG62" s="35" t="s">
        <v>25</v>
      </c>
      <c r="BH62" s="35">
        <v>0.35</v>
      </c>
      <c r="BI62" s="35" t="s">
        <v>1285</v>
      </c>
      <c r="BJ62" s="335" t="s">
        <v>2374</v>
      </c>
      <c r="BK62" s="35" t="s">
        <v>2492</v>
      </c>
      <c r="BL62" s="35">
        <v>163</v>
      </c>
      <c r="BV62" s="248"/>
      <c r="BW62" s="248"/>
      <c r="BX62" s="248"/>
      <c r="BY62" s="248"/>
      <c r="BZ62" s="248"/>
      <c r="CA62" s="248"/>
      <c r="CB62" s="248"/>
      <c r="CC62" s="248"/>
      <c r="CD62" s="248"/>
      <c r="CE62" s="248"/>
      <c r="CF62" s="248"/>
      <c r="CG62" s="248"/>
      <c r="CH62" s="248"/>
      <c r="CI62" s="248"/>
      <c r="CJ62" s="248"/>
      <c r="CK62" s="248"/>
      <c r="CL62" s="248"/>
      <c r="CM62" s="248"/>
      <c r="CN62" s="248"/>
      <c r="CO62" s="248"/>
      <c r="CP62" s="248"/>
      <c r="CQ62" s="248"/>
      <c r="CR62" s="248"/>
      <c r="CS62" s="248"/>
      <c r="CT62" s="248"/>
      <c r="CU62" s="248"/>
      <c r="CV62" s="248"/>
      <c r="CW62" s="248"/>
      <c r="CX62" s="248"/>
      <c r="CY62" s="248"/>
      <c r="CZ62" s="248"/>
      <c r="DA62" s="248"/>
      <c r="DB62" s="248"/>
      <c r="DC62" s="248"/>
      <c r="DD62" s="248"/>
      <c r="DE62" s="248"/>
      <c r="DF62" s="248"/>
      <c r="DG62" s="248"/>
      <c r="DH62" s="248"/>
      <c r="DI62" s="248"/>
      <c r="DJ62" s="248"/>
      <c r="DK62" s="248"/>
      <c r="DL62" s="248"/>
      <c r="DM62" s="248"/>
      <c r="DN62" s="248"/>
      <c r="DO62" s="248"/>
      <c r="DP62" s="248"/>
      <c r="DQ62" s="248"/>
      <c r="DR62" s="248"/>
      <c r="DS62" s="248"/>
      <c r="DT62" s="248"/>
      <c r="DU62" s="248"/>
      <c r="DV62" s="248"/>
      <c r="DW62" s="248"/>
      <c r="DX62" s="248"/>
      <c r="DY62" s="248"/>
      <c r="DZ62" s="248"/>
      <c r="EA62" s="248"/>
      <c r="EB62" s="248"/>
      <c r="EC62" s="248"/>
      <c r="ED62" s="248"/>
    </row>
    <row r="63" spans="1:253" s="35" customFormat="1">
      <c r="A63" s="35" t="s">
        <v>2656</v>
      </c>
      <c r="B63" s="331"/>
      <c r="C63" s="248">
        <v>261001</v>
      </c>
      <c r="D63" s="283">
        <v>261</v>
      </c>
      <c r="F63" s="283" t="s">
        <v>1086</v>
      </c>
      <c r="G63" s="35" t="s">
        <v>2232</v>
      </c>
      <c r="H63" s="35" t="s">
        <v>609</v>
      </c>
      <c r="N63" s="35" t="s">
        <v>537</v>
      </c>
      <c r="O63" s="34" t="s">
        <v>1086</v>
      </c>
      <c r="P63" s="34" t="s">
        <v>1086</v>
      </c>
      <c r="Q63" s="58"/>
      <c r="R63" s="39"/>
      <c r="W63" s="39"/>
      <c r="AH63" s="279"/>
      <c r="AI63" s="279" t="s">
        <v>1117</v>
      </c>
      <c r="AJ63" s="279"/>
      <c r="AK63" s="279" t="s">
        <v>539</v>
      </c>
      <c r="AL63" s="35">
        <v>261001</v>
      </c>
      <c r="AM63" s="35" t="s">
        <v>2029</v>
      </c>
      <c r="AN63" s="35" t="s">
        <v>2148</v>
      </c>
      <c r="AO63" s="35" t="s">
        <v>535</v>
      </c>
      <c r="AP63" s="34" t="s">
        <v>2232</v>
      </c>
      <c r="AQ63" s="35">
        <v>1</v>
      </c>
      <c r="AR63" s="35" t="s">
        <v>1254</v>
      </c>
      <c r="AS63" s="35" t="s">
        <v>10</v>
      </c>
      <c r="AT63" s="35" t="s">
        <v>10</v>
      </c>
      <c r="AU63" s="35" t="s">
        <v>959</v>
      </c>
      <c r="AV63" s="35" t="s">
        <v>683</v>
      </c>
      <c r="AW63" s="34" t="s">
        <v>1867</v>
      </c>
      <c r="AX63" s="35">
        <v>21</v>
      </c>
      <c r="AY63" s="35" t="s">
        <v>477</v>
      </c>
      <c r="AZ63" s="35" t="s">
        <v>692</v>
      </c>
      <c r="BA63" s="35" t="s">
        <v>10</v>
      </c>
      <c r="BB63" s="35" t="s">
        <v>71</v>
      </c>
      <c r="BC63" s="35" t="s">
        <v>1742</v>
      </c>
      <c r="BD63" s="35" t="s">
        <v>10</v>
      </c>
      <c r="BE63" s="35" t="s">
        <v>10</v>
      </c>
      <c r="BF63" s="35">
        <v>1389</v>
      </c>
      <c r="BG63" s="35" t="s">
        <v>25</v>
      </c>
      <c r="BH63" s="35">
        <v>0.35</v>
      </c>
      <c r="BI63" s="35" t="s">
        <v>1285</v>
      </c>
      <c r="BJ63" s="35" t="s">
        <v>810</v>
      </c>
      <c r="BK63" s="35">
        <v>261001</v>
      </c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</row>
    <row r="64" spans="1:253" s="35" customFormat="1">
      <c r="A64" s="35" t="s">
        <v>2657</v>
      </c>
      <c r="B64" s="331"/>
      <c r="C64" s="248">
        <v>321006</v>
      </c>
      <c r="D64" s="283">
        <v>321</v>
      </c>
      <c r="F64" s="35" t="s">
        <v>1086</v>
      </c>
      <c r="G64" s="35" t="s">
        <v>2232</v>
      </c>
      <c r="H64" s="35" t="s">
        <v>609</v>
      </c>
      <c r="N64" s="35" t="s">
        <v>537</v>
      </c>
      <c r="O64" s="34" t="s">
        <v>1086</v>
      </c>
      <c r="P64" s="34" t="s">
        <v>1086</v>
      </c>
      <c r="Q64" s="58"/>
      <c r="R64" s="39"/>
      <c r="W64" s="39"/>
      <c r="AH64" s="279"/>
      <c r="AI64" s="279" t="s">
        <v>1117</v>
      </c>
      <c r="AJ64" s="279"/>
      <c r="AK64" s="279" t="s">
        <v>539</v>
      </c>
      <c r="AL64" s="35">
        <v>321006</v>
      </c>
      <c r="AM64" s="35" t="s">
        <v>2045</v>
      </c>
      <c r="AN64" s="35" t="s">
        <v>2148</v>
      </c>
      <c r="AO64" s="35" t="s">
        <v>535</v>
      </c>
      <c r="AP64" s="34" t="s">
        <v>2232</v>
      </c>
      <c r="AQ64" s="35">
        <v>1</v>
      </c>
      <c r="AR64" s="35" t="s">
        <v>1254</v>
      </c>
      <c r="AS64" s="35" t="s">
        <v>10</v>
      </c>
      <c r="AT64" s="35" t="s">
        <v>10</v>
      </c>
      <c r="AU64" s="35" t="s">
        <v>1277</v>
      </c>
      <c r="AV64" s="35" t="s">
        <v>1278</v>
      </c>
      <c r="AW64" s="34" t="s">
        <v>2293</v>
      </c>
      <c r="AX64" s="35">
        <v>10</v>
      </c>
      <c r="AY64" s="35" t="s">
        <v>1279</v>
      </c>
      <c r="AZ64" s="35" t="s">
        <v>87</v>
      </c>
      <c r="BA64" s="35" t="s">
        <v>10</v>
      </c>
      <c r="BB64" s="35" t="s">
        <v>71</v>
      </c>
      <c r="BC64" s="35" t="s">
        <v>1742</v>
      </c>
      <c r="BD64" s="35" t="s">
        <v>10</v>
      </c>
      <c r="BE64" s="35" t="s">
        <v>10</v>
      </c>
      <c r="BF64" s="35">
        <v>445</v>
      </c>
      <c r="BG64" s="35" t="s">
        <v>25</v>
      </c>
      <c r="BH64" s="35">
        <v>0.35</v>
      </c>
      <c r="BI64" s="35" t="s">
        <v>1285</v>
      </c>
      <c r="BJ64" s="35" t="s">
        <v>1275</v>
      </c>
      <c r="BK64" s="35">
        <v>321006</v>
      </c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</row>
    <row r="65" spans="1:134" s="185" customFormat="1">
      <c r="A65" s="35" t="s">
        <v>2658</v>
      </c>
      <c r="B65" s="331"/>
      <c r="C65" s="248">
        <v>412011</v>
      </c>
      <c r="D65" s="283">
        <v>412</v>
      </c>
      <c r="E65" s="35"/>
      <c r="F65" s="286" t="s">
        <v>1295</v>
      </c>
      <c r="G65" s="35" t="s">
        <v>2232</v>
      </c>
      <c r="H65" s="35" t="s">
        <v>609</v>
      </c>
      <c r="I65" s="35"/>
      <c r="J65" s="35"/>
      <c r="K65" s="35"/>
      <c r="L65" s="35"/>
      <c r="M65" s="35"/>
      <c r="N65" s="35" t="s">
        <v>537</v>
      </c>
      <c r="O65" s="34" t="s">
        <v>1086</v>
      </c>
      <c r="P65" s="289" t="s">
        <v>1295</v>
      </c>
      <c r="Q65" s="58"/>
      <c r="R65" s="171"/>
      <c r="S65" s="35"/>
      <c r="T65" s="35"/>
      <c r="U65" s="35"/>
      <c r="V65" s="35"/>
      <c r="W65" s="392" t="s">
        <v>2576</v>
      </c>
      <c r="X65" s="35"/>
      <c r="Y65" s="35"/>
      <c r="Z65" s="35"/>
      <c r="AA65" s="35"/>
      <c r="AB65" s="58" t="s">
        <v>1115</v>
      </c>
      <c r="AC65" s="35"/>
      <c r="AD65" s="35"/>
      <c r="AE65" s="35"/>
      <c r="AF65" s="35"/>
      <c r="AG65" s="35"/>
      <c r="AH65" s="279"/>
      <c r="AI65" s="279" t="s">
        <v>1119</v>
      </c>
      <c r="AJ65" s="279"/>
      <c r="AK65" s="279" t="s">
        <v>538</v>
      </c>
      <c r="AL65" s="35">
        <v>412011</v>
      </c>
      <c r="AM65" s="35" t="s">
        <v>2063</v>
      </c>
      <c r="AN65" s="35" t="s">
        <v>2148</v>
      </c>
      <c r="AO65" s="35" t="s">
        <v>535</v>
      </c>
      <c r="AP65" s="34" t="s">
        <v>2232</v>
      </c>
      <c r="AQ65" s="35">
        <v>1</v>
      </c>
      <c r="AR65" s="35" t="s">
        <v>1254</v>
      </c>
      <c r="AS65" s="35" t="s">
        <v>10</v>
      </c>
      <c r="AT65" s="35" t="s">
        <v>10</v>
      </c>
      <c r="AU65" s="35" t="s">
        <v>1722</v>
      </c>
      <c r="AV65" s="35" t="s">
        <v>847</v>
      </c>
      <c r="AW65" s="34" t="s">
        <v>2321</v>
      </c>
      <c r="AX65" s="35">
        <v>3</v>
      </c>
      <c r="AY65" s="35" t="s">
        <v>2062</v>
      </c>
      <c r="AZ65" s="35" t="s">
        <v>1626</v>
      </c>
      <c r="BA65" s="35" t="s">
        <v>10</v>
      </c>
      <c r="BB65" s="35" t="s">
        <v>71</v>
      </c>
      <c r="BC65" s="35" t="s">
        <v>1742</v>
      </c>
      <c r="BD65" s="35" t="s">
        <v>10</v>
      </c>
      <c r="BE65" s="35" t="s">
        <v>10</v>
      </c>
      <c r="BF65" s="35">
        <v>502</v>
      </c>
      <c r="BG65" s="35" t="s">
        <v>25</v>
      </c>
      <c r="BH65" s="35">
        <v>0.35</v>
      </c>
      <c r="BI65" s="35" t="s">
        <v>1296</v>
      </c>
      <c r="BJ65" s="35" t="s">
        <v>1680</v>
      </c>
      <c r="BK65" s="35" t="s">
        <v>2415</v>
      </c>
      <c r="BL65" s="35">
        <v>412011</v>
      </c>
      <c r="BM65" s="35"/>
      <c r="BN65" s="35"/>
      <c r="BO65" s="35"/>
      <c r="BP65" s="35"/>
      <c r="BQ65" s="35"/>
      <c r="BR65" s="35"/>
      <c r="BS65" s="35"/>
      <c r="BT65" s="35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</row>
    <row r="66" spans="1:134" s="4" customFormat="1" ht="16.149999999999999" customHeight="1">
      <c r="A66" s="35" t="str">
        <f t="shared" ref="A66" si="1" xml:space="preserve"> AP66 &amp; REPT(" ",20-LEN(AP66)) &amp; AW66</f>
        <v xml:space="preserve">                    </v>
      </c>
      <c r="B66" s="1"/>
      <c r="D66" s="6"/>
      <c r="E66" s="29"/>
      <c r="K66" s="29"/>
      <c r="L66" s="29"/>
      <c r="N66" s="29"/>
      <c r="P66" s="260"/>
      <c r="Q66" s="261"/>
      <c r="R66" s="57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42"/>
      <c r="AK66" s="42"/>
      <c r="AL66" s="42"/>
      <c r="AR66" s="34"/>
      <c r="AY66" s="34"/>
    </row>
    <row r="67" spans="1:134" s="4" customFormat="1">
      <c r="A67" s="4" t="str">
        <f xml:space="preserve"> AP67 &amp; REPT(" ",20-LEN(AP67)) &amp; AW67</f>
        <v>SP_MB32_B1          KS_CPR_C</v>
      </c>
      <c r="B67" s="1"/>
      <c r="C67" s="4">
        <v>54</v>
      </c>
      <c r="D67" s="6" t="s">
        <v>605</v>
      </c>
      <c r="E67" s="6"/>
      <c r="F67" s="4" t="s">
        <v>1086</v>
      </c>
      <c r="G67" s="33" t="s">
        <v>2235</v>
      </c>
      <c r="H67" s="43" t="s">
        <v>610</v>
      </c>
      <c r="I67" s="43"/>
      <c r="N67" s="43" t="s">
        <v>537</v>
      </c>
      <c r="O67" s="260" t="s">
        <v>1097</v>
      </c>
      <c r="P67" s="260" t="s">
        <v>1086</v>
      </c>
      <c r="Q67" s="56"/>
      <c r="S67" s="33"/>
      <c r="AH67" s="42"/>
      <c r="AI67" s="42" t="s">
        <v>1117</v>
      </c>
      <c r="AJ67" s="42"/>
      <c r="AK67" s="42" t="s">
        <v>538</v>
      </c>
      <c r="AL67" s="4">
        <v>54</v>
      </c>
      <c r="AM67" s="4" t="s">
        <v>1462</v>
      </c>
      <c r="AN67" s="4" t="s">
        <v>2149</v>
      </c>
      <c r="AO67" s="4" t="s">
        <v>252</v>
      </c>
      <c r="AP67" s="34" t="s">
        <v>2235</v>
      </c>
      <c r="AQ67" s="4">
        <v>1</v>
      </c>
      <c r="AR67" s="4" t="s">
        <v>1311</v>
      </c>
      <c r="AS67" s="4" t="s">
        <v>10</v>
      </c>
      <c r="AT67" s="4" t="s">
        <v>10</v>
      </c>
      <c r="AU67" s="4" t="s">
        <v>424</v>
      </c>
      <c r="AV67" s="4" t="s">
        <v>648</v>
      </c>
      <c r="AW67" s="34" t="s">
        <v>1796</v>
      </c>
      <c r="AX67" s="4">
        <v>16</v>
      </c>
      <c r="AY67" s="4" t="s">
        <v>1613</v>
      </c>
      <c r="AZ67" s="4" t="s">
        <v>276</v>
      </c>
      <c r="BA67" s="4" t="s">
        <v>10</v>
      </c>
      <c r="BB67" s="4" t="s">
        <v>188</v>
      </c>
      <c r="BC67" s="4" t="s">
        <v>1742</v>
      </c>
      <c r="BD67" s="4" t="s">
        <v>10</v>
      </c>
      <c r="BE67" s="4" t="s">
        <v>10</v>
      </c>
      <c r="BF67" s="35">
        <v>708</v>
      </c>
      <c r="BG67" s="4" t="s">
        <v>25</v>
      </c>
      <c r="BH67" s="4">
        <v>4</v>
      </c>
      <c r="BI67" s="4" t="s">
        <v>1296</v>
      </c>
      <c r="BJ67" s="4" t="s">
        <v>2374</v>
      </c>
      <c r="BK67" s="35" t="s">
        <v>2492</v>
      </c>
      <c r="BL67" s="4">
        <v>54</v>
      </c>
    </row>
    <row r="68" spans="1:134" s="4" customFormat="1">
      <c r="A68" s="4" t="str">
        <f xml:space="preserve"> AP68 &amp; REPT(" ",20-LEN(AP68)) &amp; AW68</f>
        <v>SP_MB32_B1          GBR</v>
      </c>
      <c r="B68" s="1"/>
      <c r="C68" s="4">
        <v>29039</v>
      </c>
      <c r="D68" s="6" t="s">
        <v>606</v>
      </c>
      <c r="E68" s="43"/>
      <c r="F68" s="4" t="s">
        <v>1086</v>
      </c>
      <c r="G68" s="4" t="s">
        <v>2235</v>
      </c>
      <c r="H68" s="43" t="s">
        <v>610</v>
      </c>
      <c r="I68" s="43"/>
      <c r="N68" s="43" t="s">
        <v>537</v>
      </c>
      <c r="O68" s="260" t="s">
        <v>1097</v>
      </c>
      <c r="P68" s="260" t="s">
        <v>1086</v>
      </c>
      <c r="Q68" s="56"/>
      <c r="S68" s="33"/>
      <c r="AH68" s="42"/>
      <c r="AI68" s="42" t="s">
        <v>1117</v>
      </c>
      <c r="AJ68" s="42"/>
      <c r="AK68" s="42" t="s">
        <v>539</v>
      </c>
      <c r="AL68" s="4">
        <v>29039</v>
      </c>
      <c r="AM68" s="4" t="s">
        <v>1885</v>
      </c>
      <c r="AN68" s="4" t="s">
        <v>2149</v>
      </c>
      <c r="AO68" s="4" t="s">
        <v>252</v>
      </c>
      <c r="AP68" s="34" t="s">
        <v>2235</v>
      </c>
      <c r="AQ68" s="4">
        <v>1</v>
      </c>
      <c r="AR68" s="4" t="s">
        <v>1311</v>
      </c>
      <c r="AS68" s="4" t="s">
        <v>10</v>
      </c>
      <c r="AT68" s="4" t="s">
        <v>10</v>
      </c>
      <c r="AU68" s="4" t="s">
        <v>1702</v>
      </c>
      <c r="AV68" s="4" t="s">
        <v>696</v>
      </c>
      <c r="AW68" s="34" t="s">
        <v>2269</v>
      </c>
      <c r="AX68" s="4">
        <v>1</v>
      </c>
      <c r="AY68" s="4" t="s">
        <v>345</v>
      </c>
      <c r="AZ68" s="4" t="s">
        <v>247</v>
      </c>
      <c r="BA68" s="4" t="s">
        <v>10</v>
      </c>
      <c r="BB68" s="4" t="s">
        <v>92</v>
      </c>
      <c r="BC68" s="4" t="s">
        <v>1742</v>
      </c>
      <c r="BD68" s="4" t="s">
        <v>10</v>
      </c>
      <c r="BE68" s="4" t="s">
        <v>10</v>
      </c>
      <c r="BF68" s="4">
        <v>442</v>
      </c>
      <c r="BG68" s="4" t="s">
        <v>25</v>
      </c>
      <c r="BH68" s="4">
        <v>2.5</v>
      </c>
      <c r="BI68" s="4" t="s">
        <v>1296</v>
      </c>
      <c r="BJ68" s="4" t="s">
        <v>678</v>
      </c>
      <c r="BK68" s="4" t="s">
        <v>682</v>
      </c>
      <c r="BL68" s="4" t="s">
        <v>2358</v>
      </c>
      <c r="BM68" s="4" t="s">
        <v>2359</v>
      </c>
      <c r="BN68" s="35">
        <v>29039</v>
      </c>
    </row>
    <row r="69" spans="1:134" s="4" customFormat="1">
      <c r="A69" s="4" t="str">
        <f xml:space="preserve"> AP69 &amp; REPT(" ",20-LEN(AP69)) &amp; AW69</f>
        <v>SP_MB32_B1          SGKG_C</v>
      </c>
      <c r="B69" s="1"/>
      <c r="C69" s="4">
        <v>29048</v>
      </c>
      <c r="D69" s="6" t="s">
        <v>606</v>
      </c>
      <c r="E69" s="43"/>
      <c r="F69" s="4" t="s">
        <v>1086</v>
      </c>
      <c r="G69" s="4" t="s">
        <v>2235</v>
      </c>
      <c r="H69" s="43" t="s">
        <v>610</v>
      </c>
      <c r="I69" s="43"/>
      <c r="N69" s="43" t="s">
        <v>537</v>
      </c>
      <c r="O69" s="260" t="s">
        <v>1097</v>
      </c>
      <c r="P69" s="260" t="s">
        <v>1086</v>
      </c>
      <c r="Q69" s="56"/>
      <c r="S69" s="33"/>
      <c r="AH69" s="42"/>
      <c r="AI69" s="42" t="s">
        <v>1117</v>
      </c>
      <c r="AJ69" s="42"/>
      <c r="AK69" s="42" t="s">
        <v>539</v>
      </c>
      <c r="AL69" s="4">
        <v>29048</v>
      </c>
      <c r="AM69" s="4" t="s">
        <v>1467</v>
      </c>
      <c r="AN69" s="4" t="s">
        <v>2149</v>
      </c>
      <c r="AO69" s="4" t="s">
        <v>252</v>
      </c>
      <c r="AP69" s="34" t="s">
        <v>2235</v>
      </c>
      <c r="AQ69" s="4">
        <v>1</v>
      </c>
      <c r="AR69" s="4" t="s">
        <v>1311</v>
      </c>
      <c r="AS69" s="4" t="s">
        <v>10</v>
      </c>
      <c r="AT69" s="4" t="s">
        <v>10</v>
      </c>
      <c r="AU69" s="4" t="s">
        <v>1701</v>
      </c>
      <c r="AV69" s="4" t="s">
        <v>700</v>
      </c>
      <c r="AW69" s="34" t="s">
        <v>2309</v>
      </c>
      <c r="AX69" s="4">
        <v>6</v>
      </c>
      <c r="AY69" s="4" t="s">
        <v>516</v>
      </c>
      <c r="AZ69" s="4" t="s">
        <v>75</v>
      </c>
      <c r="BA69" s="4" t="s">
        <v>10</v>
      </c>
      <c r="BB69" s="4" t="s">
        <v>92</v>
      </c>
      <c r="BC69" s="4" t="s">
        <v>1742</v>
      </c>
      <c r="BD69" s="4" t="s">
        <v>10</v>
      </c>
      <c r="BE69" s="4" t="s">
        <v>10</v>
      </c>
      <c r="BF69" s="4">
        <v>1341</v>
      </c>
      <c r="BG69" s="4" t="s">
        <v>25</v>
      </c>
      <c r="BH69" s="4">
        <v>2.5</v>
      </c>
      <c r="BI69" s="4" t="s">
        <v>1296</v>
      </c>
      <c r="BJ69" s="4" t="s">
        <v>678</v>
      </c>
      <c r="BK69" s="4" t="s">
        <v>682</v>
      </c>
      <c r="BL69" s="4" t="s">
        <v>2358</v>
      </c>
      <c r="BM69" s="4" t="s">
        <v>2359</v>
      </c>
      <c r="BN69" s="35">
        <v>29048</v>
      </c>
    </row>
    <row r="70" spans="1:134" s="4" customFormat="1">
      <c r="A70" s="4" t="str">
        <f xml:space="preserve"> AP70 &amp; REPT(" ",20-LEN(AP70)) &amp; AW70</f>
        <v>SP_MB32_B1          SP_MB32_B2</v>
      </c>
      <c r="B70" s="1"/>
      <c r="C70" s="4">
        <v>174</v>
      </c>
      <c r="D70" s="6" t="s">
        <v>605</v>
      </c>
      <c r="E70" s="6"/>
      <c r="F70" s="4" t="s">
        <v>1086</v>
      </c>
      <c r="G70" s="4" t="s">
        <v>2324</v>
      </c>
      <c r="H70" s="43" t="s">
        <v>612</v>
      </c>
      <c r="I70" s="43"/>
      <c r="N70" s="43" t="s">
        <v>537</v>
      </c>
      <c r="O70" s="260" t="s">
        <v>1097</v>
      </c>
      <c r="P70" s="260" t="s">
        <v>1086</v>
      </c>
      <c r="Q70" s="56" t="s">
        <v>523</v>
      </c>
      <c r="S70" s="33"/>
      <c r="AH70" s="42"/>
      <c r="AI70" s="42" t="s">
        <v>1117</v>
      </c>
      <c r="AJ70" s="42"/>
      <c r="AK70" s="42" t="s">
        <v>539</v>
      </c>
      <c r="AL70" s="4">
        <v>174</v>
      </c>
      <c r="AM70" s="4" t="s">
        <v>1427</v>
      </c>
      <c r="AN70" s="4" t="s">
        <v>2149</v>
      </c>
      <c r="AO70" s="4" t="s">
        <v>252</v>
      </c>
      <c r="AP70" s="34" t="s">
        <v>2235</v>
      </c>
      <c r="AQ70" s="4">
        <v>1</v>
      </c>
      <c r="AR70" s="4" t="s">
        <v>1311</v>
      </c>
      <c r="AS70" s="4" t="s">
        <v>10</v>
      </c>
      <c r="AT70" s="4" t="s">
        <v>10</v>
      </c>
      <c r="AU70" s="4" t="s">
        <v>2146</v>
      </c>
      <c r="AV70" s="4" t="s">
        <v>250</v>
      </c>
      <c r="AW70" s="34" t="s">
        <v>2228</v>
      </c>
      <c r="AX70" s="4">
        <v>1</v>
      </c>
      <c r="AY70" s="4" t="s">
        <v>1170</v>
      </c>
      <c r="AZ70" s="4" t="s">
        <v>10</v>
      </c>
      <c r="BA70" s="4" t="s">
        <v>10</v>
      </c>
      <c r="BB70" s="4" t="s">
        <v>163</v>
      </c>
      <c r="BC70" s="4" t="s">
        <v>1742</v>
      </c>
      <c r="BD70" s="4" t="s">
        <v>10</v>
      </c>
      <c r="BE70" s="4" t="s">
        <v>10</v>
      </c>
      <c r="BF70" s="4">
        <v>340</v>
      </c>
      <c r="BG70" s="4" t="s">
        <v>25</v>
      </c>
      <c r="BH70" s="4">
        <v>1.5</v>
      </c>
      <c r="BI70" s="4" t="s">
        <v>1296</v>
      </c>
      <c r="BJ70" s="4" t="s">
        <v>2374</v>
      </c>
      <c r="BK70" s="35" t="s">
        <v>2492</v>
      </c>
      <c r="BL70" s="4">
        <v>174</v>
      </c>
    </row>
    <row r="71" spans="1:134" s="4" customFormat="1">
      <c r="A71" s="4" t="str">
        <f xml:space="preserve"> AP71 &amp; REPT(" ",20-LEN(AP71)) &amp; AW71</f>
        <v xml:space="preserve">                    </v>
      </c>
      <c r="B71" s="1"/>
      <c r="D71" s="6"/>
      <c r="E71" s="6"/>
      <c r="H71" s="43"/>
      <c r="I71" s="43"/>
      <c r="N71" s="43"/>
      <c r="O71" s="260"/>
      <c r="P71" s="260"/>
      <c r="Q71" s="56"/>
      <c r="S71" s="33"/>
      <c r="AH71" s="42"/>
      <c r="AI71" s="42"/>
      <c r="AJ71" s="42"/>
      <c r="AK71" s="42"/>
      <c r="AP71" s="34"/>
      <c r="AW71" s="34"/>
    </row>
    <row r="72" spans="1:134" s="35" customFormat="1">
      <c r="A72" s="35" t="s">
        <v>2659</v>
      </c>
      <c r="B72" s="331"/>
      <c r="C72" s="248">
        <v>174</v>
      </c>
      <c r="D72" s="283" t="s">
        <v>605</v>
      </c>
      <c r="E72" s="283"/>
      <c r="F72" s="35" t="s">
        <v>1086</v>
      </c>
      <c r="G72" s="35" t="s">
        <v>2324</v>
      </c>
      <c r="H72" s="35" t="s">
        <v>612</v>
      </c>
      <c r="N72" s="35" t="s">
        <v>537</v>
      </c>
      <c r="O72" s="34" t="s">
        <v>1097</v>
      </c>
      <c r="P72" s="34" t="s">
        <v>1086</v>
      </c>
      <c r="Q72" s="58" t="s">
        <v>523</v>
      </c>
      <c r="R72" s="39"/>
      <c r="AH72" s="279"/>
      <c r="AI72" s="279" t="s">
        <v>1117</v>
      </c>
      <c r="AJ72" s="279"/>
      <c r="AK72" s="279" t="s">
        <v>538</v>
      </c>
      <c r="AL72" s="35">
        <v>174</v>
      </c>
      <c r="AM72" s="35" t="s">
        <v>1427</v>
      </c>
      <c r="AN72" s="35" t="s">
        <v>2149</v>
      </c>
      <c r="AO72" s="35" t="s">
        <v>252</v>
      </c>
      <c r="AP72" s="34" t="s">
        <v>2235</v>
      </c>
      <c r="AQ72" s="35">
        <v>1</v>
      </c>
      <c r="AR72" s="35" t="s">
        <v>1311</v>
      </c>
      <c r="AS72" s="35" t="s">
        <v>10</v>
      </c>
      <c r="AT72" s="35" t="s">
        <v>10</v>
      </c>
      <c r="AU72" s="35" t="s">
        <v>2146</v>
      </c>
      <c r="AV72" s="35" t="s">
        <v>250</v>
      </c>
      <c r="AW72" s="34" t="s">
        <v>2228</v>
      </c>
      <c r="AX72" s="35">
        <v>1</v>
      </c>
      <c r="AY72" s="35" t="s">
        <v>1170</v>
      </c>
      <c r="AZ72" s="35" t="s">
        <v>10</v>
      </c>
      <c r="BA72" s="35" t="s">
        <v>10</v>
      </c>
      <c r="BB72" s="35" t="s">
        <v>163</v>
      </c>
      <c r="BC72" s="35" t="s">
        <v>1742</v>
      </c>
      <c r="BD72" s="35" t="s">
        <v>10</v>
      </c>
      <c r="BE72" s="35" t="s">
        <v>10</v>
      </c>
      <c r="BF72" s="35">
        <v>340</v>
      </c>
      <c r="BG72" s="35" t="s">
        <v>25</v>
      </c>
      <c r="BH72" s="35">
        <v>1.5</v>
      </c>
      <c r="BI72" s="35" t="s">
        <v>1296</v>
      </c>
      <c r="BJ72" s="335" t="s">
        <v>2374</v>
      </c>
      <c r="BK72" s="35" t="s">
        <v>2492</v>
      </c>
      <c r="BL72" s="35">
        <v>174</v>
      </c>
      <c r="BV72" s="248"/>
      <c r="BW72" s="248"/>
      <c r="BX72" s="248"/>
      <c r="BY72" s="248"/>
      <c r="BZ72" s="248"/>
      <c r="CA72" s="248"/>
      <c r="CB72" s="248"/>
      <c r="CC72" s="248"/>
      <c r="CD72" s="248"/>
      <c r="CE72" s="248"/>
      <c r="CF72" s="248"/>
      <c r="CG72" s="248"/>
      <c r="CH72" s="248"/>
      <c r="CI72" s="248"/>
      <c r="CJ72" s="248"/>
      <c r="CK72" s="248"/>
      <c r="CL72" s="248"/>
      <c r="CM72" s="248"/>
      <c r="CN72" s="248"/>
      <c r="CO72" s="248"/>
      <c r="CP72" s="248"/>
      <c r="CQ72" s="248"/>
      <c r="CR72" s="248"/>
      <c r="CS72" s="248"/>
      <c r="CT72" s="248"/>
      <c r="CU72" s="248"/>
      <c r="CV72" s="248"/>
      <c r="CW72" s="248"/>
      <c r="CX72" s="248"/>
      <c r="CY72" s="248"/>
      <c r="CZ72" s="248"/>
      <c r="DA72" s="248"/>
      <c r="DB72" s="248"/>
      <c r="DC72" s="248"/>
      <c r="DD72" s="248"/>
      <c r="DE72" s="248"/>
      <c r="DF72" s="248"/>
      <c r="DG72" s="248"/>
      <c r="DH72" s="248"/>
      <c r="DI72" s="248"/>
      <c r="DJ72" s="248"/>
      <c r="DK72" s="248"/>
      <c r="DL72" s="248"/>
      <c r="DM72" s="248"/>
      <c r="DN72" s="248"/>
      <c r="DO72" s="248"/>
      <c r="DP72" s="248"/>
      <c r="DQ72" s="248"/>
      <c r="DR72" s="248"/>
      <c r="DS72" s="248"/>
      <c r="DT72" s="248"/>
      <c r="DU72" s="248"/>
      <c r="DV72" s="248"/>
      <c r="DW72" s="248"/>
      <c r="DX72" s="248"/>
      <c r="DY72" s="248"/>
      <c r="DZ72" s="248"/>
      <c r="EA72" s="248"/>
      <c r="EB72" s="248"/>
      <c r="EC72" s="248"/>
      <c r="ED72" s="248"/>
    </row>
    <row r="73" spans="1:134" s="35" customFormat="1">
      <c r="A73" s="35" t="s">
        <v>2660</v>
      </c>
      <c r="B73" s="331"/>
      <c r="C73" s="248">
        <v>29036</v>
      </c>
      <c r="D73" s="283" t="s">
        <v>606</v>
      </c>
      <c r="F73" s="35" t="s">
        <v>1086</v>
      </c>
      <c r="G73" s="35" t="s">
        <v>2228</v>
      </c>
      <c r="H73" s="35" t="s">
        <v>609</v>
      </c>
      <c r="N73" s="35" t="s">
        <v>537</v>
      </c>
      <c r="O73" s="34" t="s">
        <v>1086</v>
      </c>
      <c r="P73" s="34" t="s">
        <v>1086</v>
      </c>
      <c r="Q73" s="58"/>
      <c r="R73" s="39"/>
      <c r="AA73" s="35" t="s">
        <v>2645</v>
      </c>
      <c r="AH73" s="279"/>
      <c r="AI73" s="279" t="s">
        <v>1117</v>
      </c>
      <c r="AJ73" s="279"/>
      <c r="AK73" s="279" t="s">
        <v>539</v>
      </c>
      <c r="AL73" s="35">
        <v>29036</v>
      </c>
      <c r="AM73" s="35" t="s">
        <v>1884</v>
      </c>
      <c r="AN73" s="35" t="s">
        <v>2146</v>
      </c>
      <c r="AO73" s="35" t="s">
        <v>250</v>
      </c>
      <c r="AP73" s="34" t="s">
        <v>2228</v>
      </c>
      <c r="AQ73" s="35">
        <v>1</v>
      </c>
      <c r="AR73" s="35" t="s">
        <v>1170</v>
      </c>
      <c r="AS73" s="35" t="s">
        <v>10</v>
      </c>
      <c r="AT73" s="35" t="s">
        <v>10</v>
      </c>
      <c r="AU73" s="35" t="s">
        <v>961</v>
      </c>
      <c r="AV73" s="35" t="s">
        <v>693</v>
      </c>
      <c r="AW73" s="34" t="s">
        <v>2268</v>
      </c>
      <c r="AX73" s="35">
        <v>3</v>
      </c>
      <c r="AY73" s="35" t="s">
        <v>410</v>
      </c>
      <c r="AZ73" s="35" t="s">
        <v>524</v>
      </c>
      <c r="BA73" s="35" t="s">
        <v>10</v>
      </c>
      <c r="BB73" s="35" t="s">
        <v>71</v>
      </c>
      <c r="BC73" s="35" t="s">
        <v>1742</v>
      </c>
      <c r="BD73" s="35" t="s">
        <v>10</v>
      </c>
      <c r="BE73" s="35" t="s">
        <v>10</v>
      </c>
      <c r="BF73" s="35">
        <v>671</v>
      </c>
      <c r="BG73" s="35" t="s">
        <v>25</v>
      </c>
      <c r="BH73" s="35">
        <v>0.35</v>
      </c>
      <c r="BI73" s="35" t="s">
        <v>1296</v>
      </c>
      <c r="BJ73" s="35" t="s">
        <v>10</v>
      </c>
      <c r="BK73" s="35" t="s">
        <v>10</v>
      </c>
      <c r="BL73" s="35" t="s">
        <v>681</v>
      </c>
      <c r="BM73" s="35" t="s">
        <v>682</v>
      </c>
      <c r="BN73" s="35" t="s">
        <v>2358</v>
      </c>
      <c r="BO73" s="35" t="s">
        <v>2359</v>
      </c>
      <c r="BP73" s="35">
        <v>29036</v>
      </c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</row>
    <row r="74" spans="1:134" s="35" customFormat="1">
      <c r="A74" s="35" t="s">
        <v>2661</v>
      </c>
      <c r="B74" s="331"/>
      <c r="C74" s="35">
        <v>29101</v>
      </c>
      <c r="D74" s="283" t="s">
        <v>606</v>
      </c>
      <c r="F74" s="35" t="s">
        <v>1086</v>
      </c>
      <c r="G74" s="35" t="s">
        <v>2228</v>
      </c>
      <c r="H74" s="35" t="s">
        <v>609</v>
      </c>
      <c r="N74" s="35" t="s">
        <v>537</v>
      </c>
      <c r="O74" s="34" t="s">
        <v>1086</v>
      </c>
      <c r="P74" s="34" t="s">
        <v>1086</v>
      </c>
      <c r="Q74" s="58"/>
      <c r="R74" s="39"/>
      <c r="AH74" s="279"/>
      <c r="AI74" s="279" t="s">
        <v>1117</v>
      </c>
      <c r="AJ74" s="279"/>
      <c r="AK74" s="279" t="s">
        <v>538</v>
      </c>
      <c r="AL74" s="35">
        <v>29101</v>
      </c>
      <c r="AM74" s="35" t="s">
        <v>1461</v>
      </c>
      <c r="AN74" s="35" t="s">
        <v>2146</v>
      </c>
      <c r="AO74" s="35" t="s">
        <v>250</v>
      </c>
      <c r="AP74" s="34" t="s">
        <v>2228</v>
      </c>
      <c r="AQ74" s="35">
        <v>1</v>
      </c>
      <c r="AR74" s="35" t="s">
        <v>1170</v>
      </c>
      <c r="AS74" s="35" t="s">
        <v>10</v>
      </c>
      <c r="AT74" s="35" t="s">
        <v>10</v>
      </c>
      <c r="AU74" s="35" t="s">
        <v>1708</v>
      </c>
      <c r="AV74" s="35" t="s">
        <v>720</v>
      </c>
      <c r="AW74" s="34" t="s">
        <v>2276</v>
      </c>
      <c r="AX74" s="35">
        <v>3</v>
      </c>
      <c r="AY74" s="35" t="s">
        <v>1910</v>
      </c>
      <c r="AZ74" s="35" t="s">
        <v>77</v>
      </c>
      <c r="BA74" s="35" t="s">
        <v>10</v>
      </c>
      <c r="BB74" s="35" t="s">
        <v>26</v>
      </c>
      <c r="BC74" s="35" t="s">
        <v>1742</v>
      </c>
      <c r="BD74" s="35" t="s">
        <v>10</v>
      </c>
      <c r="BE74" s="35" t="s">
        <v>10</v>
      </c>
      <c r="BF74" s="35">
        <v>667</v>
      </c>
      <c r="BG74" s="35" t="s">
        <v>25</v>
      </c>
      <c r="BH74" s="35">
        <v>0.5</v>
      </c>
      <c r="BI74" s="35" t="s">
        <v>1296</v>
      </c>
      <c r="BJ74" s="35" t="s">
        <v>10</v>
      </c>
      <c r="BK74" s="35" t="s">
        <v>10</v>
      </c>
      <c r="BL74" s="35" t="s">
        <v>681</v>
      </c>
      <c r="BM74" s="35" t="s">
        <v>682</v>
      </c>
      <c r="BN74" s="35" t="s">
        <v>10</v>
      </c>
      <c r="BO74" s="35" t="s">
        <v>10</v>
      </c>
      <c r="BP74" s="35">
        <v>29101</v>
      </c>
    </row>
    <row r="75" spans="1:134" s="35" customFormat="1">
      <c r="A75" s="35" t="s">
        <v>2662</v>
      </c>
      <c r="B75" s="331"/>
      <c r="C75" s="248">
        <v>412003</v>
      </c>
      <c r="D75" s="283">
        <v>412</v>
      </c>
      <c r="F75" s="286" t="s">
        <v>1295</v>
      </c>
      <c r="G75" s="35" t="s">
        <v>2228</v>
      </c>
      <c r="H75" s="35" t="s">
        <v>609</v>
      </c>
      <c r="N75" s="35" t="s">
        <v>537</v>
      </c>
      <c r="O75" s="290" t="s">
        <v>1295</v>
      </c>
      <c r="P75" s="34" t="s">
        <v>1086</v>
      </c>
      <c r="Q75" s="58"/>
      <c r="R75" s="171"/>
      <c r="W75" s="392" t="s">
        <v>2575</v>
      </c>
      <c r="AB75" s="58" t="s">
        <v>1115</v>
      </c>
      <c r="AH75" s="279"/>
      <c r="AI75" s="279" t="s">
        <v>1119</v>
      </c>
      <c r="AJ75" s="279"/>
      <c r="AK75" s="279" t="s">
        <v>539</v>
      </c>
      <c r="AL75" s="35">
        <v>412003</v>
      </c>
      <c r="AM75" s="35" t="s">
        <v>1630</v>
      </c>
      <c r="AN75" s="35" t="s">
        <v>1062</v>
      </c>
      <c r="AO75" s="35" t="s">
        <v>837</v>
      </c>
      <c r="AP75" s="34" t="s">
        <v>2298</v>
      </c>
      <c r="AQ75" s="35">
        <v>3</v>
      </c>
      <c r="AR75" s="35" t="s">
        <v>2178</v>
      </c>
      <c r="AS75" s="35" t="s">
        <v>1626</v>
      </c>
      <c r="AT75" s="35" t="s">
        <v>10</v>
      </c>
      <c r="AU75" s="35" t="s">
        <v>2146</v>
      </c>
      <c r="AV75" s="35" t="s">
        <v>250</v>
      </c>
      <c r="AW75" s="34" t="s">
        <v>2228</v>
      </c>
      <c r="AX75" s="35">
        <v>1</v>
      </c>
      <c r="AY75" s="35" t="s">
        <v>1170</v>
      </c>
      <c r="AZ75" s="35" t="s">
        <v>10</v>
      </c>
      <c r="BA75" s="35" t="s">
        <v>10</v>
      </c>
      <c r="BB75" s="35" t="s">
        <v>71</v>
      </c>
      <c r="BC75" s="35" t="s">
        <v>1742</v>
      </c>
      <c r="BD75" s="35" t="s">
        <v>10</v>
      </c>
      <c r="BE75" s="35" t="s">
        <v>10</v>
      </c>
      <c r="BF75" s="35">
        <v>691</v>
      </c>
      <c r="BG75" s="35" t="s">
        <v>25</v>
      </c>
      <c r="BH75" s="35">
        <v>0.35</v>
      </c>
      <c r="BI75" s="35" t="s">
        <v>1296</v>
      </c>
      <c r="BJ75" s="35" t="s">
        <v>1680</v>
      </c>
      <c r="BK75" s="35" t="s">
        <v>2415</v>
      </c>
      <c r="BL75" s="35">
        <v>412003</v>
      </c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</row>
    <row r="76" spans="1:134" s="35" customFormat="1">
      <c r="A76" s="35" t="s">
        <v>2663</v>
      </c>
      <c r="B76" s="331"/>
      <c r="C76" s="248">
        <v>412014</v>
      </c>
      <c r="D76" s="283">
        <v>412</v>
      </c>
      <c r="F76" s="286" t="s">
        <v>1295</v>
      </c>
      <c r="G76" s="35" t="s">
        <v>2228</v>
      </c>
      <c r="H76" s="35" t="s">
        <v>609</v>
      </c>
      <c r="N76" s="35" t="s">
        <v>537</v>
      </c>
      <c r="O76" s="289" t="s">
        <v>1295</v>
      </c>
      <c r="P76" s="34" t="s">
        <v>1086</v>
      </c>
      <c r="Q76" s="58"/>
      <c r="R76" s="171"/>
      <c r="W76" s="171" t="s">
        <v>2454</v>
      </c>
      <c r="AB76" s="58" t="s">
        <v>1115</v>
      </c>
      <c r="AH76" s="279"/>
      <c r="AI76" s="279" t="s">
        <v>1119</v>
      </c>
      <c r="AJ76" s="279"/>
      <c r="AK76" s="279" t="s">
        <v>539</v>
      </c>
      <c r="AL76" s="35">
        <v>412014</v>
      </c>
      <c r="AM76" s="35" t="s">
        <v>1649</v>
      </c>
      <c r="AN76" s="35" t="s">
        <v>1723</v>
      </c>
      <c r="AO76" s="35" t="s">
        <v>849</v>
      </c>
      <c r="AP76" s="34" t="s">
        <v>2299</v>
      </c>
      <c r="AQ76" s="35">
        <v>3</v>
      </c>
      <c r="AR76" s="35" t="s">
        <v>2471</v>
      </c>
      <c r="AS76" s="35" t="s">
        <v>1626</v>
      </c>
      <c r="AT76" s="35" t="s">
        <v>10</v>
      </c>
      <c r="AU76" s="35" t="s">
        <v>2146</v>
      </c>
      <c r="AV76" s="35" t="s">
        <v>250</v>
      </c>
      <c r="AW76" s="34" t="s">
        <v>2228</v>
      </c>
      <c r="AX76" s="35">
        <v>1</v>
      </c>
      <c r="AY76" s="35" t="s">
        <v>1170</v>
      </c>
      <c r="AZ76" s="35" t="s">
        <v>10</v>
      </c>
      <c r="BA76" s="35" t="s">
        <v>10</v>
      </c>
      <c r="BB76" s="35" t="s">
        <v>71</v>
      </c>
      <c r="BC76" s="35" t="s">
        <v>1742</v>
      </c>
      <c r="BD76" s="35" t="s">
        <v>10</v>
      </c>
      <c r="BE76" s="35" t="s">
        <v>10</v>
      </c>
      <c r="BF76" s="35">
        <v>1190</v>
      </c>
      <c r="BG76" s="35" t="s">
        <v>25</v>
      </c>
      <c r="BH76" s="35">
        <v>0.35</v>
      </c>
      <c r="BI76" s="35" t="s">
        <v>1296</v>
      </c>
      <c r="BJ76" s="35" t="s">
        <v>1680</v>
      </c>
      <c r="BK76" s="35" t="s">
        <v>2415</v>
      </c>
      <c r="BL76" s="35">
        <v>412014</v>
      </c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</row>
    <row r="77" spans="1:134" s="35" customFormat="1">
      <c r="B77" s="331"/>
      <c r="C77" s="248"/>
      <c r="D77" s="283"/>
      <c r="F77" s="283"/>
      <c r="O77" s="34"/>
      <c r="P77" s="34"/>
      <c r="Q77" s="58"/>
      <c r="R77" s="171"/>
      <c r="W77" s="171"/>
      <c r="AB77" s="58"/>
      <c r="AH77" s="279"/>
      <c r="AI77" s="279"/>
      <c r="AJ77" s="279"/>
      <c r="AK77" s="279"/>
      <c r="AP77" s="34"/>
      <c r="AW77" s="34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</row>
    <row r="78" spans="1:134" s="35" customFormat="1">
      <c r="A78" s="35" t="s">
        <v>2664</v>
      </c>
      <c r="B78" s="331"/>
      <c r="C78" s="248">
        <v>108</v>
      </c>
      <c r="D78" s="283" t="s">
        <v>605</v>
      </c>
      <c r="E78" s="283"/>
      <c r="F78" s="35" t="s">
        <v>1086</v>
      </c>
      <c r="G78" s="39" t="s">
        <v>2236</v>
      </c>
      <c r="H78" s="35" t="s">
        <v>609</v>
      </c>
      <c r="N78" s="35" t="s">
        <v>537</v>
      </c>
      <c r="O78" s="34" t="s">
        <v>1086</v>
      </c>
      <c r="P78" s="34" t="s">
        <v>1086</v>
      </c>
      <c r="Q78" s="58"/>
      <c r="R78" s="39"/>
      <c r="AH78" s="279"/>
      <c r="AI78" s="279" t="s">
        <v>1117</v>
      </c>
      <c r="AJ78" s="279"/>
      <c r="AK78" s="279" t="s">
        <v>539</v>
      </c>
      <c r="AL78" s="35">
        <v>108</v>
      </c>
      <c r="AM78" s="35" t="s">
        <v>1660</v>
      </c>
      <c r="AN78" s="35" t="s">
        <v>2150</v>
      </c>
      <c r="AO78" s="35" t="s">
        <v>662</v>
      </c>
      <c r="AP78" s="34" t="s">
        <v>2236</v>
      </c>
      <c r="AQ78" s="35">
        <v>1</v>
      </c>
      <c r="AR78" s="35" t="s">
        <v>1157</v>
      </c>
      <c r="AS78" s="35" t="s">
        <v>10</v>
      </c>
      <c r="AT78" s="35" t="s">
        <v>10</v>
      </c>
      <c r="AU78" s="35" t="s">
        <v>416</v>
      </c>
      <c r="AV78" s="35" t="s">
        <v>639</v>
      </c>
      <c r="AW78" s="34" t="s">
        <v>1794</v>
      </c>
      <c r="AX78" s="35">
        <v>17</v>
      </c>
      <c r="AY78" s="35" t="s">
        <v>876</v>
      </c>
      <c r="AZ78" s="35" t="s">
        <v>75</v>
      </c>
      <c r="BA78" s="35" t="s">
        <v>10</v>
      </c>
      <c r="BB78" s="35" t="s">
        <v>163</v>
      </c>
      <c r="BC78" s="35" t="s">
        <v>1742</v>
      </c>
      <c r="BD78" s="35" t="s">
        <v>10</v>
      </c>
      <c r="BE78" s="35" t="s">
        <v>10</v>
      </c>
      <c r="BF78" s="35">
        <v>569</v>
      </c>
      <c r="BG78" s="35" t="s">
        <v>25</v>
      </c>
      <c r="BH78" s="35">
        <v>1.5</v>
      </c>
      <c r="BI78" s="35" t="s">
        <v>1411</v>
      </c>
      <c r="BJ78" s="335" t="s">
        <v>2374</v>
      </c>
      <c r="BK78" s="35" t="s">
        <v>2492</v>
      </c>
      <c r="BL78" s="35">
        <v>108</v>
      </c>
      <c r="BV78" s="248"/>
      <c r="BW78" s="248"/>
      <c r="BX78" s="248"/>
      <c r="BY78" s="248"/>
      <c r="BZ78" s="248"/>
      <c r="CA78" s="248"/>
      <c r="CB78" s="248"/>
      <c r="CC78" s="248"/>
      <c r="CD78" s="248"/>
      <c r="CE78" s="248"/>
      <c r="CF78" s="248"/>
      <c r="CG78" s="248"/>
      <c r="CH78" s="248"/>
      <c r="CI78" s="248"/>
      <c r="CJ78" s="248"/>
      <c r="CK78" s="248"/>
      <c r="CL78" s="248"/>
      <c r="CM78" s="248"/>
      <c r="CN78" s="248"/>
      <c r="CO78" s="248"/>
      <c r="CP78" s="248"/>
      <c r="CQ78" s="248"/>
      <c r="CR78" s="248"/>
      <c r="CS78" s="248"/>
      <c r="CT78" s="248"/>
      <c r="CU78" s="248"/>
      <c r="CV78" s="248"/>
      <c r="CW78" s="248"/>
      <c r="CX78" s="248"/>
      <c r="CY78" s="248"/>
      <c r="CZ78" s="248"/>
      <c r="DA78" s="248"/>
      <c r="DB78" s="248"/>
      <c r="DC78" s="248"/>
      <c r="DD78" s="248"/>
      <c r="DE78" s="248"/>
      <c r="DF78" s="248"/>
      <c r="DG78" s="248"/>
      <c r="DH78" s="248"/>
      <c r="DI78" s="248"/>
      <c r="DJ78" s="248"/>
      <c r="DK78" s="248"/>
      <c r="DL78" s="248"/>
      <c r="DM78" s="248"/>
      <c r="DN78" s="248"/>
      <c r="DO78" s="248"/>
      <c r="DP78" s="248"/>
      <c r="DQ78" s="248"/>
      <c r="DR78" s="248"/>
      <c r="DS78" s="248"/>
      <c r="DT78" s="248"/>
      <c r="DU78" s="248"/>
      <c r="DV78" s="248"/>
      <c r="DW78" s="248"/>
      <c r="DX78" s="248"/>
      <c r="DY78" s="248"/>
      <c r="DZ78" s="248"/>
      <c r="EA78" s="248"/>
      <c r="EB78" s="248"/>
      <c r="EC78" s="248"/>
      <c r="ED78" s="248"/>
    </row>
    <row r="79" spans="1:134" s="35" customFormat="1">
      <c r="A79" s="35" t="s">
        <v>2665</v>
      </c>
      <c r="B79" s="331"/>
      <c r="C79" s="248">
        <v>112</v>
      </c>
      <c r="D79" s="283" t="s">
        <v>605</v>
      </c>
      <c r="E79" s="283"/>
      <c r="F79" s="35" t="s">
        <v>1086</v>
      </c>
      <c r="G79" s="35" t="s">
        <v>2236</v>
      </c>
      <c r="H79" s="35" t="s">
        <v>609</v>
      </c>
      <c r="N79" s="35" t="s">
        <v>537</v>
      </c>
      <c r="O79" s="34" t="s">
        <v>1086</v>
      </c>
      <c r="P79" s="34" t="s">
        <v>1086</v>
      </c>
      <c r="Q79" s="58"/>
      <c r="R79" s="39"/>
      <c r="AH79" s="279"/>
      <c r="AI79" s="279" t="s">
        <v>1117</v>
      </c>
      <c r="AJ79" s="279"/>
      <c r="AK79" s="279" t="s">
        <v>539</v>
      </c>
      <c r="AL79" s="35">
        <v>112</v>
      </c>
      <c r="AM79" s="35" t="s">
        <v>1833</v>
      </c>
      <c r="AN79" s="35" t="s">
        <v>2150</v>
      </c>
      <c r="AO79" s="35" t="s">
        <v>662</v>
      </c>
      <c r="AP79" s="34" t="s">
        <v>2236</v>
      </c>
      <c r="AQ79" s="35">
        <v>1</v>
      </c>
      <c r="AR79" s="35" t="s">
        <v>1157</v>
      </c>
      <c r="AS79" s="35" t="s">
        <v>10</v>
      </c>
      <c r="AT79" s="35" t="s">
        <v>10</v>
      </c>
      <c r="AU79" s="35" t="s">
        <v>1699</v>
      </c>
      <c r="AV79" s="35" t="s">
        <v>658</v>
      </c>
      <c r="AW79" s="34" t="s">
        <v>2306</v>
      </c>
      <c r="AX79" s="35">
        <v>4</v>
      </c>
      <c r="AY79" s="35" t="s">
        <v>1308</v>
      </c>
      <c r="AZ79" s="35" t="s">
        <v>659</v>
      </c>
      <c r="BA79" s="35" t="s">
        <v>10</v>
      </c>
      <c r="BB79" s="35" t="s">
        <v>26</v>
      </c>
      <c r="BC79" s="35" t="s">
        <v>1742</v>
      </c>
      <c r="BD79" s="35" t="s">
        <v>10</v>
      </c>
      <c r="BE79" s="35" t="s">
        <v>10</v>
      </c>
      <c r="BF79" s="35">
        <v>404</v>
      </c>
      <c r="BG79" s="35" t="s">
        <v>25</v>
      </c>
      <c r="BH79" s="35">
        <v>0.5</v>
      </c>
      <c r="BI79" s="35" t="s">
        <v>1411</v>
      </c>
      <c r="BJ79" s="335" t="s">
        <v>2374</v>
      </c>
      <c r="BK79" s="35" t="s">
        <v>2492</v>
      </c>
      <c r="BL79" s="35">
        <v>112</v>
      </c>
      <c r="BV79" s="248"/>
      <c r="BW79" s="248"/>
      <c r="BX79" s="248"/>
      <c r="BY79" s="248"/>
      <c r="BZ79" s="248"/>
      <c r="CA79" s="248"/>
      <c r="CB79" s="248"/>
      <c r="CC79" s="248"/>
      <c r="CD79" s="248"/>
      <c r="CE79" s="248"/>
      <c r="CF79" s="248"/>
      <c r="CG79" s="248"/>
      <c r="CH79" s="248"/>
      <c r="CI79" s="248"/>
      <c r="CJ79" s="248"/>
      <c r="CK79" s="248"/>
      <c r="CL79" s="248"/>
      <c r="CM79" s="248"/>
      <c r="CN79" s="248"/>
      <c r="CO79" s="248"/>
      <c r="CP79" s="248"/>
      <c r="CQ79" s="248"/>
      <c r="CR79" s="248"/>
      <c r="CS79" s="248"/>
      <c r="CT79" s="248"/>
      <c r="CU79" s="248"/>
      <c r="CV79" s="248"/>
      <c r="CW79" s="248"/>
      <c r="CX79" s="248"/>
      <c r="CY79" s="248"/>
      <c r="CZ79" s="248"/>
      <c r="DA79" s="248"/>
      <c r="DB79" s="248"/>
      <c r="DC79" s="248"/>
      <c r="DD79" s="248"/>
      <c r="DE79" s="248"/>
      <c r="DF79" s="248"/>
      <c r="DG79" s="248"/>
      <c r="DH79" s="248"/>
      <c r="DI79" s="248"/>
      <c r="DJ79" s="248"/>
      <c r="DK79" s="248"/>
      <c r="DL79" s="248"/>
      <c r="DM79" s="248"/>
      <c r="DN79" s="248"/>
      <c r="DO79" s="248"/>
      <c r="DP79" s="248"/>
      <c r="DQ79" s="248"/>
      <c r="DR79" s="248"/>
      <c r="DS79" s="248"/>
      <c r="DT79" s="248"/>
      <c r="DU79" s="248"/>
      <c r="DV79" s="248"/>
      <c r="DW79" s="248"/>
      <c r="DX79" s="248"/>
      <c r="DY79" s="248"/>
      <c r="DZ79" s="248"/>
      <c r="EA79" s="248"/>
      <c r="EB79" s="248"/>
      <c r="EC79" s="248"/>
      <c r="ED79" s="248"/>
    </row>
    <row r="80" spans="1:134" s="35" customFormat="1">
      <c r="A80" s="35" t="s">
        <v>2665</v>
      </c>
      <c r="B80" s="331"/>
      <c r="C80" s="248">
        <v>113</v>
      </c>
      <c r="D80" s="283" t="s">
        <v>605</v>
      </c>
      <c r="E80" s="283"/>
      <c r="F80" s="35" t="s">
        <v>1086</v>
      </c>
      <c r="G80" s="35" t="s">
        <v>2236</v>
      </c>
      <c r="H80" s="35" t="s">
        <v>609</v>
      </c>
      <c r="N80" s="35" t="s">
        <v>537</v>
      </c>
      <c r="O80" s="34" t="s">
        <v>1086</v>
      </c>
      <c r="P80" s="34" t="s">
        <v>1086</v>
      </c>
      <c r="Q80" s="58"/>
      <c r="R80" s="39"/>
      <c r="AH80" s="279"/>
      <c r="AI80" s="279" t="s">
        <v>1117</v>
      </c>
      <c r="AJ80" s="279"/>
      <c r="AK80" s="279" t="s">
        <v>539</v>
      </c>
      <c r="AL80" s="35">
        <v>113</v>
      </c>
      <c r="AM80" s="35" t="s">
        <v>1668</v>
      </c>
      <c r="AN80" s="35" t="s">
        <v>2150</v>
      </c>
      <c r="AO80" s="35" t="s">
        <v>662</v>
      </c>
      <c r="AP80" s="34" t="s">
        <v>2236</v>
      </c>
      <c r="AQ80" s="35">
        <v>1</v>
      </c>
      <c r="AR80" s="35" t="s">
        <v>1157</v>
      </c>
      <c r="AS80" s="35" t="s">
        <v>10</v>
      </c>
      <c r="AT80" s="35" t="s">
        <v>10</v>
      </c>
      <c r="AU80" s="35" t="s">
        <v>1699</v>
      </c>
      <c r="AV80" s="35" t="s">
        <v>658</v>
      </c>
      <c r="AW80" s="34" t="s">
        <v>2306</v>
      </c>
      <c r="AX80" s="35">
        <v>5</v>
      </c>
      <c r="AY80" s="35" t="s">
        <v>1308</v>
      </c>
      <c r="AZ80" s="35" t="s">
        <v>659</v>
      </c>
      <c r="BA80" s="35" t="s">
        <v>10</v>
      </c>
      <c r="BB80" s="35" t="s">
        <v>26</v>
      </c>
      <c r="BC80" s="35" t="s">
        <v>1742</v>
      </c>
      <c r="BD80" s="35" t="s">
        <v>10</v>
      </c>
      <c r="BE80" s="35" t="s">
        <v>10</v>
      </c>
      <c r="BF80" s="35">
        <v>404</v>
      </c>
      <c r="BG80" s="35" t="s">
        <v>25</v>
      </c>
      <c r="BH80" s="35">
        <v>0.5</v>
      </c>
      <c r="BI80" s="35" t="s">
        <v>1411</v>
      </c>
      <c r="BJ80" s="335" t="s">
        <v>2374</v>
      </c>
      <c r="BK80" s="35" t="s">
        <v>2492</v>
      </c>
      <c r="BL80" s="35">
        <v>113</v>
      </c>
      <c r="BV80" s="248"/>
      <c r="BW80" s="248"/>
      <c r="BX80" s="248"/>
      <c r="BY80" s="248"/>
      <c r="BZ80" s="248"/>
      <c r="CA80" s="248"/>
      <c r="CB80" s="248"/>
      <c r="CC80" s="248"/>
      <c r="CD80" s="248"/>
      <c r="CE80" s="248"/>
      <c r="CF80" s="248"/>
      <c r="CG80" s="248"/>
      <c r="CH80" s="248"/>
      <c r="CI80" s="248"/>
      <c r="CJ80" s="248"/>
      <c r="CK80" s="248"/>
      <c r="CL80" s="248"/>
      <c r="CM80" s="248"/>
      <c r="CN80" s="248"/>
      <c r="CO80" s="248"/>
      <c r="CP80" s="248"/>
      <c r="CQ80" s="248"/>
      <c r="CR80" s="248"/>
      <c r="CS80" s="248"/>
      <c r="CT80" s="248"/>
      <c r="CU80" s="248"/>
      <c r="CV80" s="248"/>
      <c r="CW80" s="248"/>
      <c r="CX80" s="248"/>
      <c r="CY80" s="248"/>
      <c r="CZ80" s="248"/>
      <c r="DA80" s="248"/>
      <c r="DB80" s="248"/>
      <c r="DC80" s="248"/>
      <c r="DD80" s="248"/>
      <c r="DE80" s="248"/>
      <c r="DF80" s="248"/>
      <c r="DG80" s="248"/>
      <c r="DH80" s="248"/>
      <c r="DI80" s="248"/>
      <c r="DJ80" s="248"/>
      <c r="DK80" s="248"/>
      <c r="DL80" s="248"/>
      <c r="DM80" s="248"/>
      <c r="DN80" s="248"/>
      <c r="DO80" s="248"/>
      <c r="DP80" s="248"/>
      <c r="DQ80" s="248"/>
      <c r="DR80" s="248"/>
      <c r="DS80" s="248"/>
      <c r="DT80" s="248"/>
      <c r="DU80" s="248"/>
      <c r="DV80" s="248"/>
      <c r="DW80" s="248"/>
      <c r="DX80" s="248"/>
      <c r="DY80" s="248"/>
      <c r="DZ80" s="248"/>
      <c r="EA80" s="248"/>
      <c r="EB80" s="248"/>
      <c r="EC80" s="248"/>
      <c r="ED80" s="248"/>
    </row>
    <row r="81" spans="1:253" s="35" customFormat="1">
      <c r="A81" s="35" t="s">
        <v>2666</v>
      </c>
      <c r="B81" s="331"/>
      <c r="C81" s="248">
        <v>901001</v>
      </c>
      <c r="D81" s="283">
        <v>901</v>
      </c>
      <c r="F81" s="35" t="s">
        <v>1086</v>
      </c>
      <c r="G81" s="35" t="s">
        <v>2236</v>
      </c>
      <c r="H81" s="35" t="s">
        <v>609</v>
      </c>
      <c r="N81" s="35" t="s">
        <v>537</v>
      </c>
      <c r="O81" s="34" t="s">
        <v>1086</v>
      </c>
      <c r="P81" s="34" t="s">
        <v>1086</v>
      </c>
      <c r="Q81" s="58"/>
      <c r="R81" s="39"/>
      <c r="AH81" s="279"/>
      <c r="AI81" s="279" t="s">
        <v>1117</v>
      </c>
      <c r="AJ81" s="279"/>
      <c r="AK81" s="279" t="s">
        <v>539</v>
      </c>
      <c r="AL81" s="35">
        <v>901001</v>
      </c>
      <c r="AM81" s="35" t="s">
        <v>2068</v>
      </c>
      <c r="AN81" s="35" t="s">
        <v>2150</v>
      </c>
      <c r="AO81" s="35" t="s">
        <v>662</v>
      </c>
      <c r="AP81" s="34" t="s">
        <v>2236</v>
      </c>
      <c r="AQ81" s="35">
        <v>1</v>
      </c>
      <c r="AR81" s="35" t="s">
        <v>1157</v>
      </c>
      <c r="AS81" s="35" t="s">
        <v>10</v>
      </c>
      <c r="AT81" s="35" t="s">
        <v>10</v>
      </c>
      <c r="AU81" s="35" t="s">
        <v>1724</v>
      </c>
      <c r="AV81" s="35" t="s">
        <v>869</v>
      </c>
      <c r="AW81" s="34" t="s">
        <v>2323</v>
      </c>
      <c r="AX81" s="35">
        <v>1</v>
      </c>
      <c r="AY81" s="35" t="s">
        <v>1316</v>
      </c>
      <c r="AZ81" s="35" t="s">
        <v>87</v>
      </c>
      <c r="BA81" s="35" t="s">
        <v>10</v>
      </c>
      <c r="BB81" s="35" t="s">
        <v>71</v>
      </c>
      <c r="BC81" s="35" t="s">
        <v>1742</v>
      </c>
      <c r="BD81" s="35" t="s">
        <v>10</v>
      </c>
      <c r="BE81" s="35" t="s">
        <v>10</v>
      </c>
      <c r="BF81" s="35">
        <v>599</v>
      </c>
      <c r="BG81" s="35" t="s">
        <v>25</v>
      </c>
      <c r="BH81" s="35">
        <v>0.35</v>
      </c>
      <c r="BI81" s="35" t="s">
        <v>1411</v>
      </c>
      <c r="BJ81" s="35" t="s">
        <v>865</v>
      </c>
      <c r="BK81" s="35" t="s">
        <v>10</v>
      </c>
      <c r="BL81" s="35">
        <v>901001</v>
      </c>
      <c r="BV81" s="248"/>
      <c r="BW81" s="248"/>
      <c r="BX81" s="248"/>
      <c r="BY81" s="248"/>
      <c r="BZ81" s="248"/>
      <c r="CA81" s="248"/>
      <c r="CB81" s="248"/>
      <c r="CC81" s="248"/>
      <c r="CD81" s="248"/>
      <c r="CE81" s="248"/>
      <c r="CF81" s="248"/>
      <c r="CG81" s="248"/>
      <c r="CH81" s="248"/>
      <c r="CI81" s="248"/>
      <c r="CJ81" s="248"/>
      <c r="CK81" s="248"/>
      <c r="CL81" s="248"/>
      <c r="CM81" s="248"/>
      <c r="CN81" s="248"/>
      <c r="CO81" s="248"/>
      <c r="CP81" s="248"/>
      <c r="CQ81" s="248"/>
      <c r="CR81" s="248"/>
      <c r="CS81" s="248"/>
      <c r="CT81" s="248"/>
      <c r="CU81" s="248"/>
      <c r="CV81" s="248"/>
      <c r="CW81" s="248"/>
      <c r="CX81" s="248"/>
      <c r="CY81" s="248"/>
      <c r="CZ81" s="248"/>
      <c r="DA81" s="248"/>
      <c r="DB81" s="248"/>
      <c r="DC81" s="248"/>
      <c r="DD81" s="248"/>
      <c r="DE81" s="248"/>
      <c r="DF81" s="248"/>
      <c r="DG81" s="248"/>
      <c r="DH81" s="248"/>
      <c r="DI81" s="248"/>
      <c r="DJ81" s="248"/>
      <c r="DK81" s="248"/>
      <c r="DL81" s="248"/>
      <c r="DM81" s="248"/>
      <c r="DN81" s="248"/>
      <c r="DO81" s="248"/>
      <c r="DP81" s="248"/>
      <c r="DQ81" s="248"/>
      <c r="DR81" s="248"/>
      <c r="DS81" s="248"/>
      <c r="DT81" s="248"/>
      <c r="DU81" s="248"/>
      <c r="DV81" s="248"/>
      <c r="DW81" s="248"/>
      <c r="DX81" s="248"/>
      <c r="DY81" s="248"/>
      <c r="DZ81" s="248"/>
      <c r="EA81" s="248"/>
      <c r="EB81" s="248"/>
      <c r="EC81" s="248"/>
      <c r="ED81" s="248"/>
    </row>
    <row r="82" spans="1:253" s="35" customFormat="1">
      <c r="A82" s="35" t="s">
        <v>2667</v>
      </c>
      <c r="B82" s="331"/>
      <c r="C82" s="248">
        <v>901009</v>
      </c>
      <c r="D82" s="283">
        <v>901</v>
      </c>
      <c r="F82" s="35" t="s">
        <v>1086</v>
      </c>
      <c r="G82" s="35" t="s">
        <v>2236</v>
      </c>
      <c r="H82" s="35" t="s">
        <v>609</v>
      </c>
      <c r="N82" s="35" t="s">
        <v>537</v>
      </c>
      <c r="O82" s="34" t="s">
        <v>1086</v>
      </c>
      <c r="P82" s="34" t="s">
        <v>1086</v>
      </c>
      <c r="Q82" s="58"/>
      <c r="R82" s="39"/>
      <c r="AH82" s="279"/>
      <c r="AI82" s="279" t="s">
        <v>1117</v>
      </c>
      <c r="AJ82" s="279"/>
      <c r="AK82" s="279" t="s">
        <v>539</v>
      </c>
      <c r="AL82" s="35">
        <v>901009</v>
      </c>
      <c r="AM82" s="35" t="s">
        <v>2074</v>
      </c>
      <c r="AN82" s="35" t="s">
        <v>2150</v>
      </c>
      <c r="AO82" s="35" t="s">
        <v>662</v>
      </c>
      <c r="AP82" s="34" t="s">
        <v>2236</v>
      </c>
      <c r="AQ82" s="35">
        <v>1</v>
      </c>
      <c r="AR82" s="35" t="s">
        <v>1157</v>
      </c>
      <c r="AS82" s="35" t="s">
        <v>10</v>
      </c>
      <c r="AT82" s="35" t="s">
        <v>10</v>
      </c>
      <c r="AU82" s="35" t="s">
        <v>1724</v>
      </c>
      <c r="AV82" s="35" t="s">
        <v>873</v>
      </c>
      <c r="AW82" s="34" t="s">
        <v>2301</v>
      </c>
      <c r="AX82" s="35">
        <v>4</v>
      </c>
      <c r="AY82" s="35" t="s">
        <v>2071</v>
      </c>
      <c r="AZ82" s="35" t="s">
        <v>87</v>
      </c>
      <c r="BA82" s="35" t="s">
        <v>10</v>
      </c>
      <c r="BB82" s="35" t="s">
        <v>71</v>
      </c>
      <c r="BC82" s="35" t="s">
        <v>1742</v>
      </c>
      <c r="BD82" s="35" t="s">
        <v>10</v>
      </c>
      <c r="BE82" s="35" t="s">
        <v>10</v>
      </c>
      <c r="BF82" s="35">
        <v>599</v>
      </c>
      <c r="BG82" s="35" t="s">
        <v>25</v>
      </c>
      <c r="BH82" s="35">
        <v>0.35</v>
      </c>
      <c r="BI82" s="35" t="s">
        <v>1411</v>
      </c>
      <c r="BJ82" s="35" t="s">
        <v>10</v>
      </c>
      <c r="BK82" s="35" t="s">
        <v>867</v>
      </c>
      <c r="BL82" s="35">
        <v>901009</v>
      </c>
      <c r="BV82" s="248"/>
      <c r="BW82" s="248"/>
      <c r="BX82" s="248"/>
      <c r="BY82" s="248"/>
      <c r="BZ82" s="248"/>
      <c r="CA82" s="248"/>
      <c r="CB82" s="248"/>
      <c r="CC82" s="248"/>
      <c r="CD82" s="248"/>
      <c r="CE82" s="248"/>
      <c r="CF82" s="248"/>
      <c r="CG82" s="248"/>
      <c r="CH82" s="248"/>
      <c r="CI82" s="248"/>
      <c r="CJ82" s="248"/>
      <c r="CK82" s="248"/>
      <c r="CL82" s="248"/>
      <c r="CM82" s="248"/>
      <c r="CN82" s="248"/>
      <c r="CO82" s="248"/>
      <c r="CP82" s="248"/>
      <c r="CQ82" s="248"/>
      <c r="CR82" s="248"/>
      <c r="CS82" s="248"/>
      <c r="CT82" s="248"/>
      <c r="CU82" s="248"/>
      <c r="CV82" s="248"/>
      <c r="CW82" s="248"/>
      <c r="CX82" s="248"/>
      <c r="CY82" s="248"/>
      <c r="CZ82" s="248"/>
      <c r="DA82" s="248"/>
      <c r="DB82" s="248"/>
      <c r="DC82" s="248"/>
      <c r="DD82" s="248"/>
      <c r="DE82" s="248"/>
      <c r="DF82" s="248"/>
      <c r="DG82" s="248"/>
      <c r="DH82" s="248"/>
      <c r="DI82" s="248"/>
      <c r="DJ82" s="248"/>
      <c r="DK82" s="248"/>
      <c r="DL82" s="248"/>
      <c r="DM82" s="248"/>
      <c r="DN82" s="248"/>
      <c r="DO82" s="248"/>
      <c r="DP82" s="248"/>
      <c r="DQ82" s="248"/>
      <c r="DR82" s="248"/>
      <c r="DS82" s="248"/>
      <c r="DT82" s="248"/>
      <c r="DU82" s="248"/>
      <c r="DV82" s="248"/>
      <c r="DW82" s="248"/>
      <c r="DX82" s="248"/>
      <c r="DY82" s="248"/>
      <c r="DZ82" s="248"/>
      <c r="EA82" s="248"/>
      <c r="EB82" s="248"/>
      <c r="EC82" s="248"/>
      <c r="ED82" s="248"/>
    </row>
    <row r="83" spans="1:253" s="35" customFormat="1">
      <c r="B83" s="331"/>
      <c r="C83" s="248"/>
      <c r="D83" s="283"/>
      <c r="F83" s="283"/>
      <c r="O83" s="34"/>
      <c r="P83" s="34"/>
      <c r="Q83" s="58"/>
      <c r="R83" s="171"/>
      <c r="W83" s="171"/>
      <c r="AB83" s="58"/>
      <c r="AH83" s="279"/>
      <c r="AI83" s="279"/>
      <c r="AJ83" s="279"/>
      <c r="AK83" s="279"/>
      <c r="AP83" s="34"/>
      <c r="AW83" s="34"/>
      <c r="BV83" s="248"/>
      <c r="BW83" s="248"/>
      <c r="BX83" s="248"/>
      <c r="BY83" s="248"/>
      <c r="BZ83" s="248"/>
      <c r="CA83" s="248"/>
      <c r="CB83" s="248"/>
      <c r="CC83" s="248"/>
      <c r="CD83" s="248"/>
      <c r="CE83" s="248"/>
      <c r="CF83" s="248"/>
      <c r="CG83" s="248"/>
      <c r="CH83" s="248"/>
      <c r="CI83" s="248"/>
      <c r="CJ83" s="248"/>
      <c r="CK83" s="248"/>
      <c r="CL83" s="248"/>
      <c r="CM83" s="248"/>
      <c r="CN83" s="248"/>
      <c r="CO83" s="248"/>
      <c r="CP83" s="248"/>
      <c r="CQ83" s="248"/>
      <c r="CR83" s="248"/>
      <c r="CS83" s="248"/>
      <c r="CT83" s="248"/>
      <c r="CU83" s="248"/>
      <c r="CV83" s="248"/>
      <c r="CW83" s="248"/>
      <c r="CX83" s="248"/>
      <c r="CY83" s="248"/>
      <c r="CZ83" s="248"/>
      <c r="DA83" s="248"/>
      <c r="DB83" s="248"/>
      <c r="DC83" s="248"/>
      <c r="DD83" s="248"/>
      <c r="DE83" s="248"/>
      <c r="DF83" s="248"/>
      <c r="DG83" s="248"/>
      <c r="DH83" s="248"/>
      <c r="DI83" s="248"/>
      <c r="DJ83" s="248"/>
      <c r="DK83" s="248"/>
      <c r="DL83" s="248"/>
      <c r="DM83" s="248"/>
      <c r="DN83" s="248"/>
      <c r="DO83" s="248"/>
      <c r="DP83" s="248"/>
      <c r="DQ83" s="248"/>
      <c r="DR83" s="248"/>
      <c r="DS83" s="248"/>
      <c r="DT83" s="248"/>
      <c r="DU83" s="248"/>
      <c r="DV83" s="248"/>
      <c r="DW83" s="248"/>
      <c r="DX83" s="248"/>
      <c r="DY83" s="248"/>
      <c r="DZ83" s="248"/>
      <c r="EA83" s="248"/>
      <c r="EB83" s="248"/>
      <c r="EC83" s="248"/>
      <c r="ED83" s="248"/>
    </row>
    <row r="84" spans="1:253" s="35" customFormat="1">
      <c r="A84" s="35" t="s">
        <v>2668</v>
      </c>
      <c r="B84" s="331"/>
      <c r="C84" s="248">
        <v>31</v>
      </c>
      <c r="D84" s="283" t="s">
        <v>605</v>
      </c>
      <c r="E84" s="283"/>
      <c r="F84" s="35" t="s">
        <v>1086</v>
      </c>
      <c r="G84" s="39" t="s">
        <v>2231</v>
      </c>
      <c r="H84" s="35" t="s">
        <v>609</v>
      </c>
      <c r="N84" s="35" t="s">
        <v>537</v>
      </c>
      <c r="O84" s="34" t="s">
        <v>1097</v>
      </c>
      <c r="P84" s="34" t="s">
        <v>1086</v>
      </c>
      <c r="Q84" s="58"/>
      <c r="R84" s="39"/>
      <c r="AH84" s="279"/>
      <c r="AI84" s="279" t="s">
        <v>1117</v>
      </c>
      <c r="AJ84" s="279"/>
      <c r="AK84" s="279" t="s">
        <v>538</v>
      </c>
      <c r="AL84" s="35">
        <v>31</v>
      </c>
      <c r="AM84" s="35" t="s">
        <v>1773</v>
      </c>
      <c r="AN84" s="35" t="s">
        <v>2147</v>
      </c>
      <c r="AO84" s="35" t="s">
        <v>534</v>
      </c>
      <c r="AP84" s="34" t="s">
        <v>2231</v>
      </c>
      <c r="AQ84" s="35">
        <v>1</v>
      </c>
      <c r="AR84" s="35" t="s">
        <v>411</v>
      </c>
      <c r="AS84" s="35" t="s">
        <v>10</v>
      </c>
      <c r="AT84" s="35" t="s">
        <v>10</v>
      </c>
      <c r="AU84" s="35" t="s">
        <v>920</v>
      </c>
      <c r="AV84" s="35" t="s">
        <v>634</v>
      </c>
      <c r="AW84" s="34" t="s">
        <v>2280</v>
      </c>
      <c r="AX84" s="35">
        <v>17</v>
      </c>
      <c r="AY84" s="35" t="s">
        <v>1768</v>
      </c>
      <c r="AZ84" s="35" t="s">
        <v>247</v>
      </c>
      <c r="BA84" s="35" t="s">
        <v>10</v>
      </c>
      <c r="BB84" s="35" t="s">
        <v>92</v>
      </c>
      <c r="BC84" s="35" t="s">
        <v>1742</v>
      </c>
      <c r="BD84" s="35" t="s">
        <v>10</v>
      </c>
      <c r="BE84" s="35" t="s">
        <v>10</v>
      </c>
      <c r="BF84" s="35">
        <v>828</v>
      </c>
      <c r="BG84" s="35" t="s">
        <v>25</v>
      </c>
      <c r="BH84" s="35">
        <v>2.5</v>
      </c>
      <c r="BI84" s="35" t="s">
        <v>1355</v>
      </c>
      <c r="BJ84" s="335" t="s">
        <v>2374</v>
      </c>
      <c r="BK84" s="35" t="s">
        <v>2492</v>
      </c>
      <c r="BL84" s="35">
        <v>31</v>
      </c>
      <c r="BV84" s="248"/>
      <c r="BW84" s="248"/>
      <c r="BX84" s="248"/>
      <c r="BY84" s="248"/>
      <c r="BZ84" s="248"/>
      <c r="CA84" s="248"/>
      <c r="CB84" s="248"/>
      <c r="CC84" s="248"/>
      <c r="CD84" s="248"/>
      <c r="CE84" s="248"/>
      <c r="CF84" s="248"/>
      <c r="CG84" s="248"/>
      <c r="CH84" s="248"/>
      <c r="CI84" s="248"/>
      <c r="CJ84" s="248"/>
      <c r="CK84" s="248"/>
      <c r="CL84" s="248"/>
      <c r="CM84" s="248"/>
      <c r="CN84" s="248"/>
      <c r="CO84" s="248"/>
      <c r="CP84" s="248"/>
      <c r="CQ84" s="248"/>
      <c r="CR84" s="248"/>
      <c r="CS84" s="248"/>
      <c r="CT84" s="248"/>
      <c r="CU84" s="248"/>
      <c r="CV84" s="248"/>
      <c r="CW84" s="248"/>
      <c r="CX84" s="248"/>
      <c r="CY84" s="248"/>
      <c r="CZ84" s="248"/>
      <c r="DA84" s="248"/>
      <c r="DB84" s="248"/>
      <c r="DC84" s="248"/>
      <c r="DD84" s="248"/>
      <c r="DE84" s="248"/>
      <c r="DF84" s="248"/>
      <c r="DG84" s="248"/>
      <c r="DH84" s="248"/>
      <c r="DI84" s="248"/>
      <c r="DJ84" s="248"/>
      <c r="DK84" s="248"/>
      <c r="DL84" s="248"/>
      <c r="DM84" s="248"/>
      <c r="DN84" s="248"/>
      <c r="DO84" s="248"/>
      <c r="DP84" s="248"/>
      <c r="DQ84" s="248"/>
      <c r="DR84" s="248"/>
      <c r="DS84" s="248"/>
      <c r="DT84" s="248"/>
      <c r="DU84" s="248"/>
      <c r="DV84" s="248"/>
      <c r="DW84" s="248"/>
      <c r="DX84" s="248"/>
      <c r="DY84" s="248"/>
      <c r="DZ84" s="248"/>
      <c r="EA84" s="248"/>
      <c r="EB84" s="248"/>
      <c r="EC84" s="248"/>
      <c r="ED84" s="248"/>
    </row>
    <row r="85" spans="1:253" s="35" customFormat="1">
      <c r="A85" s="35" t="s">
        <v>2669</v>
      </c>
      <c r="B85" s="331"/>
      <c r="C85" s="248">
        <v>77</v>
      </c>
      <c r="D85" s="283" t="s">
        <v>605</v>
      </c>
      <c r="F85" s="35" t="s">
        <v>1086</v>
      </c>
      <c r="G85" s="35" t="s">
        <v>2231</v>
      </c>
      <c r="H85" s="35" t="s">
        <v>609</v>
      </c>
      <c r="N85" s="35" t="s">
        <v>537</v>
      </c>
      <c r="O85" s="34" t="s">
        <v>1086</v>
      </c>
      <c r="P85" s="34" t="s">
        <v>1086</v>
      </c>
      <c r="Q85" s="58"/>
      <c r="R85" s="39"/>
      <c r="W85" s="104"/>
      <c r="AB85" s="30"/>
      <c r="AH85" s="279"/>
      <c r="AI85" s="279" t="s">
        <v>1117</v>
      </c>
      <c r="AJ85" s="279"/>
      <c r="AK85" s="279" t="s">
        <v>539</v>
      </c>
      <c r="AL85" s="35">
        <v>77</v>
      </c>
      <c r="AM85" s="35" t="s">
        <v>1802</v>
      </c>
      <c r="AN85" s="35" t="s">
        <v>2147</v>
      </c>
      <c r="AO85" s="35" t="s">
        <v>534</v>
      </c>
      <c r="AP85" s="34" t="s">
        <v>2231</v>
      </c>
      <c r="AQ85" s="35">
        <v>1</v>
      </c>
      <c r="AR85" s="35" t="s">
        <v>411</v>
      </c>
      <c r="AS85" s="35" t="s">
        <v>10</v>
      </c>
      <c r="AT85" s="35" t="s">
        <v>10</v>
      </c>
      <c r="AU85" s="35" t="s">
        <v>502</v>
      </c>
      <c r="AV85" s="35" t="s">
        <v>647</v>
      </c>
      <c r="AW85" s="34" t="s">
        <v>1786</v>
      </c>
      <c r="AX85" s="35">
        <v>11</v>
      </c>
      <c r="AY85" s="35" t="s">
        <v>1392</v>
      </c>
      <c r="AZ85" s="35" t="s">
        <v>241</v>
      </c>
      <c r="BA85" s="35" t="s">
        <v>10</v>
      </c>
      <c r="BB85" s="35" t="s">
        <v>26</v>
      </c>
      <c r="BC85" s="35" t="s">
        <v>1742</v>
      </c>
      <c r="BD85" s="35" t="s">
        <v>10</v>
      </c>
      <c r="BE85" s="35" t="s">
        <v>10</v>
      </c>
      <c r="BF85" s="35">
        <v>604</v>
      </c>
      <c r="BG85" s="35" t="s">
        <v>25</v>
      </c>
      <c r="BH85" s="35">
        <v>0.5</v>
      </c>
      <c r="BI85" s="35" t="s">
        <v>1355</v>
      </c>
      <c r="BJ85" s="335" t="s">
        <v>2374</v>
      </c>
      <c r="BK85" s="35" t="s">
        <v>2492</v>
      </c>
      <c r="BL85" s="35">
        <v>77</v>
      </c>
      <c r="BV85" s="248"/>
      <c r="BW85" s="248"/>
      <c r="BX85" s="248"/>
      <c r="BY85" s="248"/>
      <c r="BZ85" s="248"/>
      <c r="CA85" s="248"/>
      <c r="CB85" s="248"/>
      <c r="CC85" s="248"/>
      <c r="CD85" s="248"/>
      <c r="CE85" s="248"/>
      <c r="CF85" s="248"/>
      <c r="CG85" s="248"/>
      <c r="CH85" s="248"/>
      <c r="CI85" s="248"/>
      <c r="CJ85" s="248"/>
      <c r="CK85" s="248"/>
      <c r="CL85" s="248"/>
      <c r="CM85" s="248"/>
      <c r="CN85" s="248"/>
      <c r="CO85" s="248"/>
      <c r="CP85" s="248"/>
      <c r="CQ85" s="248"/>
      <c r="CR85" s="248"/>
      <c r="CS85" s="248"/>
      <c r="CT85" s="248"/>
      <c r="CU85" s="248"/>
      <c r="CV85" s="248"/>
      <c r="CW85" s="248"/>
      <c r="CX85" s="248"/>
      <c r="CY85" s="248"/>
      <c r="CZ85" s="248"/>
      <c r="DA85" s="248"/>
      <c r="DB85" s="248"/>
      <c r="DC85" s="248"/>
      <c r="DD85" s="248"/>
      <c r="DE85" s="248"/>
      <c r="DF85" s="248"/>
      <c r="DG85" s="248"/>
      <c r="DH85" s="248"/>
      <c r="DI85" s="248"/>
      <c r="DJ85" s="248"/>
      <c r="DK85" s="248"/>
      <c r="DL85" s="248"/>
      <c r="DM85" s="248"/>
      <c r="DN85" s="248"/>
      <c r="DO85" s="248"/>
      <c r="DP85" s="248"/>
      <c r="DQ85" s="248"/>
      <c r="DR85" s="248"/>
      <c r="DS85" s="248"/>
      <c r="DT85" s="248"/>
      <c r="DU85" s="248"/>
      <c r="DV85" s="248"/>
      <c r="DW85" s="248"/>
      <c r="DX85" s="248"/>
      <c r="DY85" s="248"/>
      <c r="DZ85" s="248"/>
      <c r="EA85" s="248"/>
      <c r="EB85" s="248"/>
      <c r="EC85" s="248"/>
      <c r="ED85" s="248"/>
    </row>
    <row r="86" spans="1:253" s="35" customFormat="1">
      <c r="A86" s="35" t="s">
        <v>2670</v>
      </c>
      <c r="B86" s="331"/>
      <c r="C86" s="248">
        <v>97</v>
      </c>
      <c r="D86" s="283" t="s">
        <v>605</v>
      </c>
      <c r="E86" s="283"/>
      <c r="F86" s="35" t="s">
        <v>1086</v>
      </c>
      <c r="G86" s="39" t="s">
        <v>2231</v>
      </c>
      <c r="H86" s="35" t="s">
        <v>609</v>
      </c>
      <c r="N86" s="35" t="s">
        <v>537</v>
      </c>
      <c r="O86" s="34" t="s">
        <v>1086</v>
      </c>
      <c r="P86" s="34" t="s">
        <v>1086</v>
      </c>
      <c r="Q86" s="58"/>
      <c r="R86" s="39"/>
      <c r="W86" s="39"/>
      <c r="AH86" s="279"/>
      <c r="AI86" s="279" t="s">
        <v>1117</v>
      </c>
      <c r="AJ86" s="279"/>
      <c r="AK86" s="279" t="s">
        <v>539</v>
      </c>
      <c r="AL86" s="35">
        <v>97</v>
      </c>
      <c r="AM86" s="35" t="s">
        <v>1354</v>
      </c>
      <c r="AN86" s="35" t="s">
        <v>2147</v>
      </c>
      <c r="AO86" s="35" t="s">
        <v>534</v>
      </c>
      <c r="AP86" s="34" t="s">
        <v>2231</v>
      </c>
      <c r="AQ86" s="35">
        <v>1</v>
      </c>
      <c r="AR86" s="35" t="s">
        <v>411</v>
      </c>
      <c r="AS86" s="35" t="s">
        <v>10</v>
      </c>
      <c r="AT86" s="35" t="s">
        <v>10</v>
      </c>
      <c r="AU86" s="35" t="s">
        <v>1698</v>
      </c>
      <c r="AV86" s="35" t="s">
        <v>657</v>
      </c>
      <c r="AW86" s="34" t="s">
        <v>2263</v>
      </c>
      <c r="AX86" s="35">
        <v>5</v>
      </c>
      <c r="AY86" s="35" t="s">
        <v>642</v>
      </c>
      <c r="AZ86" s="35" t="s">
        <v>237</v>
      </c>
      <c r="BA86" s="35" t="s">
        <v>10</v>
      </c>
      <c r="BB86" s="35" t="s">
        <v>26</v>
      </c>
      <c r="BC86" s="35" t="s">
        <v>1742</v>
      </c>
      <c r="BD86" s="35" t="s">
        <v>10</v>
      </c>
      <c r="BE86" s="35" t="s">
        <v>10</v>
      </c>
      <c r="BF86" s="35">
        <v>835</v>
      </c>
      <c r="BG86" s="35" t="s">
        <v>25</v>
      </c>
      <c r="BH86" s="35">
        <v>0.5</v>
      </c>
      <c r="BI86" s="35" t="s">
        <v>1355</v>
      </c>
      <c r="BJ86" s="335" t="s">
        <v>2374</v>
      </c>
      <c r="BK86" s="35" t="s">
        <v>2492</v>
      </c>
      <c r="BL86" s="35">
        <v>97</v>
      </c>
      <c r="BV86" s="248"/>
      <c r="BW86" s="248"/>
      <c r="BX86" s="248"/>
      <c r="BY86" s="248"/>
      <c r="BZ86" s="248"/>
      <c r="CA86" s="248"/>
      <c r="CB86" s="248"/>
      <c r="CC86" s="248"/>
      <c r="CD86" s="248"/>
      <c r="CE86" s="248"/>
      <c r="CF86" s="248"/>
      <c r="CG86" s="248"/>
      <c r="CH86" s="248"/>
      <c r="CI86" s="248"/>
      <c r="CJ86" s="248"/>
      <c r="CK86" s="248"/>
      <c r="CL86" s="248"/>
      <c r="CM86" s="248"/>
      <c r="CN86" s="248"/>
      <c r="CO86" s="248"/>
      <c r="CP86" s="248"/>
      <c r="CQ86" s="248"/>
      <c r="CR86" s="248"/>
      <c r="CS86" s="248"/>
      <c r="CT86" s="248"/>
      <c r="CU86" s="248"/>
      <c r="CV86" s="248"/>
      <c r="CW86" s="248"/>
      <c r="CX86" s="248"/>
      <c r="CY86" s="248"/>
      <c r="CZ86" s="248"/>
      <c r="DA86" s="248"/>
      <c r="DB86" s="248"/>
      <c r="DC86" s="248"/>
      <c r="DD86" s="248"/>
      <c r="DE86" s="248"/>
      <c r="DF86" s="248"/>
      <c r="DG86" s="248"/>
      <c r="DH86" s="248"/>
      <c r="DI86" s="248"/>
      <c r="DJ86" s="248"/>
      <c r="DK86" s="248"/>
      <c r="DL86" s="248"/>
      <c r="DM86" s="248"/>
      <c r="DN86" s="248"/>
      <c r="DO86" s="248"/>
      <c r="DP86" s="248"/>
      <c r="DQ86" s="248"/>
      <c r="DR86" s="248"/>
      <c r="DS86" s="248"/>
      <c r="DT86" s="248"/>
      <c r="DU86" s="248"/>
      <c r="DV86" s="248"/>
      <c r="DW86" s="248"/>
      <c r="DX86" s="248"/>
      <c r="DY86" s="248"/>
      <c r="DZ86" s="248"/>
      <c r="EA86" s="248"/>
      <c r="EB86" s="248"/>
      <c r="EC86" s="248"/>
      <c r="ED86" s="248"/>
    </row>
    <row r="87" spans="1:253" s="35" customFormat="1">
      <c r="A87" s="35" t="s">
        <v>2671</v>
      </c>
      <c r="B87" s="331"/>
      <c r="C87" s="248">
        <v>109</v>
      </c>
      <c r="D87" s="283" t="s">
        <v>605</v>
      </c>
      <c r="E87" s="283"/>
      <c r="F87" s="35" t="s">
        <v>1086</v>
      </c>
      <c r="G87" s="39" t="s">
        <v>2231</v>
      </c>
      <c r="H87" s="35" t="s">
        <v>609</v>
      </c>
      <c r="N87" s="35" t="s">
        <v>537</v>
      </c>
      <c r="O87" s="34" t="s">
        <v>1097</v>
      </c>
      <c r="P87" s="34" t="s">
        <v>1086</v>
      </c>
      <c r="Q87" s="58"/>
      <c r="R87" s="39"/>
      <c r="AH87" s="279"/>
      <c r="AI87" s="279" t="s">
        <v>1117</v>
      </c>
      <c r="AJ87" s="279"/>
      <c r="AK87" s="279" t="s">
        <v>538</v>
      </c>
      <c r="AL87" s="35">
        <v>109</v>
      </c>
      <c r="AM87" s="35" t="s">
        <v>1832</v>
      </c>
      <c r="AN87" s="35" t="s">
        <v>2147</v>
      </c>
      <c r="AO87" s="35" t="s">
        <v>534</v>
      </c>
      <c r="AP87" s="34" t="s">
        <v>2231</v>
      </c>
      <c r="AQ87" s="35">
        <v>1</v>
      </c>
      <c r="AR87" s="35" t="s">
        <v>411</v>
      </c>
      <c r="AS87" s="35" t="s">
        <v>10</v>
      </c>
      <c r="AT87" s="35" t="s">
        <v>10</v>
      </c>
      <c r="AU87" s="35" t="s">
        <v>424</v>
      </c>
      <c r="AV87" s="35" t="s">
        <v>651</v>
      </c>
      <c r="AW87" s="34" t="s">
        <v>1807</v>
      </c>
      <c r="AX87" s="35">
        <v>15</v>
      </c>
      <c r="AY87" s="35" t="s">
        <v>1808</v>
      </c>
      <c r="AZ87" s="35" t="s">
        <v>75</v>
      </c>
      <c r="BA87" s="35" t="s">
        <v>10</v>
      </c>
      <c r="BB87" s="35" t="s">
        <v>92</v>
      </c>
      <c r="BC87" s="35" t="s">
        <v>1742</v>
      </c>
      <c r="BD87" s="35" t="s">
        <v>10</v>
      </c>
      <c r="BE87" s="35" t="s">
        <v>10</v>
      </c>
      <c r="BF87" s="35">
        <v>1563</v>
      </c>
      <c r="BG87" s="35" t="s">
        <v>25</v>
      </c>
      <c r="BH87" s="35">
        <v>2.5</v>
      </c>
      <c r="BI87" s="35" t="s">
        <v>1355</v>
      </c>
      <c r="BJ87" s="335" t="s">
        <v>2374</v>
      </c>
      <c r="BK87" s="35" t="s">
        <v>2492</v>
      </c>
      <c r="BL87" s="35">
        <v>109</v>
      </c>
      <c r="BV87" s="248"/>
      <c r="BW87" s="248"/>
      <c r="BX87" s="248"/>
      <c r="BY87" s="248"/>
      <c r="BZ87" s="248"/>
      <c r="CA87" s="248"/>
      <c r="CB87" s="248"/>
      <c r="CC87" s="248"/>
      <c r="CD87" s="248"/>
      <c r="CE87" s="248"/>
      <c r="CF87" s="248"/>
      <c r="CG87" s="248"/>
      <c r="CH87" s="248"/>
      <c r="CI87" s="248"/>
      <c r="CJ87" s="248"/>
      <c r="CK87" s="248"/>
      <c r="CL87" s="248"/>
      <c r="CM87" s="248"/>
      <c r="CN87" s="248"/>
      <c r="CO87" s="248"/>
      <c r="CP87" s="248"/>
      <c r="CQ87" s="248"/>
      <c r="CR87" s="248"/>
      <c r="CS87" s="248"/>
      <c r="CT87" s="248"/>
      <c r="CU87" s="248"/>
      <c r="CV87" s="248"/>
      <c r="CW87" s="248"/>
      <c r="CX87" s="248"/>
      <c r="CY87" s="248"/>
      <c r="CZ87" s="248"/>
      <c r="DA87" s="248"/>
      <c r="DB87" s="248"/>
      <c r="DC87" s="248"/>
      <c r="DD87" s="248"/>
      <c r="DE87" s="248"/>
      <c r="DF87" s="248"/>
      <c r="DG87" s="248"/>
      <c r="DH87" s="248"/>
      <c r="DI87" s="248"/>
      <c r="DJ87" s="248"/>
      <c r="DK87" s="248"/>
      <c r="DL87" s="248"/>
      <c r="DM87" s="248"/>
      <c r="DN87" s="248"/>
      <c r="DO87" s="248"/>
      <c r="DP87" s="248"/>
      <c r="DQ87" s="248"/>
      <c r="DR87" s="248"/>
      <c r="DS87" s="248"/>
      <c r="DT87" s="248"/>
      <c r="DU87" s="248"/>
      <c r="DV87" s="248"/>
      <c r="DW87" s="248"/>
      <c r="DX87" s="248"/>
      <c r="DY87" s="248"/>
      <c r="DZ87" s="248"/>
      <c r="EA87" s="248"/>
      <c r="EB87" s="248"/>
      <c r="EC87" s="248"/>
      <c r="ED87" s="248"/>
    </row>
    <row r="88" spans="1:253" s="35" customFormat="1">
      <c r="A88" s="35" t="s">
        <v>2672</v>
      </c>
      <c r="B88" s="331"/>
      <c r="C88" s="248">
        <v>216011</v>
      </c>
      <c r="D88" s="283">
        <v>216</v>
      </c>
      <c r="F88" s="35" t="s">
        <v>1086</v>
      </c>
      <c r="G88" s="35" t="s">
        <v>2231</v>
      </c>
      <c r="H88" s="35" t="s">
        <v>609</v>
      </c>
      <c r="N88" s="35" t="s">
        <v>537</v>
      </c>
      <c r="O88" s="34" t="s">
        <v>1086</v>
      </c>
      <c r="P88" s="34" t="s">
        <v>1086</v>
      </c>
      <c r="Q88" s="58"/>
      <c r="R88" s="39"/>
      <c r="T88" s="35" t="s">
        <v>1348</v>
      </c>
      <c r="W88" s="39"/>
      <c r="AA88" s="35" t="s">
        <v>2645</v>
      </c>
      <c r="AH88" s="279"/>
      <c r="AI88" s="279" t="s">
        <v>1117</v>
      </c>
      <c r="AJ88" s="279"/>
      <c r="AK88" s="279" t="s">
        <v>538</v>
      </c>
      <c r="AL88" s="35">
        <v>216011</v>
      </c>
      <c r="AM88" s="35" t="s">
        <v>1955</v>
      </c>
      <c r="AN88" s="35" t="s">
        <v>2147</v>
      </c>
      <c r="AO88" s="35" t="s">
        <v>534</v>
      </c>
      <c r="AP88" s="34" t="s">
        <v>2231</v>
      </c>
      <c r="AQ88" s="35">
        <v>1</v>
      </c>
      <c r="AR88" s="35" t="s">
        <v>411</v>
      </c>
      <c r="AS88" s="35" t="s">
        <v>10</v>
      </c>
      <c r="AT88" s="35" t="s">
        <v>10</v>
      </c>
      <c r="AU88" s="35" t="s">
        <v>1716</v>
      </c>
      <c r="AV88" s="35" t="s">
        <v>775</v>
      </c>
      <c r="AW88" s="34" t="s">
        <v>2282</v>
      </c>
      <c r="AX88" s="35">
        <v>8</v>
      </c>
      <c r="AY88" s="35" t="s">
        <v>1312</v>
      </c>
      <c r="AZ88" s="35" t="s">
        <v>2190</v>
      </c>
      <c r="BA88" s="35" t="s">
        <v>10</v>
      </c>
      <c r="BB88" s="35" t="s">
        <v>26</v>
      </c>
      <c r="BC88" s="35" t="s">
        <v>1742</v>
      </c>
      <c r="BD88" s="35" t="s">
        <v>10</v>
      </c>
      <c r="BE88" s="35" t="s">
        <v>10</v>
      </c>
      <c r="BF88" s="35">
        <v>654</v>
      </c>
      <c r="BG88" s="35" t="s">
        <v>25</v>
      </c>
      <c r="BH88" s="35">
        <v>0.5</v>
      </c>
      <c r="BI88" s="35" t="s">
        <v>1355</v>
      </c>
      <c r="BJ88" s="35" t="s">
        <v>774</v>
      </c>
      <c r="BK88" s="35" t="s">
        <v>2166</v>
      </c>
      <c r="BL88" s="35">
        <v>216011</v>
      </c>
      <c r="BV88" s="248"/>
      <c r="BW88" s="248"/>
      <c r="BX88" s="248"/>
      <c r="BY88" s="248"/>
      <c r="BZ88" s="248"/>
      <c r="CA88" s="248"/>
      <c r="CB88" s="248"/>
      <c r="CC88" s="248"/>
      <c r="CD88" s="248"/>
      <c r="CE88" s="248"/>
      <c r="CF88" s="248"/>
      <c r="CG88" s="248"/>
      <c r="CH88" s="248"/>
      <c r="CI88" s="248"/>
      <c r="CJ88" s="248"/>
      <c r="CK88" s="248"/>
      <c r="CL88" s="248"/>
      <c r="CM88" s="248"/>
      <c r="CN88" s="248"/>
      <c r="CO88" s="248"/>
      <c r="CP88" s="248"/>
      <c r="CQ88" s="248"/>
      <c r="CR88" s="248"/>
      <c r="CS88" s="248"/>
      <c r="CT88" s="248"/>
      <c r="CU88" s="248"/>
      <c r="CV88" s="248"/>
      <c r="CW88" s="248"/>
      <c r="CX88" s="248"/>
      <c r="CY88" s="248"/>
      <c r="CZ88" s="248"/>
      <c r="DA88" s="248"/>
      <c r="DB88" s="248"/>
      <c r="DC88" s="248"/>
      <c r="DD88" s="248"/>
      <c r="DE88" s="248"/>
      <c r="DF88" s="248"/>
      <c r="DG88" s="248"/>
      <c r="DH88" s="248"/>
      <c r="DI88" s="248"/>
      <c r="DJ88" s="248"/>
      <c r="DK88" s="248"/>
      <c r="DL88" s="248"/>
      <c r="DM88" s="248"/>
      <c r="DN88" s="248"/>
      <c r="DO88" s="248"/>
      <c r="DP88" s="248"/>
      <c r="DQ88" s="248"/>
      <c r="DR88" s="248"/>
      <c r="DS88" s="248"/>
      <c r="DT88" s="248"/>
      <c r="DU88" s="248"/>
      <c r="DV88" s="248"/>
      <c r="DW88" s="248"/>
      <c r="DX88" s="248"/>
      <c r="DY88" s="248"/>
      <c r="DZ88" s="248"/>
      <c r="EA88" s="248"/>
      <c r="EB88" s="248"/>
      <c r="EC88" s="248"/>
      <c r="ED88" s="248"/>
    </row>
    <row r="89" spans="1:253" s="302" customFormat="1">
      <c r="A89" s="35" t="s">
        <v>2673</v>
      </c>
      <c r="B89" s="331"/>
      <c r="C89" s="248">
        <v>218004</v>
      </c>
      <c r="D89" s="283">
        <v>218</v>
      </c>
      <c r="E89" s="35"/>
      <c r="F89" s="35" t="s">
        <v>1086</v>
      </c>
      <c r="G89" s="35" t="s">
        <v>2231</v>
      </c>
      <c r="H89" s="35" t="s">
        <v>609</v>
      </c>
      <c r="I89" s="32"/>
      <c r="J89" s="32"/>
      <c r="K89" s="32"/>
      <c r="L89" s="32"/>
      <c r="M89" s="32"/>
      <c r="N89" s="35" t="s">
        <v>537</v>
      </c>
      <c r="O89" s="34" t="s">
        <v>1086</v>
      </c>
      <c r="P89" s="34" t="s">
        <v>1086</v>
      </c>
      <c r="Q89" s="59"/>
      <c r="R89" s="35" t="s">
        <v>1348</v>
      </c>
      <c r="S89" s="32"/>
      <c r="T89" s="32"/>
      <c r="U89" s="32"/>
      <c r="V89" s="32"/>
      <c r="W89" s="62"/>
      <c r="X89" s="32"/>
      <c r="Y89" s="32"/>
      <c r="Z89" s="32"/>
      <c r="AA89" s="35" t="s">
        <v>2645</v>
      </c>
      <c r="AB89" s="32"/>
      <c r="AC89" s="32"/>
      <c r="AD89" s="32"/>
      <c r="AE89" s="32"/>
      <c r="AF89" s="32"/>
      <c r="AG89" s="32"/>
      <c r="AH89" s="279"/>
      <c r="AI89" s="279" t="s">
        <v>1117</v>
      </c>
      <c r="AJ89" s="279"/>
      <c r="AK89" s="279" t="s">
        <v>538</v>
      </c>
      <c r="AL89" s="35">
        <v>218004</v>
      </c>
      <c r="AM89" s="35" t="s">
        <v>1974</v>
      </c>
      <c r="AN89" s="35" t="s">
        <v>2147</v>
      </c>
      <c r="AO89" s="35" t="s">
        <v>534</v>
      </c>
      <c r="AP89" s="34" t="s">
        <v>2231</v>
      </c>
      <c r="AQ89" s="35">
        <v>1</v>
      </c>
      <c r="AR89" s="35" t="s">
        <v>411</v>
      </c>
      <c r="AS89" s="35" t="s">
        <v>10</v>
      </c>
      <c r="AT89" s="35" t="s">
        <v>10</v>
      </c>
      <c r="AU89" s="35" t="s">
        <v>1003</v>
      </c>
      <c r="AV89" s="35" t="s">
        <v>767</v>
      </c>
      <c r="AW89" s="34" t="s">
        <v>2285</v>
      </c>
      <c r="AX89" s="35">
        <v>8</v>
      </c>
      <c r="AY89" s="35" t="s">
        <v>521</v>
      </c>
      <c r="AZ89" s="35" t="s">
        <v>2190</v>
      </c>
      <c r="BA89" s="35" t="s">
        <v>10</v>
      </c>
      <c r="BB89" s="35" t="s">
        <v>26</v>
      </c>
      <c r="BC89" s="35" t="s">
        <v>1742</v>
      </c>
      <c r="BD89" s="35" t="s">
        <v>10</v>
      </c>
      <c r="BE89" s="35" t="s">
        <v>10</v>
      </c>
      <c r="BF89" s="35">
        <v>1069</v>
      </c>
      <c r="BG89" s="35" t="s">
        <v>25</v>
      </c>
      <c r="BH89" s="35">
        <v>0.5</v>
      </c>
      <c r="BI89" s="35" t="s">
        <v>1355</v>
      </c>
      <c r="BJ89" s="35" t="s">
        <v>2373</v>
      </c>
      <c r="BK89" s="35">
        <v>218004</v>
      </c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248"/>
      <c r="BW89" s="248"/>
      <c r="BX89" s="248"/>
      <c r="BY89" s="248"/>
      <c r="BZ89" s="248"/>
      <c r="CA89" s="248"/>
      <c r="CB89" s="248"/>
      <c r="CC89" s="248"/>
      <c r="CD89" s="248"/>
      <c r="CE89" s="248"/>
      <c r="CF89" s="248"/>
      <c r="CG89" s="248"/>
      <c r="CH89" s="248"/>
      <c r="CI89" s="248"/>
      <c r="CJ89" s="248"/>
      <c r="CK89" s="248"/>
      <c r="CL89" s="248"/>
      <c r="CM89" s="248"/>
      <c r="CN89" s="248"/>
      <c r="CO89" s="248"/>
      <c r="CP89" s="248"/>
      <c r="CQ89" s="248"/>
      <c r="CR89" s="248"/>
      <c r="CS89" s="248"/>
      <c r="CT89" s="248"/>
      <c r="CU89" s="248"/>
      <c r="CV89" s="248"/>
      <c r="CW89" s="248"/>
      <c r="CX89" s="248"/>
      <c r="CY89" s="248"/>
      <c r="CZ89" s="248"/>
      <c r="DA89" s="248"/>
      <c r="DB89" s="248"/>
      <c r="DC89" s="248"/>
      <c r="DD89" s="248"/>
      <c r="DE89" s="248"/>
      <c r="DF89" s="248"/>
      <c r="DG89" s="248"/>
      <c r="DH89" s="248"/>
      <c r="DI89" s="248"/>
      <c r="DJ89" s="248"/>
      <c r="DK89" s="248"/>
      <c r="DL89" s="248"/>
      <c r="DM89" s="248"/>
      <c r="DN89" s="248"/>
      <c r="DO89" s="248"/>
      <c r="DP89" s="248"/>
      <c r="DQ89" s="248"/>
      <c r="DR89" s="248"/>
      <c r="DS89" s="248"/>
      <c r="DT89" s="248"/>
      <c r="DU89" s="248"/>
      <c r="DV89" s="248"/>
      <c r="DW89" s="248"/>
      <c r="DX89" s="248"/>
      <c r="DY89" s="248"/>
      <c r="DZ89" s="248"/>
      <c r="EA89" s="248"/>
      <c r="EB89" s="248"/>
      <c r="EC89" s="248"/>
      <c r="ED89" s="248"/>
    </row>
    <row r="90" spans="1:253" s="4" customFormat="1">
      <c r="B90" s="369"/>
      <c r="C90" s="248"/>
      <c r="D90" s="283"/>
      <c r="E90" s="32"/>
      <c r="F90" s="35"/>
      <c r="G90" s="35"/>
      <c r="H90" s="35"/>
      <c r="I90" s="35"/>
      <c r="K90" s="32"/>
      <c r="L90" s="32"/>
      <c r="N90" s="35"/>
      <c r="O90" s="34"/>
      <c r="P90" s="285"/>
      <c r="Q90" s="59"/>
      <c r="R90" s="39"/>
      <c r="S90" s="32"/>
      <c r="T90" s="32"/>
      <c r="U90" s="32"/>
      <c r="V90" s="32"/>
      <c r="W90" s="32"/>
      <c r="X90" s="32"/>
      <c r="Y90" s="32"/>
      <c r="Z90" s="32"/>
      <c r="AA90" s="35"/>
      <c r="AB90" s="32"/>
      <c r="AC90" s="32"/>
      <c r="AD90" s="32"/>
      <c r="AE90" s="32"/>
      <c r="AF90" s="32"/>
      <c r="AG90" s="279"/>
      <c r="AH90" s="35"/>
      <c r="AI90" s="279"/>
      <c r="AJ90" s="279"/>
      <c r="AK90" s="42"/>
      <c r="AL90" s="35"/>
      <c r="AM90" s="35"/>
      <c r="AN90" s="35"/>
      <c r="AO90" s="35"/>
      <c r="AP90" s="34"/>
      <c r="AQ90" s="35"/>
      <c r="AR90" s="35"/>
      <c r="AS90" s="35"/>
      <c r="AT90" s="35"/>
      <c r="AU90" s="35"/>
      <c r="AV90" s="35"/>
      <c r="AW90" s="34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248"/>
      <c r="CC90" s="248"/>
      <c r="CD90" s="248"/>
      <c r="CE90" s="248"/>
      <c r="CF90" s="248"/>
      <c r="CG90" s="248"/>
      <c r="CH90" s="248"/>
      <c r="CI90" s="248"/>
      <c r="CJ90" s="248"/>
      <c r="CK90" s="248"/>
      <c r="CL90" s="248"/>
      <c r="CM90" s="248"/>
      <c r="CN90" s="248"/>
      <c r="CO90" s="248"/>
      <c r="CP90" s="248"/>
      <c r="CQ90" s="248"/>
      <c r="CR90" s="248"/>
      <c r="CS90" s="248"/>
      <c r="CT90" s="248"/>
      <c r="CU90" s="248"/>
      <c r="CV90" s="248"/>
      <c r="CW90" s="248"/>
      <c r="CX90" s="248"/>
      <c r="CY90" s="248"/>
      <c r="CZ90" s="248"/>
      <c r="DA90" s="248"/>
      <c r="DB90" s="248"/>
      <c r="DC90" s="248"/>
      <c r="DD90" s="248"/>
      <c r="DE90" s="248"/>
      <c r="DF90" s="248"/>
      <c r="DG90" s="248"/>
      <c r="DH90" s="248"/>
      <c r="DI90" s="248"/>
      <c r="DJ90" s="248"/>
      <c r="DK90" s="248"/>
      <c r="DL90" s="248"/>
      <c r="DM90" s="248"/>
      <c r="DN90" s="248"/>
      <c r="DO90" s="248"/>
      <c r="DP90" s="248"/>
      <c r="DQ90" s="248"/>
      <c r="DR90" s="248"/>
      <c r="DS90" s="248"/>
      <c r="DT90" s="248"/>
      <c r="DU90" s="248"/>
      <c r="DV90" s="248"/>
      <c r="DW90" s="248"/>
      <c r="DX90" s="248"/>
      <c r="DY90" s="248"/>
      <c r="DZ90" s="248"/>
      <c r="EA90" s="248"/>
      <c r="EB90" s="248"/>
      <c r="EC90" s="302"/>
      <c r="ED90" s="302"/>
      <c r="EE90" s="302"/>
      <c r="EF90" s="302"/>
      <c r="EG90" s="302"/>
      <c r="EH90" s="302"/>
      <c r="EI90" s="302"/>
      <c r="EJ90" s="302"/>
      <c r="EK90" s="302"/>
      <c r="EL90" s="302"/>
      <c r="EM90" s="302"/>
      <c r="EN90" s="302"/>
      <c r="EO90" s="302"/>
      <c r="EP90" s="302"/>
      <c r="EQ90" s="302"/>
      <c r="ER90" s="302"/>
      <c r="ES90" s="302"/>
      <c r="ET90" s="302"/>
      <c r="EU90" s="302"/>
      <c r="EV90" s="302"/>
      <c r="EW90" s="302"/>
      <c r="EX90" s="302"/>
      <c r="EY90" s="302"/>
      <c r="EZ90" s="302"/>
      <c r="FA90" s="302"/>
      <c r="FB90" s="302"/>
      <c r="FC90" s="302"/>
      <c r="FD90" s="302"/>
      <c r="FE90" s="302"/>
      <c r="FF90" s="302"/>
      <c r="FG90" s="302"/>
      <c r="FH90" s="302"/>
      <c r="FI90" s="302"/>
      <c r="FJ90" s="302"/>
      <c r="FK90" s="302"/>
      <c r="FL90" s="302"/>
      <c r="FM90" s="302"/>
      <c r="FN90" s="302"/>
      <c r="FO90" s="302"/>
      <c r="FP90" s="302"/>
      <c r="FQ90" s="302"/>
      <c r="FR90" s="302"/>
      <c r="FS90" s="302"/>
      <c r="FT90" s="302"/>
      <c r="FU90" s="302"/>
      <c r="FV90" s="302"/>
      <c r="FW90" s="302"/>
      <c r="FX90" s="302"/>
      <c r="FY90" s="302"/>
      <c r="FZ90" s="302"/>
      <c r="GA90" s="302"/>
      <c r="GB90" s="302"/>
      <c r="GC90" s="302"/>
      <c r="GD90" s="302"/>
      <c r="GE90" s="302"/>
      <c r="GF90" s="302"/>
      <c r="GG90" s="302"/>
      <c r="GH90" s="302"/>
      <c r="GI90" s="302"/>
      <c r="GJ90" s="302"/>
      <c r="GK90" s="302"/>
      <c r="GL90" s="302"/>
      <c r="GM90" s="302"/>
      <c r="GN90" s="302"/>
      <c r="GO90" s="302"/>
      <c r="GP90" s="302"/>
      <c r="GQ90" s="302"/>
      <c r="GR90" s="302"/>
      <c r="GS90" s="302"/>
      <c r="GT90" s="302"/>
      <c r="GU90" s="302"/>
      <c r="GV90" s="302"/>
      <c r="GW90" s="302"/>
      <c r="GX90" s="302"/>
      <c r="GY90" s="302"/>
      <c r="GZ90" s="302"/>
      <c r="HA90" s="302"/>
      <c r="HB90" s="302"/>
      <c r="HC90" s="302"/>
      <c r="HD90" s="302"/>
      <c r="HE90" s="302"/>
      <c r="HF90" s="302"/>
      <c r="HG90" s="302"/>
      <c r="HH90" s="302"/>
      <c r="HI90" s="302"/>
      <c r="HJ90" s="302"/>
      <c r="HK90" s="302"/>
      <c r="HL90" s="302"/>
      <c r="HM90" s="302"/>
      <c r="HN90" s="302"/>
      <c r="HO90" s="302"/>
      <c r="HP90" s="302"/>
      <c r="HQ90" s="302"/>
      <c r="HR90" s="302"/>
      <c r="HS90" s="302"/>
      <c r="HT90" s="302"/>
      <c r="HU90" s="302"/>
      <c r="HV90" s="302"/>
      <c r="HW90" s="302"/>
      <c r="HX90" s="302"/>
      <c r="HY90" s="302"/>
      <c r="HZ90" s="302"/>
      <c r="IA90" s="302"/>
      <c r="IB90" s="302"/>
      <c r="IC90" s="302"/>
      <c r="ID90" s="302"/>
      <c r="IE90" s="302"/>
      <c r="IF90" s="302"/>
      <c r="IG90" s="302"/>
      <c r="IH90" s="302"/>
      <c r="II90" s="302"/>
      <c r="IJ90" s="302"/>
      <c r="IK90" s="302"/>
      <c r="IL90" s="302"/>
      <c r="IM90" s="302"/>
      <c r="IN90" s="302"/>
      <c r="IO90" s="302"/>
      <c r="IP90" s="302"/>
      <c r="IQ90" s="302"/>
      <c r="IR90" s="302"/>
      <c r="IS90" s="302"/>
    </row>
    <row r="91" spans="1:253" s="4" customFormat="1">
      <c r="A91" s="4" t="str">
        <f t="shared" si="0"/>
        <v>SGKG_B              SP_ACLIN2</v>
      </c>
      <c r="B91" s="45"/>
      <c r="C91" s="4">
        <v>29003</v>
      </c>
      <c r="D91" s="6" t="s">
        <v>606</v>
      </c>
      <c r="F91" s="4" t="s">
        <v>1086</v>
      </c>
      <c r="G91" s="4" t="s">
        <v>2238</v>
      </c>
      <c r="H91" s="43" t="s">
        <v>610</v>
      </c>
      <c r="I91" s="43"/>
      <c r="K91" s="29"/>
      <c r="L91" s="29"/>
      <c r="N91" s="43" t="s">
        <v>537</v>
      </c>
      <c r="O91" s="260" t="s">
        <v>1086</v>
      </c>
      <c r="P91" s="261" t="s">
        <v>1097</v>
      </c>
      <c r="Q91" s="57"/>
      <c r="S91" s="44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42"/>
      <c r="AI91" s="42" t="s">
        <v>1117</v>
      </c>
      <c r="AJ91" s="42"/>
      <c r="AK91" s="42" t="s">
        <v>539</v>
      </c>
      <c r="AL91" s="4">
        <v>29003</v>
      </c>
      <c r="AM91" s="4" t="s">
        <v>1441</v>
      </c>
      <c r="AN91" s="4" t="s">
        <v>1701</v>
      </c>
      <c r="AO91" s="4" t="s">
        <v>656</v>
      </c>
      <c r="AP91" s="34" t="s">
        <v>2262</v>
      </c>
      <c r="AQ91" s="4">
        <v>8</v>
      </c>
      <c r="AR91" s="4" t="s">
        <v>464</v>
      </c>
      <c r="AS91" s="4" t="s">
        <v>218</v>
      </c>
      <c r="AT91" s="4" t="s">
        <v>10</v>
      </c>
      <c r="AU91" s="4" t="s">
        <v>1728</v>
      </c>
      <c r="AV91" s="4" t="s">
        <v>325</v>
      </c>
      <c r="AW91" s="34" t="s">
        <v>2238</v>
      </c>
      <c r="AX91" s="4">
        <v>1</v>
      </c>
      <c r="AY91" s="4" t="s">
        <v>1865</v>
      </c>
      <c r="AZ91" s="4" t="s">
        <v>10</v>
      </c>
      <c r="BA91" s="4" t="s">
        <v>10</v>
      </c>
      <c r="BB91" s="4" t="s">
        <v>219</v>
      </c>
      <c r="BC91" s="4" t="s">
        <v>1742</v>
      </c>
      <c r="BD91" s="4" t="s">
        <v>10</v>
      </c>
      <c r="BE91" s="4" t="s">
        <v>10</v>
      </c>
      <c r="BF91" s="4">
        <v>1187</v>
      </c>
      <c r="BG91" s="4" t="s">
        <v>108</v>
      </c>
      <c r="BH91" s="4">
        <v>0.13</v>
      </c>
      <c r="BI91" s="4" t="s">
        <v>1443</v>
      </c>
      <c r="BJ91" s="4" t="s">
        <v>678</v>
      </c>
      <c r="BK91" s="4" t="s">
        <v>682</v>
      </c>
      <c r="BL91" s="4" t="s">
        <v>2358</v>
      </c>
      <c r="BM91" s="4" t="s">
        <v>2359</v>
      </c>
      <c r="BN91" s="35">
        <v>29003</v>
      </c>
    </row>
    <row r="92" spans="1:253" s="4" customFormat="1">
      <c r="A92" s="4" t="str">
        <f t="shared" si="0"/>
        <v>SGION_A             SP_ACLIN2</v>
      </c>
      <c r="B92" s="350"/>
      <c r="C92" s="35">
        <v>29016</v>
      </c>
      <c r="D92" s="283" t="s">
        <v>606</v>
      </c>
      <c r="E92" s="35"/>
      <c r="F92" s="35" t="s">
        <v>1086</v>
      </c>
      <c r="G92" s="35" t="s">
        <v>2238</v>
      </c>
      <c r="H92" s="35" t="s">
        <v>610</v>
      </c>
      <c r="I92" s="35"/>
      <c r="K92" s="32"/>
      <c r="L92" s="32"/>
      <c r="N92" s="35" t="s">
        <v>537</v>
      </c>
      <c r="O92" s="34" t="s">
        <v>1086</v>
      </c>
      <c r="P92" s="285" t="s">
        <v>1097</v>
      </c>
      <c r="Q92" s="62"/>
      <c r="S92" s="32"/>
      <c r="T92" s="32"/>
      <c r="U92" s="32"/>
      <c r="V92" s="32"/>
      <c r="W92" s="32"/>
      <c r="X92" s="32"/>
      <c r="Y92" s="32"/>
      <c r="Z92" s="35" t="s">
        <v>2645</v>
      </c>
      <c r="AA92" s="32"/>
      <c r="AB92" s="32"/>
      <c r="AC92" s="32"/>
      <c r="AD92" s="32"/>
      <c r="AE92" s="32"/>
      <c r="AF92" s="32"/>
      <c r="AG92" s="279"/>
      <c r="AH92" s="35"/>
      <c r="AI92" s="279" t="s">
        <v>1117</v>
      </c>
      <c r="AJ92" s="279"/>
      <c r="AK92" s="42" t="s">
        <v>539</v>
      </c>
      <c r="AL92" s="35">
        <v>29016</v>
      </c>
      <c r="AM92" s="35" t="s">
        <v>1456</v>
      </c>
      <c r="AN92" s="35" t="s">
        <v>961</v>
      </c>
      <c r="AO92" s="35" t="s">
        <v>693</v>
      </c>
      <c r="AP92" s="34" t="s">
        <v>2268</v>
      </c>
      <c r="AQ92" s="35">
        <v>2</v>
      </c>
      <c r="AR92" s="35" t="s">
        <v>410</v>
      </c>
      <c r="AS92" s="35" t="s">
        <v>695</v>
      </c>
      <c r="AT92" s="35" t="s">
        <v>10</v>
      </c>
      <c r="AU92" s="35" t="s">
        <v>1728</v>
      </c>
      <c r="AV92" s="35" t="s">
        <v>325</v>
      </c>
      <c r="AW92" s="34" t="s">
        <v>2238</v>
      </c>
      <c r="AX92" s="35">
        <v>1</v>
      </c>
      <c r="AY92" s="35" t="s">
        <v>1865</v>
      </c>
      <c r="AZ92" s="35" t="s">
        <v>10</v>
      </c>
      <c r="BA92" s="35" t="s">
        <v>10</v>
      </c>
      <c r="BB92" s="35" t="s">
        <v>219</v>
      </c>
      <c r="BC92" s="35" t="s">
        <v>1742</v>
      </c>
      <c r="BD92" s="35" t="s">
        <v>10</v>
      </c>
      <c r="BE92" s="35" t="s">
        <v>10</v>
      </c>
      <c r="BF92" s="35">
        <v>548</v>
      </c>
      <c r="BG92" s="35" t="s">
        <v>108</v>
      </c>
      <c r="BH92" s="35">
        <v>0.13</v>
      </c>
      <c r="BI92" s="35" t="s">
        <v>1443</v>
      </c>
      <c r="BJ92" s="35" t="s">
        <v>10</v>
      </c>
      <c r="BK92" s="35" t="s">
        <v>682</v>
      </c>
      <c r="BL92" s="35" t="s">
        <v>2358</v>
      </c>
      <c r="BM92" s="35" t="s">
        <v>2359</v>
      </c>
      <c r="BN92" s="35">
        <v>29016</v>
      </c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2"/>
      <c r="ED92" s="32"/>
      <c r="EE92" s="32"/>
      <c r="EF92" s="32"/>
      <c r="EG92" s="32"/>
      <c r="EH92" s="32"/>
      <c r="EI92" s="32"/>
      <c r="EJ92" s="32"/>
      <c r="EK92" s="32"/>
      <c r="EL92" s="32"/>
      <c r="EM92" s="32"/>
      <c r="EN92" s="32"/>
      <c r="EO92" s="32"/>
      <c r="EP92" s="32"/>
      <c r="EQ92" s="32"/>
      <c r="ER92" s="32"/>
      <c r="ES92" s="32"/>
      <c r="ET92" s="32"/>
      <c r="EU92" s="32"/>
      <c r="EV92" s="32"/>
      <c r="EW92" s="32"/>
      <c r="EX92" s="32"/>
      <c r="EY92" s="32"/>
      <c r="EZ92" s="32"/>
      <c r="FA92" s="32"/>
      <c r="FB92" s="32"/>
      <c r="FC92" s="32"/>
      <c r="FD92" s="32"/>
      <c r="FE92" s="32"/>
      <c r="FF92" s="32"/>
      <c r="FG92" s="32"/>
      <c r="FH92" s="32"/>
      <c r="FI92" s="32"/>
      <c r="FJ92" s="32"/>
      <c r="FK92" s="32"/>
      <c r="FL92" s="32"/>
      <c r="FM92" s="32"/>
      <c r="FN92" s="32"/>
      <c r="FO92" s="32"/>
      <c r="FP92" s="32"/>
      <c r="FQ92" s="32"/>
      <c r="FR92" s="32"/>
      <c r="FS92" s="32"/>
      <c r="FT92" s="32"/>
      <c r="FU92" s="32"/>
      <c r="FV92" s="32"/>
      <c r="FW92" s="32"/>
      <c r="FX92" s="32"/>
      <c r="FY92" s="32"/>
      <c r="FZ92" s="32"/>
      <c r="GA92" s="32"/>
      <c r="GB92" s="32"/>
      <c r="GC92" s="32"/>
      <c r="GD92" s="32"/>
      <c r="GE92" s="32"/>
      <c r="GF92" s="32"/>
      <c r="GG92" s="32"/>
      <c r="GH92" s="32"/>
      <c r="GI92" s="32"/>
      <c r="GJ92" s="32"/>
      <c r="GK92" s="32"/>
      <c r="GL92" s="32"/>
      <c r="GM92" s="32"/>
      <c r="GN92" s="32"/>
      <c r="GO92" s="32"/>
      <c r="GP92" s="32"/>
      <c r="GQ92" s="32"/>
      <c r="GR92" s="32"/>
      <c r="GS92" s="32"/>
      <c r="GT92" s="32"/>
      <c r="GU92" s="32"/>
      <c r="GV92" s="32"/>
      <c r="GW92" s="32"/>
      <c r="GX92" s="32"/>
      <c r="GY92" s="32"/>
      <c r="GZ92" s="32"/>
      <c r="HA92" s="32"/>
      <c r="HB92" s="32"/>
      <c r="HC92" s="32"/>
      <c r="HD92" s="32"/>
      <c r="HE92" s="32"/>
      <c r="HF92" s="32"/>
      <c r="HG92" s="32"/>
      <c r="HH92" s="32"/>
      <c r="HI92" s="32"/>
      <c r="HJ92" s="32"/>
      <c r="HK92" s="32"/>
      <c r="HL92" s="32"/>
      <c r="HM92" s="32"/>
      <c r="HN92" s="32"/>
      <c r="HO92" s="32"/>
      <c r="HP92" s="32"/>
      <c r="HQ92" s="32"/>
      <c r="HR92" s="32"/>
      <c r="HS92" s="32"/>
      <c r="HT92" s="32"/>
      <c r="HU92" s="32"/>
      <c r="HV92" s="32"/>
      <c r="HW92" s="32"/>
      <c r="HX92" s="32"/>
      <c r="HY92" s="32"/>
      <c r="HZ92" s="32"/>
      <c r="IA92" s="32"/>
      <c r="IB92" s="32"/>
      <c r="IC92" s="32"/>
      <c r="ID92" s="32"/>
      <c r="IE92" s="32"/>
      <c r="IF92" s="32"/>
      <c r="IG92" s="32"/>
      <c r="IH92" s="32"/>
      <c r="II92" s="32"/>
      <c r="IJ92" s="32"/>
      <c r="IK92" s="32"/>
      <c r="IL92" s="32"/>
      <c r="IM92" s="32"/>
      <c r="IN92" s="32"/>
      <c r="IO92" s="32"/>
      <c r="IP92" s="32"/>
      <c r="IQ92" s="32"/>
      <c r="IR92" s="32"/>
      <c r="IS92" s="32"/>
    </row>
    <row r="93" spans="1:253" s="4" customFormat="1">
      <c r="A93" s="4" t="str">
        <f t="shared" si="0"/>
        <v>SP_ACLIN2           KS_CP_C</v>
      </c>
      <c r="B93" s="1"/>
      <c r="C93" s="4">
        <v>29017</v>
      </c>
      <c r="D93" s="6" t="s">
        <v>606</v>
      </c>
      <c r="E93" s="43"/>
      <c r="F93" s="4" t="s">
        <v>1086</v>
      </c>
      <c r="G93" s="4" t="s">
        <v>2238</v>
      </c>
      <c r="H93" s="43" t="s">
        <v>610</v>
      </c>
      <c r="I93" s="43"/>
      <c r="N93" s="43" t="s">
        <v>537</v>
      </c>
      <c r="O93" s="260" t="s">
        <v>1097</v>
      </c>
      <c r="P93" s="260" t="s">
        <v>1086</v>
      </c>
      <c r="Q93" s="56"/>
      <c r="S93" s="33"/>
      <c r="AH93" s="42"/>
      <c r="AI93" s="42" t="s">
        <v>1117</v>
      </c>
      <c r="AJ93" s="42"/>
      <c r="AK93" s="42" t="s">
        <v>538</v>
      </c>
      <c r="AL93" s="4">
        <v>29017</v>
      </c>
      <c r="AM93" s="4" t="s">
        <v>1876</v>
      </c>
      <c r="AN93" s="4" t="s">
        <v>1728</v>
      </c>
      <c r="AO93" s="4" t="s">
        <v>325</v>
      </c>
      <c r="AP93" s="34" t="s">
        <v>2238</v>
      </c>
      <c r="AQ93" s="4">
        <v>1</v>
      </c>
      <c r="AR93" s="4" t="s">
        <v>1865</v>
      </c>
      <c r="AS93" s="4" t="s">
        <v>10</v>
      </c>
      <c r="AT93" s="4" t="s">
        <v>10</v>
      </c>
      <c r="AU93" s="4" t="s">
        <v>959</v>
      </c>
      <c r="AV93" s="4" t="s">
        <v>683</v>
      </c>
      <c r="AW93" s="34" t="s">
        <v>1867</v>
      </c>
      <c r="AX93" s="4">
        <v>15</v>
      </c>
      <c r="AY93" s="4" t="s">
        <v>477</v>
      </c>
      <c r="AZ93" s="4" t="s">
        <v>500</v>
      </c>
      <c r="BA93" s="4" t="s">
        <v>10</v>
      </c>
      <c r="BB93" s="4" t="s">
        <v>219</v>
      </c>
      <c r="BC93" s="4" t="s">
        <v>1742</v>
      </c>
      <c r="BD93" s="4" t="s">
        <v>10</v>
      </c>
      <c r="BE93" s="4" t="s">
        <v>10</v>
      </c>
      <c r="BF93" s="4">
        <v>810</v>
      </c>
      <c r="BG93" s="4" t="s">
        <v>108</v>
      </c>
      <c r="BH93" s="4">
        <v>0.13</v>
      </c>
      <c r="BI93" s="4" t="s">
        <v>1443</v>
      </c>
      <c r="BJ93" s="4" t="s">
        <v>678</v>
      </c>
      <c r="BK93" s="4" t="s">
        <v>682</v>
      </c>
      <c r="BL93" s="4" t="s">
        <v>2358</v>
      </c>
      <c r="BM93" s="4" t="s">
        <v>2359</v>
      </c>
      <c r="BN93" s="35">
        <v>29017</v>
      </c>
    </row>
    <row r="94" spans="1:253" s="4" customFormat="1">
      <c r="A94" s="4" t="str">
        <f t="shared" si="0"/>
        <v>GBR                 SP_ACLIN2</v>
      </c>
      <c r="B94" s="1"/>
      <c r="C94" s="4">
        <v>29018</v>
      </c>
      <c r="D94" s="6" t="s">
        <v>606</v>
      </c>
      <c r="E94" s="43"/>
      <c r="F94" s="4" t="s">
        <v>1086</v>
      </c>
      <c r="G94" s="4" t="s">
        <v>2238</v>
      </c>
      <c r="H94" s="43" t="s">
        <v>610</v>
      </c>
      <c r="I94" s="43"/>
      <c r="N94" s="43" t="s">
        <v>537</v>
      </c>
      <c r="O94" s="260" t="s">
        <v>1086</v>
      </c>
      <c r="P94" s="261" t="s">
        <v>1097</v>
      </c>
      <c r="Q94" s="56"/>
      <c r="S94" s="33"/>
      <c r="AH94" s="42"/>
      <c r="AI94" s="42" t="s">
        <v>1117</v>
      </c>
      <c r="AJ94" s="42"/>
      <c r="AK94" s="42" t="s">
        <v>538</v>
      </c>
      <c r="AL94" s="4">
        <v>29018</v>
      </c>
      <c r="AM94" s="4" t="s">
        <v>1457</v>
      </c>
      <c r="AN94" s="4" t="s">
        <v>1702</v>
      </c>
      <c r="AO94" s="4" t="s">
        <v>696</v>
      </c>
      <c r="AP94" s="34" t="s">
        <v>2269</v>
      </c>
      <c r="AQ94" s="4">
        <v>4</v>
      </c>
      <c r="AR94" s="4" t="s">
        <v>345</v>
      </c>
      <c r="AS94" s="4" t="s">
        <v>94</v>
      </c>
      <c r="AT94" s="4" t="s">
        <v>10</v>
      </c>
      <c r="AU94" s="4" t="s">
        <v>1728</v>
      </c>
      <c r="AV94" s="4" t="s">
        <v>325</v>
      </c>
      <c r="AW94" s="34" t="s">
        <v>2238</v>
      </c>
      <c r="AX94" s="4">
        <v>1</v>
      </c>
      <c r="AY94" s="4" t="s">
        <v>1865</v>
      </c>
      <c r="AZ94" s="4" t="s">
        <v>10</v>
      </c>
      <c r="BA94" s="4" t="s">
        <v>10</v>
      </c>
      <c r="BB94" s="4" t="s">
        <v>154</v>
      </c>
      <c r="BC94" s="4" t="s">
        <v>1742</v>
      </c>
      <c r="BD94" s="4" t="s">
        <v>10</v>
      </c>
      <c r="BE94" s="4" t="s">
        <v>10</v>
      </c>
      <c r="BF94" s="4">
        <v>522</v>
      </c>
      <c r="BG94" s="4" t="s">
        <v>108</v>
      </c>
      <c r="BH94" s="4">
        <v>0.35</v>
      </c>
      <c r="BI94" s="4" t="s">
        <v>1443</v>
      </c>
      <c r="BJ94" s="4" t="s">
        <v>678</v>
      </c>
      <c r="BK94" s="4" t="s">
        <v>682</v>
      </c>
      <c r="BL94" s="4" t="s">
        <v>2358</v>
      </c>
      <c r="BM94" s="4" t="s">
        <v>2359</v>
      </c>
      <c r="BN94" s="35">
        <v>29018</v>
      </c>
    </row>
    <row r="95" spans="1:253" s="4" customFormat="1">
      <c r="A95" s="4" t="str">
        <f t="shared" si="0"/>
        <v>SP_ACLIN2           KS_CPR_C</v>
      </c>
      <c r="B95" s="1"/>
      <c r="C95" s="4">
        <v>29027</v>
      </c>
      <c r="D95" s="6" t="s">
        <v>606</v>
      </c>
      <c r="F95" s="4" t="s">
        <v>1086</v>
      </c>
      <c r="G95" s="4" t="s">
        <v>2238</v>
      </c>
      <c r="H95" s="43" t="s">
        <v>610</v>
      </c>
      <c r="I95" s="43"/>
      <c r="N95" s="43" t="s">
        <v>537</v>
      </c>
      <c r="O95" s="260" t="s">
        <v>1097</v>
      </c>
      <c r="P95" s="260" t="s">
        <v>1086</v>
      </c>
      <c r="Q95" s="56"/>
      <c r="S95" s="33"/>
      <c r="AH95" s="42"/>
      <c r="AI95" s="42" t="s">
        <v>1117</v>
      </c>
      <c r="AJ95" s="42"/>
      <c r="AK95" s="42" t="s">
        <v>538</v>
      </c>
      <c r="AL95" s="4">
        <v>29027</v>
      </c>
      <c r="AM95" s="4" t="s">
        <v>1881</v>
      </c>
      <c r="AN95" s="4" t="s">
        <v>1728</v>
      </c>
      <c r="AO95" s="4" t="s">
        <v>325</v>
      </c>
      <c r="AP95" s="34" t="s">
        <v>2238</v>
      </c>
      <c r="AQ95" s="4">
        <v>1</v>
      </c>
      <c r="AR95" s="4" t="s">
        <v>1865</v>
      </c>
      <c r="AS95" s="4" t="s">
        <v>10</v>
      </c>
      <c r="AT95" s="4" t="s">
        <v>10</v>
      </c>
      <c r="AU95" s="4" t="s">
        <v>424</v>
      </c>
      <c r="AV95" s="4" t="s">
        <v>648</v>
      </c>
      <c r="AW95" s="34" t="s">
        <v>1796</v>
      </c>
      <c r="AX95" s="4">
        <v>3</v>
      </c>
      <c r="AY95" s="4" t="s">
        <v>1613</v>
      </c>
      <c r="AZ95" s="4" t="s">
        <v>492</v>
      </c>
      <c r="BA95" s="4" t="s">
        <v>10</v>
      </c>
      <c r="BB95" s="4" t="s">
        <v>219</v>
      </c>
      <c r="BC95" s="4" t="s">
        <v>1742</v>
      </c>
      <c r="BD95" s="4" t="s">
        <v>10</v>
      </c>
      <c r="BE95" s="4" t="s">
        <v>10</v>
      </c>
      <c r="BF95" s="35">
        <v>912</v>
      </c>
      <c r="BG95" s="4" t="s">
        <v>108</v>
      </c>
      <c r="BH95" s="4">
        <v>0.13</v>
      </c>
      <c r="BI95" s="4" t="s">
        <v>1443</v>
      </c>
      <c r="BJ95" s="4" t="s">
        <v>678</v>
      </c>
      <c r="BK95" s="4" t="s">
        <v>682</v>
      </c>
      <c r="BL95" s="4" t="s">
        <v>2358</v>
      </c>
      <c r="BM95" s="4" t="s">
        <v>2359</v>
      </c>
      <c r="BN95" s="35">
        <v>29027</v>
      </c>
    </row>
    <row r="96" spans="1:253" s="4" customFormat="1">
      <c r="A96" s="4" t="str">
        <f t="shared" si="0"/>
        <v>FSS                 SP_ACLIN2</v>
      </c>
      <c r="B96" s="1"/>
      <c r="C96" s="4">
        <v>29100</v>
      </c>
      <c r="D96" s="6" t="s">
        <v>606</v>
      </c>
      <c r="F96" s="4" t="s">
        <v>1086</v>
      </c>
      <c r="G96" s="4" t="s">
        <v>2238</v>
      </c>
      <c r="H96" s="4" t="s">
        <v>610</v>
      </c>
      <c r="N96" s="43" t="s">
        <v>537</v>
      </c>
      <c r="O96" s="260" t="s">
        <v>1086</v>
      </c>
      <c r="P96" s="261" t="s">
        <v>1097</v>
      </c>
      <c r="Q96" s="56"/>
      <c r="S96" s="33"/>
      <c r="AH96" s="42"/>
      <c r="AI96" s="42" t="s">
        <v>1117</v>
      </c>
      <c r="AJ96" s="42"/>
      <c r="AK96" s="42" t="s">
        <v>538</v>
      </c>
      <c r="AL96" s="4">
        <v>29100</v>
      </c>
      <c r="AM96" s="4" t="s">
        <v>1489</v>
      </c>
      <c r="AN96" s="4" t="s">
        <v>1708</v>
      </c>
      <c r="AO96" s="4" t="s">
        <v>720</v>
      </c>
      <c r="AP96" s="34" t="s">
        <v>2276</v>
      </c>
      <c r="AQ96" s="4">
        <v>2</v>
      </c>
      <c r="AR96" s="4" t="s">
        <v>1910</v>
      </c>
      <c r="AS96" s="4" t="s">
        <v>218</v>
      </c>
      <c r="AT96" s="4" t="s">
        <v>10</v>
      </c>
      <c r="AU96" s="4" t="s">
        <v>1728</v>
      </c>
      <c r="AV96" s="4" t="s">
        <v>325</v>
      </c>
      <c r="AW96" s="34" t="s">
        <v>2238</v>
      </c>
      <c r="AX96" s="4">
        <v>1</v>
      </c>
      <c r="AY96" s="4" t="s">
        <v>1865</v>
      </c>
      <c r="AZ96" s="4" t="s">
        <v>10</v>
      </c>
      <c r="BA96" s="4" t="s">
        <v>10</v>
      </c>
      <c r="BB96" s="4" t="s">
        <v>219</v>
      </c>
      <c r="BC96" s="4" t="s">
        <v>1742</v>
      </c>
      <c r="BD96" s="4" t="s">
        <v>10</v>
      </c>
      <c r="BE96" s="4" t="s">
        <v>10</v>
      </c>
      <c r="BF96" s="4">
        <v>791</v>
      </c>
      <c r="BG96" s="4" t="s">
        <v>108</v>
      </c>
      <c r="BH96" s="4">
        <v>0.13</v>
      </c>
      <c r="BI96" s="4" t="s">
        <v>1443</v>
      </c>
      <c r="BJ96" s="4" t="s">
        <v>10</v>
      </c>
      <c r="BK96" s="4" t="s">
        <v>682</v>
      </c>
      <c r="BL96" s="4" t="s">
        <v>10</v>
      </c>
      <c r="BM96" s="4" t="s">
        <v>10</v>
      </c>
      <c r="BN96" s="35">
        <v>29100</v>
      </c>
    </row>
    <row r="97" spans="1:66" s="4" customFormat="1">
      <c r="A97" s="4" t="str">
        <f t="shared" si="0"/>
        <v xml:space="preserve">                    </v>
      </c>
      <c r="B97" s="1"/>
      <c r="D97" s="6"/>
      <c r="N97" s="43"/>
      <c r="O97" s="260"/>
      <c r="P97" s="261"/>
      <c r="Q97" s="56"/>
      <c r="S97" s="33"/>
      <c r="AH97" s="42"/>
      <c r="AI97" s="42"/>
      <c r="AJ97" s="42"/>
      <c r="AK97" s="42"/>
      <c r="AP97" s="34"/>
      <c r="AW97" s="34"/>
    </row>
    <row r="98" spans="1:66" s="4" customFormat="1">
      <c r="A98" s="4" t="str">
        <f t="shared" si="0"/>
        <v>SGKG_B              SP_31SM</v>
      </c>
      <c r="B98" s="1"/>
      <c r="C98" s="4">
        <v>29011</v>
      </c>
      <c r="D98" s="6" t="s">
        <v>606</v>
      </c>
      <c r="F98" s="4" t="s">
        <v>1086</v>
      </c>
      <c r="G98" s="4" t="s">
        <v>2240</v>
      </c>
      <c r="H98" s="43" t="s">
        <v>610</v>
      </c>
      <c r="I98" s="43"/>
      <c r="N98" s="43" t="s">
        <v>537</v>
      </c>
      <c r="O98" s="260" t="s">
        <v>1086</v>
      </c>
      <c r="P98" s="261" t="s">
        <v>1097</v>
      </c>
      <c r="Q98" s="56"/>
      <c r="S98" s="33"/>
      <c r="AH98" s="42"/>
      <c r="AI98" s="42" t="s">
        <v>1117</v>
      </c>
      <c r="AJ98" s="42"/>
      <c r="AK98" s="42" t="s">
        <v>539</v>
      </c>
      <c r="AL98" s="4">
        <v>29011</v>
      </c>
      <c r="AM98" s="4" t="s">
        <v>1452</v>
      </c>
      <c r="AN98" s="4" t="s">
        <v>1701</v>
      </c>
      <c r="AO98" s="4" t="s">
        <v>656</v>
      </c>
      <c r="AP98" s="34" t="s">
        <v>2262</v>
      </c>
      <c r="AQ98" s="4">
        <v>38</v>
      </c>
      <c r="AR98" s="4" t="s">
        <v>464</v>
      </c>
      <c r="AS98" s="4" t="s">
        <v>218</v>
      </c>
      <c r="AT98" s="4" t="s">
        <v>10</v>
      </c>
      <c r="AU98" s="4" t="s">
        <v>1703</v>
      </c>
      <c r="AV98" s="4" t="s">
        <v>533</v>
      </c>
      <c r="AW98" s="34" t="s">
        <v>2240</v>
      </c>
      <c r="AX98" s="4">
        <v>1</v>
      </c>
      <c r="AY98" s="4" t="s">
        <v>1687</v>
      </c>
      <c r="AZ98" s="4" t="s">
        <v>10</v>
      </c>
      <c r="BA98" s="4" t="s">
        <v>10</v>
      </c>
      <c r="BB98" s="4" t="s">
        <v>691</v>
      </c>
      <c r="BC98" s="4" t="s">
        <v>1742</v>
      </c>
      <c r="BD98" s="4" t="s">
        <v>10</v>
      </c>
      <c r="BE98" s="4" t="s">
        <v>10</v>
      </c>
      <c r="BF98" s="4">
        <v>1130</v>
      </c>
      <c r="BG98" s="4" t="s">
        <v>61</v>
      </c>
      <c r="BH98" s="4">
        <v>0.13</v>
      </c>
      <c r="BI98" s="4" t="s">
        <v>1453</v>
      </c>
      <c r="BJ98" s="4" t="s">
        <v>678</v>
      </c>
      <c r="BK98" s="4" t="s">
        <v>682</v>
      </c>
      <c r="BL98" s="4" t="s">
        <v>2358</v>
      </c>
      <c r="BM98" s="4" t="s">
        <v>2359</v>
      </c>
      <c r="BN98" s="35">
        <v>29011</v>
      </c>
    </row>
    <row r="99" spans="1:66" s="4" customFormat="1">
      <c r="A99" s="4" t="str">
        <f t="shared" si="0"/>
        <v>SP_31SM             KS_CPR_C</v>
      </c>
      <c r="B99" s="1"/>
      <c r="C99" s="4">
        <v>29019</v>
      </c>
      <c r="D99" s="6" t="s">
        <v>606</v>
      </c>
      <c r="F99" s="4" t="s">
        <v>1086</v>
      </c>
      <c r="G99" s="4" t="s">
        <v>2240</v>
      </c>
      <c r="H99" s="43" t="s">
        <v>610</v>
      </c>
      <c r="I99" s="43"/>
      <c r="N99" s="43" t="s">
        <v>537</v>
      </c>
      <c r="O99" s="260" t="s">
        <v>1097</v>
      </c>
      <c r="P99" s="260" t="s">
        <v>1086</v>
      </c>
      <c r="Q99" s="56"/>
      <c r="S99" s="33"/>
      <c r="AH99" s="42"/>
      <c r="AI99" s="42" t="s">
        <v>1117</v>
      </c>
      <c r="AJ99" s="42"/>
      <c r="AK99" s="42" t="s">
        <v>538</v>
      </c>
      <c r="AL99" s="4">
        <v>29019</v>
      </c>
      <c r="AM99" s="4" t="s">
        <v>1877</v>
      </c>
      <c r="AN99" s="4" t="s">
        <v>1703</v>
      </c>
      <c r="AO99" s="4" t="s">
        <v>533</v>
      </c>
      <c r="AP99" s="34" t="s">
        <v>2240</v>
      </c>
      <c r="AQ99" s="4">
        <v>1</v>
      </c>
      <c r="AR99" s="4" t="s">
        <v>1687</v>
      </c>
      <c r="AS99" s="4" t="s">
        <v>10</v>
      </c>
      <c r="AT99" s="4" t="s">
        <v>10</v>
      </c>
      <c r="AU99" s="4" t="s">
        <v>424</v>
      </c>
      <c r="AV99" s="4" t="s">
        <v>648</v>
      </c>
      <c r="AW99" s="34" t="s">
        <v>1796</v>
      </c>
      <c r="AX99" s="4">
        <v>4</v>
      </c>
      <c r="AY99" s="4" t="s">
        <v>1613</v>
      </c>
      <c r="AZ99" s="4" t="s">
        <v>492</v>
      </c>
      <c r="BA99" s="4" t="s">
        <v>10</v>
      </c>
      <c r="BB99" s="4" t="s">
        <v>691</v>
      </c>
      <c r="BC99" s="4" t="s">
        <v>1742</v>
      </c>
      <c r="BD99" s="4" t="s">
        <v>10</v>
      </c>
      <c r="BE99" s="4" t="s">
        <v>10</v>
      </c>
      <c r="BF99" s="35">
        <v>969</v>
      </c>
      <c r="BG99" s="4" t="s">
        <v>61</v>
      </c>
      <c r="BH99" s="4">
        <v>0.13</v>
      </c>
      <c r="BI99" s="4" t="s">
        <v>1453</v>
      </c>
      <c r="BJ99" s="4" t="s">
        <v>678</v>
      </c>
      <c r="BK99" s="4" t="s">
        <v>682</v>
      </c>
      <c r="BL99" s="4" t="s">
        <v>2358</v>
      </c>
      <c r="BM99" s="4" t="s">
        <v>2359</v>
      </c>
      <c r="BN99" s="35">
        <v>29019</v>
      </c>
    </row>
    <row r="100" spans="1:66" s="4" customFormat="1">
      <c r="A100" s="4" t="str">
        <f t="shared" si="0"/>
        <v>SP_31SM             KS_CP_C</v>
      </c>
      <c r="B100" s="1"/>
      <c r="C100" s="4">
        <v>29021</v>
      </c>
      <c r="D100" s="6" t="s">
        <v>606</v>
      </c>
      <c r="E100" s="43"/>
      <c r="F100" s="4" t="s">
        <v>1086</v>
      </c>
      <c r="G100" s="4" t="s">
        <v>2240</v>
      </c>
      <c r="H100" s="43" t="s">
        <v>610</v>
      </c>
      <c r="I100" s="43"/>
      <c r="N100" s="43" t="s">
        <v>537</v>
      </c>
      <c r="O100" s="260" t="s">
        <v>1097</v>
      </c>
      <c r="P100" s="260" t="s">
        <v>1086</v>
      </c>
      <c r="Q100" s="56"/>
      <c r="S100" s="33"/>
      <c r="AH100" s="42"/>
      <c r="AI100" s="42" t="s">
        <v>1117</v>
      </c>
      <c r="AJ100" s="42"/>
      <c r="AK100" s="42" t="s">
        <v>538</v>
      </c>
      <c r="AL100" s="4">
        <v>29021</v>
      </c>
      <c r="AM100" s="4" t="s">
        <v>1458</v>
      </c>
      <c r="AN100" s="4" t="s">
        <v>1703</v>
      </c>
      <c r="AO100" s="4" t="s">
        <v>533</v>
      </c>
      <c r="AP100" s="34" t="s">
        <v>2240</v>
      </c>
      <c r="AQ100" s="4">
        <v>1</v>
      </c>
      <c r="AR100" s="4" t="s">
        <v>1687</v>
      </c>
      <c r="AS100" s="4" t="s">
        <v>10</v>
      </c>
      <c r="AT100" s="4" t="s">
        <v>10</v>
      </c>
      <c r="AU100" s="4" t="s">
        <v>959</v>
      </c>
      <c r="AV100" s="4" t="s">
        <v>683</v>
      </c>
      <c r="AW100" s="34" t="s">
        <v>1867</v>
      </c>
      <c r="AX100" s="4">
        <v>16</v>
      </c>
      <c r="AY100" s="4" t="s">
        <v>477</v>
      </c>
      <c r="AZ100" s="4" t="s">
        <v>500</v>
      </c>
      <c r="BA100" s="4" t="s">
        <v>10</v>
      </c>
      <c r="BB100" s="4" t="s">
        <v>691</v>
      </c>
      <c r="BC100" s="4" t="s">
        <v>1742</v>
      </c>
      <c r="BD100" s="4" t="s">
        <v>10</v>
      </c>
      <c r="BE100" s="4" t="s">
        <v>10</v>
      </c>
      <c r="BF100" s="4">
        <v>867</v>
      </c>
      <c r="BG100" s="4" t="s">
        <v>61</v>
      </c>
      <c r="BH100" s="4">
        <v>0.13</v>
      </c>
      <c r="BI100" s="4" t="s">
        <v>1453</v>
      </c>
      <c r="BJ100" s="4" t="s">
        <v>678</v>
      </c>
      <c r="BK100" s="4" t="s">
        <v>682</v>
      </c>
      <c r="BL100" s="4" t="s">
        <v>2358</v>
      </c>
      <c r="BM100" s="4" t="s">
        <v>2359</v>
      </c>
      <c r="BN100" s="35">
        <v>29021</v>
      </c>
    </row>
    <row r="101" spans="1:66" s="4" customFormat="1">
      <c r="A101" s="4" t="str">
        <f t="shared" si="0"/>
        <v>SP_31SM             KS_CP_C</v>
      </c>
      <c r="B101" s="1"/>
      <c r="C101" s="4">
        <v>29022</v>
      </c>
      <c r="D101" s="6" t="s">
        <v>606</v>
      </c>
      <c r="E101" s="43"/>
      <c r="F101" s="4" t="s">
        <v>1086</v>
      </c>
      <c r="G101" s="4" t="s">
        <v>2240</v>
      </c>
      <c r="H101" s="43" t="s">
        <v>610</v>
      </c>
      <c r="I101" s="43"/>
      <c r="N101" s="43" t="s">
        <v>537</v>
      </c>
      <c r="O101" s="260" t="s">
        <v>1097</v>
      </c>
      <c r="P101" s="260" t="s">
        <v>1086</v>
      </c>
      <c r="Q101" s="56"/>
      <c r="S101" s="33"/>
      <c r="AH101" s="42"/>
      <c r="AI101" s="42" t="s">
        <v>1117</v>
      </c>
      <c r="AJ101" s="42"/>
      <c r="AK101" s="42" t="s">
        <v>538</v>
      </c>
      <c r="AL101" s="4">
        <v>29022</v>
      </c>
      <c r="AM101" s="4" t="s">
        <v>1879</v>
      </c>
      <c r="AN101" s="4" t="s">
        <v>1703</v>
      </c>
      <c r="AO101" s="4" t="s">
        <v>533</v>
      </c>
      <c r="AP101" s="34" t="s">
        <v>2240</v>
      </c>
      <c r="AQ101" s="4">
        <v>1</v>
      </c>
      <c r="AR101" s="4" t="s">
        <v>1687</v>
      </c>
      <c r="AS101" s="4" t="s">
        <v>10</v>
      </c>
      <c r="AT101" s="4" t="s">
        <v>10</v>
      </c>
      <c r="AU101" s="4" t="s">
        <v>959</v>
      </c>
      <c r="AV101" s="4" t="s">
        <v>683</v>
      </c>
      <c r="AW101" s="34" t="s">
        <v>1867</v>
      </c>
      <c r="AX101" s="4">
        <v>18</v>
      </c>
      <c r="AY101" s="4" t="s">
        <v>477</v>
      </c>
      <c r="AZ101" s="4" t="s">
        <v>500</v>
      </c>
      <c r="BA101" s="4" t="s">
        <v>10</v>
      </c>
      <c r="BB101" s="4" t="s">
        <v>691</v>
      </c>
      <c r="BC101" s="4" t="s">
        <v>1742</v>
      </c>
      <c r="BD101" s="4" t="s">
        <v>10</v>
      </c>
      <c r="BE101" s="4" t="s">
        <v>10</v>
      </c>
      <c r="BF101" s="4">
        <v>867</v>
      </c>
      <c r="BG101" s="4" t="s">
        <v>61</v>
      </c>
      <c r="BH101" s="4">
        <v>0.13</v>
      </c>
      <c r="BI101" s="4" t="s">
        <v>1453</v>
      </c>
      <c r="BJ101" s="4" t="s">
        <v>678</v>
      </c>
      <c r="BK101" s="4" t="s">
        <v>682</v>
      </c>
      <c r="BL101" s="4" t="s">
        <v>2358</v>
      </c>
      <c r="BM101" s="4" t="s">
        <v>2359</v>
      </c>
      <c r="BN101" s="35">
        <v>29022</v>
      </c>
    </row>
    <row r="102" spans="1:66" s="4" customFormat="1">
      <c r="A102" s="4" t="str">
        <f t="shared" si="0"/>
        <v>SP_31SM             TGHR</v>
      </c>
      <c r="B102" s="1"/>
      <c r="C102" s="4">
        <v>29023</v>
      </c>
      <c r="D102" s="6" t="s">
        <v>606</v>
      </c>
      <c r="E102" s="43"/>
      <c r="F102" s="4" t="s">
        <v>1086</v>
      </c>
      <c r="G102" s="4" t="s">
        <v>2240</v>
      </c>
      <c r="H102" s="43" t="s">
        <v>610</v>
      </c>
      <c r="I102" s="43"/>
      <c r="N102" s="43" t="s">
        <v>537</v>
      </c>
      <c r="O102" s="260" t="s">
        <v>1097</v>
      </c>
      <c r="P102" s="260" t="s">
        <v>1086</v>
      </c>
      <c r="Q102" s="56"/>
      <c r="S102" s="33"/>
      <c r="AA102" s="4" t="s">
        <v>2645</v>
      </c>
      <c r="AH102" s="42"/>
      <c r="AI102" s="42" t="s">
        <v>1117</v>
      </c>
      <c r="AJ102" s="42"/>
      <c r="AK102" s="42" t="s">
        <v>539</v>
      </c>
      <c r="AL102" s="4">
        <v>29023</v>
      </c>
      <c r="AM102" s="4" t="s">
        <v>1880</v>
      </c>
      <c r="AN102" s="4" t="s">
        <v>1703</v>
      </c>
      <c r="AO102" s="4" t="s">
        <v>533</v>
      </c>
      <c r="AP102" s="34" t="s">
        <v>2240</v>
      </c>
      <c r="AQ102" s="4">
        <v>1</v>
      </c>
      <c r="AR102" s="4" t="s">
        <v>1687</v>
      </c>
      <c r="AS102" s="4" t="s">
        <v>10</v>
      </c>
      <c r="AT102" s="4" t="s">
        <v>10</v>
      </c>
      <c r="AU102" s="4" t="s">
        <v>1729</v>
      </c>
      <c r="AV102" s="4" t="s">
        <v>962</v>
      </c>
      <c r="AW102" s="34" t="s">
        <v>2308</v>
      </c>
      <c r="AX102" s="4">
        <v>2</v>
      </c>
      <c r="AY102" s="4" t="s">
        <v>1156</v>
      </c>
      <c r="AZ102" s="4" t="s">
        <v>695</v>
      </c>
      <c r="BA102" s="4" t="s">
        <v>10</v>
      </c>
      <c r="BB102" s="4" t="s">
        <v>691</v>
      </c>
      <c r="BC102" s="4" t="s">
        <v>1742</v>
      </c>
      <c r="BD102" s="4" t="s">
        <v>10</v>
      </c>
      <c r="BE102" s="4" t="s">
        <v>10</v>
      </c>
      <c r="BF102" s="4">
        <v>969</v>
      </c>
      <c r="BG102" s="4" t="s">
        <v>61</v>
      </c>
      <c r="BH102" s="4">
        <v>0.13</v>
      </c>
      <c r="BI102" s="4" t="s">
        <v>1453</v>
      </c>
      <c r="BJ102" s="4" t="s">
        <v>678</v>
      </c>
      <c r="BK102" s="4" t="s">
        <v>682</v>
      </c>
      <c r="BL102" s="4" t="s">
        <v>2358</v>
      </c>
      <c r="BM102" s="4" t="s">
        <v>2359</v>
      </c>
      <c r="BN102" s="35">
        <v>29023</v>
      </c>
    </row>
    <row r="103" spans="1:66" s="4" customFormat="1">
      <c r="A103" s="4" t="str">
        <f t="shared" ref="A103:A154" si="2" xml:space="preserve"> AP103 &amp; REPT(" ",20-LEN(AP103)) &amp; AW103</f>
        <v>SP_31SM             KS_CPM_A</v>
      </c>
      <c r="B103" s="1"/>
      <c r="C103" s="4">
        <v>29079</v>
      </c>
      <c r="D103" s="6" t="s">
        <v>606</v>
      </c>
      <c r="F103" s="4" t="s">
        <v>1086</v>
      </c>
      <c r="G103" s="4" t="s">
        <v>2240</v>
      </c>
      <c r="H103" s="43" t="s">
        <v>610</v>
      </c>
      <c r="I103" s="43"/>
      <c r="N103" s="43" t="s">
        <v>537</v>
      </c>
      <c r="O103" s="260" t="s">
        <v>1097</v>
      </c>
      <c r="P103" s="261" t="s">
        <v>1086</v>
      </c>
      <c r="Q103" s="56"/>
      <c r="S103" s="33"/>
      <c r="AH103" s="42"/>
      <c r="AI103" s="42" t="s">
        <v>1117</v>
      </c>
      <c r="AJ103" s="42"/>
      <c r="AK103" s="42" t="s">
        <v>539</v>
      </c>
      <c r="AL103" s="4">
        <v>29079</v>
      </c>
      <c r="AM103" s="4" t="s">
        <v>1905</v>
      </c>
      <c r="AN103" s="4" t="s">
        <v>1703</v>
      </c>
      <c r="AO103" s="4" t="s">
        <v>533</v>
      </c>
      <c r="AP103" s="34" t="s">
        <v>2240</v>
      </c>
      <c r="AQ103" s="4">
        <v>1</v>
      </c>
      <c r="AR103" s="4" t="s">
        <v>1687</v>
      </c>
      <c r="AS103" s="4" t="s">
        <v>10</v>
      </c>
      <c r="AT103" s="4" t="s">
        <v>10</v>
      </c>
      <c r="AU103" s="4" t="s">
        <v>502</v>
      </c>
      <c r="AV103" s="4" t="s">
        <v>685</v>
      </c>
      <c r="AW103" s="34" t="s">
        <v>1870</v>
      </c>
      <c r="AX103" s="4">
        <v>5</v>
      </c>
      <c r="AY103" s="4" t="s">
        <v>1392</v>
      </c>
      <c r="AZ103" s="4" t="s">
        <v>255</v>
      </c>
      <c r="BA103" s="4" t="s">
        <v>10</v>
      </c>
      <c r="BB103" s="4" t="s">
        <v>691</v>
      </c>
      <c r="BC103" s="4" t="s">
        <v>1742</v>
      </c>
      <c r="BD103" s="4" t="s">
        <v>10</v>
      </c>
      <c r="BE103" s="4" t="s">
        <v>10</v>
      </c>
      <c r="BF103" s="4">
        <v>1132</v>
      </c>
      <c r="BG103" s="4" t="s">
        <v>61</v>
      </c>
      <c r="BH103" s="4">
        <v>0.13</v>
      </c>
      <c r="BI103" s="4" t="s">
        <v>1453</v>
      </c>
      <c r="BJ103" s="4" t="s">
        <v>10</v>
      </c>
      <c r="BK103" s="4" t="s">
        <v>682</v>
      </c>
      <c r="BL103" s="4" t="s">
        <v>10</v>
      </c>
      <c r="BM103" s="4" t="s">
        <v>2359</v>
      </c>
      <c r="BN103" s="35">
        <v>29079</v>
      </c>
    </row>
    <row r="104" spans="1:66" s="4" customFormat="1">
      <c r="A104" s="4" t="str">
        <f t="shared" si="2"/>
        <v xml:space="preserve">                    </v>
      </c>
      <c r="B104" s="1"/>
      <c r="D104" s="6"/>
      <c r="H104" s="43"/>
      <c r="I104" s="43"/>
      <c r="N104" s="43"/>
      <c r="O104" s="260"/>
      <c r="P104" s="261"/>
      <c r="Q104" s="56"/>
      <c r="S104" s="33"/>
      <c r="AH104" s="42"/>
      <c r="AI104" s="42"/>
      <c r="AJ104" s="42"/>
      <c r="AK104" s="42"/>
      <c r="AP104" s="34"/>
      <c r="AW104" s="34"/>
    </row>
    <row r="105" spans="1:66" s="4" customFormat="1">
      <c r="A105" s="4" t="str">
        <f t="shared" si="2"/>
        <v>SP_AC30             KS_CPM_A</v>
      </c>
      <c r="B105" s="1"/>
      <c r="C105" s="4">
        <v>29012</v>
      </c>
      <c r="D105" s="6" t="s">
        <v>606</v>
      </c>
      <c r="F105" s="4" t="s">
        <v>1086</v>
      </c>
      <c r="G105" s="4" t="s">
        <v>2241</v>
      </c>
      <c r="H105" s="43" t="s">
        <v>610</v>
      </c>
      <c r="I105" s="43"/>
      <c r="N105" s="43" t="s">
        <v>537</v>
      </c>
      <c r="O105" s="260" t="s">
        <v>1097</v>
      </c>
      <c r="P105" s="260" t="s">
        <v>1086</v>
      </c>
      <c r="Q105" s="56"/>
      <c r="S105" s="33"/>
      <c r="AH105" s="42"/>
      <c r="AI105" s="42" t="s">
        <v>1117</v>
      </c>
      <c r="AJ105" s="42"/>
      <c r="AK105" s="42" t="s">
        <v>539</v>
      </c>
      <c r="AL105" s="4">
        <v>29012</v>
      </c>
      <c r="AM105" s="4" t="s">
        <v>1872</v>
      </c>
      <c r="AN105" s="4" t="s">
        <v>1730</v>
      </c>
      <c r="AO105" s="4" t="s">
        <v>531</v>
      </c>
      <c r="AP105" s="34" t="s">
        <v>2241</v>
      </c>
      <c r="AQ105" s="4">
        <v>1</v>
      </c>
      <c r="AR105" s="4" t="s">
        <v>1310</v>
      </c>
      <c r="AS105" s="4" t="s">
        <v>10</v>
      </c>
      <c r="AT105" s="4" t="s">
        <v>10</v>
      </c>
      <c r="AU105" s="4" t="s">
        <v>502</v>
      </c>
      <c r="AV105" s="4" t="s">
        <v>685</v>
      </c>
      <c r="AW105" s="34" t="s">
        <v>1870</v>
      </c>
      <c r="AX105" s="4">
        <v>12</v>
      </c>
      <c r="AY105" s="4" t="s">
        <v>1392</v>
      </c>
      <c r="AZ105" s="4" t="s">
        <v>241</v>
      </c>
      <c r="BA105" s="4" t="s">
        <v>10</v>
      </c>
      <c r="BB105" s="4" t="s">
        <v>131</v>
      </c>
      <c r="BC105" s="4" t="s">
        <v>1742</v>
      </c>
      <c r="BD105" s="4" t="s">
        <v>10</v>
      </c>
      <c r="BE105" s="4" t="s">
        <v>10</v>
      </c>
      <c r="BF105" s="4">
        <v>1065</v>
      </c>
      <c r="BG105" s="4" t="s">
        <v>112</v>
      </c>
      <c r="BH105" s="4">
        <v>0.5</v>
      </c>
      <c r="BI105" s="4" t="s">
        <v>1454</v>
      </c>
      <c r="BJ105" s="4" t="s">
        <v>678</v>
      </c>
      <c r="BK105" s="4" t="s">
        <v>682</v>
      </c>
      <c r="BL105" s="4" t="s">
        <v>2358</v>
      </c>
      <c r="BM105" s="4" t="s">
        <v>2359</v>
      </c>
      <c r="BN105" s="35">
        <v>29012</v>
      </c>
    </row>
    <row r="106" spans="1:66" s="4" customFormat="1">
      <c r="A106" s="4" t="str">
        <f t="shared" si="2"/>
        <v>SP_AC30             KS_CPR_C</v>
      </c>
      <c r="B106" s="1"/>
      <c r="C106" s="4">
        <v>29013</v>
      </c>
      <c r="D106" s="6" t="s">
        <v>606</v>
      </c>
      <c r="F106" s="4" t="s">
        <v>1086</v>
      </c>
      <c r="G106" s="4" t="s">
        <v>2241</v>
      </c>
      <c r="H106" s="43" t="s">
        <v>610</v>
      </c>
      <c r="I106" s="43"/>
      <c r="N106" s="43" t="s">
        <v>537</v>
      </c>
      <c r="O106" s="260" t="s">
        <v>1097</v>
      </c>
      <c r="P106" s="260" t="s">
        <v>1086</v>
      </c>
      <c r="Q106" s="56"/>
      <c r="S106" s="33"/>
      <c r="AH106" s="42"/>
      <c r="AI106" s="42" t="s">
        <v>1117</v>
      </c>
      <c r="AJ106" s="42"/>
      <c r="AK106" s="42" t="s">
        <v>538</v>
      </c>
      <c r="AL106" s="4">
        <v>29013</v>
      </c>
      <c r="AM106" s="4" t="s">
        <v>1874</v>
      </c>
      <c r="AN106" s="4" t="s">
        <v>1730</v>
      </c>
      <c r="AO106" s="4" t="s">
        <v>531</v>
      </c>
      <c r="AP106" s="34" t="s">
        <v>2241</v>
      </c>
      <c r="AQ106" s="4">
        <v>1</v>
      </c>
      <c r="AR106" s="4" t="s">
        <v>1310</v>
      </c>
      <c r="AS106" s="4" t="s">
        <v>10</v>
      </c>
      <c r="AT106" s="4" t="s">
        <v>10</v>
      </c>
      <c r="AU106" s="4" t="s">
        <v>424</v>
      </c>
      <c r="AV106" s="4" t="s">
        <v>648</v>
      </c>
      <c r="AW106" s="34" t="s">
        <v>1796</v>
      </c>
      <c r="AX106" s="4">
        <v>5</v>
      </c>
      <c r="AY106" s="4" t="s">
        <v>1613</v>
      </c>
      <c r="AZ106" s="4" t="s">
        <v>72</v>
      </c>
      <c r="BA106" s="4" t="s">
        <v>10</v>
      </c>
      <c r="BB106" s="4" t="s">
        <v>220</v>
      </c>
      <c r="BC106" s="4" t="s">
        <v>1742</v>
      </c>
      <c r="BD106" s="4" t="s">
        <v>10</v>
      </c>
      <c r="BE106" s="4" t="s">
        <v>10</v>
      </c>
      <c r="BF106" s="35">
        <v>1037</v>
      </c>
      <c r="BG106" s="4" t="s">
        <v>112</v>
      </c>
      <c r="BH106" s="4">
        <v>0.35</v>
      </c>
      <c r="BI106" s="4" t="s">
        <v>1454</v>
      </c>
      <c r="BJ106" s="4" t="s">
        <v>678</v>
      </c>
      <c r="BK106" s="4" t="s">
        <v>682</v>
      </c>
      <c r="BL106" s="4" t="s">
        <v>2358</v>
      </c>
      <c r="BM106" s="4" t="s">
        <v>2359</v>
      </c>
      <c r="BN106" s="35">
        <v>29013</v>
      </c>
    </row>
    <row r="107" spans="1:66" s="4" customFormat="1">
      <c r="A107" s="4" t="str">
        <f t="shared" si="2"/>
        <v>SP_AC30             KS_CP_C</v>
      </c>
      <c r="B107" s="1"/>
      <c r="C107" s="4">
        <v>29014</v>
      </c>
      <c r="D107" s="6" t="s">
        <v>606</v>
      </c>
      <c r="E107" s="43"/>
      <c r="F107" s="4" t="s">
        <v>1086</v>
      </c>
      <c r="G107" s="4" t="s">
        <v>2241</v>
      </c>
      <c r="H107" s="43" t="s">
        <v>610</v>
      </c>
      <c r="I107" s="43"/>
      <c r="N107" s="43" t="s">
        <v>537</v>
      </c>
      <c r="O107" s="260" t="s">
        <v>1097</v>
      </c>
      <c r="P107" s="260" t="s">
        <v>1086</v>
      </c>
      <c r="Q107" s="56"/>
      <c r="S107" s="33"/>
      <c r="AH107" s="42"/>
      <c r="AI107" s="42" t="s">
        <v>1117</v>
      </c>
      <c r="AJ107" s="42"/>
      <c r="AK107" s="42" t="s">
        <v>538</v>
      </c>
      <c r="AL107" s="4">
        <v>29014</v>
      </c>
      <c r="AM107" s="4" t="s">
        <v>1875</v>
      </c>
      <c r="AN107" s="4" t="s">
        <v>1730</v>
      </c>
      <c r="AO107" s="4" t="s">
        <v>531</v>
      </c>
      <c r="AP107" s="34" t="s">
        <v>2241</v>
      </c>
      <c r="AQ107" s="4">
        <v>1</v>
      </c>
      <c r="AR107" s="4" t="s">
        <v>1310</v>
      </c>
      <c r="AS107" s="4" t="s">
        <v>10</v>
      </c>
      <c r="AT107" s="4" t="s">
        <v>10</v>
      </c>
      <c r="AU107" s="4" t="s">
        <v>959</v>
      </c>
      <c r="AV107" s="4" t="s">
        <v>683</v>
      </c>
      <c r="AW107" s="34" t="s">
        <v>1867</v>
      </c>
      <c r="AX107" s="4">
        <v>13</v>
      </c>
      <c r="AY107" s="4" t="s">
        <v>477</v>
      </c>
      <c r="AZ107" s="4" t="s">
        <v>692</v>
      </c>
      <c r="BA107" s="4" t="s">
        <v>10</v>
      </c>
      <c r="BB107" s="4" t="s">
        <v>220</v>
      </c>
      <c r="BC107" s="4" t="s">
        <v>1742</v>
      </c>
      <c r="BD107" s="4" t="s">
        <v>10</v>
      </c>
      <c r="BE107" s="4" t="s">
        <v>10</v>
      </c>
      <c r="BF107" s="4">
        <v>935</v>
      </c>
      <c r="BG107" s="4" t="s">
        <v>112</v>
      </c>
      <c r="BH107" s="4">
        <v>0.35</v>
      </c>
      <c r="BI107" s="4" t="s">
        <v>1454</v>
      </c>
      <c r="BJ107" s="4" t="s">
        <v>678</v>
      </c>
      <c r="BK107" s="4" t="s">
        <v>682</v>
      </c>
      <c r="BL107" s="4" t="s">
        <v>2358</v>
      </c>
      <c r="BM107" s="4" t="s">
        <v>2359</v>
      </c>
      <c r="BN107" s="35">
        <v>29014</v>
      </c>
    </row>
    <row r="108" spans="1:66" s="4" customFormat="1">
      <c r="A108" s="4" t="str">
        <f t="shared" si="2"/>
        <v>SGKG_B              SP_AC30</v>
      </c>
      <c r="B108" s="1"/>
      <c r="C108" s="4">
        <v>29015</v>
      </c>
      <c r="D108" s="6" t="s">
        <v>606</v>
      </c>
      <c r="F108" s="4" t="s">
        <v>1086</v>
      </c>
      <c r="G108" s="4" t="s">
        <v>2241</v>
      </c>
      <c r="H108" s="43" t="s">
        <v>610</v>
      </c>
      <c r="I108" s="43"/>
      <c r="N108" s="43" t="s">
        <v>537</v>
      </c>
      <c r="O108" s="260" t="s">
        <v>1086</v>
      </c>
      <c r="P108" s="261" t="s">
        <v>1097</v>
      </c>
      <c r="Q108" s="56"/>
      <c r="S108" s="33"/>
      <c r="AH108" s="42"/>
      <c r="AI108" s="42" t="s">
        <v>1117</v>
      </c>
      <c r="AJ108" s="42"/>
      <c r="AK108" s="42" t="s">
        <v>539</v>
      </c>
      <c r="AL108" s="4">
        <v>29015</v>
      </c>
      <c r="AM108" s="4" t="s">
        <v>1455</v>
      </c>
      <c r="AN108" s="4" t="s">
        <v>1701</v>
      </c>
      <c r="AO108" s="4" t="s">
        <v>656</v>
      </c>
      <c r="AP108" s="34" t="s">
        <v>2262</v>
      </c>
      <c r="AQ108" s="4">
        <v>40</v>
      </c>
      <c r="AR108" s="4" t="s">
        <v>464</v>
      </c>
      <c r="AS108" s="4" t="s">
        <v>77</v>
      </c>
      <c r="AT108" s="4" t="s">
        <v>10</v>
      </c>
      <c r="AU108" s="4" t="s">
        <v>1730</v>
      </c>
      <c r="AV108" s="4" t="s">
        <v>531</v>
      </c>
      <c r="AW108" s="34" t="s">
        <v>2241</v>
      </c>
      <c r="AX108" s="4">
        <v>1</v>
      </c>
      <c r="AY108" s="4" t="s">
        <v>1310</v>
      </c>
      <c r="AZ108" s="4" t="s">
        <v>10</v>
      </c>
      <c r="BA108" s="4" t="s">
        <v>10</v>
      </c>
      <c r="BB108" s="4" t="s">
        <v>111</v>
      </c>
      <c r="BC108" s="4" t="s">
        <v>1742</v>
      </c>
      <c r="BD108" s="4" t="s">
        <v>10</v>
      </c>
      <c r="BE108" s="4" t="s">
        <v>10</v>
      </c>
      <c r="BF108" s="4">
        <v>1063</v>
      </c>
      <c r="BG108" s="4" t="s">
        <v>112</v>
      </c>
      <c r="BH108" s="4">
        <v>0.75</v>
      </c>
      <c r="BI108" s="4" t="s">
        <v>1454</v>
      </c>
      <c r="BJ108" s="4" t="s">
        <v>678</v>
      </c>
      <c r="BK108" s="4" t="s">
        <v>682</v>
      </c>
      <c r="BL108" s="4" t="s">
        <v>2358</v>
      </c>
      <c r="BM108" s="4" t="s">
        <v>2359</v>
      </c>
      <c r="BN108" s="35">
        <v>29015</v>
      </c>
    </row>
    <row r="109" spans="1:66" s="4" customFormat="1">
      <c r="A109" s="4" t="str">
        <f t="shared" si="2"/>
        <v>ASOM_D              SP_AC30</v>
      </c>
      <c r="B109" s="1"/>
      <c r="C109" s="4">
        <v>29072</v>
      </c>
      <c r="D109" s="6" t="s">
        <v>606</v>
      </c>
      <c r="E109" s="43"/>
      <c r="F109" s="4" t="s">
        <v>1086</v>
      </c>
      <c r="G109" s="4" t="s">
        <v>2241</v>
      </c>
      <c r="H109" s="43" t="s">
        <v>610</v>
      </c>
      <c r="I109" s="43"/>
      <c r="N109" s="43" t="s">
        <v>537</v>
      </c>
      <c r="O109" s="260" t="s">
        <v>1086</v>
      </c>
      <c r="P109" s="261" t="s">
        <v>1097</v>
      </c>
      <c r="Q109" s="56"/>
      <c r="S109" s="33"/>
      <c r="AH109" s="42"/>
      <c r="AI109" s="42" t="s">
        <v>1117</v>
      </c>
      <c r="AJ109" s="42"/>
      <c r="AK109" s="42" t="s">
        <v>539</v>
      </c>
      <c r="AL109" s="4">
        <v>29072</v>
      </c>
      <c r="AM109" s="4" t="s">
        <v>1481</v>
      </c>
      <c r="AN109" s="4" t="s">
        <v>1704</v>
      </c>
      <c r="AO109" s="4" t="s">
        <v>712</v>
      </c>
      <c r="AP109" s="34" t="s">
        <v>2274</v>
      </c>
      <c r="AQ109" s="4">
        <v>4</v>
      </c>
      <c r="AR109" s="4" t="s">
        <v>915</v>
      </c>
      <c r="AS109" s="4" t="s">
        <v>87</v>
      </c>
      <c r="AT109" s="4" t="s">
        <v>10</v>
      </c>
      <c r="AU109" s="4" t="s">
        <v>1730</v>
      </c>
      <c r="AV109" s="4" t="s">
        <v>531</v>
      </c>
      <c r="AW109" s="34" t="s">
        <v>2241</v>
      </c>
      <c r="AX109" s="4">
        <v>1</v>
      </c>
      <c r="AY109" s="4" t="s">
        <v>1310</v>
      </c>
      <c r="AZ109" s="4" t="s">
        <v>10</v>
      </c>
      <c r="BA109" s="4" t="s">
        <v>10</v>
      </c>
      <c r="BB109" s="4" t="s">
        <v>220</v>
      </c>
      <c r="BC109" s="4" t="s">
        <v>1742</v>
      </c>
      <c r="BD109" s="4" t="s">
        <v>10</v>
      </c>
      <c r="BE109" s="4" t="s">
        <v>10</v>
      </c>
      <c r="BF109" s="4">
        <v>1011</v>
      </c>
      <c r="BG109" s="4" t="s">
        <v>112</v>
      </c>
      <c r="BH109" s="4">
        <v>0.35</v>
      </c>
      <c r="BI109" s="4" t="s">
        <v>1454</v>
      </c>
      <c r="BJ109" s="4" t="s">
        <v>678</v>
      </c>
      <c r="BK109" s="4" t="s">
        <v>682</v>
      </c>
      <c r="BL109" s="4" t="s">
        <v>2358</v>
      </c>
      <c r="BM109" s="4" t="s">
        <v>2359</v>
      </c>
      <c r="BN109" s="35">
        <v>29072</v>
      </c>
    </row>
    <row r="110" spans="1:66" s="4" customFormat="1">
      <c r="A110" s="4" t="str">
        <f t="shared" si="2"/>
        <v>ASOM_C              SP_AC30</v>
      </c>
      <c r="B110" s="1"/>
      <c r="C110" s="4">
        <v>29073</v>
      </c>
      <c r="D110" s="6" t="s">
        <v>606</v>
      </c>
      <c r="E110" s="43"/>
      <c r="F110" s="4" t="s">
        <v>1086</v>
      </c>
      <c r="G110" s="4" t="s">
        <v>2241</v>
      </c>
      <c r="H110" s="43" t="s">
        <v>610</v>
      </c>
      <c r="I110" s="43"/>
      <c r="N110" s="43" t="s">
        <v>537</v>
      </c>
      <c r="O110" s="260" t="s">
        <v>1086</v>
      </c>
      <c r="P110" s="261" t="s">
        <v>1097</v>
      </c>
      <c r="Q110" s="56"/>
      <c r="S110" s="33"/>
      <c r="AH110" s="42"/>
      <c r="AI110" s="42" t="s">
        <v>1117</v>
      </c>
      <c r="AJ110" s="42"/>
      <c r="AK110" s="42" t="s">
        <v>539</v>
      </c>
      <c r="AL110" s="4">
        <v>29073</v>
      </c>
      <c r="AM110" s="4" t="s">
        <v>1482</v>
      </c>
      <c r="AN110" s="4" t="s">
        <v>1704</v>
      </c>
      <c r="AO110" s="4" t="s">
        <v>713</v>
      </c>
      <c r="AP110" s="34" t="s">
        <v>2275</v>
      </c>
      <c r="AQ110" s="4">
        <v>4</v>
      </c>
      <c r="AR110" s="4" t="s">
        <v>686</v>
      </c>
      <c r="AS110" s="4" t="s">
        <v>87</v>
      </c>
      <c r="AT110" s="4" t="s">
        <v>10</v>
      </c>
      <c r="AU110" s="4" t="s">
        <v>1730</v>
      </c>
      <c r="AV110" s="4" t="s">
        <v>531</v>
      </c>
      <c r="AW110" s="34" t="s">
        <v>2241</v>
      </c>
      <c r="AX110" s="4">
        <v>1</v>
      </c>
      <c r="AY110" s="4" t="s">
        <v>1310</v>
      </c>
      <c r="AZ110" s="4" t="s">
        <v>10</v>
      </c>
      <c r="BA110" s="4" t="s">
        <v>10</v>
      </c>
      <c r="BB110" s="4" t="s">
        <v>220</v>
      </c>
      <c r="BC110" s="4" t="s">
        <v>1742</v>
      </c>
      <c r="BD110" s="4" t="s">
        <v>10</v>
      </c>
      <c r="BE110" s="4" t="s">
        <v>10</v>
      </c>
      <c r="BF110" s="4">
        <v>951</v>
      </c>
      <c r="BG110" s="4" t="s">
        <v>112</v>
      </c>
      <c r="BH110" s="4">
        <v>0.35</v>
      </c>
      <c r="BI110" s="4" t="s">
        <v>1454</v>
      </c>
      <c r="BJ110" s="4" t="s">
        <v>678</v>
      </c>
      <c r="BK110" s="4" t="s">
        <v>682</v>
      </c>
      <c r="BL110" s="4" t="s">
        <v>2358</v>
      </c>
      <c r="BM110" s="4" t="s">
        <v>2359</v>
      </c>
      <c r="BN110" s="35">
        <v>29073</v>
      </c>
    </row>
    <row r="111" spans="1:66" s="4" customFormat="1">
      <c r="A111" s="4" t="str">
        <f t="shared" si="2"/>
        <v>ASOM_B              SP_AC30</v>
      </c>
      <c r="B111" s="1"/>
      <c r="C111" s="4">
        <v>29074</v>
      </c>
      <c r="D111" s="6" t="s">
        <v>606</v>
      </c>
      <c r="E111" s="43"/>
      <c r="F111" s="4" t="s">
        <v>1086</v>
      </c>
      <c r="G111" s="4" t="s">
        <v>2241</v>
      </c>
      <c r="H111" s="43" t="s">
        <v>610</v>
      </c>
      <c r="I111" s="43"/>
      <c r="N111" s="43" t="s">
        <v>537</v>
      </c>
      <c r="O111" s="260" t="s">
        <v>1086</v>
      </c>
      <c r="P111" s="261" t="s">
        <v>1097</v>
      </c>
      <c r="Q111" s="56"/>
      <c r="S111" s="33"/>
      <c r="AH111" s="42"/>
      <c r="AI111" s="42" t="s">
        <v>1117</v>
      </c>
      <c r="AJ111" s="42"/>
      <c r="AK111" s="42" t="s">
        <v>539</v>
      </c>
      <c r="AL111" s="4">
        <v>29074</v>
      </c>
      <c r="AM111" s="4" t="s">
        <v>1483</v>
      </c>
      <c r="AN111" s="4" t="s">
        <v>1704</v>
      </c>
      <c r="AO111" s="4" t="s">
        <v>705</v>
      </c>
      <c r="AP111" s="34" t="s">
        <v>2271</v>
      </c>
      <c r="AQ111" s="4">
        <v>4</v>
      </c>
      <c r="AR111" s="4" t="s">
        <v>1898</v>
      </c>
      <c r="AS111" s="4" t="s">
        <v>87</v>
      </c>
      <c r="AT111" s="4" t="s">
        <v>10</v>
      </c>
      <c r="AU111" s="4" t="s">
        <v>1730</v>
      </c>
      <c r="AV111" s="4" t="s">
        <v>531</v>
      </c>
      <c r="AW111" s="34" t="s">
        <v>2241</v>
      </c>
      <c r="AX111" s="4">
        <v>1</v>
      </c>
      <c r="AY111" s="4" t="s">
        <v>1310</v>
      </c>
      <c r="AZ111" s="4" t="s">
        <v>10</v>
      </c>
      <c r="BA111" s="4" t="s">
        <v>10</v>
      </c>
      <c r="BB111" s="4" t="s">
        <v>220</v>
      </c>
      <c r="BC111" s="4" t="s">
        <v>1742</v>
      </c>
      <c r="BD111" s="4" t="s">
        <v>10</v>
      </c>
      <c r="BE111" s="4" t="s">
        <v>10</v>
      </c>
      <c r="BF111" s="4">
        <v>502</v>
      </c>
      <c r="BG111" s="4" t="s">
        <v>112</v>
      </c>
      <c r="BH111" s="4">
        <v>0.35</v>
      </c>
      <c r="BI111" s="4" t="s">
        <v>1454</v>
      </c>
      <c r="BJ111" s="4" t="s">
        <v>678</v>
      </c>
      <c r="BK111" s="4" t="s">
        <v>682</v>
      </c>
      <c r="BL111" s="4" t="s">
        <v>2358</v>
      </c>
      <c r="BM111" s="4" t="s">
        <v>2359</v>
      </c>
      <c r="BN111" s="35">
        <v>29074</v>
      </c>
    </row>
    <row r="112" spans="1:66" s="4" customFormat="1">
      <c r="A112" s="4" t="str">
        <f t="shared" si="2"/>
        <v>ASOM_A              SP_AC30</v>
      </c>
      <c r="B112" s="1"/>
      <c r="C112" s="4">
        <v>29075</v>
      </c>
      <c r="D112" s="6" t="s">
        <v>606</v>
      </c>
      <c r="E112" s="43"/>
      <c r="F112" s="4" t="s">
        <v>1086</v>
      </c>
      <c r="G112" s="4" t="s">
        <v>2241</v>
      </c>
      <c r="H112" s="43" t="s">
        <v>610</v>
      </c>
      <c r="I112" s="43"/>
      <c r="N112" s="43" t="s">
        <v>537</v>
      </c>
      <c r="O112" s="260" t="s">
        <v>1086</v>
      </c>
      <c r="P112" s="261" t="s">
        <v>1097</v>
      </c>
      <c r="Q112" s="56"/>
      <c r="S112" s="33"/>
      <c r="AH112" s="42"/>
      <c r="AI112" s="42" t="s">
        <v>1117</v>
      </c>
      <c r="AJ112" s="42"/>
      <c r="AK112" s="42" t="s">
        <v>539</v>
      </c>
      <c r="AL112" s="4">
        <v>29075</v>
      </c>
      <c r="AM112" s="4" t="s">
        <v>1484</v>
      </c>
      <c r="AN112" s="4" t="s">
        <v>1704</v>
      </c>
      <c r="AO112" s="4" t="s">
        <v>702</v>
      </c>
      <c r="AP112" s="34" t="s">
        <v>2270</v>
      </c>
      <c r="AQ112" s="4">
        <v>4</v>
      </c>
      <c r="AR112" s="4" t="s">
        <v>1069</v>
      </c>
      <c r="AS112" s="4" t="s">
        <v>87</v>
      </c>
      <c r="AT112" s="4" t="s">
        <v>10</v>
      </c>
      <c r="AU112" s="4" t="s">
        <v>1730</v>
      </c>
      <c r="AV112" s="4" t="s">
        <v>531</v>
      </c>
      <c r="AW112" s="34" t="s">
        <v>2241</v>
      </c>
      <c r="AX112" s="4">
        <v>1</v>
      </c>
      <c r="AY112" s="4" t="s">
        <v>1310</v>
      </c>
      <c r="AZ112" s="4" t="s">
        <v>10</v>
      </c>
      <c r="BA112" s="4" t="s">
        <v>10</v>
      </c>
      <c r="BB112" s="4" t="s">
        <v>220</v>
      </c>
      <c r="BC112" s="4" t="s">
        <v>1742</v>
      </c>
      <c r="BD112" s="4" t="s">
        <v>10</v>
      </c>
      <c r="BE112" s="4" t="s">
        <v>10</v>
      </c>
      <c r="BF112" s="4">
        <v>442</v>
      </c>
      <c r="BG112" s="4" t="s">
        <v>112</v>
      </c>
      <c r="BH112" s="4">
        <v>0.35</v>
      </c>
      <c r="BI112" s="4" t="s">
        <v>1454</v>
      </c>
      <c r="BJ112" s="4" t="s">
        <v>678</v>
      </c>
      <c r="BK112" s="4" t="s">
        <v>682</v>
      </c>
      <c r="BL112" s="4" t="s">
        <v>2358</v>
      </c>
      <c r="BM112" s="4" t="s">
        <v>2359</v>
      </c>
      <c r="BN112" s="35">
        <v>29075</v>
      </c>
    </row>
    <row r="113" spans="1:253" s="4" customFormat="1">
      <c r="A113" s="4" t="str">
        <f t="shared" si="2"/>
        <v xml:space="preserve">                    </v>
      </c>
      <c r="B113" s="1"/>
      <c r="D113" s="6"/>
      <c r="E113" s="43"/>
      <c r="H113" s="43"/>
      <c r="I113" s="43"/>
      <c r="N113" s="43"/>
      <c r="O113" s="260"/>
      <c r="P113" s="261"/>
      <c r="Q113" s="56"/>
      <c r="S113" s="33"/>
      <c r="AH113" s="42"/>
      <c r="AI113" s="42"/>
      <c r="AJ113" s="42"/>
      <c r="AK113" s="42"/>
      <c r="AP113" s="34"/>
      <c r="AW113" s="34"/>
    </row>
    <row r="114" spans="1:253" s="4" customFormat="1">
      <c r="A114" s="4" t="str">
        <f t="shared" si="2"/>
        <v>KS_CPL_C            SP_58XT</v>
      </c>
      <c r="B114" s="1"/>
      <c r="C114" s="4">
        <v>26</v>
      </c>
      <c r="D114" s="6" t="s">
        <v>605</v>
      </c>
      <c r="E114" s="6"/>
      <c r="F114" s="4" t="s">
        <v>1086</v>
      </c>
      <c r="G114" s="33" t="s">
        <v>2229</v>
      </c>
      <c r="H114" s="43" t="s">
        <v>610</v>
      </c>
      <c r="I114" s="43"/>
      <c r="K114" s="43"/>
      <c r="L114" s="43"/>
      <c r="N114" s="43" t="s">
        <v>537</v>
      </c>
      <c r="O114" s="260" t="s">
        <v>1086</v>
      </c>
      <c r="P114" s="261" t="s">
        <v>1097</v>
      </c>
      <c r="Q114" s="55"/>
      <c r="S114" s="52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2"/>
      <c r="AI114" s="42" t="s">
        <v>1117</v>
      </c>
      <c r="AJ114" s="42"/>
      <c r="AK114" s="42" t="s">
        <v>538</v>
      </c>
      <c r="AL114" s="4">
        <v>26</v>
      </c>
      <c r="AM114" s="4" t="s">
        <v>1765</v>
      </c>
      <c r="AN114" s="4" t="s">
        <v>416</v>
      </c>
      <c r="AO114" s="4" t="s">
        <v>632</v>
      </c>
      <c r="AP114" s="34" t="s">
        <v>1758</v>
      </c>
      <c r="AQ114" s="4">
        <v>4</v>
      </c>
      <c r="AR114" s="4" t="s">
        <v>1759</v>
      </c>
      <c r="AS114" s="4" t="s">
        <v>81</v>
      </c>
      <c r="AT114" s="4" t="s">
        <v>10</v>
      </c>
      <c r="AU114" s="4" t="s">
        <v>1692</v>
      </c>
      <c r="AV114" s="4" t="s">
        <v>272</v>
      </c>
      <c r="AW114" s="34" t="s">
        <v>2229</v>
      </c>
      <c r="AX114" s="4">
        <v>1</v>
      </c>
      <c r="AY114" s="4" t="s">
        <v>1381</v>
      </c>
      <c r="AZ114" s="4" t="s">
        <v>10</v>
      </c>
      <c r="BA114" s="4" t="s">
        <v>10</v>
      </c>
      <c r="BB114" s="4" t="s">
        <v>124</v>
      </c>
      <c r="BC114" s="4" t="s">
        <v>1742</v>
      </c>
      <c r="BD114" s="4" t="s">
        <v>10</v>
      </c>
      <c r="BE114" s="4" t="s">
        <v>10</v>
      </c>
      <c r="BF114" s="4">
        <v>604</v>
      </c>
      <c r="BG114" s="4" t="s">
        <v>125</v>
      </c>
      <c r="BH114" s="4">
        <v>0.5</v>
      </c>
      <c r="BI114" s="4" t="s">
        <v>1382</v>
      </c>
      <c r="BJ114" s="4" t="s">
        <v>2374</v>
      </c>
      <c r="BK114" s="35" t="s">
        <v>2492</v>
      </c>
      <c r="BL114" s="4">
        <v>26</v>
      </c>
    </row>
    <row r="115" spans="1:253" s="4" customFormat="1">
      <c r="A115" s="4" t="str">
        <f t="shared" si="2"/>
        <v>EZS                 SP_58XT</v>
      </c>
      <c r="B115" s="1"/>
      <c r="C115" s="4">
        <v>28</v>
      </c>
      <c r="D115" s="6" t="s">
        <v>605</v>
      </c>
      <c r="E115" s="6"/>
      <c r="F115" s="4" t="s">
        <v>1086</v>
      </c>
      <c r="G115" s="33" t="s">
        <v>2229</v>
      </c>
      <c r="H115" s="43" t="s">
        <v>610</v>
      </c>
      <c r="I115" s="43"/>
      <c r="K115" s="43"/>
      <c r="L115" s="43"/>
      <c r="N115" s="43" t="s">
        <v>537</v>
      </c>
      <c r="O115" s="260" t="s">
        <v>1086</v>
      </c>
      <c r="P115" s="261" t="s">
        <v>1097</v>
      </c>
      <c r="Q115" s="55"/>
      <c r="S115" s="52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2"/>
      <c r="AI115" s="42" t="s">
        <v>1117</v>
      </c>
      <c r="AJ115" s="42"/>
      <c r="AK115" s="42" t="s">
        <v>539</v>
      </c>
      <c r="AL115" s="4">
        <v>28</v>
      </c>
      <c r="AM115" s="4" t="s">
        <v>1384</v>
      </c>
      <c r="AN115" s="4" t="s">
        <v>1693</v>
      </c>
      <c r="AO115" s="4" t="s">
        <v>635</v>
      </c>
      <c r="AP115" s="34" t="s">
        <v>2258</v>
      </c>
      <c r="AQ115" s="4">
        <v>2</v>
      </c>
      <c r="AR115" s="4" t="s">
        <v>414</v>
      </c>
      <c r="AS115" s="4" t="s">
        <v>77</v>
      </c>
      <c r="AT115" s="4" t="s">
        <v>10</v>
      </c>
      <c r="AU115" s="4" t="s">
        <v>1692</v>
      </c>
      <c r="AV115" s="4" t="s">
        <v>272</v>
      </c>
      <c r="AW115" s="34" t="s">
        <v>2229</v>
      </c>
      <c r="AX115" s="4">
        <v>1</v>
      </c>
      <c r="AY115" s="4" t="s">
        <v>1381</v>
      </c>
      <c r="AZ115" s="4" t="s">
        <v>10</v>
      </c>
      <c r="BA115" s="4" t="s">
        <v>10</v>
      </c>
      <c r="BB115" s="4" t="s">
        <v>124</v>
      </c>
      <c r="BC115" s="4" t="s">
        <v>1742</v>
      </c>
      <c r="BD115" s="4" t="s">
        <v>10</v>
      </c>
      <c r="BE115" s="4" t="s">
        <v>10</v>
      </c>
      <c r="BF115" s="4">
        <v>342</v>
      </c>
      <c r="BG115" s="4" t="s">
        <v>125</v>
      </c>
      <c r="BH115" s="4">
        <v>0.5</v>
      </c>
      <c r="BI115" s="4" t="s">
        <v>1382</v>
      </c>
      <c r="BJ115" s="4" t="s">
        <v>2374</v>
      </c>
      <c r="BK115" s="35" t="s">
        <v>2492</v>
      </c>
      <c r="BL115" s="4">
        <v>28</v>
      </c>
    </row>
    <row r="116" spans="1:253" s="4" customFormat="1">
      <c r="A116" s="4" t="str">
        <f t="shared" si="2"/>
        <v>KS_CPM_E            SP_58XT</v>
      </c>
      <c r="B116" s="1"/>
      <c r="C116" s="4">
        <v>68</v>
      </c>
      <c r="D116" s="6" t="s">
        <v>605</v>
      </c>
      <c r="E116" s="6"/>
      <c r="F116" s="4" t="s">
        <v>1086</v>
      </c>
      <c r="G116" s="4" t="s">
        <v>2229</v>
      </c>
      <c r="H116" s="43" t="s">
        <v>610</v>
      </c>
      <c r="I116" s="43"/>
      <c r="N116" s="43" t="s">
        <v>537</v>
      </c>
      <c r="O116" s="260" t="s">
        <v>1086</v>
      </c>
      <c r="P116" s="261" t="s">
        <v>1097</v>
      </c>
      <c r="Q116" s="56"/>
      <c r="S116" s="33"/>
      <c r="AH116" s="42"/>
      <c r="AI116" s="42" t="s">
        <v>1117</v>
      </c>
      <c r="AJ116" s="42"/>
      <c r="AK116" s="42" t="s">
        <v>538</v>
      </c>
      <c r="AL116" s="4">
        <v>68</v>
      </c>
      <c r="AM116" s="4" t="s">
        <v>1798</v>
      </c>
      <c r="AN116" s="4" t="s">
        <v>502</v>
      </c>
      <c r="AO116" s="4" t="s">
        <v>647</v>
      </c>
      <c r="AP116" s="34" t="s">
        <v>1786</v>
      </c>
      <c r="AQ116" s="4">
        <v>6</v>
      </c>
      <c r="AR116" s="4" t="s">
        <v>1392</v>
      </c>
      <c r="AS116" s="4" t="s">
        <v>241</v>
      </c>
      <c r="AT116" s="4" t="s">
        <v>10</v>
      </c>
      <c r="AU116" s="4" t="s">
        <v>1692</v>
      </c>
      <c r="AV116" s="4" t="s">
        <v>272</v>
      </c>
      <c r="AW116" s="34" t="s">
        <v>2229</v>
      </c>
      <c r="AX116" s="4">
        <v>1</v>
      </c>
      <c r="AY116" s="4" t="s">
        <v>1381</v>
      </c>
      <c r="AZ116" s="4" t="s">
        <v>10</v>
      </c>
      <c r="BA116" s="4" t="s">
        <v>10</v>
      </c>
      <c r="BB116" s="4" t="s">
        <v>124</v>
      </c>
      <c r="BC116" s="4" t="s">
        <v>1742</v>
      </c>
      <c r="BD116" s="4" t="s">
        <v>10</v>
      </c>
      <c r="BE116" s="4" t="s">
        <v>10</v>
      </c>
      <c r="BF116" s="4">
        <v>1086</v>
      </c>
      <c r="BG116" s="4" t="s">
        <v>125</v>
      </c>
      <c r="BH116" s="4">
        <v>0.5</v>
      </c>
      <c r="BI116" s="4" t="s">
        <v>1382</v>
      </c>
      <c r="BJ116" s="4" t="s">
        <v>2374</v>
      </c>
      <c r="BK116" s="35" t="s">
        <v>2492</v>
      </c>
      <c r="BL116" s="4">
        <v>68</v>
      </c>
    </row>
    <row r="117" spans="1:253" s="4" customFormat="1">
      <c r="A117" s="4" t="str">
        <f t="shared" si="2"/>
        <v xml:space="preserve">                    </v>
      </c>
      <c r="B117" s="45"/>
      <c r="C117" s="29"/>
      <c r="D117" s="307"/>
      <c r="E117" s="307"/>
      <c r="F117" s="29"/>
      <c r="G117" s="29"/>
      <c r="H117" s="308"/>
      <c r="I117" s="308"/>
      <c r="K117" s="308"/>
      <c r="L117" s="308"/>
      <c r="N117" s="308"/>
      <c r="O117" s="308"/>
      <c r="P117" s="309"/>
      <c r="Q117" s="309"/>
      <c r="R117" s="311"/>
      <c r="S117" s="312"/>
      <c r="T117" s="308"/>
      <c r="U117" s="308"/>
      <c r="V117" s="308"/>
      <c r="W117" s="308"/>
      <c r="X117" s="308"/>
      <c r="Y117" s="308"/>
      <c r="Z117" s="308"/>
      <c r="AA117" s="308"/>
      <c r="AB117" s="308"/>
      <c r="AC117" s="308"/>
      <c r="AD117" s="308"/>
      <c r="AE117" s="308"/>
      <c r="AF117" s="308"/>
      <c r="AG117" s="308"/>
      <c r="AH117" s="310"/>
      <c r="AI117" s="29"/>
      <c r="AJ117" s="29"/>
      <c r="AK117" s="42"/>
      <c r="AL117" s="310"/>
      <c r="AM117" s="29"/>
      <c r="AN117" s="29"/>
      <c r="AO117" s="29"/>
      <c r="AP117" s="29"/>
      <c r="AQ117" s="29"/>
      <c r="AR117" s="288"/>
      <c r="AS117" s="29"/>
      <c r="AT117" s="29"/>
      <c r="AU117" s="29"/>
      <c r="AV117" s="29"/>
      <c r="AW117" s="29"/>
      <c r="AX117" s="29"/>
      <c r="AY117" s="288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</row>
    <row r="118" spans="1:253" s="35" customFormat="1">
      <c r="A118" s="4" t="str">
        <f t="shared" si="2"/>
        <v>KS_CPL_B            SP_CANLK</v>
      </c>
      <c r="B118" s="349"/>
      <c r="C118" s="248">
        <v>15</v>
      </c>
      <c r="D118" s="283" t="s">
        <v>605</v>
      </c>
      <c r="E118" s="283"/>
      <c r="F118" s="177" t="s">
        <v>1293</v>
      </c>
      <c r="G118" s="39" t="s">
        <v>2226</v>
      </c>
      <c r="H118" s="35" t="s">
        <v>610</v>
      </c>
      <c r="N118" s="35" t="s">
        <v>619</v>
      </c>
      <c r="O118" s="34" t="s">
        <v>1086</v>
      </c>
      <c r="P118" s="285" t="s">
        <v>1097</v>
      </c>
      <c r="Q118" s="58"/>
      <c r="R118" s="39"/>
      <c r="AG118" s="279"/>
      <c r="AI118" s="279" t="s">
        <v>1116</v>
      </c>
      <c r="AJ118" s="279"/>
      <c r="AK118" s="279" t="s">
        <v>539</v>
      </c>
      <c r="AL118" s="35">
        <v>15</v>
      </c>
      <c r="AM118" s="35" t="s">
        <v>1750</v>
      </c>
      <c r="AN118" s="35" t="s">
        <v>416</v>
      </c>
      <c r="AO118" s="35" t="s">
        <v>623</v>
      </c>
      <c r="AP118" s="34" t="s">
        <v>1741</v>
      </c>
      <c r="AQ118" s="35">
        <v>1</v>
      </c>
      <c r="AR118" s="35" t="s">
        <v>1398</v>
      </c>
      <c r="AS118" s="35" t="s">
        <v>72</v>
      </c>
      <c r="AT118" s="35" t="s">
        <v>10</v>
      </c>
      <c r="AU118" s="35" t="s">
        <v>1689</v>
      </c>
      <c r="AV118" s="35" t="s">
        <v>1188</v>
      </c>
      <c r="AW118" s="34" t="s">
        <v>2226</v>
      </c>
      <c r="AX118" s="35">
        <v>1</v>
      </c>
      <c r="AY118" s="35" t="s">
        <v>628</v>
      </c>
      <c r="AZ118" s="35" t="s">
        <v>10</v>
      </c>
      <c r="BA118" s="35" t="s">
        <v>10</v>
      </c>
      <c r="BB118" s="35" t="s">
        <v>2384</v>
      </c>
      <c r="BC118" s="35" t="s">
        <v>1742</v>
      </c>
      <c r="BD118" s="35" t="s">
        <v>629</v>
      </c>
      <c r="BE118" s="35" t="s">
        <v>88</v>
      </c>
      <c r="BF118" s="35">
        <v>691</v>
      </c>
      <c r="BG118" s="35" t="s">
        <v>89</v>
      </c>
      <c r="BH118" s="35">
        <v>0.35</v>
      </c>
      <c r="BI118" s="35" t="s">
        <v>1752</v>
      </c>
      <c r="BJ118" s="35" t="s">
        <v>2374</v>
      </c>
      <c r="BK118" s="35" t="s">
        <v>2492</v>
      </c>
      <c r="BL118" s="35">
        <v>15</v>
      </c>
      <c r="CB118" s="248"/>
      <c r="CC118" s="248"/>
      <c r="CD118" s="248"/>
      <c r="CE118" s="248"/>
      <c r="CF118" s="248"/>
      <c r="CG118" s="248"/>
      <c r="CH118" s="248"/>
      <c r="CI118" s="248"/>
      <c r="CJ118" s="248"/>
      <c r="CK118" s="248"/>
      <c r="CL118" s="248"/>
      <c r="CM118" s="248"/>
      <c r="CN118" s="248"/>
      <c r="CO118" s="248"/>
      <c r="CP118" s="248"/>
      <c r="CQ118" s="248"/>
      <c r="CR118" s="248"/>
      <c r="CS118" s="248"/>
      <c r="CT118" s="248"/>
      <c r="CU118" s="248"/>
      <c r="CV118" s="248"/>
      <c r="CW118" s="248"/>
      <c r="CX118" s="248"/>
      <c r="CY118" s="248"/>
      <c r="CZ118" s="248"/>
      <c r="DA118" s="248"/>
      <c r="DB118" s="248"/>
      <c r="DC118" s="248"/>
      <c r="DD118" s="248"/>
      <c r="DE118" s="248"/>
      <c r="DF118" s="248"/>
      <c r="DG118" s="248"/>
      <c r="DH118" s="248"/>
      <c r="DI118" s="248"/>
      <c r="DJ118" s="248"/>
      <c r="DK118" s="248"/>
      <c r="DL118" s="248"/>
      <c r="DM118" s="248"/>
      <c r="DN118" s="248"/>
      <c r="DO118" s="248"/>
      <c r="DP118" s="248"/>
      <c r="DQ118" s="248"/>
      <c r="DR118" s="248"/>
      <c r="DS118" s="248"/>
      <c r="DT118" s="248"/>
      <c r="DU118" s="248"/>
      <c r="DV118" s="248"/>
      <c r="DW118" s="248"/>
      <c r="DX118" s="248"/>
      <c r="DY118" s="248"/>
      <c r="DZ118" s="248"/>
      <c r="EA118" s="248"/>
      <c r="EB118" s="248"/>
    </row>
    <row r="119" spans="1:253" s="35" customFormat="1">
      <c r="A119" s="4" t="str">
        <f t="shared" si="2"/>
        <v>KI_A                SP_CANLK</v>
      </c>
      <c r="B119" s="349"/>
      <c r="C119" s="248">
        <v>86</v>
      </c>
      <c r="D119" s="283" t="s">
        <v>605</v>
      </c>
      <c r="E119" s="283"/>
      <c r="F119" s="177" t="s">
        <v>1293</v>
      </c>
      <c r="G119" s="35" t="s">
        <v>2226</v>
      </c>
      <c r="H119" s="35" t="s">
        <v>610</v>
      </c>
      <c r="K119" s="32"/>
      <c r="L119" s="32"/>
      <c r="N119" s="35" t="s">
        <v>619</v>
      </c>
      <c r="O119" s="34" t="s">
        <v>1086</v>
      </c>
      <c r="P119" s="285" t="s">
        <v>1097</v>
      </c>
      <c r="Q119" s="59"/>
      <c r="R119" s="6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279"/>
      <c r="AI119" s="279" t="s">
        <v>1116</v>
      </c>
      <c r="AJ119" s="279"/>
      <c r="AK119" s="279" t="s">
        <v>538</v>
      </c>
      <c r="AL119" s="35">
        <v>86</v>
      </c>
      <c r="AM119" s="35" t="s">
        <v>1811</v>
      </c>
      <c r="AN119" s="35" t="s">
        <v>896</v>
      </c>
      <c r="AO119" s="35" t="s">
        <v>624</v>
      </c>
      <c r="AP119" s="34" t="s">
        <v>2254</v>
      </c>
      <c r="AQ119" s="35">
        <v>3</v>
      </c>
      <c r="AR119" s="35" t="s">
        <v>350</v>
      </c>
      <c r="AS119" s="35" t="s">
        <v>87</v>
      </c>
      <c r="AT119" s="35" t="s">
        <v>10</v>
      </c>
      <c r="AU119" s="35" t="s">
        <v>1689</v>
      </c>
      <c r="AV119" s="35" t="s">
        <v>1188</v>
      </c>
      <c r="AW119" s="34" t="s">
        <v>2226</v>
      </c>
      <c r="AX119" s="35">
        <v>1</v>
      </c>
      <c r="AY119" s="35" t="s">
        <v>628</v>
      </c>
      <c r="AZ119" s="35" t="s">
        <v>10</v>
      </c>
      <c r="BA119" s="35" t="s">
        <v>10</v>
      </c>
      <c r="BB119" s="35" t="s">
        <v>2384</v>
      </c>
      <c r="BC119" s="35" t="s">
        <v>1742</v>
      </c>
      <c r="BD119" s="35" t="s">
        <v>653</v>
      </c>
      <c r="BE119" s="35" t="s">
        <v>88</v>
      </c>
      <c r="BF119" s="35">
        <v>639</v>
      </c>
      <c r="BG119" s="35" t="s">
        <v>89</v>
      </c>
      <c r="BH119" s="35">
        <v>0.35</v>
      </c>
      <c r="BI119" s="35" t="s">
        <v>1752</v>
      </c>
      <c r="BJ119" s="35" t="s">
        <v>2374</v>
      </c>
      <c r="BK119" s="35" t="s">
        <v>2492</v>
      </c>
      <c r="BL119" s="35">
        <v>86</v>
      </c>
      <c r="CB119" s="248"/>
      <c r="CC119" s="248"/>
      <c r="CD119" s="248"/>
      <c r="CE119" s="248"/>
      <c r="CF119" s="248"/>
      <c r="CG119" s="248"/>
      <c r="CH119" s="248"/>
      <c r="CI119" s="248"/>
      <c r="CJ119" s="248"/>
      <c r="CK119" s="248"/>
      <c r="CL119" s="248"/>
      <c r="CM119" s="248"/>
      <c r="CN119" s="248"/>
      <c r="CO119" s="248"/>
      <c r="CP119" s="248"/>
      <c r="CQ119" s="248"/>
      <c r="CR119" s="248"/>
      <c r="CS119" s="248"/>
      <c r="CT119" s="248"/>
      <c r="CU119" s="248"/>
      <c r="CV119" s="248"/>
      <c r="CW119" s="248"/>
      <c r="CX119" s="248"/>
      <c r="CY119" s="248"/>
      <c r="CZ119" s="248"/>
      <c r="DA119" s="248"/>
      <c r="DB119" s="248"/>
      <c r="DC119" s="248"/>
      <c r="DD119" s="248"/>
      <c r="DE119" s="248"/>
      <c r="DF119" s="248"/>
      <c r="DG119" s="248"/>
      <c r="DH119" s="248"/>
      <c r="DI119" s="248"/>
      <c r="DJ119" s="248"/>
      <c r="DK119" s="248"/>
      <c r="DL119" s="248"/>
      <c r="DM119" s="248"/>
      <c r="DN119" s="248"/>
      <c r="DO119" s="248"/>
      <c r="DP119" s="248"/>
      <c r="DQ119" s="248"/>
      <c r="DR119" s="248"/>
      <c r="DS119" s="248"/>
      <c r="DT119" s="248"/>
      <c r="DU119" s="248"/>
      <c r="DV119" s="248"/>
      <c r="DW119" s="248"/>
      <c r="DX119" s="248"/>
      <c r="DY119" s="248"/>
      <c r="DZ119" s="248"/>
      <c r="EA119" s="248"/>
      <c r="EB119" s="248"/>
      <c r="EC119" s="32"/>
      <c r="ED119" s="32"/>
      <c r="EE119" s="32"/>
      <c r="EF119" s="32"/>
      <c r="EG119" s="32"/>
      <c r="EH119" s="32"/>
      <c r="EI119" s="32"/>
      <c r="EJ119" s="32"/>
      <c r="EK119" s="32"/>
      <c r="EL119" s="32"/>
      <c r="EM119" s="32"/>
      <c r="EN119" s="32"/>
      <c r="EO119" s="32"/>
      <c r="EP119" s="32"/>
      <c r="EQ119" s="32"/>
      <c r="ER119" s="32"/>
      <c r="ES119" s="32"/>
      <c r="ET119" s="32"/>
      <c r="EU119" s="32"/>
      <c r="EV119" s="32"/>
      <c r="EW119" s="32"/>
      <c r="EX119" s="32"/>
      <c r="EY119" s="32"/>
      <c r="EZ119" s="32"/>
      <c r="FA119" s="32"/>
      <c r="FB119" s="32"/>
      <c r="FC119" s="32"/>
      <c r="FD119" s="32"/>
      <c r="FE119" s="32"/>
      <c r="FF119" s="32"/>
      <c r="FG119" s="32"/>
      <c r="FH119" s="32"/>
      <c r="FI119" s="32"/>
      <c r="FJ119" s="32"/>
      <c r="FK119" s="32"/>
      <c r="FL119" s="32"/>
      <c r="FM119" s="32"/>
      <c r="FN119" s="32"/>
      <c r="FO119" s="32"/>
      <c r="FP119" s="32"/>
      <c r="FQ119" s="32"/>
      <c r="FR119" s="32"/>
      <c r="FS119" s="32"/>
      <c r="FT119" s="32"/>
      <c r="FU119" s="32"/>
      <c r="FV119" s="32"/>
      <c r="FW119" s="32"/>
      <c r="FX119" s="32"/>
      <c r="FY119" s="32"/>
      <c r="FZ119" s="32"/>
      <c r="GA119" s="32"/>
      <c r="GB119" s="32"/>
      <c r="GC119" s="32"/>
      <c r="GD119" s="32"/>
      <c r="GE119" s="32"/>
      <c r="GF119" s="32"/>
      <c r="GG119" s="32"/>
      <c r="GH119" s="32"/>
      <c r="GI119" s="32"/>
      <c r="GJ119" s="32"/>
      <c r="GK119" s="32"/>
      <c r="GL119" s="32"/>
      <c r="GM119" s="32"/>
      <c r="GN119" s="32"/>
      <c r="GO119" s="32"/>
      <c r="GP119" s="32"/>
      <c r="GQ119" s="32"/>
      <c r="GR119" s="32"/>
      <c r="GS119" s="32"/>
      <c r="GT119" s="32"/>
      <c r="GU119" s="32"/>
      <c r="GV119" s="32"/>
      <c r="GW119" s="32"/>
      <c r="GX119" s="32"/>
      <c r="GY119" s="32"/>
      <c r="GZ119" s="32"/>
      <c r="HA119" s="32"/>
      <c r="HB119" s="32"/>
      <c r="HC119" s="32"/>
      <c r="HD119" s="32"/>
      <c r="HE119" s="32"/>
      <c r="HF119" s="32"/>
      <c r="HG119" s="32"/>
      <c r="HH119" s="32"/>
      <c r="HI119" s="32"/>
      <c r="HJ119" s="32"/>
      <c r="HK119" s="32"/>
      <c r="HL119" s="32"/>
      <c r="HM119" s="32"/>
      <c r="HN119" s="32"/>
      <c r="HO119" s="32"/>
      <c r="HP119" s="32"/>
      <c r="HQ119" s="32"/>
      <c r="HR119" s="32"/>
      <c r="HS119" s="32"/>
      <c r="HT119" s="32"/>
      <c r="HU119" s="32"/>
      <c r="HV119" s="32"/>
      <c r="HW119" s="32"/>
      <c r="HX119" s="32"/>
      <c r="HY119" s="32"/>
      <c r="HZ119" s="32"/>
      <c r="IA119" s="32"/>
      <c r="IB119" s="32"/>
      <c r="IC119" s="32"/>
      <c r="ID119" s="32"/>
      <c r="IE119" s="32"/>
      <c r="IF119" s="32"/>
      <c r="IG119" s="32"/>
      <c r="IH119" s="32"/>
      <c r="II119" s="32"/>
      <c r="IJ119" s="32"/>
      <c r="IK119" s="32"/>
      <c r="IL119" s="32"/>
      <c r="IM119" s="32"/>
      <c r="IN119" s="32"/>
      <c r="IO119" s="32"/>
      <c r="IP119" s="32"/>
      <c r="IQ119" s="32"/>
      <c r="IR119" s="32"/>
      <c r="IS119" s="32"/>
    </row>
    <row r="120" spans="1:253" s="35" customFormat="1">
      <c r="A120" s="4" t="str">
        <f t="shared" si="2"/>
        <v>SBT_A               SP_CANLK</v>
      </c>
      <c r="B120" s="349"/>
      <c r="C120" s="248">
        <v>88</v>
      </c>
      <c r="D120" s="283" t="s">
        <v>605</v>
      </c>
      <c r="E120" s="283"/>
      <c r="F120" s="177" t="s">
        <v>1293</v>
      </c>
      <c r="G120" s="35" t="s">
        <v>2226</v>
      </c>
      <c r="H120" s="35" t="s">
        <v>610</v>
      </c>
      <c r="N120" s="35" t="s">
        <v>619</v>
      </c>
      <c r="O120" s="34" t="s">
        <v>1086</v>
      </c>
      <c r="P120" s="285" t="s">
        <v>1097</v>
      </c>
      <c r="Q120" s="58"/>
      <c r="R120" s="39"/>
      <c r="AG120" s="279"/>
      <c r="AI120" s="279" t="s">
        <v>1116</v>
      </c>
      <c r="AJ120" s="279"/>
      <c r="AK120" s="279" t="s">
        <v>538</v>
      </c>
      <c r="AL120" s="35">
        <v>88</v>
      </c>
      <c r="AM120" s="35" t="s">
        <v>1814</v>
      </c>
      <c r="AN120" s="35" t="s">
        <v>1697</v>
      </c>
      <c r="AO120" s="35" t="s">
        <v>654</v>
      </c>
      <c r="AP120" s="34" t="s">
        <v>2261</v>
      </c>
      <c r="AQ120" s="35">
        <v>3</v>
      </c>
      <c r="AR120" s="35" t="s">
        <v>1813</v>
      </c>
      <c r="AS120" s="35" t="s">
        <v>87</v>
      </c>
      <c r="AT120" s="35" t="s">
        <v>10</v>
      </c>
      <c r="AU120" s="35" t="s">
        <v>1689</v>
      </c>
      <c r="AV120" s="35" t="s">
        <v>1188</v>
      </c>
      <c r="AW120" s="34" t="s">
        <v>2226</v>
      </c>
      <c r="AX120" s="35">
        <v>1</v>
      </c>
      <c r="AY120" s="35" t="s">
        <v>628</v>
      </c>
      <c r="AZ120" s="35" t="s">
        <v>10</v>
      </c>
      <c r="BA120" s="35" t="s">
        <v>10</v>
      </c>
      <c r="BB120" s="35" t="s">
        <v>2384</v>
      </c>
      <c r="BC120" s="35" t="s">
        <v>1742</v>
      </c>
      <c r="BD120" s="35" t="s">
        <v>655</v>
      </c>
      <c r="BE120" s="35" t="s">
        <v>88</v>
      </c>
      <c r="BF120" s="35">
        <v>659</v>
      </c>
      <c r="BG120" s="35" t="s">
        <v>89</v>
      </c>
      <c r="BH120" s="35">
        <v>0.35</v>
      </c>
      <c r="BI120" s="35" t="s">
        <v>1752</v>
      </c>
      <c r="BJ120" s="35" t="s">
        <v>2374</v>
      </c>
      <c r="BK120" s="35" t="s">
        <v>2492</v>
      </c>
      <c r="BL120" s="35">
        <v>88</v>
      </c>
      <c r="CB120" s="248"/>
      <c r="CC120" s="248"/>
      <c r="CD120" s="248"/>
      <c r="CE120" s="248"/>
      <c r="CF120" s="248"/>
      <c r="CG120" s="248"/>
      <c r="CH120" s="248"/>
      <c r="CI120" s="248"/>
      <c r="CJ120" s="248"/>
      <c r="CK120" s="248"/>
      <c r="CL120" s="248"/>
      <c r="CM120" s="248"/>
      <c r="CN120" s="248"/>
      <c r="CO120" s="248"/>
      <c r="CP120" s="248"/>
      <c r="CQ120" s="248"/>
      <c r="CR120" s="248"/>
      <c r="CS120" s="248"/>
      <c r="CT120" s="248"/>
      <c r="CU120" s="248"/>
      <c r="CV120" s="248"/>
      <c r="CW120" s="248"/>
      <c r="CX120" s="248"/>
      <c r="CY120" s="248"/>
      <c r="CZ120" s="248"/>
      <c r="DA120" s="248"/>
      <c r="DB120" s="248"/>
      <c r="DC120" s="248"/>
      <c r="DD120" s="248"/>
      <c r="DE120" s="248"/>
      <c r="DF120" s="248"/>
      <c r="DG120" s="248"/>
      <c r="DH120" s="248"/>
      <c r="DI120" s="248"/>
      <c r="DJ120" s="248"/>
      <c r="DK120" s="248"/>
      <c r="DL120" s="248"/>
      <c r="DM120" s="248"/>
      <c r="DN120" s="248"/>
      <c r="DO120" s="248"/>
      <c r="DP120" s="248"/>
      <c r="DQ120" s="248"/>
      <c r="DR120" s="248"/>
      <c r="DS120" s="248"/>
      <c r="DT120" s="248"/>
      <c r="DU120" s="248"/>
      <c r="DV120" s="248"/>
      <c r="DW120" s="248"/>
      <c r="DX120" s="248"/>
      <c r="DY120" s="248"/>
      <c r="DZ120" s="248"/>
      <c r="EA120" s="248"/>
      <c r="EB120" s="248"/>
    </row>
    <row r="121" spans="1:253" s="35" customFormat="1">
      <c r="A121" s="4" t="str">
        <f t="shared" si="2"/>
        <v>HUD                 SP_CANLK</v>
      </c>
      <c r="B121" s="349"/>
      <c r="C121" s="248">
        <v>321002</v>
      </c>
      <c r="D121" s="283">
        <v>321</v>
      </c>
      <c r="F121" s="177" t="s">
        <v>1293</v>
      </c>
      <c r="G121" s="35" t="s">
        <v>2226</v>
      </c>
      <c r="H121" s="35" t="s">
        <v>610</v>
      </c>
      <c r="N121" s="35" t="s">
        <v>619</v>
      </c>
      <c r="O121" s="34" t="s">
        <v>1086</v>
      </c>
      <c r="P121" s="285" t="s">
        <v>1097</v>
      </c>
      <c r="Q121" s="58"/>
      <c r="R121" s="39"/>
      <c r="V121" s="39"/>
      <c r="AG121" s="279"/>
      <c r="AI121" s="279" t="s">
        <v>1117</v>
      </c>
      <c r="AJ121" s="279"/>
      <c r="AK121" s="279" t="s">
        <v>538</v>
      </c>
      <c r="AL121" s="35">
        <v>321002</v>
      </c>
      <c r="AM121" s="35" t="s">
        <v>2041</v>
      </c>
      <c r="AN121" s="35" t="s">
        <v>1277</v>
      </c>
      <c r="AO121" s="35" t="s">
        <v>1278</v>
      </c>
      <c r="AP121" s="34" t="s">
        <v>2293</v>
      </c>
      <c r="AQ121" s="35">
        <v>2</v>
      </c>
      <c r="AR121" s="35" t="s">
        <v>1279</v>
      </c>
      <c r="AS121" s="35" t="s">
        <v>87</v>
      </c>
      <c r="AT121" s="35" t="s">
        <v>10</v>
      </c>
      <c r="AU121" s="35" t="s">
        <v>1689</v>
      </c>
      <c r="AV121" s="35" t="s">
        <v>1188</v>
      </c>
      <c r="AW121" s="34" t="s">
        <v>2226</v>
      </c>
      <c r="AX121" s="35">
        <v>1</v>
      </c>
      <c r="AY121" s="35" t="s">
        <v>628</v>
      </c>
      <c r="AZ121" s="35" t="s">
        <v>10</v>
      </c>
      <c r="BA121" s="35" t="s">
        <v>10</v>
      </c>
      <c r="BB121" s="35" t="s">
        <v>2384</v>
      </c>
      <c r="BC121" s="35" t="s">
        <v>1742</v>
      </c>
      <c r="BD121" s="35" t="s">
        <v>1280</v>
      </c>
      <c r="BE121" s="35" t="s">
        <v>88</v>
      </c>
      <c r="BF121" s="35">
        <v>677</v>
      </c>
      <c r="BG121" s="35" t="s">
        <v>89</v>
      </c>
      <c r="BH121" s="35">
        <v>0.35</v>
      </c>
      <c r="BI121" s="35" t="s">
        <v>1752</v>
      </c>
      <c r="BJ121" s="35" t="s">
        <v>1275</v>
      </c>
      <c r="BK121" s="35">
        <v>321002</v>
      </c>
      <c r="CB121" s="248"/>
      <c r="CC121" s="248"/>
      <c r="CD121" s="248"/>
      <c r="CE121" s="248"/>
      <c r="CF121" s="248"/>
      <c r="CG121" s="248"/>
      <c r="CH121" s="248"/>
      <c r="CI121" s="248"/>
      <c r="CJ121" s="248"/>
      <c r="CK121" s="248"/>
      <c r="CL121" s="248"/>
      <c r="CM121" s="248"/>
      <c r="CN121" s="248"/>
      <c r="CO121" s="248"/>
      <c r="CP121" s="248"/>
      <c r="CQ121" s="248"/>
      <c r="CR121" s="248"/>
      <c r="CS121" s="248"/>
      <c r="CT121" s="248"/>
      <c r="CU121" s="248"/>
      <c r="CV121" s="248"/>
      <c r="CW121" s="248"/>
      <c r="CX121" s="248"/>
      <c r="CY121" s="248"/>
      <c r="CZ121" s="248"/>
      <c r="DA121" s="248"/>
      <c r="DB121" s="248"/>
      <c r="DC121" s="248"/>
      <c r="DD121" s="248"/>
      <c r="DE121" s="248"/>
      <c r="DF121" s="248"/>
      <c r="DG121" s="248"/>
      <c r="DH121" s="248"/>
      <c r="DI121" s="248"/>
      <c r="DJ121" s="248"/>
      <c r="DK121" s="248"/>
      <c r="DL121" s="248"/>
      <c r="DM121" s="248"/>
      <c r="DN121" s="248"/>
      <c r="DO121" s="248"/>
      <c r="DP121" s="248"/>
      <c r="DQ121" s="248"/>
      <c r="DR121" s="248"/>
      <c r="DS121" s="248"/>
      <c r="DT121" s="248"/>
      <c r="DU121" s="248"/>
      <c r="DV121" s="248"/>
      <c r="DW121" s="248"/>
      <c r="DX121" s="248"/>
      <c r="DY121" s="248"/>
      <c r="DZ121" s="248"/>
      <c r="EA121" s="248"/>
      <c r="EB121" s="248"/>
    </row>
    <row r="122" spans="1:253" s="4" customFormat="1">
      <c r="A122" s="4" t="str">
        <f t="shared" si="2"/>
        <v xml:space="preserve">                    </v>
      </c>
      <c r="B122" s="1"/>
      <c r="D122" s="6"/>
      <c r="P122" s="260"/>
      <c r="Q122" s="261"/>
      <c r="R122" s="56"/>
      <c r="S122" s="33"/>
      <c r="W122" s="33"/>
      <c r="AH122" s="42"/>
      <c r="AK122" s="42"/>
      <c r="AL122" s="42"/>
      <c r="AR122" s="34"/>
      <c r="AY122" s="34"/>
    </row>
    <row r="123" spans="1:253" s="35" customFormat="1">
      <c r="A123" s="4" t="str">
        <f t="shared" si="2"/>
        <v>KS_CPL_B            SP_CANHK</v>
      </c>
      <c r="B123" s="349"/>
      <c r="C123" s="248">
        <v>16</v>
      </c>
      <c r="D123" s="283" t="s">
        <v>605</v>
      </c>
      <c r="E123" s="283"/>
      <c r="F123" s="177" t="s">
        <v>1293</v>
      </c>
      <c r="G123" s="39" t="s">
        <v>2227</v>
      </c>
      <c r="H123" s="35" t="s">
        <v>610</v>
      </c>
      <c r="N123" s="35" t="s">
        <v>619</v>
      </c>
      <c r="O123" s="34" t="s">
        <v>1086</v>
      </c>
      <c r="P123" s="285" t="s">
        <v>1097</v>
      </c>
      <c r="Q123" s="58"/>
      <c r="R123" s="39"/>
      <c r="AG123" s="279"/>
      <c r="AI123" s="279" t="s">
        <v>1116</v>
      </c>
      <c r="AJ123" s="279"/>
      <c r="AK123" s="279" t="s">
        <v>539</v>
      </c>
      <c r="AL123" s="35">
        <v>16</v>
      </c>
      <c r="AM123" s="35" t="s">
        <v>1753</v>
      </c>
      <c r="AN123" s="35" t="s">
        <v>416</v>
      </c>
      <c r="AO123" s="35" t="s">
        <v>623</v>
      </c>
      <c r="AP123" s="34" t="s">
        <v>1741</v>
      </c>
      <c r="AQ123" s="35">
        <v>2</v>
      </c>
      <c r="AR123" s="35" t="s">
        <v>1398</v>
      </c>
      <c r="AS123" s="35" t="s">
        <v>72</v>
      </c>
      <c r="AT123" s="35" t="s">
        <v>10</v>
      </c>
      <c r="AU123" s="35" t="s">
        <v>1690</v>
      </c>
      <c r="AV123" s="35" t="s">
        <v>1187</v>
      </c>
      <c r="AW123" s="34" t="s">
        <v>2227</v>
      </c>
      <c r="AX123" s="35">
        <v>1</v>
      </c>
      <c r="AY123" s="35" t="s">
        <v>628</v>
      </c>
      <c r="AZ123" s="35" t="s">
        <v>10</v>
      </c>
      <c r="BA123" s="35" t="s">
        <v>10</v>
      </c>
      <c r="BB123" s="35" t="s">
        <v>2384</v>
      </c>
      <c r="BC123" s="35" t="s">
        <v>1742</v>
      </c>
      <c r="BD123" s="35" t="s">
        <v>629</v>
      </c>
      <c r="BE123" s="35" t="s">
        <v>109</v>
      </c>
      <c r="BF123" s="35">
        <v>691</v>
      </c>
      <c r="BG123" s="35" t="s">
        <v>110</v>
      </c>
      <c r="BH123" s="35">
        <v>0.35</v>
      </c>
      <c r="BI123" s="35" t="s">
        <v>1755</v>
      </c>
      <c r="BJ123" s="35" t="s">
        <v>2374</v>
      </c>
      <c r="BK123" s="35" t="s">
        <v>2492</v>
      </c>
      <c r="BL123" s="35">
        <v>16</v>
      </c>
      <c r="CB123" s="248"/>
      <c r="CC123" s="248"/>
      <c r="CD123" s="248"/>
      <c r="CE123" s="248"/>
      <c r="CF123" s="248"/>
      <c r="CG123" s="248"/>
      <c r="CH123" s="248"/>
      <c r="CI123" s="248"/>
      <c r="CJ123" s="248"/>
      <c r="CK123" s="248"/>
      <c r="CL123" s="248"/>
      <c r="CM123" s="248"/>
      <c r="CN123" s="248"/>
      <c r="CO123" s="248"/>
      <c r="CP123" s="248"/>
      <c r="CQ123" s="248"/>
      <c r="CR123" s="248"/>
      <c r="CS123" s="248"/>
      <c r="CT123" s="248"/>
      <c r="CU123" s="248"/>
      <c r="CV123" s="248"/>
      <c r="CW123" s="248"/>
      <c r="CX123" s="248"/>
      <c r="CY123" s="248"/>
      <c r="CZ123" s="248"/>
      <c r="DA123" s="248"/>
      <c r="DB123" s="248"/>
      <c r="DC123" s="248"/>
      <c r="DD123" s="248"/>
      <c r="DE123" s="248"/>
      <c r="DF123" s="248"/>
      <c r="DG123" s="248"/>
      <c r="DH123" s="248"/>
      <c r="DI123" s="248"/>
      <c r="DJ123" s="248"/>
      <c r="DK123" s="248"/>
      <c r="DL123" s="248"/>
      <c r="DM123" s="248"/>
      <c r="DN123" s="248"/>
      <c r="DO123" s="248"/>
      <c r="DP123" s="248"/>
      <c r="DQ123" s="248"/>
      <c r="DR123" s="248"/>
      <c r="DS123" s="248"/>
      <c r="DT123" s="248"/>
      <c r="DU123" s="248"/>
      <c r="DV123" s="248"/>
      <c r="DW123" s="248"/>
      <c r="DX123" s="248"/>
      <c r="DY123" s="248"/>
      <c r="DZ123" s="248"/>
      <c r="EA123" s="248"/>
      <c r="EB123" s="248"/>
    </row>
    <row r="124" spans="1:253" s="35" customFormat="1">
      <c r="A124" s="4" t="str">
        <f t="shared" si="2"/>
        <v>KI_A                SP_CANHK</v>
      </c>
      <c r="B124" s="349"/>
      <c r="C124" s="248">
        <v>85</v>
      </c>
      <c r="D124" s="283" t="s">
        <v>605</v>
      </c>
      <c r="E124" s="283"/>
      <c r="F124" s="177" t="s">
        <v>1293</v>
      </c>
      <c r="G124" s="35" t="s">
        <v>2227</v>
      </c>
      <c r="H124" s="35" t="s">
        <v>610</v>
      </c>
      <c r="K124" s="32"/>
      <c r="L124" s="32"/>
      <c r="N124" s="35" t="s">
        <v>619</v>
      </c>
      <c r="O124" s="34" t="s">
        <v>1086</v>
      </c>
      <c r="P124" s="285" t="s">
        <v>1097</v>
      </c>
      <c r="Q124" s="59"/>
      <c r="R124" s="6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279"/>
      <c r="AI124" s="279" t="s">
        <v>1116</v>
      </c>
      <c r="AJ124" s="279"/>
      <c r="AK124" s="279" t="s">
        <v>538</v>
      </c>
      <c r="AL124" s="35">
        <v>85</v>
      </c>
      <c r="AM124" s="35" t="s">
        <v>1810</v>
      </c>
      <c r="AN124" s="35" t="s">
        <v>896</v>
      </c>
      <c r="AO124" s="35" t="s">
        <v>624</v>
      </c>
      <c r="AP124" s="34" t="s">
        <v>2254</v>
      </c>
      <c r="AQ124" s="35">
        <v>4</v>
      </c>
      <c r="AR124" s="35" t="s">
        <v>350</v>
      </c>
      <c r="AS124" s="35" t="s">
        <v>87</v>
      </c>
      <c r="AT124" s="35" t="s">
        <v>10</v>
      </c>
      <c r="AU124" s="35" t="s">
        <v>1690</v>
      </c>
      <c r="AV124" s="35" t="s">
        <v>1187</v>
      </c>
      <c r="AW124" s="34" t="s">
        <v>2227</v>
      </c>
      <c r="AX124" s="35">
        <v>1</v>
      </c>
      <c r="AY124" s="35" t="s">
        <v>628</v>
      </c>
      <c r="AZ124" s="35" t="s">
        <v>10</v>
      </c>
      <c r="BA124" s="35" t="s">
        <v>10</v>
      </c>
      <c r="BB124" s="35" t="s">
        <v>2384</v>
      </c>
      <c r="BC124" s="35" t="s">
        <v>1742</v>
      </c>
      <c r="BD124" s="35" t="s">
        <v>653</v>
      </c>
      <c r="BE124" s="35" t="s">
        <v>109</v>
      </c>
      <c r="BF124" s="35">
        <v>639</v>
      </c>
      <c r="BG124" s="35" t="s">
        <v>110</v>
      </c>
      <c r="BH124" s="35">
        <v>0.35</v>
      </c>
      <c r="BI124" s="35" t="s">
        <v>1755</v>
      </c>
      <c r="BJ124" s="35" t="s">
        <v>2374</v>
      </c>
      <c r="BK124" s="35" t="s">
        <v>2492</v>
      </c>
      <c r="BL124" s="35">
        <v>85</v>
      </c>
      <c r="CB124" s="248"/>
      <c r="CC124" s="248"/>
      <c r="CD124" s="248"/>
      <c r="CE124" s="248"/>
      <c r="CF124" s="248"/>
      <c r="CG124" s="248"/>
      <c r="CH124" s="248"/>
      <c r="CI124" s="248"/>
      <c r="CJ124" s="248"/>
      <c r="CK124" s="248"/>
      <c r="CL124" s="248"/>
      <c r="CM124" s="248"/>
      <c r="CN124" s="248"/>
      <c r="CO124" s="248"/>
      <c r="CP124" s="248"/>
      <c r="CQ124" s="248"/>
      <c r="CR124" s="248"/>
      <c r="CS124" s="248"/>
      <c r="CT124" s="248"/>
      <c r="CU124" s="248"/>
      <c r="CV124" s="248"/>
      <c r="CW124" s="248"/>
      <c r="CX124" s="248"/>
      <c r="CY124" s="248"/>
      <c r="CZ124" s="248"/>
      <c r="DA124" s="248"/>
      <c r="DB124" s="248"/>
      <c r="DC124" s="248"/>
      <c r="DD124" s="248"/>
      <c r="DE124" s="248"/>
      <c r="DF124" s="248"/>
      <c r="DG124" s="248"/>
      <c r="DH124" s="248"/>
      <c r="DI124" s="248"/>
      <c r="DJ124" s="248"/>
      <c r="DK124" s="248"/>
      <c r="DL124" s="248"/>
      <c r="DM124" s="248"/>
      <c r="DN124" s="248"/>
      <c r="DO124" s="248"/>
      <c r="DP124" s="248"/>
      <c r="DQ124" s="248"/>
      <c r="DR124" s="248"/>
      <c r="DS124" s="248"/>
      <c r="DT124" s="248"/>
      <c r="DU124" s="248"/>
      <c r="DV124" s="248"/>
      <c r="DW124" s="248"/>
      <c r="DX124" s="248"/>
      <c r="DY124" s="248"/>
      <c r="DZ124" s="248"/>
      <c r="EA124" s="248"/>
      <c r="EB124" s="248"/>
      <c r="EC124" s="32"/>
      <c r="ED124" s="32"/>
      <c r="EE124" s="32"/>
      <c r="EF124" s="32"/>
      <c r="EG124" s="32"/>
      <c r="EH124" s="32"/>
      <c r="EI124" s="32"/>
      <c r="EJ124" s="32"/>
      <c r="EK124" s="32"/>
      <c r="EL124" s="32"/>
      <c r="EM124" s="32"/>
      <c r="EN124" s="32"/>
      <c r="EO124" s="32"/>
      <c r="EP124" s="32"/>
      <c r="EQ124" s="32"/>
      <c r="ER124" s="32"/>
      <c r="ES124" s="32"/>
      <c r="ET124" s="32"/>
      <c r="EU124" s="32"/>
      <c r="EV124" s="32"/>
      <c r="EW124" s="32"/>
      <c r="EX124" s="32"/>
      <c r="EY124" s="32"/>
      <c r="EZ124" s="32"/>
      <c r="FA124" s="32"/>
      <c r="FB124" s="32"/>
      <c r="FC124" s="32"/>
      <c r="FD124" s="32"/>
      <c r="FE124" s="32"/>
      <c r="FF124" s="32"/>
      <c r="FG124" s="32"/>
      <c r="FH124" s="32"/>
      <c r="FI124" s="32"/>
      <c r="FJ124" s="32"/>
      <c r="FK124" s="32"/>
      <c r="FL124" s="32"/>
      <c r="FM124" s="32"/>
      <c r="FN124" s="32"/>
      <c r="FO124" s="32"/>
      <c r="FP124" s="32"/>
      <c r="FQ124" s="32"/>
      <c r="FR124" s="32"/>
      <c r="FS124" s="32"/>
      <c r="FT124" s="32"/>
      <c r="FU124" s="32"/>
      <c r="FV124" s="32"/>
      <c r="FW124" s="32"/>
      <c r="FX124" s="32"/>
      <c r="FY124" s="32"/>
      <c r="FZ124" s="32"/>
      <c r="GA124" s="32"/>
      <c r="GB124" s="32"/>
      <c r="GC124" s="32"/>
      <c r="GD124" s="32"/>
      <c r="GE124" s="32"/>
      <c r="GF124" s="32"/>
      <c r="GG124" s="32"/>
      <c r="GH124" s="32"/>
      <c r="GI124" s="32"/>
      <c r="GJ124" s="32"/>
      <c r="GK124" s="32"/>
      <c r="GL124" s="32"/>
      <c r="GM124" s="32"/>
      <c r="GN124" s="32"/>
      <c r="GO124" s="32"/>
      <c r="GP124" s="32"/>
      <c r="GQ124" s="32"/>
      <c r="GR124" s="32"/>
      <c r="GS124" s="32"/>
      <c r="GT124" s="32"/>
      <c r="GU124" s="32"/>
      <c r="GV124" s="32"/>
      <c r="GW124" s="32"/>
      <c r="GX124" s="32"/>
      <c r="GY124" s="32"/>
      <c r="GZ124" s="32"/>
      <c r="HA124" s="32"/>
      <c r="HB124" s="32"/>
      <c r="HC124" s="32"/>
      <c r="HD124" s="32"/>
      <c r="HE124" s="32"/>
      <c r="HF124" s="32"/>
      <c r="HG124" s="32"/>
      <c r="HH124" s="32"/>
      <c r="HI124" s="32"/>
      <c r="HJ124" s="32"/>
      <c r="HK124" s="32"/>
      <c r="HL124" s="32"/>
      <c r="HM124" s="32"/>
      <c r="HN124" s="32"/>
      <c r="HO124" s="32"/>
      <c r="HP124" s="32"/>
      <c r="HQ124" s="32"/>
      <c r="HR124" s="32"/>
      <c r="HS124" s="32"/>
      <c r="HT124" s="32"/>
      <c r="HU124" s="32"/>
      <c r="HV124" s="32"/>
      <c r="HW124" s="32"/>
      <c r="HX124" s="32"/>
      <c r="HY124" s="32"/>
      <c r="HZ124" s="32"/>
      <c r="IA124" s="32"/>
      <c r="IB124" s="32"/>
      <c r="IC124" s="32"/>
      <c r="ID124" s="32"/>
      <c r="IE124" s="32"/>
      <c r="IF124" s="32"/>
      <c r="IG124" s="32"/>
      <c r="IH124" s="32"/>
      <c r="II124" s="32"/>
      <c r="IJ124" s="32"/>
      <c r="IK124" s="32"/>
      <c r="IL124" s="32"/>
      <c r="IM124" s="32"/>
      <c r="IN124" s="32"/>
      <c r="IO124" s="32"/>
      <c r="IP124" s="32"/>
      <c r="IQ124" s="32"/>
      <c r="IR124" s="32"/>
      <c r="IS124" s="32"/>
    </row>
    <row r="125" spans="1:253" s="35" customFormat="1">
      <c r="A125" s="4" t="str">
        <f t="shared" si="2"/>
        <v>SBT_A               SP_CANHK</v>
      </c>
      <c r="B125" s="349"/>
      <c r="C125" s="248">
        <v>87</v>
      </c>
      <c r="D125" s="283" t="s">
        <v>605</v>
      </c>
      <c r="E125" s="283"/>
      <c r="F125" s="177" t="s">
        <v>1293</v>
      </c>
      <c r="G125" s="35" t="s">
        <v>2227</v>
      </c>
      <c r="H125" s="35" t="s">
        <v>610</v>
      </c>
      <c r="N125" s="35" t="s">
        <v>619</v>
      </c>
      <c r="O125" s="34" t="s">
        <v>1086</v>
      </c>
      <c r="P125" s="285" t="s">
        <v>1097</v>
      </c>
      <c r="Q125" s="58"/>
      <c r="R125" s="39"/>
      <c r="AG125" s="279"/>
      <c r="AI125" s="279" t="s">
        <v>1116</v>
      </c>
      <c r="AJ125" s="279"/>
      <c r="AK125" s="279" t="s">
        <v>538</v>
      </c>
      <c r="AL125" s="35">
        <v>87</v>
      </c>
      <c r="AM125" s="35" t="s">
        <v>1812</v>
      </c>
      <c r="AN125" s="35" t="s">
        <v>1697</v>
      </c>
      <c r="AO125" s="35" t="s">
        <v>654</v>
      </c>
      <c r="AP125" s="34" t="s">
        <v>2261</v>
      </c>
      <c r="AQ125" s="35">
        <v>4</v>
      </c>
      <c r="AR125" s="35" t="s">
        <v>1813</v>
      </c>
      <c r="AS125" s="35" t="s">
        <v>87</v>
      </c>
      <c r="AT125" s="35" t="s">
        <v>10</v>
      </c>
      <c r="AU125" s="35" t="s">
        <v>1690</v>
      </c>
      <c r="AV125" s="35" t="s">
        <v>1187</v>
      </c>
      <c r="AW125" s="34" t="s">
        <v>2227</v>
      </c>
      <c r="AX125" s="35">
        <v>1</v>
      </c>
      <c r="AY125" s="35" t="s">
        <v>628</v>
      </c>
      <c r="AZ125" s="35" t="s">
        <v>10</v>
      </c>
      <c r="BA125" s="35" t="s">
        <v>10</v>
      </c>
      <c r="BB125" s="35" t="s">
        <v>2384</v>
      </c>
      <c r="BC125" s="35" t="s">
        <v>1742</v>
      </c>
      <c r="BD125" s="35" t="s">
        <v>655</v>
      </c>
      <c r="BE125" s="35" t="s">
        <v>109</v>
      </c>
      <c r="BF125" s="35">
        <v>659</v>
      </c>
      <c r="BG125" s="35" t="s">
        <v>110</v>
      </c>
      <c r="BH125" s="35">
        <v>0.35</v>
      </c>
      <c r="BI125" s="35" t="s">
        <v>1755</v>
      </c>
      <c r="BJ125" s="35" t="s">
        <v>2374</v>
      </c>
      <c r="BK125" s="35" t="s">
        <v>2492</v>
      </c>
      <c r="BL125" s="35">
        <v>87</v>
      </c>
      <c r="CB125" s="248"/>
      <c r="CC125" s="248"/>
      <c r="CD125" s="248"/>
      <c r="CE125" s="248"/>
      <c r="CF125" s="248"/>
      <c r="CG125" s="248"/>
      <c r="CH125" s="248"/>
      <c r="CI125" s="248"/>
      <c r="CJ125" s="248"/>
      <c r="CK125" s="248"/>
      <c r="CL125" s="248"/>
      <c r="CM125" s="248"/>
      <c r="CN125" s="248"/>
      <c r="CO125" s="248"/>
      <c r="CP125" s="248"/>
      <c r="CQ125" s="248"/>
      <c r="CR125" s="248"/>
      <c r="CS125" s="248"/>
      <c r="CT125" s="248"/>
      <c r="CU125" s="248"/>
      <c r="CV125" s="248"/>
      <c r="CW125" s="248"/>
      <c r="CX125" s="248"/>
      <c r="CY125" s="248"/>
      <c r="CZ125" s="248"/>
      <c r="DA125" s="248"/>
      <c r="DB125" s="248"/>
      <c r="DC125" s="248"/>
      <c r="DD125" s="248"/>
      <c r="DE125" s="248"/>
      <c r="DF125" s="248"/>
      <c r="DG125" s="248"/>
      <c r="DH125" s="248"/>
      <c r="DI125" s="248"/>
      <c r="DJ125" s="248"/>
      <c r="DK125" s="248"/>
      <c r="DL125" s="248"/>
      <c r="DM125" s="248"/>
      <c r="DN125" s="248"/>
      <c r="DO125" s="248"/>
      <c r="DP125" s="248"/>
      <c r="DQ125" s="248"/>
      <c r="DR125" s="248"/>
      <c r="DS125" s="248"/>
      <c r="DT125" s="248"/>
      <c r="DU125" s="248"/>
      <c r="DV125" s="248"/>
      <c r="DW125" s="248"/>
      <c r="DX125" s="248"/>
      <c r="DY125" s="248"/>
      <c r="DZ125" s="248"/>
      <c r="EA125" s="248"/>
      <c r="EB125" s="248"/>
    </row>
    <row r="126" spans="1:253" s="35" customFormat="1">
      <c r="A126" s="4" t="str">
        <f t="shared" si="2"/>
        <v>HUD                 SP_CANHK</v>
      </c>
      <c r="B126" s="349"/>
      <c r="C126" s="248">
        <v>321001</v>
      </c>
      <c r="D126" s="283">
        <v>321</v>
      </c>
      <c r="F126" s="177" t="s">
        <v>1293</v>
      </c>
      <c r="G126" s="35" t="s">
        <v>2227</v>
      </c>
      <c r="H126" s="35" t="s">
        <v>610</v>
      </c>
      <c r="N126" s="35" t="s">
        <v>619</v>
      </c>
      <c r="O126" s="34" t="s">
        <v>1086</v>
      </c>
      <c r="P126" s="285" t="s">
        <v>1097</v>
      </c>
      <c r="Q126" s="58"/>
      <c r="R126" s="39"/>
      <c r="V126" s="39"/>
      <c r="AG126" s="279"/>
      <c r="AI126" s="279" t="s">
        <v>1116</v>
      </c>
      <c r="AJ126" s="279"/>
      <c r="AK126" s="279" t="s">
        <v>538</v>
      </c>
      <c r="AL126" s="35">
        <v>321001</v>
      </c>
      <c r="AM126" s="35" t="s">
        <v>2040</v>
      </c>
      <c r="AN126" s="35" t="s">
        <v>1277</v>
      </c>
      <c r="AO126" s="35" t="s">
        <v>1278</v>
      </c>
      <c r="AP126" s="34" t="s">
        <v>2293</v>
      </c>
      <c r="AQ126" s="35">
        <v>1</v>
      </c>
      <c r="AR126" s="35" t="s">
        <v>1279</v>
      </c>
      <c r="AS126" s="35" t="s">
        <v>87</v>
      </c>
      <c r="AT126" s="35" t="s">
        <v>10</v>
      </c>
      <c r="AU126" s="35" t="s">
        <v>1690</v>
      </c>
      <c r="AV126" s="35" t="s">
        <v>1187</v>
      </c>
      <c r="AW126" s="34" t="s">
        <v>2227</v>
      </c>
      <c r="AX126" s="35">
        <v>1</v>
      </c>
      <c r="AY126" s="35" t="s">
        <v>628</v>
      </c>
      <c r="AZ126" s="35" t="s">
        <v>10</v>
      </c>
      <c r="BA126" s="35" t="s">
        <v>10</v>
      </c>
      <c r="BB126" s="35" t="s">
        <v>2384</v>
      </c>
      <c r="BC126" s="35" t="s">
        <v>1742</v>
      </c>
      <c r="BD126" s="35" t="s">
        <v>1280</v>
      </c>
      <c r="BE126" s="35" t="s">
        <v>109</v>
      </c>
      <c r="BF126" s="35">
        <v>677</v>
      </c>
      <c r="BG126" s="35" t="s">
        <v>110</v>
      </c>
      <c r="BH126" s="35">
        <v>0.35</v>
      </c>
      <c r="BI126" s="35" t="s">
        <v>1755</v>
      </c>
      <c r="BJ126" s="35" t="s">
        <v>1275</v>
      </c>
      <c r="BK126" s="35">
        <v>321001</v>
      </c>
      <c r="CB126" s="248"/>
      <c r="CC126" s="248"/>
      <c r="CD126" s="248"/>
      <c r="CE126" s="248"/>
      <c r="CF126" s="248"/>
      <c r="CG126" s="248"/>
      <c r="CH126" s="248"/>
      <c r="CI126" s="248"/>
      <c r="CJ126" s="248"/>
      <c r="CK126" s="248"/>
      <c r="CL126" s="248"/>
      <c r="CM126" s="248"/>
      <c r="CN126" s="248"/>
      <c r="CO126" s="248"/>
      <c r="CP126" s="248"/>
      <c r="CQ126" s="248"/>
      <c r="CR126" s="248"/>
      <c r="CS126" s="248"/>
      <c r="CT126" s="248"/>
      <c r="CU126" s="248"/>
      <c r="CV126" s="248"/>
      <c r="CW126" s="248"/>
      <c r="CX126" s="248"/>
      <c r="CY126" s="248"/>
      <c r="CZ126" s="248"/>
      <c r="DA126" s="248"/>
      <c r="DB126" s="248"/>
      <c r="DC126" s="248"/>
      <c r="DD126" s="248"/>
      <c r="DE126" s="248"/>
      <c r="DF126" s="248"/>
      <c r="DG126" s="248"/>
      <c r="DH126" s="248"/>
      <c r="DI126" s="248"/>
      <c r="DJ126" s="248"/>
      <c r="DK126" s="248"/>
      <c r="DL126" s="248"/>
      <c r="DM126" s="248"/>
      <c r="DN126" s="248"/>
      <c r="DO126" s="248"/>
      <c r="DP126" s="248"/>
      <c r="DQ126" s="248"/>
      <c r="DR126" s="248"/>
      <c r="DS126" s="248"/>
      <c r="DT126" s="248"/>
      <c r="DU126" s="248"/>
      <c r="DV126" s="248"/>
      <c r="DW126" s="248"/>
      <c r="DX126" s="248"/>
      <c r="DY126" s="248"/>
      <c r="DZ126" s="248"/>
      <c r="EA126" s="248"/>
      <c r="EB126" s="248"/>
    </row>
    <row r="127" spans="1:253" s="4" customFormat="1">
      <c r="A127" s="4" t="str">
        <f t="shared" si="2"/>
        <v xml:space="preserve">                    </v>
      </c>
      <c r="B127" s="1"/>
      <c r="D127" s="6"/>
      <c r="N127" s="43"/>
      <c r="O127" s="260"/>
      <c r="P127" s="261"/>
      <c r="Q127" s="56"/>
      <c r="R127" s="33"/>
      <c r="AH127" s="42"/>
      <c r="AI127" s="42"/>
      <c r="AJ127" s="42"/>
      <c r="AK127" s="42"/>
      <c r="AP127" s="34"/>
      <c r="AW127" s="34"/>
      <c r="BP127" s="35"/>
    </row>
    <row r="128" spans="1:253" s="35" customFormat="1">
      <c r="A128" s="4" t="str">
        <f t="shared" si="2"/>
        <v>SP_AC31             KS_CPM_A</v>
      </c>
      <c r="B128" s="349"/>
      <c r="C128" s="248">
        <v>29005</v>
      </c>
      <c r="D128" s="283" t="s">
        <v>606</v>
      </c>
      <c r="F128" s="35" t="s">
        <v>1086</v>
      </c>
      <c r="G128" s="35" t="s">
        <v>2239</v>
      </c>
      <c r="H128" s="35" t="s">
        <v>610</v>
      </c>
      <c r="K128" s="32"/>
      <c r="N128" s="35" t="s">
        <v>537</v>
      </c>
      <c r="O128" s="34" t="s">
        <v>1097</v>
      </c>
      <c r="P128" s="34" t="s">
        <v>1086</v>
      </c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279"/>
      <c r="AI128" s="279" t="s">
        <v>1117</v>
      </c>
      <c r="AJ128" s="279"/>
      <c r="AK128" s="279" t="s">
        <v>539</v>
      </c>
      <c r="AL128" s="35">
        <v>29005</v>
      </c>
      <c r="AM128" s="35" t="s">
        <v>1868</v>
      </c>
      <c r="AN128" s="35" t="s">
        <v>1706</v>
      </c>
      <c r="AO128" s="35" t="s">
        <v>684</v>
      </c>
      <c r="AP128" s="34" t="s">
        <v>2239</v>
      </c>
      <c r="AQ128" s="35">
        <v>1</v>
      </c>
      <c r="AR128" s="35" t="s">
        <v>519</v>
      </c>
      <c r="AS128" s="35" t="s">
        <v>10</v>
      </c>
      <c r="AT128" s="35" t="s">
        <v>10</v>
      </c>
      <c r="AU128" s="35" t="s">
        <v>502</v>
      </c>
      <c r="AV128" s="35" t="s">
        <v>685</v>
      </c>
      <c r="AW128" s="34" t="s">
        <v>1870</v>
      </c>
      <c r="AX128" s="35">
        <v>13</v>
      </c>
      <c r="AY128" s="35" t="s">
        <v>1392</v>
      </c>
      <c r="AZ128" s="35" t="s">
        <v>241</v>
      </c>
      <c r="BA128" s="35" t="s">
        <v>10</v>
      </c>
      <c r="BB128" s="35" t="s">
        <v>2419</v>
      </c>
      <c r="BC128" s="35" t="s">
        <v>1742</v>
      </c>
      <c r="BD128" s="35" t="s">
        <v>10</v>
      </c>
      <c r="BE128" s="35" t="s">
        <v>10</v>
      </c>
      <c r="BF128" s="35">
        <v>1132</v>
      </c>
      <c r="BG128" s="35" t="s">
        <v>2420</v>
      </c>
      <c r="BH128" s="35">
        <v>0.5</v>
      </c>
      <c r="BI128" s="35" t="s">
        <v>1445</v>
      </c>
      <c r="BJ128" s="35" t="s">
        <v>678</v>
      </c>
      <c r="BK128" s="35" t="s">
        <v>680</v>
      </c>
      <c r="BL128" s="35" t="s">
        <v>681</v>
      </c>
      <c r="BM128" s="35" t="s">
        <v>682</v>
      </c>
      <c r="BN128" s="35" t="s">
        <v>2358</v>
      </c>
      <c r="BO128" s="35" t="s">
        <v>2359</v>
      </c>
      <c r="BP128" s="35">
        <v>29005</v>
      </c>
      <c r="CB128" s="248"/>
      <c r="CC128" s="248"/>
      <c r="CD128" s="248"/>
      <c r="CE128" s="248"/>
      <c r="CF128" s="248"/>
      <c r="CG128" s="248"/>
      <c r="CH128" s="248"/>
      <c r="CI128" s="248"/>
      <c r="CJ128" s="248"/>
      <c r="CK128" s="248"/>
      <c r="CL128" s="248"/>
      <c r="CM128" s="248"/>
      <c r="CN128" s="248"/>
      <c r="CO128" s="248"/>
      <c r="CP128" s="248"/>
      <c r="CQ128" s="248"/>
      <c r="CR128" s="248"/>
      <c r="CS128" s="248"/>
      <c r="CT128" s="248"/>
      <c r="CU128" s="248"/>
      <c r="CV128" s="248"/>
      <c r="CW128" s="248"/>
      <c r="CX128" s="248"/>
      <c r="CY128" s="248"/>
      <c r="CZ128" s="248"/>
      <c r="DA128" s="248"/>
      <c r="DB128" s="248"/>
      <c r="DC128" s="248"/>
      <c r="DD128" s="248"/>
      <c r="DE128" s="248"/>
      <c r="DF128" s="248"/>
      <c r="DG128" s="248"/>
      <c r="DH128" s="248"/>
      <c r="DI128" s="248"/>
      <c r="DJ128" s="248"/>
      <c r="DK128" s="248"/>
      <c r="DL128" s="248"/>
      <c r="DM128" s="248"/>
      <c r="DN128" s="248"/>
      <c r="DO128" s="248"/>
      <c r="DP128" s="248"/>
      <c r="DQ128" s="248"/>
      <c r="DR128" s="248"/>
      <c r="DS128" s="248"/>
      <c r="DT128" s="248"/>
      <c r="DU128" s="248"/>
      <c r="DV128" s="248"/>
      <c r="DW128" s="248"/>
      <c r="DX128" s="248"/>
      <c r="DY128" s="248"/>
      <c r="DZ128" s="32"/>
      <c r="EA128" s="32"/>
      <c r="EB128" s="32"/>
      <c r="EC128" s="32"/>
      <c r="ED128" s="32"/>
      <c r="EE128" s="32"/>
      <c r="EF128" s="32"/>
      <c r="EG128" s="32"/>
      <c r="EH128" s="32"/>
      <c r="EI128" s="32"/>
      <c r="EJ128" s="32"/>
      <c r="EK128" s="32"/>
      <c r="EL128" s="32"/>
      <c r="EM128" s="32"/>
      <c r="EN128" s="32"/>
      <c r="EO128" s="32"/>
      <c r="EP128" s="32"/>
      <c r="EQ128" s="32"/>
      <c r="ER128" s="32"/>
      <c r="ES128" s="32"/>
      <c r="ET128" s="32"/>
      <c r="EU128" s="32"/>
      <c r="EV128" s="32"/>
      <c r="EW128" s="32"/>
      <c r="EX128" s="32"/>
      <c r="EY128" s="32"/>
      <c r="EZ128" s="32"/>
      <c r="FA128" s="32"/>
      <c r="FB128" s="32"/>
      <c r="FC128" s="32"/>
      <c r="FD128" s="32"/>
      <c r="FE128" s="32"/>
      <c r="FF128" s="32"/>
      <c r="FG128" s="32"/>
      <c r="FH128" s="32"/>
      <c r="FI128" s="32"/>
      <c r="FJ128" s="32"/>
      <c r="FK128" s="32"/>
      <c r="FL128" s="32"/>
      <c r="FM128" s="32"/>
      <c r="FN128" s="32"/>
      <c r="FO128" s="32"/>
      <c r="FP128" s="32"/>
      <c r="FQ128" s="32"/>
      <c r="FR128" s="32"/>
      <c r="FS128" s="32"/>
      <c r="FT128" s="32"/>
      <c r="FU128" s="32"/>
      <c r="FV128" s="32"/>
      <c r="FW128" s="32"/>
      <c r="FX128" s="32"/>
      <c r="FY128" s="32"/>
      <c r="FZ128" s="32"/>
      <c r="GA128" s="32"/>
      <c r="GB128" s="32"/>
      <c r="GC128" s="32"/>
      <c r="GD128" s="32"/>
      <c r="GE128" s="32"/>
      <c r="GF128" s="32"/>
      <c r="GG128" s="32"/>
      <c r="GH128" s="32"/>
      <c r="GI128" s="32"/>
      <c r="GJ128" s="32"/>
      <c r="GK128" s="32"/>
      <c r="GL128" s="32"/>
      <c r="GM128" s="32"/>
      <c r="GN128" s="32"/>
      <c r="GO128" s="32"/>
      <c r="GP128" s="32"/>
      <c r="GQ128" s="32"/>
      <c r="GR128" s="32"/>
      <c r="GS128" s="32"/>
      <c r="GT128" s="32"/>
      <c r="GU128" s="32"/>
      <c r="GV128" s="32"/>
      <c r="GW128" s="32"/>
      <c r="GX128" s="32"/>
      <c r="GY128" s="32"/>
      <c r="GZ128" s="32"/>
      <c r="HA128" s="32"/>
      <c r="HB128" s="32"/>
      <c r="HC128" s="32"/>
      <c r="HD128" s="32"/>
      <c r="HE128" s="32"/>
      <c r="HF128" s="32"/>
      <c r="HG128" s="32"/>
      <c r="HH128" s="32"/>
      <c r="HI128" s="32"/>
      <c r="HJ128" s="32"/>
      <c r="HK128" s="32"/>
      <c r="HL128" s="32"/>
      <c r="HM128" s="32"/>
      <c r="HN128" s="32"/>
      <c r="HO128" s="32"/>
      <c r="HP128" s="32"/>
      <c r="HQ128" s="32"/>
      <c r="HR128" s="32"/>
      <c r="HS128" s="32"/>
      <c r="HT128" s="32"/>
      <c r="HU128" s="32"/>
      <c r="HV128" s="32"/>
      <c r="HW128" s="32"/>
      <c r="HX128" s="32"/>
      <c r="HY128" s="32"/>
      <c r="HZ128" s="32"/>
      <c r="IA128" s="32"/>
      <c r="IB128" s="32"/>
      <c r="IC128" s="32"/>
      <c r="ID128" s="32"/>
      <c r="IE128" s="32"/>
      <c r="IF128" s="32"/>
      <c r="IG128" s="32"/>
      <c r="IH128" s="32"/>
      <c r="II128" s="32"/>
      <c r="IJ128" s="32"/>
      <c r="IK128" s="32"/>
      <c r="IL128" s="32"/>
      <c r="IM128" s="32"/>
      <c r="IN128" s="32"/>
      <c r="IO128" s="32"/>
      <c r="IP128" s="32"/>
    </row>
    <row r="129" spans="1:129" s="35" customFormat="1">
      <c r="A129" s="4" t="str">
        <f t="shared" si="2"/>
        <v>SP_AC31             KS_CP_C</v>
      </c>
      <c r="B129" s="349"/>
      <c r="C129" s="248">
        <v>29020</v>
      </c>
      <c r="D129" s="283" t="s">
        <v>606</v>
      </c>
      <c r="F129" s="35" t="s">
        <v>1086</v>
      </c>
      <c r="G129" s="35" t="s">
        <v>2239</v>
      </c>
      <c r="H129" s="35" t="s">
        <v>610</v>
      </c>
      <c r="N129" s="35" t="s">
        <v>537</v>
      </c>
      <c r="O129" s="34" t="s">
        <v>1097</v>
      </c>
      <c r="P129" s="34" t="s">
        <v>1086</v>
      </c>
      <c r="AF129" s="279"/>
      <c r="AI129" s="279" t="s">
        <v>1117</v>
      </c>
      <c r="AJ129" s="279"/>
      <c r="AK129" s="279" t="s">
        <v>539</v>
      </c>
      <c r="AL129" s="35">
        <v>29020</v>
      </c>
      <c r="AM129" s="35" t="s">
        <v>1878</v>
      </c>
      <c r="AN129" s="35" t="s">
        <v>1706</v>
      </c>
      <c r="AO129" s="35" t="s">
        <v>684</v>
      </c>
      <c r="AP129" s="34" t="s">
        <v>2239</v>
      </c>
      <c r="AQ129" s="35">
        <v>1</v>
      </c>
      <c r="AR129" s="35" t="s">
        <v>519</v>
      </c>
      <c r="AS129" s="35" t="s">
        <v>10</v>
      </c>
      <c r="AT129" s="35" t="s">
        <v>10</v>
      </c>
      <c r="AU129" s="35" t="s">
        <v>959</v>
      </c>
      <c r="AV129" s="35" t="s">
        <v>683</v>
      </c>
      <c r="AW129" s="34" t="s">
        <v>1867</v>
      </c>
      <c r="AX129" s="35">
        <v>14</v>
      </c>
      <c r="AY129" s="35" t="s">
        <v>477</v>
      </c>
      <c r="AZ129" s="35" t="s">
        <v>692</v>
      </c>
      <c r="BA129" s="35" t="s">
        <v>10</v>
      </c>
      <c r="BB129" s="35" t="s">
        <v>2421</v>
      </c>
      <c r="BC129" s="35" t="s">
        <v>1742</v>
      </c>
      <c r="BD129" s="35" t="s">
        <v>10</v>
      </c>
      <c r="BE129" s="35" t="s">
        <v>10</v>
      </c>
      <c r="BF129" s="35">
        <v>1077</v>
      </c>
      <c r="BG129" s="35" t="s">
        <v>2420</v>
      </c>
      <c r="BH129" s="35">
        <v>0.35</v>
      </c>
      <c r="BI129" s="35" t="s">
        <v>1445</v>
      </c>
      <c r="BJ129" s="35" t="s">
        <v>678</v>
      </c>
      <c r="BK129" s="35" t="s">
        <v>680</v>
      </c>
      <c r="BL129" s="35" t="s">
        <v>681</v>
      </c>
      <c r="BM129" s="35" t="s">
        <v>682</v>
      </c>
      <c r="BN129" s="35" t="s">
        <v>2358</v>
      </c>
      <c r="BO129" s="35" t="s">
        <v>2359</v>
      </c>
      <c r="BP129" s="35">
        <v>29020</v>
      </c>
      <c r="CB129" s="248"/>
      <c r="CC129" s="248"/>
      <c r="CD129" s="248"/>
      <c r="CE129" s="248"/>
      <c r="CF129" s="248"/>
      <c r="CG129" s="248"/>
      <c r="CH129" s="248"/>
      <c r="CI129" s="248"/>
      <c r="CJ129" s="248"/>
      <c r="CK129" s="248"/>
      <c r="CL129" s="248"/>
      <c r="CM129" s="248"/>
      <c r="CN129" s="248"/>
      <c r="CO129" s="248"/>
      <c r="CP129" s="248"/>
      <c r="CQ129" s="248"/>
      <c r="CR129" s="248"/>
      <c r="CS129" s="248"/>
      <c r="CT129" s="248"/>
      <c r="CU129" s="248"/>
      <c r="CV129" s="248"/>
      <c r="CW129" s="248"/>
      <c r="CX129" s="248"/>
      <c r="CY129" s="248"/>
      <c r="CZ129" s="248"/>
      <c r="DA129" s="248"/>
      <c r="DB129" s="248"/>
      <c r="DC129" s="248"/>
      <c r="DD129" s="248"/>
      <c r="DE129" s="248"/>
      <c r="DF129" s="248"/>
      <c r="DG129" s="248"/>
      <c r="DH129" s="248"/>
      <c r="DI129" s="248"/>
      <c r="DJ129" s="248"/>
      <c r="DK129" s="248"/>
      <c r="DL129" s="248"/>
      <c r="DM129" s="248"/>
      <c r="DN129" s="248"/>
      <c r="DO129" s="248"/>
      <c r="DP129" s="248"/>
      <c r="DQ129" s="248"/>
      <c r="DR129" s="248"/>
      <c r="DS129" s="248"/>
      <c r="DT129" s="248"/>
      <c r="DU129" s="248"/>
      <c r="DV129" s="248"/>
      <c r="DW129" s="248"/>
      <c r="DX129" s="248"/>
      <c r="DY129" s="248"/>
    </row>
    <row r="130" spans="1:129" s="35" customFormat="1">
      <c r="A130" s="4" t="str">
        <f t="shared" si="2"/>
        <v>SP_AC31             SGKG_B</v>
      </c>
      <c r="B130" s="349"/>
      <c r="C130" s="248">
        <v>29067</v>
      </c>
      <c r="D130" s="283" t="s">
        <v>606</v>
      </c>
      <c r="F130" s="35" t="s">
        <v>1086</v>
      </c>
      <c r="G130" s="35" t="s">
        <v>2239</v>
      </c>
      <c r="H130" s="35" t="s">
        <v>610</v>
      </c>
      <c r="N130" s="35" t="s">
        <v>537</v>
      </c>
      <c r="O130" s="34" t="s">
        <v>1097</v>
      </c>
      <c r="P130" s="34" t="s">
        <v>1086</v>
      </c>
      <c r="AF130" s="279"/>
      <c r="AI130" s="279" t="s">
        <v>1117</v>
      </c>
      <c r="AJ130" s="279"/>
      <c r="AK130" s="279" t="s">
        <v>539</v>
      </c>
      <c r="AL130" s="35">
        <v>29067</v>
      </c>
      <c r="AM130" s="35" t="s">
        <v>1476</v>
      </c>
      <c r="AN130" s="35" t="s">
        <v>1706</v>
      </c>
      <c r="AO130" s="35" t="s">
        <v>684</v>
      </c>
      <c r="AP130" s="34" t="s">
        <v>2239</v>
      </c>
      <c r="AQ130" s="35">
        <v>1</v>
      </c>
      <c r="AR130" s="35" t="s">
        <v>519</v>
      </c>
      <c r="AS130" s="35" t="s">
        <v>10</v>
      </c>
      <c r="AT130" s="35" t="s">
        <v>10</v>
      </c>
      <c r="AU130" s="35" t="s">
        <v>1701</v>
      </c>
      <c r="AV130" s="35" t="s">
        <v>656</v>
      </c>
      <c r="AW130" s="34" t="s">
        <v>2262</v>
      </c>
      <c r="AX130" s="35">
        <v>20</v>
      </c>
      <c r="AY130" s="35" t="s">
        <v>464</v>
      </c>
      <c r="AZ130" s="35" t="s">
        <v>77</v>
      </c>
      <c r="BA130" s="35" t="s">
        <v>10</v>
      </c>
      <c r="BB130" s="35" t="s">
        <v>2419</v>
      </c>
      <c r="BC130" s="35" t="s">
        <v>1742</v>
      </c>
      <c r="BD130" s="35" t="s">
        <v>10</v>
      </c>
      <c r="BE130" s="35" t="s">
        <v>10</v>
      </c>
      <c r="BF130" s="35">
        <v>1130</v>
      </c>
      <c r="BG130" s="35" t="s">
        <v>2420</v>
      </c>
      <c r="BH130" s="35">
        <v>0.5</v>
      </c>
      <c r="BI130" s="35" t="s">
        <v>1445</v>
      </c>
      <c r="BJ130" s="35" t="s">
        <v>678</v>
      </c>
      <c r="BK130" s="35" t="s">
        <v>680</v>
      </c>
      <c r="BL130" s="35" t="s">
        <v>681</v>
      </c>
      <c r="BM130" s="35" t="s">
        <v>682</v>
      </c>
      <c r="BN130" s="35" t="s">
        <v>2358</v>
      </c>
      <c r="BO130" s="35" t="s">
        <v>2359</v>
      </c>
      <c r="BP130" s="35">
        <v>29067</v>
      </c>
      <c r="CB130" s="248"/>
      <c r="CC130" s="248"/>
      <c r="CD130" s="248"/>
      <c r="CE130" s="248"/>
      <c r="CF130" s="248"/>
      <c r="CG130" s="248"/>
      <c r="CH130" s="248"/>
      <c r="CI130" s="248"/>
      <c r="CJ130" s="248"/>
      <c r="CK130" s="248"/>
      <c r="CL130" s="248"/>
      <c r="CM130" s="248"/>
      <c r="CN130" s="248"/>
      <c r="CO130" s="248"/>
      <c r="CP130" s="248"/>
      <c r="CQ130" s="248"/>
      <c r="CR130" s="248"/>
      <c r="CS130" s="248"/>
      <c r="CT130" s="248"/>
      <c r="CU130" s="248"/>
      <c r="CV130" s="248"/>
      <c r="CW130" s="248"/>
      <c r="CX130" s="248"/>
      <c r="CY130" s="248"/>
      <c r="CZ130" s="248"/>
      <c r="DA130" s="248"/>
      <c r="DB130" s="248"/>
      <c r="DC130" s="248"/>
      <c r="DD130" s="248"/>
      <c r="DE130" s="248"/>
      <c r="DF130" s="248"/>
      <c r="DG130" s="248"/>
      <c r="DH130" s="248"/>
      <c r="DI130" s="248"/>
      <c r="DJ130" s="248"/>
      <c r="DK130" s="248"/>
      <c r="DL130" s="248"/>
      <c r="DM130" s="248"/>
      <c r="DN130" s="248"/>
      <c r="DO130" s="248"/>
      <c r="DP130" s="248"/>
      <c r="DQ130" s="248"/>
      <c r="DR130" s="248"/>
      <c r="DS130" s="248"/>
      <c r="DT130" s="248"/>
      <c r="DU130" s="248"/>
      <c r="DV130" s="248"/>
      <c r="DW130" s="248"/>
      <c r="DX130" s="248"/>
      <c r="DY130" s="248"/>
    </row>
    <row r="131" spans="1:129" s="35" customFormat="1">
      <c r="A131" s="4" t="str">
        <f t="shared" si="2"/>
        <v>ASOM_D              SP_AC31</v>
      </c>
      <c r="B131" s="349"/>
      <c r="C131" s="248">
        <v>29068</v>
      </c>
      <c r="D131" s="283" t="s">
        <v>606</v>
      </c>
      <c r="F131" s="35" t="s">
        <v>1086</v>
      </c>
      <c r="G131" s="35" t="s">
        <v>2239</v>
      </c>
      <c r="H131" s="35" t="s">
        <v>610</v>
      </c>
      <c r="N131" s="35" t="s">
        <v>537</v>
      </c>
      <c r="O131" s="34" t="s">
        <v>1086</v>
      </c>
      <c r="P131" s="285" t="s">
        <v>1097</v>
      </c>
      <c r="AF131" s="279"/>
      <c r="AI131" s="279" t="s">
        <v>1117</v>
      </c>
      <c r="AJ131" s="279"/>
      <c r="AK131" s="279" t="s">
        <v>539</v>
      </c>
      <c r="AL131" s="35">
        <v>29068</v>
      </c>
      <c r="AM131" s="35" t="s">
        <v>1477</v>
      </c>
      <c r="AN131" s="35" t="s">
        <v>1704</v>
      </c>
      <c r="AO131" s="35" t="s">
        <v>712</v>
      </c>
      <c r="AP131" s="34" t="s">
        <v>2274</v>
      </c>
      <c r="AQ131" s="35">
        <v>1</v>
      </c>
      <c r="AR131" s="35" t="s">
        <v>915</v>
      </c>
      <c r="AS131" s="35" t="s">
        <v>87</v>
      </c>
      <c r="AT131" s="35" t="s">
        <v>10</v>
      </c>
      <c r="AU131" s="35" t="s">
        <v>1706</v>
      </c>
      <c r="AV131" s="35" t="s">
        <v>684</v>
      </c>
      <c r="AW131" s="34" t="s">
        <v>2239</v>
      </c>
      <c r="AX131" s="35">
        <v>1</v>
      </c>
      <c r="AY131" s="35" t="s">
        <v>519</v>
      </c>
      <c r="AZ131" s="35" t="s">
        <v>10</v>
      </c>
      <c r="BA131" s="35" t="s">
        <v>10</v>
      </c>
      <c r="BB131" s="35" t="s">
        <v>2421</v>
      </c>
      <c r="BC131" s="35" t="s">
        <v>1742</v>
      </c>
      <c r="BD131" s="35" t="s">
        <v>10</v>
      </c>
      <c r="BE131" s="35" t="s">
        <v>10</v>
      </c>
      <c r="BF131" s="35">
        <v>1078</v>
      </c>
      <c r="BG131" s="35" t="s">
        <v>2420</v>
      </c>
      <c r="BH131" s="35">
        <v>0.35</v>
      </c>
      <c r="BI131" s="35" t="s">
        <v>1445</v>
      </c>
      <c r="BJ131" s="35" t="s">
        <v>678</v>
      </c>
      <c r="BK131" s="35" t="s">
        <v>680</v>
      </c>
      <c r="BL131" s="35" t="s">
        <v>681</v>
      </c>
      <c r="BM131" s="35" t="s">
        <v>682</v>
      </c>
      <c r="BN131" s="35" t="s">
        <v>2358</v>
      </c>
      <c r="BO131" s="35" t="s">
        <v>2359</v>
      </c>
      <c r="BP131" s="35">
        <v>29068</v>
      </c>
      <c r="CB131" s="248"/>
      <c r="CC131" s="248"/>
      <c r="CD131" s="248"/>
      <c r="CE131" s="248"/>
      <c r="CF131" s="248"/>
      <c r="CG131" s="248"/>
      <c r="CH131" s="248"/>
      <c r="CI131" s="248"/>
      <c r="CJ131" s="248"/>
      <c r="CK131" s="248"/>
      <c r="CL131" s="248"/>
      <c r="CM131" s="248"/>
      <c r="CN131" s="248"/>
      <c r="CO131" s="248"/>
      <c r="CP131" s="248"/>
      <c r="CQ131" s="248"/>
      <c r="CR131" s="248"/>
      <c r="CS131" s="248"/>
      <c r="CT131" s="248"/>
      <c r="CU131" s="248"/>
      <c r="CV131" s="248"/>
      <c r="CW131" s="248"/>
      <c r="CX131" s="248"/>
      <c r="CY131" s="248"/>
      <c r="CZ131" s="248"/>
      <c r="DA131" s="248"/>
      <c r="DB131" s="248"/>
      <c r="DC131" s="248"/>
      <c r="DD131" s="248"/>
      <c r="DE131" s="248"/>
      <c r="DF131" s="248"/>
      <c r="DG131" s="248"/>
      <c r="DH131" s="248"/>
      <c r="DI131" s="248"/>
      <c r="DJ131" s="248"/>
      <c r="DK131" s="248"/>
      <c r="DL131" s="248"/>
      <c r="DM131" s="248"/>
      <c r="DN131" s="248"/>
      <c r="DO131" s="248"/>
      <c r="DP131" s="248"/>
      <c r="DQ131" s="248"/>
      <c r="DR131" s="248"/>
      <c r="DS131" s="248"/>
      <c r="DT131" s="248"/>
      <c r="DU131" s="248"/>
      <c r="DV131" s="248"/>
      <c r="DW131" s="248"/>
      <c r="DX131" s="248"/>
      <c r="DY131" s="248"/>
    </row>
    <row r="132" spans="1:129" s="35" customFormat="1">
      <c r="A132" s="4" t="str">
        <f t="shared" si="2"/>
        <v>ASOM_C              SP_AC31</v>
      </c>
      <c r="B132" s="349"/>
      <c r="C132" s="248">
        <v>29069</v>
      </c>
      <c r="D132" s="283" t="s">
        <v>606</v>
      </c>
      <c r="F132" s="35" t="s">
        <v>1086</v>
      </c>
      <c r="G132" s="35" t="s">
        <v>2239</v>
      </c>
      <c r="H132" s="35" t="s">
        <v>610</v>
      </c>
      <c r="N132" s="35" t="s">
        <v>537</v>
      </c>
      <c r="O132" s="34" t="s">
        <v>1086</v>
      </c>
      <c r="P132" s="285" t="s">
        <v>1097</v>
      </c>
      <c r="AF132" s="279"/>
      <c r="AI132" s="279" t="s">
        <v>1117</v>
      </c>
      <c r="AJ132" s="279"/>
      <c r="AK132" s="279" t="s">
        <v>539</v>
      </c>
      <c r="AL132" s="35">
        <v>29069</v>
      </c>
      <c r="AM132" s="35" t="s">
        <v>1478</v>
      </c>
      <c r="AN132" s="35" t="s">
        <v>1704</v>
      </c>
      <c r="AO132" s="35" t="s">
        <v>713</v>
      </c>
      <c r="AP132" s="34" t="s">
        <v>2275</v>
      </c>
      <c r="AQ132" s="35">
        <v>1</v>
      </c>
      <c r="AR132" s="35" t="s">
        <v>686</v>
      </c>
      <c r="AS132" s="35" t="s">
        <v>87</v>
      </c>
      <c r="AT132" s="35" t="s">
        <v>10</v>
      </c>
      <c r="AU132" s="35" t="s">
        <v>1706</v>
      </c>
      <c r="AV132" s="35" t="s">
        <v>684</v>
      </c>
      <c r="AW132" s="34" t="s">
        <v>2239</v>
      </c>
      <c r="AX132" s="35">
        <v>1</v>
      </c>
      <c r="AY132" s="35" t="s">
        <v>519</v>
      </c>
      <c r="AZ132" s="35" t="s">
        <v>10</v>
      </c>
      <c r="BA132" s="35" t="s">
        <v>10</v>
      </c>
      <c r="BB132" s="35" t="s">
        <v>2421</v>
      </c>
      <c r="BC132" s="35" t="s">
        <v>1742</v>
      </c>
      <c r="BD132" s="35" t="s">
        <v>10</v>
      </c>
      <c r="BE132" s="35" t="s">
        <v>10</v>
      </c>
      <c r="BF132" s="35">
        <v>1018</v>
      </c>
      <c r="BG132" s="35" t="s">
        <v>2420</v>
      </c>
      <c r="BH132" s="35">
        <v>0.35</v>
      </c>
      <c r="BI132" s="35" t="s">
        <v>1445</v>
      </c>
      <c r="BJ132" s="35" t="s">
        <v>678</v>
      </c>
      <c r="BK132" s="35" t="s">
        <v>680</v>
      </c>
      <c r="BL132" s="35" t="s">
        <v>681</v>
      </c>
      <c r="BM132" s="35" t="s">
        <v>682</v>
      </c>
      <c r="BN132" s="35" t="s">
        <v>2358</v>
      </c>
      <c r="BO132" s="35" t="s">
        <v>2359</v>
      </c>
      <c r="BP132" s="35">
        <v>29069</v>
      </c>
      <c r="CB132" s="248"/>
      <c r="CC132" s="248"/>
      <c r="CD132" s="248"/>
      <c r="CE132" s="248"/>
      <c r="CF132" s="248"/>
      <c r="CG132" s="248"/>
      <c r="CH132" s="248"/>
      <c r="CI132" s="248"/>
      <c r="CJ132" s="248"/>
      <c r="CK132" s="248"/>
      <c r="CL132" s="248"/>
      <c r="CM132" s="248"/>
      <c r="CN132" s="248"/>
      <c r="CO132" s="248"/>
      <c r="CP132" s="248"/>
      <c r="CQ132" s="248"/>
      <c r="CR132" s="248"/>
      <c r="CS132" s="248"/>
      <c r="CT132" s="248"/>
      <c r="CU132" s="248"/>
      <c r="CV132" s="248"/>
      <c r="CW132" s="248"/>
      <c r="CX132" s="248"/>
      <c r="CY132" s="248"/>
      <c r="CZ132" s="248"/>
      <c r="DA132" s="248"/>
      <c r="DB132" s="248"/>
      <c r="DC132" s="248"/>
      <c r="DD132" s="248"/>
      <c r="DE132" s="248"/>
      <c r="DF132" s="248"/>
      <c r="DG132" s="248"/>
      <c r="DH132" s="248"/>
      <c r="DI132" s="248"/>
      <c r="DJ132" s="248"/>
      <c r="DK132" s="248"/>
      <c r="DL132" s="248"/>
      <c r="DM132" s="248"/>
      <c r="DN132" s="248"/>
      <c r="DO132" s="248"/>
      <c r="DP132" s="248"/>
      <c r="DQ132" s="248"/>
      <c r="DR132" s="248"/>
      <c r="DS132" s="248"/>
      <c r="DT132" s="248"/>
      <c r="DU132" s="248"/>
      <c r="DV132" s="248"/>
      <c r="DW132" s="248"/>
      <c r="DX132" s="248"/>
      <c r="DY132" s="248"/>
    </row>
    <row r="133" spans="1:129" s="35" customFormat="1">
      <c r="A133" s="4" t="str">
        <f t="shared" si="2"/>
        <v>ASOM_B              SP_AC31</v>
      </c>
      <c r="B133" s="349"/>
      <c r="C133" s="248">
        <v>29070</v>
      </c>
      <c r="D133" s="283" t="s">
        <v>606</v>
      </c>
      <c r="F133" s="35" t="s">
        <v>1086</v>
      </c>
      <c r="G133" s="35" t="s">
        <v>2239</v>
      </c>
      <c r="H133" s="35" t="s">
        <v>610</v>
      </c>
      <c r="N133" s="35" t="s">
        <v>537</v>
      </c>
      <c r="O133" s="34" t="s">
        <v>1086</v>
      </c>
      <c r="P133" s="285" t="s">
        <v>1097</v>
      </c>
      <c r="AF133" s="279"/>
      <c r="AI133" s="279" t="s">
        <v>1117</v>
      </c>
      <c r="AJ133" s="279"/>
      <c r="AK133" s="279" t="s">
        <v>539</v>
      </c>
      <c r="AL133" s="35">
        <v>29070</v>
      </c>
      <c r="AM133" s="35" t="s">
        <v>1479</v>
      </c>
      <c r="AN133" s="35" t="s">
        <v>1704</v>
      </c>
      <c r="AO133" s="35" t="s">
        <v>705</v>
      </c>
      <c r="AP133" s="34" t="s">
        <v>2271</v>
      </c>
      <c r="AQ133" s="35">
        <v>1</v>
      </c>
      <c r="AR133" s="35" t="s">
        <v>1898</v>
      </c>
      <c r="AS133" s="35" t="s">
        <v>87</v>
      </c>
      <c r="AT133" s="35" t="s">
        <v>10</v>
      </c>
      <c r="AU133" s="35" t="s">
        <v>1706</v>
      </c>
      <c r="AV133" s="35" t="s">
        <v>684</v>
      </c>
      <c r="AW133" s="34" t="s">
        <v>2239</v>
      </c>
      <c r="AX133" s="35">
        <v>1</v>
      </c>
      <c r="AY133" s="35" t="s">
        <v>519</v>
      </c>
      <c r="AZ133" s="35" t="s">
        <v>10</v>
      </c>
      <c r="BA133" s="35" t="s">
        <v>10</v>
      </c>
      <c r="BB133" s="35" t="s">
        <v>2421</v>
      </c>
      <c r="BC133" s="35" t="s">
        <v>1742</v>
      </c>
      <c r="BD133" s="35" t="s">
        <v>10</v>
      </c>
      <c r="BE133" s="35" t="s">
        <v>10</v>
      </c>
      <c r="BF133" s="35">
        <v>569</v>
      </c>
      <c r="BG133" s="35" t="s">
        <v>2420</v>
      </c>
      <c r="BH133" s="35">
        <v>0.35</v>
      </c>
      <c r="BI133" s="35" t="s">
        <v>1445</v>
      </c>
      <c r="BJ133" s="35" t="s">
        <v>678</v>
      </c>
      <c r="BK133" s="35" t="s">
        <v>680</v>
      </c>
      <c r="BL133" s="35" t="s">
        <v>681</v>
      </c>
      <c r="BM133" s="35" t="s">
        <v>682</v>
      </c>
      <c r="BN133" s="35" t="s">
        <v>2358</v>
      </c>
      <c r="BO133" s="35" t="s">
        <v>2359</v>
      </c>
      <c r="BP133" s="35">
        <v>29070</v>
      </c>
      <c r="CB133" s="248"/>
      <c r="CC133" s="248"/>
      <c r="CD133" s="248"/>
      <c r="CE133" s="248"/>
      <c r="CF133" s="248"/>
      <c r="CG133" s="248"/>
      <c r="CH133" s="248"/>
      <c r="CI133" s="248"/>
      <c r="CJ133" s="248"/>
      <c r="CK133" s="248"/>
      <c r="CL133" s="248"/>
      <c r="CM133" s="248"/>
      <c r="CN133" s="248"/>
      <c r="CO133" s="248"/>
      <c r="CP133" s="248"/>
      <c r="CQ133" s="248"/>
      <c r="CR133" s="248"/>
      <c r="CS133" s="248"/>
      <c r="CT133" s="248"/>
      <c r="CU133" s="248"/>
      <c r="CV133" s="248"/>
      <c r="CW133" s="248"/>
      <c r="CX133" s="248"/>
      <c r="CY133" s="248"/>
      <c r="CZ133" s="248"/>
      <c r="DA133" s="248"/>
      <c r="DB133" s="248"/>
      <c r="DC133" s="248"/>
      <c r="DD133" s="248"/>
      <c r="DE133" s="248"/>
      <c r="DF133" s="248"/>
      <c r="DG133" s="248"/>
      <c r="DH133" s="248"/>
      <c r="DI133" s="248"/>
      <c r="DJ133" s="248"/>
      <c r="DK133" s="248"/>
      <c r="DL133" s="248"/>
      <c r="DM133" s="248"/>
      <c r="DN133" s="248"/>
      <c r="DO133" s="248"/>
      <c r="DP133" s="248"/>
      <c r="DQ133" s="248"/>
      <c r="DR133" s="248"/>
      <c r="DS133" s="248"/>
      <c r="DT133" s="248"/>
      <c r="DU133" s="248"/>
      <c r="DV133" s="248"/>
      <c r="DW133" s="248"/>
      <c r="DX133" s="248"/>
      <c r="DY133" s="248"/>
    </row>
    <row r="134" spans="1:129" s="35" customFormat="1">
      <c r="A134" s="4" t="str">
        <f t="shared" si="2"/>
        <v>ASOM_A              SP_AC31</v>
      </c>
      <c r="B134" s="349"/>
      <c r="C134" s="248">
        <v>29071</v>
      </c>
      <c r="D134" s="283" t="s">
        <v>606</v>
      </c>
      <c r="F134" s="35" t="s">
        <v>1086</v>
      </c>
      <c r="G134" s="35" t="s">
        <v>2239</v>
      </c>
      <c r="H134" s="35" t="s">
        <v>610</v>
      </c>
      <c r="N134" s="35" t="s">
        <v>537</v>
      </c>
      <c r="O134" s="34" t="s">
        <v>1086</v>
      </c>
      <c r="P134" s="285" t="s">
        <v>1097</v>
      </c>
      <c r="AF134" s="279"/>
      <c r="AI134" s="279" t="s">
        <v>1117</v>
      </c>
      <c r="AJ134" s="279"/>
      <c r="AK134" s="279" t="s">
        <v>539</v>
      </c>
      <c r="AL134" s="35">
        <v>29071</v>
      </c>
      <c r="AM134" s="35" t="s">
        <v>1480</v>
      </c>
      <c r="AN134" s="35" t="s">
        <v>1704</v>
      </c>
      <c r="AO134" s="35" t="s">
        <v>702</v>
      </c>
      <c r="AP134" s="34" t="s">
        <v>2270</v>
      </c>
      <c r="AQ134" s="35">
        <v>1</v>
      </c>
      <c r="AR134" s="35" t="s">
        <v>1069</v>
      </c>
      <c r="AS134" s="35" t="s">
        <v>87</v>
      </c>
      <c r="AT134" s="35" t="s">
        <v>10</v>
      </c>
      <c r="AU134" s="35" t="s">
        <v>1706</v>
      </c>
      <c r="AV134" s="35" t="s">
        <v>684</v>
      </c>
      <c r="AW134" s="34" t="s">
        <v>2239</v>
      </c>
      <c r="AX134" s="35">
        <v>1</v>
      </c>
      <c r="AY134" s="35" t="s">
        <v>519</v>
      </c>
      <c r="AZ134" s="35" t="s">
        <v>10</v>
      </c>
      <c r="BA134" s="35" t="s">
        <v>10</v>
      </c>
      <c r="BB134" s="35" t="s">
        <v>2421</v>
      </c>
      <c r="BC134" s="35" t="s">
        <v>1742</v>
      </c>
      <c r="BD134" s="35" t="s">
        <v>10</v>
      </c>
      <c r="BE134" s="35" t="s">
        <v>10</v>
      </c>
      <c r="BF134" s="35">
        <v>509</v>
      </c>
      <c r="BG134" s="35" t="s">
        <v>2420</v>
      </c>
      <c r="BH134" s="35">
        <v>0.35</v>
      </c>
      <c r="BI134" s="35" t="s">
        <v>1445</v>
      </c>
      <c r="BJ134" s="35" t="s">
        <v>678</v>
      </c>
      <c r="BK134" s="35" t="s">
        <v>680</v>
      </c>
      <c r="BL134" s="35" t="s">
        <v>681</v>
      </c>
      <c r="BM134" s="35" t="s">
        <v>682</v>
      </c>
      <c r="BN134" s="35" t="s">
        <v>2358</v>
      </c>
      <c r="BO134" s="35" t="s">
        <v>2359</v>
      </c>
      <c r="BP134" s="35">
        <v>29071</v>
      </c>
      <c r="CB134" s="248"/>
      <c r="CC134" s="248"/>
      <c r="CD134" s="248"/>
      <c r="CE134" s="248"/>
      <c r="CF134" s="248"/>
      <c r="CG134" s="248"/>
      <c r="CH134" s="248"/>
      <c r="CI134" s="248"/>
      <c r="CJ134" s="248"/>
      <c r="CK134" s="248"/>
      <c r="CL134" s="248"/>
      <c r="CM134" s="248"/>
      <c r="CN134" s="248"/>
      <c r="CO134" s="248"/>
      <c r="CP134" s="248"/>
      <c r="CQ134" s="248"/>
      <c r="CR134" s="248"/>
      <c r="CS134" s="248"/>
      <c r="CT134" s="248"/>
      <c r="CU134" s="248"/>
      <c r="CV134" s="248"/>
      <c r="CW134" s="248"/>
      <c r="CX134" s="248"/>
      <c r="CY134" s="248"/>
      <c r="CZ134" s="248"/>
      <c r="DA134" s="248"/>
      <c r="DB134" s="248"/>
      <c r="DC134" s="248"/>
      <c r="DD134" s="248"/>
      <c r="DE134" s="248"/>
      <c r="DF134" s="248"/>
      <c r="DG134" s="248"/>
      <c r="DH134" s="248"/>
      <c r="DI134" s="248"/>
      <c r="DJ134" s="248"/>
      <c r="DK134" s="248"/>
      <c r="DL134" s="248"/>
      <c r="DM134" s="248"/>
      <c r="DN134" s="248"/>
      <c r="DO134" s="248"/>
      <c r="DP134" s="248"/>
      <c r="DQ134" s="248"/>
      <c r="DR134" s="248"/>
      <c r="DS134" s="248"/>
      <c r="DT134" s="248"/>
      <c r="DU134" s="248"/>
      <c r="DV134" s="248"/>
      <c r="DW134" s="248"/>
      <c r="DX134" s="248"/>
      <c r="DY134" s="248"/>
    </row>
    <row r="135" spans="1:129" s="4" customFormat="1">
      <c r="A135" s="4" t="str">
        <f t="shared" si="2"/>
        <v xml:space="preserve">                    </v>
      </c>
      <c r="B135" s="1"/>
      <c r="D135" s="6"/>
      <c r="N135" s="43"/>
      <c r="O135" s="260"/>
      <c r="P135" s="261"/>
      <c r="Q135" s="56"/>
      <c r="R135" s="33"/>
      <c r="AH135" s="42"/>
      <c r="AI135" s="42"/>
      <c r="AJ135" s="42"/>
      <c r="AK135" s="42"/>
      <c r="AP135" s="34"/>
      <c r="AW135" s="34"/>
    </row>
    <row r="136" spans="1:129" s="4" customFormat="1">
      <c r="A136" s="4" t="str">
        <f t="shared" si="2"/>
        <v>SGKG_B              SP_ACLIN5</v>
      </c>
      <c r="B136" s="1"/>
      <c r="C136" s="4">
        <v>167</v>
      </c>
      <c r="D136" s="6" t="s">
        <v>605</v>
      </c>
      <c r="E136" s="6"/>
      <c r="F136" s="4" t="s">
        <v>1086</v>
      </c>
      <c r="G136" s="4" t="s">
        <v>2237</v>
      </c>
      <c r="H136" s="43" t="s">
        <v>609</v>
      </c>
      <c r="I136" s="43"/>
      <c r="N136" s="43" t="s">
        <v>537</v>
      </c>
      <c r="O136" s="260" t="s">
        <v>1086</v>
      </c>
      <c r="P136" s="260" t="s">
        <v>1086</v>
      </c>
      <c r="Q136" s="56" t="s">
        <v>523</v>
      </c>
      <c r="R136" s="33"/>
      <c r="AH136" s="42"/>
      <c r="AI136" s="42" t="s">
        <v>1117</v>
      </c>
      <c r="AJ136" s="42"/>
      <c r="AK136" s="42" t="s">
        <v>539</v>
      </c>
      <c r="AL136" s="4">
        <v>167</v>
      </c>
      <c r="AM136" s="4" t="s">
        <v>1849</v>
      </c>
      <c r="AN136" s="4" t="s">
        <v>1701</v>
      </c>
      <c r="AO136" s="4" t="s">
        <v>656</v>
      </c>
      <c r="AP136" s="34" t="s">
        <v>2262</v>
      </c>
      <c r="AQ136" s="4">
        <v>17</v>
      </c>
      <c r="AR136" s="4" t="s">
        <v>464</v>
      </c>
      <c r="AS136" s="4" t="s">
        <v>218</v>
      </c>
      <c r="AT136" s="4" t="s">
        <v>10</v>
      </c>
      <c r="AU136" s="4" t="s">
        <v>1727</v>
      </c>
      <c r="AV136" s="4" t="s">
        <v>671</v>
      </c>
      <c r="AW136" s="34" t="s">
        <v>2237</v>
      </c>
      <c r="AX136" s="4">
        <v>1</v>
      </c>
      <c r="AY136" s="4" t="s">
        <v>497</v>
      </c>
      <c r="AZ136" s="4" t="s">
        <v>10</v>
      </c>
      <c r="BA136" s="4" t="s">
        <v>10</v>
      </c>
      <c r="BB136" s="4" t="s">
        <v>484</v>
      </c>
      <c r="BC136" s="4" t="s">
        <v>1742</v>
      </c>
      <c r="BD136" s="4" t="s">
        <v>10</v>
      </c>
      <c r="BE136" s="4" t="s">
        <v>10</v>
      </c>
      <c r="BF136" s="4">
        <v>788</v>
      </c>
      <c r="BG136" s="4" t="s">
        <v>80</v>
      </c>
      <c r="BH136" s="4">
        <v>0.13</v>
      </c>
      <c r="BI136" s="4" t="s">
        <v>1851</v>
      </c>
      <c r="BJ136" s="4" t="s">
        <v>2374</v>
      </c>
      <c r="BK136" s="35" t="s">
        <v>2492</v>
      </c>
      <c r="BL136" s="4">
        <v>167</v>
      </c>
    </row>
    <row r="137" spans="1:129" s="4" customFormat="1">
      <c r="A137" s="4" t="str">
        <f t="shared" si="2"/>
        <v>SP_ACLIN5           KS_CPR_A</v>
      </c>
      <c r="B137" s="1"/>
      <c r="C137" s="4">
        <v>168</v>
      </c>
      <c r="D137" s="6" t="s">
        <v>605</v>
      </c>
      <c r="E137" s="6"/>
      <c r="F137" s="4" t="s">
        <v>1086</v>
      </c>
      <c r="G137" s="4" t="s">
        <v>2237</v>
      </c>
      <c r="H137" s="43" t="s">
        <v>609</v>
      </c>
      <c r="I137" s="43"/>
      <c r="N137" s="43" t="s">
        <v>537</v>
      </c>
      <c r="O137" s="260" t="s">
        <v>1086</v>
      </c>
      <c r="P137" s="260" t="s">
        <v>1086</v>
      </c>
      <c r="Q137" s="56" t="s">
        <v>523</v>
      </c>
      <c r="R137" s="33"/>
      <c r="AH137" s="42"/>
      <c r="AI137" s="42" t="s">
        <v>1117</v>
      </c>
      <c r="AJ137" s="42"/>
      <c r="AK137" s="42" t="s">
        <v>538</v>
      </c>
      <c r="AL137" s="4">
        <v>168</v>
      </c>
      <c r="AM137" s="4" t="s">
        <v>1852</v>
      </c>
      <c r="AN137" s="4" t="s">
        <v>1727</v>
      </c>
      <c r="AO137" s="4" t="s">
        <v>671</v>
      </c>
      <c r="AP137" s="34" t="s">
        <v>2237</v>
      </c>
      <c r="AQ137" s="4">
        <v>1</v>
      </c>
      <c r="AR137" s="4" t="s">
        <v>497</v>
      </c>
      <c r="AS137" s="4" t="s">
        <v>10</v>
      </c>
      <c r="AT137" s="4" t="s">
        <v>10</v>
      </c>
      <c r="AU137" s="4" t="s">
        <v>424</v>
      </c>
      <c r="AV137" s="4" t="s">
        <v>637</v>
      </c>
      <c r="AW137" s="34" t="s">
        <v>1770</v>
      </c>
      <c r="AX137" s="4">
        <v>5</v>
      </c>
      <c r="AY137" s="4" t="s">
        <v>1771</v>
      </c>
      <c r="AZ137" s="4" t="s">
        <v>492</v>
      </c>
      <c r="BA137" s="4" t="s">
        <v>10</v>
      </c>
      <c r="BB137" s="4" t="s">
        <v>484</v>
      </c>
      <c r="BC137" s="4" t="s">
        <v>1742</v>
      </c>
      <c r="BD137" s="4" t="s">
        <v>10</v>
      </c>
      <c r="BE137" s="4" t="s">
        <v>10</v>
      </c>
      <c r="BF137" s="4">
        <v>1381</v>
      </c>
      <c r="BG137" s="4" t="s">
        <v>80</v>
      </c>
      <c r="BH137" s="4">
        <v>0.13</v>
      </c>
      <c r="BI137" s="4" t="s">
        <v>1851</v>
      </c>
      <c r="BJ137" s="4" t="s">
        <v>2374</v>
      </c>
      <c r="BK137" s="35" t="s">
        <v>2492</v>
      </c>
      <c r="BL137" s="4">
        <v>168</v>
      </c>
    </row>
    <row r="138" spans="1:129" s="4" customFormat="1">
      <c r="A138" s="4" t="str">
        <f t="shared" si="2"/>
        <v>SP_ACLIN5           KS_CPM_A</v>
      </c>
      <c r="B138" s="1"/>
      <c r="C138" s="4">
        <v>136002</v>
      </c>
      <c r="D138" s="6">
        <v>136</v>
      </c>
      <c r="F138" s="4" t="s">
        <v>1086</v>
      </c>
      <c r="G138" s="4" t="s">
        <v>2237</v>
      </c>
      <c r="H138" s="43" t="s">
        <v>609</v>
      </c>
      <c r="I138" s="43"/>
      <c r="N138" s="43" t="s">
        <v>537</v>
      </c>
      <c r="O138" s="260" t="s">
        <v>1086</v>
      </c>
      <c r="P138" s="260" t="s">
        <v>1086</v>
      </c>
      <c r="Q138" s="56"/>
      <c r="R138" s="33"/>
      <c r="AH138" s="42"/>
      <c r="AI138" s="42" t="s">
        <v>1117</v>
      </c>
      <c r="AJ138" s="42"/>
      <c r="AK138" s="42" t="s">
        <v>539</v>
      </c>
      <c r="AL138" s="4">
        <v>136002</v>
      </c>
      <c r="AM138" s="4" t="s">
        <v>1945</v>
      </c>
      <c r="AN138" s="4" t="s">
        <v>1727</v>
      </c>
      <c r="AO138" s="4" t="s">
        <v>671</v>
      </c>
      <c r="AP138" s="34" t="s">
        <v>2237</v>
      </c>
      <c r="AQ138" s="4">
        <v>1</v>
      </c>
      <c r="AR138" s="4" t="s">
        <v>497</v>
      </c>
      <c r="AS138" s="4" t="s">
        <v>10</v>
      </c>
      <c r="AT138" s="4" t="s">
        <v>10</v>
      </c>
      <c r="AU138" s="4" t="s">
        <v>502</v>
      </c>
      <c r="AV138" s="4" t="s">
        <v>685</v>
      </c>
      <c r="AW138" s="34" t="s">
        <v>1870</v>
      </c>
      <c r="AX138" s="4">
        <v>2</v>
      </c>
      <c r="AY138" s="4" t="s">
        <v>1392</v>
      </c>
      <c r="AZ138" s="4" t="s">
        <v>255</v>
      </c>
      <c r="BA138" s="4" t="s">
        <v>10</v>
      </c>
      <c r="BB138" s="4" t="s">
        <v>484</v>
      </c>
      <c r="BC138" s="4" t="s">
        <v>1742</v>
      </c>
      <c r="BD138" s="4" t="s">
        <v>10</v>
      </c>
      <c r="BE138" s="4" t="s">
        <v>10</v>
      </c>
      <c r="BF138" s="4">
        <v>790</v>
      </c>
      <c r="BG138" s="4" t="s">
        <v>80</v>
      </c>
      <c r="BH138" s="4">
        <v>0.13</v>
      </c>
      <c r="BI138" s="4" t="s">
        <v>1851</v>
      </c>
      <c r="BJ138" s="4" t="s">
        <v>761</v>
      </c>
      <c r="BK138" s="4">
        <v>136002</v>
      </c>
    </row>
    <row r="139" spans="1:129" s="4" customFormat="1">
      <c r="A139" s="4" t="str">
        <f t="shared" si="2"/>
        <v xml:space="preserve">                    </v>
      </c>
      <c r="B139" s="1"/>
      <c r="D139" s="6"/>
      <c r="H139" s="43"/>
      <c r="I139" s="43"/>
      <c r="N139" s="43"/>
      <c r="O139" s="260"/>
      <c r="P139" s="260"/>
      <c r="Q139" s="56"/>
      <c r="R139" s="33"/>
      <c r="AH139" s="42"/>
      <c r="AI139" s="42"/>
      <c r="AJ139" s="42"/>
      <c r="AK139" s="42"/>
      <c r="AP139" s="34"/>
      <c r="AW139" s="34"/>
    </row>
    <row r="140" spans="1:129" s="4" customFormat="1">
      <c r="A140" s="4" t="str">
        <f t="shared" si="2"/>
        <v>SP_30A              KS_CPM_E</v>
      </c>
      <c r="B140" s="1"/>
      <c r="C140" s="4">
        <v>77007</v>
      </c>
      <c r="D140" s="6" t="s">
        <v>749</v>
      </c>
      <c r="F140" s="4" t="s">
        <v>1086</v>
      </c>
      <c r="G140" s="4" t="s">
        <v>2250</v>
      </c>
      <c r="H140" s="4" t="s">
        <v>610</v>
      </c>
      <c r="N140" s="43" t="s">
        <v>537</v>
      </c>
      <c r="O140" s="260" t="s">
        <v>1097</v>
      </c>
      <c r="P140" s="260" t="s">
        <v>1086</v>
      </c>
      <c r="Q140" s="56"/>
      <c r="R140" s="33"/>
      <c r="W140" s="33"/>
      <c r="AH140" s="42"/>
      <c r="AI140" s="42" t="s">
        <v>1117</v>
      </c>
      <c r="AJ140" s="42"/>
      <c r="AK140" s="42" t="s">
        <v>539</v>
      </c>
      <c r="AL140" s="4">
        <v>77007</v>
      </c>
      <c r="AM140" s="4" t="s">
        <v>1939</v>
      </c>
      <c r="AN140" s="4" t="s">
        <v>1733</v>
      </c>
      <c r="AO140" s="4" t="s">
        <v>249</v>
      </c>
      <c r="AP140" s="34" t="s">
        <v>2250</v>
      </c>
      <c r="AQ140" s="4">
        <v>1</v>
      </c>
      <c r="AR140" s="4" t="s">
        <v>477</v>
      </c>
      <c r="AS140" s="4" t="s">
        <v>10</v>
      </c>
      <c r="AT140" s="4" t="s">
        <v>10</v>
      </c>
      <c r="AU140" s="4" t="s">
        <v>502</v>
      </c>
      <c r="AV140" s="4" t="s">
        <v>647</v>
      </c>
      <c r="AW140" s="34" t="s">
        <v>1786</v>
      </c>
      <c r="AX140" s="4">
        <v>3</v>
      </c>
      <c r="AY140" s="4" t="s">
        <v>1392</v>
      </c>
      <c r="AZ140" s="4" t="s">
        <v>245</v>
      </c>
      <c r="BA140" s="4" t="s">
        <v>10</v>
      </c>
      <c r="BB140" s="4" t="s">
        <v>527</v>
      </c>
      <c r="BC140" s="4" t="s">
        <v>1742</v>
      </c>
      <c r="BD140" s="4" t="s">
        <v>10</v>
      </c>
      <c r="BE140" s="4" t="s">
        <v>10</v>
      </c>
      <c r="BF140" s="4">
        <v>1775</v>
      </c>
      <c r="BG140" s="4" t="s">
        <v>165</v>
      </c>
      <c r="BH140" s="4">
        <v>0.35</v>
      </c>
      <c r="BI140" s="4" t="s">
        <v>1527</v>
      </c>
      <c r="BJ140" s="4" t="s">
        <v>1681</v>
      </c>
      <c r="BK140" s="4">
        <v>77007</v>
      </c>
    </row>
    <row r="141" spans="1:129" s="4" customFormat="1">
      <c r="A141" s="4" t="str">
        <f t="shared" si="2"/>
        <v>SIDO_P              SP_30A</v>
      </c>
      <c r="B141" s="1"/>
      <c r="C141" s="4">
        <v>77008</v>
      </c>
      <c r="D141" s="6" t="s">
        <v>749</v>
      </c>
      <c r="F141" s="4" t="s">
        <v>1086</v>
      </c>
      <c r="G141" s="4" t="s">
        <v>2250</v>
      </c>
      <c r="H141" s="4" t="s">
        <v>610</v>
      </c>
      <c r="N141" s="43" t="s">
        <v>537</v>
      </c>
      <c r="O141" s="260" t="s">
        <v>1086</v>
      </c>
      <c r="P141" s="260" t="s">
        <v>1097</v>
      </c>
      <c r="Q141" s="56"/>
      <c r="R141" s="33"/>
      <c r="W141" s="33"/>
      <c r="AH141" s="42"/>
      <c r="AI141" s="42" t="s">
        <v>1117</v>
      </c>
      <c r="AJ141" s="42"/>
      <c r="AK141" s="42" t="s">
        <v>538</v>
      </c>
      <c r="AL141" s="4">
        <v>77008</v>
      </c>
      <c r="AM141" s="4" t="s">
        <v>1528</v>
      </c>
      <c r="AN141" s="4" t="s">
        <v>901</v>
      </c>
      <c r="AO141" s="4" t="s">
        <v>633</v>
      </c>
      <c r="AP141" s="34" t="s">
        <v>2257</v>
      </c>
      <c r="AQ141" s="4" t="s">
        <v>240</v>
      </c>
      <c r="AR141" s="4" t="s">
        <v>1414</v>
      </c>
      <c r="AS141" s="4" t="s">
        <v>244</v>
      </c>
      <c r="AT141" s="4" t="s">
        <v>10</v>
      </c>
      <c r="AU141" s="4" t="s">
        <v>1733</v>
      </c>
      <c r="AV141" s="4" t="s">
        <v>249</v>
      </c>
      <c r="AW141" s="34" t="s">
        <v>2250</v>
      </c>
      <c r="AX141" s="4">
        <v>1</v>
      </c>
      <c r="AY141" s="4" t="s">
        <v>477</v>
      </c>
      <c r="AZ141" s="4" t="s">
        <v>10</v>
      </c>
      <c r="BA141" s="4" t="s">
        <v>10</v>
      </c>
      <c r="BB141" s="4" t="s">
        <v>527</v>
      </c>
      <c r="BC141" s="4" t="s">
        <v>1742</v>
      </c>
      <c r="BD141" s="4" t="s">
        <v>10</v>
      </c>
      <c r="BE141" s="4" t="s">
        <v>10</v>
      </c>
      <c r="BF141" s="4">
        <v>350</v>
      </c>
      <c r="BG141" s="4" t="s">
        <v>165</v>
      </c>
      <c r="BH141" s="4">
        <v>0.35</v>
      </c>
      <c r="BI141" s="4" t="s">
        <v>1527</v>
      </c>
      <c r="BJ141" s="4" t="s">
        <v>1681</v>
      </c>
      <c r="BK141" s="4">
        <v>77008</v>
      </c>
    </row>
    <row r="142" spans="1:129" s="4" customFormat="1">
      <c r="A142" s="4" t="str">
        <f t="shared" si="2"/>
        <v>SP_30A              KS_CPR_C</v>
      </c>
      <c r="B142" s="1"/>
      <c r="C142" s="4">
        <v>77009</v>
      </c>
      <c r="D142" s="6" t="s">
        <v>749</v>
      </c>
      <c r="F142" s="4" t="s">
        <v>1086</v>
      </c>
      <c r="G142" s="4" t="s">
        <v>2250</v>
      </c>
      <c r="H142" s="4" t="s">
        <v>610</v>
      </c>
      <c r="N142" s="43" t="s">
        <v>537</v>
      </c>
      <c r="O142" s="260" t="s">
        <v>1097</v>
      </c>
      <c r="P142" s="260" t="s">
        <v>1086</v>
      </c>
      <c r="Q142" s="56"/>
      <c r="R142" s="33"/>
      <c r="AH142" s="42"/>
      <c r="AI142" s="42" t="s">
        <v>1117</v>
      </c>
      <c r="AJ142" s="42"/>
      <c r="AK142" s="42" t="s">
        <v>538</v>
      </c>
      <c r="AL142" s="4">
        <v>77009</v>
      </c>
      <c r="AM142" s="4" t="s">
        <v>1941</v>
      </c>
      <c r="AN142" s="4" t="s">
        <v>1733</v>
      </c>
      <c r="AO142" s="4" t="s">
        <v>249</v>
      </c>
      <c r="AP142" s="34" t="s">
        <v>2250</v>
      </c>
      <c r="AQ142" s="4">
        <v>1</v>
      </c>
      <c r="AR142" s="4" t="s">
        <v>477</v>
      </c>
      <c r="AS142" s="4" t="s">
        <v>10</v>
      </c>
      <c r="AT142" s="4" t="s">
        <v>10</v>
      </c>
      <c r="AU142" s="4" t="s">
        <v>424</v>
      </c>
      <c r="AV142" s="4" t="s">
        <v>648</v>
      </c>
      <c r="AW142" s="34" t="s">
        <v>1796</v>
      </c>
      <c r="AX142" s="4">
        <v>11</v>
      </c>
      <c r="AY142" s="4" t="s">
        <v>1613</v>
      </c>
      <c r="AZ142" s="4" t="s">
        <v>72</v>
      </c>
      <c r="BA142" s="4" t="s">
        <v>10</v>
      </c>
      <c r="BB142" s="4" t="s">
        <v>527</v>
      </c>
      <c r="BC142" s="4" t="s">
        <v>1742</v>
      </c>
      <c r="BD142" s="4" t="s">
        <v>10</v>
      </c>
      <c r="BE142" s="4" t="s">
        <v>10</v>
      </c>
      <c r="BF142" s="35">
        <v>307</v>
      </c>
      <c r="BG142" s="4" t="s">
        <v>165</v>
      </c>
      <c r="BH142" s="4">
        <v>0.35</v>
      </c>
      <c r="BI142" s="4" t="s">
        <v>1527</v>
      </c>
      <c r="BJ142" s="4" t="s">
        <v>1681</v>
      </c>
      <c r="BK142" s="4">
        <v>77009</v>
      </c>
    </row>
    <row r="143" spans="1:129" s="4" customFormat="1">
      <c r="A143" s="4" t="str">
        <f t="shared" si="2"/>
        <v xml:space="preserve">                    </v>
      </c>
      <c r="B143" s="1"/>
      <c r="D143" s="6"/>
      <c r="F143" s="43"/>
      <c r="H143" s="43"/>
      <c r="I143" s="43"/>
      <c r="N143" s="43"/>
      <c r="O143" s="260"/>
      <c r="P143" s="260"/>
      <c r="Q143" s="56"/>
      <c r="R143" s="171"/>
      <c r="W143" s="171"/>
      <c r="AH143" s="42"/>
      <c r="AI143" s="42"/>
      <c r="AJ143" s="42"/>
      <c r="AK143" s="42"/>
      <c r="AP143" s="34"/>
      <c r="AW143" s="34"/>
    </row>
    <row r="144" spans="1:129" s="4" customFormat="1">
      <c r="A144" s="4" t="str">
        <f t="shared" si="2"/>
        <v>SGION_A             SP_15AS</v>
      </c>
      <c r="B144" s="1"/>
      <c r="C144" s="4">
        <v>29047</v>
      </c>
      <c r="D144" s="6" t="s">
        <v>606</v>
      </c>
      <c r="E144" s="43"/>
      <c r="F144" s="4" t="s">
        <v>1086</v>
      </c>
      <c r="G144" s="4" t="s">
        <v>2242</v>
      </c>
      <c r="H144" s="43" t="s">
        <v>610</v>
      </c>
      <c r="I144" s="43"/>
      <c r="N144" s="43" t="s">
        <v>537</v>
      </c>
      <c r="O144" s="260" t="s">
        <v>1086</v>
      </c>
      <c r="P144" s="260" t="s">
        <v>1097</v>
      </c>
      <c r="Q144" s="56"/>
      <c r="R144" s="33"/>
      <c r="Z144" s="35" t="s">
        <v>2645</v>
      </c>
      <c r="AH144" s="42"/>
      <c r="AI144" s="42" t="s">
        <v>1117</v>
      </c>
      <c r="AJ144" s="42"/>
      <c r="AK144" s="42" t="s">
        <v>539</v>
      </c>
      <c r="AL144" s="4">
        <v>29047</v>
      </c>
      <c r="AM144" s="4" t="s">
        <v>1892</v>
      </c>
      <c r="AN144" s="4" t="s">
        <v>961</v>
      </c>
      <c r="AO144" s="4" t="s">
        <v>693</v>
      </c>
      <c r="AP144" s="34" t="s">
        <v>2268</v>
      </c>
      <c r="AQ144" s="4">
        <v>1</v>
      </c>
      <c r="AR144" s="4" t="s">
        <v>410</v>
      </c>
      <c r="AS144" s="4" t="s">
        <v>524</v>
      </c>
      <c r="AT144" s="4" t="s">
        <v>10</v>
      </c>
      <c r="AU144" s="4" t="s">
        <v>1731</v>
      </c>
      <c r="AV144" s="4" t="s">
        <v>701</v>
      </c>
      <c r="AW144" s="34" t="s">
        <v>2242</v>
      </c>
      <c r="AX144" s="4">
        <v>1</v>
      </c>
      <c r="AY144" s="4" t="s">
        <v>408</v>
      </c>
      <c r="AZ144" s="4" t="s">
        <v>10</v>
      </c>
      <c r="BA144" s="4" t="s">
        <v>10</v>
      </c>
      <c r="BB144" s="4" t="s">
        <v>2533</v>
      </c>
      <c r="BC144" s="4" t="s">
        <v>1742</v>
      </c>
      <c r="BD144" s="4" t="s">
        <v>10</v>
      </c>
      <c r="BE144" s="4" t="s">
        <v>10</v>
      </c>
      <c r="BF144" s="4">
        <v>748</v>
      </c>
      <c r="BG144" s="4" t="s">
        <v>129</v>
      </c>
      <c r="BH144" s="4">
        <v>0.35</v>
      </c>
      <c r="BI144" s="4" t="s">
        <v>1894</v>
      </c>
      <c r="BJ144" s="4" t="s">
        <v>10</v>
      </c>
      <c r="BK144" s="4" t="s">
        <v>10</v>
      </c>
      <c r="BL144" s="4" t="s">
        <v>681</v>
      </c>
      <c r="BM144" s="4" t="s">
        <v>682</v>
      </c>
      <c r="BN144" s="4" t="s">
        <v>2358</v>
      </c>
      <c r="BO144" s="4" t="s">
        <v>2359</v>
      </c>
      <c r="BP144" s="35">
        <v>29047</v>
      </c>
    </row>
    <row r="145" spans="1:79" s="4" customFormat="1">
      <c r="A145" s="4" t="str">
        <f t="shared" si="2"/>
        <v>FSS                 SP_15AS</v>
      </c>
      <c r="B145" s="1"/>
      <c r="C145" s="4">
        <v>29099</v>
      </c>
      <c r="D145" s="6" t="s">
        <v>606</v>
      </c>
      <c r="F145" s="4" t="s">
        <v>1086</v>
      </c>
      <c r="G145" s="4" t="s">
        <v>2242</v>
      </c>
      <c r="H145" s="4" t="s">
        <v>610</v>
      </c>
      <c r="N145" s="43" t="s">
        <v>537</v>
      </c>
      <c r="O145" s="260" t="s">
        <v>1086</v>
      </c>
      <c r="P145" s="261" t="s">
        <v>1097</v>
      </c>
      <c r="Q145" s="56"/>
      <c r="R145" s="33"/>
      <c r="AH145" s="42"/>
      <c r="AI145" s="42" t="s">
        <v>1117</v>
      </c>
      <c r="AJ145" s="42"/>
      <c r="AK145" s="42" t="s">
        <v>538</v>
      </c>
      <c r="AL145" s="4">
        <v>29099</v>
      </c>
      <c r="AM145" s="4" t="s">
        <v>1909</v>
      </c>
      <c r="AN145" s="4" t="s">
        <v>1708</v>
      </c>
      <c r="AO145" s="4" t="s">
        <v>720</v>
      </c>
      <c r="AP145" s="34" t="s">
        <v>2276</v>
      </c>
      <c r="AQ145" s="4">
        <v>1</v>
      </c>
      <c r="AR145" s="4" t="s">
        <v>1910</v>
      </c>
      <c r="AS145" s="4" t="s">
        <v>77</v>
      </c>
      <c r="AT145" s="4" t="s">
        <v>10</v>
      </c>
      <c r="AU145" s="4" t="s">
        <v>1731</v>
      </c>
      <c r="AV145" s="4" t="s">
        <v>701</v>
      </c>
      <c r="AW145" s="34" t="s">
        <v>2242</v>
      </c>
      <c r="AX145" s="4">
        <v>1</v>
      </c>
      <c r="AY145" s="4" t="s">
        <v>408</v>
      </c>
      <c r="AZ145" s="4" t="s">
        <v>10</v>
      </c>
      <c r="BA145" s="4" t="s">
        <v>10</v>
      </c>
      <c r="BB145" s="4" t="s">
        <v>128</v>
      </c>
      <c r="BC145" s="4" t="s">
        <v>1742</v>
      </c>
      <c r="BD145" s="4" t="s">
        <v>10</v>
      </c>
      <c r="BE145" s="4" t="s">
        <v>10</v>
      </c>
      <c r="BF145" s="4">
        <v>611</v>
      </c>
      <c r="BG145" s="4" t="s">
        <v>129</v>
      </c>
      <c r="BH145" s="4">
        <v>0.5</v>
      </c>
      <c r="BI145" s="4" t="s">
        <v>1894</v>
      </c>
      <c r="BJ145" s="4" t="s">
        <v>10</v>
      </c>
      <c r="BK145" s="4" t="s">
        <v>10</v>
      </c>
      <c r="BL145" s="4" t="s">
        <v>681</v>
      </c>
      <c r="BM145" s="4" t="s">
        <v>682</v>
      </c>
      <c r="BN145" s="4" t="s">
        <v>10</v>
      </c>
      <c r="BO145" s="4" t="s">
        <v>10</v>
      </c>
      <c r="BP145" s="35">
        <v>29099</v>
      </c>
    </row>
    <row r="146" spans="1:79" s="4" customFormat="1">
      <c r="A146" s="4" t="str">
        <f t="shared" si="2"/>
        <v>SP_15AS             KS_CPR_A</v>
      </c>
      <c r="B146" s="331"/>
      <c r="C146" s="4">
        <v>29102</v>
      </c>
      <c r="D146" s="6" t="s">
        <v>606</v>
      </c>
      <c r="F146" s="4" t="s">
        <v>1086</v>
      </c>
      <c r="G146" s="4" t="s">
        <v>2242</v>
      </c>
      <c r="H146" s="4" t="s">
        <v>610</v>
      </c>
      <c r="N146" s="43" t="s">
        <v>537</v>
      </c>
      <c r="O146" s="260" t="s">
        <v>1097</v>
      </c>
      <c r="P146" s="260" t="s">
        <v>1086</v>
      </c>
      <c r="Q146" s="56"/>
      <c r="R146" s="33"/>
      <c r="AH146" s="42"/>
      <c r="AI146" s="42" t="s">
        <v>1117</v>
      </c>
      <c r="AJ146" s="42"/>
      <c r="AK146" s="42" t="s">
        <v>539</v>
      </c>
      <c r="AL146" s="4">
        <v>29102</v>
      </c>
      <c r="AM146" s="4" t="s">
        <v>1911</v>
      </c>
      <c r="AN146" s="4" t="s">
        <v>1731</v>
      </c>
      <c r="AO146" s="4" t="s">
        <v>701</v>
      </c>
      <c r="AP146" s="34" t="s">
        <v>2242</v>
      </c>
      <c r="AQ146" s="4">
        <v>1</v>
      </c>
      <c r="AR146" s="4" t="s">
        <v>408</v>
      </c>
      <c r="AS146" s="4" t="s">
        <v>10</v>
      </c>
      <c r="AT146" s="4" t="s">
        <v>10</v>
      </c>
      <c r="AU146" s="4" t="s">
        <v>424</v>
      </c>
      <c r="AV146" s="4" t="s">
        <v>637</v>
      </c>
      <c r="AW146" s="34" t="s">
        <v>1770</v>
      </c>
      <c r="AX146" s="4">
        <v>3</v>
      </c>
      <c r="AY146" s="4" t="s">
        <v>1771</v>
      </c>
      <c r="AZ146" s="4" t="s">
        <v>72</v>
      </c>
      <c r="BA146" s="4" t="s">
        <v>10</v>
      </c>
      <c r="BB146" s="4" t="s">
        <v>2533</v>
      </c>
      <c r="BC146" s="4" t="s">
        <v>1742</v>
      </c>
      <c r="BD146" s="4" t="s">
        <v>10</v>
      </c>
      <c r="BE146" s="4" t="s">
        <v>10</v>
      </c>
      <c r="BF146" s="4">
        <v>878</v>
      </c>
      <c r="BG146" s="4" t="s">
        <v>129</v>
      </c>
      <c r="BH146" s="4">
        <v>0.35</v>
      </c>
      <c r="BI146" s="4" t="s">
        <v>1894</v>
      </c>
      <c r="BJ146" s="4" t="s">
        <v>10</v>
      </c>
      <c r="BK146" s="4" t="s">
        <v>10</v>
      </c>
      <c r="BL146" s="4" t="s">
        <v>681</v>
      </c>
      <c r="BM146" s="4" t="s">
        <v>682</v>
      </c>
      <c r="BN146" s="4" t="s">
        <v>2358</v>
      </c>
      <c r="BO146" s="4" t="s">
        <v>2359</v>
      </c>
      <c r="BP146" s="35">
        <v>29102</v>
      </c>
    </row>
    <row r="147" spans="1:79" s="4" customFormat="1">
      <c r="A147" s="4" t="str">
        <f t="shared" si="2"/>
        <v xml:space="preserve">                    </v>
      </c>
      <c r="B147" s="45"/>
      <c r="C147" s="29"/>
      <c r="D147" s="307"/>
      <c r="E147" s="307"/>
      <c r="F147" s="29"/>
      <c r="G147" s="44"/>
      <c r="H147" s="308"/>
      <c r="I147" s="308"/>
      <c r="K147" s="29"/>
      <c r="L147" s="29"/>
      <c r="M147" s="29"/>
      <c r="N147" s="308"/>
      <c r="O147" s="309"/>
      <c r="P147" s="309"/>
      <c r="Q147" s="57"/>
      <c r="R147" s="44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310"/>
      <c r="AI147" s="310"/>
      <c r="AJ147" s="310"/>
      <c r="AK147" s="310"/>
      <c r="AL147" s="29"/>
      <c r="AM147" s="29"/>
      <c r="AN147" s="29"/>
      <c r="AO147" s="29"/>
      <c r="AP147" s="288"/>
      <c r="AQ147" s="29"/>
      <c r="AR147" s="29"/>
      <c r="AS147" s="29"/>
      <c r="AT147" s="29"/>
      <c r="AU147" s="29"/>
      <c r="AV147" s="29"/>
      <c r="AW147" s="288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</row>
    <row r="148" spans="1:79" s="4" customFormat="1">
      <c r="A148" s="4" t="str">
        <f t="shared" si="2"/>
        <v>SP_58XS             KS_CPM_A</v>
      </c>
      <c r="B148" s="1"/>
      <c r="C148" s="4">
        <v>29095</v>
      </c>
      <c r="D148" s="6" t="s">
        <v>606</v>
      </c>
      <c r="E148" s="43"/>
      <c r="F148" s="4" t="s">
        <v>1086</v>
      </c>
      <c r="G148" s="4" t="s">
        <v>2243</v>
      </c>
      <c r="H148" s="4" t="s">
        <v>610</v>
      </c>
      <c r="N148" s="43" t="s">
        <v>537</v>
      </c>
      <c r="O148" s="260" t="s">
        <v>1097</v>
      </c>
      <c r="P148" s="260" t="s">
        <v>1086</v>
      </c>
      <c r="Q148" s="56"/>
      <c r="R148" s="33"/>
      <c r="AH148" s="42"/>
      <c r="AI148" s="42" t="s">
        <v>1117</v>
      </c>
      <c r="AJ148" s="42"/>
      <c r="AK148" s="42" t="s">
        <v>2491</v>
      </c>
      <c r="AL148" s="4">
        <v>29095</v>
      </c>
      <c r="AM148" s="4" t="s">
        <v>1906</v>
      </c>
      <c r="AN148" s="4" t="s">
        <v>1707</v>
      </c>
      <c r="AO148" s="4" t="s">
        <v>602</v>
      </c>
      <c r="AP148" s="34" t="s">
        <v>2243</v>
      </c>
      <c r="AQ148" s="4">
        <v>1</v>
      </c>
      <c r="AR148" s="4" t="s">
        <v>1374</v>
      </c>
      <c r="AS148" s="4" t="s">
        <v>10</v>
      </c>
      <c r="AT148" s="4" t="s">
        <v>10</v>
      </c>
      <c r="AU148" s="4" t="s">
        <v>502</v>
      </c>
      <c r="AV148" s="4" t="s">
        <v>685</v>
      </c>
      <c r="AW148" s="34" t="s">
        <v>1870</v>
      </c>
      <c r="AX148" s="4">
        <v>4</v>
      </c>
      <c r="AY148" s="4" t="s">
        <v>1392</v>
      </c>
      <c r="AZ148" s="4" t="s">
        <v>255</v>
      </c>
      <c r="BA148" s="4" t="s">
        <v>10</v>
      </c>
      <c r="BB148" s="4" t="s">
        <v>481</v>
      </c>
      <c r="BC148" s="4" t="s">
        <v>1742</v>
      </c>
      <c r="BD148" s="4" t="s">
        <v>10</v>
      </c>
      <c r="BE148" s="4" t="s">
        <v>10</v>
      </c>
      <c r="BF148" s="4">
        <v>959</v>
      </c>
      <c r="BG148" s="4" t="s">
        <v>137</v>
      </c>
      <c r="BH148" s="4">
        <v>0.13</v>
      </c>
      <c r="BI148" s="4" t="s">
        <v>1487</v>
      </c>
      <c r="BJ148" s="4" t="s">
        <v>678</v>
      </c>
      <c r="BK148" s="4" t="s">
        <v>10</v>
      </c>
      <c r="BL148" s="4" t="s">
        <v>681</v>
      </c>
      <c r="BM148" s="4" t="s">
        <v>10</v>
      </c>
      <c r="BN148" s="4" t="s">
        <v>2358</v>
      </c>
      <c r="BO148" s="4" t="s">
        <v>10</v>
      </c>
      <c r="BP148" s="35">
        <v>29095</v>
      </c>
    </row>
    <row r="149" spans="1:79" s="4" customFormat="1">
      <c r="A149" s="4" t="str">
        <f t="shared" si="2"/>
        <v>SP_58XS             SBT_B</v>
      </c>
      <c r="B149" s="1"/>
      <c r="C149" s="4">
        <v>29096</v>
      </c>
      <c r="D149" s="6" t="s">
        <v>606</v>
      </c>
      <c r="F149" s="4" t="s">
        <v>1086</v>
      </c>
      <c r="G149" s="4" t="s">
        <v>2243</v>
      </c>
      <c r="H149" s="4" t="s">
        <v>610</v>
      </c>
      <c r="N149" s="43" t="s">
        <v>537</v>
      </c>
      <c r="O149" s="260" t="s">
        <v>1097</v>
      </c>
      <c r="P149" s="261" t="s">
        <v>1086</v>
      </c>
      <c r="Q149" s="56"/>
      <c r="R149" s="33"/>
      <c r="AH149" s="42"/>
      <c r="AI149" s="42" t="s">
        <v>1117</v>
      </c>
      <c r="AJ149" s="42"/>
      <c r="AK149" s="42" t="s">
        <v>2491</v>
      </c>
      <c r="AL149" s="4">
        <v>29096</v>
      </c>
      <c r="AM149" s="4" t="s">
        <v>1486</v>
      </c>
      <c r="AN149" s="4" t="s">
        <v>1707</v>
      </c>
      <c r="AO149" s="4" t="s">
        <v>602</v>
      </c>
      <c r="AP149" s="34" t="s">
        <v>2243</v>
      </c>
      <c r="AQ149" s="4">
        <v>1</v>
      </c>
      <c r="AR149" s="4" t="s">
        <v>1374</v>
      </c>
      <c r="AS149" s="4" t="s">
        <v>10</v>
      </c>
      <c r="AT149" s="4" t="s">
        <v>10</v>
      </c>
      <c r="AU149" s="4" t="s">
        <v>1697</v>
      </c>
      <c r="AV149" s="4" t="s">
        <v>670</v>
      </c>
      <c r="AW149" s="34" t="s">
        <v>2307</v>
      </c>
      <c r="AX149" s="4">
        <v>7</v>
      </c>
      <c r="AY149" s="4" t="s">
        <v>485</v>
      </c>
      <c r="AZ149" s="4" t="s">
        <v>218</v>
      </c>
      <c r="BA149" s="4" t="s">
        <v>10</v>
      </c>
      <c r="BB149" s="4" t="s">
        <v>481</v>
      </c>
      <c r="BC149" s="4" t="s">
        <v>1742</v>
      </c>
      <c r="BD149" s="4" t="s">
        <v>10</v>
      </c>
      <c r="BE149" s="4" t="s">
        <v>10</v>
      </c>
      <c r="BF149" s="4">
        <v>559</v>
      </c>
      <c r="BG149" s="4" t="s">
        <v>137</v>
      </c>
      <c r="BH149" s="4">
        <v>0.13</v>
      </c>
      <c r="BI149" s="4" t="s">
        <v>1487</v>
      </c>
      <c r="BJ149" s="4" t="s">
        <v>678</v>
      </c>
      <c r="BK149" s="4" t="s">
        <v>10</v>
      </c>
      <c r="BL149" s="4" t="s">
        <v>681</v>
      </c>
      <c r="BM149" s="4" t="s">
        <v>10</v>
      </c>
      <c r="BN149" s="4" t="s">
        <v>2358</v>
      </c>
      <c r="BO149" s="4" t="s">
        <v>10</v>
      </c>
      <c r="BP149" s="35">
        <v>29096</v>
      </c>
    </row>
    <row r="150" spans="1:79" s="4" customFormat="1">
      <c r="A150" s="4" t="str">
        <f t="shared" si="2"/>
        <v>SP_58XS             KS_CPL_C</v>
      </c>
      <c r="B150" s="1"/>
      <c r="C150" s="4">
        <v>29097</v>
      </c>
      <c r="D150" s="6" t="s">
        <v>606</v>
      </c>
      <c r="E150" s="43"/>
      <c r="F150" s="4" t="s">
        <v>1086</v>
      </c>
      <c r="G150" s="4" t="s">
        <v>2243</v>
      </c>
      <c r="H150" s="4" t="s">
        <v>610</v>
      </c>
      <c r="N150" s="43" t="s">
        <v>537</v>
      </c>
      <c r="O150" s="260" t="s">
        <v>1097</v>
      </c>
      <c r="P150" s="260" t="s">
        <v>1086</v>
      </c>
      <c r="Q150" s="56"/>
      <c r="R150" s="33"/>
      <c r="AH150" s="42"/>
      <c r="AI150" s="42" t="s">
        <v>1117</v>
      </c>
      <c r="AJ150" s="42"/>
      <c r="AK150" s="42" t="s">
        <v>539</v>
      </c>
      <c r="AL150" s="4">
        <v>29097</v>
      </c>
      <c r="AM150" s="4" t="s">
        <v>1488</v>
      </c>
      <c r="AN150" s="4" t="s">
        <v>1707</v>
      </c>
      <c r="AO150" s="4" t="s">
        <v>602</v>
      </c>
      <c r="AP150" s="34" t="s">
        <v>2243</v>
      </c>
      <c r="AQ150" s="4">
        <v>1</v>
      </c>
      <c r="AR150" s="4" t="s">
        <v>1374</v>
      </c>
      <c r="AS150" s="4" t="s">
        <v>10</v>
      </c>
      <c r="AT150" s="4" t="s">
        <v>10</v>
      </c>
      <c r="AU150" s="4" t="s">
        <v>416</v>
      </c>
      <c r="AV150" s="4" t="s">
        <v>632</v>
      </c>
      <c r="AW150" s="34" t="s">
        <v>1758</v>
      </c>
      <c r="AX150" s="4">
        <v>8</v>
      </c>
      <c r="AY150" s="4" t="s">
        <v>1759</v>
      </c>
      <c r="AZ150" s="4" t="s">
        <v>492</v>
      </c>
      <c r="BA150" s="4" t="s">
        <v>10</v>
      </c>
      <c r="BB150" s="4" t="s">
        <v>481</v>
      </c>
      <c r="BC150" s="4" t="s">
        <v>1742</v>
      </c>
      <c r="BD150" s="4" t="s">
        <v>10</v>
      </c>
      <c r="BE150" s="4" t="s">
        <v>10</v>
      </c>
      <c r="BF150" s="4">
        <v>676</v>
      </c>
      <c r="BG150" s="4" t="s">
        <v>137</v>
      </c>
      <c r="BH150" s="4">
        <v>0.13</v>
      </c>
      <c r="BI150" s="4" t="s">
        <v>1487</v>
      </c>
      <c r="BJ150" s="4" t="s">
        <v>678</v>
      </c>
      <c r="BK150" s="4" t="s">
        <v>10</v>
      </c>
      <c r="BL150" s="4" t="s">
        <v>681</v>
      </c>
      <c r="BM150" s="4" t="s">
        <v>10</v>
      </c>
      <c r="BN150" s="4" t="s">
        <v>2358</v>
      </c>
      <c r="BO150" s="4" t="s">
        <v>10</v>
      </c>
      <c r="BP150" s="35">
        <v>29097</v>
      </c>
    </row>
    <row r="151" spans="1:79" s="4" customFormat="1">
      <c r="A151" s="4" t="str">
        <f t="shared" si="2"/>
        <v xml:space="preserve">                    </v>
      </c>
      <c r="B151" s="1"/>
      <c r="D151" s="6"/>
      <c r="E151" s="43"/>
      <c r="N151" s="43"/>
      <c r="O151" s="260"/>
      <c r="P151" s="260"/>
      <c r="Q151" s="56"/>
      <c r="R151" s="33"/>
      <c r="AH151" s="42"/>
      <c r="AI151" s="42"/>
      <c r="AJ151" s="42"/>
      <c r="AK151" s="42"/>
      <c r="AP151" s="34"/>
      <c r="AW151" s="34"/>
    </row>
    <row r="152" spans="1:79" s="4" customFormat="1">
      <c r="A152" s="4" t="str">
        <f t="shared" si="2"/>
        <v>SP_LIN6             FRL2_VL</v>
      </c>
      <c r="B152" s="1"/>
      <c r="C152" s="4">
        <v>901011</v>
      </c>
      <c r="D152" s="6">
        <v>901</v>
      </c>
      <c r="F152" s="4" t="s">
        <v>1086</v>
      </c>
      <c r="G152" s="4" t="s">
        <v>2188</v>
      </c>
      <c r="H152" s="4" t="s">
        <v>610</v>
      </c>
      <c r="N152" s="43" t="s">
        <v>537</v>
      </c>
      <c r="O152" s="260" t="s">
        <v>1097</v>
      </c>
      <c r="P152" s="260" t="s">
        <v>1086</v>
      </c>
      <c r="Q152" s="56"/>
      <c r="R152" s="33"/>
      <c r="AH152" s="42"/>
      <c r="AI152" s="42" t="s">
        <v>1117</v>
      </c>
      <c r="AJ152" s="42"/>
      <c r="AK152" s="42" t="s">
        <v>539</v>
      </c>
      <c r="AL152" s="4">
        <v>901011</v>
      </c>
      <c r="AM152" s="4" t="s">
        <v>2075</v>
      </c>
      <c r="AN152" s="4" t="s">
        <v>2186</v>
      </c>
      <c r="AO152" s="4" t="s">
        <v>2187</v>
      </c>
      <c r="AP152" s="34" t="s">
        <v>2188</v>
      </c>
      <c r="AQ152" s="4">
        <v>1</v>
      </c>
      <c r="AR152" s="4" t="s">
        <v>934</v>
      </c>
      <c r="AS152" s="4" t="s">
        <v>10</v>
      </c>
      <c r="AT152" s="4" t="s">
        <v>10</v>
      </c>
      <c r="AU152" s="4" t="s">
        <v>1724</v>
      </c>
      <c r="AV152" s="4" t="s">
        <v>873</v>
      </c>
      <c r="AW152" s="34" t="s">
        <v>2301</v>
      </c>
      <c r="AX152" s="4">
        <v>2</v>
      </c>
      <c r="AY152" s="4" t="s">
        <v>2071</v>
      </c>
      <c r="AZ152" s="4" t="s">
        <v>218</v>
      </c>
      <c r="BA152" s="4" t="s">
        <v>10</v>
      </c>
      <c r="BB152" s="4" t="s">
        <v>479</v>
      </c>
      <c r="BC152" s="4" t="s">
        <v>1742</v>
      </c>
      <c r="BD152" s="4" t="s">
        <v>10</v>
      </c>
      <c r="BE152" s="4" t="s">
        <v>10</v>
      </c>
      <c r="BF152" s="4">
        <v>910</v>
      </c>
      <c r="BG152" s="4" t="s">
        <v>180</v>
      </c>
      <c r="BH152" s="4">
        <v>0.13</v>
      </c>
      <c r="BI152" s="4" t="s">
        <v>2189</v>
      </c>
      <c r="BJ152" s="4" t="s">
        <v>10</v>
      </c>
      <c r="BK152" s="4" t="s">
        <v>867</v>
      </c>
      <c r="BL152" s="4">
        <v>901011</v>
      </c>
    </row>
    <row r="153" spans="1:79" s="4" customFormat="1">
      <c r="A153" s="4" t="str">
        <f t="shared" si="2"/>
        <v>SP_LIN6             KS_CPM_D</v>
      </c>
      <c r="B153" s="1"/>
      <c r="C153" s="4">
        <v>901022</v>
      </c>
      <c r="D153" s="6">
        <v>901</v>
      </c>
      <c r="E153" s="43"/>
      <c r="F153" s="4" t="s">
        <v>1086</v>
      </c>
      <c r="G153" s="4" t="s">
        <v>2188</v>
      </c>
      <c r="H153" s="4" t="s">
        <v>610</v>
      </c>
      <c r="N153" s="43" t="s">
        <v>537</v>
      </c>
      <c r="O153" s="260" t="s">
        <v>1097</v>
      </c>
      <c r="P153" s="260" t="s">
        <v>1086</v>
      </c>
      <c r="Q153" s="56"/>
      <c r="R153" s="33"/>
      <c r="AH153" s="42"/>
      <c r="AI153" s="56" t="s">
        <v>1117</v>
      </c>
      <c r="AJ153" s="56"/>
      <c r="AK153" s="42" t="s">
        <v>538</v>
      </c>
      <c r="AL153" s="4">
        <v>901022</v>
      </c>
      <c r="AM153" s="4" t="s">
        <v>1672</v>
      </c>
      <c r="AN153" s="4" t="s">
        <v>2186</v>
      </c>
      <c r="AO153" s="4" t="s">
        <v>2187</v>
      </c>
      <c r="AP153" s="34" t="s">
        <v>2188</v>
      </c>
      <c r="AQ153" s="4">
        <v>1</v>
      </c>
      <c r="AR153" s="4" t="s">
        <v>934</v>
      </c>
      <c r="AS153" s="4" t="s">
        <v>10</v>
      </c>
      <c r="AT153" s="4" t="s">
        <v>10</v>
      </c>
      <c r="AU153" s="4" t="s">
        <v>502</v>
      </c>
      <c r="AV153" s="4" t="s">
        <v>641</v>
      </c>
      <c r="AW153" s="34" t="s">
        <v>1776</v>
      </c>
      <c r="AX153" s="4">
        <v>12</v>
      </c>
      <c r="AY153" s="4" t="s">
        <v>1389</v>
      </c>
      <c r="AZ153" s="4" t="s">
        <v>255</v>
      </c>
      <c r="BA153" s="4" t="s">
        <v>10</v>
      </c>
      <c r="BB153" s="4" t="s">
        <v>479</v>
      </c>
      <c r="BC153" s="4" t="s">
        <v>1742</v>
      </c>
      <c r="BD153" s="4" t="s">
        <v>10</v>
      </c>
      <c r="BE153" s="4" t="s">
        <v>10</v>
      </c>
      <c r="BF153" s="4">
        <v>605</v>
      </c>
      <c r="BG153" s="4" t="s">
        <v>180</v>
      </c>
      <c r="BH153" s="4">
        <v>0.13</v>
      </c>
      <c r="BI153" s="4" t="s">
        <v>1673</v>
      </c>
      <c r="BJ153" s="4" t="s">
        <v>10</v>
      </c>
      <c r="BK153" s="4" t="s">
        <v>867</v>
      </c>
      <c r="BL153" s="4">
        <v>901022</v>
      </c>
    </row>
    <row r="154" spans="1:79" s="4" customFormat="1">
      <c r="A154" s="4" t="str">
        <f t="shared" si="2"/>
        <v>SP_LIN6             KS_CPL_C</v>
      </c>
      <c r="B154" s="1"/>
      <c r="C154" s="4">
        <v>901023</v>
      </c>
      <c r="D154" s="6">
        <v>901</v>
      </c>
      <c r="E154" s="306"/>
      <c r="F154" s="4" t="s">
        <v>1086</v>
      </c>
      <c r="G154" s="4" t="s">
        <v>2188</v>
      </c>
      <c r="H154" s="4" t="s">
        <v>610</v>
      </c>
      <c r="N154" s="43" t="s">
        <v>537</v>
      </c>
      <c r="O154" s="260" t="s">
        <v>1097</v>
      </c>
      <c r="P154" s="260" t="s">
        <v>1086</v>
      </c>
      <c r="Q154" s="56"/>
      <c r="R154" s="33"/>
      <c r="AH154" s="42"/>
      <c r="AI154" s="56" t="s">
        <v>1117</v>
      </c>
      <c r="AJ154" s="56"/>
      <c r="AK154" s="42" t="s">
        <v>539</v>
      </c>
      <c r="AL154" s="4">
        <v>901023</v>
      </c>
      <c r="AM154" s="4" t="s">
        <v>2186</v>
      </c>
      <c r="AN154" s="4" t="s">
        <v>2186</v>
      </c>
      <c r="AO154" s="4" t="s">
        <v>2187</v>
      </c>
      <c r="AP154" s="34" t="s">
        <v>2188</v>
      </c>
      <c r="AQ154" s="4">
        <v>1</v>
      </c>
      <c r="AR154" s="4" t="s">
        <v>934</v>
      </c>
      <c r="AS154" s="4" t="s">
        <v>10</v>
      </c>
      <c r="AT154" s="4" t="s">
        <v>10</v>
      </c>
      <c r="AU154" s="4" t="s">
        <v>416</v>
      </c>
      <c r="AV154" s="4" t="s">
        <v>632</v>
      </c>
      <c r="AW154" s="34" t="s">
        <v>1758</v>
      </c>
      <c r="AX154" s="4">
        <v>12</v>
      </c>
      <c r="AY154" s="4" t="s">
        <v>1759</v>
      </c>
      <c r="AZ154" s="4" t="s">
        <v>492</v>
      </c>
      <c r="BA154" s="4" t="s">
        <v>10</v>
      </c>
      <c r="BB154" s="4" t="s">
        <v>479</v>
      </c>
      <c r="BC154" s="4" t="s">
        <v>1742</v>
      </c>
      <c r="BD154" s="4" t="s">
        <v>10</v>
      </c>
      <c r="BE154" s="4" t="s">
        <v>10</v>
      </c>
      <c r="BF154" s="4">
        <v>715</v>
      </c>
      <c r="BG154" s="4" t="s">
        <v>180</v>
      </c>
      <c r="BH154" s="4">
        <v>0.13</v>
      </c>
      <c r="BI154" s="4" t="s">
        <v>1673</v>
      </c>
      <c r="BJ154" s="4" t="s">
        <v>10</v>
      </c>
      <c r="BK154" s="4" t="s">
        <v>867</v>
      </c>
      <c r="BL154" s="4">
        <v>901023</v>
      </c>
    </row>
    <row r="155" spans="1:79" s="4" customFormat="1">
      <c r="AK155" s="42"/>
    </row>
    <row r="156" spans="1:79" s="4" customFormat="1">
      <c r="AK156" s="42"/>
    </row>
    <row r="157" spans="1:79" s="4" customFormat="1">
      <c r="AK157" s="56"/>
    </row>
    <row r="158" spans="1:79" s="4" customFormat="1">
      <c r="AK158" s="56"/>
    </row>
    <row r="159" spans="1:79" s="4" customFormat="1">
      <c r="AK159" s="56"/>
    </row>
    <row r="160" spans="1:79">
      <c r="G160" s="2"/>
      <c r="H160" s="2"/>
      <c r="I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96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</row>
    <row r="161" spans="7:79">
      <c r="G161" s="2"/>
      <c r="H161" s="2"/>
      <c r="I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96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</row>
    <row r="162" spans="7:79">
      <c r="G162" s="2"/>
      <c r="H162" s="2"/>
      <c r="I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96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</row>
    <row r="163" spans="7:79">
      <c r="G163" s="2"/>
      <c r="H163" s="2"/>
      <c r="I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96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</row>
    <row r="164" spans="7:79">
      <c r="G164" s="2"/>
      <c r="H164" s="2"/>
      <c r="I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96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</row>
    <row r="165" spans="7:79">
      <c r="G165" s="2"/>
      <c r="H165" s="2"/>
      <c r="I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96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</row>
    <row r="166" spans="7:79">
      <c r="G166" s="2"/>
      <c r="H166" s="2"/>
      <c r="I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96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</row>
    <row r="167" spans="7:79">
      <c r="G167" s="2"/>
      <c r="H167" s="2"/>
      <c r="I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96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</row>
    <row r="168" spans="7:79">
      <c r="G168" s="2"/>
      <c r="H168" s="2"/>
      <c r="I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96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</row>
    <row r="169" spans="7:79">
      <c r="G169" s="2"/>
      <c r="H169" s="2"/>
      <c r="I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96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</row>
    <row r="170" spans="7:79">
      <c r="G170" s="2"/>
      <c r="H170" s="2"/>
      <c r="I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96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</row>
  </sheetData>
  <autoFilter ref="B1:BZ154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"/>
  <dimension ref="A1:AE22"/>
  <sheetViews>
    <sheetView zoomScale="90" zoomScaleNormal="90" workbookViewId="0">
      <selection activeCell="H18" sqref="H18"/>
    </sheetView>
  </sheetViews>
  <sheetFormatPr baseColWidth="10" defaultColWidth="9.140625" defaultRowHeight="15"/>
  <cols>
    <col min="1" max="1" width="9.140625" style="3"/>
    <col min="2" max="2" width="18.7109375" style="3" customWidth="1"/>
    <col min="3" max="3" width="9.140625" style="3"/>
    <col min="4" max="4" width="13.42578125" style="3" customWidth="1"/>
    <col min="5" max="5" width="15.5703125" style="3" bestFit="1" customWidth="1"/>
    <col min="6" max="6" width="16" style="3" bestFit="1" customWidth="1"/>
    <col min="7" max="7" width="9.5703125" style="3" bestFit="1" customWidth="1"/>
    <col min="8" max="8" width="9.140625" style="3"/>
    <col min="9" max="9" width="14.5703125" style="3" bestFit="1" customWidth="1"/>
    <col min="10" max="10" width="13.5703125" style="3" bestFit="1" customWidth="1"/>
    <col min="11" max="11" width="14" style="3" customWidth="1"/>
    <col min="12" max="12" width="10.85546875" style="3" customWidth="1"/>
    <col min="13" max="13" width="11.140625" style="3" customWidth="1"/>
    <col min="14" max="14" width="18.5703125" style="3" customWidth="1"/>
    <col min="15" max="16" width="13.140625" style="3" customWidth="1"/>
    <col min="17" max="17" width="8.85546875" style="2" customWidth="1"/>
    <col min="18" max="18" width="8.85546875" style="3" customWidth="1"/>
    <col min="19" max="19" width="9.140625" style="38"/>
    <col min="20" max="31" width="9.140625" style="3"/>
  </cols>
  <sheetData>
    <row r="1" spans="2:19" s="63" customFormat="1">
      <c r="Q1" s="5"/>
      <c r="S1" s="38"/>
    </row>
    <row r="2" spans="2:19" s="63" customFormat="1">
      <c r="Q2" s="5"/>
      <c r="S2" s="38"/>
    </row>
    <row r="3" spans="2:19" s="63" customFormat="1">
      <c r="Q3" s="5"/>
      <c r="S3" s="38"/>
    </row>
    <row r="4" spans="2:19" s="63" customFormat="1" ht="15.75">
      <c r="B4" s="74" t="s">
        <v>1093</v>
      </c>
      <c r="C4" s="65"/>
      <c r="D4" s="65"/>
      <c r="E4" s="65"/>
      <c r="F4" s="65"/>
      <c r="G4" s="65"/>
      <c r="H4" s="65"/>
      <c r="I4" s="66"/>
      <c r="J4" s="66"/>
      <c r="K4" s="65"/>
      <c r="L4" s="65"/>
      <c r="M4" s="65"/>
      <c r="N4" s="65"/>
      <c r="O4" s="65"/>
      <c r="P4" s="65"/>
      <c r="Q4" s="66"/>
      <c r="R4" s="67"/>
      <c r="S4" s="38"/>
    </row>
    <row r="5" spans="2:19" s="63" customFormat="1" ht="15.75">
      <c r="B5" s="74" t="s">
        <v>34</v>
      </c>
      <c r="C5" s="139"/>
      <c r="D5" s="139"/>
      <c r="E5" s="139"/>
      <c r="F5" s="139"/>
      <c r="G5" s="139"/>
      <c r="H5" s="139"/>
      <c r="I5" s="140"/>
      <c r="J5" s="140"/>
      <c r="K5" s="139"/>
      <c r="L5" s="139"/>
      <c r="M5" s="139"/>
      <c r="N5" s="139"/>
      <c r="O5" s="139"/>
      <c r="P5" s="139"/>
      <c r="Q5" s="322" t="s">
        <v>2223</v>
      </c>
      <c r="R5" s="322" t="s">
        <v>2223</v>
      </c>
      <c r="S5" s="38"/>
    </row>
    <row r="6" spans="2:19" s="63" customFormat="1" ht="21">
      <c r="B6" s="319" t="s">
        <v>2412</v>
      </c>
      <c r="C6" s="141"/>
      <c r="D6" s="141"/>
      <c r="E6" s="141"/>
      <c r="F6" s="141"/>
      <c r="G6" s="141"/>
      <c r="H6" s="141"/>
      <c r="I6" s="141"/>
      <c r="J6" s="141"/>
      <c r="K6" s="142"/>
      <c r="L6" s="141"/>
      <c r="M6" s="141"/>
      <c r="N6" s="141"/>
      <c r="O6" s="141"/>
      <c r="P6" s="141"/>
      <c r="Q6" s="323" t="s">
        <v>1075</v>
      </c>
      <c r="R6" s="323" t="s">
        <v>1076</v>
      </c>
      <c r="S6" s="38"/>
    </row>
    <row r="7" spans="2:19" s="63" customFormat="1" ht="24.75">
      <c r="B7" s="143"/>
      <c r="C7" s="139"/>
      <c r="D7" s="139"/>
      <c r="E7" s="144"/>
      <c r="F7" s="144"/>
      <c r="G7" s="144"/>
      <c r="H7" s="141"/>
      <c r="I7" s="140"/>
      <c r="J7" s="140"/>
      <c r="K7" s="139"/>
      <c r="L7" s="139"/>
      <c r="M7" s="141"/>
      <c r="N7" s="141"/>
      <c r="O7" s="141"/>
      <c r="P7" s="141"/>
      <c r="Q7" s="323" t="s">
        <v>1095</v>
      </c>
      <c r="R7" s="323" t="s">
        <v>1095</v>
      </c>
      <c r="S7" s="38"/>
    </row>
    <row r="8" spans="2:19" s="63" customFormat="1" ht="24">
      <c r="B8" s="139"/>
      <c r="C8" s="145"/>
      <c r="D8" s="145"/>
      <c r="E8" s="145"/>
      <c r="F8" s="145"/>
      <c r="G8" s="145"/>
      <c r="H8" s="141"/>
      <c r="I8" s="140"/>
      <c r="J8" s="140"/>
      <c r="K8" s="139"/>
      <c r="L8" s="139"/>
      <c r="M8" s="139"/>
      <c r="N8" s="139"/>
      <c r="P8" s="156" t="s">
        <v>582</v>
      </c>
      <c r="Q8" s="322" t="s">
        <v>1077</v>
      </c>
      <c r="R8" s="322" t="s">
        <v>1077</v>
      </c>
      <c r="S8" s="38"/>
    </row>
    <row r="9" spans="2:19" s="63" customFormat="1" ht="25.5">
      <c r="B9" s="147" t="s">
        <v>583</v>
      </c>
      <c r="C9" s="148" t="s">
        <v>584</v>
      </c>
      <c r="D9" s="148" t="s">
        <v>1105</v>
      </c>
      <c r="E9" s="148" t="s">
        <v>585</v>
      </c>
      <c r="F9" s="149" t="s">
        <v>586</v>
      </c>
      <c r="G9" s="127" t="s">
        <v>1222</v>
      </c>
      <c r="H9" s="149" t="s">
        <v>587</v>
      </c>
      <c r="I9" s="149" t="s">
        <v>588</v>
      </c>
      <c r="J9" s="149" t="s">
        <v>1227</v>
      </c>
      <c r="K9" s="150" t="s">
        <v>590</v>
      </c>
      <c r="L9" s="150" t="s">
        <v>591</v>
      </c>
      <c r="M9" s="150" t="s">
        <v>592</v>
      </c>
      <c r="N9" s="150" t="s">
        <v>593</v>
      </c>
      <c r="O9" s="129" t="s">
        <v>1223</v>
      </c>
      <c r="P9" s="127" t="s">
        <v>587</v>
      </c>
      <c r="Q9" s="71">
        <v>1</v>
      </c>
      <c r="R9" s="71">
        <v>2</v>
      </c>
      <c r="S9" s="38"/>
    </row>
    <row r="10" spans="2:19" s="63" customFormat="1">
      <c r="B10" s="498" t="s">
        <v>2631</v>
      </c>
      <c r="C10" s="68" t="s">
        <v>1106</v>
      </c>
      <c r="D10" s="146">
        <v>100</v>
      </c>
      <c r="E10" s="501" t="s">
        <v>2618</v>
      </c>
      <c r="F10" s="70" t="s">
        <v>2374</v>
      </c>
      <c r="G10" s="500" t="s">
        <v>2181</v>
      </c>
      <c r="H10" s="516" t="s">
        <v>2077</v>
      </c>
      <c r="I10" s="150" t="s">
        <v>2399</v>
      </c>
      <c r="J10" s="520" t="s">
        <v>2182</v>
      </c>
      <c r="K10" s="70" t="s">
        <v>1078</v>
      </c>
      <c r="L10" s="69"/>
      <c r="M10" s="69"/>
      <c r="N10" s="70" t="s">
        <v>239</v>
      </c>
      <c r="O10" s="153">
        <v>1</v>
      </c>
      <c r="P10" s="153"/>
      <c r="Q10" s="168" t="s">
        <v>620</v>
      </c>
      <c r="R10" s="168" t="s">
        <v>620</v>
      </c>
      <c r="S10" s="38"/>
    </row>
    <row r="11" spans="2:19" s="63" customFormat="1">
      <c r="B11" s="498" t="s">
        <v>2631</v>
      </c>
      <c r="C11" s="68" t="s">
        <v>1106</v>
      </c>
      <c r="D11" s="146">
        <v>100</v>
      </c>
      <c r="E11" s="502" t="s">
        <v>2619</v>
      </c>
      <c r="F11" s="70" t="s">
        <v>2492</v>
      </c>
      <c r="G11" s="500" t="s">
        <v>2181</v>
      </c>
      <c r="H11" s="516" t="s">
        <v>2077</v>
      </c>
      <c r="I11" s="360" t="s">
        <v>2399</v>
      </c>
      <c r="J11" s="193"/>
      <c r="K11" s="70" t="s">
        <v>1078</v>
      </c>
      <c r="L11" s="69"/>
      <c r="M11" s="69"/>
      <c r="N11" s="70" t="s">
        <v>239</v>
      </c>
      <c r="O11" s="153">
        <v>1</v>
      </c>
      <c r="P11" s="153"/>
      <c r="Q11" s="168" t="s">
        <v>620</v>
      </c>
      <c r="R11" s="168" t="s">
        <v>620</v>
      </c>
      <c r="S11" s="38"/>
    </row>
    <row r="12" spans="2:19" s="63" customFormat="1">
      <c r="B12" s="68"/>
      <c r="C12" s="68" t="s">
        <v>1106</v>
      </c>
      <c r="D12" s="168">
        <v>200</v>
      </c>
      <c r="E12" s="320" t="s">
        <v>2542</v>
      </c>
      <c r="F12" s="70" t="s">
        <v>680</v>
      </c>
      <c r="G12" s="370" t="s">
        <v>2449</v>
      </c>
      <c r="H12" s="517" t="s">
        <v>2428</v>
      </c>
      <c r="I12" s="321" t="s">
        <v>2401</v>
      </c>
      <c r="J12" s="522" t="s">
        <v>2183</v>
      </c>
      <c r="K12" s="70" t="s">
        <v>1079</v>
      </c>
      <c r="L12" s="69"/>
      <c r="M12" s="69"/>
      <c r="N12" s="70" t="s">
        <v>1255</v>
      </c>
      <c r="O12" s="152"/>
      <c r="P12" s="70"/>
      <c r="Q12" s="168" t="s">
        <v>10</v>
      </c>
      <c r="R12" s="168" t="s">
        <v>620</v>
      </c>
      <c r="S12" s="38"/>
    </row>
    <row r="13" spans="2:19" s="63" customFormat="1">
      <c r="B13" s="68"/>
      <c r="C13" s="68" t="s">
        <v>1106</v>
      </c>
      <c r="D13" s="71">
        <v>200</v>
      </c>
      <c r="E13" s="320" t="s">
        <v>2535</v>
      </c>
      <c r="F13" s="70" t="s">
        <v>682</v>
      </c>
      <c r="G13" s="370" t="s">
        <v>2520</v>
      </c>
      <c r="H13" s="516" t="s">
        <v>2449</v>
      </c>
      <c r="I13" s="150" t="s">
        <v>2401</v>
      </c>
      <c r="J13" s="520" t="s">
        <v>2183</v>
      </c>
      <c r="K13" s="70" t="s">
        <v>1079</v>
      </c>
      <c r="L13" s="69"/>
      <c r="M13" s="69"/>
      <c r="N13" s="70" t="s">
        <v>1256</v>
      </c>
      <c r="O13" s="70"/>
      <c r="P13" s="70"/>
      <c r="Q13" s="71" t="s">
        <v>10</v>
      </c>
      <c r="R13" s="71" t="s">
        <v>620</v>
      </c>
      <c r="S13" s="38"/>
    </row>
    <row r="14" spans="2:19" s="63" customFormat="1">
      <c r="B14" s="68"/>
      <c r="C14" s="68" t="s">
        <v>1106</v>
      </c>
      <c r="D14" s="71">
        <v>200</v>
      </c>
      <c r="E14" s="320" t="s">
        <v>2534</v>
      </c>
      <c r="F14" s="70" t="s">
        <v>2359</v>
      </c>
      <c r="G14" s="370" t="s">
        <v>2398</v>
      </c>
      <c r="H14" s="516" t="s">
        <v>2181</v>
      </c>
      <c r="I14" s="150" t="s">
        <v>2401</v>
      </c>
      <c r="J14" s="520" t="s">
        <v>2183</v>
      </c>
      <c r="K14" s="70" t="s">
        <v>1079</v>
      </c>
      <c r="L14" s="69"/>
      <c r="M14" s="69"/>
      <c r="N14" s="70" t="s">
        <v>2361</v>
      </c>
      <c r="O14" s="70"/>
      <c r="P14" s="70"/>
      <c r="Q14" s="71" t="s">
        <v>10</v>
      </c>
      <c r="R14" s="71" t="s">
        <v>620</v>
      </c>
      <c r="S14" s="38"/>
    </row>
    <row r="15" spans="2:19" s="63" customFormat="1">
      <c r="E15" s="35"/>
      <c r="F15" s="35"/>
      <c r="G15" s="35"/>
      <c r="H15" s="35"/>
      <c r="Q15" s="5"/>
      <c r="S15" s="38"/>
    </row>
    <row r="16" spans="2:19" s="63" customFormat="1">
      <c r="H16" s="64"/>
      <c r="I16" s="64"/>
      <c r="J16" s="64"/>
      <c r="K16" s="64"/>
      <c r="Q16" s="5"/>
      <c r="S16" s="38"/>
    </row>
    <row r="17" spans="8:19" s="63" customFormat="1">
      <c r="H17" s="64"/>
      <c r="I17" s="75"/>
      <c r="J17" s="64"/>
      <c r="K17" s="64"/>
      <c r="Q17" s="5"/>
      <c r="S17" s="38"/>
    </row>
    <row r="18" spans="8:19" s="63" customFormat="1">
      <c r="H18" s="64"/>
      <c r="I18" s="73"/>
      <c r="J18" s="64"/>
      <c r="K18" s="64"/>
      <c r="Q18" s="5"/>
      <c r="S18" s="38"/>
    </row>
    <row r="19" spans="8:19" s="63" customFormat="1">
      <c r="H19" s="64"/>
      <c r="I19" s="64"/>
      <c r="J19" s="64"/>
      <c r="K19" s="64"/>
      <c r="Q19" s="5"/>
      <c r="S19" s="38"/>
    </row>
    <row r="20" spans="8:19" s="63" customFormat="1">
      <c r="H20" s="64"/>
      <c r="I20" s="64"/>
      <c r="J20" s="64"/>
      <c r="K20" s="64"/>
      <c r="Q20" s="5"/>
      <c r="S20" s="38"/>
    </row>
    <row r="21" spans="8:19" s="63" customFormat="1">
      <c r="Q21" s="5"/>
      <c r="S21" s="38"/>
    </row>
    <row r="22" spans="8:19" s="63" customFormat="1">
      <c r="Q22" s="5"/>
      <c r="S22" s="3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"/>
  <dimension ref="A1:X21"/>
  <sheetViews>
    <sheetView zoomScale="90" zoomScaleNormal="90" workbookViewId="0">
      <selection activeCell="J10" sqref="J10:J13"/>
    </sheetView>
  </sheetViews>
  <sheetFormatPr baseColWidth="10" defaultColWidth="9.140625" defaultRowHeight="15"/>
  <cols>
    <col min="1" max="1" width="15.42578125" style="3" customWidth="1"/>
    <col min="2" max="2" width="16" customWidth="1"/>
    <col min="3" max="3" width="8.85546875"/>
    <col min="4" max="4" width="18.7109375" bestFit="1" customWidth="1"/>
    <col min="5" max="5" width="14.42578125" bestFit="1" customWidth="1"/>
    <col min="6" max="6" width="16.28515625" customWidth="1"/>
    <col min="7" max="7" width="11.85546875" style="3" customWidth="1"/>
    <col min="8" max="8" width="9.28515625" customWidth="1"/>
    <col min="9" max="9" width="14.140625" bestFit="1" customWidth="1"/>
    <col min="10" max="10" width="19.42578125" customWidth="1"/>
    <col min="11" max="11" width="36.42578125" bestFit="1" customWidth="1"/>
    <col min="12" max="13" width="8.85546875"/>
    <col min="14" max="14" width="16.140625" customWidth="1"/>
    <col min="15" max="15" width="14" style="3" customWidth="1"/>
    <col min="16" max="16" width="12.28515625" bestFit="1" customWidth="1"/>
    <col min="17" max="18" width="6.140625" customWidth="1"/>
    <col min="19" max="20" width="6.140625" style="2" customWidth="1"/>
    <col min="21" max="24" width="6.140625" customWidth="1"/>
    <col min="25" max="25" width="14.140625" style="2" customWidth="1"/>
    <col min="26" max="16384" width="9.140625" style="2"/>
  </cols>
  <sheetData>
    <row r="1" spans="1:24">
      <c r="B1" s="3"/>
      <c r="C1" s="3"/>
      <c r="D1" s="3"/>
      <c r="E1" s="3"/>
      <c r="F1" s="3"/>
      <c r="H1" s="3"/>
      <c r="I1" s="3"/>
      <c r="J1" s="3"/>
      <c r="K1" s="3"/>
      <c r="L1" s="3"/>
      <c r="M1" s="3"/>
      <c r="N1" s="3"/>
      <c r="P1" s="3"/>
      <c r="Q1" s="3"/>
      <c r="R1" s="3"/>
      <c r="U1" s="3"/>
      <c r="V1" s="3"/>
      <c r="W1" s="3"/>
      <c r="X1" s="3"/>
    </row>
    <row r="2" spans="1:24">
      <c r="B2" s="3"/>
      <c r="C2" s="3"/>
      <c r="D2" s="3"/>
      <c r="E2" s="3"/>
      <c r="F2" s="3"/>
      <c r="H2" s="3"/>
      <c r="I2" s="3"/>
      <c r="J2" s="3"/>
      <c r="K2" s="3"/>
      <c r="L2" s="3"/>
      <c r="M2" s="3"/>
      <c r="N2" s="3"/>
      <c r="P2" s="3"/>
      <c r="Q2" s="3"/>
      <c r="R2" s="3"/>
      <c r="U2" s="3"/>
      <c r="V2" s="3"/>
      <c r="W2" s="3"/>
      <c r="X2" s="3"/>
    </row>
    <row r="3" spans="1:24">
      <c r="B3" s="3"/>
      <c r="C3" s="3"/>
      <c r="D3" s="3"/>
      <c r="E3" s="3"/>
      <c r="F3" s="3"/>
      <c r="H3" s="3"/>
      <c r="I3" s="3"/>
      <c r="J3" s="3"/>
      <c r="K3" s="3"/>
      <c r="L3" s="3"/>
      <c r="M3" s="3"/>
      <c r="N3" s="3"/>
      <c r="P3" s="3"/>
      <c r="Q3" s="3"/>
      <c r="R3" s="3"/>
      <c r="U3" s="3"/>
      <c r="V3" s="3"/>
      <c r="W3" s="3"/>
      <c r="X3" s="3"/>
    </row>
    <row r="4" spans="1:24" s="5" customFormat="1" ht="15.75">
      <c r="A4" s="63"/>
      <c r="B4" s="74" t="s">
        <v>1094</v>
      </c>
      <c r="C4" s="65"/>
      <c r="D4" s="65"/>
      <c r="E4" s="65"/>
      <c r="F4" s="65"/>
      <c r="G4" s="65"/>
      <c r="H4" s="65"/>
      <c r="I4" s="66"/>
      <c r="J4" s="66"/>
      <c r="K4" s="65"/>
      <c r="L4" s="65"/>
      <c r="M4" s="65"/>
      <c r="N4" s="65"/>
      <c r="O4" s="65"/>
      <c r="P4" s="65"/>
      <c r="Q4" s="66"/>
      <c r="R4" s="67"/>
      <c r="S4" s="166"/>
      <c r="T4" s="166"/>
      <c r="U4" s="63"/>
      <c r="V4" s="63"/>
      <c r="W4" s="63"/>
      <c r="X4" s="63"/>
    </row>
    <row r="5" spans="1:24" s="5" customFormat="1" ht="15.75">
      <c r="A5" s="63"/>
      <c r="B5" s="74" t="s">
        <v>34</v>
      </c>
      <c r="C5" s="139"/>
      <c r="D5" s="139"/>
      <c r="E5" s="139"/>
      <c r="F5" s="139"/>
      <c r="G5" s="139"/>
      <c r="H5" s="139"/>
      <c r="I5" s="140"/>
      <c r="J5" s="140"/>
      <c r="K5" s="139"/>
      <c r="L5" s="139"/>
      <c r="M5" s="139"/>
      <c r="N5" s="139"/>
      <c r="O5" s="139"/>
      <c r="P5" s="139"/>
      <c r="Q5" s="322" t="s">
        <v>2223</v>
      </c>
      <c r="R5" s="322" t="s">
        <v>2223</v>
      </c>
      <c r="S5" s="322" t="s">
        <v>2223</v>
      </c>
      <c r="T5" s="322" t="s">
        <v>2223</v>
      </c>
      <c r="U5" s="322" t="s">
        <v>2223</v>
      </c>
      <c r="V5" s="322" t="s">
        <v>2223</v>
      </c>
      <c r="W5" s="322" t="s">
        <v>2223</v>
      </c>
      <c r="X5" s="322" t="s">
        <v>2223</v>
      </c>
    </row>
    <row r="6" spans="1:24" s="5" customFormat="1" ht="21">
      <c r="A6" s="63"/>
      <c r="B6" s="319" t="s">
        <v>2413</v>
      </c>
      <c r="C6" s="141"/>
      <c r="D6" s="141"/>
      <c r="E6" s="141"/>
      <c r="F6" s="141"/>
      <c r="G6" s="141"/>
      <c r="H6" s="141"/>
      <c r="I6" s="141"/>
      <c r="J6" s="141"/>
      <c r="K6" s="142"/>
      <c r="L6" s="141"/>
      <c r="M6" s="141"/>
      <c r="N6" s="141"/>
      <c r="O6" s="141"/>
      <c r="P6" s="141"/>
      <c r="Q6" s="323" t="s">
        <v>1075</v>
      </c>
      <c r="R6" s="323" t="s">
        <v>1076</v>
      </c>
      <c r="S6" s="323" t="s">
        <v>1675</v>
      </c>
      <c r="T6" s="323" t="s">
        <v>1676</v>
      </c>
      <c r="U6" s="323" t="s">
        <v>2171</v>
      </c>
      <c r="V6" s="323" t="s">
        <v>2172</v>
      </c>
      <c r="W6" s="323" t="s">
        <v>2173</v>
      </c>
      <c r="X6" s="323" t="s">
        <v>2174</v>
      </c>
    </row>
    <row r="7" spans="1:24" s="5" customFormat="1" ht="24.75">
      <c r="A7" s="63"/>
      <c r="B7" s="141"/>
      <c r="C7" s="140"/>
      <c r="D7" s="140"/>
      <c r="E7" s="145"/>
      <c r="F7" s="145"/>
      <c r="G7" s="145"/>
      <c r="H7" s="141"/>
      <c r="I7" s="140"/>
      <c r="J7" s="140"/>
      <c r="K7" s="140"/>
      <c r="L7" s="140"/>
      <c r="M7" s="141"/>
      <c r="N7" s="141"/>
      <c r="O7" s="141"/>
      <c r="P7" s="141"/>
      <c r="Q7" s="323" t="s">
        <v>1096</v>
      </c>
      <c r="R7" s="323" t="s">
        <v>1096</v>
      </c>
      <c r="S7" s="323" t="s">
        <v>1096</v>
      </c>
      <c r="T7" s="323" t="s">
        <v>1096</v>
      </c>
      <c r="U7" s="323" t="s">
        <v>1096</v>
      </c>
      <c r="V7" s="323" t="s">
        <v>1096</v>
      </c>
      <c r="W7" s="323" t="s">
        <v>1096</v>
      </c>
      <c r="X7" s="323" t="s">
        <v>1096</v>
      </c>
    </row>
    <row r="8" spans="1:24" s="5" customFormat="1" ht="24">
      <c r="A8" s="63"/>
      <c r="B8" s="140"/>
      <c r="C8" s="145"/>
      <c r="D8" s="140"/>
      <c r="E8" s="145"/>
      <c r="F8" s="145"/>
      <c r="G8" s="145"/>
      <c r="H8" s="141"/>
      <c r="I8" s="140"/>
      <c r="J8" s="140"/>
      <c r="K8" s="140"/>
      <c r="L8" s="140"/>
      <c r="M8" s="140"/>
      <c r="N8" s="140"/>
      <c r="O8" s="140"/>
      <c r="P8" s="155" t="s">
        <v>582</v>
      </c>
      <c r="Q8" s="322" t="s">
        <v>1077</v>
      </c>
      <c r="R8" s="322" t="s">
        <v>1077</v>
      </c>
      <c r="S8" s="322" t="s">
        <v>1077</v>
      </c>
      <c r="T8" s="322" t="s">
        <v>1077</v>
      </c>
      <c r="U8" s="322" t="s">
        <v>1077</v>
      </c>
      <c r="V8" s="322" t="s">
        <v>1077</v>
      </c>
      <c r="W8" s="322" t="s">
        <v>1077</v>
      </c>
      <c r="X8" s="322" t="s">
        <v>1077</v>
      </c>
    </row>
    <row r="9" spans="1:24" s="5" customFormat="1" ht="25.5">
      <c r="A9" s="63"/>
      <c r="B9" s="147" t="s">
        <v>583</v>
      </c>
      <c r="C9" s="148" t="s">
        <v>584</v>
      </c>
      <c r="D9" s="127" t="s">
        <v>1105</v>
      </c>
      <c r="E9" s="148" t="s">
        <v>585</v>
      </c>
      <c r="F9" s="149" t="s">
        <v>586</v>
      </c>
      <c r="G9" s="127" t="s">
        <v>1222</v>
      </c>
      <c r="H9" s="149" t="s">
        <v>587</v>
      </c>
      <c r="I9" s="149" t="s">
        <v>588</v>
      </c>
      <c r="J9" s="149" t="s">
        <v>589</v>
      </c>
      <c r="K9" s="150" t="s">
        <v>590</v>
      </c>
      <c r="L9" s="150" t="s">
        <v>591</v>
      </c>
      <c r="M9" s="150" t="s">
        <v>592</v>
      </c>
      <c r="N9" s="150" t="s">
        <v>593</v>
      </c>
      <c r="O9" s="129" t="s">
        <v>1223</v>
      </c>
      <c r="P9" s="151" t="s">
        <v>587</v>
      </c>
      <c r="Q9" s="71">
        <v>1</v>
      </c>
      <c r="R9" s="71">
        <v>2</v>
      </c>
      <c r="S9" s="366">
        <v>3</v>
      </c>
      <c r="T9" s="366">
        <v>4</v>
      </c>
      <c r="U9" s="71">
        <v>5</v>
      </c>
      <c r="V9" s="71">
        <v>6</v>
      </c>
      <c r="W9" s="366">
        <v>7</v>
      </c>
      <c r="X9" s="366">
        <v>8</v>
      </c>
    </row>
    <row r="10" spans="1:24" s="5" customFormat="1">
      <c r="A10" s="63"/>
      <c r="B10" s="68"/>
      <c r="C10" s="68" t="s">
        <v>1228</v>
      </c>
      <c r="D10" s="71">
        <v>100</v>
      </c>
      <c r="E10" s="324" t="s">
        <v>2407</v>
      </c>
      <c r="F10" s="70" t="s">
        <v>774</v>
      </c>
      <c r="G10" s="370" t="s">
        <v>2398</v>
      </c>
      <c r="H10" s="518" t="s">
        <v>2181</v>
      </c>
      <c r="I10" s="150" t="s">
        <v>2403</v>
      </c>
      <c r="J10" s="520" t="s">
        <v>2175</v>
      </c>
      <c r="K10" s="70" t="s">
        <v>1090</v>
      </c>
      <c r="L10" s="72"/>
      <c r="M10" s="72"/>
      <c r="N10" s="76" t="s">
        <v>2165</v>
      </c>
      <c r="O10" s="154">
        <v>1</v>
      </c>
      <c r="P10" s="72"/>
      <c r="Q10" s="71" t="s">
        <v>620</v>
      </c>
      <c r="R10" s="71" t="s">
        <v>620</v>
      </c>
      <c r="S10" s="71" t="s">
        <v>620</v>
      </c>
      <c r="T10" s="71" t="s">
        <v>620</v>
      </c>
      <c r="U10" s="325" t="s">
        <v>10</v>
      </c>
      <c r="V10" s="325" t="s">
        <v>10</v>
      </c>
      <c r="W10" s="325" t="s">
        <v>10</v>
      </c>
      <c r="X10" s="325" t="s">
        <v>10</v>
      </c>
    </row>
    <row r="11" spans="1:24" s="5" customFormat="1">
      <c r="B11" s="68"/>
      <c r="C11" s="68" t="s">
        <v>1228</v>
      </c>
      <c r="D11" s="71">
        <v>101</v>
      </c>
      <c r="E11" s="324" t="s">
        <v>2408</v>
      </c>
      <c r="F11" s="70" t="s">
        <v>2166</v>
      </c>
      <c r="G11" s="370" t="s">
        <v>2077</v>
      </c>
      <c r="H11" s="518" t="s">
        <v>1117</v>
      </c>
      <c r="I11" s="150" t="s">
        <v>2404</v>
      </c>
      <c r="J11" s="520" t="s">
        <v>2169</v>
      </c>
      <c r="K11" s="70" t="s">
        <v>2170</v>
      </c>
      <c r="L11" s="72"/>
      <c r="M11" s="72"/>
      <c r="N11" s="76" t="s">
        <v>2167</v>
      </c>
      <c r="O11" s="154">
        <v>1</v>
      </c>
      <c r="P11" s="72"/>
      <c r="Q11" s="71" t="s">
        <v>10</v>
      </c>
      <c r="R11" s="71" t="s">
        <v>10</v>
      </c>
      <c r="S11" s="71" t="s">
        <v>10</v>
      </c>
      <c r="T11" s="71" t="s">
        <v>10</v>
      </c>
      <c r="U11" s="71" t="s">
        <v>620</v>
      </c>
      <c r="V11" s="71" t="s">
        <v>620</v>
      </c>
      <c r="W11" s="71" t="s">
        <v>620</v>
      </c>
      <c r="X11" s="71" t="s">
        <v>620</v>
      </c>
    </row>
    <row r="12" spans="1:24" s="5" customFormat="1">
      <c r="A12" s="63"/>
      <c r="B12" s="160"/>
      <c r="C12" s="68" t="s">
        <v>1228</v>
      </c>
      <c r="D12" s="71">
        <v>200</v>
      </c>
      <c r="E12" s="320" t="s">
        <v>2409</v>
      </c>
      <c r="F12" s="70" t="s">
        <v>2373</v>
      </c>
      <c r="G12" s="370" t="s">
        <v>1117</v>
      </c>
      <c r="H12" s="516" t="s">
        <v>1116</v>
      </c>
      <c r="I12" s="150" t="s">
        <v>2405</v>
      </c>
      <c r="J12" s="520" t="s">
        <v>2176</v>
      </c>
      <c r="K12" s="76" t="s">
        <v>1251</v>
      </c>
      <c r="L12" s="69"/>
      <c r="M12" s="69"/>
      <c r="N12" s="76" t="s">
        <v>766</v>
      </c>
      <c r="O12" s="76"/>
      <c r="P12" s="69"/>
      <c r="Q12" s="71" t="s">
        <v>10</v>
      </c>
      <c r="R12" s="71" t="s">
        <v>620</v>
      </c>
      <c r="S12" s="325" t="s">
        <v>10</v>
      </c>
      <c r="T12" s="71" t="s">
        <v>620</v>
      </c>
      <c r="U12" s="71" t="s">
        <v>10</v>
      </c>
      <c r="V12" s="71" t="s">
        <v>620</v>
      </c>
      <c r="W12" s="325" t="s">
        <v>10</v>
      </c>
      <c r="X12" s="71" t="s">
        <v>620</v>
      </c>
    </row>
    <row r="13" spans="1:24" s="5" customFormat="1">
      <c r="B13" s="160"/>
      <c r="C13" s="68" t="s">
        <v>1228</v>
      </c>
      <c r="D13" s="71">
        <v>300</v>
      </c>
      <c r="E13" s="320" t="s">
        <v>2410</v>
      </c>
      <c r="F13" s="70" t="s">
        <v>1681</v>
      </c>
      <c r="G13" s="370" t="s">
        <v>2398</v>
      </c>
      <c r="H13" s="519" t="s">
        <v>2181</v>
      </c>
      <c r="I13" s="150" t="s">
        <v>2402</v>
      </c>
      <c r="J13" s="520" t="s">
        <v>2177</v>
      </c>
      <c r="K13" s="76" t="s">
        <v>1674</v>
      </c>
      <c r="L13" s="352"/>
      <c r="M13" s="352"/>
      <c r="N13" s="76" t="s">
        <v>2521</v>
      </c>
      <c r="O13" s="352"/>
      <c r="P13" s="165"/>
      <c r="Q13" s="71" t="s">
        <v>10</v>
      </c>
      <c r="R13" s="71" t="s">
        <v>10</v>
      </c>
      <c r="S13" s="71" t="s">
        <v>620</v>
      </c>
      <c r="T13" s="71" t="s">
        <v>620</v>
      </c>
      <c r="U13" s="71" t="s">
        <v>10</v>
      </c>
      <c r="V13" s="71" t="s">
        <v>10</v>
      </c>
      <c r="W13" s="71" t="s">
        <v>620</v>
      </c>
      <c r="X13" s="71" t="s">
        <v>620</v>
      </c>
    </row>
    <row r="14" spans="1:24" s="5" customFormat="1">
      <c r="B14" s="160"/>
      <c r="C14" s="68" t="s">
        <v>1228</v>
      </c>
      <c r="D14" s="71">
        <v>300</v>
      </c>
      <c r="E14" s="320" t="s">
        <v>2469</v>
      </c>
      <c r="F14" s="70" t="s">
        <v>2459</v>
      </c>
      <c r="G14" s="370" t="s">
        <v>1116</v>
      </c>
      <c r="H14" s="352"/>
      <c r="I14" s="150" t="s">
        <v>2402</v>
      </c>
      <c r="J14" s="363"/>
      <c r="K14" s="76" t="s">
        <v>1674</v>
      </c>
      <c r="L14" s="352"/>
      <c r="M14" s="352"/>
      <c r="N14" s="352" t="s">
        <v>2460</v>
      </c>
      <c r="O14" s="352"/>
      <c r="P14" s="165"/>
      <c r="Q14" s="71" t="s">
        <v>10</v>
      </c>
      <c r="R14" s="71" t="s">
        <v>10</v>
      </c>
      <c r="S14" s="71" t="s">
        <v>620</v>
      </c>
      <c r="T14" s="71" t="s">
        <v>620</v>
      </c>
      <c r="U14" s="71" t="s">
        <v>10</v>
      </c>
      <c r="V14" s="71" t="s">
        <v>10</v>
      </c>
      <c r="W14" s="71" t="s">
        <v>620</v>
      </c>
      <c r="X14" s="71" t="s">
        <v>620</v>
      </c>
    </row>
    <row r="15" spans="1:24" s="5" customFormat="1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U15" s="63"/>
      <c r="V15" s="63"/>
      <c r="W15" s="63"/>
      <c r="X15" s="63"/>
    </row>
    <row r="16" spans="1:24" s="5" customFormat="1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U16" s="63"/>
      <c r="V16" s="63"/>
      <c r="W16" s="63"/>
      <c r="X16" s="63"/>
    </row>
    <row r="17" spans="1:24" s="5" customForma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U17" s="63"/>
      <c r="V17" s="63"/>
      <c r="W17" s="63"/>
      <c r="X17" s="63"/>
    </row>
    <row r="18" spans="1:24" s="5" customFormat="1">
      <c r="A18" s="63"/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U18" s="63"/>
      <c r="V18" s="63"/>
      <c r="W18" s="63"/>
      <c r="X18" s="63"/>
    </row>
    <row r="19" spans="1:24" s="5" customFormat="1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U19" s="63"/>
      <c r="V19" s="63"/>
      <c r="W19" s="63"/>
      <c r="X19" s="63"/>
    </row>
    <row r="20" spans="1:24" s="5" customFormat="1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U20" s="63"/>
      <c r="V20" s="63"/>
      <c r="W20" s="63"/>
      <c r="X20" s="63"/>
    </row>
    <row r="21" spans="1:24" s="5" customFormat="1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U21" s="63"/>
      <c r="V21" s="63"/>
      <c r="W21" s="63"/>
      <c r="X21" s="6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0"/>
  <dimension ref="B2:S15"/>
  <sheetViews>
    <sheetView zoomScale="90" zoomScaleNormal="90" workbookViewId="0">
      <selection activeCell="J17" sqref="J17"/>
    </sheetView>
  </sheetViews>
  <sheetFormatPr baseColWidth="10" defaultColWidth="9.140625" defaultRowHeight="15"/>
  <cols>
    <col min="2" max="2" width="15.7109375" customWidth="1"/>
    <col min="3" max="3" width="5.85546875" customWidth="1"/>
    <col min="4" max="4" width="8.7109375" bestFit="1" customWidth="1"/>
    <col min="5" max="5" width="14.7109375" customWidth="1"/>
    <col min="6" max="6" width="15.7109375" customWidth="1"/>
    <col min="7" max="7" width="10.42578125" customWidth="1"/>
    <col min="8" max="8" width="8.5703125" bestFit="1" customWidth="1"/>
    <col min="9" max="9" width="13.7109375" bestFit="1" customWidth="1"/>
    <col min="10" max="10" width="13.42578125" bestFit="1" customWidth="1"/>
    <col min="11" max="11" width="36.42578125" bestFit="1" customWidth="1"/>
    <col min="12" max="12" width="10.85546875" bestFit="1" customWidth="1"/>
    <col min="13" max="13" width="11.42578125" bestFit="1" customWidth="1"/>
    <col min="14" max="14" width="12" bestFit="1" customWidth="1"/>
    <col min="15" max="15" width="12.28515625" bestFit="1" customWidth="1"/>
    <col min="16" max="16" width="11.7109375" bestFit="1" customWidth="1"/>
  </cols>
  <sheetData>
    <row r="2" spans="2:19" s="3" customFormat="1"/>
    <row r="4" spans="2:19" ht="15.75">
      <c r="B4" s="74" t="s">
        <v>1293</v>
      </c>
      <c r="C4" s="65"/>
      <c r="D4" s="65"/>
      <c r="E4" s="65"/>
      <c r="F4" s="65"/>
      <c r="G4" s="65"/>
      <c r="H4" s="65"/>
      <c r="I4" s="66"/>
      <c r="J4" s="66"/>
      <c r="K4" s="65"/>
      <c r="L4" s="65"/>
      <c r="M4" s="65"/>
      <c r="N4" s="65"/>
      <c r="O4" s="65"/>
      <c r="P4" s="65"/>
      <c r="Q4" s="66"/>
      <c r="R4" s="67"/>
    </row>
    <row r="5" spans="2:19" ht="15.75">
      <c r="B5" s="74" t="s">
        <v>34</v>
      </c>
      <c r="C5" s="139"/>
      <c r="D5" s="139"/>
      <c r="E5" s="139"/>
      <c r="F5" s="139"/>
      <c r="G5" s="139"/>
      <c r="H5" s="139"/>
      <c r="I5" s="140"/>
      <c r="J5" s="140"/>
      <c r="K5" s="139"/>
      <c r="L5" s="139"/>
      <c r="M5" s="139"/>
      <c r="N5" s="139"/>
      <c r="O5" s="139"/>
      <c r="P5" s="139"/>
      <c r="Q5" s="322" t="s">
        <v>2223</v>
      </c>
      <c r="R5" s="322" t="s">
        <v>2223</v>
      </c>
      <c r="S5" s="2"/>
    </row>
    <row r="6" spans="2:19" ht="21">
      <c r="B6" s="319" t="s">
        <v>2414</v>
      </c>
      <c r="C6" s="141"/>
      <c r="D6" s="141"/>
      <c r="E6" s="141"/>
      <c r="F6" s="141"/>
      <c r="G6" s="141"/>
      <c r="H6" s="141"/>
      <c r="I6" s="141"/>
      <c r="J6" s="141"/>
      <c r="K6" s="142"/>
      <c r="L6" s="141"/>
      <c r="M6" s="141"/>
      <c r="N6" s="141"/>
      <c r="O6" s="141"/>
      <c r="P6" s="141"/>
      <c r="Q6" s="323" t="s">
        <v>1075</v>
      </c>
      <c r="R6" s="323" t="s">
        <v>1076</v>
      </c>
      <c r="S6" s="2"/>
    </row>
    <row r="7" spans="2:19" ht="24.75">
      <c r="B7" s="143"/>
      <c r="C7" s="139"/>
      <c r="D7" s="139"/>
      <c r="E7" s="144"/>
      <c r="F7" s="144"/>
      <c r="G7" s="144"/>
      <c r="H7" s="141"/>
      <c r="I7" s="140"/>
      <c r="J7" s="140"/>
      <c r="K7" s="139"/>
      <c r="L7" s="139"/>
      <c r="M7" s="141"/>
      <c r="N7" s="141"/>
      <c r="O7" s="141"/>
      <c r="P7" s="141"/>
      <c r="Q7" s="323" t="s">
        <v>1292</v>
      </c>
      <c r="R7" s="323" t="s">
        <v>1292</v>
      </c>
      <c r="S7" s="2"/>
    </row>
    <row r="8" spans="2:19" ht="24">
      <c r="B8" s="139"/>
      <c r="C8" s="145"/>
      <c r="D8" s="139"/>
      <c r="E8" s="145"/>
      <c r="F8" s="145"/>
      <c r="G8" s="145"/>
      <c r="H8" s="141"/>
      <c r="I8" s="140"/>
      <c r="J8" s="140"/>
      <c r="K8" s="139"/>
      <c r="L8" s="139"/>
      <c r="M8" s="139"/>
      <c r="N8" s="139"/>
      <c r="O8" s="139"/>
      <c r="P8" s="155" t="s">
        <v>582</v>
      </c>
      <c r="Q8" s="322" t="s">
        <v>1077</v>
      </c>
      <c r="R8" s="322" t="s">
        <v>1077</v>
      </c>
      <c r="S8" s="2"/>
    </row>
    <row r="9" spans="2:19" ht="25.5">
      <c r="B9" s="147" t="s">
        <v>583</v>
      </c>
      <c r="C9" s="148" t="s">
        <v>584</v>
      </c>
      <c r="D9" s="127" t="s">
        <v>1105</v>
      </c>
      <c r="E9" s="148" t="s">
        <v>585</v>
      </c>
      <c r="F9" s="149" t="s">
        <v>586</v>
      </c>
      <c r="G9" s="127" t="s">
        <v>1222</v>
      </c>
      <c r="H9" s="149" t="s">
        <v>587</v>
      </c>
      <c r="I9" s="149" t="s">
        <v>588</v>
      </c>
      <c r="J9" s="149" t="s">
        <v>589</v>
      </c>
      <c r="K9" s="150" t="s">
        <v>590</v>
      </c>
      <c r="L9" s="150" t="s">
        <v>591</v>
      </c>
      <c r="M9" s="150" t="s">
        <v>592</v>
      </c>
      <c r="N9" s="150" t="s">
        <v>593</v>
      </c>
      <c r="O9" s="129" t="s">
        <v>1223</v>
      </c>
      <c r="P9" s="151" t="s">
        <v>587</v>
      </c>
      <c r="Q9" s="71">
        <v>1</v>
      </c>
      <c r="R9" s="71">
        <v>2</v>
      </c>
      <c r="S9" s="2"/>
    </row>
    <row r="10" spans="2:19">
      <c r="B10" s="498" t="s">
        <v>2631</v>
      </c>
      <c r="C10" s="68" t="s">
        <v>1289</v>
      </c>
      <c r="D10" s="71">
        <v>100</v>
      </c>
      <c r="E10" s="499" t="s">
        <v>2618</v>
      </c>
      <c r="F10" s="70" t="s">
        <v>2374</v>
      </c>
      <c r="G10" s="500" t="s">
        <v>2181</v>
      </c>
      <c r="H10" s="518" t="s">
        <v>2077</v>
      </c>
      <c r="I10" s="150" t="s">
        <v>2400</v>
      </c>
      <c r="J10" s="520" t="s">
        <v>2184</v>
      </c>
      <c r="K10" s="70" t="s">
        <v>1290</v>
      </c>
      <c r="L10" s="72"/>
      <c r="M10" s="72"/>
      <c r="N10" s="362" t="s">
        <v>239</v>
      </c>
      <c r="O10" s="154">
        <v>1</v>
      </c>
      <c r="P10" s="72"/>
      <c r="Q10" s="71" t="s">
        <v>620</v>
      </c>
      <c r="R10" s="71" t="s">
        <v>620</v>
      </c>
      <c r="S10" s="2"/>
    </row>
    <row r="11" spans="2:19" s="3" customFormat="1">
      <c r="B11" s="498" t="s">
        <v>2631</v>
      </c>
      <c r="C11" s="68" t="s">
        <v>1289</v>
      </c>
      <c r="D11" s="71">
        <v>100</v>
      </c>
      <c r="E11" s="499" t="s">
        <v>2619</v>
      </c>
      <c r="F11" s="70" t="s">
        <v>2492</v>
      </c>
      <c r="G11" s="500" t="s">
        <v>2181</v>
      </c>
      <c r="H11" s="518" t="s">
        <v>2077</v>
      </c>
      <c r="I11" s="360" t="s">
        <v>2400</v>
      </c>
      <c r="J11" s="193"/>
      <c r="K11" s="70" t="s">
        <v>1290</v>
      </c>
      <c r="L11" s="72"/>
      <c r="M11" s="72"/>
      <c r="N11" s="361" t="s">
        <v>239</v>
      </c>
      <c r="O11" s="154">
        <v>1</v>
      </c>
      <c r="P11" s="72"/>
      <c r="Q11" s="71" t="s">
        <v>620</v>
      </c>
      <c r="R11" s="71" t="s">
        <v>620</v>
      </c>
      <c r="S11" s="2"/>
    </row>
    <row r="12" spans="2:19">
      <c r="B12" s="68"/>
      <c r="C12" s="68" t="s">
        <v>1289</v>
      </c>
      <c r="D12" s="71">
        <v>200</v>
      </c>
      <c r="E12" s="320" t="s">
        <v>2411</v>
      </c>
      <c r="F12" s="70" t="s">
        <v>1275</v>
      </c>
      <c r="G12" s="370" t="s">
        <v>2181</v>
      </c>
      <c r="H12" s="516" t="s">
        <v>2077</v>
      </c>
      <c r="I12" s="150" t="s">
        <v>2406</v>
      </c>
      <c r="J12" s="520" t="s">
        <v>2185</v>
      </c>
      <c r="K12" s="76" t="s">
        <v>1291</v>
      </c>
      <c r="L12" s="69"/>
      <c r="M12" s="69"/>
      <c r="N12" s="161" t="s">
        <v>1276</v>
      </c>
      <c r="O12" s="76"/>
      <c r="P12" s="69"/>
      <c r="Q12" s="71" t="s">
        <v>10</v>
      </c>
      <c r="R12" s="71" t="s">
        <v>620</v>
      </c>
      <c r="S12" s="2"/>
    </row>
    <row r="13" spans="2:19"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5"/>
      <c r="R13" s="5"/>
      <c r="S13" s="2"/>
    </row>
    <row r="14" spans="2:19">
      <c r="Q14" s="2"/>
      <c r="R14" s="2"/>
      <c r="S14" s="2"/>
    </row>
    <row r="15" spans="2:19">
      <c r="Q15" s="2"/>
      <c r="R15" s="2"/>
      <c r="S15" s="2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1"/>
  <dimension ref="A1:AD17"/>
  <sheetViews>
    <sheetView workbookViewId="0">
      <selection activeCell="H10" sqref="H10:H11"/>
    </sheetView>
  </sheetViews>
  <sheetFormatPr baseColWidth="10" defaultColWidth="9.140625" defaultRowHeight="15"/>
  <cols>
    <col min="1" max="1" width="10" bestFit="1" customWidth="1"/>
    <col min="2" max="2" width="23.42578125" customWidth="1"/>
    <col min="3" max="3" width="8.42578125" bestFit="1" customWidth="1"/>
    <col min="4" max="4" width="14.7109375" bestFit="1" customWidth="1"/>
    <col min="5" max="5" width="14.42578125" bestFit="1" customWidth="1"/>
    <col min="6" max="6" width="14.28515625" bestFit="1" customWidth="1"/>
    <col min="7" max="7" width="6.140625" bestFit="1" customWidth="1"/>
    <col min="8" max="8" width="9.7109375" bestFit="1" customWidth="1"/>
    <col min="9" max="10" width="9" bestFit="1" customWidth="1"/>
    <col min="11" max="11" width="19.85546875" bestFit="1" customWidth="1"/>
    <col min="12" max="12" width="12.140625" bestFit="1" customWidth="1"/>
    <col min="13" max="13" width="13.7109375" bestFit="1" customWidth="1"/>
    <col min="14" max="14" width="14.140625" bestFit="1" customWidth="1"/>
    <col min="15" max="15" width="12.85546875" bestFit="1" customWidth="1"/>
    <col min="16" max="16" width="9.7109375" customWidth="1"/>
    <col min="17" max="17" width="3.28515625" bestFit="1" customWidth="1"/>
  </cols>
  <sheetData>
    <row r="1" spans="1:30" ht="15.75">
      <c r="A1" s="105"/>
      <c r="B1" s="106" t="s">
        <v>1221</v>
      </c>
      <c r="C1" s="107"/>
      <c r="D1" s="107"/>
      <c r="E1" s="107"/>
      <c r="F1" s="107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7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</row>
    <row r="2" spans="1:30" s="3" customFormat="1" ht="15.75">
      <c r="A2" s="105"/>
      <c r="B2" s="106"/>
      <c r="C2" s="107"/>
      <c r="D2" s="107"/>
      <c r="E2" s="107"/>
      <c r="F2" s="107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7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</row>
    <row r="3" spans="1:30" s="3" customFormat="1" ht="15.75">
      <c r="A3" s="105"/>
      <c r="B3" s="106"/>
      <c r="C3" s="107"/>
      <c r="D3" s="107"/>
      <c r="E3" s="107"/>
      <c r="F3" s="107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7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</row>
    <row r="4" spans="1:30" s="3" customFormat="1" ht="15.75">
      <c r="A4" s="105"/>
      <c r="B4" s="106"/>
      <c r="C4" s="107"/>
      <c r="D4" s="107"/>
      <c r="E4" s="107"/>
      <c r="F4" s="107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7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</row>
    <row r="5" spans="1:30" ht="15.75">
      <c r="A5" s="109"/>
      <c r="B5" s="110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11" t="s">
        <v>2368</v>
      </c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</row>
    <row r="6" spans="1:30" ht="15.75">
      <c r="A6" s="112"/>
      <c r="B6" s="106"/>
      <c r="C6" s="113"/>
      <c r="D6" s="113"/>
      <c r="E6" s="113"/>
      <c r="F6" s="113"/>
      <c r="G6" s="114"/>
      <c r="H6" s="114"/>
      <c r="I6" s="115"/>
      <c r="J6" s="115"/>
      <c r="K6" s="115"/>
      <c r="L6" s="115"/>
      <c r="M6" s="114"/>
      <c r="N6" s="114"/>
      <c r="O6" s="114"/>
      <c r="P6" s="114"/>
      <c r="Q6" s="111" t="s">
        <v>1226</v>
      </c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</row>
    <row r="7" spans="1:30">
      <c r="A7" s="105"/>
      <c r="B7" s="116"/>
      <c r="C7" s="117"/>
      <c r="D7" s="117"/>
      <c r="E7" s="117"/>
      <c r="F7" s="117"/>
      <c r="G7" s="118"/>
      <c r="H7" s="118"/>
      <c r="I7" s="108"/>
      <c r="J7" s="108"/>
      <c r="K7" s="108"/>
      <c r="L7" s="108"/>
      <c r="M7" s="119"/>
      <c r="N7" s="119"/>
      <c r="O7" s="119"/>
      <c r="P7" s="119"/>
      <c r="Q7" s="111" t="s">
        <v>1225</v>
      </c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</row>
    <row r="8" spans="1:30" ht="30" customHeight="1">
      <c r="A8" s="105"/>
      <c r="B8" s="108"/>
      <c r="C8" s="117"/>
      <c r="D8" s="117"/>
      <c r="E8" s="117"/>
      <c r="F8" s="117"/>
      <c r="G8" s="120"/>
      <c r="H8" s="120"/>
      <c r="I8" s="108"/>
      <c r="J8" s="108"/>
      <c r="K8" s="108"/>
      <c r="L8" s="108"/>
      <c r="M8" s="119"/>
      <c r="N8" s="119"/>
      <c r="O8" s="121" t="s">
        <v>582</v>
      </c>
      <c r="P8" s="121"/>
      <c r="Q8" s="122" t="s">
        <v>1224</v>
      </c>
      <c r="R8" s="105"/>
      <c r="S8" s="47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</row>
    <row r="9" spans="1:30" ht="51">
      <c r="A9" s="123"/>
      <c r="B9" s="124" t="s">
        <v>583</v>
      </c>
      <c r="C9" s="125" t="s">
        <v>584</v>
      </c>
      <c r="D9" s="125" t="s">
        <v>1105</v>
      </c>
      <c r="E9" s="125" t="s">
        <v>585</v>
      </c>
      <c r="F9" s="126" t="s">
        <v>586</v>
      </c>
      <c r="G9" s="127" t="s">
        <v>1222</v>
      </c>
      <c r="H9" s="127" t="s">
        <v>587</v>
      </c>
      <c r="I9" s="127" t="s">
        <v>588</v>
      </c>
      <c r="J9" s="127" t="s">
        <v>589</v>
      </c>
      <c r="K9" s="128" t="s">
        <v>590</v>
      </c>
      <c r="L9" s="128" t="s">
        <v>591</v>
      </c>
      <c r="M9" s="128" t="s">
        <v>592</v>
      </c>
      <c r="N9" s="128" t="s">
        <v>593</v>
      </c>
      <c r="O9" s="129" t="s">
        <v>1223</v>
      </c>
      <c r="P9" s="127" t="s">
        <v>587</v>
      </c>
      <c r="Q9" s="130">
        <v>1</v>
      </c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</row>
    <row r="10" spans="1:30" ht="38.25">
      <c r="A10" s="131"/>
      <c r="B10" s="495" t="s">
        <v>2631</v>
      </c>
      <c r="C10" s="132" t="s">
        <v>1221</v>
      </c>
      <c r="D10" s="132">
        <v>100</v>
      </c>
      <c r="E10" s="496" t="s">
        <v>2618</v>
      </c>
      <c r="F10" s="132" t="s">
        <v>2374</v>
      </c>
      <c r="G10" s="497" t="s">
        <v>2181</v>
      </c>
      <c r="H10" s="521" t="s">
        <v>2077</v>
      </c>
      <c r="I10" s="133"/>
      <c r="J10" s="133"/>
      <c r="K10" s="134"/>
      <c r="L10" s="134"/>
      <c r="M10" s="135"/>
      <c r="N10" s="134"/>
      <c r="O10" s="136"/>
      <c r="P10" s="136"/>
      <c r="Q10" s="137" t="s">
        <v>550</v>
      </c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</row>
    <row r="11" spans="1:30" s="3" customFormat="1" ht="38.25">
      <c r="A11" s="131"/>
      <c r="B11" s="495" t="s">
        <v>2631</v>
      </c>
      <c r="C11" s="132" t="s">
        <v>1221</v>
      </c>
      <c r="D11" s="132">
        <v>100</v>
      </c>
      <c r="E11" s="496" t="s">
        <v>2619</v>
      </c>
      <c r="F11" s="364" t="s">
        <v>2492</v>
      </c>
      <c r="G11" s="497" t="s">
        <v>2181</v>
      </c>
      <c r="H11" s="521" t="s">
        <v>2077</v>
      </c>
      <c r="I11" s="133"/>
      <c r="J11" s="133"/>
      <c r="K11" s="134"/>
      <c r="L11" s="134"/>
      <c r="M11" s="135"/>
      <c r="N11" s="134"/>
      <c r="O11" s="136"/>
      <c r="P11" s="136"/>
      <c r="Q11" s="137" t="s">
        <v>550</v>
      </c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</row>
    <row r="12" spans="1:30">
      <c r="E12" s="2"/>
      <c r="F12" s="2"/>
      <c r="G12" s="2"/>
      <c r="H12" s="2"/>
    </row>
    <row r="13" spans="1:30">
      <c r="E13" s="2"/>
      <c r="F13" s="2"/>
      <c r="G13" s="2"/>
      <c r="H13" s="2"/>
    </row>
    <row r="14" spans="1:30">
      <c r="E14" s="2"/>
      <c r="F14" s="2"/>
      <c r="G14" s="2"/>
      <c r="H14" s="2"/>
    </row>
    <row r="17" spans="14:14">
      <c r="N17" s="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"/>
  <dimension ref="B3:G145"/>
  <sheetViews>
    <sheetView workbookViewId="0">
      <selection activeCell="M25" sqref="M25"/>
    </sheetView>
  </sheetViews>
  <sheetFormatPr baseColWidth="10" defaultColWidth="9.140625" defaultRowHeight="15"/>
  <cols>
    <col min="3" max="3" width="14.140625" style="3" bestFit="1" customWidth="1"/>
    <col min="4" max="4" width="14.140625" style="178" customWidth="1"/>
    <col min="5" max="5" width="9.28515625" bestFit="1" customWidth="1"/>
  </cols>
  <sheetData>
    <row r="3" spans="2:7" ht="15.75" thickBot="1"/>
    <row r="4" spans="2:7" ht="15.75" thickBot="1">
      <c r="B4" s="267" t="s">
        <v>34</v>
      </c>
      <c r="C4" s="267" t="s">
        <v>2347</v>
      </c>
      <c r="D4" s="267" t="s">
        <v>2346</v>
      </c>
      <c r="E4" s="267" t="s">
        <v>594</v>
      </c>
      <c r="F4" s="267" t="s">
        <v>595</v>
      </c>
      <c r="G4" s="267" t="s">
        <v>596</v>
      </c>
    </row>
    <row r="5" spans="2:7">
      <c r="B5" s="268" t="s">
        <v>625</v>
      </c>
      <c r="C5" s="264" t="s">
        <v>1744</v>
      </c>
      <c r="D5" s="265" t="s">
        <v>2224</v>
      </c>
      <c r="E5" s="266">
        <v>4</v>
      </c>
      <c r="F5" s="264" t="s">
        <v>550</v>
      </c>
      <c r="G5" s="269"/>
    </row>
    <row r="6" spans="2:7">
      <c r="B6" s="270" t="s">
        <v>872</v>
      </c>
      <c r="C6" s="25" t="s">
        <v>2072</v>
      </c>
      <c r="D6" s="252" t="s">
        <v>2251</v>
      </c>
      <c r="E6" s="26">
        <v>4</v>
      </c>
      <c r="F6" s="25" t="s">
        <v>550</v>
      </c>
      <c r="G6" s="27"/>
    </row>
    <row r="7" spans="2:7">
      <c r="B7" s="271" t="s">
        <v>661</v>
      </c>
      <c r="C7" s="250"/>
      <c r="D7" s="252"/>
      <c r="E7" s="251">
        <v>2</v>
      </c>
      <c r="F7" s="250" t="s">
        <v>550</v>
      </c>
      <c r="G7" s="173"/>
    </row>
    <row r="8" spans="2:7">
      <c r="B8" s="270" t="s">
        <v>732</v>
      </c>
      <c r="C8" s="25" t="s">
        <v>1926</v>
      </c>
      <c r="D8" s="252" t="s">
        <v>2246</v>
      </c>
      <c r="E8" s="26">
        <v>3</v>
      </c>
      <c r="F8" s="25" t="s">
        <v>550</v>
      </c>
      <c r="G8" s="27"/>
    </row>
    <row r="9" spans="2:7">
      <c r="B9" s="270" t="s">
        <v>121</v>
      </c>
      <c r="C9" s="25" t="s">
        <v>1927</v>
      </c>
      <c r="D9" s="252" t="s">
        <v>2247</v>
      </c>
      <c r="E9" s="26">
        <v>3</v>
      </c>
      <c r="F9" s="25" t="s">
        <v>550</v>
      </c>
      <c r="G9" s="27"/>
    </row>
    <row r="10" spans="2:7">
      <c r="B10" s="270" t="s">
        <v>529</v>
      </c>
      <c r="C10" s="25" t="s">
        <v>1923</v>
      </c>
      <c r="D10" s="252" t="s">
        <v>2244</v>
      </c>
      <c r="E10" s="26">
        <v>3</v>
      </c>
      <c r="F10" s="25" t="s">
        <v>550</v>
      </c>
      <c r="G10" s="27"/>
    </row>
    <row r="11" spans="2:7">
      <c r="B11" s="270" t="s">
        <v>542</v>
      </c>
      <c r="C11" s="25" t="s">
        <v>1924</v>
      </c>
      <c r="D11" s="252" t="s">
        <v>2245</v>
      </c>
      <c r="E11" s="26">
        <v>3</v>
      </c>
      <c r="F11" s="25" t="s">
        <v>550</v>
      </c>
      <c r="G11" s="27"/>
    </row>
    <row r="12" spans="2:7">
      <c r="B12" s="270" t="s">
        <v>1189</v>
      </c>
      <c r="C12" s="25" t="s">
        <v>1788</v>
      </c>
      <c r="D12" s="252" t="s">
        <v>2233</v>
      </c>
      <c r="E12" s="26">
        <v>4</v>
      </c>
      <c r="F12" s="25"/>
      <c r="G12" s="27" t="s">
        <v>550</v>
      </c>
    </row>
    <row r="13" spans="2:7">
      <c r="B13" s="270" t="s">
        <v>1190</v>
      </c>
      <c r="C13" s="25" t="s">
        <v>1791</v>
      </c>
      <c r="D13" s="252" t="s">
        <v>2234</v>
      </c>
      <c r="E13" s="26">
        <v>4</v>
      </c>
      <c r="F13" s="25"/>
      <c r="G13" s="27" t="s">
        <v>550</v>
      </c>
    </row>
    <row r="14" spans="2:7">
      <c r="B14" s="270" t="s">
        <v>1191</v>
      </c>
      <c r="C14" s="25" t="s">
        <v>1933</v>
      </c>
      <c r="D14" s="252" t="s">
        <v>2249</v>
      </c>
      <c r="E14" s="26">
        <v>5</v>
      </c>
      <c r="F14" s="25"/>
      <c r="G14" s="27" t="s">
        <v>550</v>
      </c>
    </row>
    <row r="15" spans="2:7">
      <c r="B15" s="270" t="s">
        <v>1192</v>
      </c>
      <c r="C15" s="25" t="s">
        <v>1929</v>
      </c>
      <c r="D15" s="252" t="s">
        <v>2248</v>
      </c>
      <c r="E15" s="26">
        <v>5</v>
      </c>
      <c r="F15" s="25"/>
      <c r="G15" s="27" t="s">
        <v>550</v>
      </c>
    </row>
    <row r="16" spans="2:7">
      <c r="B16" s="271" t="s">
        <v>530</v>
      </c>
      <c r="C16" s="250"/>
      <c r="D16" s="252"/>
      <c r="E16" s="251">
        <v>3</v>
      </c>
      <c r="F16" s="250" t="s">
        <v>550</v>
      </c>
      <c r="G16" s="173"/>
    </row>
    <row r="17" spans="2:7" s="3" customFormat="1">
      <c r="B17" s="270" t="s">
        <v>2078</v>
      </c>
      <c r="C17" s="25" t="s">
        <v>2344</v>
      </c>
      <c r="D17" s="252" t="s">
        <v>2345</v>
      </c>
      <c r="E17" s="25">
        <v>2</v>
      </c>
      <c r="F17" s="25" t="s">
        <v>550</v>
      </c>
      <c r="G17" s="173"/>
    </row>
    <row r="18" spans="2:7" s="3" customFormat="1">
      <c r="B18" s="271" t="s">
        <v>2061</v>
      </c>
      <c r="C18" s="250"/>
      <c r="D18" s="252"/>
      <c r="E18" s="250">
        <v>3</v>
      </c>
      <c r="F18" s="250" t="s">
        <v>550</v>
      </c>
      <c r="G18" s="173"/>
    </row>
    <row r="19" spans="2:7">
      <c r="B19" s="270" t="s">
        <v>252</v>
      </c>
      <c r="C19" s="25" t="s">
        <v>1795</v>
      </c>
      <c r="D19" s="252" t="s">
        <v>2235</v>
      </c>
      <c r="E19" s="26">
        <v>4</v>
      </c>
      <c r="F19" s="25" t="s">
        <v>550</v>
      </c>
      <c r="G19" s="27"/>
    </row>
    <row r="20" spans="2:7">
      <c r="B20" s="270" t="s">
        <v>325</v>
      </c>
      <c r="C20" s="25" t="s">
        <v>1864</v>
      </c>
      <c r="D20" s="252" t="s">
        <v>2238</v>
      </c>
      <c r="E20" s="26">
        <v>6</v>
      </c>
      <c r="F20" s="25" t="s">
        <v>550</v>
      </c>
      <c r="G20" s="27"/>
    </row>
    <row r="21" spans="2:7">
      <c r="B21" s="270" t="s">
        <v>533</v>
      </c>
      <c r="C21" s="25" t="s">
        <v>1871</v>
      </c>
      <c r="D21" s="252" t="s">
        <v>2240</v>
      </c>
      <c r="E21" s="26">
        <v>7</v>
      </c>
      <c r="F21" s="25" t="s">
        <v>550</v>
      </c>
      <c r="G21" s="27"/>
    </row>
    <row r="22" spans="2:7">
      <c r="B22" s="270" t="s">
        <v>531</v>
      </c>
      <c r="C22" s="25" t="s">
        <v>1873</v>
      </c>
      <c r="D22" s="252" t="s">
        <v>2241</v>
      </c>
      <c r="E22" s="26">
        <v>12</v>
      </c>
      <c r="F22" s="25" t="s">
        <v>550</v>
      </c>
      <c r="G22" s="27"/>
    </row>
    <row r="23" spans="2:7">
      <c r="B23" s="270" t="s">
        <v>532</v>
      </c>
      <c r="C23" s="25" t="s">
        <v>1747</v>
      </c>
      <c r="D23" s="252" t="s">
        <v>2225</v>
      </c>
      <c r="E23" s="26">
        <v>9</v>
      </c>
      <c r="F23" s="25" t="s">
        <v>550</v>
      </c>
      <c r="G23" s="27"/>
    </row>
    <row r="24" spans="2:7">
      <c r="B24" s="270" t="s">
        <v>272</v>
      </c>
      <c r="C24" s="25" t="s">
        <v>1766</v>
      </c>
      <c r="D24" s="252" t="s">
        <v>2229</v>
      </c>
      <c r="E24" s="26">
        <v>3</v>
      </c>
      <c r="F24" s="25" t="s">
        <v>550</v>
      </c>
      <c r="G24" s="27"/>
    </row>
    <row r="25" spans="2:7">
      <c r="B25" s="270" t="s">
        <v>662</v>
      </c>
      <c r="C25" s="25" t="s">
        <v>1831</v>
      </c>
      <c r="D25" s="252" t="s">
        <v>2236</v>
      </c>
      <c r="E25" s="26">
        <v>4</v>
      </c>
      <c r="F25" s="25" t="s">
        <v>550</v>
      </c>
      <c r="G25" s="27"/>
    </row>
    <row r="26" spans="2:7">
      <c r="B26" s="270" t="s">
        <v>534</v>
      </c>
      <c r="C26" s="25" t="s">
        <v>1760</v>
      </c>
      <c r="D26" s="252" t="s">
        <v>2231</v>
      </c>
      <c r="E26" s="26">
        <v>6</v>
      </c>
      <c r="F26" s="25" t="s">
        <v>550</v>
      </c>
      <c r="G26" s="27"/>
    </row>
    <row r="27" spans="2:7">
      <c r="B27" s="270" t="s">
        <v>535</v>
      </c>
      <c r="C27" s="25" t="s">
        <v>1775</v>
      </c>
      <c r="D27" s="252" t="s">
        <v>2232</v>
      </c>
      <c r="E27" s="26">
        <v>7</v>
      </c>
      <c r="F27" s="25" t="s">
        <v>550</v>
      </c>
      <c r="G27" s="27"/>
    </row>
    <row r="28" spans="2:7">
      <c r="B28" s="270" t="s">
        <v>1188</v>
      </c>
      <c r="C28" s="25" t="s">
        <v>1751</v>
      </c>
      <c r="D28" s="252" t="s">
        <v>2226</v>
      </c>
      <c r="E28" s="26">
        <v>3</v>
      </c>
      <c r="F28" s="25"/>
      <c r="G28" s="27" t="s">
        <v>550</v>
      </c>
    </row>
    <row r="29" spans="2:7">
      <c r="B29" s="270" t="s">
        <v>1187</v>
      </c>
      <c r="C29" s="25" t="s">
        <v>1754</v>
      </c>
      <c r="D29" s="252" t="s">
        <v>2227</v>
      </c>
      <c r="E29" s="26">
        <v>3</v>
      </c>
      <c r="F29" s="25"/>
      <c r="G29" s="27" t="s">
        <v>550</v>
      </c>
    </row>
    <row r="30" spans="2:7">
      <c r="B30" s="270" t="s">
        <v>684</v>
      </c>
      <c r="C30" s="25" t="s">
        <v>1869</v>
      </c>
      <c r="D30" s="252" t="s">
        <v>2239</v>
      </c>
      <c r="E30" s="26">
        <v>11</v>
      </c>
      <c r="F30" s="25" t="s">
        <v>550</v>
      </c>
      <c r="G30" s="27"/>
    </row>
    <row r="31" spans="2:7">
      <c r="B31" s="270" t="s">
        <v>671</v>
      </c>
      <c r="C31" s="25" t="s">
        <v>1850</v>
      </c>
      <c r="D31" s="252" t="s">
        <v>2237</v>
      </c>
      <c r="E31" s="26">
        <v>3</v>
      </c>
      <c r="F31" s="25" t="s">
        <v>550</v>
      </c>
      <c r="G31" s="27"/>
    </row>
    <row r="32" spans="2:7">
      <c r="B32" s="270" t="s">
        <v>249</v>
      </c>
      <c r="C32" s="25" t="s">
        <v>1940</v>
      </c>
      <c r="D32" s="252" t="s">
        <v>2250</v>
      </c>
      <c r="E32" s="26">
        <v>3</v>
      </c>
      <c r="F32" s="25" t="s">
        <v>550</v>
      </c>
      <c r="G32" s="27"/>
    </row>
    <row r="33" spans="2:7">
      <c r="B33" s="270" t="s">
        <v>250</v>
      </c>
      <c r="C33" s="25" t="s">
        <v>1756</v>
      </c>
      <c r="D33" s="252" t="s">
        <v>2228</v>
      </c>
      <c r="E33" s="26">
        <v>7</v>
      </c>
      <c r="F33" s="25" t="s">
        <v>550</v>
      </c>
      <c r="G33" s="27"/>
    </row>
    <row r="34" spans="2:7">
      <c r="B34" s="270" t="s">
        <v>701</v>
      </c>
      <c r="C34" s="25" t="s">
        <v>1893</v>
      </c>
      <c r="D34" s="252" t="s">
        <v>2242</v>
      </c>
      <c r="E34" s="26">
        <v>3</v>
      </c>
      <c r="F34" s="25" t="s">
        <v>550</v>
      </c>
      <c r="G34" s="27"/>
    </row>
    <row r="35" spans="2:7">
      <c r="B35" s="270" t="s">
        <v>602</v>
      </c>
      <c r="C35" s="25" t="s">
        <v>1907</v>
      </c>
      <c r="D35" s="252" t="s">
        <v>2243</v>
      </c>
      <c r="E35" s="26">
        <v>3</v>
      </c>
      <c r="F35" s="25" t="s">
        <v>550</v>
      </c>
      <c r="G35" s="27"/>
    </row>
    <row r="36" spans="2:7">
      <c r="B36" s="272" t="s">
        <v>1353</v>
      </c>
      <c r="C36" s="25" t="s">
        <v>1761</v>
      </c>
      <c r="D36" s="252" t="s">
        <v>2230</v>
      </c>
      <c r="E36" s="167">
        <v>3</v>
      </c>
      <c r="F36" s="161" t="s">
        <v>550</v>
      </c>
      <c r="G36" s="27"/>
    </row>
    <row r="37" spans="2:7" s="53" customFormat="1">
      <c r="B37" s="271" t="s">
        <v>2064</v>
      </c>
      <c r="C37" s="250"/>
      <c r="D37" s="252"/>
      <c r="E37" s="250">
        <v>2</v>
      </c>
      <c r="F37" s="250" t="s">
        <v>550</v>
      </c>
      <c r="G37" s="27"/>
    </row>
    <row r="38" spans="2:7" s="53" customFormat="1" ht="15.75" thickBot="1">
      <c r="B38" s="326" t="s">
        <v>2187</v>
      </c>
      <c r="C38" s="327" t="s">
        <v>2188</v>
      </c>
      <c r="D38" s="328" t="s">
        <v>2188</v>
      </c>
      <c r="E38" s="329">
        <v>3</v>
      </c>
      <c r="F38" s="327" t="s">
        <v>550</v>
      </c>
      <c r="G38" s="330"/>
    </row>
    <row r="39" spans="2:7" s="53" customFormat="1">
      <c r="D39" s="253"/>
      <c r="E39" s="54"/>
    </row>
    <row r="40" spans="2:7" s="53" customFormat="1">
      <c r="D40" s="253"/>
      <c r="E40" s="54"/>
    </row>
    <row r="41" spans="2:7" s="53" customFormat="1">
      <c r="D41" s="253"/>
      <c r="E41" s="54"/>
    </row>
    <row r="42" spans="2:7" s="53" customFormat="1">
      <c r="D42" s="253"/>
      <c r="E42" s="54"/>
    </row>
    <row r="43" spans="2:7" s="53" customFormat="1">
      <c r="D43" s="253"/>
      <c r="E43" s="54"/>
    </row>
    <row r="44" spans="2:7" s="53" customFormat="1">
      <c r="D44" s="253"/>
      <c r="E44" s="54"/>
    </row>
    <row r="45" spans="2:7" s="53" customFormat="1">
      <c r="D45" s="253"/>
      <c r="E45" s="54"/>
    </row>
    <row r="46" spans="2:7" s="53" customFormat="1">
      <c r="D46" s="253"/>
      <c r="E46" s="54"/>
    </row>
    <row r="47" spans="2:7" s="53" customFormat="1">
      <c r="D47" s="253"/>
      <c r="E47" s="54"/>
    </row>
    <row r="48" spans="2:7" s="53" customFormat="1">
      <c r="D48" s="253"/>
      <c r="E48" s="54"/>
    </row>
    <row r="49" spans="4:5" s="53" customFormat="1">
      <c r="D49" s="253"/>
      <c r="E49" s="54"/>
    </row>
    <row r="50" spans="4:5" s="53" customFormat="1">
      <c r="D50" s="253"/>
      <c r="E50" s="54"/>
    </row>
    <row r="51" spans="4:5" s="53" customFormat="1">
      <c r="D51" s="253"/>
      <c r="E51" s="54"/>
    </row>
    <row r="52" spans="4:5" s="53" customFormat="1">
      <c r="D52" s="253"/>
      <c r="E52" s="54"/>
    </row>
    <row r="53" spans="4:5" s="53" customFormat="1">
      <c r="D53" s="253"/>
      <c r="E53" s="54"/>
    </row>
    <row r="54" spans="4:5" s="53" customFormat="1">
      <c r="D54" s="253"/>
      <c r="E54" s="54"/>
    </row>
    <row r="55" spans="4:5" s="53" customFormat="1">
      <c r="D55" s="253"/>
      <c r="E55" s="54"/>
    </row>
    <row r="56" spans="4:5" s="53" customFormat="1">
      <c r="D56" s="253"/>
      <c r="E56" s="54"/>
    </row>
    <row r="57" spans="4:5" s="53" customFormat="1">
      <c r="D57" s="253"/>
      <c r="E57" s="54"/>
    </row>
    <row r="58" spans="4:5" s="53" customFormat="1">
      <c r="D58" s="253"/>
      <c r="E58" s="54"/>
    </row>
    <row r="59" spans="4:5" s="53" customFormat="1">
      <c r="D59" s="253"/>
      <c r="E59" s="54"/>
    </row>
    <row r="60" spans="4:5" s="53" customFormat="1">
      <c r="D60" s="253"/>
      <c r="E60" s="54"/>
    </row>
    <row r="61" spans="4:5" s="53" customFormat="1">
      <c r="D61" s="253"/>
      <c r="E61" s="54"/>
    </row>
    <row r="62" spans="4:5" s="53" customFormat="1">
      <c r="D62" s="253"/>
      <c r="E62" s="54"/>
    </row>
    <row r="63" spans="4:5" s="53" customFormat="1">
      <c r="D63" s="253"/>
      <c r="E63" s="54"/>
    </row>
    <row r="64" spans="4:5" s="53" customFormat="1">
      <c r="D64" s="253"/>
      <c r="E64" s="54"/>
    </row>
    <row r="65" spans="4:5" s="53" customFormat="1">
      <c r="D65" s="253"/>
      <c r="E65" s="54"/>
    </row>
    <row r="66" spans="4:5" s="53" customFormat="1">
      <c r="D66" s="253"/>
      <c r="E66" s="54"/>
    </row>
    <row r="67" spans="4:5" s="53" customFormat="1">
      <c r="D67" s="253"/>
      <c r="E67" s="54"/>
    </row>
    <row r="68" spans="4:5" s="53" customFormat="1">
      <c r="D68" s="253"/>
      <c r="E68" s="54"/>
    </row>
    <row r="69" spans="4:5" s="53" customFormat="1">
      <c r="D69" s="253"/>
      <c r="E69" s="54"/>
    </row>
    <row r="70" spans="4:5" s="53" customFormat="1">
      <c r="D70" s="253"/>
      <c r="E70" s="54"/>
    </row>
    <row r="71" spans="4:5" s="53" customFormat="1">
      <c r="D71" s="253"/>
      <c r="E71" s="54"/>
    </row>
    <row r="72" spans="4:5" s="53" customFormat="1">
      <c r="D72" s="253"/>
      <c r="E72" s="54"/>
    </row>
    <row r="73" spans="4:5" s="53" customFormat="1">
      <c r="D73" s="253"/>
      <c r="E73" s="54"/>
    </row>
    <row r="74" spans="4:5" s="53" customFormat="1">
      <c r="D74" s="253"/>
      <c r="E74" s="54"/>
    </row>
    <row r="75" spans="4:5" s="53" customFormat="1">
      <c r="D75" s="253"/>
      <c r="E75" s="54"/>
    </row>
    <row r="76" spans="4:5" s="53" customFormat="1">
      <c r="D76" s="253"/>
      <c r="E76" s="54"/>
    </row>
    <row r="77" spans="4:5" s="53" customFormat="1">
      <c r="D77" s="253"/>
      <c r="E77" s="54"/>
    </row>
    <row r="78" spans="4:5" s="53" customFormat="1">
      <c r="D78" s="253"/>
      <c r="E78" s="54"/>
    </row>
    <row r="79" spans="4:5" s="53" customFormat="1">
      <c r="D79" s="253"/>
      <c r="E79" s="54"/>
    </row>
    <row r="80" spans="4:5" s="53" customFormat="1">
      <c r="D80" s="253"/>
      <c r="E80" s="54"/>
    </row>
    <row r="81" spans="4:5" s="53" customFormat="1">
      <c r="D81" s="253"/>
      <c r="E81" s="54"/>
    </row>
    <row r="82" spans="4:5" s="53" customFormat="1">
      <c r="D82" s="253"/>
      <c r="E82" s="54"/>
    </row>
    <row r="83" spans="4:5" s="53" customFormat="1">
      <c r="D83" s="253"/>
      <c r="E83" s="54"/>
    </row>
    <row r="84" spans="4:5" s="53" customFormat="1">
      <c r="D84" s="253"/>
      <c r="E84" s="54"/>
    </row>
    <row r="85" spans="4:5" s="53" customFormat="1">
      <c r="D85" s="253"/>
      <c r="E85" s="54"/>
    </row>
    <row r="86" spans="4:5" s="53" customFormat="1">
      <c r="D86" s="253"/>
      <c r="E86" s="54"/>
    </row>
    <row r="87" spans="4:5" s="53" customFormat="1">
      <c r="D87" s="253"/>
      <c r="E87" s="54"/>
    </row>
    <row r="88" spans="4:5" s="53" customFormat="1">
      <c r="D88" s="253"/>
      <c r="E88" s="54"/>
    </row>
    <row r="89" spans="4:5" s="53" customFormat="1">
      <c r="D89" s="253"/>
      <c r="E89" s="54"/>
    </row>
    <row r="90" spans="4:5" s="53" customFormat="1">
      <c r="D90" s="253"/>
      <c r="E90" s="54"/>
    </row>
    <row r="91" spans="4:5" s="53" customFormat="1">
      <c r="D91" s="253"/>
      <c r="E91" s="54"/>
    </row>
    <row r="92" spans="4:5" s="53" customFormat="1">
      <c r="D92" s="253"/>
      <c r="E92" s="54"/>
    </row>
    <row r="93" spans="4:5" s="53" customFormat="1">
      <c r="D93" s="253"/>
      <c r="E93" s="54"/>
    </row>
    <row r="94" spans="4:5" s="53" customFormat="1">
      <c r="D94" s="253"/>
      <c r="E94" s="54"/>
    </row>
    <row r="95" spans="4:5" s="53" customFormat="1">
      <c r="D95" s="253"/>
      <c r="E95" s="54"/>
    </row>
    <row r="96" spans="4:5" s="53" customFormat="1">
      <c r="D96" s="253"/>
      <c r="E96" s="54"/>
    </row>
    <row r="97" spans="4:5" s="53" customFormat="1">
      <c r="D97" s="253"/>
      <c r="E97" s="54"/>
    </row>
    <row r="98" spans="4:5" s="53" customFormat="1">
      <c r="D98" s="253"/>
      <c r="E98" s="54"/>
    </row>
    <row r="99" spans="4:5" s="53" customFormat="1">
      <c r="D99" s="253"/>
      <c r="E99" s="54"/>
    </row>
    <row r="100" spans="4:5" s="53" customFormat="1">
      <c r="D100" s="253"/>
      <c r="E100" s="54"/>
    </row>
    <row r="101" spans="4:5" s="53" customFormat="1">
      <c r="D101" s="253"/>
      <c r="E101" s="54"/>
    </row>
    <row r="102" spans="4:5" s="53" customFormat="1">
      <c r="D102" s="253"/>
      <c r="E102" s="54"/>
    </row>
    <row r="103" spans="4:5" s="53" customFormat="1">
      <c r="D103" s="253"/>
      <c r="E103" s="54"/>
    </row>
    <row r="104" spans="4:5" s="53" customFormat="1">
      <c r="D104" s="253"/>
      <c r="E104" s="54"/>
    </row>
    <row r="105" spans="4:5" s="53" customFormat="1">
      <c r="D105" s="253"/>
      <c r="E105" s="54"/>
    </row>
    <row r="106" spans="4:5" s="53" customFormat="1">
      <c r="D106" s="253"/>
      <c r="E106" s="54"/>
    </row>
    <row r="107" spans="4:5" s="53" customFormat="1">
      <c r="D107" s="253"/>
      <c r="E107" s="54"/>
    </row>
    <row r="108" spans="4:5" s="53" customFormat="1">
      <c r="D108" s="253"/>
      <c r="E108" s="54"/>
    </row>
    <row r="109" spans="4:5" s="53" customFormat="1">
      <c r="D109" s="253"/>
      <c r="E109" s="54"/>
    </row>
    <row r="110" spans="4:5" s="53" customFormat="1">
      <c r="D110" s="253"/>
      <c r="E110" s="54"/>
    </row>
    <row r="111" spans="4:5" s="53" customFormat="1">
      <c r="D111" s="253"/>
      <c r="E111" s="54"/>
    </row>
    <row r="112" spans="4:5" s="53" customFormat="1">
      <c r="D112" s="253"/>
      <c r="E112" s="54"/>
    </row>
    <row r="113" spans="4:5" s="53" customFormat="1">
      <c r="D113" s="253"/>
      <c r="E113" s="54"/>
    </row>
    <row r="114" spans="4:5" s="53" customFormat="1">
      <c r="D114" s="253"/>
      <c r="E114" s="54"/>
    </row>
    <row r="115" spans="4:5" s="53" customFormat="1">
      <c r="D115" s="253"/>
      <c r="E115" s="54"/>
    </row>
    <row r="116" spans="4:5" s="53" customFormat="1">
      <c r="D116" s="253"/>
      <c r="E116" s="54"/>
    </row>
    <row r="117" spans="4:5" s="53" customFormat="1">
      <c r="D117" s="253"/>
      <c r="E117" s="54"/>
    </row>
    <row r="118" spans="4:5" s="53" customFormat="1">
      <c r="D118" s="253"/>
      <c r="E118" s="54"/>
    </row>
    <row r="119" spans="4:5" s="53" customFormat="1">
      <c r="D119" s="253"/>
      <c r="E119" s="54"/>
    </row>
    <row r="120" spans="4:5" s="53" customFormat="1">
      <c r="D120" s="253"/>
      <c r="E120" s="54"/>
    </row>
    <row r="121" spans="4:5" s="53" customFormat="1">
      <c r="D121" s="253"/>
      <c r="E121" s="54"/>
    </row>
    <row r="122" spans="4:5" s="53" customFormat="1">
      <c r="D122" s="253"/>
      <c r="E122" s="54"/>
    </row>
    <row r="123" spans="4:5" s="53" customFormat="1">
      <c r="D123" s="253"/>
      <c r="E123" s="54"/>
    </row>
    <row r="124" spans="4:5" s="53" customFormat="1">
      <c r="D124" s="253"/>
      <c r="E124" s="54"/>
    </row>
    <row r="125" spans="4:5" s="53" customFormat="1">
      <c r="D125" s="253"/>
      <c r="E125" s="54"/>
    </row>
    <row r="126" spans="4:5" s="53" customFormat="1">
      <c r="D126" s="253"/>
      <c r="E126" s="54"/>
    </row>
    <row r="127" spans="4:5" s="53" customFormat="1">
      <c r="D127" s="253"/>
      <c r="E127" s="54"/>
    </row>
    <row r="128" spans="4:5" s="53" customFormat="1">
      <c r="D128" s="253"/>
      <c r="E128" s="54"/>
    </row>
    <row r="129" spans="4:5" s="53" customFormat="1">
      <c r="D129" s="253"/>
      <c r="E129" s="54"/>
    </row>
    <row r="130" spans="4:5" s="53" customFormat="1">
      <c r="D130" s="253"/>
      <c r="E130" s="54"/>
    </row>
    <row r="131" spans="4:5" s="53" customFormat="1">
      <c r="D131" s="253"/>
      <c r="E131" s="54"/>
    </row>
    <row r="132" spans="4:5" s="53" customFormat="1">
      <c r="D132" s="253"/>
      <c r="E132" s="54"/>
    </row>
    <row r="133" spans="4:5" s="53" customFormat="1">
      <c r="D133" s="253"/>
      <c r="E133" s="54"/>
    </row>
    <row r="134" spans="4:5" s="53" customFormat="1">
      <c r="D134" s="253"/>
      <c r="E134" s="54"/>
    </row>
    <row r="135" spans="4:5" s="53" customFormat="1">
      <c r="D135" s="253"/>
      <c r="E135" s="54"/>
    </row>
    <row r="136" spans="4:5" s="53" customFormat="1">
      <c r="D136" s="253"/>
      <c r="E136" s="54"/>
    </row>
    <row r="137" spans="4:5" s="53" customFormat="1">
      <c r="D137" s="253"/>
      <c r="E137" s="54"/>
    </row>
    <row r="138" spans="4:5" s="53" customFormat="1">
      <c r="D138" s="253"/>
      <c r="E138" s="54"/>
    </row>
    <row r="139" spans="4:5" s="53" customFormat="1">
      <c r="D139" s="253"/>
      <c r="E139" s="54"/>
    </row>
    <row r="140" spans="4:5" s="53" customFormat="1">
      <c r="D140" s="253"/>
      <c r="E140" s="54"/>
    </row>
    <row r="141" spans="4:5" s="53" customFormat="1">
      <c r="D141" s="253"/>
      <c r="E141" s="54"/>
    </row>
    <row r="142" spans="4:5" s="53" customFormat="1">
      <c r="D142" s="253"/>
      <c r="E142" s="54"/>
    </row>
    <row r="143" spans="4:5" s="53" customFormat="1">
      <c r="D143" s="253"/>
      <c r="E143" s="54"/>
    </row>
    <row r="144" spans="4:5" s="53" customFormat="1">
      <c r="D144" s="253"/>
      <c r="E144" s="54"/>
    </row>
    <row r="145" spans="4:5" s="53" customFormat="1">
      <c r="D145" s="253"/>
      <c r="E145" s="5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2"/>
  <dimension ref="A1:O3"/>
  <sheetViews>
    <sheetView workbookViewId="0">
      <selection activeCell="B1" sqref="B1:I1"/>
    </sheetView>
  </sheetViews>
  <sheetFormatPr baseColWidth="10" defaultColWidth="9.140625" defaultRowHeight="15"/>
  <cols>
    <col min="2" max="9" width="14.5703125" customWidth="1"/>
    <col min="10" max="15" width="18.140625" customWidth="1"/>
  </cols>
  <sheetData>
    <row r="1" spans="1:15" ht="60">
      <c r="A1" s="157" t="s">
        <v>1229</v>
      </c>
      <c r="B1" s="556" t="s">
        <v>1230</v>
      </c>
      <c r="C1" s="556"/>
      <c r="D1" s="556"/>
      <c r="E1" s="556"/>
      <c r="F1" s="556"/>
      <c r="G1" s="556"/>
      <c r="H1" s="556"/>
      <c r="I1" s="556"/>
      <c r="J1" s="556" t="s">
        <v>1231</v>
      </c>
      <c r="K1" s="556"/>
      <c r="L1" s="556"/>
      <c r="M1" s="556" t="s">
        <v>1232</v>
      </c>
      <c r="N1" s="556"/>
      <c r="O1" s="556"/>
    </row>
    <row r="2" spans="1:15" ht="45">
      <c r="A2" s="158"/>
      <c r="B2" s="159" t="s">
        <v>1233</v>
      </c>
      <c r="C2" s="159" t="s">
        <v>1234</v>
      </c>
      <c r="D2" s="159" t="s">
        <v>1136</v>
      </c>
      <c r="E2" s="159" t="s">
        <v>1086</v>
      </c>
      <c r="F2" s="159" t="s">
        <v>1235</v>
      </c>
      <c r="G2" s="159" t="s">
        <v>1236</v>
      </c>
      <c r="H2" s="159" t="s">
        <v>1237</v>
      </c>
      <c r="I2" s="159" t="s">
        <v>1238</v>
      </c>
      <c r="J2" s="159" t="s">
        <v>1239</v>
      </c>
      <c r="K2" s="159" t="s">
        <v>1233</v>
      </c>
      <c r="L2" s="159" t="s">
        <v>1238</v>
      </c>
      <c r="M2" s="159" t="s">
        <v>1240</v>
      </c>
      <c r="N2" s="159" t="s">
        <v>1233</v>
      </c>
      <c r="O2" s="159" t="s">
        <v>1238</v>
      </c>
    </row>
    <row r="3" spans="1:15" ht="45">
      <c r="A3" s="158"/>
      <c r="B3" s="159" t="s">
        <v>1241</v>
      </c>
      <c r="C3" s="159" t="s">
        <v>1242</v>
      </c>
      <c r="D3" s="159" t="s">
        <v>1243</v>
      </c>
      <c r="E3" s="159" t="s">
        <v>1244</v>
      </c>
      <c r="F3" s="159" t="s">
        <v>1245</v>
      </c>
      <c r="G3" s="159" t="s">
        <v>1246</v>
      </c>
      <c r="H3" s="159" t="s">
        <v>1247</v>
      </c>
      <c r="I3" s="159" t="s">
        <v>1248</v>
      </c>
      <c r="J3" s="159" t="s">
        <v>1249</v>
      </c>
      <c r="K3" s="159" t="s">
        <v>1241</v>
      </c>
      <c r="L3" s="159" t="s">
        <v>1248</v>
      </c>
      <c r="M3" s="159" t="s">
        <v>1250</v>
      </c>
      <c r="N3" s="159" t="s">
        <v>1241</v>
      </c>
      <c r="O3" s="159" t="s">
        <v>1248</v>
      </c>
    </row>
  </sheetData>
  <mergeCells count="3">
    <mergeCell ref="B1:I1"/>
    <mergeCell ref="J1:L1"/>
    <mergeCell ref="M1:O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Legende</vt:lpstr>
      <vt:lpstr>Wirelist</vt:lpstr>
      <vt:lpstr>BOM</vt:lpstr>
      <vt:lpstr>KM_liste</vt:lpstr>
      <vt:lpstr>Spliceliste statisch</vt:lpstr>
      <vt:lpstr>VT01</vt:lpstr>
      <vt:lpstr>VT03</vt:lpstr>
      <vt:lpstr>VT04</vt:lpstr>
      <vt:lpstr>Steuerungsvorgabe</vt:lpstr>
      <vt:lpstr>splice ubersicht</vt:lpstr>
      <vt:lpstr>Verfolgungsliste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Miroslav Kostal</dc:creator>
  <cp:lastModifiedBy>Jesus Roldan</cp:lastModifiedBy>
  <dcterms:created xsi:type="dcterms:W3CDTF">2006-09-16T00:00:00Z</dcterms:created>
  <dcterms:modified xsi:type="dcterms:W3CDTF">2020-12-18T09:57:02Z</dcterms:modified>
</cp:coreProperties>
</file>