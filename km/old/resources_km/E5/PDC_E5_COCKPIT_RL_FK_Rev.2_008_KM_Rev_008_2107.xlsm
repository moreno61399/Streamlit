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to_zošit" defaultThemeVersion="164011"/>
  <mc:AlternateContent xmlns:mc="http://schemas.openxmlformats.org/markup-compatibility/2006">
    <mc:Choice Requires="x15">
      <x15ac:absPath xmlns:x15ac="http://schemas.microsoft.com/office/spreadsheetml/2010/11/ac" url="C:\Users\jesus.roldan\Desktop\FK E-Tron GT\"/>
    </mc:Choice>
  </mc:AlternateContent>
  <bookViews>
    <workbookView xWindow="0" yWindow="0" windowWidth="28800" windowHeight="12330" activeTab="2"/>
  </bookViews>
  <sheets>
    <sheet name="Anstat_FK" sheetId="12" r:id="rId1"/>
    <sheet name="PM_FK" sheetId="13" r:id="rId2"/>
    <sheet name="Sonata" sheetId="14" r:id="rId3"/>
    <sheet name="SUMAS" sheetId="15" r:id="rId4"/>
    <sheet name="WIRE" sheetId="1" r:id="rId5"/>
    <sheet name="BOM" sheetId="2" r:id="rId6"/>
    <sheet name="VT01 Ant" sheetId="4" r:id="rId7"/>
    <sheet name="VT02" sheetId="5" r:id="rId8"/>
    <sheet name="VT03" sheetId="6" r:id="rId9"/>
    <sheet name="Steuerungsvorgabe" sheetId="7" r:id="rId10"/>
    <sheet name="KM_Liste" sheetId="11" r:id="rId11"/>
  </sheets>
  <externalReferences>
    <externalReference r:id="rId12"/>
  </externalReferences>
  <definedNames>
    <definedName name="_xlnm._FilterDatabase" localSheetId="5" hidden="1">BOM!$A$1:$BQ$747</definedName>
    <definedName name="_xlnm._FilterDatabase" localSheetId="4" hidden="1">WIRE!$A$2:$DP$419</definedName>
  </definedNames>
  <calcPr calcId="162913"/>
</workbook>
</file>

<file path=xl/calcChain.xml><?xml version="1.0" encoding="utf-8"?>
<calcChain xmlns="http://schemas.openxmlformats.org/spreadsheetml/2006/main">
  <c r="AF395" i="1" l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391" i="1"/>
  <c r="AF394" i="1"/>
  <c r="AF389" i="1"/>
  <c r="AF390" i="1"/>
  <c r="AF386" i="1"/>
  <c r="AF388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51" i="1"/>
  <c r="AF352" i="1"/>
  <c r="AF353" i="1"/>
  <c r="AF354" i="1"/>
  <c r="AF356" i="1"/>
  <c r="AF357" i="1"/>
  <c r="AF358" i="1"/>
  <c r="AF359" i="1"/>
  <c r="AF362" i="1"/>
  <c r="AF332" i="1"/>
  <c r="AF334" i="1"/>
  <c r="AF335" i="1"/>
  <c r="AF336" i="1"/>
  <c r="AF337" i="1"/>
  <c r="AF338" i="1"/>
  <c r="AF339" i="1"/>
  <c r="AF340" i="1"/>
  <c r="AF342" i="1"/>
  <c r="AF343" i="1"/>
  <c r="AF344" i="1"/>
  <c r="AF345" i="1"/>
  <c r="AF346" i="1"/>
  <c r="AF347" i="1"/>
  <c r="AF348" i="1"/>
  <c r="AF349" i="1"/>
  <c r="AF327" i="1"/>
  <c r="AF328" i="1"/>
  <c r="AF329" i="1"/>
  <c r="AF330" i="1"/>
  <c r="AF331" i="1"/>
  <c r="AF319" i="1"/>
  <c r="AF321" i="1"/>
  <c r="AF322" i="1"/>
  <c r="AF323" i="1"/>
  <c r="AF324" i="1"/>
  <c r="AF326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276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8" i="1"/>
  <c r="AF269" i="1"/>
  <c r="AF270" i="1"/>
  <c r="AF271" i="1"/>
  <c r="AF272" i="1"/>
  <c r="AF273" i="1"/>
  <c r="AF274" i="1"/>
  <c r="AF275" i="1"/>
  <c r="AF265" i="1"/>
  <c r="AF268" i="1"/>
  <c r="AF263" i="1"/>
  <c r="AF264" i="1"/>
  <c r="AF259" i="1"/>
  <c r="AF260" i="1"/>
  <c r="AF262" i="1"/>
  <c r="AF256" i="1"/>
  <c r="AF258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32" i="1"/>
  <c r="AF237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186" i="1"/>
  <c r="AF189" i="1"/>
  <c r="AF181" i="1"/>
  <c r="AF182" i="1"/>
  <c r="AF183" i="1"/>
  <c r="AF184" i="1"/>
  <c r="AF185" i="1"/>
  <c r="AF178" i="1"/>
  <c r="AF180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08" i="1"/>
  <c r="AF112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5" i="1"/>
  <c r="AF3" i="1"/>
  <c r="E10" i="7" l="1"/>
  <c r="P7" i="6"/>
  <c r="E10" i="6"/>
  <c r="E11" i="6"/>
  <c r="E15" i="5"/>
  <c r="E14" i="5"/>
  <c r="E13" i="5"/>
  <c r="E12" i="5"/>
  <c r="E11" i="5"/>
  <c r="E10" i="5"/>
  <c r="P7" i="5"/>
  <c r="E15" i="4"/>
  <c r="E14" i="4"/>
  <c r="E13" i="4"/>
  <c r="E12" i="4"/>
  <c r="E11" i="4"/>
  <c r="E10" i="4"/>
  <c r="P7" i="4"/>
</calcChain>
</file>

<file path=xl/comments1.xml><?xml version="1.0" encoding="utf-8"?>
<comments xmlns="http://schemas.openxmlformats.org/spreadsheetml/2006/main">
  <authors>
    <author>Autor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K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N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 xml:space="preserve">"    -    Prüftisch  </t>
        </r>
      </text>
    </comment>
    <comment ref="O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"</t>
        </r>
        <r>
          <rPr>
            <b/>
            <sz val="12"/>
            <color indexed="81"/>
            <rFont val="Tahoma"/>
            <family val="2"/>
          </rPr>
          <t>bl</t>
        </r>
        <r>
          <rPr>
            <sz val="12"/>
            <color indexed="81"/>
            <rFont val="Tahoma"/>
            <family val="2"/>
          </rPr>
          <t>"  -  blau
"</t>
        </r>
        <r>
          <rPr>
            <b/>
            <sz val="12"/>
            <color indexed="81"/>
            <rFont val="Tahoma"/>
            <family val="2"/>
          </rPr>
          <t>br</t>
        </r>
        <r>
          <rPr>
            <sz val="12"/>
            <color indexed="81"/>
            <rFont val="Tahoma"/>
            <family val="2"/>
          </rPr>
          <t>" -  braun
"</t>
        </r>
        <r>
          <rPr>
            <b/>
            <sz val="12"/>
            <color indexed="81"/>
            <rFont val="Tahoma"/>
            <family val="2"/>
          </rPr>
          <t>ge</t>
        </r>
        <r>
          <rPr>
            <sz val="12"/>
            <color indexed="81"/>
            <rFont val="Tahoma"/>
            <family val="2"/>
          </rPr>
          <t>" -  gelb
"</t>
        </r>
        <r>
          <rPr>
            <b/>
            <sz val="12"/>
            <color indexed="81"/>
            <rFont val="Tahoma"/>
            <family val="2"/>
          </rPr>
          <t>gn</t>
        </r>
        <r>
          <rPr>
            <sz val="12"/>
            <color indexed="81"/>
            <rFont val="Tahoma"/>
            <family val="2"/>
          </rPr>
          <t>" -  grün
"</t>
        </r>
        <r>
          <rPr>
            <b/>
            <sz val="12"/>
            <color indexed="81"/>
            <rFont val="Tahoma"/>
            <family val="2"/>
          </rPr>
          <t>gr</t>
        </r>
        <r>
          <rPr>
            <sz val="12"/>
            <color indexed="81"/>
            <rFont val="Tahoma"/>
            <family val="2"/>
          </rPr>
          <t>" -  grau
"</t>
        </r>
        <r>
          <rPr>
            <b/>
            <sz val="12"/>
            <color indexed="81"/>
            <rFont val="Tahoma"/>
            <family val="2"/>
          </rPr>
          <t>rt</t>
        </r>
        <r>
          <rPr>
            <sz val="12"/>
            <color indexed="81"/>
            <rFont val="Tahoma"/>
            <family val="2"/>
          </rPr>
          <t>"  -  rot
"</t>
        </r>
        <r>
          <rPr>
            <b/>
            <sz val="12"/>
            <color indexed="81"/>
            <rFont val="Tahoma"/>
            <family val="2"/>
          </rPr>
          <t>sw</t>
        </r>
        <r>
          <rPr>
            <sz val="12"/>
            <color indexed="81"/>
            <rFont val="Tahoma"/>
            <family val="2"/>
          </rPr>
          <t>" - schwarz
"</t>
        </r>
        <r>
          <rPr>
            <b/>
            <sz val="12"/>
            <color indexed="81"/>
            <rFont val="Tahoma"/>
            <family val="2"/>
          </rPr>
          <t>vi</t>
        </r>
        <r>
          <rPr>
            <sz val="12"/>
            <color indexed="81"/>
            <rFont val="Tahoma"/>
            <family val="2"/>
          </rPr>
          <t>"  -  violett
"</t>
        </r>
        <r>
          <rPr>
            <b/>
            <sz val="12"/>
            <color indexed="81"/>
            <rFont val="Tahoma"/>
            <family val="2"/>
          </rPr>
          <t>ws</t>
        </r>
        <r>
          <rPr>
            <sz val="12"/>
            <color indexed="81"/>
            <rFont val="Tahoma"/>
            <family val="2"/>
          </rPr>
          <t xml:space="preserve">" - weiss
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
B
M
</t>
        </r>
      </text>
    </comment>
  </commentList>
</comments>
</file>

<file path=xl/comments2.xml><?xml version="1.0" encoding="utf-8"?>
<comments xmlns="http://schemas.openxmlformats.org/spreadsheetml/2006/main">
  <authors>
    <author>Autor</author>
    <author>Matej Trstenovic</author>
  </authors>
  <commentList>
    <comment ref="E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- nicht relevant
"</t>
        </r>
        <r>
          <rPr>
            <b/>
            <sz val="12"/>
            <color indexed="81"/>
            <rFont val="Tahoma"/>
            <family val="2"/>
          </rPr>
          <t>o</t>
        </r>
        <r>
          <rPr>
            <sz val="12"/>
            <color indexed="81"/>
            <rFont val="Tahoma"/>
            <family val="2"/>
          </rPr>
          <t>" - offen
"</t>
        </r>
        <r>
          <rPr>
            <b/>
            <sz val="12"/>
            <color indexed="81"/>
            <rFont val="Tahoma"/>
            <family val="2"/>
          </rPr>
          <t>z</t>
        </r>
        <r>
          <rPr>
            <sz val="12"/>
            <color indexed="81"/>
            <rFont val="Tahoma"/>
            <family val="2"/>
          </rPr>
          <t>" - geschlossen</t>
        </r>
      </text>
    </comment>
    <comment ref="F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G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opt.</t>
        </r>
        <r>
          <rPr>
            <sz val="12"/>
            <color indexed="81"/>
            <rFont val="Tahoma"/>
            <family val="2"/>
          </rPr>
          <t>"  -   optional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  
"</t>
        </r>
        <r>
          <rPr>
            <b/>
            <sz val="12"/>
            <color indexed="81"/>
            <rFont val="Tahoma"/>
            <family val="2"/>
          </rPr>
          <t>PT+L</t>
        </r>
        <r>
          <rPr>
            <sz val="12"/>
            <color indexed="81"/>
            <rFont val="Tahoma"/>
            <family val="2"/>
          </rPr>
          <t>"   - Prüftisch + Lecktest</t>
        </r>
      </text>
    </comment>
    <comment ref="I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b/>
            <sz val="12"/>
            <color indexed="81"/>
            <rFont val="Tahoma"/>
            <family val="2"/>
          </rPr>
          <t xml:space="preserve">
"-"       -  </t>
        </r>
        <r>
          <rPr>
            <sz val="12"/>
            <color indexed="81"/>
            <rFont val="Tahoma"/>
            <family val="2"/>
          </rPr>
          <t>nicht relevant</t>
        </r>
        <r>
          <rPr>
            <b/>
            <sz val="12"/>
            <color indexed="81"/>
            <rFont val="Tahoma"/>
            <family val="2"/>
          </rPr>
          <t xml:space="preserve">
"x"      -  </t>
        </r>
        <r>
          <rPr>
            <sz val="12"/>
            <color indexed="81"/>
            <rFont val="Tahoma"/>
            <family val="2"/>
          </rPr>
          <t>relevant
nach dem Prüftisch (z.B. RACK)</t>
        </r>
      </text>
    </comment>
    <comment ref="O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erforderlich
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A-Baugruppe
B-Baugruppe
M-Baugruppe
</t>
        </r>
      </text>
    </comment>
    <comment ref="M392" authorId="1" shapeId="0">
      <text>
        <r>
          <rPr>
            <b/>
            <sz val="9"/>
            <color indexed="81"/>
            <rFont val="Segoe UI"/>
            <family val="2"/>
            <charset val="238"/>
          </rPr>
          <t>Matej Trstenovic:</t>
        </r>
        <r>
          <rPr>
            <sz val="9"/>
            <color indexed="81"/>
            <rFont val="Segoe UI"/>
            <family val="2"/>
            <charset val="238"/>
          </rPr>
          <t xml:space="preserve">
Andriy Venher   20.8.2020</t>
        </r>
      </text>
    </comment>
    <comment ref="T392" authorId="1" shapeId="0">
      <text>
        <r>
          <rPr>
            <b/>
            <sz val="9"/>
            <color indexed="81"/>
            <rFont val="Segoe UI"/>
            <family val="2"/>
            <charset val="238"/>
          </rPr>
          <t>Matej Trstenovic:</t>
        </r>
        <r>
          <rPr>
            <sz val="9"/>
            <color indexed="81"/>
            <rFont val="Segoe UI"/>
            <family val="2"/>
            <charset val="238"/>
          </rPr>
          <t xml:space="preserve">
Andriy Venher   20.8.2020</t>
        </r>
      </text>
    </comment>
  </commentList>
</comments>
</file>

<file path=xl/sharedStrings.xml><?xml version="1.0" encoding="utf-8"?>
<sst xmlns="http://schemas.openxmlformats.org/spreadsheetml/2006/main" count="19548" uniqueCount="2564">
  <si>
    <t>LEITUNGSSTRANG</t>
  </si>
  <si>
    <t>V1</t>
  </si>
  <si>
    <t>4J3_974_000_A</t>
  </si>
  <si>
    <t>L0R+K8S</t>
  </si>
  <si>
    <t>~</t>
  </si>
  <si>
    <t>Al: 0 (g)</t>
  </si>
  <si>
    <t>Ltg-Nr.</t>
  </si>
  <si>
    <t>Verbindung</t>
  </si>
  <si>
    <t>Komp. Ben.</t>
  </si>
  <si>
    <t>Verwendung</t>
  </si>
  <si>
    <t>von</t>
  </si>
  <si>
    <t>Kurzname</t>
  </si>
  <si>
    <t>Pin</t>
  </si>
  <si>
    <t>xy</t>
  </si>
  <si>
    <t>Kontakt</t>
  </si>
  <si>
    <t>Dichtung</t>
  </si>
  <si>
    <t>nach</t>
  </si>
  <si>
    <t>Leitung</t>
  </si>
  <si>
    <t>Typ</t>
  </si>
  <si>
    <t>Sonderltg.</t>
  </si>
  <si>
    <t>Innenleiter</t>
  </si>
  <si>
    <t>LÃ¤nge</t>
  </si>
  <si>
    <t>Farbe</t>
  </si>
  <si>
    <t>Quer.</t>
  </si>
  <si>
    <t>Pot.</t>
  </si>
  <si>
    <t>X.INF_LVH2+.9Y0_077._XC.K.2_1_1</t>
  </si>
  <si>
    <t>-</t>
  </si>
  <si>
    <t>Schalttafeleinsatz</t>
  </si>
  <si>
    <t>XC.K.2</t>
  </si>
  <si>
    <t>KOMBI_C</t>
  </si>
  <si>
    <t>1-42G</t>
  </si>
  <si>
    <t>UNI_CONT_SN_FLK</t>
  </si>
  <si>
    <t>Multimediasystem</t>
  </si>
  <si>
    <t>Multimediasystem [RdW]</t>
  </si>
  <si>
    <t>XI.RX7.12</t>
  </si>
  <si>
    <t>MIB_I</t>
  </si>
  <si>
    <t>1-37B</t>
  </si>
  <si>
    <t>UNI_CONT_AU_FLK</t>
  </si>
  <si>
    <t>N_912_051_01</t>
  </si>
  <si>
    <t>FLK</t>
  </si>
  <si>
    <t>SL1</t>
  </si>
  <si>
    <t>1-br</t>
  </si>
  <si>
    <t>BR</t>
  </si>
  <si>
    <t>X.INF_LVH2+.9Y0_077.</t>
  </si>
  <si>
    <t>X.INF_LVH1+.9Y0_077._XC.K.2_2_1</t>
  </si>
  <si>
    <t>2-gn</t>
  </si>
  <si>
    <t>GN</t>
  </si>
  <si>
    <t>X.INF_LVH1+.9Y0_077.</t>
  </si>
  <si>
    <t>X.INF_LVH2-.9Y0_077._XC.K.2_3_1</t>
  </si>
  <si>
    <t>3-or</t>
  </si>
  <si>
    <t>OR</t>
  </si>
  <si>
    <t>X.INF_LVH2-.9Y0_077.</t>
  </si>
  <si>
    <t>X.INF_LVH1-.9Y0_077._XC.K.2_4_1</t>
  </si>
  <si>
    <t>4-bl</t>
  </si>
  <si>
    <t>BL</t>
  </si>
  <si>
    <t>X.INF_LVH1-.9Y0_077.</t>
  </si>
  <si>
    <t>X.INF_LVH1G.9Y0_077._XC.K.2_5S_1</t>
  </si>
  <si>
    <t>5S</t>
  </si>
  <si>
    <t>N_107_277_01</t>
  </si>
  <si>
    <t>SCHIRM</t>
  </si>
  <si>
    <t>5-sw</t>
  </si>
  <si>
    <t>SW</t>
  </si>
  <si>
    <t>X.INF_LVH1G.9Y0_077.</t>
  </si>
  <si>
    <t>S.INF_Power_On.9Y0_047.EPB_A3_TCPL.2D1_3_1</t>
  </si>
  <si>
    <t>Koppelstelle an der Schalttafel links</t>
  </si>
  <si>
    <t>TCPL.2D1</t>
  </si>
  <si>
    <t>KS_CPL_D</t>
  </si>
  <si>
    <t>1-15D</t>
  </si>
  <si>
    <t>N_105_974_01</t>
  </si>
  <si>
    <t>Koppelstelle an der Schalttafel Mitte</t>
  </si>
  <si>
    <t>TCPM.1E1</t>
  </si>
  <si>
    <t>KS_CPM_E</t>
  </si>
  <si>
    <t>1-39J</t>
  </si>
  <si>
    <t>N_105_113_01</t>
  </si>
  <si>
    <t>N_037_095_6</t>
  </si>
  <si>
    <t>FLR</t>
  </si>
  <si>
    <t>BL/GN</t>
  </si>
  <si>
    <t>S.INF_Power_On.9Y0_047.EPB_A3</t>
  </si>
  <si>
    <t>S.INF_Power_On.9Y0_047.EPB_A2_TCPM.1E1_14_1</t>
  </si>
  <si>
    <t>N_037_098_1</t>
  </si>
  <si>
    <t>BR/GE</t>
  </si>
  <si>
    <t>S.INF_Power_On.9Y0_047.EPB_A2</t>
  </si>
  <si>
    <t>S.INF_Power_On.9Y0_047.EPB_A1_TCPM.1E1_13_1</t>
  </si>
  <si>
    <t>N_037_095_0</t>
  </si>
  <si>
    <t>BL/WS</t>
  </si>
  <si>
    <t>S.INF_Power_On.9Y0_047.EPB_A1</t>
  </si>
  <si>
    <t>D.CANLKOMBI.9J1_037._A179_1_4</t>
  </si>
  <si>
    <t>Verbindung (CAN-Bus Infotainment, Low) im Schalttafelleitungsstrang</t>
  </si>
  <si>
    <t>A179</t>
  </si>
  <si>
    <t>SP_CANLK</t>
  </si>
  <si>
    <t>1-43F</t>
  </si>
  <si>
    <t>TCPL.2B1</t>
  </si>
  <si>
    <t>KS_CPL_B</t>
  </si>
  <si>
    <t>1-12F</t>
  </si>
  <si>
    <t>N_901_916_19</t>
  </si>
  <si>
    <t>SL15</t>
  </si>
  <si>
    <t>2-or/br</t>
  </si>
  <si>
    <t>OR/BR</t>
  </si>
  <si>
    <t>D.CANLKOMBI.9J1_037.</t>
  </si>
  <si>
    <t>D.CANHKOMBI.9J1_037._A178_1_4</t>
  </si>
  <si>
    <t>Verbindung (CAN-Bus Infotainment, High) im Schalttafelleitungsstrang</t>
  </si>
  <si>
    <t>A178</t>
  </si>
  <si>
    <t>SP_CANHK</t>
  </si>
  <si>
    <t>1-or/bl</t>
  </si>
  <si>
    <t>OR/BL</t>
  </si>
  <si>
    <t>D.CANHKOMBI.9J1_037.</t>
  </si>
  <si>
    <t>S.SIGNAL.9Y0_055._XA.E26.2_1_1</t>
  </si>
  <si>
    <t>Schalter fÃ¼r Handschuhfachleuchte</t>
  </si>
  <si>
    <t>XA.E26.2</t>
  </si>
  <si>
    <t>HSK103P</t>
  </si>
  <si>
    <t>1-31B</t>
  </si>
  <si>
    <t>N_907_649_01</t>
  </si>
  <si>
    <t>Handschuhfachleuchte</t>
  </si>
  <si>
    <t>XA.W6.1</t>
  </si>
  <si>
    <t>LEL11A</t>
  </si>
  <si>
    <t>1-29A</t>
  </si>
  <si>
    <t>N_037_005_6</t>
  </si>
  <si>
    <t>S.SIGNAL.9Y0_055.</t>
  </si>
  <si>
    <t>V.30G.9Y0_055.HSF_XA.W6.1_2_1</t>
  </si>
  <si>
    <t>TCPL.2C1</t>
  </si>
  <si>
    <t>KS_CPL_C</t>
  </si>
  <si>
    <t>1-51B</t>
  </si>
  <si>
    <t>N_105_975_01</t>
  </si>
  <si>
    <t>N_037_003_7</t>
  </si>
  <si>
    <t>RT/GR</t>
  </si>
  <si>
    <t>V.30G.9Y0_055.HSF</t>
  </si>
  <si>
    <t>X.15_AC.9Y0_034.hi_TCPM.1F1_10_1</t>
  </si>
  <si>
    <t>Koppelstelle an der Schalttafel Mitte [zur MIKO]</t>
  </si>
  <si>
    <t>TCPM.1F1</t>
  </si>
  <si>
    <t>KS_CPM_F</t>
  </si>
  <si>
    <t>1-34C</t>
  </si>
  <si>
    <t>Koppelstelle an der Schalttafel rechts</t>
  </si>
  <si>
    <t>TCPR.2B1</t>
  </si>
  <si>
    <t>KS_CPR_B</t>
  </si>
  <si>
    <t>1-50B</t>
  </si>
  <si>
    <t>N_037_004_4</t>
  </si>
  <si>
    <t>VI</t>
  </si>
  <si>
    <t>X.15_AC.9Y0_034.hi</t>
  </si>
  <si>
    <t>M.31-SM..Klima_heck_TCPM.1F1_12_1</t>
  </si>
  <si>
    <t>N_037_008_5</t>
  </si>
  <si>
    <t>BR/BL</t>
  </si>
  <si>
    <t>M.31-SM..Klima_heck</t>
  </si>
  <si>
    <t>V.58xt.9Y0_055._TCPM.1A1_8_1</t>
  </si>
  <si>
    <t>TCPM.1A1</t>
  </si>
  <si>
    <t>KS_CPM_A</t>
  </si>
  <si>
    <t>1-40H</t>
  </si>
  <si>
    <t>N_037_005_3</t>
  </si>
  <si>
    <t>BL/RT</t>
  </si>
  <si>
    <t>V.58xt.9Y0_055.</t>
  </si>
  <si>
    <t>V.30A.9J1_034.SP_F2_XA.SP.1_2A_1</t>
  </si>
  <si>
    <t>Sicherungshalter P</t>
  </si>
  <si>
    <t>XA.SP.1</t>
  </si>
  <si>
    <t>STO52A</t>
  </si>
  <si>
    <t>2A</t>
  </si>
  <si>
    <t>1-16F</t>
  </si>
  <si>
    <t>N_907_327_01</t>
  </si>
  <si>
    <t>XD.RX7.12</t>
  </si>
  <si>
    <t>MIB_D</t>
  </si>
  <si>
    <t>1-41C</t>
  </si>
  <si>
    <t>N_105_118_01</t>
  </si>
  <si>
    <t>N_037_043_3</t>
  </si>
  <si>
    <t>RT</t>
  </si>
  <si>
    <t>V.30A.9J1_034.SP_F2</t>
  </si>
  <si>
    <t>S.S-Kontakt.9Y0_056.SW2_TCPR.2A1_1_1</t>
  </si>
  <si>
    <t>TCPR.2A1</t>
  </si>
  <si>
    <t>KS_CPR_A</t>
  </si>
  <si>
    <t>1-50C</t>
  </si>
  <si>
    <t>N_037_006_9</t>
  </si>
  <si>
    <t>GN/SW</t>
  </si>
  <si>
    <t>S.S-Kontakt.9Y0_056.SW2</t>
  </si>
  <si>
    <t>S.S-Kontakt.9Y0_056.SW3_TCPM.1A1_3_1</t>
  </si>
  <si>
    <t>N_037_005_9</t>
  </si>
  <si>
    <t>BL/SW</t>
  </si>
  <si>
    <t>S.S-Kontakt.9Y0_056.SW3</t>
  </si>
  <si>
    <t>M.31.9J1_033.MB34_B1_XD.RX7.12_17_1</t>
  </si>
  <si>
    <t>Masseverbindung 5 im Schalttafelleitungsstrang</t>
  </si>
  <si>
    <t>SP_MB34_B1</t>
  </si>
  <si>
    <t>1-34E</t>
  </si>
  <si>
    <t>N_037_048_8</t>
  </si>
  <si>
    <t>M.31.9J1_033.MB34_B1</t>
  </si>
  <si>
    <t>S.S-Kontakt.9Y0_056.SW1_TCPR.2A1_4_1</t>
  </si>
  <si>
    <t>N_037_007_9</t>
  </si>
  <si>
    <t>GR/SW</t>
  </si>
  <si>
    <t>S.S-Kontakt.9Y0_056.SW1</t>
  </si>
  <si>
    <t>D.LIN4_BCM1.._TCPM.1F1_2_1</t>
  </si>
  <si>
    <t>N_037_094_6</t>
  </si>
  <si>
    <t>VI/GN</t>
  </si>
  <si>
    <t>D.LIN4_BCM1..</t>
  </si>
  <si>
    <t>S.SIGNAL..IPA_zFAS_TCPR.2C1_17_1</t>
  </si>
  <si>
    <t>TCPR.2C1</t>
  </si>
  <si>
    <t>KS_CPR_C</t>
  </si>
  <si>
    <t>1-15F</t>
  </si>
  <si>
    <t>N_037_090_1</t>
  </si>
  <si>
    <t>WS/GE</t>
  </si>
  <si>
    <t>S.SIGNAL..IPA_zFAS</t>
  </si>
  <si>
    <t>M.31.9J1_033.MB32_B1_135_1_2</t>
  </si>
  <si>
    <t>Masseverbindung 2 im Schalttafelleitungsstrang</t>
  </si>
  <si>
    <t>SP_MB32_B2</t>
  </si>
  <si>
    <t>1-39F</t>
  </si>
  <si>
    <t>N_037_018_8</t>
  </si>
  <si>
    <t>M.31.9J1_033.MB32_B1</t>
  </si>
  <si>
    <t>D.FR_BP..3_ZFAS_SMLS_XA.J527.1_3_1</t>
  </si>
  <si>
    <t>SteuergerÃ¤t fÃ¼r LenksÃ¤ulenelektronik</t>
  </si>
  <si>
    <t>XA.J527.1</t>
  </si>
  <si>
    <t>SMLS02P</t>
  </si>
  <si>
    <t>1-54A</t>
  </si>
  <si>
    <t>N_911_629_01</t>
  </si>
  <si>
    <t>SL39</t>
  </si>
  <si>
    <t>1-rs</t>
  </si>
  <si>
    <t>RS</t>
  </si>
  <si>
    <t>D.FR_BP..3_ZFAS_SMLS</t>
  </si>
  <si>
    <t>D.FR_BM..3_ZFAS_SMLS_XA.J527.1_4_1</t>
  </si>
  <si>
    <t>D.FR_BM..3_ZFAS_SMLS</t>
  </si>
  <si>
    <t>D.LIN_GW2.._XA.J527.1_2_1</t>
  </si>
  <si>
    <t>N_107_823_01</t>
  </si>
  <si>
    <t>N_039_034_0</t>
  </si>
  <si>
    <t>VI/WS</t>
  </si>
  <si>
    <t>D.LIN_GW2..</t>
  </si>
  <si>
    <t>V.30A.9J1_034.SO_F5_XA.SO.1_5A_1</t>
  </si>
  <si>
    <t>Sicherungshalter O</t>
  </si>
  <si>
    <t>XA.SO.1</t>
  </si>
  <si>
    <t>STO51A</t>
  </si>
  <si>
    <t>5A</t>
  </si>
  <si>
    <t>1-51H</t>
  </si>
  <si>
    <t>N_907_326_01</t>
  </si>
  <si>
    <t>N_107_766_01</t>
  </si>
  <si>
    <t>N_037_023_0</t>
  </si>
  <si>
    <t>RT/WS</t>
  </si>
  <si>
    <t>V.30A.9J1_034.SO_F5</t>
  </si>
  <si>
    <t>M.31.9J1_033.MB31_C1_TCPL.2D1_17_1</t>
  </si>
  <si>
    <t>N_105_115_01</t>
  </si>
  <si>
    <t>TCPM.1D1</t>
  </si>
  <si>
    <t>KS_CPM_D</t>
  </si>
  <si>
    <t>1-32D</t>
  </si>
  <si>
    <t>N_037_038_8</t>
  </si>
  <si>
    <t>M.31.9J1_033.MB31_C1</t>
  </si>
  <si>
    <t>V.58xs.9Y0_055.V_TCPL.2D1_9_1</t>
  </si>
  <si>
    <t>N_037_095_3</t>
  </si>
  <si>
    <t>V.58xs.9Y0_055.V</t>
  </si>
  <si>
    <t>D.CANHI.9J1_035A._XE.RX7.12_6_1</t>
  </si>
  <si>
    <t>XE.RX7.12</t>
  </si>
  <si>
    <t>MIB_E</t>
  </si>
  <si>
    <t>1-40D</t>
  </si>
  <si>
    <t>N_907_647_01</t>
  </si>
  <si>
    <t>N_108_151_08</t>
  </si>
  <si>
    <t>SL45</t>
  </si>
  <si>
    <t>1-vi</t>
  </si>
  <si>
    <t>D.CANHI.9J1_035A.</t>
  </si>
  <si>
    <t>D.CANLI.9J1_035A._XE.RX7.12_12_1</t>
  </si>
  <si>
    <t>D.CANLI.9J1_035A.</t>
  </si>
  <si>
    <t>X.ILM_STECK.9Y0_055._TCPM.1D1_15_1</t>
  </si>
  <si>
    <t>N_037_033_3</t>
  </si>
  <si>
    <t>X.ILM_STECK.9Y0_055.</t>
  </si>
  <si>
    <t>S.GRA.._XA.J527.1_7_1</t>
  </si>
  <si>
    <t>N_037_090_0</t>
  </si>
  <si>
    <t>WS</t>
  </si>
  <si>
    <t>S.GRA..</t>
  </si>
  <si>
    <t>M.31.9J1_033.MB31_B1_332_1_1</t>
  </si>
  <si>
    <t>Masseverbindung 4 im Schalttafelleitungsstrang</t>
  </si>
  <si>
    <t>SP_MB31_B1</t>
  </si>
  <si>
    <t>1-23E</t>
  </si>
  <si>
    <t>TCPL.2A1</t>
  </si>
  <si>
    <t>KS_CPL_A</t>
  </si>
  <si>
    <t>1-12E</t>
  </si>
  <si>
    <t>M.31.9J1_033.MB31_B1</t>
  </si>
  <si>
    <t>M.31.9J1_033.MB32_B1_199_1_2</t>
  </si>
  <si>
    <t>Masseverbindung 3 im Schalttafelleitungsstrang</t>
  </si>
  <si>
    <t>SP_MB32_B1</t>
  </si>
  <si>
    <t>1-48E</t>
  </si>
  <si>
    <t>N_105_119_01</t>
  </si>
  <si>
    <t>N_037_058_8</t>
  </si>
  <si>
    <t>X.9.9Y0_056.ANT1_TCPR.2A1_11_1</t>
  </si>
  <si>
    <t>N_901_916_30</t>
  </si>
  <si>
    <t>SL62</t>
  </si>
  <si>
    <t>2-br</t>
  </si>
  <si>
    <t>X.9.9Y0_056.ANT1</t>
  </si>
  <si>
    <t>S.10.9Y0_056.ANT1_TCPR.2A1_10_1</t>
  </si>
  <si>
    <t>1-gn</t>
  </si>
  <si>
    <t>S.10.9Y0_056.ANT1</t>
  </si>
  <si>
    <t>M.31.9J1_033.MB34_B1_335_1_2</t>
  </si>
  <si>
    <t>N_037_008_8</t>
  </si>
  <si>
    <t>V.30A.9J1_034.SP_F5_XA.SP.1_5A_1</t>
  </si>
  <si>
    <t>N_037_003_5</t>
  </si>
  <si>
    <t>RT/BL</t>
  </si>
  <si>
    <t>V.30A.9J1_034.SP_F5</t>
  </si>
  <si>
    <t>V.30A.9J1_034.SR2_F1_XA.SO.1_6_1</t>
  </si>
  <si>
    <t>UNI_FKSI_48</t>
  </si>
  <si>
    <t>N_105_120_01</t>
  </si>
  <si>
    <t>N_018_463_3</t>
  </si>
  <si>
    <t>V.30A.9J1_034.SR2_F1</t>
  </si>
  <si>
    <t>V.30A.9J1_034.SR2_F2_XA.SP.1_6_1</t>
  </si>
  <si>
    <t>N_018_463_0</t>
  </si>
  <si>
    <t>V.30A.9J1_034.SR2_F2</t>
  </si>
  <si>
    <t>D.CANHKOMBI.9J1_037._A178_1_3</t>
  </si>
  <si>
    <t>XA.K.2</t>
  </si>
  <si>
    <t>KOMBI_A</t>
  </si>
  <si>
    <t>1-44G</t>
  </si>
  <si>
    <t>SL85</t>
  </si>
  <si>
    <t>D.CANLKOMBI.9J1_037._A179_1_3</t>
  </si>
  <si>
    <t>D.CANHKOMBI.9J1_037._A178_1_2</t>
  </si>
  <si>
    <t>SL87</t>
  </si>
  <si>
    <t>D.CANLKOMBI.9J1_037._A179_1_2</t>
  </si>
  <si>
    <t>V.30A.9J1_034.SP_F8_XA.SP.1_8A_1</t>
  </si>
  <si>
    <t>8A</t>
  </si>
  <si>
    <t>N_907_325_01</t>
  </si>
  <si>
    <t>N_037_093_1</t>
  </si>
  <si>
    <t>RT/GE</t>
  </si>
  <si>
    <t>V.30A.9J1_034.SP_F8</t>
  </si>
  <si>
    <t>M.31.9J1_033.MB31_B1_213_1_2</t>
  </si>
  <si>
    <t>Masseverbindung im Schalttafelleitungsstrang</t>
  </si>
  <si>
    <t>SP_MB31_B2</t>
  </si>
  <si>
    <t>1-33E</t>
  </si>
  <si>
    <t>N_037_098_8</t>
  </si>
  <si>
    <t>V.30A.9J1_034.AU_SO_F8_XA.SO.1_8A_1</t>
  </si>
  <si>
    <t>N_037_003_1</t>
  </si>
  <si>
    <t>V.30A.9J1_034.AU_SO_F8</t>
  </si>
  <si>
    <t>D.LIN1_BCM1.9Y0_055..2_XA.E1.2_1_1</t>
  </si>
  <si>
    <t>Lichtschalter</t>
  </si>
  <si>
    <t>XA.E1.2</t>
  </si>
  <si>
    <t>LDS</t>
  </si>
  <si>
    <t>1-50H</t>
  </si>
  <si>
    <t>N_107_834_01</t>
  </si>
  <si>
    <t>N_039_034_1</t>
  </si>
  <si>
    <t>VI/GE</t>
  </si>
  <si>
    <t>D.LIN1_BCM1.9Y0_055..2</t>
  </si>
  <si>
    <t>V.30A..SO_F2_LS_XA.SO.1_2A_1</t>
  </si>
  <si>
    <t>N_037_093_0</t>
  </si>
  <si>
    <t>V.30A..SO_F2_LS</t>
  </si>
  <si>
    <t>M.31.9J1_033.MB33_C1_XA.E1.2_3_1</t>
  </si>
  <si>
    <t>Masseverbindung 6 im Schalttafelleitungsstrang</t>
  </si>
  <si>
    <t>SP_MB33_C</t>
  </si>
  <si>
    <t>1-51E</t>
  </si>
  <si>
    <t>M.31.9J1_033.MB33_C1</t>
  </si>
  <si>
    <t>S.INF_Power_On.9Y0_047.EPB_A4_TCPL.2D1_2_1</t>
  </si>
  <si>
    <t>N_037_095_7</t>
  </si>
  <si>
    <t>BL/GR</t>
  </si>
  <si>
    <t>S.INF_Power_On.9Y0_047.EPB_A4</t>
  </si>
  <si>
    <t>S.10..ETH1_RXM_XA.U31.2_11_1</t>
  </si>
  <si>
    <t>AnschluÃŸ fÃ¼r Diagnose</t>
  </si>
  <si>
    <t>XA.U31.2</t>
  </si>
  <si>
    <t>DSO03A</t>
  </si>
  <si>
    <t>1-50D</t>
  </si>
  <si>
    <t>N_907_479_01</t>
  </si>
  <si>
    <t>SL102</t>
  </si>
  <si>
    <t>S.10..ETH1_RXM</t>
  </si>
  <si>
    <t>S.10..ETH1_TXM_XA.U31.2_13_1</t>
  </si>
  <si>
    <t>SL103</t>
  </si>
  <si>
    <t>S.10..ETH1_TXM</t>
  </si>
  <si>
    <t>S.10..ETH1_RXP_XA.U31.2_3_1</t>
  </si>
  <si>
    <t>S.10..ETH1_RXP</t>
  </si>
  <si>
    <t>S.10..ETH1_TXP_XA.U31.2_12_1</t>
  </si>
  <si>
    <t>S.10..ETH1_TXP</t>
  </si>
  <si>
    <t>M.31.9J1_033.MB33_C1_354_1_1</t>
  </si>
  <si>
    <t>M.31.9J1_033.MB34_B1_335_1_1</t>
  </si>
  <si>
    <t>M.31.9J1_033.MB33_C1_XA.U31.2_4_1</t>
  </si>
  <si>
    <t>M.31.9J1_033.MB33_C1_XA.U31.2_5_1</t>
  </si>
  <si>
    <t>D.CAN_HD.._XA.U31.2_6_1</t>
  </si>
  <si>
    <t>N_108_151_05</t>
  </si>
  <si>
    <t>SL115</t>
  </si>
  <si>
    <t>1-rt</t>
  </si>
  <si>
    <t>D.CAN_HD..</t>
  </si>
  <si>
    <t>D.CAN_LD.._XA.U31.2_14_1</t>
  </si>
  <si>
    <t>D.CAN_LD..</t>
  </si>
  <si>
    <t>S.10..ETH_WUP_XA.U31.2_8_1</t>
  </si>
  <si>
    <t>N_912_250_01</t>
  </si>
  <si>
    <t>N_039_034_4</t>
  </si>
  <si>
    <t>S.10..ETH_WUP</t>
  </si>
  <si>
    <t>V.30A.9J1_034.SP_F12_XA.SP.1_12A_1</t>
  </si>
  <si>
    <t>12A</t>
  </si>
  <si>
    <t>N_037_003_0</t>
  </si>
  <si>
    <t>V.30A.9J1_034.SP_F12</t>
  </si>
  <si>
    <t>M.31.9J1_033.MB31_B1_821_1_6</t>
  </si>
  <si>
    <t>Masseverbindung 7 im Schalttafelleitungsstrang</t>
  </si>
  <si>
    <t>SP_MB31_B3</t>
  </si>
  <si>
    <t>1-29E</t>
  </si>
  <si>
    <t>X.BAG_AEZ.._XA.U31.2_15_1</t>
  </si>
  <si>
    <t>N_037_097_3</t>
  </si>
  <si>
    <t>GR/RT</t>
  </si>
  <si>
    <t>X.BAG_AEZ..</t>
  </si>
  <si>
    <t>M.31.9J1_033.MB32_B1_81_1_4</t>
  </si>
  <si>
    <t>Masseverbindung 1 im Schalttafelleitungsstrang</t>
  </si>
  <si>
    <t>SP_MB32_B3</t>
  </si>
  <si>
    <t>1-45E</t>
  </si>
  <si>
    <t>M.31.9J1_033.MB32_B1_81_1_3</t>
  </si>
  <si>
    <t>N_105_114_01</t>
  </si>
  <si>
    <t>D.CANLMIB.._B709_1_2</t>
  </si>
  <si>
    <t>Verbindung 1 (CAN-Bus Schalttafeleinsatz Low) im Hauptleitungsstrang</t>
  </si>
  <si>
    <t>B709</t>
  </si>
  <si>
    <t>SP_CANL_MIB</t>
  </si>
  <si>
    <t>1-36E</t>
  </si>
  <si>
    <t>N_901_916_50</t>
  </si>
  <si>
    <t>SL139</t>
  </si>
  <si>
    <t>D.CANLMIB..</t>
  </si>
  <si>
    <t>S.BT_Reset.9Y0_077..1_XE.RX7.12_8_1</t>
  </si>
  <si>
    <t>N_037_099_7</t>
  </si>
  <si>
    <t>SW/GR</t>
  </si>
  <si>
    <t>S.BT_Reset.9Y0_077..1</t>
  </si>
  <si>
    <t>D.CANHMIB.._B708_1_2</t>
  </si>
  <si>
    <t>Verbindung 1 (CAN-Bus Schalttafeleinsatz High) im Hauptleitungsstrang</t>
  </si>
  <si>
    <t>B708</t>
  </si>
  <si>
    <t>SP_CANH_MIB</t>
  </si>
  <si>
    <t>1-or</t>
  </si>
  <si>
    <t>D.CANHMIB..</t>
  </si>
  <si>
    <t>A.ANTENNE.9J1_035A.WLAN_XA.R266.2_1_1</t>
  </si>
  <si>
    <t>Antenne fÃ¼r Internetzugang</t>
  </si>
  <si>
    <t>Antenne fÃ¼r Internetzugang [WLAN Spiegelfuss]</t>
  </si>
  <si>
    <t>XA.R266.2</t>
  </si>
  <si>
    <t>AWO01A</t>
  </si>
  <si>
    <t>1-61B</t>
  </si>
  <si>
    <t>N_106_471_02</t>
  </si>
  <si>
    <t>TCPR.2J1</t>
  </si>
  <si>
    <t>KS_CPR_J</t>
  </si>
  <si>
    <t>1-53C</t>
  </si>
  <si>
    <t>N_909_934_01</t>
  </si>
  <si>
    <t>RTK031</t>
  </si>
  <si>
    <t>SL143</t>
  </si>
  <si>
    <t>1-Signal</t>
  </si>
  <si>
    <t>ND</t>
  </si>
  <si>
    <t>A.ANTENNE.9J1_035A.WLAN</t>
  </si>
  <si>
    <t>S.SCHIRM.9J1_035A.WLAN_XA.R266.2_2_1</t>
  </si>
  <si>
    <t>2-Schirm</t>
  </si>
  <si>
    <t>S.SCHIRM.9J1_035A.WLAN</t>
  </si>
  <si>
    <t>S.WB_LED.4J3_055._XA.EX35.1_16_1</t>
  </si>
  <si>
    <t>Schaltermodul 2 Schalttafel Mitte</t>
  </si>
  <si>
    <t>XA.EX35.1</t>
  </si>
  <si>
    <t>SM2SM_2</t>
  </si>
  <si>
    <t>1-36H</t>
  </si>
  <si>
    <t>N_037_009_0</t>
  </si>
  <si>
    <t>SW/WS</t>
  </si>
  <si>
    <t>S.WB_LED.4J3_055.</t>
  </si>
  <si>
    <t>S.10.4J3_055.ADS_SK_XA.EX35.1_17_1</t>
  </si>
  <si>
    <t>N_105_116_01</t>
  </si>
  <si>
    <t>N_037_096_3</t>
  </si>
  <si>
    <t>GN/RT</t>
  </si>
  <si>
    <t>S.10.4J3_055.ADS_SK</t>
  </si>
  <si>
    <t>S.PLA_LED.4J3_055._XA.EX35.1_13_1</t>
  </si>
  <si>
    <t>S.PLA_LED.4J3_055.</t>
  </si>
  <si>
    <t>X.PDC_LED.._XA.EX35.1_14_1</t>
  </si>
  <si>
    <t>N_037_094_3</t>
  </si>
  <si>
    <t>VI/RT</t>
  </si>
  <si>
    <t>X.PDC_LED..</t>
  </si>
  <si>
    <t>M.31.9J1_033.MB32_B1_XA.EX35.1_10_1</t>
  </si>
  <si>
    <t>S.ESC_T.4J3_055._XA.EX35.1_7_1</t>
  </si>
  <si>
    <t>N_037_091_9</t>
  </si>
  <si>
    <t>GE/SW</t>
  </si>
  <si>
    <t>S.ESC_T.4J3_055.</t>
  </si>
  <si>
    <t>X.INF_DSPL.4J3_055._XA.EX35.1_8_1</t>
  </si>
  <si>
    <t>N_037_096_5</t>
  </si>
  <si>
    <t>GN/BL</t>
  </si>
  <si>
    <t>X.INF_DSPL.4J3_055.</t>
  </si>
  <si>
    <t>M.31.9J1_033.MB32_B1_XA.EX35.1_11_1</t>
  </si>
  <si>
    <t>S.PLA_T.4J3_055._XA.EX35.1_3_1</t>
  </si>
  <si>
    <t>N_037_096_1</t>
  </si>
  <si>
    <t>GN/GE</t>
  </si>
  <si>
    <t>S.PLA_T.4J3_055.</t>
  </si>
  <si>
    <t>S.PDC_ONOFF.4J3_055._XA.EX35.1_4_1</t>
  </si>
  <si>
    <t>N_037_096_0</t>
  </si>
  <si>
    <t>GN/WS</t>
  </si>
  <si>
    <t>S.PDC_ONOFF.4J3_055.</t>
  </si>
  <si>
    <t>V.58xs.9Y0_055._XA.EX35.1_5_1</t>
  </si>
  <si>
    <t>N_039_037_3</t>
  </si>
  <si>
    <t>V.58xs.9Y0_055.</t>
  </si>
  <si>
    <t>S.WB_T.4J3_055._XA.EX35.1_6_1</t>
  </si>
  <si>
    <t>N_037_000_1</t>
  </si>
  <si>
    <t>S.WB_T.4J3_055.</t>
  </si>
  <si>
    <t>D.AC_LIN..5_XB.J301.1_17_1</t>
  </si>
  <si>
    <t>SteuergerÃ¤t fÃ¼r Klimaanlage</t>
  </si>
  <si>
    <t>XB.J301.1</t>
  </si>
  <si>
    <t>SGKG102P_B</t>
  </si>
  <si>
    <t>1-46D</t>
  </si>
  <si>
    <t>Verbindung 2 (LIN-Bus) im Schalttafelleitungsstrang</t>
  </si>
  <si>
    <t>A227</t>
  </si>
  <si>
    <t>SP_ACLIN5</t>
  </si>
  <si>
    <t>1-44E</t>
  </si>
  <si>
    <t>D.AC_LIN..5</t>
  </si>
  <si>
    <t>D.ETH3+.9Y0_077._XC.RX7.12_6_1</t>
  </si>
  <si>
    <t>XC.RX7.12</t>
  </si>
  <si>
    <t>MIB_C</t>
  </si>
  <si>
    <t>N_108_293_01</t>
  </si>
  <si>
    <t>SL170</t>
  </si>
  <si>
    <t>1-ws</t>
  </si>
  <si>
    <t>D.ETH3+.9Y0_077.</t>
  </si>
  <si>
    <t>D.ETH3-.9Y0_077._XC.RX7.12_12_1</t>
  </si>
  <si>
    <t>D.ETH3-.9Y0_077.</t>
  </si>
  <si>
    <t>M.31.9J1_033.MB31_B1_821_1_7</t>
  </si>
  <si>
    <t>M.31.9J1_033.MB32_B1_81_1_2</t>
  </si>
  <si>
    <t>S.Mute.9J1_035A._XB.RX7.12_5_1</t>
  </si>
  <si>
    <t>XB.RX7.12</t>
  </si>
  <si>
    <t>MIB_B</t>
  </si>
  <si>
    <t>1-41B</t>
  </si>
  <si>
    <t>N_039_034_7</t>
  </si>
  <si>
    <t>VI/GR</t>
  </si>
  <si>
    <t>S.Mute.9J1_035A.</t>
  </si>
  <si>
    <t>V.30A.9J1_034.SP_F9_XA.SP.1_9A_1</t>
  </si>
  <si>
    <t>9A</t>
  </si>
  <si>
    <t>V.30A.9J1_034.SP_F9</t>
  </si>
  <si>
    <t>M.31.9J1_033.MB32_B1_XA.EX35.1_15_1</t>
  </si>
  <si>
    <t>V.15A.9J1_034.SH_F1_XA.U31.2_1_1</t>
  </si>
  <si>
    <t>N_037_009_1</t>
  </si>
  <si>
    <t>SW/GE</t>
  </si>
  <si>
    <t>V.15A.9J1_034.SH_F1</t>
  </si>
  <si>
    <t>M.31.9J1_033.MB31_B1_213_1_1</t>
  </si>
  <si>
    <t>N_037_028_8</t>
  </si>
  <si>
    <t>M.31.9J1_033.MB32_B1_135_1_1</t>
  </si>
  <si>
    <t>V.USB_5V.9Y0_077._XC.RX7.12_10_1</t>
  </si>
  <si>
    <t>V.USB_5V.9Y0_077.</t>
  </si>
  <si>
    <t>LTGS.KLIMAANLAGE</t>
  </si>
  <si>
    <t>4J3_974_029_A</t>
  </si>
  <si>
    <t>L0R+K8S+2V3+KH5</t>
  </si>
  <si>
    <t>V2</t>
  </si>
  <si>
    <t>4J3_974_029_C</t>
  </si>
  <si>
    <t>L0R+K8S+2V1+KH5</t>
  </si>
  <si>
    <t>V3</t>
  </si>
  <si>
    <t>4J3_974_029_E</t>
  </si>
  <si>
    <t>L0R+K8S+2V4+KH5</t>
  </si>
  <si>
    <t>D.CANHK2.035._XB.J301.1_1_1</t>
  </si>
  <si>
    <t>N_901_916_32</t>
  </si>
  <si>
    <t>SL29001</t>
  </si>
  <si>
    <t>1-or/ws</t>
  </si>
  <si>
    <t>OR/WS</t>
  </si>
  <si>
    <t>D.CANHK2.035.</t>
  </si>
  <si>
    <t>D.CANLK2.035._XB.J301.1_2_1</t>
  </si>
  <si>
    <t>D.CANLK2.035.</t>
  </si>
  <si>
    <t>D.AC_LIN2.9Y0_051..1_XB.J301.1_8_1</t>
  </si>
  <si>
    <t>Verbindung 1 (LIN-Bus) im Schalttafelleitungsstrang</t>
  </si>
  <si>
    <t>A209</t>
  </si>
  <si>
    <t>SP_ACLIN2</t>
  </si>
  <si>
    <t>1-39E</t>
  </si>
  <si>
    <t>D.AC_LIN2.9Y0_051..1</t>
  </si>
  <si>
    <t>D.AC_LIN4.9Y0_051._XB.J301.1_16_1</t>
  </si>
  <si>
    <t>N_037_094_0</t>
  </si>
  <si>
    <t>D.AC_LIN4.9Y0_051.</t>
  </si>
  <si>
    <t>X.AC_31.9Y0_051.B20_170_1_3</t>
  </si>
  <si>
    <t>Masseverbindung 1 im Leitungsstrang BetÃ¤tigung Klimaanlage/Climatronic</t>
  </si>
  <si>
    <t>SP_AC31</t>
  </si>
  <si>
    <t>X.AC_31.9Y0_051.B20</t>
  </si>
  <si>
    <t>X.SI_SIHH.9Y0_034._XA.SO.1_11A_1</t>
  </si>
  <si>
    <t>11A</t>
  </si>
  <si>
    <t>N_037_049_3</t>
  </si>
  <si>
    <t>SW/RT</t>
  </si>
  <si>
    <t>X.SI_SIHH.9Y0_034.</t>
  </si>
  <si>
    <t>S.SIGNAL.9Y0_051.B28_XB.J301.1_28_1</t>
  </si>
  <si>
    <t>InnenfÃ¼hler fÃ¼r automatische Heizungsregelung</t>
  </si>
  <si>
    <t>XA.N28.1</t>
  </si>
  <si>
    <t>TMPF100P</t>
  </si>
  <si>
    <t>1-40F</t>
  </si>
  <si>
    <t>N_107_834_02</t>
  </si>
  <si>
    <t>N_039_031_6</t>
  </si>
  <si>
    <t>GE/GN</t>
  </si>
  <si>
    <t>S.SIGNAL.9Y0_051.B28</t>
  </si>
  <si>
    <t>S.SIGNAL.9Y0_051.B29_XB.J301.1_29_1</t>
  </si>
  <si>
    <t>N_039_031_5</t>
  </si>
  <si>
    <t>GE/BL</t>
  </si>
  <si>
    <t>S.SIGNAL.9Y0_051.B29</t>
  </si>
  <si>
    <t>S.SIGNAL.9Y0_051.B30_XB.J301.1_30_1</t>
  </si>
  <si>
    <t>N_039_031_3</t>
  </si>
  <si>
    <t>GE/RT</t>
  </si>
  <si>
    <t>S.SIGNAL.9Y0_051.B30</t>
  </si>
  <si>
    <t>X.AC_30.9Y0_051.B40_A3_1_1</t>
  </si>
  <si>
    <t>Plusverbindung (58) im Schalttafelleitungsstrang</t>
  </si>
  <si>
    <t>A3</t>
  </si>
  <si>
    <t>SP_AC30</t>
  </si>
  <si>
    <t>1-35E</t>
  </si>
  <si>
    <t>X.AC_30.9Y0_051.B40</t>
  </si>
  <si>
    <t>X.AC_30.9Y0_051.B40_A3_1_2</t>
  </si>
  <si>
    <t>D.AC_LIN3.9Y0_051A._A262_1_1</t>
  </si>
  <si>
    <t>Verbindung 3 (LIN-Bus) im Schalttafelleitungsstrang</t>
  </si>
  <si>
    <t>A262</t>
  </si>
  <si>
    <t>SP_ACLIN3</t>
  </si>
  <si>
    <t>N_037_090_6</t>
  </si>
  <si>
    <t>WS/GN</t>
  </si>
  <si>
    <t>D.AC_LIN3.9Y0_051A.</t>
  </si>
  <si>
    <t>X.AC_30.9Y0_051.B40_XB.J301.1_40_1</t>
  </si>
  <si>
    <t>N_037_013_0</t>
  </si>
  <si>
    <t>D.AC_LIN2.9Y0_051..1_XA.J1072.2_2_1</t>
  </si>
  <si>
    <t>Ionisator 1</t>
  </si>
  <si>
    <t>XA.J1072.2</t>
  </si>
  <si>
    <t>LIO3P_A</t>
  </si>
  <si>
    <t>1-33F</t>
  </si>
  <si>
    <t>X.SK_NTC_hl.._TCPL.2A1_5_1</t>
  </si>
  <si>
    <t>X.SK_NTC_hl..</t>
  </si>
  <si>
    <t>D.AC_LIN2.9Y0_051..1_XA.V2.1_4_1</t>
  </si>
  <si>
    <t>FrischluftgeblÃ¤se</t>
  </si>
  <si>
    <t>XA.V2.1</t>
  </si>
  <si>
    <t>GBR26P</t>
  </si>
  <si>
    <t>1-23C</t>
  </si>
  <si>
    <t>X.AC_31.9Y0_051.B20_170_1_1</t>
  </si>
  <si>
    <t>S.SHZ_hli+.._TCPL.2A1_16_1</t>
  </si>
  <si>
    <t>N_037_039_6</t>
  </si>
  <si>
    <t>SW/GN</t>
  </si>
  <si>
    <t>S.SHZ_hli+..</t>
  </si>
  <si>
    <t>X.SK_NTC_hr.._TCPR.2B1_12_1</t>
  </si>
  <si>
    <t>N_037_009_6</t>
  </si>
  <si>
    <t>X.SK_NTC_hr..</t>
  </si>
  <si>
    <t>S.SHZ_hre+.._TCPR.2A1_17_1</t>
  </si>
  <si>
    <t>N_037_039_1</t>
  </si>
  <si>
    <t>S.SHZ_hre+..</t>
  </si>
  <si>
    <t>M.31-SM.9Y0_051.B38_A67_1_2</t>
  </si>
  <si>
    <t>Verbindung (31, Klimaanlage) im Schalttafelleitungsstrang</t>
  </si>
  <si>
    <t>A67</t>
  </si>
  <si>
    <t>SP_31SM</t>
  </si>
  <si>
    <t>1-38E</t>
  </si>
  <si>
    <t>N_039_038_5</t>
  </si>
  <si>
    <t>M.31-SM.9Y0_051.B38</t>
  </si>
  <si>
    <t>X.AC_30.9Y0_051.B40_XA.G107.1_1_1</t>
  </si>
  <si>
    <t>Fotosensor fÃ¼r Sonneneinstrahlung</t>
  </si>
  <si>
    <t>XA.G107.1</t>
  </si>
  <si>
    <t>FSSE</t>
  </si>
  <si>
    <t>1-28D</t>
  </si>
  <si>
    <t>X.AC_31.9Y0_051.B20_XA.G107.1_2_1</t>
  </si>
  <si>
    <t>D.AC_LIN2.9Y0_051..1_XA.G107.1_4_1</t>
  </si>
  <si>
    <t>D.AC_LIN2.9Y0_051..1_A209_1_1</t>
  </si>
  <si>
    <t>D.AC_LIN..5_XA.E87.1_2_1</t>
  </si>
  <si>
    <t>Bedienungs- und Anzeigeeinheit fÃ¼r Klimaanlage vorn</t>
  </si>
  <si>
    <t>XA.E87.1</t>
  </si>
  <si>
    <t>BAKV</t>
  </si>
  <si>
    <t>1-36G</t>
  </si>
  <si>
    <t>X.30_AC.9Y0_051._XA.SO.1_1A_1</t>
  </si>
  <si>
    <t>1A</t>
  </si>
  <si>
    <t>X.30_AC.9Y0_051.</t>
  </si>
  <si>
    <t>M.31.9J1_033.MB31_B1_XA.E87.1_3_1</t>
  </si>
  <si>
    <t>D.AC_LIN3.9Y0_051A._A262_1_2</t>
  </si>
  <si>
    <t>N_039_030_6</t>
  </si>
  <si>
    <t>M.31.9J1_033.MB32_B1_XA.V2.1_1_1</t>
  </si>
  <si>
    <t>S.SIGNAL.9Y0_051.B9_XB.J301.1_9_1</t>
  </si>
  <si>
    <t>N_037_095_1</t>
  </si>
  <si>
    <t>BL/GE</t>
  </si>
  <si>
    <t>S.SIGNAL.9Y0_051.B9</t>
  </si>
  <si>
    <t>S.SIGNAL.9Y0_051.B5_XB.J301.1_5_1</t>
  </si>
  <si>
    <t>N_037_095_9</t>
  </si>
  <si>
    <t>S.SIGNAL.9Y0_051.B5</t>
  </si>
  <si>
    <t>V.30A.9J1_034.SP_F6_XA.SP.1_6A_1</t>
  </si>
  <si>
    <t>6A</t>
  </si>
  <si>
    <t>N_037_043_9</t>
  </si>
  <si>
    <t>RT/SW</t>
  </si>
  <si>
    <t>V.30A.9J1_034.SP_F6</t>
  </si>
  <si>
    <t>V.30A.9J1_034.SO_F3_XA.SO.1_3A_1</t>
  </si>
  <si>
    <t>3A</t>
  </si>
  <si>
    <t>XC.J301.1</t>
  </si>
  <si>
    <t>SGKG102P_C</t>
  </si>
  <si>
    <t>1-45C</t>
  </si>
  <si>
    <t>V.30A.9J1_034.SO_F3</t>
  </si>
  <si>
    <t>V.15A.9J1_034.SH_F6_XA.J1072.2_1_1</t>
  </si>
  <si>
    <t>N_907_647_03</t>
  </si>
  <si>
    <t>Plusverbindung 4 (15) im Schalttafelleitungsstrang</t>
  </si>
  <si>
    <t>A145</t>
  </si>
  <si>
    <t>SP_15AS</t>
  </si>
  <si>
    <t>N_037_099_3</t>
  </si>
  <si>
    <t>V.15A.9J1_034.SH_F6</t>
  </si>
  <si>
    <t>M.31.9J1_033.MB32_B1_XC.J301.1_6_1</t>
  </si>
  <si>
    <t>S.SIGNAL.9Y0_051.B12_XA.G386.2_2_1</t>
  </si>
  <si>
    <t>TemperaturfÃ¼hler fÃ¼r MannanstrÃ¶mer vorn rechts</t>
  </si>
  <si>
    <t>XA.G386.2</t>
  </si>
  <si>
    <t>TF_MS_VRE</t>
  </si>
  <si>
    <t>1-54F</t>
  </si>
  <si>
    <t>N_108_008_01</t>
  </si>
  <si>
    <t>N_039_036_3</t>
  </si>
  <si>
    <t>S.SIGNAL.9Y0_051.B12</t>
  </si>
  <si>
    <t>M.31-SM.9Y0_051.B38_A67_1_1</t>
  </si>
  <si>
    <t>TemperaturfÃ¼hler fÃ¼r MannanstrÃ¶mer vorn links</t>
  </si>
  <si>
    <t>XA.G385.2</t>
  </si>
  <si>
    <t>TF_MS_VLI</t>
  </si>
  <si>
    <t>1-32B</t>
  </si>
  <si>
    <t>S.SIGNAL.9Y0_051.B11_XA.G385.2_2_1</t>
  </si>
  <si>
    <t>N_039_030_0</t>
  </si>
  <si>
    <t>S.SIGNAL.9Y0_051.B11</t>
  </si>
  <si>
    <t>M.31-SM.9Y0_051.B38_XA.G386.2_1_1</t>
  </si>
  <si>
    <t>Masseverbindung 1 im Leitungsstrang Klimaanlage</t>
  </si>
  <si>
    <t>SP_31SM_1</t>
  </si>
  <si>
    <t>1-47E</t>
  </si>
  <si>
    <t>V.HV+.9Y0_051A.L_XA.J1151.1_1_1</t>
  </si>
  <si>
    <t>Elektronadel fÃ¼r Ionisator</t>
  </si>
  <si>
    <t>XA.J1151.1</t>
  </si>
  <si>
    <t>EMI2P_A</t>
  </si>
  <si>
    <t>XB.J1072.2</t>
  </si>
  <si>
    <t>LIO3P_B</t>
  </si>
  <si>
    <t>1-33H</t>
  </si>
  <si>
    <t>ZSB_KT_EMT</t>
  </si>
  <si>
    <t>V.HV+.9Y0_051A.L</t>
  </si>
  <si>
    <t>M.HV-.9Y0_051A.R_XB.J1151.1_2_1</t>
  </si>
  <si>
    <t>XB.J1151.1</t>
  </si>
  <si>
    <t>EMI2P_B</t>
  </si>
  <si>
    <t>XC.J1072.2</t>
  </si>
  <si>
    <t>LIO3P_C</t>
  </si>
  <si>
    <t>1-31H</t>
  </si>
  <si>
    <t>M.HV-.9Y0_051A.R</t>
  </si>
  <si>
    <t>V.HV+.9Y0_051A.R_XB.J1151.1_1_1</t>
  </si>
  <si>
    <t>V.HV+.9Y0_051A.R</t>
  </si>
  <si>
    <t>M.HV-.9Y0_051A.L_XA.J1151.1_2_1</t>
  </si>
  <si>
    <t>M.HV-.9Y0_051A.L</t>
  </si>
  <si>
    <t>X.AC_31.9Y0_051.B20_170_1_2</t>
  </si>
  <si>
    <t>V.15A.9J1_034.SH_F6_XA.G930.1_1_1</t>
  </si>
  <si>
    <t>Sensor fÃ¼r Feinstaubgehalt der Klimaanlage</t>
  </si>
  <si>
    <t>XA.G930.1</t>
  </si>
  <si>
    <t>FSS03A</t>
  </si>
  <si>
    <t>1-26B</t>
  </si>
  <si>
    <t>D.AC_LIN2.9Y0_051..1_XA.G930.1_2_1</t>
  </si>
  <si>
    <t>V.15A.9J1_034.SH_F6_A145_1_1</t>
  </si>
  <si>
    <t>M.31.9J1_033.MB31_B1_821_1_1</t>
  </si>
  <si>
    <t>M.31-SM.9Y0_051.B38_XA.VX30.5_2_1</t>
  </si>
  <si>
    <t>SeitenausstrÃ¶mer links</t>
  </si>
  <si>
    <t>XA.VX30.5</t>
  </si>
  <si>
    <t>ASS_LI</t>
  </si>
  <si>
    <t>1-32C</t>
  </si>
  <si>
    <t>N_037_098_5</t>
  </si>
  <si>
    <t>M.31-SM.9Y0_051.B38_97_1_3</t>
  </si>
  <si>
    <t>SeitenausstrÃ¶mer rechts</t>
  </si>
  <si>
    <t>XA.VX31.4</t>
  </si>
  <si>
    <t>ASS_RE</t>
  </si>
  <si>
    <t>1-54G</t>
  </si>
  <si>
    <t>M.31-SM.9Y0_051.B38_XA.VX46.1_2_1</t>
  </si>
  <si>
    <t>MittenausstrÃ¶mer</t>
  </si>
  <si>
    <t>XA.VX46.1</t>
  </si>
  <si>
    <t>ASM</t>
  </si>
  <si>
    <t>1-37H</t>
  </si>
  <si>
    <t>S.IP1S.9Y0_051.SL_XA.VX30.5_3_1</t>
  </si>
  <si>
    <t>N_037_093_7</t>
  </si>
  <si>
    <t>S.IP1S.9Y0_051.SL</t>
  </si>
  <si>
    <t>S.IP2S.9Y0_051.MR_XB.J301.1_24_1</t>
  </si>
  <si>
    <t>S.IP2S.9Y0_051.MR</t>
  </si>
  <si>
    <t>V.5V.9Y0_051.POTI_XA.VX46.1_4_1</t>
  </si>
  <si>
    <t>Verbindung (5 Volt) im Leitungsstrang Klimaanlage</t>
  </si>
  <si>
    <t>L31</t>
  </si>
  <si>
    <t>SP_SIG_5V</t>
  </si>
  <si>
    <t>1-40E</t>
  </si>
  <si>
    <t>N_037_099_0</t>
  </si>
  <si>
    <t>V.5V.9Y0_051.POTI</t>
  </si>
  <si>
    <t>V.5V.9Y0_051.POTI_XA.VX30.5_1_1</t>
  </si>
  <si>
    <t>V.5V.9Y0_051.POTI_XA.VX46.1_1_1</t>
  </si>
  <si>
    <t>V.5V.9Y0_051.POTI_XB.J301.1_10_1</t>
  </si>
  <si>
    <t>V.5V.9Y0_051.POTI_XA.VX31.4_1_1</t>
  </si>
  <si>
    <t>X.SP2S.9Y0_051.ML_XA.VX46.1_5_1</t>
  </si>
  <si>
    <t>X.SP2S.9Y0_051.ML</t>
  </si>
  <si>
    <t>X.SP2S.9Y0_051.SR_XA.VX31.4_3_1</t>
  </si>
  <si>
    <t>N_037_093_6</t>
  </si>
  <si>
    <t>RT/GN</t>
  </si>
  <si>
    <t>X.SP2S.9Y0_051.SR</t>
  </si>
  <si>
    <t>M.31-SM.9Y0_051.B38_97_1_2</t>
  </si>
  <si>
    <t>M.31-SM.9Y0_051.B38_A67_1_3</t>
  </si>
  <si>
    <t>M.31-SM.9Y0_051.B38_97_1_1</t>
  </si>
  <si>
    <t>M.31.9J1_033.MB31_B1_821_1_2</t>
  </si>
  <si>
    <t>LTGS.LENKSAULENV.</t>
  </si>
  <si>
    <t>4J3_974_072_A</t>
  </si>
  <si>
    <t>L0R+K8S+2C7</t>
  </si>
  <si>
    <t>46 (g)</t>
  </si>
  <si>
    <t>S.10..LSV_T_XA.J866.1_4_1</t>
  </si>
  <si>
    <t>SteuergerÃ¤t fÃ¼r elektrisch verstellbare LenksÃ¤ule</t>
  </si>
  <si>
    <t>XA.J866.1</t>
  </si>
  <si>
    <t>ESG04A</t>
  </si>
  <si>
    <t>1-46F</t>
  </si>
  <si>
    <t>Schalter fÃ¼r LenksÃ¤ulenverstellung</t>
  </si>
  <si>
    <t>XA.E167.2</t>
  </si>
  <si>
    <t>LSVS01P</t>
  </si>
  <si>
    <t>1-56B</t>
  </si>
  <si>
    <t>S.10..LSV_T</t>
  </si>
  <si>
    <t>M.31-SM..LSV_XA.J866.1_1_1</t>
  </si>
  <si>
    <t>M.31-SM..LSV</t>
  </si>
  <si>
    <t>X.LIN_BCM13.055B._XA.J866.1_5_1</t>
  </si>
  <si>
    <t>X.LIN_BCM13.055B.</t>
  </si>
  <si>
    <t>V.30A.9J1_034.SO_F6_XA.SO.1_6A_1</t>
  </si>
  <si>
    <t>N_037_023_7</t>
  </si>
  <si>
    <t>V.30A.9J1_034.SO_F6</t>
  </si>
  <si>
    <t>M.31.9J1_033.MB32_B1_199_1_1</t>
  </si>
  <si>
    <t>LTGS.LAUTSPRECHER</t>
  </si>
  <si>
    <t>4J3_974_076_A</t>
  </si>
  <si>
    <t>L0R+K8S+9VD</t>
  </si>
  <si>
    <t>CU: 259 (g)</t>
  </si>
  <si>
    <t>4J3_974_076_C</t>
  </si>
  <si>
    <t>L0R+K8S+9VS</t>
  </si>
  <si>
    <t>S.MTVR+.9Y0_076._A234_1_2</t>
  </si>
  <si>
    <t>Verbindung 1 (Plus, Lautsprecher rechts) im Leitungsstrang Schalttafel</t>
  </si>
  <si>
    <t>A234</t>
  </si>
  <si>
    <t>SP_MTVR_P</t>
  </si>
  <si>
    <t>1-49E</t>
  </si>
  <si>
    <t>XA.RX7.12</t>
  </si>
  <si>
    <t>MIB_A</t>
  </si>
  <si>
    <t>1-40B</t>
  </si>
  <si>
    <t>N_906_844_01</t>
  </si>
  <si>
    <t>N_018_889_66</t>
  </si>
  <si>
    <t>SL76005</t>
  </si>
  <si>
    <t>2-rt/gn</t>
  </si>
  <si>
    <t>S.MTVR+.9Y0_076.</t>
  </si>
  <si>
    <t>S.MTVR-.9Y0_076._A238_1_2</t>
  </si>
  <si>
    <t>Verbindung 1 (Minus, Lautsprecher rechts) im Leitungsstrang Schalttafel</t>
  </si>
  <si>
    <t>A238</t>
  </si>
  <si>
    <t>SP_MTVR_M</t>
  </si>
  <si>
    <t>1-br/gn</t>
  </si>
  <si>
    <t>BR/GN</t>
  </si>
  <si>
    <t>S.MTVR-.9Y0_076.</t>
  </si>
  <si>
    <t>S.MTVL+.9Y0_076._A240_1_2</t>
  </si>
  <si>
    <t>Verbindung 1 (Minus, Lautsprecher links) im Leitungsstrang Schalttafel</t>
  </si>
  <si>
    <t>A240</t>
  </si>
  <si>
    <t>SP_MTVL_P</t>
  </si>
  <si>
    <t>1-22E</t>
  </si>
  <si>
    <t>N_018_889_78</t>
  </si>
  <si>
    <t>SL76007</t>
  </si>
  <si>
    <t>S.MTVL+.9Y0_076.</t>
  </si>
  <si>
    <t>S.MTVL-.9Y0_076._A232_1_2</t>
  </si>
  <si>
    <t>Verbindung 1 (Plus, Lautsprecher links) im Leitungsstrang Schalttafel</t>
  </si>
  <si>
    <t>A232</t>
  </si>
  <si>
    <t>SP_MTVL_M</t>
  </si>
  <si>
    <t>1-21E</t>
  </si>
  <si>
    <t>1-ws/gn</t>
  </si>
  <si>
    <t>S.MTVL-.9Y0_076.</t>
  </si>
  <si>
    <t>S.MTHR+.9Y0_076._TCPR.2B1_3_1</t>
  </si>
  <si>
    <t>N_107_767_01</t>
  </si>
  <si>
    <t>N_906_845_01</t>
  </si>
  <si>
    <t>N_018_888_65</t>
  </si>
  <si>
    <t>SL76013</t>
  </si>
  <si>
    <t>1-sw/bl</t>
  </si>
  <si>
    <t>SW/BL</t>
  </si>
  <si>
    <t>S.MTHR+.9Y0_076.</t>
  </si>
  <si>
    <t>S.MTHL+.9Y0_076._TCPL.2A1_3_1</t>
  </si>
  <si>
    <t>N_018_888_64</t>
  </si>
  <si>
    <t>SL76014</t>
  </si>
  <si>
    <t>S.MTHL+.9Y0_076.</t>
  </si>
  <si>
    <t>S.MTHR-.9Y0_076._TCPR.2B1_4_1</t>
  </si>
  <si>
    <t>2-br/bl</t>
  </si>
  <si>
    <t>S.MTHR-.9Y0_076.</t>
  </si>
  <si>
    <t>S.MTHL-.9Y0_076._TCPL.2A1_4_1</t>
  </si>
  <si>
    <t>2-ws/bl</t>
  </si>
  <si>
    <t>WS/BL</t>
  </si>
  <si>
    <t>S.MTHL-.9Y0_076.</t>
  </si>
  <si>
    <t>S.HTVL+.9Y0_076A._XA.RX7.12_1_1</t>
  </si>
  <si>
    <t>Hochtonlautsprecher vorn links</t>
  </si>
  <si>
    <t>Hochtonlautsprecher vorn links [Schalttafel Li.]</t>
  </si>
  <si>
    <t>XA.R20.2</t>
  </si>
  <si>
    <t>LS_HT_VL</t>
  </si>
  <si>
    <t>1-20G</t>
  </si>
  <si>
    <t>N_018_889_81</t>
  </si>
  <si>
    <t>SL76017</t>
  </si>
  <si>
    <t>2-rt</t>
  </si>
  <si>
    <t>S.HTVL+.9Y0_076A.</t>
  </si>
  <si>
    <t>S.HTVL-.9Y0_076A._XA.R20.2_2_1</t>
  </si>
  <si>
    <t>1-ws/rt</t>
  </si>
  <si>
    <t>WS/RT</t>
  </si>
  <si>
    <t>S.HTVL-.9Y0_076A.</t>
  </si>
  <si>
    <t>S.HTVR+.9Y0_076A._XA.R22.2_1_1</t>
  </si>
  <si>
    <t>Hochtonlautsprecher vorn rechts</t>
  </si>
  <si>
    <t>Hochtonlautsprecher vorn rechts [Schalttafel Re.]</t>
  </si>
  <si>
    <t>XA.R22.2</t>
  </si>
  <si>
    <t>LS_HT_VR</t>
  </si>
  <si>
    <t>1-49G</t>
  </si>
  <si>
    <t>N_018_889_69</t>
  </si>
  <si>
    <t>SL76019</t>
  </si>
  <si>
    <t>S.HTVR+.9Y0_076A.</t>
  </si>
  <si>
    <t>S.HTVR-.9Y0_076A._XA.R22.2_2_1</t>
  </si>
  <si>
    <t>1-br/rt</t>
  </si>
  <si>
    <t>BR/RT</t>
  </si>
  <si>
    <t>S.HTVR-.9Y0_076A.</t>
  </si>
  <si>
    <t>S.10._076A.A2B+_TCPR.2B1_7_1</t>
  </si>
  <si>
    <t>SL76021</t>
  </si>
  <si>
    <t>S.10._076A.A2B+</t>
  </si>
  <si>
    <t>S.10._076A.A2B-_TCPR.2B1_8_1</t>
  </si>
  <si>
    <t>S.10._076A.A2B-</t>
  </si>
  <si>
    <t>S.TTHL+.9Y0_076A._TCPL.2A1_3_2</t>
  </si>
  <si>
    <t>SL76025</t>
  </si>
  <si>
    <t>S.TTHL+.9Y0_076A.</t>
  </si>
  <si>
    <t>S.TTHL-.9Y0_076A._TCPL.2A1_4_2</t>
  </si>
  <si>
    <t>S.TTHL-.9Y0_076A.</t>
  </si>
  <si>
    <t>S.CHT+.9Y0_076A._XA.R208.1_1_1</t>
  </si>
  <si>
    <t>Centerlautsprecher</t>
  </si>
  <si>
    <t>Centerlautsprecher [Schalttafel Mitte]</t>
  </si>
  <si>
    <t>XA.R208.1</t>
  </si>
  <si>
    <t>LS_CENT</t>
  </si>
  <si>
    <t>1-27C</t>
  </si>
  <si>
    <t>N_103_358_01</t>
  </si>
  <si>
    <t>N_018_889_37</t>
  </si>
  <si>
    <t>SL76027</t>
  </si>
  <si>
    <t>1-bl</t>
  </si>
  <si>
    <t>S.CHT+.9Y0_076A.</t>
  </si>
  <si>
    <t>S.CHT-.9Y0_076A._XA.RX7.12_7_1</t>
  </si>
  <si>
    <t>2-bl/sw</t>
  </si>
  <si>
    <t>S.CHT-.9Y0_076A.</t>
  </si>
  <si>
    <t>X.DSP_VNC-.056B._XB.RX7.12_9_1</t>
  </si>
  <si>
    <t>N_901_916_54</t>
  </si>
  <si>
    <t>SL76029</t>
  </si>
  <si>
    <t>2-ge</t>
  </si>
  <si>
    <t>GE</t>
  </si>
  <si>
    <t>X.DSP_VNC-.056B.</t>
  </si>
  <si>
    <t>X.DSP_VNC+.056B._XB.RX7.12_3_1</t>
  </si>
  <si>
    <t>X.DSP_VNC+.056B.</t>
  </si>
  <si>
    <t>S.EHTL+.4J3_076A.vorne_TCPL.2C1_14_1</t>
  </si>
  <si>
    <t>N_018_886_84</t>
  </si>
  <si>
    <t>SL76031</t>
  </si>
  <si>
    <t>2-bl/ws</t>
  </si>
  <si>
    <t>S.EHTL+.4J3_076A.vorne</t>
  </si>
  <si>
    <t>S.EHTL-.4J3_076A.vorne_TCPL.2C1_13_1</t>
  </si>
  <si>
    <t>1-sw/ws</t>
  </si>
  <si>
    <t>S.EHTL-.4J3_076A.vorne</t>
  </si>
  <si>
    <t>S.EMTR+._076A.3D_XD.RX7.12_10_1</t>
  </si>
  <si>
    <t>Aktivlautsprecher fÃ¼r Breitband vorn rechts</t>
  </si>
  <si>
    <t>Aktivlautsprecher fÃ¼r Breitband vorn rechts [A-Saule]</t>
  </si>
  <si>
    <t>XA.R29.4</t>
  </si>
  <si>
    <t>LSMT10P</t>
  </si>
  <si>
    <t>1-57D</t>
  </si>
  <si>
    <t>N_018_890_20</t>
  </si>
  <si>
    <t>SL76035</t>
  </si>
  <si>
    <t>2-rt/ws</t>
  </si>
  <si>
    <t>S.EMTR+._076A.3D</t>
  </si>
  <si>
    <t>S.EMTR-._076A.3D_XD.RX7.12_14_1</t>
  </si>
  <si>
    <t>1-br/ws</t>
  </si>
  <si>
    <t>BR/WS</t>
  </si>
  <si>
    <t>S.EMTR-._076A.3D</t>
  </si>
  <si>
    <t>S.TTVR+.9Y0_076._TCPR.2B1_5_1</t>
  </si>
  <si>
    <t>N_018_889_30</t>
  </si>
  <si>
    <t>SL76039</t>
  </si>
  <si>
    <t>1-rt/bl</t>
  </si>
  <si>
    <t>S.TTVR+.9Y0_076.</t>
  </si>
  <si>
    <t>S.TTVR-.9Y0_076._TCPR.2B1_6_1</t>
  </si>
  <si>
    <t>S.TTVR-.9Y0_076.</t>
  </si>
  <si>
    <t>S.TTVL+.9Y0_076._XD.RX7.12_9_1</t>
  </si>
  <si>
    <t>N_018_889_57</t>
  </si>
  <si>
    <t>SL76041</t>
  </si>
  <si>
    <t>S.TTVL+.9Y0_076.</t>
  </si>
  <si>
    <t>S.TTVL-.9Y0_076._TCPL.2B1_17_1</t>
  </si>
  <si>
    <t>S.TTVL-.9Y0_076.</t>
  </si>
  <si>
    <t>S.TTHR+.9Y0_076A._TCPR.2B1_3_2</t>
  </si>
  <si>
    <t>SL76045</t>
  </si>
  <si>
    <t>S.TTHR+.9Y0_076A.</t>
  </si>
  <si>
    <t>S.TTHR-.9Y0_076A._TCPR.2B1_4_2</t>
  </si>
  <si>
    <t>S.TTHR-.9Y0_076A.</t>
  </si>
  <si>
    <t>S.MTVR+.9Y0_076._XA.R22.1_1_1</t>
  </si>
  <si>
    <t>XA.R22.1</t>
  </si>
  <si>
    <t>LS_HT1_VR</t>
  </si>
  <si>
    <t>SL76047</t>
  </si>
  <si>
    <t>S.MTVR-.9Y0_076._XA.R22.1_2_1</t>
  </si>
  <si>
    <t>S.MTVR+.9Y0_076._A234_1_1</t>
  </si>
  <si>
    <t>SL76049</t>
  </si>
  <si>
    <t>S.MTVR-.9Y0_076._A238_1_1</t>
  </si>
  <si>
    <t>S.MTVL+.9Y0_076._A240_1_3</t>
  </si>
  <si>
    <t>XA.R20.1</t>
  </si>
  <si>
    <t>LS_HT1_VL</t>
  </si>
  <si>
    <t>1-19G</t>
  </si>
  <si>
    <t>SL76051</t>
  </si>
  <si>
    <t>S.MTVL-.9Y0_076._A232_1_3</t>
  </si>
  <si>
    <t>S.MTVL+.9Y0_076._A240_1_1</t>
  </si>
  <si>
    <t>SL76053</t>
  </si>
  <si>
    <t>S.MTVL-.9Y0_076._A232_1_1</t>
  </si>
  <si>
    <t>S.PDC_LSH+..ohne_ZFAS_XA.R169.1_1_1</t>
  </si>
  <si>
    <t>Lautsprecher fÃ¼r Einparkhilfe</t>
  </si>
  <si>
    <t>Lautsprecher fÃ¼r Einparkhilfe [vorne Cockpit]</t>
  </si>
  <si>
    <t>XA.R169.1</t>
  </si>
  <si>
    <t>LSEPH</t>
  </si>
  <si>
    <t>S.PDC_LSH+..ohne_ZFAS</t>
  </si>
  <si>
    <t>S.PDC_LSH-..mit_ZFAS_XA.R169.1_2_1</t>
  </si>
  <si>
    <t>S.PDC_LSH-..mit_ZFAS</t>
  </si>
  <si>
    <t>S.10.9J1_035A.A2B+_TCPR.2C1_14_1</t>
  </si>
  <si>
    <t>SL76057</t>
  </si>
  <si>
    <t>S.10.9J1_035A.A2B+</t>
  </si>
  <si>
    <t>S.10.9J1_035A.A2B-_TCPR.2C1_13_1</t>
  </si>
  <si>
    <t>S.10.9J1_035A.A2B-</t>
  </si>
  <si>
    <t>LTGS.VORBEREI.TEL.</t>
  </si>
  <si>
    <t>4J3_974_077_A</t>
  </si>
  <si>
    <t>L0R+K8S+9ZE</t>
  </si>
  <si>
    <t>4J3_974_077_C</t>
  </si>
  <si>
    <t>L0R+K8S+9ZV+ER5</t>
  </si>
  <si>
    <t>127 (g)</t>
  </si>
  <si>
    <t>CU: 55 (g)</t>
  </si>
  <si>
    <t>4J3_974_077_E</t>
  </si>
  <si>
    <t>L0R+K8S+9ZV+ER1/ER2/ER6</t>
  </si>
  <si>
    <t>22 (g)</t>
  </si>
  <si>
    <t>CU: 15 (g)</t>
  </si>
  <si>
    <t>D.CANLMIB.._TCPM.1E1_2_1</t>
  </si>
  <si>
    <t>SL77001</t>
  </si>
  <si>
    <t>D.CANHMIB.._TCPM.1E1_1_1</t>
  </si>
  <si>
    <t>X.INF_GSMI.9Y0_077._TCPM.1C1_1_1</t>
  </si>
  <si>
    <t>TCPM.1C1</t>
  </si>
  <si>
    <t>KS_CPM_C</t>
  </si>
  <si>
    <t>1-34D</t>
  </si>
  <si>
    <t>N_106_472_02</t>
  </si>
  <si>
    <t>Koppelstelle an der Schalttafel rechts [Koppelbox]</t>
  </si>
  <si>
    <t>TCPR.2H1</t>
  </si>
  <si>
    <t>KS_CPR_H</t>
  </si>
  <si>
    <t>SL77005</t>
  </si>
  <si>
    <t>X.INF_GSMI.9Y0_077.</t>
  </si>
  <si>
    <t>X.INF_GSMS.9Y0_077._TCPM.1C1_2_1</t>
  </si>
  <si>
    <t>X.INF_GSMS.9Y0_077.</t>
  </si>
  <si>
    <t>V.30A.9J1_034.SP_F1_A32_1_2</t>
  </si>
  <si>
    <t>Plusverbindung (30) im Schalttafelleitungsstrang</t>
  </si>
  <si>
    <t>A32</t>
  </si>
  <si>
    <t>SP_30A</t>
  </si>
  <si>
    <t>1-51F</t>
  </si>
  <si>
    <t>N_037_093_8</t>
  </si>
  <si>
    <t>RT/BR</t>
  </si>
  <si>
    <t>V.30A.9J1_034.SP_F1</t>
  </si>
  <si>
    <t>V.30A.9J1_034.SP_F1_XA.SP.1_1A_1</t>
  </si>
  <si>
    <t>V.30A.9J1_034.SP_F1_A32_1_1</t>
  </si>
  <si>
    <t>S.INF_Power_On.9Y0_077._TCPR.2C1_6_1</t>
  </si>
  <si>
    <t>N_039_035_7</t>
  </si>
  <si>
    <t>S.INF_Power_On.9Y0_077.</t>
  </si>
  <si>
    <t>S.INF_Power_On.9Y0_077._XA.D8.1_6_1</t>
  </si>
  <si>
    <t>KartenlesegerÃ¤t</t>
  </si>
  <si>
    <t>XA.D8.1</t>
  </si>
  <si>
    <t>KAL_A</t>
  </si>
  <si>
    <t>1-28B</t>
  </si>
  <si>
    <t>A.ANTENNE.9Y0_077C._XC.D8.1_1_1</t>
  </si>
  <si>
    <t>XC.D8.1</t>
  </si>
  <si>
    <t>KAL_C</t>
  </si>
  <si>
    <t>1-30B</t>
  </si>
  <si>
    <t>Mauterfassungsgeber</t>
  </si>
  <si>
    <t>XA.G459.1</t>
  </si>
  <si>
    <t>ANT_MAU</t>
  </si>
  <si>
    <t>1-26C</t>
  </si>
  <si>
    <t>SL77014</t>
  </si>
  <si>
    <t>A.ANTENNE.9Y0_077C.</t>
  </si>
  <si>
    <t>S.SCHIRM.9Y0_077C._XC.D8.1_2_1</t>
  </si>
  <si>
    <t>S.SCHIRM.9Y0_077C.</t>
  </si>
  <si>
    <t>M.USB_GND.9Y0_077C._XL.RX7.12_1_1</t>
  </si>
  <si>
    <t>XL.RX7.12</t>
  </si>
  <si>
    <t>MIB_L</t>
  </si>
  <si>
    <t>XB.D8.1</t>
  </si>
  <si>
    <t>KAL_B</t>
  </si>
  <si>
    <t>SL77016</t>
  </si>
  <si>
    <t>M.USB_GND.9Y0_077C.</t>
  </si>
  <si>
    <t>M.USB_D-.9Y0_077C._XL.RX7.12_2_1</t>
  </si>
  <si>
    <t>M.USB_D-.9Y0_077C.</t>
  </si>
  <si>
    <t>V.USB_5V.9Y0_077C._XL.RX7.12_3_1</t>
  </si>
  <si>
    <t>V.USB_5V.9Y0_077C.</t>
  </si>
  <si>
    <t>V.USB_D+.9Y0_077C._XL.RX7.12_4_1</t>
  </si>
  <si>
    <t>V.USB_D+.9Y0_077C.</t>
  </si>
  <si>
    <t>S.USB_Shield.9Y0_077C._XL.RX7.12_5S_1</t>
  </si>
  <si>
    <t>S.USB_Shield.9Y0_077C.</t>
  </si>
  <si>
    <t>V.30A.9J1_034.SO_F9_XA.SO.1_9A_1</t>
  </si>
  <si>
    <t>N_037_093_5</t>
  </si>
  <si>
    <t>V.30A.9J1_034.SO_F9</t>
  </si>
  <si>
    <t>M.31.9J1_033.MB31_B1_821_1_3</t>
  </si>
  <si>
    <t>LTGS.LENKRAD</t>
  </si>
  <si>
    <t>4J3_974_089_A</t>
  </si>
  <si>
    <t>L0R+K8S+1XP</t>
  </si>
  <si>
    <t>11 (g)</t>
  </si>
  <si>
    <t>CU: 7 (g)</t>
  </si>
  <si>
    <t>V.30A.9J1_034.SO_F12_XA.SO.1_12A_1</t>
  </si>
  <si>
    <t>N_037_013_1</t>
  </si>
  <si>
    <t>V.30A.9J1_034.SO_F12</t>
  </si>
  <si>
    <t>LTGS.NOTRUF</t>
  </si>
  <si>
    <t>4J3_974_128_A</t>
  </si>
  <si>
    <t>L0R+K8S+IW3/IW6</t>
  </si>
  <si>
    <t>26 (g)</t>
  </si>
  <si>
    <t>S.LSP+.9J1_035A.E-Call_XA.R91.1_1_1</t>
  </si>
  <si>
    <t>Zusatzlautsprecher fÃ¼r Telematik</t>
  </si>
  <si>
    <t>Zusatzlautsprecher fÃ¼r Telematik [Notruf-Lautsprecher]</t>
  </si>
  <si>
    <t>XA.R91.1</t>
  </si>
  <si>
    <t>LSP21P</t>
  </si>
  <si>
    <t>1-55D</t>
  </si>
  <si>
    <t>N_901_916_55</t>
  </si>
  <si>
    <t>SL128001</t>
  </si>
  <si>
    <t>1-rt/gn</t>
  </si>
  <si>
    <t>S.LSP+.9J1_035A.E-Call</t>
  </si>
  <si>
    <t>S.LSP-.9J1_035A.E-Call_XA.R91.1_2_1</t>
  </si>
  <si>
    <t>2-br/gn</t>
  </si>
  <si>
    <t>S.LSP-.9J1_035A.E-Call</t>
  </si>
  <si>
    <t>LTGS.EINPARKHILFE</t>
  </si>
  <si>
    <t>4J3_974_161_A</t>
  </si>
  <si>
    <t>L0R+K8S+KA2</t>
  </si>
  <si>
    <t>CU: 10 (g)</t>
  </si>
  <si>
    <t>4J3_974_161_C</t>
  </si>
  <si>
    <t>L0R+K8S+KA6</t>
  </si>
  <si>
    <t>66 (g)</t>
  </si>
  <si>
    <t>CU: 24 (g)</t>
  </si>
  <si>
    <t>A.ANTENNE.064D._XO.RX7.12_1_1</t>
  </si>
  <si>
    <t>XO.RX7.12</t>
  </si>
  <si>
    <t>MIB_O</t>
  </si>
  <si>
    <t>1-39B</t>
  </si>
  <si>
    <t>N_106_773_02</t>
  </si>
  <si>
    <t>Koppelstelle an der Schalttafel links [RÃ¼ckfahrkamera]</t>
  </si>
  <si>
    <t>TCPL.2H1</t>
  </si>
  <si>
    <t>KS_CPL_H</t>
  </si>
  <si>
    <t>1-16D</t>
  </si>
  <si>
    <t>N_108_223_01</t>
  </si>
  <si>
    <t>RG174</t>
  </si>
  <si>
    <t>SL161001</t>
  </si>
  <si>
    <t>1-blk</t>
  </si>
  <si>
    <t>BLK</t>
  </si>
  <si>
    <t>A.ANTENNE.064D.</t>
  </si>
  <si>
    <t>S.SCHIRM.064D._XO.RX7.12_2_1</t>
  </si>
  <si>
    <t>2-sw</t>
  </si>
  <si>
    <t>S.SCHIRM.064D.</t>
  </si>
  <si>
    <t>V.USB_D+.077.ZFAS2_XM.RX7.12_1_1</t>
  </si>
  <si>
    <t>XM.RX7.12</t>
  </si>
  <si>
    <t>MIB_M</t>
  </si>
  <si>
    <t>1-38B</t>
  </si>
  <si>
    <t>TCPR.2D1</t>
  </si>
  <si>
    <t>KS_CPR_D</t>
  </si>
  <si>
    <t>1-52B</t>
  </si>
  <si>
    <t>SL161003</t>
  </si>
  <si>
    <t>V.USB_D+.077.ZFAS2</t>
  </si>
  <si>
    <t>V.USB_D+.077.ZFAS1_XM.RX7.12_2_1</t>
  </si>
  <si>
    <t>V.USB_D+.077.ZFAS1</t>
  </si>
  <si>
    <t>M.USB_D-.077.ZFAS2_XM.RX7.12_3_1</t>
  </si>
  <si>
    <t>M.USB_D-.077.ZFAS2</t>
  </si>
  <si>
    <t>M.USB_D-.077.ZFAS1_XM.RX7.12_4_1</t>
  </si>
  <si>
    <t>M.USB_D-.077.ZFAS1</t>
  </si>
  <si>
    <t>S.USB_Shield.077.ZFAS_XM.RX7.12_5S_1</t>
  </si>
  <si>
    <t>S.USB_Shield.077.ZFAS</t>
  </si>
  <si>
    <t>LTGS.RADIO</t>
  </si>
  <si>
    <t>4J3_974_216_A</t>
  </si>
  <si>
    <t>L0R+K8S+F0Y</t>
  </si>
  <si>
    <t>105 (g)</t>
  </si>
  <si>
    <t>CU: 90 (g)</t>
  </si>
  <si>
    <t>4J3_974_216_C</t>
  </si>
  <si>
    <t>L0R+K8S+F0A</t>
  </si>
  <si>
    <t>90 (g)</t>
  </si>
  <si>
    <t>CU: 81 (g)</t>
  </si>
  <si>
    <t>V.30A.9J1_034.SP_AU_F3_XA.R238.2_1X_1</t>
  </si>
  <si>
    <t>Bedienungs- und Anzeigeeinheit fÃ¼r Multimediasystem</t>
  </si>
  <si>
    <t>XA.R238.2</t>
  </si>
  <si>
    <t>AMI</t>
  </si>
  <si>
    <t>1X</t>
  </si>
  <si>
    <t>1-32J</t>
  </si>
  <si>
    <t>N_037_003_4</t>
  </si>
  <si>
    <t>RT/VI</t>
  </si>
  <si>
    <t>V.30A.9J1_034.SP_AU_F3</t>
  </si>
  <si>
    <t>M.31.9J1_033.MB34_B1_XA.R238.2_3X_1</t>
  </si>
  <si>
    <t>3X</t>
  </si>
  <si>
    <t>V.30A.9J1_034.SP_AU_F3_TCPM.1E1_5_1</t>
  </si>
  <si>
    <t xml:space="preserve"> siehe 216001</t>
  </si>
  <si>
    <t>D.CANHMIB.._XE.RX7.12_1_1</t>
  </si>
  <si>
    <t>SL216005</t>
  </si>
  <si>
    <t>D.CANLMIB.._XE.RX7.12_7_1</t>
  </si>
  <si>
    <t>D.CANHMIB.._XA.R238.2_2X_1</t>
  </si>
  <si>
    <t>2X</t>
  </si>
  <si>
    <t>SL216018</t>
  </si>
  <si>
    <t>D.CANLMIB.._XA.R238.2_4X_1</t>
  </si>
  <si>
    <t>4X</t>
  </si>
  <si>
    <t>X.INF_LVV+.9Y0_077.D2_XG.RX7.12_4_1</t>
  </si>
  <si>
    <t>XG.RX7.12</t>
  </si>
  <si>
    <t>MIB_G</t>
  </si>
  <si>
    <t>1-36C</t>
  </si>
  <si>
    <t>N_107_997_01</t>
  </si>
  <si>
    <t>SL216024</t>
  </si>
  <si>
    <t>X.INF_LVV+.9Y0_077.D2</t>
  </si>
  <si>
    <t>X.INF_LVV+.9Y0_077.D1_XG.RX7.12_3_1</t>
  </si>
  <si>
    <t>X.INF_LVV+.9Y0_077.D1</t>
  </si>
  <si>
    <t>X.INF_LVV-.9Y0_077.D2_XG.RX7.12_2_1</t>
  </si>
  <si>
    <t>X.INF_LVV-.9Y0_077.D2</t>
  </si>
  <si>
    <t>X.INF_LVV-.9Y0_077.D1_XG.RX7.12_1_1</t>
  </si>
  <si>
    <t>X.INF_LVV-.9Y0_077.D1</t>
  </si>
  <si>
    <t>X.INF_LVVG.9Y0_077._XG.RX7.12_5S_1</t>
  </si>
  <si>
    <t>N_107_730_04</t>
  </si>
  <si>
    <t>5-blk</t>
  </si>
  <si>
    <t>X.INF_LVVG.9Y0_077.</t>
  </si>
  <si>
    <t>D.CANHMIB.._B708_1_1</t>
  </si>
  <si>
    <t>Anschluss Privat CAN (MIB-CAN)</t>
  </si>
  <si>
    <t>Anschluss Privat CAN (MIB-CAN) [am MMI-ZR.]</t>
  </si>
  <si>
    <t>XA.MZ52.1PT</t>
  </si>
  <si>
    <t>MESS_MIB</t>
  </si>
  <si>
    <t>1-13F</t>
  </si>
  <si>
    <t>SL216029</t>
  </si>
  <si>
    <t>D.CANLMIB.._B709_1_1</t>
  </si>
  <si>
    <t>LTGS.ANTENNE.LIM</t>
  </si>
  <si>
    <t>4J3_974_219_A</t>
  </si>
  <si>
    <t>L0R+K8S+QV3+ER1/ER2</t>
  </si>
  <si>
    <t>331 (g)</t>
  </si>
  <si>
    <t>CU: 115 (g)</t>
  </si>
  <si>
    <t>4J3_974_219_C</t>
  </si>
  <si>
    <t>L0R+K8S+QV0+ER1/ER2/ER6</t>
  </si>
  <si>
    <t>CU: 75 (g)</t>
  </si>
  <si>
    <t>4J3_974_219_E</t>
  </si>
  <si>
    <t>L0R+K8S+QV0+ER5</t>
  </si>
  <si>
    <t>A.ANTENNE.077.DAB_XF.RX7.12_3_1</t>
  </si>
  <si>
    <t>XF.RX7.12</t>
  </si>
  <si>
    <t>MIB_F</t>
  </si>
  <si>
    <t>N_108_409_01</t>
  </si>
  <si>
    <t>Digitalradio-Antenne</t>
  </si>
  <si>
    <t>XA.R183.2</t>
  </si>
  <si>
    <t>ANTV04P</t>
  </si>
  <si>
    <t>1-72E</t>
  </si>
  <si>
    <t>SL219001</t>
  </si>
  <si>
    <t>A.ANTENNE.077.DAB</t>
  </si>
  <si>
    <t>S.SCHIRM.9Y0_077.DAB_XF.RX7.12_3S_1</t>
  </si>
  <si>
    <t>3S</t>
  </si>
  <si>
    <t>UNI_CONT_SN_SCHIRM</t>
  </si>
  <si>
    <t>S.SCHIRM.9Y0_077.DAB</t>
  </si>
  <si>
    <t>A.ANTENNE.9Y0_077.AM_XA.R130.4_3_1</t>
  </si>
  <si>
    <t>Heckscheibenantenne 1</t>
  </si>
  <si>
    <t>Heckscheibenantenne 1 [Rechts - RDW]</t>
  </si>
  <si>
    <t>XA.R130.4</t>
  </si>
  <si>
    <t>ANTV111P</t>
  </si>
  <si>
    <t>1-65D</t>
  </si>
  <si>
    <t>SL219005</t>
  </si>
  <si>
    <t>A.ANTENNE.9Y0_077.AM</t>
  </si>
  <si>
    <t>S.SCHIRM.9Y0_077.AM_XF.RX7.12_1S_1</t>
  </si>
  <si>
    <t>1S</t>
  </si>
  <si>
    <t>S.SCHIRM.9Y0_077.AM</t>
  </si>
  <si>
    <t>A.ANTENNE.9Y0_077.AM_XA.R130.2_3_1</t>
  </si>
  <si>
    <t>Heckscheibenantenne 1 [Rechts - Japan]</t>
  </si>
  <si>
    <t>XA.R130.2</t>
  </si>
  <si>
    <t>ANTV110P</t>
  </si>
  <si>
    <t>1-65C</t>
  </si>
  <si>
    <t>SL219007</t>
  </si>
  <si>
    <t>S.SCHIRM.9Y0_077.AM_XA.R130.2_4_1</t>
  </si>
  <si>
    <t>A.ANTENNE.077.FM2_XF.RX7.12_4_1</t>
  </si>
  <si>
    <t>Heckscheibenantenne 2</t>
  </si>
  <si>
    <t>Heckscheibenantenne 2 [Links - RDW]</t>
  </si>
  <si>
    <t>XA.R131.3</t>
  </si>
  <si>
    <t>ANTV02P</t>
  </si>
  <si>
    <t>SL219009</t>
  </si>
  <si>
    <t>A.ANTENNE.077.FM2</t>
  </si>
  <si>
    <t>S.BT_Reset.9Y0_077.FM2_XA.R131.3_2_1</t>
  </si>
  <si>
    <t>4S</t>
  </si>
  <si>
    <t>S.BT_Reset.9Y0_077.FM2</t>
  </si>
  <si>
    <t>A.ANTENNE.077.FM2_XA.R131.2_1_1</t>
  </si>
  <si>
    <t>Heckscheibenantenne 2 [Links - Japan]</t>
  </si>
  <si>
    <t>XA.R131.2</t>
  </si>
  <si>
    <t>ANTV03P</t>
  </si>
  <si>
    <t>1-72F</t>
  </si>
  <si>
    <t>SL219011</t>
  </si>
  <si>
    <t>S.BT_Reset.9Y0_077.FM2_XA.R131.2_2_1</t>
  </si>
  <si>
    <t>X.ANT-ZV_I.9Y0_056._XA.R130.4_1_1</t>
  </si>
  <si>
    <t>Koppelstelle an der C-SÃ¤ule rechts</t>
  </si>
  <si>
    <t>TCR.2A1</t>
  </si>
  <si>
    <t>KS_CR_A</t>
  </si>
  <si>
    <t>1-66B</t>
  </si>
  <si>
    <t>SL219013</t>
  </si>
  <si>
    <t>X.ANT-ZV_I.9Y0_056.</t>
  </si>
  <si>
    <t>X.ANT-ZV_S.056._XA.R130.4_2_1</t>
  </si>
  <si>
    <t>X.ANT-ZV_S.056.</t>
  </si>
  <si>
    <t>X.ANT-ZV_I.9Y0_056._XA.R130.2_1_1</t>
  </si>
  <si>
    <t>SL219015</t>
  </si>
  <si>
    <t>X.ANT-ZV_S.056._XA.R130.2_2_1</t>
  </si>
  <si>
    <t>A.ANTENNE.077.FM2_XA.R183.2_3_1</t>
  </si>
  <si>
    <t>SL219021</t>
  </si>
  <si>
    <t>S.BT_Reset.9Y0_077.FM2_XA.R183.2_4_1</t>
  </si>
  <si>
    <t>X.ANT-ZV_I.9Y0_056._XA.R130.3_1_1</t>
  </si>
  <si>
    <t>Heckscheibenantenne 1 [Rechts - RDW mit DAB]</t>
  </si>
  <si>
    <t>XA.R130.3</t>
  </si>
  <si>
    <t>ANTV109P</t>
  </si>
  <si>
    <t>1-67D</t>
  </si>
  <si>
    <t>SL219023</t>
  </si>
  <si>
    <t>X.ANT-ZV_S.056._XA.R130.3_2_1</t>
  </si>
  <si>
    <t>A.ANTENNE.9Y0_077.AM_XA.R130.3_3_1</t>
  </si>
  <si>
    <t>SL219025</t>
  </si>
  <si>
    <t>S.SCHIRM.9Y0_077.AM_XA.R130.3_4_1</t>
  </si>
  <si>
    <t>LTGS.DIAGNOSE</t>
  </si>
  <si>
    <t>4J3_974_230_A</t>
  </si>
  <si>
    <t>10 (g)</t>
  </si>
  <si>
    <t>D.AC_LIN..5_A227_1_1</t>
  </si>
  <si>
    <t>N_037_094_1</t>
  </si>
  <si>
    <t>D.AC_LIN3.9Y0_051A._A262_1_3</t>
  </si>
  <si>
    <t>LTGS.LWL</t>
  </si>
  <si>
    <t>4J3_974_267_A</t>
  </si>
  <si>
    <t>X.INF_LWL1.9Y0_090.KI-ZR_XB.K.2_2_1</t>
  </si>
  <si>
    <t>XB.K.2</t>
  </si>
  <si>
    <t>KOMBI_B</t>
  </si>
  <si>
    <t>1-42H</t>
  </si>
  <si>
    <t>N_105_401_02</t>
  </si>
  <si>
    <t>XP.RX7.12</t>
  </si>
  <si>
    <t>MIB_P</t>
  </si>
  <si>
    <t>1-39D</t>
  </si>
  <si>
    <t>N_105_400_03</t>
  </si>
  <si>
    <t>LWL</t>
  </si>
  <si>
    <t>X.INF_LWL1.9Y0_090.KI-ZR</t>
  </si>
  <si>
    <t>X.INF_LWL1.9Y0_090.ZR-KI_XB.K.2_1_1</t>
  </si>
  <si>
    <t>X.INF_LWL1.9Y0_090.ZR-KI</t>
  </si>
  <si>
    <t>D.DATA.077.RBD_XA.K.2_16_1</t>
  </si>
  <si>
    <t>N_039_038_0</t>
  </si>
  <si>
    <t>D.DATA.077.RBD</t>
  </si>
  <si>
    <t>LTGS.SCHNITTSTELLE</t>
  </si>
  <si>
    <t>4J3_974_295_A</t>
  </si>
  <si>
    <t>40 (g)</t>
  </si>
  <si>
    <t>CU: 13 (g)</t>
  </si>
  <si>
    <t>V.USB_D+.9Y0_077.Data2_XH.RX7.12_4_1</t>
  </si>
  <si>
    <t>XH.RX7.12</t>
  </si>
  <si>
    <t>MIB_H</t>
  </si>
  <si>
    <t>1-36B</t>
  </si>
  <si>
    <t>TCPM.1B1</t>
  </si>
  <si>
    <t>KS_CPM_B</t>
  </si>
  <si>
    <t>1-38H</t>
  </si>
  <si>
    <t>SL295001</t>
  </si>
  <si>
    <t>V.USB_D+.9Y0_077.Data2</t>
  </si>
  <si>
    <t>S.USB_Shield.9Y0_077._XH.RX7.12_5S_1</t>
  </si>
  <si>
    <t>S.USB_Shield.9Y0_077.</t>
  </si>
  <si>
    <t>M.USB_D-.9Y0_077.Data1_XH.RX7.12_3_1</t>
  </si>
  <si>
    <t>M.USB_D-.9Y0_077.Data1</t>
  </si>
  <si>
    <t>V.USB_D+.9Y0_077.Data1_XH.RX7.12_1_1</t>
  </si>
  <si>
    <t>V.USB_D+.9Y0_077.Data1</t>
  </si>
  <si>
    <t>M.USB_D-.9Y0_077.Data2_XH.RX7.12_2_1</t>
  </si>
  <si>
    <t>M.USB_D-.9Y0_077.Data2</t>
  </si>
  <si>
    <t>LTGS.PROJEKTOR</t>
  </si>
  <si>
    <t>4J3_974_321_A</t>
  </si>
  <si>
    <t>L0R+K8S+KS1</t>
  </si>
  <si>
    <t>D.CANHKOMBI.9J1_037._A178_1_1</t>
  </si>
  <si>
    <t>SteuergerÃ¤t fÃ¼r Frontscheibenprojektion (Head-up-Display)</t>
  </si>
  <si>
    <t>XA.J898.2</t>
  </si>
  <si>
    <t>HUD3P</t>
  </si>
  <si>
    <t>1-45F</t>
  </si>
  <si>
    <t>SL321001</t>
  </si>
  <si>
    <t>D.CANLKOMBI.9J1_037._A179_1_1</t>
  </si>
  <si>
    <t>V.30A.9J1_034.SO_F4_XA.SO.1_4A_1</t>
  </si>
  <si>
    <t>4A</t>
  </si>
  <si>
    <t>V.30A.9J1_034.SO_F4</t>
  </si>
  <si>
    <t>D.ETH6+.9Y0_064G._XA.J898.2_6_1</t>
  </si>
  <si>
    <t>SL321004</t>
  </si>
  <si>
    <t>D.ETH6+.9Y0_064G.</t>
  </si>
  <si>
    <t>D.ETH6-.9Y0_064G._XA.J898.2_7_1</t>
  </si>
  <si>
    <t>D.ETH6-.9Y0_064G.</t>
  </si>
  <si>
    <t>M.31.9J1_033.MB32_B1_XA.J898.2_10_1</t>
  </si>
  <si>
    <t>LTGS.KAMERA</t>
  </si>
  <si>
    <t>4J3_974_327_A</t>
  </si>
  <si>
    <t>L0R+K8S+9R1</t>
  </si>
  <si>
    <t>X.INF_LVH1-.._XA.K.2_9_1</t>
  </si>
  <si>
    <t>SL327001</t>
  </si>
  <si>
    <t>X.INF_LVH1-..</t>
  </si>
  <si>
    <t>X.INF_LVH1+.._XA.K.2_8_1</t>
  </si>
  <si>
    <t>X.INF_LVH1+..</t>
  </si>
  <si>
    <t>LTGS.NAVIGAT.SYST.</t>
  </si>
  <si>
    <t>4J3_974_329_A</t>
  </si>
  <si>
    <t>CU: 27 (g)</t>
  </si>
  <si>
    <t>X.INF_GPS_I.9J1_035A._XE.J526.1_1_1</t>
  </si>
  <si>
    <t>SteuergerÃ¤t fÃ¼r Telefon, Telematik</t>
  </si>
  <si>
    <t>XE.J526.1</t>
  </si>
  <si>
    <t>KOO03A</t>
  </si>
  <si>
    <t>1-33A</t>
  </si>
  <si>
    <t>GPS-Antenne</t>
  </si>
  <si>
    <t>XA.R50.2</t>
  </si>
  <si>
    <t>ANT79P</t>
  </si>
  <si>
    <t>1-62B</t>
  </si>
  <si>
    <t>N_105_896_02</t>
  </si>
  <si>
    <t>SL329005</t>
  </si>
  <si>
    <t>X.INF_GPS_I.9J1_035A.</t>
  </si>
  <si>
    <t>X.INF_GPS_S.9J1_035A._XE.J526.1_2_1</t>
  </si>
  <si>
    <t>X.INF_GPS_S.9J1_035A.</t>
  </si>
  <si>
    <t>LTGS.AIRBAG</t>
  </si>
  <si>
    <t>4J3_974_412_A</t>
  </si>
  <si>
    <t>L0R+K8S+4UF</t>
  </si>
  <si>
    <t>4J3_974_412_C</t>
  </si>
  <si>
    <t>L0R+K8S+4UE</t>
  </si>
  <si>
    <t>S.BAG_KNF-.9Y0_085A._XA.N295.8_1_1</t>
  </si>
  <si>
    <t>ZÃ¼nder fÃ¼r Knieairbag Fahrerseite</t>
  </si>
  <si>
    <t>XA.N295.8</t>
  </si>
  <si>
    <t>KNAB55P</t>
  </si>
  <si>
    <t>1-29B</t>
  </si>
  <si>
    <t>UNI_CONT_AU_FLR</t>
  </si>
  <si>
    <t>SteuergerÃ¤t fÃ¼r Airbag</t>
  </si>
  <si>
    <t>XA.J234.6</t>
  </si>
  <si>
    <t>SCG11A_RL</t>
  </si>
  <si>
    <t>1-35B</t>
  </si>
  <si>
    <t>N_108_156_03</t>
  </si>
  <si>
    <t>BLOC_SEAL_050_NANO</t>
  </si>
  <si>
    <t>N_901_916_82</t>
  </si>
  <si>
    <t>SL412022</t>
  </si>
  <si>
    <t>S.BAG_KNF-.9Y0_085A.</t>
  </si>
  <si>
    <t>S.BAG_KNF+.9Y0_085A._XA.N295.8_2_1</t>
  </si>
  <si>
    <t>1-gr</t>
  </si>
  <si>
    <t>GR</t>
  </si>
  <si>
    <t>S.BAG_KNF+.9Y0_085A.</t>
  </si>
  <si>
    <t>M.31.9J1_033.MB32_B1_XA.N295.8_3_1</t>
  </si>
  <si>
    <t>S.BAG_BFS1-.9Y0_085A._XA.NX3.8_1_1</t>
  </si>
  <si>
    <t>Beifahrerairbag-Einheit</t>
  </si>
  <si>
    <t>XA.NX3.8</t>
  </si>
  <si>
    <t>ABB6P_A_RL</t>
  </si>
  <si>
    <t>1-18B</t>
  </si>
  <si>
    <t>N_901_916_81</t>
  </si>
  <si>
    <t>SL412025</t>
  </si>
  <si>
    <t>S.BAG_BFS1-.9Y0_085A.</t>
  </si>
  <si>
    <t>S.BAG_BFS1+.9Y0_085A._XA.NX3.8_2_1</t>
  </si>
  <si>
    <t>2-ws</t>
  </si>
  <si>
    <t>S.BAG_BFS1+.9Y0_085A.</t>
  </si>
  <si>
    <t>M.31.9J1_033.MB31_B1_XA.NX3.8_3_1</t>
  </si>
  <si>
    <t>S.BAG_BFS2-.9Y0_085A._XB.NX3.8_1_1</t>
  </si>
  <si>
    <t>XB.NX3.8</t>
  </si>
  <si>
    <t>ABB6P_B_RL</t>
  </si>
  <si>
    <t>N_901_916_87</t>
  </si>
  <si>
    <t>SL412028</t>
  </si>
  <si>
    <t>2-gr</t>
  </si>
  <si>
    <t>S.BAG_BFS2-.9Y0_085A.</t>
  </si>
  <si>
    <t>S.BAG_BFS2+.9Y0_085A._XB.NX3.8_2_1</t>
  </si>
  <si>
    <t>S.BAG_BFS2+.9Y0_085A.</t>
  </si>
  <si>
    <t>S.BAG_BFS3-.9Y0_085A._XC.NX3.8_1_1</t>
  </si>
  <si>
    <t>XC.NX3.8</t>
  </si>
  <si>
    <t>ABB6P_C_RL</t>
  </si>
  <si>
    <t>1-19C</t>
  </si>
  <si>
    <t>N_901_916_94</t>
  </si>
  <si>
    <t>SL412030</t>
  </si>
  <si>
    <t>S.BAG_BFS3-.9Y0_085A.</t>
  </si>
  <si>
    <t>S.BAG_BFS3+.9Y0_085A._XC.NX3.8_2_1</t>
  </si>
  <si>
    <t>2-ws/rt</t>
  </si>
  <si>
    <t>S.BAG_BFS3+.9Y0_085A.</t>
  </si>
  <si>
    <t>S.BAG_KNBF-.9Y0_085A._XA.N296.8_1_1</t>
  </si>
  <si>
    <t>ZÃ¼nder fÃ¼r Knieairbag Beifahrerseite</t>
  </si>
  <si>
    <t>XA.N296.8</t>
  </si>
  <si>
    <t>KNAB56P</t>
  </si>
  <si>
    <t>1-53D</t>
  </si>
  <si>
    <t>N_901_916_80</t>
  </si>
  <si>
    <t>SL412032</t>
  </si>
  <si>
    <t>S.BAG_KNBF-.9Y0_085A.</t>
  </si>
  <si>
    <t>S.BAG_KNBF+.9Y0_085A._XA.N296.8_2_1</t>
  </si>
  <si>
    <t>1-sw</t>
  </si>
  <si>
    <t>S.BAG_KNBF+.9Y0_085A.</t>
  </si>
  <si>
    <t>M.31.9J1_033.MB31_B1_XA.N296.8_3_1</t>
  </si>
  <si>
    <t>S.SIGNAL.9Y0_085A.L1_XA.E224.2_1_1</t>
  </si>
  <si>
    <t>SchlÃ¼sselschalter fÃ¼r Abschaltung des Airbags Beifahrerseite</t>
  </si>
  <si>
    <t>XA.E224.2</t>
  </si>
  <si>
    <t>ABD13V_RL</t>
  </si>
  <si>
    <t>1-28C</t>
  </si>
  <si>
    <t>N_105_111_02</t>
  </si>
  <si>
    <t>S.SIGNAL.9Y0_085A.L1</t>
  </si>
  <si>
    <t>S.SIGNAL.9Y0_085A.L2_XA.E224.2_2_1</t>
  </si>
  <si>
    <t>N_037_091_7</t>
  </si>
  <si>
    <t>GE/GR</t>
  </si>
  <si>
    <t>S.SIGNAL.9Y0_085A.L2</t>
  </si>
  <si>
    <t>M.31-SM.9Y0_085A.AD_XA.E224.2_3_1</t>
  </si>
  <si>
    <t>M.31-SM.9Y0_085A.AD</t>
  </si>
  <si>
    <t>S.BAGFS1+.._XA.J234.6_12_1</t>
  </si>
  <si>
    <t>N_105_974_03</t>
  </si>
  <si>
    <t>N_901_916_27</t>
  </si>
  <si>
    <t>SL412039</t>
  </si>
  <si>
    <t>S.BAGFS1+..</t>
  </si>
  <si>
    <t>S.BAGFS1-.._XA.J234.6_16_1</t>
  </si>
  <si>
    <t>S.BAGFS1-..</t>
  </si>
  <si>
    <t>S.BAG_FS2-.._XA.J234.6_13_1</t>
  </si>
  <si>
    <t>N_108_151_01</t>
  </si>
  <si>
    <t>SL412041</t>
  </si>
  <si>
    <t>S.BAG_FS2-..</t>
  </si>
  <si>
    <t>S.BAG_FS2+.._XA.J234.6_9_1</t>
  </si>
  <si>
    <t>S.BAG_FS2+..</t>
  </si>
  <si>
    <t>LTGS.ANTENNE</t>
  </si>
  <si>
    <t>4J3_974_656_A</t>
  </si>
  <si>
    <t>L0R+K8S+IV6/IV7/IV8/JE0/JE3/JE4</t>
  </si>
  <si>
    <t>41 (g)</t>
  </si>
  <si>
    <t>CU: 14 (g)</t>
  </si>
  <si>
    <t>A.INF_LTEI.9J1_035A.Ant3_XA.R330.1_1_1</t>
  </si>
  <si>
    <t>LTE-Antenne 3</t>
  </si>
  <si>
    <t>XA.R330.1</t>
  </si>
  <si>
    <t>ANTE17P</t>
  </si>
  <si>
    <t>1-61A</t>
  </si>
  <si>
    <t>TCPR.2E1</t>
  </si>
  <si>
    <t>KS_CPR_E</t>
  </si>
  <si>
    <t>1-53B</t>
  </si>
  <si>
    <t>SL656001</t>
  </si>
  <si>
    <t>A.INF_LTEI.9J1_035A.Ant3</t>
  </si>
  <si>
    <t>A.INF_LTES.9J1_035A.Ant3_XA.R330.1_2_1</t>
  </si>
  <si>
    <t>A.INF_LTES.9J1_035A.Ant3</t>
  </si>
  <si>
    <t>LTGS.INNENLEUCHTE</t>
  </si>
  <si>
    <t>4J3_974_901_A</t>
  </si>
  <si>
    <t>L0R+K8S+QQ0</t>
  </si>
  <si>
    <t>4J3_974_901_C</t>
  </si>
  <si>
    <t>L0R+K8S+QQ2</t>
  </si>
  <si>
    <t>M.31.9J1_033.MB33_C1_XA.K268.1_1_1</t>
  </si>
  <si>
    <t>FuÃŸraumleuchte vorn links</t>
  </si>
  <si>
    <t>XA.K268.1</t>
  </si>
  <si>
    <t>IRL41A_VL</t>
  </si>
  <si>
    <t>1-22B</t>
  </si>
  <si>
    <t>X.ILM_FUSS.9Y0_055.VL_XA.K268.1_2_1</t>
  </si>
  <si>
    <t>N_039_033_0</t>
  </si>
  <si>
    <t>X.ILM_FUSS.9Y0_055.VL</t>
  </si>
  <si>
    <t>M.31.9J1_033.MB32_D1_XA.K269.1_1_1</t>
  </si>
  <si>
    <t>FuÃŸraumleuchte vorn rechts</t>
  </si>
  <si>
    <t>XA.K269.1</t>
  </si>
  <si>
    <t>IRL41A_VR</t>
  </si>
  <si>
    <t>1-54J</t>
  </si>
  <si>
    <t>M.31.9J1_033.MB32_D1</t>
  </si>
  <si>
    <t>X.ILM_FUSS.9Y0_055.VR_XA.K269.1_2_1</t>
  </si>
  <si>
    <t>N_039_033_6</t>
  </si>
  <si>
    <t>X.ILM_FUSS.9Y0_055.VR</t>
  </si>
  <si>
    <t>V.ILM_ALM30.9Y0_055._XA.K268.2_1_1</t>
  </si>
  <si>
    <t>XA.K268.2</t>
  </si>
  <si>
    <t>FRL24P</t>
  </si>
  <si>
    <t>Plusverbindung 2 (30a) im Schalttafelleitungsstrang</t>
  </si>
  <si>
    <t>A164</t>
  </si>
  <si>
    <t>SP_ILM</t>
  </si>
  <si>
    <t>1-32E</t>
  </si>
  <si>
    <t>N_037_093_4</t>
  </si>
  <si>
    <t>V.ILM_ALM30.9Y0_055.</t>
  </si>
  <si>
    <t>V.ILM_ALM30.9Y0_055._XA.K269.3_1_1</t>
  </si>
  <si>
    <t>XA.K269.3</t>
  </si>
  <si>
    <t>FRL25P</t>
  </si>
  <si>
    <t>V.ILM_ALM30.9Y0_055._A164_1_1</t>
  </si>
  <si>
    <t>M.31.9J1_033.MB33_C1_XA.K268.2_4_1</t>
  </si>
  <si>
    <t>M.31.9J1_033.MB32_D1_XA.K269.3_4_1</t>
  </si>
  <si>
    <t>D.LIN6_BCM1.9Y0_055..1_XA.K268.2_2_1</t>
  </si>
  <si>
    <t>D.LIN6_BCM1.9Y0_055..1</t>
  </si>
  <si>
    <t>D.LIN6_BCM1.9Y0_055E._XA.K268.2_3_1</t>
  </si>
  <si>
    <t>Leuchte 2 fÃ¼r Ambientebeleuchtung der Schalttafel</t>
  </si>
  <si>
    <t>Leuchte 2 fÃ¼r Ambientebeleuchtung der Schalttafel [Spot Kombi rechts]</t>
  </si>
  <si>
    <t>XA.L293.1</t>
  </si>
  <si>
    <t>AB_SPOT_RE</t>
  </si>
  <si>
    <t>1-43J</t>
  </si>
  <si>
    <t>D.LIN6_BCM1.9Y0_055E.</t>
  </si>
  <si>
    <t>V.ILM_ALM30.9Y0_055._A164_1_2</t>
  </si>
  <si>
    <t>V.ILM_ALM30.9Y0_055._XA.L230.1_1_1</t>
  </si>
  <si>
    <t>Leuchte fÃ¼r Ambientebeleuchtung der Schalttafel rechts</t>
  </si>
  <si>
    <t>XA.L230.1</t>
  </si>
  <si>
    <t>AB_ST_RE</t>
  </si>
  <si>
    <t>1-29H</t>
  </si>
  <si>
    <t>V.ILM_ALM30.9Y0_055._XA.L368.1_1_1</t>
  </si>
  <si>
    <t>Ambientebeleuchtung fÃ¼r Emblem in der Schalttafel Beifahrerseite</t>
  </si>
  <si>
    <t>XA.L368.1</t>
  </si>
  <si>
    <t>AB_EM_BFS</t>
  </si>
  <si>
    <t>1-28G</t>
  </si>
  <si>
    <t>V.ILM_ALM30.9Y0_055._XA.L293.1_1_1</t>
  </si>
  <si>
    <t>V.ILM_ALM30.9Y0_055._XA.L292.2_1_1</t>
  </si>
  <si>
    <t>Leuchte 1 fÃ¼r Ambientebeleuchtung der Schalttafel</t>
  </si>
  <si>
    <t>Leuchte 1 fÃ¼r Ambientebeleuchtung der Schalttafel [Spot Kombi links]</t>
  </si>
  <si>
    <t>XA.L292.2</t>
  </si>
  <si>
    <t>AB_SPOT_LI</t>
  </si>
  <si>
    <t>1-44H</t>
  </si>
  <si>
    <t>D.LIN6_BCM1.9Y0_055E..12_XA.L292.2_2_1</t>
  </si>
  <si>
    <t>D.LIN6_BCM1.9Y0_055E..12</t>
  </si>
  <si>
    <t>D.LIN6_BCM1.9Y0_055E..13_XA.L292.2_3_1</t>
  </si>
  <si>
    <t>D.LIN6_BCM1.9Y0_055E..13</t>
  </si>
  <si>
    <t>D.LIN6_BCM1.9Y0_055E..11_XA.L230.1_2_1</t>
  </si>
  <si>
    <t>D.LIN6_BCM1.9Y0_055E..11</t>
  </si>
  <si>
    <t>D.LIN6_BCM1.9Y0_055E..6_XA.L230.1_3_1</t>
  </si>
  <si>
    <t>D.LIN6_BCM1.9Y0_055E..6</t>
  </si>
  <si>
    <t>D.LIN6_BCM1.9Y0_055._TCPL.2D1_10_1</t>
  </si>
  <si>
    <t>D.LIN6_BCM1.9Y0_055.</t>
  </si>
  <si>
    <t>M.31.9J1_033.MB32_B1_81_1_1</t>
  </si>
  <si>
    <t>M.31.9J1_033.MB32_B1_XA.L292.2_4_1</t>
  </si>
  <si>
    <t>M.31.9J1_033.MB31_B1_821_1_5</t>
  </si>
  <si>
    <t>M.31.9J1_033.MB31_B1_821_1_4</t>
  </si>
  <si>
    <t>Bezeichnung</t>
  </si>
  <si>
    <t>VOBES-ID</t>
  </si>
  <si>
    <t>Benennung</t>
  </si>
  <si>
    <t>Teilenummer</t>
  </si>
  <si>
    <t>TAB-Nummer</t>
  </si>
  <si>
    <t>Referenzteil</t>
  </si>
  <si>
    <t>E-Komponente</t>
  </si>
  <si>
    <t>E-Komponente Part-Nr.</t>
  </si>
  <si>
    <t>Einh.</t>
  </si>
  <si>
    <t>KLEBEBAND PET-Vlies</t>
  </si>
  <si>
    <t>N_107_778_02</t>
  </si>
  <si>
    <t>mm</t>
  </si>
  <si>
    <t>PET-Vlies</t>
  </si>
  <si>
    <t>N___105_095_02</t>
  </si>
  <si>
    <t>N___105_436_01</t>
  </si>
  <si>
    <t>N___105_436_02</t>
  </si>
  <si>
    <t>Klebeband_PA-Gewebe</t>
  </si>
  <si>
    <t>N___107_291_02</t>
  </si>
  <si>
    <t>Stk.</t>
  </si>
  <si>
    <t>FLACHKONTAKTGEH_17POL_KOD_II_BRAUN</t>
  </si>
  <si>
    <t>8K0_972_483_A</t>
  </si>
  <si>
    <t>TAB_010_046_CH</t>
  </si>
  <si>
    <t>braun</t>
  </si>
  <si>
    <t>TCPL</t>
  </si>
  <si>
    <t>FLACHKONTAKTGEH_17POL_KOD_III_ROT</t>
  </si>
  <si>
    <t>8K0_972_483_B</t>
  </si>
  <si>
    <t>rot</t>
  </si>
  <si>
    <t>FLACHKONTAKTGEH_17POL_KOD_IV_BLAU</t>
  </si>
  <si>
    <t>8K0_972_483_D</t>
  </si>
  <si>
    <t>blau</t>
  </si>
  <si>
    <t>FLACHKONTAKTGEH_17POL_KOD_I_SCHWARZ</t>
  </si>
  <si>
    <t>8K0_972_483</t>
  </si>
  <si>
    <t>schwarz</t>
  </si>
  <si>
    <t>TCPM</t>
  </si>
  <si>
    <t>TCPR</t>
  </si>
  <si>
    <t>HF_KONTAKTGEHAEUSE_CREMEWEISS_2POL_KOD_B</t>
  </si>
  <si>
    <t>6Q0_035_576_A</t>
  </si>
  <si>
    <t>TAB_016_396_A</t>
  </si>
  <si>
    <t>cremeweiss</t>
  </si>
  <si>
    <t>FLACHKONTAKTGEH_4POL_KOD_C_ROT</t>
  </si>
  <si>
    <t>8K0_973_754_B</t>
  </si>
  <si>
    <t>TAB_010_046_CQ</t>
  </si>
  <si>
    <t>E1.2</t>
  </si>
  <si>
    <t>4K1_941_501</t>
  </si>
  <si>
    <t>BUCHSENKONTAKTGEHAEUSE_3-POL</t>
  </si>
  <si>
    <t>1C0_973_119_B</t>
  </si>
  <si>
    <t>E26.2</t>
  </si>
  <si>
    <t>4N1_857_035</t>
  </si>
  <si>
    <t>BUCHSENGEH_POL_20_KOD_A_SCHWARZ</t>
  </si>
  <si>
    <t>8W0_972_420</t>
  </si>
  <si>
    <t>EX35.1</t>
  </si>
  <si>
    <t>4J3_925_301</t>
  </si>
  <si>
    <t>FLACHKONTAKTGEH_17POL_KOD_V_GELB</t>
  </si>
  <si>
    <t>8K0_972_483_C</t>
  </si>
  <si>
    <t>gelb</t>
  </si>
  <si>
    <t>J527.1</t>
  </si>
  <si>
    <t>4N0_907_129</t>
  </si>
  <si>
    <t>5Q0_972_718_A</t>
  </si>
  <si>
    <t>TAB_016_038_BE</t>
  </si>
  <si>
    <t>K.2</t>
  </si>
  <si>
    <t>4KE_920_795_B</t>
  </si>
  <si>
    <t>KABELBINDER_C3.AX139</t>
  </si>
  <si>
    <t>KB_091</t>
  </si>
  <si>
    <t>N_106_478_01</t>
  </si>
  <si>
    <t>HF_KONTAKTGEHAEUSE_BEIGE_2-POL_KOD_J</t>
  </si>
  <si>
    <t>6Q0_035_576_H</t>
  </si>
  <si>
    <t>beige</t>
  </si>
  <si>
    <t>R266.2</t>
  </si>
  <si>
    <t>4N0_035_500</t>
  </si>
  <si>
    <t>SICHERUNGSTRAEGER_12POL_SCHWARZ</t>
  </si>
  <si>
    <t>8K0_941_824</t>
  </si>
  <si>
    <t>TAB_010_329_CA</t>
  </si>
  <si>
    <t>SO.1</t>
  </si>
  <si>
    <t>Steckerhalter</t>
  </si>
  <si>
    <t>AK_001</t>
  </si>
  <si>
    <t>8K0_971_981_A</t>
  </si>
  <si>
    <t>HALTER,ZE COCKPIT RE.</t>
  </si>
  <si>
    <t>KH_003</t>
  </si>
  <si>
    <t>9J1_937_581_E</t>
  </si>
  <si>
    <t>Sicherung Type_C 5A</t>
  </si>
  <si>
    <t>SI_STO51A_F2</t>
  </si>
  <si>
    <t>Lichtdrehschalter, Schalterleiste</t>
  </si>
  <si>
    <t>1-51J</t>
  </si>
  <si>
    <t>N_017_131_16</t>
  </si>
  <si>
    <t>hellbraun</t>
  </si>
  <si>
    <t>Sicherung Type_C 15A</t>
  </si>
  <si>
    <t>SI_STO51A_F5</t>
  </si>
  <si>
    <t>LenksÃ¤ulenelektronik</t>
  </si>
  <si>
    <t>N_017_131_12</t>
  </si>
  <si>
    <t>hellblau</t>
  </si>
  <si>
    <t>Sicherung Type_C 10A</t>
  </si>
  <si>
    <t>SI_STO51A_F8</t>
  </si>
  <si>
    <t>N_017_131_11</t>
  </si>
  <si>
    <t>SICHERUNGSTRAEGER_12POL_BRAUN</t>
  </si>
  <si>
    <t>8K0_941_824_A</t>
  </si>
  <si>
    <t>SP.1</t>
  </si>
  <si>
    <t>AK_002</t>
  </si>
  <si>
    <t>HALTER,ZE COCKPIT LI.</t>
  </si>
  <si>
    <t>KH_004</t>
  </si>
  <si>
    <t>9J1_937_581_D</t>
  </si>
  <si>
    <t>Sicherung Type_C 25A</t>
  </si>
  <si>
    <t>SI_STO52A_F2</t>
  </si>
  <si>
    <t>MIB (RDW) (NAR)</t>
  </si>
  <si>
    <t>1-17G</t>
  </si>
  <si>
    <t>N_017_131_14</t>
  </si>
  <si>
    <t>weiss</t>
  </si>
  <si>
    <t>SI_STO52A_F5</t>
  </si>
  <si>
    <t>Schnittstelle fÃ¼r externe Audioquellen</t>
  </si>
  <si>
    <t>1-16G</t>
  </si>
  <si>
    <t>SI_STO52A_F8</t>
  </si>
  <si>
    <t>WÃ¤hlhebel</t>
  </si>
  <si>
    <t>SI_STO52A_F9</t>
  </si>
  <si>
    <t>Taster Ladeklappe re. / li.</t>
  </si>
  <si>
    <t>SI_STO52A_F12</t>
  </si>
  <si>
    <t>Diagnose</t>
  </si>
  <si>
    <t>Steckergehause_OBD2</t>
  </si>
  <si>
    <t>3A0_972_695_A</t>
  </si>
  <si>
    <t>U31.2</t>
  </si>
  <si>
    <t>XXX_000_011_B</t>
  </si>
  <si>
    <t>BUCHSENGEH_SCHWARZ_2_POL_KOD_A</t>
  </si>
  <si>
    <t>8W0_971_832</t>
  </si>
  <si>
    <t>TAB_010_046_DP</t>
  </si>
  <si>
    <t>W6.1</t>
  </si>
  <si>
    <t>8J0_947_409_B</t>
  </si>
  <si>
    <t>FLACHKONTAKTGEH_40POL_SCHWARZ</t>
  </si>
  <si>
    <t>4H0_906_231</t>
  </si>
  <si>
    <t>J301.1</t>
  </si>
  <si>
    <t>9J1_907_040</t>
  </si>
  <si>
    <t>FLACHKONTAKTGEHAEUSE_12POL</t>
  </si>
  <si>
    <t>8X0_035_447</t>
  </si>
  <si>
    <t>RX7.12</t>
  </si>
  <si>
    <t>8W2_035_043</t>
  </si>
  <si>
    <t>HF_STECKER_5POL_KOD_A_SCHWARZ</t>
  </si>
  <si>
    <t>4E0_035_750</t>
  </si>
  <si>
    <t>TAB_026_004_AE</t>
  </si>
  <si>
    <t>8X0_035_447_A</t>
  </si>
  <si>
    <t>gruen</t>
  </si>
  <si>
    <t>BUCHSENGEHAEUSE_8_UND_44-POL</t>
  </si>
  <si>
    <t>8X0_035_444</t>
  </si>
  <si>
    <t>8X0_035_447_B</t>
  </si>
  <si>
    <t>grau</t>
  </si>
  <si>
    <t>HF_STECKER_5POL_KOD_B_WEISS</t>
  </si>
  <si>
    <t>4E0_035_750_A</t>
  </si>
  <si>
    <t>CLIP</t>
  </si>
  <si>
    <t>CL_004</t>
  </si>
  <si>
    <t>3D0_971_739_D</t>
  </si>
  <si>
    <t>KABELBINDER</t>
  </si>
  <si>
    <t>CL_006</t>
  </si>
  <si>
    <t>3D0_971_838_K</t>
  </si>
  <si>
    <t>KABELHALTER</t>
  </si>
  <si>
    <t>CL_007</t>
  </si>
  <si>
    <t>1T0_971_930_D</t>
  </si>
  <si>
    <t>CL_015</t>
  </si>
  <si>
    <t>1-54B</t>
  </si>
  <si>
    <t>6Q0_971_848_P</t>
  </si>
  <si>
    <t>Sockelkabelbinder</t>
  </si>
  <si>
    <t>CL_016</t>
  </si>
  <si>
    <t>1-41E</t>
  </si>
  <si>
    <t>WHT_005_317</t>
  </si>
  <si>
    <t>CL_020</t>
  </si>
  <si>
    <t>1-37D</t>
  </si>
  <si>
    <t>Kabelhalter</t>
  </si>
  <si>
    <t>CL_021</t>
  </si>
  <si>
    <t>1-37C</t>
  </si>
  <si>
    <t>6R0_971_848_B</t>
  </si>
  <si>
    <t>CL_022</t>
  </si>
  <si>
    <t>1-31E</t>
  </si>
  <si>
    <t>CL_023</t>
  </si>
  <si>
    <t>1-20E</t>
  </si>
  <si>
    <t>4F0_971_848_Q</t>
  </si>
  <si>
    <t>CL_025</t>
  </si>
  <si>
    <t>1-31C</t>
  </si>
  <si>
    <t>1T0_971_930_C</t>
  </si>
  <si>
    <t>CL_026</t>
  </si>
  <si>
    <t>KABELCLIP</t>
  </si>
  <si>
    <t>CL_031</t>
  </si>
  <si>
    <t>1-56E</t>
  </si>
  <si>
    <t>N_911_443_01</t>
  </si>
  <si>
    <t>CL_032</t>
  </si>
  <si>
    <t>6Y0_972_596</t>
  </si>
  <si>
    <t>LEITUNGSCLIP LOCHBEFESTIGUNG 6,5</t>
  </si>
  <si>
    <t>CL_033</t>
  </si>
  <si>
    <t>1-59E</t>
  </si>
  <si>
    <t>1C0_971_848</t>
  </si>
  <si>
    <t>CL_035</t>
  </si>
  <si>
    <t>1-60D</t>
  </si>
  <si>
    <t>CL_036</t>
  </si>
  <si>
    <t>1-60C</t>
  </si>
  <si>
    <t>CL_037</t>
  </si>
  <si>
    <t>1-60B</t>
  </si>
  <si>
    <t>CL_038</t>
  </si>
  <si>
    <t>1-55E</t>
  </si>
  <si>
    <t>3B0_971_848_F</t>
  </si>
  <si>
    <t>CL_060</t>
  </si>
  <si>
    <t>1-57E</t>
  </si>
  <si>
    <t>CL_091</t>
  </si>
  <si>
    <t>1-30C</t>
  </si>
  <si>
    <t>CL_095</t>
  </si>
  <si>
    <t>SOCKEL_KABELBINDER_AUSSENVERZAHNT</t>
  </si>
  <si>
    <t>CL_097</t>
  </si>
  <si>
    <t>1-50E</t>
  </si>
  <si>
    <t>5M0_971_838</t>
  </si>
  <si>
    <t>KB_004</t>
  </si>
  <si>
    <t>5M0_971_838_A</t>
  </si>
  <si>
    <t>KB_005</t>
  </si>
  <si>
    <t>1-37G</t>
  </si>
  <si>
    <t>KB_007</t>
  </si>
  <si>
    <t>KB_010</t>
  </si>
  <si>
    <t>1-26E</t>
  </si>
  <si>
    <t>KB_011</t>
  </si>
  <si>
    <t>1-28E</t>
  </si>
  <si>
    <t>KB_014</t>
  </si>
  <si>
    <t>KB_015</t>
  </si>
  <si>
    <t>1-54D</t>
  </si>
  <si>
    <t>KB_016</t>
  </si>
  <si>
    <t>1-54C</t>
  </si>
  <si>
    <t>KB_019</t>
  </si>
  <si>
    <t>KB_021</t>
  </si>
  <si>
    <t>1-39G</t>
  </si>
  <si>
    <t>KABELBINDERSOCKEL_4.6X200</t>
  </si>
  <si>
    <t>KB_026</t>
  </si>
  <si>
    <t>N_909_266_01</t>
  </si>
  <si>
    <t>KB_031</t>
  </si>
  <si>
    <t>KB_033</t>
  </si>
  <si>
    <t>1-54E</t>
  </si>
  <si>
    <t>Sockel_Kabelbinder</t>
  </si>
  <si>
    <t>KB_034</t>
  </si>
  <si>
    <t>1S0_971_838</t>
  </si>
  <si>
    <t>KB_038</t>
  </si>
  <si>
    <t>1-15E</t>
  </si>
  <si>
    <t>KB_039</t>
  </si>
  <si>
    <t>1-19E</t>
  </si>
  <si>
    <t>KB_070</t>
  </si>
  <si>
    <t>Sockel_Kabelbinder_6. 2x12,2x164</t>
  </si>
  <si>
    <t>KB_071</t>
  </si>
  <si>
    <t>1-14E</t>
  </si>
  <si>
    <t>WHT_006_403</t>
  </si>
  <si>
    <t>KB_072</t>
  </si>
  <si>
    <t>1-51G</t>
  </si>
  <si>
    <t>KB_102</t>
  </si>
  <si>
    <t>KB_105</t>
  </si>
  <si>
    <t>1-24E</t>
  </si>
  <si>
    <t>PUR-Schaumstoffrohr</t>
  </si>
  <si>
    <t>811_971_790</t>
  </si>
  <si>
    <t>BUCHSENKONTAKTGEHAEUSE_12POL_KOD_A</t>
  </si>
  <si>
    <t>8E0_972_712</t>
  </si>
  <si>
    <t>E87.1</t>
  </si>
  <si>
    <t>8Y0_820_043</t>
  </si>
  <si>
    <t>FLACHKONTAKTGEHAEUSE_4POL_SCHWARZ_KOD_1</t>
  </si>
  <si>
    <t>1K0_972_704_C</t>
  </si>
  <si>
    <t>G107.1</t>
  </si>
  <si>
    <t>9J1_907_539</t>
  </si>
  <si>
    <t>FLACHKONTAKTGEHAEUSE_2-POLIG_FARBE_SCHWARZ</t>
  </si>
  <si>
    <t>1J0_971_972</t>
  </si>
  <si>
    <t>TAB_016_038_M</t>
  </si>
  <si>
    <t>G385.2</t>
  </si>
  <si>
    <t>3D0_907_543_A</t>
  </si>
  <si>
    <t>G386.2</t>
  </si>
  <si>
    <t>1C0_973_119_C</t>
  </si>
  <si>
    <t>G930.1</t>
  </si>
  <si>
    <t>4K0_907_695</t>
  </si>
  <si>
    <t>FLACHKONTAKTGEH_4POL_KOD_A_SCHWARZ</t>
  </si>
  <si>
    <t>8K0_973_754</t>
  </si>
  <si>
    <t>J1072.2</t>
  </si>
  <si>
    <t>4N0_963_459_A</t>
  </si>
  <si>
    <t>Kastenkontaktgehaeuse</t>
  </si>
  <si>
    <t>7P0_972_754_A</t>
  </si>
  <si>
    <t>N28.1</t>
  </si>
  <si>
    <t>7PP_907_527_B</t>
  </si>
  <si>
    <t>SI_STO51A_F1</t>
  </si>
  <si>
    <t>Bed. Anz. Klimaanlage vorne</t>
  </si>
  <si>
    <t>SI_STO51A_F3</t>
  </si>
  <si>
    <t>Klimaanlage</t>
  </si>
  <si>
    <t>Sicherung Type_C 30A</t>
  </si>
  <si>
    <t>SI_STO51A_F11</t>
  </si>
  <si>
    <t>Bed. Anz. Klimaanlage hinten</t>
  </si>
  <si>
    <t>N_017_131_15</t>
  </si>
  <si>
    <t>hellgruen</t>
  </si>
  <si>
    <t>SI_STO52A_F6</t>
  </si>
  <si>
    <t>BUCHSENGEHAEUSE_4POL</t>
  </si>
  <si>
    <t>4H0_972_704</t>
  </si>
  <si>
    <t>V2.1</t>
  </si>
  <si>
    <t>972_907_521
973_907_521</t>
  </si>
  <si>
    <t>FLACHKONTAKTGEH_5POL_KOD_A</t>
  </si>
  <si>
    <t>8R0_973_605</t>
  </si>
  <si>
    <t>VX30.5</t>
  </si>
  <si>
    <t>4J3_819_701</t>
  </si>
  <si>
    <t>VX31.4</t>
  </si>
  <si>
    <t>4J3_819_702</t>
  </si>
  <si>
    <t>VX46.1</t>
  </si>
  <si>
    <t>4J3_819_203
4J3_819_203_A</t>
  </si>
  <si>
    <t>BUCHSENGEHAEUSE_6POL_KODIERUNG_1</t>
  </si>
  <si>
    <t>1K0_972_923</t>
  </si>
  <si>
    <t>SOCKEL_KABELBINDER</t>
  </si>
  <si>
    <t>CL_002</t>
  </si>
  <si>
    <t>3D0_971_838_L</t>
  </si>
  <si>
    <t>KB_012</t>
  </si>
  <si>
    <t>1-25B</t>
  </si>
  <si>
    <t>3D0_971_838_H</t>
  </si>
  <si>
    <t>KB_106</t>
  </si>
  <si>
    <t>1-27D</t>
  </si>
  <si>
    <t>KB_107</t>
  </si>
  <si>
    <t>EMITTER</t>
  </si>
  <si>
    <t>ZSB</t>
  </si>
  <si>
    <t>KT_EMT</t>
  </si>
  <si>
    <t>9J1_963_281_A</t>
  </si>
  <si>
    <t>E167.2</t>
  </si>
  <si>
    <t>971_953_519</t>
  </si>
  <si>
    <t>BUCHSENGEHAEUSE_6POL_KODIERUNG_2</t>
  </si>
  <si>
    <t>1K0_972_923_A</t>
  </si>
  <si>
    <t>J866.1</t>
  </si>
  <si>
    <t>80A_907_705</t>
  </si>
  <si>
    <t>SI_STO51A_F6</t>
  </si>
  <si>
    <t>elektr. Verst. LenksÃ¤ule</t>
  </si>
  <si>
    <t>BUCHSENGEHAEUSE_2POL_KKMQS_NATUR</t>
  </si>
  <si>
    <t>971_973_115_A</t>
  </si>
  <si>
    <t>TAB_052_482</t>
  </si>
  <si>
    <t>natur</t>
  </si>
  <si>
    <t>R20.1</t>
  </si>
  <si>
    <t>971_035_411_C</t>
  </si>
  <si>
    <t>BUCHSENGEHAEUSE_2POL_KKMQS_BLAU_TYCO_3-1718333-1</t>
  </si>
  <si>
    <t>971_973_115</t>
  </si>
  <si>
    <t>R20.2</t>
  </si>
  <si>
    <t>971_035_412</t>
  </si>
  <si>
    <t>R22.1</t>
  </si>
  <si>
    <t>R22.2</t>
  </si>
  <si>
    <t>R29.4</t>
  </si>
  <si>
    <t>971_035_416_A</t>
  </si>
  <si>
    <t>BUCHSENGEHAEUSE_2POL_MQS_SCHWARZ</t>
  </si>
  <si>
    <t>4B0_972_623</t>
  </si>
  <si>
    <t>TAB_010_046_AD</t>
  </si>
  <si>
    <t>R169.1</t>
  </si>
  <si>
    <t>5Q0_919_279</t>
  </si>
  <si>
    <t>FLACHKONTAKTGEHAEUSE_2-POLIG_1,5MM</t>
  </si>
  <si>
    <t>1J0_973_119</t>
  </si>
  <si>
    <t>TAB_016_038_AJ</t>
  </si>
  <si>
    <t>R208.1</t>
  </si>
  <si>
    <t>7PP_035_415_G</t>
  </si>
  <si>
    <t>BUCHSENGEHAEUSE_8-POL</t>
  </si>
  <si>
    <t>3B7_035_447</t>
  </si>
  <si>
    <t>HF_STECKERGEHAEUSE_CREMEWEISS_2-POL_KOD_B</t>
  </si>
  <si>
    <t>6Q0_035_575_A</t>
  </si>
  <si>
    <t>TAB_016_086_C</t>
  </si>
  <si>
    <t>HF_KONTAKTGEHAEUSE_LAUBGRUEN_2POL_KOD_E</t>
  </si>
  <si>
    <t>6Q0_035_576_D</t>
  </si>
  <si>
    <t>laubgruen</t>
  </si>
  <si>
    <t>FLACHKONTAKTGEHAEUSE_10POL</t>
  </si>
  <si>
    <t>6R0_972_930</t>
  </si>
  <si>
    <t>D8.1</t>
  </si>
  <si>
    <t>4K0_919_813</t>
  </si>
  <si>
    <t>HF_KONTAKTGEHAEUSE_CURRYGELB_2-POL_KOD_K</t>
  </si>
  <si>
    <t>6Q0_035_576_J</t>
  </si>
  <si>
    <t>currygelb</t>
  </si>
  <si>
    <t>G459.1</t>
  </si>
  <si>
    <t>8V0_035_504</t>
  </si>
  <si>
    <t>SI_STO51A_F9</t>
  </si>
  <si>
    <t>KartenlesegerÃ¤t Japan</t>
  </si>
  <si>
    <t>SI_STO52A_F1</t>
  </si>
  <si>
    <t>NFC, Handy, Koppelbox</t>
  </si>
  <si>
    <t>HF_STECKER_5POL_KOD_F_BRAUN</t>
  </si>
  <si>
    <t>4E0_035_750_E</t>
  </si>
  <si>
    <t>nussbraun</t>
  </si>
  <si>
    <t>HF_STECKER_5POL_KOD_C_BLAU</t>
  </si>
  <si>
    <t>4E0_035_750_B</t>
  </si>
  <si>
    <t>signalblau</t>
  </si>
  <si>
    <t>SI_STO51A_F12</t>
  </si>
  <si>
    <t>LenksÃ¤ulenelektronik LRH</t>
  </si>
  <si>
    <t>FLACHKONTAKTGEH_POL_2_KOD_II_BRAUN</t>
  </si>
  <si>
    <t>971_971_942</t>
  </si>
  <si>
    <t>R91.1</t>
  </si>
  <si>
    <t>7PP_035_709_A</t>
  </si>
  <si>
    <t>HF_KONTAKTGEHAEUSE_ERIKAVIOLETT_2POL_KOD_H</t>
  </si>
  <si>
    <t>6Q0_035_576_G</t>
  </si>
  <si>
    <t>erikaviolett</t>
  </si>
  <si>
    <t>HF_STECKER_5POL_KOD_E_LAUBGRUEN</t>
  </si>
  <si>
    <t>4E0_035_750_D</t>
  </si>
  <si>
    <t>MZ52.1PT</t>
  </si>
  <si>
    <t>8W0_PRI_CAN</t>
  </si>
  <si>
    <t>BUCHSENGEH_POL_9_KOD_A_TIEFSCHWARZ</t>
  </si>
  <si>
    <t>8W0_035_750</t>
  </si>
  <si>
    <t>026_004_BE</t>
  </si>
  <si>
    <t>R238.2</t>
  </si>
  <si>
    <t>4J3_919_604</t>
  </si>
  <si>
    <t>SI_STO52A_F3</t>
  </si>
  <si>
    <t>Display, Volume</t>
  </si>
  <si>
    <t>WICKELCLIP</t>
  </si>
  <si>
    <t>CL_003</t>
  </si>
  <si>
    <t>1-32G</t>
  </si>
  <si>
    <t>8P0_971_848_C</t>
  </si>
  <si>
    <t>TCR</t>
  </si>
  <si>
    <t>HF_KONTAKTGEHAEUSE_ERIKAVIOLETT_4POL_COD_H</t>
  </si>
  <si>
    <t>6Q0_035_608_G</t>
  </si>
  <si>
    <t>TAB_016_396_B</t>
  </si>
  <si>
    <t>R130.2</t>
  </si>
  <si>
    <t>992_035_225_A</t>
  </si>
  <si>
    <t>HF_KONTAKTGEHAEUSE_NUSSBRAUN_4POL_COD_F</t>
  </si>
  <si>
    <t>6Q0_035_608_E</t>
  </si>
  <si>
    <t>R130.3</t>
  </si>
  <si>
    <t>992_035_225_B
992_035_225_B</t>
  </si>
  <si>
    <t>HF_KONTAKTGEHAEUSE_CURRYGELB_4POL_COD_K</t>
  </si>
  <si>
    <t>6Q0_035_608_J</t>
  </si>
  <si>
    <t>R130.4</t>
  </si>
  <si>
    <t>992_035_225
992_035_225</t>
  </si>
  <si>
    <t>HF KONTAKTGEHAEUSE_SIGNALBLAU_2-POL_KOD_C</t>
  </si>
  <si>
    <t>6Q0_035_576_B</t>
  </si>
  <si>
    <t>R131.2</t>
  </si>
  <si>
    <t>971_035_225_C</t>
  </si>
  <si>
    <t>HF_KONTAKTGEHAEUSE_BORDEAUXVIOLETT_2-POL_KOD_D</t>
  </si>
  <si>
    <t>6Q0_035_576_C</t>
  </si>
  <si>
    <t>bordeauxviolett</t>
  </si>
  <si>
    <t>R131.3</t>
  </si>
  <si>
    <t>971_035_225_B
971_035_225_B</t>
  </si>
  <si>
    <t>HF_KONTAKTGEHAEUSE_SCHWARZ_4POL_COD_A</t>
  </si>
  <si>
    <t>6Q0_035_608</t>
  </si>
  <si>
    <t>R183.2</t>
  </si>
  <si>
    <t>971_035_225_D
971_035_225_D</t>
  </si>
  <si>
    <t>BUCHSENGEH_LICHTBLAU_POL_8_KOD_C</t>
  </si>
  <si>
    <t>4N0_035_576_B</t>
  </si>
  <si>
    <t>TAB_026_004_BQ</t>
  </si>
  <si>
    <t>lichtblau</t>
  </si>
  <si>
    <t>CL_040</t>
  </si>
  <si>
    <t>1-60E</t>
  </si>
  <si>
    <t>CL_041</t>
  </si>
  <si>
    <t>CL_042</t>
  </si>
  <si>
    <t>1-61E</t>
  </si>
  <si>
    <t>CL_044</t>
  </si>
  <si>
    <t>1-63E</t>
  </si>
  <si>
    <t>4B0_971_848_K</t>
  </si>
  <si>
    <t>CL_045</t>
  </si>
  <si>
    <t>1-64E</t>
  </si>
  <si>
    <t>CL_046</t>
  </si>
  <si>
    <t>CL_047</t>
  </si>
  <si>
    <t>1-65E</t>
  </si>
  <si>
    <t>CL_049</t>
  </si>
  <si>
    <t>1-66C</t>
  </si>
  <si>
    <t>CL_051</t>
  </si>
  <si>
    <t>1-66E</t>
  </si>
  <si>
    <t>KABELBINDERSOCKEL</t>
  </si>
  <si>
    <t>CL_053</t>
  </si>
  <si>
    <t>1-67E</t>
  </si>
  <si>
    <t>N_106_461_01</t>
  </si>
  <si>
    <t>CL_054</t>
  </si>
  <si>
    <t>1-68E</t>
  </si>
  <si>
    <t>CL_055</t>
  </si>
  <si>
    <t>1-69E</t>
  </si>
  <si>
    <t>CL_057</t>
  </si>
  <si>
    <t>1-70E</t>
  </si>
  <si>
    <t>Kabelhalter mit Tannenbaumfuss</t>
  </si>
  <si>
    <t>CL_058</t>
  </si>
  <si>
    <t>1-71E</t>
  </si>
  <si>
    <t>565_971_006</t>
  </si>
  <si>
    <t>CL_061</t>
  </si>
  <si>
    <t>KB_043</t>
  </si>
  <si>
    <t>1-62E</t>
  </si>
  <si>
    <t>PP-Wellschlauch</t>
  </si>
  <si>
    <t>N___910_577_01</t>
  </si>
  <si>
    <t>FLACHKONTAKTGEHAEUSE_2POL</t>
  </si>
  <si>
    <t>4E0_973_702</t>
  </si>
  <si>
    <t>SCHUTZKAPPE_2POL_LWL-ADAPTER</t>
  </si>
  <si>
    <t>AK_KOMBI_B</t>
  </si>
  <si>
    <t>4E0_972_401</t>
  </si>
  <si>
    <t>AK_MIB_P</t>
  </si>
  <si>
    <t>J898.2</t>
  </si>
  <si>
    <t>9J1_919_617
9JA_919_617</t>
  </si>
  <si>
    <t>SI_STO51A_F4</t>
  </si>
  <si>
    <t>HUD</t>
  </si>
  <si>
    <t>N___107_290_02</t>
  </si>
  <si>
    <t>WINKELKONTAKTGEHAEUSE Cod C</t>
  </si>
  <si>
    <t>6Q0_035_674_B</t>
  </si>
  <si>
    <t>TAB_016_396_F</t>
  </si>
  <si>
    <t>R50.2</t>
  </si>
  <si>
    <t>9J1_035_500</t>
  </si>
  <si>
    <t>J526.1</t>
  </si>
  <si>
    <t>4KE_035_282</t>
  </si>
  <si>
    <t>CL_081</t>
  </si>
  <si>
    <t>1-33D</t>
  </si>
  <si>
    <t>CL_099</t>
  </si>
  <si>
    <t>Seal</t>
  </si>
  <si>
    <t>7L0_972_776_A</t>
  </si>
  <si>
    <t>E224.2</t>
  </si>
  <si>
    <t>5Q0_919_237</t>
  </si>
  <si>
    <t>BUCHSENGEH_POL_20_KOD_I_GELB</t>
  </si>
  <si>
    <t>4N0_973_050_A</t>
  </si>
  <si>
    <t>J234.6</t>
  </si>
  <si>
    <t>992_959_655</t>
  </si>
  <si>
    <t>KABELBINDER_2.5X95</t>
  </si>
  <si>
    <t>KB_092</t>
  </si>
  <si>
    <t>N_106_232_01</t>
  </si>
  <si>
    <t>Blindstopfen</t>
  </si>
  <si>
    <t>UNI_BLIND_SEAL_050_NANO</t>
  </si>
  <si>
    <t>X</t>
  </si>
  <si>
    <t>BUCHSENGEH_POL_3_KOD_V_BRAUN</t>
  </si>
  <si>
    <t>8W1_972_563_A</t>
  </si>
  <si>
    <t>TAB_010_329_EE</t>
  </si>
  <si>
    <t>gelb_br</t>
  </si>
  <si>
    <t>N295.8</t>
  </si>
  <si>
    <t>9J1_880_841_E</t>
  </si>
  <si>
    <t>N296.8</t>
  </si>
  <si>
    <t>9J1_880_842_E</t>
  </si>
  <si>
    <t>NX3.8</t>
  </si>
  <si>
    <t>9J1_880_204_D</t>
  </si>
  <si>
    <t>BUCHSENGEH_POL_2_KOD_II_GELB_LICHTGRUEN</t>
  </si>
  <si>
    <t>4M1_972_562_A</t>
  </si>
  <si>
    <t>TAB_010_329_DC</t>
  </si>
  <si>
    <t>gelb_gn</t>
  </si>
  <si>
    <t>BUCHSENGEH_POL_2_KOD_I_GELB_SCHWARZ</t>
  </si>
  <si>
    <t>4M1_972_562</t>
  </si>
  <si>
    <t>gelb_sw</t>
  </si>
  <si>
    <t>CLIP_LEITUNGSSTRANG_162.6X4.6</t>
  </si>
  <si>
    <t>CL_108</t>
  </si>
  <si>
    <t>1-34B</t>
  </si>
  <si>
    <t>3D0_971_739_B</t>
  </si>
  <si>
    <t>KB_018</t>
  </si>
  <si>
    <t>1-18C</t>
  </si>
  <si>
    <t>KB_020</t>
  </si>
  <si>
    <t>KB_022</t>
  </si>
  <si>
    <t>1-18D</t>
  </si>
  <si>
    <t>3D0_971_838_M</t>
  </si>
  <si>
    <t>WINKELKONTAKTGEHAEUSE Cod D</t>
  </si>
  <si>
    <t>6Q0_035_674_C</t>
  </si>
  <si>
    <t>R330.1</t>
  </si>
  <si>
    <t>992_035_510</t>
  </si>
  <si>
    <t>K268.1</t>
  </si>
  <si>
    <t>4E0_947_415</t>
  </si>
  <si>
    <t>K268.2</t>
  </si>
  <si>
    <t>9J1_947_415_A</t>
  </si>
  <si>
    <t>K269.1</t>
  </si>
  <si>
    <t>FLACHKONTAKTGEH_4POL_KOD_B_BRAUN</t>
  </si>
  <si>
    <t>8K0_973_754_A</t>
  </si>
  <si>
    <t>K269.3</t>
  </si>
  <si>
    <t>9J1_947_415_B</t>
  </si>
  <si>
    <t>L230.1</t>
  </si>
  <si>
    <t>4N0_947_355_AT</t>
  </si>
  <si>
    <t>L292.2</t>
  </si>
  <si>
    <t>4J3_947_355_E</t>
  </si>
  <si>
    <t>L293.1</t>
  </si>
  <si>
    <t>4KE_947_355_P</t>
  </si>
  <si>
    <t>L368.1</t>
  </si>
  <si>
    <t>4N0_947_355_AN</t>
  </si>
  <si>
    <t>CL_101</t>
  </si>
  <si>
    <t>1-30G</t>
  </si>
  <si>
    <t>CL_106</t>
  </si>
  <si>
    <t>1-52F</t>
  </si>
  <si>
    <t>AEM</t>
  </si>
  <si>
    <t>Leitungsnummer</t>
  </si>
  <si>
    <t>Modulfamilie Zeichnung</t>
  </si>
  <si>
    <t>Ltg.verschoben nach</t>
  </si>
  <si>
    <t>Verbauort</t>
  </si>
  <si>
    <t>statisch / dynamisch</t>
  </si>
  <si>
    <t xml:space="preserve">Schweissknoten </t>
  </si>
  <si>
    <t>Schweissort TFS</t>
  </si>
  <si>
    <t>Schweissreihenfolge TFS</t>
  </si>
  <si>
    <t>Schweissname in XPPS</t>
  </si>
  <si>
    <t>Isolieren - Schweissknoten</t>
  </si>
  <si>
    <t>Steckort I</t>
  </si>
  <si>
    <t>Steckort II</t>
  </si>
  <si>
    <t>E-Prüfung KM/VT</t>
  </si>
  <si>
    <t>Ringsignierung</t>
  </si>
  <si>
    <t>Aufdruck Seite I</t>
  </si>
  <si>
    <t>Aufdruck Seite II</t>
  </si>
  <si>
    <t>Nullschnitt</t>
  </si>
  <si>
    <t xml:space="preserve">Infobaugruppe Kabelschuh / Kontakte </t>
  </si>
  <si>
    <t>Interne Kaufteil-Nr.</t>
  </si>
  <si>
    <t>interne Kaufteilzeichnung</t>
  </si>
  <si>
    <t>Isoschlauch Kabelschuh</t>
  </si>
  <si>
    <t>Kontaktoberfläche I</t>
  </si>
  <si>
    <t>Kontaktoberfläche II</t>
  </si>
  <si>
    <t>Bemerkung I</t>
  </si>
  <si>
    <t>Bemerkung II</t>
  </si>
  <si>
    <t>Bemerkung III</t>
  </si>
  <si>
    <t>Bemerkung IV</t>
  </si>
  <si>
    <t>Bemerkung VI</t>
  </si>
  <si>
    <t>Bemerkung VII</t>
  </si>
  <si>
    <t>Bemerkung VIII</t>
  </si>
  <si>
    <t>Bemerkung IX</t>
  </si>
  <si>
    <t>Baugruppen Stückliste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</si>
  <si>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</si>
  <si>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</si>
  <si>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</si>
  <si>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</si>
  <si>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</si>
  <si>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</si>
  <si>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</si>
  <si>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</si>
  <si>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</si>
  <si>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</si>
  <si>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</si>
  <si>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</si>
  <si>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</si>
  <si>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</si>
  <si>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</si>
  <si>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</si>
  <si>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</si>
  <si>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</si>
  <si>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</si>
  <si>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</si>
  <si>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</si>
  <si>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</si>
  <si>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</si>
  <si>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</si>
  <si>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</si>
  <si>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</si>
  <si>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</si>
  <si>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</si>
  <si>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</si>
  <si>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</si>
  <si>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</si>
  <si>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</si>
  <si>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</si>
  <si>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</si>
  <si>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</si>
  <si>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</si>
  <si>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</si>
  <si>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</si>
  <si>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</si>
  <si>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</si>
  <si>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</si>
  <si>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</si>
  <si>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</si>
  <si>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</si>
  <si>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</si>
  <si>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</si>
  <si>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</si>
  <si>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Teile verschoben nach</t>
  </si>
  <si>
    <t>Gehäuse o/z (offen / zu)</t>
  </si>
  <si>
    <t>E-Prüfung KM/VT/PiM</t>
  </si>
  <si>
    <t>Test KSK</t>
  </si>
  <si>
    <t>Clip-Abfrage</t>
  </si>
  <si>
    <t>Endmontage</t>
  </si>
  <si>
    <t>Infobaugruppe Relais / Sicherung</t>
  </si>
  <si>
    <t>Verbauposition Relaisträger</t>
  </si>
  <si>
    <t>Anzugskraft Kabelbinderpistole</t>
  </si>
  <si>
    <t>Hilsfwerkzeuge (z.B. Auswerfer usw)</t>
  </si>
  <si>
    <t xml:space="preserve">Nullschnitt </t>
  </si>
  <si>
    <t>Bemerkung V</t>
  </si>
  <si>
    <t>000_</t>
  </si>
  <si>
    <t>KSK</t>
  </si>
  <si>
    <t>Kaufteil</t>
  </si>
  <si>
    <t>B</t>
  </si>
  <si>
    <t>VT03</t>
  </si>
  <si>
    <t>s</t>
  </si>
  <si>
    <t>Band</t>
  </si>
  <si>
    <t>Splice</t>
  </si>
  <si>
    <t>CAN</t>
  </si>
  <si>
    <t>d</t>
  </si>
  <si>
    <t>RI_GE</t>
  </si>
  <si>
    <t>band</t>
  </si>
  <si>
    <t>VT01ANT</t>
  </si>
  <si>
    <t>VT</t>
  </si>
  <si>
    <t>A</t>
  </si>
  <si>
    <t>VT02</t>
  </si>
  <si>
    <t>Direktleitung 167+29028</t>
  </si>
  <si>
    <t>SP_MB31_B3/SP_MB31_B1</t>
  </si>
  <si>
    <t>SP_MB32_B3/SP_MB32_B1</t>
  </si>
  <si>
    <t>SP_MB31_B3/SP_MB31_B2</t>
  </si>
  <si>
    <t>SP_MB32_B3/SP_MB32_B2</t>
  </si>
  <si>
    <t>029_</t>
  </si>
  <si>
    <t>Ionisator</t>
  </si>
  <si>
    <t>SP_31SM/SP_31SM_1</t>
  </si>
  <si>
    <t>072_</t>
  </si>
  <si>
    <t>076_</t>
  </si>
  <si>
    <t>077_</t>
  </si>
  <si>
    <t>kaufteil</t>
  </si>
  <si>
    <t>089_</t>
  </si>
  <si>
    <t>128_</t>
  </si>
  <si>
    <t>161_</t>
  </si>
  <si>
    <t>216_</t>
  </si>
  <si>
    <t>219_</t>
  </si>
  <si>
    <t>230_</t>
  </si>
  <si>
    <t>267_</t>
  </si>
  <si>
    <t>295_</t>
  </si>
  <si>
    <t>321_</t>
  </si>
  <si>
    <t>327_</t>
  </si>
  <si>
    <t>329_</t>
  </si>
  <si>
    <t>412_</t>
  </si>
  <si>
    <t>KM</t>
  </si>
  <si>
    <t>KM412</t>
  </si>
  <si>
    <t>Nanokontakt</t>
  </si>
  <si>
    <t>M</t>
  </si>
  <si>
    <t>980015136→980017457(CPA)</t>
  </si>
  <si>
    <t>980015132→980017450(CPA)</t>
  </si>
  <si>
    <t>656_</t>
  </si>
  <si>
    <t>901_</t>
  </si>
  <si>
    <t>z</t>
  </si>
  <si>
    <t>EM1</t>
  </si>
  <si>
    <r>
      <t>2FEF</t>
    </r>
    <r>
      <rPr>
        <b/>
        <sz val="11"/>
        <rFont val="Calibri"/>
        <family val="2"/>
        <scheme val="minor"/>
      </rPr>
      <t>ST510</t>
    </r>
    <r>
      <rPr>
        <sz val="11"/>
        <rFont val="Calibri"/>
        <family val="2"/>
        <scheme val="minor"/>
      </rPr>
      <t>2050</t>
    </r>
  </si>
  <si>
    <r>
      <t>2FEF</t>
    </r>
    <r>
      <rPr>
        <b/>
        <sz val="11"/>
        <rFont val="Calibri"/>
        <family val="2"/>
        <scheme val="minor"/>
      </rPr>
      <t>ST510</t>
    </r>
    <r>
      <rPr>
        <sz val="11"/>
        <rFont val="Calibri"/>
        <family val="2"/>
        <scheme val="minor"/>
      </rPr>
      <t>5150</t>
    </r>
  </si>
  <si>
    <r>
      <t>2FEF</t>
    </r>
    <r>
      <rPr>
        <b/>
        <sz val="11"/>
        <rFont val="Calibri"/>
        <family val="2"/>
        <scheme val="minor"/>
      </rPr>
      <t>ST510</t>
    </r>
    <r>
      <rPr>
        <sz val="11"/>
        <rFont val="Calibri"/>
        <family val="2"/>
        <scheme val="minor"/>
      </rPr>
      <t>8100</t>
    </r>
  </si>
  <si>
    <r>
      <t>2FEF</t>
    </r>
    <r>
      <rPr>
        <b/>
        <sz val="11"/>
        <rFont val="Calibri"/>
        <family val="2"/>
        <scheme val="minor"/>
      </rPr>
      <t>ST520</t>
    </r>
    <r>
      <rPr>
        <sz val="11"/>
        <rFont val="Calibri"/>
        <family val="2"/>
        <scheme val="minor"/>
      </rPr>
      <t>2250</t>
    </r>
  </si>
  <si>
    <r>
      <t>2FEF</t>
    </r>
    <r>
      <rPr>
        <b/>
        <sz val="11"/>
        <rFont val="Calibri"/>
        <family val="2"/>
        <scheme val="minor"/>
      </rPr>
      <t>ST520</t>
    </r>
    <r>
      <rPr>
        <sz val="11"/>
        <rFont val="Calibri"/>
        <family val="2"/>
        <scheme val="minor"/>
      </rPr>
      <t>5050</t>
    </r>
  </si>
  <si>
    <r>
      <t>2FEF</t>
    </r>
    <r>
      <rPr>
        <b/>
        <sz val="11"/>
        <rFont val="Calibri"/>
        <family val="2"/>
        <scheme val="minor"/>
      </rPr>
      <t>ST520</t>
    </r>
    <r>
      <rPr>
        <sz val="11"/>
        <rFont val="Calibri"/>
        <family val="2"/>
        <scheme val="minor"/>
      </rPr>
      <t>8050</t>
    </r>
  </si>
  <si>
    <r>
      <t>2FEF</t>
    </r>
    <r>
      <rPr>
        <b/>
        <sz val="11"/>
        <rFont val="Calibri"/>
        <family val="2"/>
        <scheme val="minor"/>
      </rPr>
      <t>ST520</t>
    </r>
    <r>
      <rPr>
        <sz val="11"/>
        <rFont val="Calibri"/>
        <family val="2"/>
        <scheme val="minor"/>
      </rPr>
      <t>9050</t>
    </r>
  </si>
  <si>
    <r>
      <t>2FEF</t>
    </r>
    <r>
      <rPr>
        <b/>
        <sz val="11"/>
        <rFont val="Calibri"/>
        <family val="2"/>
        <scheme val="minor"/>
      </rPr>
      <t>ST5212</t>
    </r>
    <r>
      <rPr>
        <sz val="11"/>
        <rFont val="Calibri"/>
        <family val="2"/>
        <scheme val="minor"/>
      </rPr>
      <t>100</t>
    </r>
  </si>
  <si>
    <t>100 N ± 10 N</t>
  </si>
  <si>
    <t>125 N ± 10 N</t>
  </si>
  <si>
    <r>
      <t>2FEF</t>
    </r>
    <r>
      <rPr>
        <b/>
        <sz val="11"/>
        <rFont val="Calibri"/>
        <family val="2"/>
        <scheme val="minor"/>
      </rPr>
      <t>ST5101</t>
    </r>
    <r>
      <rPr>
        <sz val="11"/>
        <rFont val="Calibri"/>
        <family val="2"/>
        <scheme val="minor"/>
      </rPr>
      <t>050</t>
    </r>
  </si>
  <si>
    <r>
      <t>2FEF</t>
    </r>
    <r>
      <rPr>
        <b/>
        <sz val="11"/>
        <rFont val="Calibri"/>
        <family val="2"/>
        <scheme val="minor"/>
      </rPr>
      <t>ST51</t>
    </r>
    <r>
      <rPr>
        <sz val="11"/>
        <rFont val="Calibri"/>
        <family val="2"/>
        <scheme val="minor"/>
      </rPr>
      <t>03250</t>
    </r>
  </si>
  <si>
    <r>
      <t>2FEF</t>
    </r>
    <r>
      <rPr>
        <b/>
        <sz val="11"/>
        <rFont val="Calibri"/>
        <family val="2"/>
        <scheme val="minor"/>
      </rPr>
      <t>ST51</t>
    </r>
    <r>
      <rPr>
        <sz val="11"/>
        <rFont val="Calibri"/>
        <family val="2"/>
        <scheme val="minor"/>
      </rPr>
      <t>11300</t>
    </r>
  </si>
  <si>
    <r>
      <t>2FEF</t>
    </r>
    <r>
      <rPr>
        <b/>
        <sz val="11"/>
        <rFont val="Calibri"/>
        <family val="2"/>
        <scheme val="minor"/>
      </rPr>
      <t>ST52</t>
    </r>
    <r>
      <rPr>
        <sz val="11"/>
        <rFont val="Calibri"/>
        <family val="2"/>
        <scheme val="minor"/>
      </rPr>
      <t>06300</t>
    </r>
  </si>
  <si>
    <r>
      <t>2FEF</t>
    </r>
    <r>
      <rPr>
        <b/>
        <sz val="11"/>
        <rFont val="Calibri"/>
        <family val="2"/>
        <scheme val="minor"/>
      </rPr>
      <t>ST51</t>
    </r>
    <r>
      <rPr>
        <sz val="11"/>
        <rFont val="Calibri"/>
        <family val="2"/>
        <scheme val="minor"/>
      </rPr>
      <t>06150</t>
    </r>
  </si>
  <si>
    <r>
      <t>2FEF</t>
    </r>
    <r>
      <rPr>
        <b/>
        <sz val="11"/>
        <rFont val="Calibri"/>
        <family val="2"/>
        <scheme val="minor"/>
      </rPr>
      <t>ST52</t>
    </r>
    <r>
      <rPr>
        <sz val="11"/>
        <rFont val="Calibri"/>
        <family val="2"/>
        <scheme val="minor"/>
      </rPr>
      <t>01050</t>
    </r>
  </si>
  <si>
    <r>
      <t>2FEF</t>
    </r>
    <r>
      <rPr>
        <b/>
        <sz val="11"/>
        <rFont val="Calibri"/>
        <family val="2"/>
        <scheme val="minor"/>
      </rPr>
      <t>ST51</t>
    </r>
    <r>
      <rPr>
        <sz val="11"/>
        <rFont val="Calibri"/>
        <family val="2"/>
        <scheme val="minor"/>
      </rPr>
      <t>12100</t>
    </r>
  </si>
  <si>
    <r>
      <t>2FEF</t>
    </r>
    <r>
      <rPr>
        <b/>
        <sz val="11"/>
        <rFont val="Calibri"/>
        <family val="2"/>
        <scheme val="minor"/>
      </rPr>
      <t>ST51</t>
    </r>
    <r>
      <rPr>
        <sz val="11"/>
        <rFont val="Calibri"/>
        <family val="2"/>
        <scheme val="minor"/>
      </rPr>
      <t>04050</t>
    </r>
  </si>
  <si>
    <r>
      <t>2FEF</t>
    </r>
    <r>
      <rPr>
        <b/>
        <sz val="11"/>
        <rFont val="Calibri"/>
        <family val="2"/>
        <scheme val="minor"/>
      </rPr>
      <t>ST51</t>
    </r>
    <r>
      <rPr>
        <sz val="11"/>
        <rFont val="Calibri"/>
        <family val="2"/>
        <scheme val="minor"/>
      </rPr>
      <t>09050</t>
    </r>
  </si>
  <si>
    <r>
      <t>2FEF</t>
    </r>
    <r>
      <rPr>
        <b/>
        <sz val="11"/>
        <rFont val="Calibri"/>
        <family val="2"/>
        <scheme val="minor"/>
      </rPr>
      <t>ST520</t>
    </r>
    <r>
      <rPr>
        <sz val="11"/>
        <rFont val="Calibri"/>
        <family val="2"/>
        <scheme val="minor"/>
      </rPr>
      <t>3050</t>
    </r>
  </si>
  <si>
    <t>TAB_004_830_D</t>
  </si>
  <si>
    <t>x</t>
  </si>
  <si>
    <t xml:space="preserve"> -</t>
  </si>
  <si>
    <t>99900UA36</t>
  </si>
  <si>
    <t>E-Sonata</t>
  </si>
  <si>
    <t>VT01 Ant</t>
  </si>
  <si>
    <t>A-Sonata</t>
  </si>
  <si>
    <t>A0</t>
  </si>
  <si>
    <t>001</t>
  </si>
  <si>
    <t>002</t>
  </si>
  <si>
    <t>003</t>
  </si>
  <si>
    <t>004</t>
  </si>
  <si>
    <t>005</t>
  </si>
  <si>
    <t>006</t>
  </si>
  <si>
    <t>RC01</t>
  </si>
  <si>
    <t>VT-Nr.(XPPS)</t>
  </si>
  <si>
    <t>1FE3</t>
  </si>
  <si>
    <t>ÄM-Nr.</t>
  </si>
  <si>
    <t>Nummerierung</t>
  </si>
  <si>
    <t>MV intern</t>
  </si>
  <si>
    <t>MV extern</t>
  </si>
  <si>
    <t>int. Index</t>
  </si>
  <si>
    <t>frei verfügbar</t>
  </si>
  <si>
    <t>Infobaugruppe NEU / aktuell</t>
  </si>
  <si>
    <t>Infobaugruppe ALT</t>
  </si>
  <si>
    <t>Inhalt (Ltg. Nummer)</t>
  </si>
  <si>
    <t>Inhalt (BOM)</t>
  </si>
  <si>
    <t>Inhalt (Splice)</t>
  </si>
  <si>
    <t>Teilegültigkeit</t>
  </si>
  <si>
    <t>Verbauraten</t>
  </si>
  <si>
    <t>V01</t>
  </si>
  <si>
    <t>V02</t>
  </si>
  <si>
    <t>V03</t>
  </si>
  <si>
    <t>V04</t>
  </si>
  <si>
    <t>V05</t>
  </si>
  <si>
    <t>V06</t>
  </si>
  <si>
    <t>01</t>
  </si>
  <si>
    <t>E</t>
  </si>
  <si>
    <t>D</t>
  </si>
  <si>
    <t>2FERC0100000A</t>
  </si>
  <si>
    <t>143,144,</t>
  </si>
  <si>
    <t>siehe BOM</t>
  </si>
  <si>
    <t>2FERC0121900A</t>
  </si>
  <si>
    <t>219001,219002,219021,219022,219023,219024,219025,219026,</t>
  </si>
  <si>
    <t>2FERC0121910A</t>
  </si>
  <si>
    <t>219005,219006,219009,219010,219013,219014,</t>
  </si>
  <si>
    <t>2FERC0121920A</t>
  </si>
  <si>
    <t>219007,219008,219011,219012,219015,219016,</t>
  </si>
  <si>
    <t>2FERC0132900A</t>
  </si>
  <si>
    <t xml:space="preserve">329005,329006, </t>
  </si>
  <si>
    <t>2FERC0165600A</t>
  </si>
  <si>
    <t>656001, 656002</t>
  </si>
  <si>
    <t>L0R+K8S+IV1/IV2/IV3/IV4/IV5/IV6/IV7/IV8/JE0/JE3/JE4</t>
  </si>
  <si>
    <t>SP_CANL_MIB/SP_CANH_MIB</t>
  </si>
  <si>
    <t>A1</t>
  </si>
  <si>
    <t>RC02</t>
  </si>
  <si>
    <t>02</t>
  </si>
  <si>
    <t>2FERC0200000A</t>
  </si>
  <si>
    <t>139,142,</t>
  </si>
  <si>
    <t>2FERC0207700A</t>
  </si>
  <si>
    <t>77001,77004,</t>
  </si>
  <si>
    <t>L0R+K8S/K8D+9ZV+ER5</t>
  </si>
  <si>
    <t>C</t>
  </si>
  <si>
    <t>2FERC0221620A</t>
  </si>
  <si>
    <t>2FERC0221610A</t>
  </si>
  <si>
    <t>216005,216006,216018,216019,216029,216030</t>
  </si>
  <si>
    <t>216005,216006,216018,216019,</t>
  </si>
  <si>
    <t>SP_CANLK/SP_CANHK</t>
  </si>
  <si>
    <t xml:space="preserve">321001,321002, </t>
  </si>
  <si>
    <t>03</t>
  </si>
  <si>
    <t>15,16,85,86,87,88</t>
  </si>
  <si>
    <t>RC03</t>
  </si>
  <si>
    <t xml:space="preserve"> </t>
  </si>
  <si>
    <t>Steuerungsvorgabe</t>
  </si>
  <si>
    <t>2FE5</t>
  </si>
  <si>
    <t>E5</t>
  </si>
  <si>
    <t>RC</t>
  </si>
  <si>
    <t>00</t>
  </si>
  <si>
    <t>4J3_974_076</t>
  </si>
  <si>
    <t>4J3_974_000</t>
  </si>
  <si>
    <t>4J3_974_901</t>
  </si>
  <si>
    <t>4J3_974_216</t>
  </si>
  <si>
    <t>Zdat 10.7.2020</t>
  </si>
  <si>
    <t>CU: 248 (g)</t>
  </si>
  <si>
    <t>63 (g)</t>
  </si>
  <si>
    <t>CU: 30 (g)</t>
  </si>
  <si>
    <t>21 (g)</t>
  </si>
  <si>
    <t>354 (g)</t>
  </si>
  <si>
    <t>1-59C</t>
  </si>
  <si>
    <t>1-56C</t>
  </si>
  <si>
    <t>1-58D</t>
  </si>
  <si>
    <t>CU: 6 (g)</t>
  </si>
  <si>
    <t>CU: 3 (g)</t>
  </si>
  <si>
    <t>1-59B</t>
  </si>
  <si>
    <t>14 (g)</t>
  </si>
  <si>
    <t>CU: 4 (g)</t>
  </si>
  <si>
    <t>99 (g)</t>
  </si>
  <si>
    <t>1-58A</t>
  </si>
  <si>
    <t>1-57B</t>
  </si>
  <si>
    <t>N_901_965_13</t>
  </si>
  <si>
    <t>SL412036</t>
  </si>
  <si>
    <t>2-ge/br</t>
  </si>
  <si>
    <t>GE/BR</t>
  </si>
  <si>
    <t>1-ge/gr</t>
  </si>
  <si>
    <t>3-br</t>
  </si>
  <si>
    <t>2FERST51A1BLK</t>
  </si>
  <si>
    <t>2FERST52A2VIO</t>
  </si>
  <si>
    <t>2FERST52A1BRW</t>
  </si>
  <si>
    <t>2FERST51A2VIO</t>
  </si>
  <si>
    <t>4J3_974_077_B</t>
  </si>
  <si>
    <t>L0R+K8S+9ZX+ER5</t>
  </si>
  <si>
    <t>CU: 40 (g) A</t>
  </si>
  <si>
    <t>CU: 793 (g)</t>
  </si>
  <si>
    <t>444 (g)</t>
  </si>
  <si>
    <t>CU: 333 (g)</t>
  </si>
  <si>
    <t>CU: 304 (g)</t>
  </si>
  <si>
    <t>CU: 323 (g)</t>
  </si>
  <si>
    <t>47 (g)</t>
  </si>
  <si>
    <t>344 (g)</t>
  </si>
  <si>
    <t>231 (g)</t>
  </si>
  <si>
    <t>84 (g)</t>
  </si>
  <si>
    <t>272 (g)</t>
  </si>
  <si>
    <t>234 (g)</t>
  </si>
  <si>
    <t>CU: 131 (g)</t>
  </si>
  <si>
    <t>CU: 60 (g)</t>
  </si>
  <si>
    <t>50 N ± 10 N</t>
  </si>
  <si>
    <t>500,501,506,</t>
  </si>
  <si>
    <t>29 (g)</t>
  </si>
  <si>
    <t>27 (g)</t>
  </si>
  <si>
    <t>503,504,506</t>
  </si>
  <si>
    <t>82 (g)</t>
  </si>
  <si>
    <t>500,501,506</t>
  </si>
  <si>
    <t>500 (g)</t>
  </si>
  <si>
    <t>482 (g)</t>
  </si>
  <si>
    <t>1840 (g)</t>
  </si>
  <si>
    <t>505,510,</t>
  </si>
  <si>
    <r>
      <t>2FEF</t>
    </r>
    <r>
      <rPr>
        <b/>
        <strike/>
        <sz val="11"/>
        <color rgb="FFFF0000"/>
        <rFont val="Calibri"/>
        <family val="2"/>
        <scheme val="minor"/>
      </rPr>
      <t>ST51</t>
    </r>
    <r>
      <rPr>
        <strike/>
        <sz val="11"/>
        <color rgb="FFFF0000"/>
        <rFont val="Calibri"/>
        <family val="2"/>
        <scheme val="minor"/>
      </rPr>
      <t>09050</t>
    </r>
  </si>
  <si>
    <r>
      <t>2FEF</t>
    </r>
    <r>
      <rPr>
        <b/>
        <strike/>
        <sz val="11"/>
        <color rgb="FFFF0000"/>
        <rFont val="Calibri"/>
        <family val="2"/>
        <scheme val="minor"/>
      </rPr>
      <t>ST52</t>
    </r>
    <r>
      <rPr>
        <strike/>
        <sz val="11"/>
        <color rgb="FFFF0000"/>
        <rFont val="Calibri"/>
        <family val="2"/>
        <scheme val="minor"/>
      </rPr>
      <t>01050</t>
    </r>
  </si>
  <si>
    <t>FlexRay</t>
  </si>
  <si>
    <t>ETH</t>
  </si>
  <si>
    <t>500,502,</t>
  </si>
  <si>
    <t>500,502,503,504,506,508,</t>
  </si>
  <si>
    <t>500,501,502,504,508,</t>
  </si>
  <si>
    <t>N_106_598_01</t>
  </si>
  <si>
    <t>N___107_293_02</t>
  </si>
  <si>
    <t>PET_Gewebe Variante A</t>
  </si>
  <si>
    <t>KB_006</t>
  </si>
  <si>
    <t>1C0_971_848_C</t>
  </si>
  <si>
    <t>502</t>
  </si>
  <si>
    <t>F</t>
  </si>
  <si>
    <t>2FERC0300010A</t>
  </si>
  <si>
    <t>2FERC0332110A</t>
  </si>
  <si>
    <t>UMGEHAEUSE fuer 1K0_972_923</t>
  </si>
  <si>
    <t>UMGEHAEUSE fuer 1K0_972_923_A</t>
  </si>
  <si>
    <t>VERR.DECKEL zu 4B0_972_623</t>
  </si>
  <si>
    <t xml:space="preserve"> GEHÄUSE 20 POL. fuer 4H0_906_231</t>
  </si>
  <si>
    <t>KAPPE 40-pol. fuer 4H0_906_231</t>
  </si>
  <si>
    <t>Kappe fuer 5Q0_972_718_A</t>
  </si>
  <si>
    <t>Gehaeuse fuer 5Q0_972_718_A</t>
  </si>
  <si>
    <t>Kappe zu 8E0_972_712</t>
  </si>
  <si>
    <t>SEKUNDAERVERRIEGELUNG</t>
  </si>
  <si>
    <t>KAPPE</t>
  </si>
  <si>
    <t>DICHTUNGSHALTER</t>
  </si>
  <si>
    <t>DECKEL FUER SICHERUNGSTR.</t>
  </si>
  <si>
    <t>PPE,</t>
  </si>
  <si>
    <t xml:space="preserve">Gehaeuse 8-pol.braun zu </t>
  </si>
  <si>
    <t>Au</t>
  </si>
  <si>
    <t xml:space="preserve">Bemerkung IX
Zeichnung Von Bis </t>
  </si>
  <si>
    <t xml:space="preserve">Bemerkung VIII
Ltg.
</t>
  </si>
  <si>
    <t>Bemerkung VII
Kontakt</t>
  </si>
  <si>
    <t>TAB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</si>
  <si>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</si>
  <si>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</si>
  <si>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</si>
  <si>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</si>
  <si>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</si>
  <si>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</si>
  <si>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</si>
  <si>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>Indize</t>
  </si>
  <si>
    <t>Indize Neu</t>
  </si>
  <si>
    <t>Teilgültigkeit (Pr.-Nummer)</t>
  </si>
  <si>
    <t>Einsatz
(KW)</t>
  </si>
  <si>
    <t>Entfall
(KW)</t>
  </si>
  <si>
    <t>Geändert mit Revisions-
stand</t>
  </si>
  <si>
    <t>Kunden-teilenummer</t>
  </si>
  <si>
    <t>interne 
Teilenummer</t>
  </si>
  <si>
    <t>Aktuelle Varianten für SONATA:
(Jahr - KW)</t>
  </si>
  <si>
    <t>Zusatz Formula</t>
  </si>
  <si>
    <t>Index NEU zu Bandlaufwoche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</si>
  <si>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</si>
  <si>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</si>
  <si>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</si>
  <si>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</si>
  <si>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</si>
  <si>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</si>
  <si>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</si>
  <si>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vor dem Filtern richtiges Jahr / KW eintragen // before set the filter write in right Year / CW</t>
  </si>
  <si>
    <t>TAB 004 830 D</t>
  </si>
  <si>
    <t>1 02 03 Steuerungsvorgabe</t>
  </si>
  <si>
    <t>1FE1CR3000</t>
  </si>
  <si>
    <t>,500,501,506</t>
  </si>
  <si>
    <t>1FE1CR3000A0F</t>
  </si>
  <si>
    <t>AKTUELL</t>
  </si>
  <si>
    <t>100,00%</t>
  </si>
  <si>
    <t>2FE5E5LC00</t>
  </si>
  <si>
    <t>4J3_974_029</t>
  </si>
  <si>
    <t>1FE1CR3029</t>
  </si>
  <si>
    <t>,,206,213,214,215</t>
  </si>
  <si>
    <t>1FE1CR3029A0B</t>
  </si>
  <si>
    <t>0,00%</t>
  </si>
  <si>
    <t>C0</t>
  </si>
  <si>
    <t>1FE1CR3029C0B</t>
  </si>
  <si>
    <t>72,05%</t>
  </si>
  <si>
    <t>E0</t>
  </si>
  <si>
    <t>1FE1CR3029E0B</t>
  </si>
  <si>
    <t>28,08%</t>
  </si>
  <si>
    <t>4J3_974_072</t>
  </si>
  <si>
    <t>1FE1CR3072</t>
  </si>
  <si>
    <t>,500,506</t>
  </si>
  <si>
    <t>1FE1CR3072A0A</t>
  </si>
  <si>
    <t>69,00%</t>
  </si>
  <si>
    <t>1FE1CR3076</t>
  </si>
  <si>
    <t>,,200,203,213,214</t>
  </si>
  <si>
    <t>1FE1CR3076A0B</t>
  </si>
  <si>
    <t>28,97%</t>
  </si>
  <si>
    <t>,,200,213,214</t>
  </si>
  <si>
    <t>1FE1CR3076C0B</t>
  </si>
  <si>
    <t>71,03%</t>
  </si>
  <si>
    <t>4J3_974_077</t>
  </si>
  <si>
    <t>1FE1CR3077</t>
  </si>
  <si>
    <t>,500,</t>
  </si>
  <si>
    <t>1FE1CR3077A0A</t>
  </si>
  <si>
    <t>3,56%</t>
  </si>
  <si>
    <t>B0</t>
  </si>
  <si>
    <t>,505,</t>
  </si>
  <si>
    <t>1FE1CR3077B0A</t>
  </si>
  <si>
    <t>1FE1CR3077C0A</t>
  </si>
  <si>
    <t>11,56%</t>
  </si>
  <si>
    <t>1FE1CR3077E0A</t>
  </si>
  <si>
    <t>22,11%</t>
  </si>
  <si>
    <t>4J3_974_089</t>
  </si>
  <si>
    <t>1FE1CR3089</t>
  </si>
  <si>
    <t>1FE1CR3089A0A</t>
  </si>
  <si>
    <t>30,11%</t>
  </si>
  <si>
    <t>4J3_974_128</t>
  </si>
  <si>
    <t>1FE1CR3128</t>
  </si>
  <si>
    <t>1FE1CR3128A0A</t>
  </si>
  <si>
    <t>95,30%</t>
  </si>
  <si>
    <t>4J3_974_161</t>
  </si>
  <si>
    <t>1FE1CR3161</t>
  </si>
  <si>
    <t>1FE1CR3161A0A</t>
  </si>
  <si>
    <t>16,39%</t>
  </si>
  <si>
    <t>1FE1CR3161C0A</t>
  </si>
  <si>
    <t>67,22%</t>
  </si>
  <si>
    <t>1FE1CR3216</t>
  </si>
  <si>
    <t>1FE1CR3216A0D</t>
  </si>
  <si>
    <t>2,16%</t>
  </si>
  <si>
    <t>1FE1CR3216C0B</t>
  </si>
  <si>
    <t>97,97%</t>
  </si>
  <si>
    <t>4J3_974_219</t>
  </si>
  <si>
    <t>1FE1CR3219</t>
  </si>
  <si>
    <t>1FE1CR3219A0A</t>
  </si>
  <si>
    <t>69,38%</t>
  </si>
  <si>
    <t>,506,</t>
  </si>
  <si>
    <t>1FE1CR3219C0A</t>
  </si>
  <si>
    <t>17,66%</t>
  </si>
  <si>
    <t>1FE1CR3219E0A</t>
  </si>
  <si>
    <t>13,09%</t>
  </si>
  <si>
    <t>(X)</t>
  </si>
  <si>
    <t>4J3_974_230</t>
  </si>
  <si>
    <t>1FE1CR3230</t>
  </si>
  <si>
    <t>1FE1CR3230A0A</t>
  </si>
  <si>
    <t>4J3_974_267</t>
  </si>
  <si>
    <t>1FE1CR3267</t>
  </si>
  <si>
    <t>1FE1CR3267A0A</t>
  </si>
  <si>
    <t>4J3_974_295</t>
  </si>
  <si>
    <t>1FE1CR3295</t>
  </si>
  <si>
    <t>1FE1CR3295A0A</t>
  </si>
  <si>
    <t>4J3_974_321</t>
  </si>
  <si>
    <t>1FE1CR3321</t>
  </si>
  <si>
    <t>1FE1CR3321A0B</t>
  </si>
  <si>
    <t>44,73%</t>
  </si>
  <si>
    <t>4J3_974_327</t>
  </si>
  <si>
    <t>1FE1CR3327</t>
  </si>
  <si>
    <t>1FE1CR3327A0A</t>
  </si>
  <si>
    <t>20,20%</t>
  </si>
  <si>
    <t>4J3_974_329</t>
  </si>
  <si>
    <t>1FE1CR3329</t>
  </si>
  <si>
    <t>1FE1CR3329A0A</t>
  </si>
  <si>
    <t>4J3_974_412</t>
  </si>
  <si>
    <t>1FE1CR3412</t>
  </si>
  <si>
    <t>,503,504,506</t>
  </si>
  <si>
    <t>1FE1CR3412A0A</t>
  </si>
  <si>
    <t>93,65%</t>
  </si>
  <si>
    <t>,503,506</t>
  </si>
  <si>
    <t>1FE1CR3412C0A</t>
  </si>
  <si>
    <t>6,23%</t>
  </si>
  <si>
    <t>4J3_974_656</t>
  </si>
  <si>
    <t>1FE1CR3656</t>
  </si>
  <si>
    <t>1FE1CR3656A0A</t>
  </si>
  <si>
    <t>1FE1CR3901</t>
  </si>
  <si>
    <t>1FE1CR3901A0A</t>
  </si>
  <si>
    <t>18,42%</t>
  </si>
  <si>
    <t>,,211,214,216</t>
  </si>
  <si>
    <t>1FE1CR3901C0C</t>
  </si>
  <si>
    <t>81,70%</t>
  </si>
  <si>
    <t>Einsatz</t>
  </si>
  <si>
    <t>Entfall</t>
  </si>
  <si>
    <t>Modul Ref.</t>
  </si>
  <si>
    <t>IBG 1</t>
  </si>
  <si>
    <t>IBG 2</t>
  </si>
  <si>
    <t>IBG 3</t>
  </si>
  <si>
    <t>IBG 4</t>
  </si>
  <si>
    <t>IBG 5</t>
  </si>
  <si>
    <t>IBG 6</t>
  </si>
  <si>
    <t>IBG 7</t>
  </si>
  <si>
    <t>IBG 8</t>
  </si>
  <si>
    <t>IBG 9</t>
  </si>
  <si>
    <t>IBG 10</t>
  </si>
  <si>
    <t>IBG 11</t>
  </si>
  <si>
    <t>IBG 12</t>
  </si>
  <si>
    <t>IBG 13</t>
  </si>
  <si>
    <t>IBG 14</t>
  </si>
  <si>
    <t>IBG 15</t>
  </si>
  <si>
    <t>IBG 16</t>
  </si>
  <si>
    <t>IBG 17</t>
  </si>
  <si>
    <t>IBG 18</t>
  </si>
  <si>
    <t>IBG 19</t>
  </si>
  <si>
    <t>IBG 20</t>
  </si>
  <si>
    <t>IBG 21</t>
  </si>
  <si>
    <t>IBG 22</t>
  </si>
  <si>
    <t>IBG 23</t>
  </si>
  <si>
    <t>IBG 24</t>
  </si>
  <si>
    <t>IBG 25</t>
  </si>
  <si>
    <t>PM</t>
  </si>
  <si>
    <t>1FE3RC01001A0</t>
  </si>
  <si>
    <t>1FE3RC01002A0</t>
  </si>
  <si>
    <t>1FE3RC01003A0</t>
  </si>
  <si>
    <t>1FE3RC01004A0</t>
  </si>
  <si>
    <t>1FE3RC01005A0</t>
  </si>
  <si>
    <t>1FE3RC01006A0</t>
  </si>
  <si>
    <t>1FE3RC02002A1</t>
  </si>
  <si>
    <t>1FE3RC02004A1</t>
  </si>
  <si>
    <t>1FE3RC02005A1</t>
  </si>
  <si>
    <t>1FE3RC02006A1</t>
  </si>
  <si>
    <t>1FE3RC03001A1</t>
  </si>
  <si>
    <t>1FE3RC03002A1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</si>
</sst>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0"/>
    <numFmt numFmtId="166" formatCode="0000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 CE"/>
      <family val="2"/>
      <charset val="238"/>
    </font>
    <font>
      <sz val="10"/>
      <name val="Arial"/>
      <family val="2"/>
      <charset val="238"/>
    </font>
    <font>
      <b/>
      <sz val="10"/>
      <name val="Arial CE"/>
      <charset val="238"/>
    </font>
    <font>
      <sz val="9"/>
      <name val="Arial CE"/>
      <family val="2"/>
      <charset val="238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name val="Calibri"/>
      <family val="2"/>
      <charset val="238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Segoe UI"/>
      <family val="2"/>
      <charset val="238"/>
    </font>
    <font>
      <sz val="9"/>
      <color indexed="81"/>
      <name val="Segoe UI"/>
      <family val="2"/>
      <charset val="238"/>
    </font>
    <font>
      <strike/>
      <sz val="11"/>
      <name val="Calibri"/>
      <family val="2"/>
      <scheme val="minor"/>
    </font>
    <font>
      <b/>
      <sz val="10"/>
      <name val="Arial"/>
      <family val="2"/>
      <charset val="238"/>
    </font>
    <font>
      <sz val="10"/>
      <name val="Helv"/>
    </font>
    <font>
      <sz val="10"/>
      <name val="Calibri"/>
      <family val="2"/>
      <charset val="238"/>
      <scheme val="minor"/>
    </font>
    <font>
      <sz val="11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  <charset val="238"/>
    </font>
    <font>
      <sz val="12"/>
      <name val="Arial"/>
      <family val="2"/>
      <charset val="238"/>
    </font>
    <font>
      <sz val="12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6"/>
      <name val="Arial"/>
      <family val="2"/>
      <charset val="238"/>
    </font>
    <font>
      <strike/>
      <sz val="10"/>
      <color rgb="FFFF0000"/>
      <name val="Arial"/>
      <family val="2"/>
      <charset val="238"/>
    </font>
    <font>
      <b/>
      <sz val="11"/>
      <name val="Calibri"/>
      <family val="2"/>
      <charset val="238"/>
    </font>
    <font>
      <sz val="9"/>
      <name val="Arial"/>
      <family val="2"/>
      <charset val="238"/>
    </font>
    <font>
      <strike/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6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0"/>
      <color rgb="FF0070C0"/>
      <name val="Arial"/>
      <family val="2"/>
      <charset val="238"/>
    </font>
    <font>
      <sz val="10"/>
      <color rgb="FF0070C0"/>
      <name val="Arial"/>
      <family val="2"/>
    </font>
    <font>
      <b/>
      <strike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trike/>
      <sz val="11"/>
      <color rgb="FFFF0000"/>
      <name val="Calibri"/>
      <family val="2"/>
      <charset val="238"/>
      <scheme val="minor"/>
    </font>
    <font>
      <sz val="9"/>
      <color rgb="FF000000"/>
      <name val="Arial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sz val="10"/>
      <name val="Andale Mono"/>
    </font>
    <font>
      <b/>
      <sz val="8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  <font>
      <sz val="11"/>
      <color rgb="FF0000FF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40CE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0" borderId="0"/>
    <xf numFmtId="0" fontId="20" fillId="0" borderId="0"/>
    <xf numFmtId="0" fontId="42" fillId="0" borderId="0" applyNumberFormat="0" applyFill="0" applyBorder="0" applyAlignment="0" applyProtection="0"/>
    <xf numFmtId="0" fontId="2" fillId="0" borderId="0"/>
    <xf numFmtId="0" fontId="3" fillId="0" borderId="0"/>
    <xf numFmtId="0" fontId="48" fillId="0" borderId="0"/>
    <xf numFmtId="0" fontId="48" fillId="0" borderId="0"/>
    <xf numFmtId="0" fontId="1" fillId="0" borderId="0"/>
    <xf numFmtId="0" fontId="48" fillId="0" borderId="0"/>
    <xf numFmtId="9" fontId="3" fillId="0" borderId="0" applyFont="0" applyFill="0" applyBorder="0" applyAlignment="0" applyProtection="0"/>
    <xf numFmtId="0" fontId="75" fillId="0" borderId="0"/>
    <xf numFmtId="0" fontId="75" fillId="0" borderId="0"/>
  </cellStyleXfs>
  <cellXfs count="259">
    <xf numFmtId="0" fontId="0" fillId="0" borderId="0" xfId="0"/>
    <xf numFmtId="0" fontId="0" fillId="0" borderId="0" xfId="0" applyAlignment="1">
      <alignment wrapText="1"/>
    </xf>
    <xf numFmtId="0" fontId="22" fillId="33" borderId="10" xfId="43" applyFont="1" applyFill="1" applyBorder="1" applyAlignment="1">
      <alignment horizontal="center" vertical="center" textRotation="90"/>
    </xf>
    <xf numFmtId="49" fontId="22" fillId="33" borderId="10" xfId="43" applyNumberFormat="1" applyFont="1" applyFill="1" applyBorder="1" applyAlignment="1">
      <alignment horizontal="center" vertical="center" textRotation="90"/>
    </xf>
    <xf numFmtId="49" fontId="23" fillId="33" borderId="10" xfId="43" applyNumberFormat="1" applyFont="1" applyFill="1" applyBorder="1" applyAlignment="1">
      <alignment horizontal="center" vertical="center" textRotation="90"/>
    </xf>
    <xf numFmtId="0" fontId="24" fillId="33" borderId="10" xfId="43" applyFont="1" applyFill="1" applyBorder="1" applyAlignment="1">
      <alignment horizontal="center" vertical="center" textRotation="90"/>
    </xf>
    <xf numFmtId="0" fontId="22" fillId="0" borderId="10" xfId="43" applyFont="1" applyFill="1" applyBorder="1" applyAlignment="1">
      <alignment horizontal="center" vertical="center" textRotation="90"/>
    </xf>
    <xf numFmtId="49" fontId="22" fillId="33" borderId="11" xfId="43" applyNumberFormat="1" applyFont="1" applyFill="1" applyBorder="1" applyAlignment="1">
      <alignment horizontal="center" vertical="center" textRotation="90" wrapText="1"/>
    </xf>
    <xf numFmtId="0" fontId="22" fillId="33" borderId="10" xfId="43" applyNumberFormat="1" applyFont="1" applyFill="1" applyBorder="1" applyAlignment="1">
      <alignment horizontal="center" vertical="center" textRotation="90" wrapText="1"/>
    </xf>
    <xf numFmtId="0" fontId="25" fillId="0" borderId="10" xfId="43" applyFont="1" applyFill="1" applyBorder="1" applyAlignment="1">
      <alignment horizontal="center" vertical="center" textRotation="90" wrapText="1"/>
    </xf>
    <xf numFmtId="0" fontId="22" fillId="0" borderId="10" xfId="43" applyFont="1" applyFill="1" applyBorder="1" applyAlignment="1">
      <alignment horizontal="center" vertical="center" textRotation="90" wrapText="1"/>
    </xf>
    <xf numFmtId="49" fontId="22" fillId="0" borderId="10" xfId="43" applyNumberFormat="1" applyFont="1" applyFill="1" applyBorder="1" applyAlignment="1">
      <alignment horizontal="center" vertical="center" textRotation="90" wrapText="1"/>
    </xf>
    <xf numFmtId="0" fontId="20" fillId="0" borderId="10" xfId="42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49" fontId="35" fillId="34" borderId="0" xfId="42" applyNumberFormat="1" applyFont="1" applyFill="1" applyBorder="1" applyAlignment="1">
      <alignment horizontal="left" vertical="center" textRotation="90" wrapText="1"/>
    </xf>
    <xf numFmtId="49" fontId="36" fillId="33" borderId="12" xfId="42" applyNumberFormat="1" applyFont="1" applyFill="1" applyBorder="1" applyAlignment="1">
      <alignment horizontal="center" vertical="center" textRotation="90"/>
    </xf>
    <xf numFmtId="0" fontId="20" fillId="33" borderId="13" xfId="42" applyNumberFormat="1" applyFont="1" applyFill="1" applyBorder="1" applyAlignment="1">
      <alignment horizontal="center" vertical="center" textRotation="90" wrapText="1"/>
    </xf>
    <xf numFmtId="0" fontId="20" fillId="0" borderId="12" xfId="42" applyNumberFormat="1" applyFont="1" applyFill="1" applyBorder="1" applyAlignment="1">
      <alignment horizontal="center" vertical="center" textRotation="90" wrapText="1"/>
    </xf>
    <xf numFmtId="0" fontId="20" fillId="33" borderId="14" xfId="42" applyNumberFormat="1" applyFont="1" applyFill="1" applyBorder="1" applyAlignment="1">
      <alignment horizontal="center" vertical="center" textRotation="90" wrapText="1"/>
    </xf>
    <xf numFmtId="0" fontId="20" fillId="33" borderId="12" xfId="42" applyFont="1" applyFill="1" applyBorder="1" applyAlignment="1">
      <alignment horizontal="center" vertical="center" textRotation="90" wrapText="1"/>
    </xf>
    <xf numFmtId="0" fontId="20" fillId="33" borderId="12" xfId="42" applyNumberFormat="1" applyFont="1" applyFill="1" applyBorder="1" applyAlignment="1">
      <alignment horizontal="center" vertical="center" textRotation="90" wrapText="1"/>
    </xf>
    <xf numFmtId="0" fontId="37" fillId="0" borderId="12" xfId="42" applyNumberFormat="1" applyFont="1" applyFill="1" applyBorder="1" applyAlignment="1">
      <alignment horizontal="center" vertical="center" textRotation="90"/>
    </xf>
    <xf numFmtId="0" fontId="37" fillId="0" borderId="12" xfId="42" applyNumberFormat="1" applyFont="1" applyFill="1" applyBorder="1" applyAlignment="1">
      <alignment horizontal="center" vertical="center" textRotation="90" wrapText="1"/>
    </xf>
    <xf numFmtId="0" fontId="38" fillId="0" borderId="0" xfId="0" applyFont="1" applyFill="1" applyAlignment="1">
      <alignment horizontal="left" vertical="center"/>
    </xf>
    <xf numFmtId="0" fontId="39" fillId="0" borderId="0" xfId="0" applyFont="1" applyFill="1"/>
    <xf numFmtId="0" fontId="40" fillId="0" borderId="0" xfId="0" applyFont="1" applyFill="1" applyBorder="1"/>
    <xf numFmtId="0" fontId="40" fillId="0" borderId="0" xfId="0" applyFont="1" applyFill="1"/>
    <xf numFmtId="49" fontId="23" fillId="0" borderId="0" xfId="43" applyNumberFormat="1" applyFont="1" applyFill="1" applyBorder="1" applyAlignment="1">
      <alignment horizontal="center" vertical="center" textRotation="90"/>
    </xf>
    <xf numFmtId="0" fontId="22" fillId="0" borderId="0" xfId="43" applyFont="1" applyFill="1" applyBorder="1" applyAlignment="1">
      <alignment horizontal="center" vertical="center" textRotation="90"/>
    </xf>
    <xf numFmtId="0" fontId="24" fillId="0" borderId="0" xfId="43" applyFont="1" applyFill="1" applyBorder="1" applyAlignment="1">
      <alignment horizontal="center" vertical="center" textRotation="90"/>
    </xf>
    <xf numFmtId="49" fontId="22" fillId="0" borderId="0" xfId="43" applyNumberFormat="1" applyFont="1" applyFill="1" applyBorder="1" applyAlignment="1">
      <alignment horizontal="center" vertical="center" textRotation="90"/>
    </xf>
    <xf numFmtId="49" fontId="22" fillId="0" borderId="0" xfId="43" applyNumberFormat="1" applyFont="1" applyFill="1" applyBorder="1" applyAlignment="1">
      <alignment horizontal="center" vertical="center" textRotation="90" wrapText="1"/>
    </xf>
    <xf numFmtId="0" fontId="22" fillId="0" borderId="0" xfId="43" applyNumberFormat="1" applyFont="1" applyFill="1" applyBorder="1" applyAlignment="1">
      <alignment horizontal="center" vertical="center" textRotation="90" wrapText="1"/>
    </xf>
    <xf numFmtId="0" fontId="25" fillId="0" borderId="0" xfId="43" applyFont="1" applyFill="1" applyBorder="1" applyAlignment="1">
      <alignment horizontal="center" vertical="center" textRotation="90" wrapText="1"/>
    </xf>
    <xf numFmtId="0" fontId="22" fillId="0" borderId="0" xfId="43" applyFont="1" applyFill="1" applyBorder="1" applyAlignment="1">
      <alignment horizontal="center" vertical="center" textRotation="90" wrapText="1"/>
    </xf>
    <xf numFmtId="0" fontId="20" fillId="0" borderId="0" xfId="42" applyFont="1" applyFill="1" applyBorder="1" applyAlignment="1">
      <alignment horizontal="center" vertical="center" textRotation="90" wrapText="1"/>
    </xf>
    <xf numFmtId="0" fontId="41" fillId="0" borderId="0" xfId="0" applyFont="1" applyFill="1"/>
    <xf numFmtId="0" fontId="43" fillId="0" borderId="0" xfId="44" applyFont="1" applyFill="1" applyBorder="1" applyAlignment="1">
      <alignment horizontal="center" vertical="center"/>
    </xf>
    <xf numFmtId="0" fontId="40" fillId="0" borderId="0" xfId="0" applyFont="1" applyFill="1" applyBorder="1" applyAlignment="1"/>
    <xf numFmtId="0" fontId="40" fillId="0" borderId="0" xfId="0" applyFont="1" applyFill="1" applyBorder="1" applyAlignment="1">
      <alignment horizontal="left"/>
    </xf>
    <xf numFmtId="0" fontId="46" fillId="0" borderId="0" xfId="0" applyFont="1" applyFill="1" applyBorder="1"/>
    <xf numFmtId="0" fontId="46" fillId="0" borderId="0" xfId="0" applyFont="1" applyFill="1" applyBorder="1" applyAlignment="1"/>
    <xf numFmtId="0" fontId="40" fillId="0" borderId="0" xfId="44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37" fillId="33" borderId="12" xfId="42" applyFont="1" applyFill="1" applyBorder="1" applyAlignment="1">
      <alignment horizontal="center" vertical="center" textRotation="90" wrapText="1"/>
    </xf>
    <xf numFmtId="0" fontId="0" fillId="0" borderId="0" xfId="0" applyFill="1"/>
    <xf numFmtId="0" fontId="50" fillId="0" borderId="0" xfId="0" applyFont="1" applyFill="1"/>
    <xf numFmtId="0" fontId="3" fillId="0" borderId="0" xfId="46"/>
    <xf numFmtId="0" fontId="52" fillId="0" borderId="0" xfId="46" applyFont="1" applyFill="1"/>
    <xf numFmtId="49" fontId="53" fillId="0" borderId="0" xfId="47" applyNumberFormat="1" applyFont="1" applyFill="1" applyBorder="1"/>
    <xf numFmtId="0" fontId="49" fillId="0" borderId="0" xfId="42" applyFont="1"/>
    <xf numFmtId="0" fontId="49" fillId="0" borderId="0" xfId="42" applyFont="1" applyFill="1"/>
    <xf numFmtId="0" fontId="49" fillId="0" borderId="0" xfId="47" applyFont="1" applyFill="1" applyBorder="1"/>
    <xf numFmtId="49" fontId="54" fillId="0" borderId="0" xfId="47" applyNumberFormat="1" applyFont="1" applyFill="1" applyBorder="1"/>
    <xf numFmtId="0" fontId="49" fillId="0" borderId="0" xfId="42" applyFont="1" applyBorder="1"/>
    <xf numFmtId="0" fontId="49" fillId="0" borderId="0" xfId="42" applyFont="1" applyFill="1" applyBorder="1"/>
    <xf numFmtId="0" fontId="23" fillId="0" borderId="10" xfId="47" applyFont="1" applyFill="1" applyBorder="1" applyAlignment="1">
      <alignment horizontal="center" vertical="center" textRotation="90"/>
    </xf>
    <xf numFmtId="0" fontId="47" fillId="0" borderId="0" xfId="46" applyFont="1" applyFill="1"/>
    <xf numFmtId="49" fontId="49" fillId="0" borderId="0" xfId="47" applyNumberFormat="1" applyFont="1" applyFill="1" applyBorder="1"/>
    <xf numFmtId="49" fontId="49" fillId="0" borderId="0" xfId="47" applyNumberFormat="1" applyFont="1" applyFill="1" applyBorder="1" applyAlignment="1">
      <alignment horizontal="left"/>
    </xf>
    <xf numFmtId="49" fontId="23" fillId="0" borderId="10" xfId="47" applyNumberFormat="1" applyFont="1" applyFill="1" applyBorder="1" applyAlignment="1">
      <alignment horizontal="center" vertical="center" textRotation="90"/>
    </xf>
    <xf numFmtId="0" fontId="23" fillId="0" borderId="0" xfId="46" applyFont="1" applyFill="1"/>
    <xf numFmtId="0" fontId="23" fillId="0" borderId="0" xfId="47" applyFont="1" applyBorder="1" applyAlignment="1">
      <alignment horizontal="center"/>
    </xf>
    <xf numFmtId="49" fontId="23" fillId="0" borderId="0" xfId="47" applyNumberFormat="1" applyFont="1" applyFill="1" applyBorder="1"/>
    <xf numFmtId="0" fontId="23" fillId="0" borderId="0" xfId="42" applyFont="1" applyFill="1" applyBorder="1"/>
    <xf numFmtId="0" fontId="23" fillId="0" borderId="0" xfId="42" applyFont="1" applyBorder="1"/>
    <xf numFmtId="0" fontId="52" fillId="0" borderId="0" xfId="46" applyFont="1" applyFill="1" applyAlignment="1">
      <alignment horizontal="center"/>
    </xf>
    <xf numFmtId="0" fontId="23" fillId="0" borderId="0" xfId="47" applyFont="1" applyFill="1" applyBorder="1" applyAlignment="1">
      <alignment horizontal="center"/>
    </xf>
    <xf numFmtId="0" fontId="47" fillId="0" borderId="0" xfId="48" applyFont="1" applyFill="1" applyBorder="1" applyAlignment="1">
      <alignment horizontal="center" vertical="center"/>
    </xf>
    <xf numFmtId="49" fontId="47" fillId="0" borderId="10" xfId="47" applyNumberFormat="1" applyFont="1" applyFill="1" applyBorder="1" applyAlignment="1">
      <alignment horizontal="left" vertical="center"/>
    </xf>
    <xf numFmtId="0" fontId="47" fillId="0" borderId="10" xfId="47" applyFont="1" applyFill="1" applyBorder="1" applyAlignment="1">
      <alignment horizontal="center" vertical="center"/>
    </xf>
    <xf numFmtId="0" fontId="47" fillId="0" borderId="10" xfId="47" applyFont="1" applyFill="1" applyBorder="1" applyAlignment="1">
      <alignment horizontal="center" vertical="center" wrapText="1"/>
    </xf>
    <xf numFmtId="0" fontId="47" fillId="0" borderId="10" xfId="47" applyFont="1" applyFill="1" applyBorder="1" applyAlignment="1">
      <alignment horizontal="left" vertical="center"/>
    </xf>
    <xf numFmtId="0" fontId="47" fillId="0" borderId="10" xfId="47" applyFont="1" applyFill="1" applyBorder="1" applyAlignment="1">
      <alignment vertical="center"/>
    </xf>
    <xf numFmtId="0" fontId="23" fillId="0" borderId="10" xfId="47" applyFont="1" applyFill="1" applyBorder="1" applyAlignment="1">
      <alignment vertical="center"/>
    </xf>
    <xf numFmtId="49" fontId="23" fillId="0" borderId="10" xfId="47" applyNumberFormat="1" applyFont="1" applyFill="1" applyBorder="1" applyAlignment="1">
      <alignment horizontal="center" vertical="center"/>
    </xf>
    <xf numFmtId="0" fontId="23" fillId="0" borderId="10" xfId="47" applyFont="1" applyFill="1" applyBorder="1" applyAlignment="1">
      <alignment horizontal="center" vertical="center"/>
    </xf>
    <xf numFmtId="0" fontId="40" fillId="0" borderId="10" xfId="0" applyFont="1" applyFill="1" applyBorder="1" applyAlignment="1">
      <alignment vertical="center"/>
    </xf>
    <xf numFmtId="0" fontId="23" fillId="0" borderId="10" xfId="47" applyFont="1" applyFill="1" applyBorder="1" applyAlignment="1">
      <alignment horizontal="left" vertical="center"/>
    </xf>
    <xf numFmtId="0" fontId="55" fillId="0" borderId="10" xfId="47" applyFont="1" applyFill="1" applyBorder="1" applyAlignment="1">
      <alignment vertical="center"/>
    </xf>
    <xf numFmtId="0" fontId="56" fillId="0" borderId="10" xfId="47" applyFont="1" applyFill="1" applyBorder="1" applyAlignment="1">
      <alignment horizontal="center" vertical="center"/>
    </xf>
    <xf numFmtId="9" fontId="23" fillId="0" borderId="10" xfId="47" applyNumberFormat="1" applyFont="1" applyFill="1" applyBorder="1" applyAlignment="1">
      <alignment horizontal="center" vertical="center"/>
    </xf>
    <xf numFmtId="49" fontId="23" fillId="0" borderId="10" xfId="47" applyNumberFormat="1" applyFont="1" applyFill="1" applyBorder="1" applyAlignment="1">
      <alignment vertical="center"/>
    </xf>
    <xf numFmtId="0" fontId="57" fillId="0" borderId="10" xfId="47" applyFont="1" applyFill="1" applyBorder="1" applyAlignment="1">
      <alignment horizontal="center" vertical="center"/>
    </xf>
    <xf numFmtId="0" fontId="23" fillId="0" borderId="10" xfId="47" applyFont="1" applyFill="1" applyBorder="1" applyAlignment="1">
      <alignment horizontal="left" vertical="center" wrapText="1"/>
    </xf>
    <xf numFmtId="0" fontId="23" fillId="0" borderId="16" xfId="47" applyFont="1" applyFill="1" applyBorder="1" applyAlignment="1">
      <alignment horizontal="center" vertical="center"/>
    </xf>
    <xf numFmtId="0" fontId="0" fillId="0" borderId="0" xfId="46" applyFont="1" applyAlignment="1">
      <alignment horizontal="center" vertical="center"/>
    </xf>
    <xf numFmtId="49" fontId="23" fillId="0" borderId="16" xfId="47" applyNumberFormat="1" applyFont="1" applyFill="1" applyBorder="1" applyAlignment="1">
      <alignment horizontal="center" vertical="center"/>
    </xf>
    <xf numFmtId="0" fontId="40" fillId="0" borderId="0" xfId="46" applyFont="1" applyFill="1" applyAlignment="1">
      <alignment horizontal="center" vertical="center"/>
    </xf>
    <xf numFmtId="0" fontId="1" fillId="0" borderId="0" xfId="49" applyFont="1" applyFill="1"/>
    <xf numFmtId="0" fontId="41" fillId="0" borderId="0" xfId="49" applyFont="1" applyFill="1"/>
    <xf numFmtId="0" fontId="58" fillId="0" borderId="0" xfId="46" applyFont="1" applyFill="1" applyBorder="1"/>
    <xf numFmtId="49" fontId="23" fillId="0" borderId="12" xfId="47" applyNumberFormat="1" applyFont="1" applyFill="1" applyBorder="1" applyAlignment="1">
      <alignment horizontal="left" vertical="center"/>
    </xf>
    <xf numFmtId="0" fontId="59" fillId="0" borderId="10" xfId="47" applyFont="1" applyFill="1" applyBorder="1" applyAlignment="1">
      <alignment horizontal="center" vertical="center"/>
    </xf>
    <xf numFmtId="0" fontId="40" fillId="0" borderId="10" xfId="0" applyFont="1" applyFill="1" applyBorder="1"/>
    <xf numFmtId="0" fontId="40" fillId="0" borderId="0" xfId="0" applyFont="1" applyFill="1" applyAlignment="1">
      <alignment vertical="center"/>
    </xf>
    <xf numFmtId="49" fontId="23" fillId="0" borderId="10" xfId="47" applyNumberFormat="1" applyFont="1" applyFill="1" applyBorder="1" applyAlignment="1">
      <alignment horizontal="left" vertical="center"/>
    </xf>
    <xf numFmtId="0" fontId="40" fillId="0" borderId="10" xfId="46" applyFont="1" applyFill="1" applyBorder="1" applyAlignment="1">
      <alignment horizontal="center" vertical="center"/>
    </xf>
    <xf numFmtId="0" fontId="23" fillId="0" borderId="12" xfId="47" applyFont="1" applyFill="1" applyBorder="1" applyAlignment="1">
      <alignment vertical="center" wrapText="1"/>
    </xf>
    <xf numFmtId="0" fontId="23" fillId="0" borderId="10" xfId="47" applyFont="1" applyFill="1" applyBorder="1" applyAlignment="1">
      <alignment vertical="center" wrapText="1"/>
    </xf>
    <xf numFmtId="0" fontId="60" fillId="0" borderId="0" xfId="0" applyFont="1" applyFill="1"/>
    <xf numFmtId="0" fontId="60" fillId="0" borderId="0" xfId="0" applyFont="1"/>
    <xf numFmtId="0" fontId="50" fillId="0" borderId="0" xfId="0" applyFont="1"/>
    <xf numFmtId="0" fontId="40" fillId="0" borderId="0" xfId="0" applyFont="1"/>
    <xf numFmtId="0" fontId="40" fillId="0" borderId="0" xfId="46" applyFont="1" applyFill="1"/>
    <xf numFmtId="0" fontId="1" fillId="0" borderId="0" xfId="49" applyFill="1"/>
    <xf numFmtId="0" fontId="1" fillId="0" borderId="0" xfId="49"/>
    <xf numFmtId="0" fontId="1" fillId="0" borderId="0" xfId="49" applyFont="1"/>
    <xf numFmtId="0" fontId="20" fillId="0" borderId="0" xfId="47" applyFont="1" applyFill="1" applyBorder="1" applyAlignment="1">
      <alignment vertical="center"/>
    </xf>
    <xf numFmtId="0" fontId="37" fillId="0" borderId="10" xfId="47" applyFont="1" applyFill="1" applyBorder="1" applyAlignment="1">
      <alignment horizontal="center" vertical="center"/>
    </xf>
    <xf numFmtId="9" fontId="37" fillId="0" borderId="10" xfId="47" applyNumberFormat="1" applyFont="1" applyFill="1" applyBorder="1" applyAlignment="1">
      <alignment horizontal="center" vertical="center" wrapText="1"/>
    </xf>
    <xf numFmtId="0" fontId="37" fillId="0" borderId="10" xfId="47" applyFont="1" applyFill="1" applyBorder="1" applyAlignment="1">
      <alignment horizontal="left" vertical="center" wrapText="1"/>
    </xf>
    <xf numFmtId="9" fontId="37" fillId="0" borderId="10" xfId="47" applyNumberFormat="1" applyFont="1" applyFill="1" applyBorder="1" applyAlignment="1">
      <alignment horizontal="left" vertical="center" wrapText="1"/>
    </xf>
    <xf numFmtId="0" fontId="61" fillId="0" borderId="10" xfId="47" applyFont="1" applyFill="1" applyBorder="1" applyAlignment="1">
      <alignment vertical="center" wrapText="1"/>
    </xf>
    <xf numFmtId="0" fontId="21" fillId="0" borderId="10" xfId="47" applyFont="1" applyFill="1" applyBorder="1" applyAlignment="1">
      <alignment vertical="center" wrapText="1"/>
    </xf>
    <xf numFmtId="0" fontId="20" fillId="0" borderId="10" xfId="47" applyFont="1" applyFill="1" applyBorder="1" applyAlignment="1">
      <alignment horizontal="center" vertical="center" wrapText="1"/>
    </xf>
    <xf numFmtId="0" fontId="62" fillId="0" borderId="0" xfId="47" applyFont="1" applyFill="1" applyBorder="1" applyAlignment="1">
      <alignment vertical="center"/>
    </xf>
    <xf numFmtId="0" fontId="21" fillId="0" borderId="0" xfId="47" applyFont="1" applyFill="1" applyBorder="1" applyAlignment="1">
      <alignment vertical="center"/>
    </xf>
    <xf numFmtId="0" fontId="63" fillId="0" borderId="10" xfId="47" applyFont="1" applyFill="1" applyBorder="1" applyAlignment="1">
      <alignment horizontal="center" vertical="center"/>
    </xf>
    <xf numFmtId="0" fontId="21" fillId="0" borderId="10" xfId="47" applyFont="1" applyFill="1" applyBorder="1" applyAlignment="1">
      <alignment horizontal="center" vertical="center" wrapText="1"/>
    </xf>
    <xf numFmtId="0" fontId="21" fillId="0" borderId="10" xfId="47" applyFont="1" applyFill="1" applyBorder="1" applyAlignment="1">
      <alignment vertical="center"/>
    </xf>
    <xf numFmtId="0" fontId="21" fillId="0" borderId="10" xfId="47" applyFont="1" applyFill="1" applyBorder="1" applyAlignment="1">
      <alignment horizontal="left" vertical="center"/>
    </xf>
    <xf numFmtId="0" fontId="61" fillId="0" borderId="10" xfId="47" applyFont="1" applyFill="1" applyBorder="1" applyAlignment="1">
      <alignment horizontal="center" vertical="center" wrapText="1"/>
    </xf>
    <xf numFmtId="0" fontId="61" fillId="0" borderId="10" xfId="47" applyFont="1" applyFill="1" applyBorder="1" applyAlignment="1">
      <alignment horizontal="center" vertical="center"/>
    </xf>
    <xf numFmtId="49" fontId="21" fillId="0" borderId="10" xfId="47" applyNumberFormat="1" applyFont="1" applyFill="1" applyBorder="1" applyAlignment="1">
      <alignment horizontal="left" vertical="center" wrapText="1"/>
    </xf>
    <xf numFmtId="0" fontId="20" fillId="0" borderId="0" xfId="47" applyFont="1" applyFill="1" applyBorder="1"/>
    <xf numFmtId="0" fontId="49" fillId="0" borderId="0" xfId="49" applyFont="1" applyFill="1"/>
    <xf numFmtId="0" fontId="37" fillId="0" borderId="10" xfId="47" applyFont="1" applyFill="1" applyBorder="1" applyAlignment="1">
      <alignment horizontal="center" vertical="center" textRotation="90"/>
    </xf>
    <xf numFmtId="0" fontId="21" fillId="0" borderId="0" xfId="48" applyFont="1" applyFill="1" applyAlignment="1">
      <alignment horizontal="center" vertical="center"/>
    </xf>
    <xf numFmtId="0" fontId="21" fillId="0" borderId="0" xfId="48" applyFont="1" applyFill="1" applyAlignment="1">
      <alignment vertical="center"/>
    </xf>
    <xf numFmtId="0" fontId="20" fillId="0" borderId="0" xfId="47" applyFont="1" applyFill="1" applyBorder="1" applyAlignment="1">
      <alignment horizontal="left" vertical="center"/>
    </xf>
    <xf numFmtId="0" fontId="20" fillId="0" borderId="0" xfId="42"/>
    <xf numFmtId="0" fontId="20" fillId="0" borderId="0" xfId="47" applyFont="1" applyFill="1" applyBorder="1" applyAlignment="1">
      <alignment horizontal="center"/>
    </xf>
    <xf numFmtId="0" fontId="37" fillId="0" borderId="0" xfId="47" applyFont="1" applyFill="1" applyBorder="1" applyAlignment="1">
      <alignment horizontal="center"/>
    </xf>
    <xf numFmtId="49" fontId="37" fillId="0" borderId="10" xfId="47" applyNumberFormat="1" applyFont="1" applyFill="1" applyBorder="1" applyAlignment="1">
      <alignment horizontal="center" vertical="center" textRotation="90"/>
    </xf>
    <xf numFmtId="0" fontId="20" fillId="0" borderId="0" xfId="47" applyFont="1" applyBorder="1" applyAlignment="1">
      <alignment horizontal="center"/>
    </xf>
    <xf numFmtId="49" fontId="20" fillId="0" borderId="0" xfId="47" applyNumberFormat="1" applyFont="1" applyFill="1" applyBorder="1"/>
    <xf numFmtId="49" fontId="20" fillId="0" borderId="0" xfId="47" applyNumberFormat="1" applyFont="1" applyFill="1" applyBorder="1" applyAlignment="1">
      <alignment horizontal="right"/>
    </xf>
    <xf numFmtId="49" fontId="20" fillId="0" borderId="0" xfId="47" applyNumberFormat="1" applyFont="1" applyFill="1" applyBorder="1" applyAlignment="1">
      <alignment horizontal="left" vertical="center"/>
    </xf>
    <xf numFmtId="49" fontId="37" fillId="0" borderId="0" xfId="47" applyNumberFormat="1" applyFont="1" applyFill="1" applyBorder="1" applyAlignment="1">
      <alignment horizontal="right"/>
    </xf>
    <xf numFmtId="0" fontId="64" fillId="0" borderId="0" xfId="47" applyFont="1" applyFill="1" applyBorder="1" applyAlignment="1">
      <alignment horizontal="left" vertical="center" wrapText="1"/>
    </xf>
    <xf numFmtId="0" fontId="37" fillId="0" borderId="0" xfId="47" applyFont="1" applyFill="1" applyBorder="1"/>
    <xf numFmtId="0" fontId="37" fillId="0" borderId="0" xfId="42" applyFont="1" applyFill="1"/>
    <xf numFmtId="0" fontId="65" fillId="0" borderId="0" xfId="47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wrapText="1"/>
    </xf>
    <xf numFmtId="0" fontId="50" fillId="35" borderId="0" xfId="0" applyFont="1" applyFill="1"/>
    <xf numFmtId="0" fontId="60" fillId="0" borderId="0" xfId="0" applyFont="1" applyFill="1" applyBorder="1"/>
    <xf numFmtId="0" fontId="60" fillId="0" borderId="0" xfId="0" applyFont="1" applyAlignment="1">
      <alignment horizontal="left"/>
    </xf>
    <xf numFmtId="0" fontId="50" fillId="35" borderId="0" xfId="0" applyFont="1" applyFill="1" applyBorder="1"/>
    <xf numFmtId="0" fontId="50" fillId="35" borderId="0" xfId="0" applyFont="1" applyFill="1" applyAlignment="1">
      <alignment horizontal="left"/>
    </xf>
    <xf numFmtId="0" fontId="50" fillId="35" borderId="0" xfId="0" applyFont="1" applyFill="1" applyBorder="1" applyAlignment="1">
      <alignment horizontal="left"/>
    </xf>
    <xf numFmtId="49" fontId="66" fillId="0" borderId="12" xfId="47" applyNumberFormat="1" applyFont="1" applyFill="1" applyBorder="1" applyAlignment="1">
      <alignment vertical="center"/>
    </xf>
    <xf numFmtId="49" fontId="67" fillId="0" borderId="10" xfId="50" applyNumberFormat="1" applyFont="1" applyFill="1" applyBorder="1" applyAlignment="1">
      <alignment horizontal="left" vertical="center" wrapText="1"/>
    </xf>
    <xf numFmtId="49" fontId="66" fillId="0" borderId="10" xfId="47" applyNumberFormat="1" applyFont="1" applyFill="1" applyBorder="1" applyAlignment="1">
      <alignment vertical="center"/>
    </xf>
    <xf numFmtId="49" fontId="66" fillId="0" borderId="12" xfId="47" applyNumberFormat="1" applyFont="1" applyFill="1" applyBorder="1" applyAlignment="1">
      <alignment horizontal="left" vertical="center"/>
    </xf>
    <xf numFmtId="0" fontId="40" fillId="35" borderId="0" xfId="0" applyFont="1" applyFill="1" applyBorder="1" applyAlignment="1">
      <alignment horizontal="left"/>
    </xf>
    <xf numFmtId="0" fontId="40" fillId="0" borderId="0" xfId="0" applyFont="1" applyAlignment="1">
      <alignment horizontal="left"/>
    </xf>
    <xf numFmtId="49" fontId="21" fillId="33" borderId="10" xfId="42" applyNumberFormat="1" applyFont="1" applyFill="1" applyBorder="1" applyAlignment="1">
      <alignment horizontal="right" vertical="center" textRotation="90" wrapText="1"/>
    </xf>
    <xf numFmtId="0" fontId="0" fillId="0" borderId="0" xfId="0" applyAlignment="1">
      <alignment horizontal="right"/>
    </xf>
    <xf numFmtId="0" fontId="50" fillId="0" borderId="0" xfId="0" applyFont="1" applyFill="1" applyAlignment="1">
      <alignment horizontal="right"/>
    </xf>
    <xf numFmtId="0" fontId="40" fillId="0" borderId="0" xfId="0" applyFont="1" applyFill="1" applyAlignment="1">
      <alignment horizontal="right"/>
    </xf>
    <xf numFmtId="0" fontId="0" fillId="35" borderId="0" xfId="0" applyFill="1"/>
    <xf numFmtId="0" fontId="50" fillId="35" borderId="0" xfId="0" applyFont="1" applyFill="1" applyBorder="1" applyAlignment="1"/>
    <xf numFmtId="0" fontId="50" fillId="35" borderId="0" xfId="0" applyFont="1" applyFill="1" applyAlignment="1">
      <alignment horizontal="center"/>
    </xf>
    <xf numFmtId="0" fontId="60" fillId="35" borderId="0" xfId="0" applyFont="1" applyFill="1"/>
    <xf numFmtId="0" fontId="60" fillId="0" borderId="0" xfId="0" applyFont="1" applyFill="1" applyAlignment="1">
      <alignment horizontal="left"/>
    </xf>
    <xf numFmtId="0" fontId="40" fillId="0" borderId="0" xfId="0" applyFont="1" applyFill="1" applyAlignment="1">
      <alignment horizontal="left"/>
    </xf>
    <xf numFmtId="0" fontId="50" fillId="0" borderId="0" xfId="0" applyFont="1" applyFill="1" applyAlignment="1">
      <alignment horizontal="left"/>
    </xf>
    <xf numFmtId="0" fontId="69" fillId="35" borderId="0" xfId="0" applyFont="1" applyFill="1"/>
    <xf numFmtId="0" fontId="60" fillId="0" borderId="0" xfId="0" applyFont="1" applyFill="1" applyAlignment="1">
      <alignment horizontal="right"/>
    </xf>
    <xf numFmtId="0" fontId="60" fillId="0" borderId="0" xfId="0" applyFont="1" applyFill="1" applyBorder="1" applyAlignment="1">
      <alignment horizontal="left"/>
    </xf>
    <xf numFmtId="0" fontId="40" fillId="35" borderId="0" xfId="0" applyFont="1" applyFill="1" applyBorder="1"/>
    <xf numFmtId="0" fontId="60" fillId="0" borderId="0" xfId="0" applyFont="1" applyFill="1" applyBorder="1" applyAlignment="1"/>
    <xf numFmtId="0" fontId="23" fillId="35" borderId="10" xfId="47" applyFont="1" applyFill="1" applyBorder="1" applyAlignment="1">
      <alignment horizontal="center" vertical="center"/>
    </xf>
    <xf numFmtId="0" fontId="23" fillId="35" borderId="10" xfId="47" applyFont="1" applyFill="1" applyBorder="1" applyAlignment="1">
      <alignment horizontal="center" vertical="center" textRotation="90"/>
    </xf>
    <xf numFmtId="0" fontId="20" fillId="35" borderId="10" xfId="47" applyFont="1" applyFill="1" applyBorder="1" applyAlignment="1">
      <alignment horizontal="center" vertical="center" wrapText="1"/>
    </xf>
    <xf numFmtId="1" fontId="40" fillId="0" borderId="0" xfId="0" applyNumberFormat="1" applyFont="1" applyFill="1" applyBorder="1" applyAlignment="1">
      <alignment wrapText="1"/>
    </xf>
    <xf numFmtId="0" fontId="51" fillId="0" borderId="0" xfId="0" applyFont="1" applyFill="1"/>
    <xf numFmtId="0" fontId="51" fillId="0" borderId="0" xfId="0" applyFont="1" applyFill="1" applyBorder="1"/>
    <xf numFmtId="1" fontId="51" fillId="0" borderId="0" xfId="0" applyNumberFormat="1" applyFont="1" applyFill="1" applyBorder="1" applyAlignment="1">
      <alignment wrapText="1"/>
    </xf>
    <xf numFmtId="0" fontId="51" fillId="0" borderId="0" xfId="0" applyFont="1"/>
    <xf numFmtId="0" fontId="51" fillId="0" borderId="0" xfId="0" applyFont="1" applyAlignment="1">
      <alignment horizontal="left"/>
    </xf>
    <xf numFmtId="0" fontId="51" fillId="0" borderId="0" xfId="0" applyFont="1" applyFill="1" applyBorder="1" applyAlignment="1">
      <alignment wrapText="1"/>
    </xf>
    <xf numFmtId="0" fontId="51" fillId="35" borderId="0" xfId="0" applyFont="1" applyFill="1" applyAlignment="1">
      <alignment wrapText="1"/>
    </xf>
    <xf numFmtId="0" fontId="40" fillId="35" borderId="0" xfId="0" applyFont="1" applyFill="1"/>
    <xf numFmtId="0" fontId="51" fillId="0" borderId="0" xfId="0" applyFont="1" applyFill="1" applyBorder="1" applyAlignment="1">
      <alignment horizontal="right"/>
    </xf>
    <xf numFmtId="0" fontId="51" fillId="0" borderId="0" xfId="0" applyFont="1" applyFill="1" applyBorder="1" applyAlignment="1">
      <alignment horizontal="left"/>
    </xf>
    <xf numFmtId="0" fontId="40" fillId="35" borderId="0" xfId="0" applyFont="1" applyFill="1" applyAlignment="1">
      <alignment wrapText="1"/>
    </xf>
    <xf numFmtId="0" fontId="50" fillId="0" borderId="0" xfId="0" applyFont="1" applyFill="1" applyBorder="1"/>
    <xf numFmtId="0" fontId="50" fillId="0" borderId="0" xfId="0" applyFont="1" applyAlignment="1">
      <alignment horizontal="left"/>
    </xf>
    <xf numFmtId="0" fontId="70" fillId="0" borderId="0" xfId="0" applyFont="1" applyFill="1"/>
    <xf numFmtId="0" fontId="70" fillId="0" borderId="0" xfId="0" applyFont="1" applyFill="1" applyBorder="1"/>
    <xf numFmtId="0" fontId="70" fillId="35" borderId="0" xfId="0" applyFont="1" applyFill="1" applyBorder="1"/>
    <xf numFmtId="0" fontId="70" fillId="0" borderId="0" xfId="0" applyFont="1"/>
    <xf numFmtId="0" fontId="70" fillId="0" borderId="0" xfId="0" applyFont="1" applyAlignment="1">
      <alignment horizontal="left"/>
    </xf>
    <xf numFmtId="0" fontId="71" fillId="0" borderId="0" xfId="0" applyFont="1" applyFill="1"/>
    <xf numFmtId="49" fontId="25" fillId="0" borderId="10" xfId="43" applyNumberFormat="1" applyFont="1" applyFill="1" applyBorder="1" applyAlignment="1">
      <alignment horizontal="center" vertical="center" textRotation="90" wrapText="1"/>
    </xf>
    <xf numFmtId="49" fontId="76" fillId="34" borderId="14" xfId="52" applyNumberFormat="1" applyFont="1" applyFill="1" applyBorder="1" applyAlignment="1">
      <alignment horizontal="center"/>
    </xf>
    <xf numFmtId="49" fontId="76" fillId="34" borderId="14" xfId="52" applyNumberFormat="1" applyFont="1" applyFill="1" applyBorder="1" applyAlignment="1"/>
    <xf numFmtId="49" fontId="76" fillId="34" borderId="14" xfId="52" applyNumberFormat="1" applyFont="1" applyFill="1" applyBorder="1" applyAlignment="1">
      <alignment horizontal="center" wrapText="1"/>
    </xf>
    <xf numFmtId="49" fontId="76" fillId="34" borderId="12" xfId="52" applyNumberFormat="1" applyFont="1" applyFill="1" applyBorder="1" applyAlignment="1">
      <alignment horizontal="center" wrapText="1"/>
    </xf>
    <xf numFmtId="49" fontId="76" fillId="34" borderId="13" xfId="52" applyNumberFormat="1" applyFont="1" applyFill="1" applyBorder="1" applyAlignment="1">
      <alignment horizontal="center" wrapText="1"/>
    </xf>
    <xf numFmtId="165" fontId="76" fillId="34" borderId="17" xfId="52" applyNumberFormat="1" applyFont="1" applyFill="1" applyBorder="1" applyAlignment="1">
      <alignment horizontal="center" textRotation="90" wrapText="1"/>
    </xf>
    <xf numFmtId="49" fontId="77" fillId="34" borderId="12" xfId="52" applyNumberFormat="1" applyFont="1" applyFill="1" applyBorder="1" applyAlignment="1">
      <alignment horizontal="center" textRotation="90" wrapText="1"/>
    </xf>
    <xf numFmtId="49" fontId="76" fillId="34" borderId="12" xfId="52" applyNumberFormat="1" applyFont="1" applyFill="1" applyBorder="1" applyAlignment="1"/>
    <xf numFmtId="49" fontId="77" fillId="34" borderId="12" xfId="52" applyNumberFormat="1" applyFont="1" applyFill="1" applyBorder="1" applyAlignment="1">
      <alignment horizontal="left" wrapText="1"/>
    </xf>
    <xf numFmtId="166" fontId="21" fillId="34" borderId="12" xfId="52" applyNumberFormat="1" applyFont="1" applyFill="1" applyBorder="1" applyAlignment="1">
      <alignment horizontal="center" wrapText="1"/>
    </xf>
    <xf numFmtId="166" fontId="76" fillId="34" borderId="12" xfId="52" applyNumberFormat="1" applyFont="1" applyFill="1" applyBorder="1" applyAlignment="1">
      <alignment horizontal="center" wrapText="1"/>
    </xf>
    <xf numFmtId="49" fontId="77" fillId="34" borderId="10" xfId="53" applyNumberFormat="1" applyFont="1" applyFill="1" applyBorder="1" applyAlignment="1">
      <alignment horizontal="center" wrapText="1"/>
    </xf>
    <xf numFmtId="49" fontId="77" fillId="34" borderId="12" xfId="53" applyNumberFormat="1" applyFont="1" applyFill="1" applyBorder="1" applyAlignment="1">
      <alignment horizontal="center" wrapText="1"/>
    </xf>
    <xf numFmtId="49" fontId="77" fillId="34" borderId="10" xfId="53" applyNumberFormat="1" applyFont="1" applyFill="1" applyBorder="1" applyAlignment="1">
      <alignment horizontal="left" wrapText="1"/>
    </xf>
    <xf numFmtId="49" fontId="77" fillId="0" borderId="10" xfId="53" applyNumberFormat="1" applyFont="1" applyFill="1" applyBorder="1" applyAlignment="1">
      <alignment horizontal="left" textRotation="90" wrapText="1"/>
    </xf>
    <xf numFmtId="9" fontId="77" fillId="0" borderId="10" xfId="51" applyFont="1" applyFill="1" applyBorder="1" applyAlignment="1">
      <alignment horizontal="center" textRotation="90"/>
    </xf>
    <xf numFmtId="9" fontId="77" fillId="0" borderId="10" xfId="51" applyFont="1" applyFill="1" applyBorder="1" applyAlignment="1">
      <alignment horizontal="center" textRotation="90" wrapText="1"/>
    </xf>
    <xf numFmtId="49" fontId="76" fillId="0" borderId="14" xfId="52" applyNumberFormat="1" applyFont="1" applyFill="1" applyBorder="1" applyAlignment="1">
      <alignment horizontal="center" vertical="center"/>
    </xf>
    <xf numFmtId="49" fontId="76" fillId="0" borderId="14" xfId="52" applyNumberFormat="1" applyFont="1" applyFill="1" applyBorder="1" applyAlignment="1">
      <alignment vertical="center"/>
    </xf>
    <xf numFmtId="49" fontId="76" fillId="0" borderId="14" xfId="52" applyNumberFormat="1" applyFont="1" applyFill="1" applyBorder="1" applyAlignment="1">
      <alignment horizontal="center" vertical="center" wrapText="1"/>
    </xf>
    <xf numFmtId="49" fontId="76" fillId="0" borderId="12" xfId="52" applyNumberFormat="1" applyFont="1" applyFill="1" applyBorder="1" applyAlignment="1">
      <alignment horizontal="center" vertical="center" wrapText="1"/>
    </xf>
    <xf numFmtId="165" fontId="77" fillId="0" borderId="12" xfId="52" applyNumberFormat="1" applyFont="1" applyFill="1" applyBorder="1" applyAlignment="1">
      <alignment horizontal="right" vertical="center" wrapText="1"/>
    </xf>
    <xf numFmtId="49" fontId="76" fillId="0" borderId="13" xfId="52" applyNumberFormat="1" applyFont="1" applyFill="1" applyBorder="1" applyAlignment="1">
      <alignment horizontal="left" vertical="center"/>
    </xf>
    <xf numFmtId="165" fontId="76" fillId="0" borderId="17" xfId="52" applyNumberFormat="1" applyFont="1" applyFill="1" applyBorder="1" applyAlignment="1">
      <alignment horizontal="center" vertical="center"/>
    </xf>
    <xf numFmtId="49" fontId="77" fillId="0" borderId="12" xfId="52" applyNumberFormat="1" applyFont="1" applyFill="1" applyBorder="1" applyAlignment="1">
      <alignment horizontal="center" vertical="center" textRotation="90" wrapText="1"/>
    </xf>
    <xf numFmtId="49" fontId="76" fillId="0" borderId="12" xfId="52" applyNumberFormat="1" applyFont="1" applyFill="1" applyBorder="1" applyAlignment="1">
      <alignment vertical="center"/>
    </xf>
    <xf numFmtId="49" fontId="77" fillId="0" borderId="12" xfId="52" applyNumberFormat="1" applyFont="1" applyFill="1" applyBorder="1" applyAlignment="1">
      <alignment horizontal="right" vertical="center" wrapText="1"/>
    </xf>
    <xf numFmtId="166" fontId="21" fillId="0" borderId="13" xfId="52" applyNumberFormat="1" applyFont="1" applyFill="1" applyBorder="1" applyAlignment="1">
      <alignment horizontal="center" vertical="center" wrapText="1"/>
    </xf>
    <xf numFmtId="166" fontId="76" fillId="0" borderId="14" xfId="52" applyNumberFormat="1" applyFont="1" applyFill="1" applyBorder="1" applyAlignment="1">
      <alignment horizontal="center" vertical="center" wrapText="1"/>
    </xf>
    <xf numFmtId="49" fontId="77" fillId="0" borderId="0" xfId="53" applyNumberFormat="1" applyFont="1" applyFill="1" applyBorder="1" applyAlignment="1">
      <alignment horizontal="right" vertical="center" wrapText="1"/>
    </xf>
    <xf numFmtId="0" fontId="77" fillId="0" borderId="0" xfId="42" applyFont="1" applyFill="1" applyAlignment="1">
      <alignment horizontal="center" vertical="center"/>
    </xf>
    <xf numFmtId="0" fontId="20" fillId="0" borderId="15" xfId="42" applyFont="1" applyBorder="1" applyAlignment="1">
      <alignment horizontal="center" vertical="center" wrapText="1"/>
    </xf>
    <xf numFmtId="0" fontId="77" fillId="0" borderId="0" xfId="42" applyFont="1" applyAlignment="1">
      <alignment horizontal="left" vertical="center"/>
    </xf>
    <xf numFmtId="0" fontId="77" fillId="0" borderId="0" xfId="42" applyFont="1" applyFill="1" applyAlignment="1">
      <alignment horizontal="left" vertical="center"/>
    </xf>
    <xf numFmtId="9" fontId="78" fillId="0" borderId="0" xfId="51" applyFont="1" applyAlignment="1">
      <alignment vertical="center"/>
    </xf>
    <xf numFmtId="49" fontId="76" fillId="37" borderId="17" xfId="52" applyNumberFormat="1" applyFont="1" applyFill="1" applyBorder="1" applyAlignment="1">
      <alignment vertical="center"/>
    </xf>
    <xf numFmtId="49" fontId="76" fillId="37" borderId="17" xfId="52" applyNumberFormat="1" applyFont="1" applyFill="1" applyBorder="1" applyAlignment="1">
      <alignment horizontal="center" vertical="center"/>
    </xf>
    <xf numFmtId="165" fontId="76" fillId="37" borderId="17" xfId="52" applyNumberFormat="1" applyFont="1" applyFill="1" applyBorder="1" applyAlignment="1">
      <alignment horizontal="right" vertical="center"/>
    </xf>
    <xf numFmtId="49" fontId="76" fillId="37" borderId="17" xfId="52" applyNumberFormat="1" applyFont="1" applyFill="1" applyBorder="1" applyAlignment="1">
      <alignment horizontal="left" vertical="center"/>
    </xf>
    <xf numFmtId="165" fontId="76" fillId="37" borderId="17" xfId="52" applyNumberFormat="1" applyFont="1" applyFill="1" applyBorder="1" applyAlignment="1">
      <alignment horizontal="center" vertical="center"/>
    </xf>
    <xf numFmtId="49" fontId="77" fillId="37" borderId="17" xfId="52" applyNumberFormat="1" applyFont="1" applyFill="1" applyBorder="1" applyAlignment="1">
      <alignment vertical="center"/>
    </xf>
    <xf numFmtId="49" fontId="77" fillId="37" borderId="17" xfId="52" quotePrefix="1" applyNumberFormat="1" applyFont="1" applyFill="1" applyBorder="1" applyAlignment="1">
      <alignment horizontal="right" vertical="center" wrapText="1"/>
    </xf>
    <xf numFmtId="166" fontId="77" fillId="37" borderId="17" xfId="52" applyNumberFormat="1" applyFont="1" applyFill="1" applyBorder="1" applyAlignment="1">
      <alignment horizontal="center" vertical="center"/>
    </xf>
    <xf numFmtId="49" fontId="77" fillId="37" borderId="17" xfId="53" applyNumberFormat="1" applyFont="1" applyFill="1" applyBorder="1" applyAlignment="1">
      <alignment horizontal="right" vertical="center" wrapText="1"/>
    </xf>
    <xf numFmtId="0" fontId="79" fillId="37" borderId="17" xfId="53" applyNumberFormat="1" applyFont="1" applyFill="1" applyBorder="1" applyAlignment="1">
      <alignment horizontal="center" vertical="center" wrapText="1"/>
    </xf>
    <xf numFmtId="0" fontId="77" fillId="37" borderId="17" xfId="42" applyFont="1" applyFill="1" applyBorder="1" applyAlignment="1">
      <alignment horizontal="left" vertical="center"/>
    </xf>
    <xf numFmtId="9" fontId="78" fillId="37" borderId="17" xfId="51" applyFont="1" applyFill="1" applyBorder="1" applyAlignment="1">
      <alignment vertical="center"/>
    </xf>
    <xf numFmtId="0" fontId="80" fillId="0" borderId="0" xfId="0" applyFont="1"/>
    <xf numFmtId="0" fontId="80" fillId="0" borderId="0" xfId="0" applyFont="1" applyAlignment="1">
      <alignment horizontal="center"/>
    </xf>
    <xf numFmtId="0" fontId="80" fillId="35" borderId="0" xfId="0" applyFont="1" applyFill="1"/>
    <xf numFmtId="0" fontId="80" fillId="36" borderId="0" xfId="0" applyFont="1" applyFill="1" applyAlignment="1">
      <alignment horizontal="center"/>
    </xf>
    <xf numFmtId="0" fontId="40" fillId="0" borderId="0" xfId="0" applyFont="1" applyFill="1" applyAlignment="1">
      <alignment horizontal="center"/>
    </xf>
    <xf numFmtId="0" fontId="40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0" fillId="36" borderId="0" xfId="0" applyFill="1"/>
    <xf numFmtId="0" fontId="23" fillId="38" borderId="12" xfId="47" applyNumberFormat="1" applyFont="1" applyFill="1" applyBorder="1" applyAlignment="1">
      <alignment vertical="center"/>
    </xf>
    <xf numFmtId="0" fontId="40" fillId="38" borderId="10" xfId="0" applyFont="1" applyFill="1" applyBorder="1" applyAlignment="1">
      <alignment vertical="center"/>
    </xf>
    <xf numFmtId="0" fontId="23" fillId="38" borderId="10" xfId="47" applyFont="1" applyFill="1" applyBorder="1" applyAlignment="1">
      <alignment horizontal="left" vertical="center"/>
    </xf>
    <xf numFmtId="0" fontId="0" fillId="38" borderId="10" xfId="0" applyFill="1" applyBorder="1" applyAlignment="1">
      <alignment vertical="center"/>
    </xf>
    <xf numFmtId="0" fontId="23" fillId="38" borderId="10" xfId="47" applyNumberFormat="1" applyFont="1" applyFill="1" applyBorder="1" applyAlignment="1">
      <alignment vertical="center"/>
    </xf>
    <xf numFmtId="0" fontId="40" fillId="38" borderId="0" xfId="0" applyFont="1" applyFill="1" applyAlignment="1">
      <alignment horizontal="left" vertical="center"/>
    </xf>
  </cellXfs>
  <cellStyles count="5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4" builtinId="8"/>
    <cellStyle name="Incorrecto" xfId="7" builtinId="27" customBuiltin="1"/>
    <cellStyle name="Neutral" xfId="8" builtinId="28" customBuiltin="1"/>
    <cellStyle name="Normal" xfId="0" builtinId="0"/>
    <cellStyle name="Normálna 2" xfId="45"/>
    <cellStyle name="Normálna 2 2" xfId="46"/>
    <cellStyle name="Normálna 2 3" xfId="49"/>
    <cellStyle name="Notas" xfId="15" builtinId="10" customBuiltin="1"/>
    <cellStyle name="Porcentaje" xfId="51" builtinId="5"/>
    <cellStyle name="Salida" xfId="10" builtinId="21" customBuiltin="1"/>
    <cellStyle name="Standard 2" xfId="42"/>
    <cellStyle name="Standard 3" xfId="43"/>
    <cellStyle name="Standard_KSK_ABS" xfId="53"/>
    <cellStyle name="Standard_TAB_016_450_451_Serie" xfId="52"/>
    <cellStyle name="Standard_V01_TAB_450AA_IR_inkl_aem072_230710_PIM_20110110" xfId="47"/>
    <cellStyle name="Standard_V01_TAB_450AA_IR_inkl_aem072_230710_Splice_20110106" xfId="50"/>
    <cellStyle name="Stil 1" xfId="48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9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0</xdr:rowOff>
        </xdr:from>
        <xdr:to>
          <xdr:col>0</xdr:col>
          <xdr:colOff>762000</xdr:colOff>
          <xdr:row>0</xdr:row>
          <xdr:rowOff>247650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Odkial - kam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295275</xdr:rowOff>
        </xdr:from>
        <xdr:to>
          <xdr:col>0</xdr:col>
          <xdr:colOff>771525</xdr:colOff>
          <xdr:row>0</xdr:row>
          <xdr:rowOff>514350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Vypni odkial - kam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28575</xdr:rowOff>
        </xdr:from>
        <xdr:to>
          <xdr:col>0</xdr:col>
          <xdr:colOff>1609725</xdr:colOff>
          <xdr:row>0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Objednavka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923925</xdr:rowOff>
        </xdr:from>
        <xdr:to>
          <xdr:col>0</xdr:col>
          <xdr:colOff>1343025</xdr:colOff>
          <xdr:row>0</xdr:row>
          <xdr:rowOff>1266825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57150</xdr:rowOff>
        </xdr:from>
        <xdr:to>
          <xdr:col>0</xdr:col>
          <xdr:colOff>723900</xdr:colOff>
          <xdr:row>0</xdr:row>
          <xdr:rowOff>257175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Odkial - kam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314325</xdr:rowOff>
        </xdr:from>
        <xdr:to>
          <xdr:col>0</xdr:col>
          <xdr:colOff>704850</xdr:colOff>
          <xdr:row>0</xdr:row>
          <xdr:rowOff>561975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Vypni odkial - kam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19050</xdr:rowOff>
        </xdr:from>
        <xdr:to>
          <xdr:col>0</xdr:col>
          <xdr:colOff>1552575</xdr:colOff>
          <xdr:row>0</xdr:row>
          <xdr:rowOff>247650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Objednavka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762000</xdr:rowOff>
        </xdr:from>
        <xdr:to>
          <xdr:col>0</xdr:col>
          <xdr:colOff>1495425</xdr:colOff>
          <xdr:row>0</xdr:row>
          <xdr:rowOff>1228725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a.selcova/Desktop/POMOCNE%20DOKUMENTY/pripravovane/F_Konzept%20alle%20Autarke%20LL,RL%20ZD10072020_FE,SOP,akt.4.11,KW4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e"/>
      <sheetName val="Wires"/>
      <sheetName val="Parts"/>
      <sheetName val="Splice_all"/>
      <sheetName val="HS04+PS01"/>
      <sheetName val="Tuelle_Mikronorma"/>
      <sheetName val="HS04+PS01 (2)"/>
      <sheetName val="Hárok1"/>
      <sheetName val="Hárok2"/>
      <sheetName val="Hárok3"/>
      <sheetName val="F_Konzept alle Autarke LL,RL ZD"/>
    </sheetNames>
    <definedNames>
      <definedName name="zmena_v_riadku"/>
      <definedName name="zmena_v_riadku_BO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32"/>
  <sheetViews>
    <sheetView workbookViewId="0">
      <selection activeCell="D25" sqref="D25"/>
    </sheetView>
  </sheetViews>
  <sheetFormatPr baseColWidth="10" defaultRowHeight="15"/>
  <sheetData>
    <row r="1" spans="1:28">
      <c r="A1" t="s">
        <v>2523</v>
      </c>
      <c r="B1" t="s">
        <v>2524</v>
      </c>
      <c r="C1" t="s">
        <v>2525</v>
      </c>
      <c r="D1" t="s">
        <v>2526</v>
      </c>
      <c r="E1" t="s">
        <v>2527</v>
      </c>
      <c r="F1" t="s">
        <v>2528</v>
      </c>
      <c r="G1" t="s">
        <v>2529</v>
      </c>
      <c r="H1" t="s">
        <v>2530</v>
      </c>
      <c r="I1" t="s">
        <v>2531</v>
      </c>
      <c r="J1" t="s">
        <v>2532</v>
      </c>
      <c r="K1" t="s">
        <v>2533</v>
      </c>
      <c r="L1" t="s">
        <v>2534</v>
      </c>
      <c r="M1" t="s">
        <v>2535</v>
      </c>
      <c r="N1" t="s">
        <v>2536</v>
      </c>
      <c r="O1" t="s">
        <v>2537</v>
      </c>
      <c r="P1" t="s">
        <v>2538</v>
      </c>
      <c r="Q1" t="s">
        <v>2539</v>
      </c>
      <c r="R1" t="s">
        <v>2540</v>
      </c>
      <c r="S1" t="s">
        <v>2541</v>
      </c>
      <c r="T1" t="s">
        <v>2542</v>
      </c>
      <c r="U1" t="s">
        <v>2543</v>
      </c>
      <c r="V1" t="s">
        <v>2544</v>
      </c>
      <c r="W1" t="s">
        <v>2545</v>
      </c>
      <c r="X1" t="s">
        <v>2546</v>
      </c>
      <c r="Y1" t="s">
        <v>2547</v>
      </c>
      <c r="Z1" t="s">
        <v>2548</v>
      </c>
      <c r="AA1" t="s">
        <v>2549</v>
      </c>
      <c r="AB1" t="s">
        <v>2550</v>
      </c>
    </row>
    <row r="2" spans="1:28">
      <c r="A2">
        <v>2102</v>
      </c>
      <c r="C2" t="s">
        <v>2418</v>
      </c>
      <c r="D2" s="252" t="s">
        <v>2256</v>
      </c>
      <c r="E2" s="252" t="s">
        <v>2274</v>
      </c>
      <c r="F2" s="252" t="s">
        <v>2367</v>
      </c>
    </row>
    <row r="3" spans="1:28">
      <c r="A3">
        <v>2017</v>
      </c>
      <c r="C3" t="s">
        <v>2425</v>
      </c>
    </row>
    <row r="4" spans="1:28">
      <c r="A4">
        <v>2017</v>
      </c>
      <c r="C4" t="s">
        <v>2428</v>
      </c>
    </row>
    <row r="5" spans="1:28">
      <c r="A5">
        <v>2017</v>
      </c>
      <c r="C5" t="s">
        <v>2431</v>
      </c>
    </row>
    <row r="6" spans="1:28">
      <c r="A6">
        <v>1948</v>
      </c>
      <c r="C6" t="s">
        <v>2436</v>
      </c>
    </row>
    <row r="7" spans="1:28">
      <c r="A7">
        <v>2017</v>
      </c>
      <c r="C7" t="s">
        <v>2440</v>
      </c>
    </row>
    <row r="8" spans="1:28">
      <c r="A8">
        <v>2017</v>
      </c>
      <c r="C8" t="s">
        <v>2443</v>
      </c>
    </row>
    <row r="9" spans="1:28">
      <c r="A9">
        <v>1948</v>
      </c>
      <c r="C9" t="s">
        <v>2448</v>
      </c>
      <c r="D9" s="252" t="s">
        <v>2276</v>
      </c>
    </row>
    <row r="10" spans="1:28">
      <c r="A10">
        <v>2102</v>
      </c>
      <c r="C10" t="s">
        <v>2452</v>
      </c>
    </row>
    <row r="11" spans="1:28">
      <c r="A11">
        <v>1948</v>
      </c>
      <c r="C11" t="s">
        <v>2453</v>
      </c>
      <c r="D11" s="252" t="s">
        <v>2276</v>
      </c>
    </row>
    <row r="12" spans="1:28">
      <c r="A12">
        <v>1948</v>
      </c>
      <c r="C12" t="s">
        <v>2455</v>
      </c>
      <c r="D12" s="252" t="s">
        <v>2276</v>
      </c>
    </row>
    <row r="13" spans="1:28">
      <c r="A13">
        <v>1948</v>
      </c>
      <c r="C13" t="s">
        <v>2459</v>
      </c>
    </row>
    <row r="14" spans="1:28">
      <c r="A14">
        <v>1948</v>
      </c>
      <c r="C14" t="s">
        <v>2463</v>
      </c>
    </row>
    <row r="15" spans="1:28">
      <c r="A15">
        <v>1948</v>
      </c>
      <c r="C15" t="s">
        <v>2467</v>
      </c>
    </row>
    <row r="16" spans="1:28">
      <c r="A16">
        <v>1948</v>
      </c>
      <c r="C16" t="s">
        <v>2469</v>
      </c>
    </row>
    <row r="17" spans="1:4">
      <c r="A17">
        <v>2017</v>
      </c>
      <c r="C17" t="s">
        <v>2472</v>
      </c>
      <c r="D17" s="252" t="s">
        <v>2280</v>
      </c>
    </row>
    <row r="18" spans="1:4">
      <c r="A18">
        <v>2017</v>
      </c>
      <c r="C18" t="s">
        <v>2474</v>
      </c>
      <c r="D18" s="252" t="s">
        <v>2281</v>
      </c>
    </row>
    <row r="19" spans="1:4">
      <c r="A19">
        <v>1948</v>
      </c>
      <c r="C19" t="s">
        <v>2478</v>
      </c>
      <c r="D19" s="252" t="s">
        <v>2259</v>
      </c>
    </row>
    <row r="20" spans="1:4">
      <c r="A20">
        <v>1948</v>
      </c>
      <c r="C20" t="s">
        <v>2481</v>
      </c>
      <c r="D20" s="252" t="s">
        <v>2261</v>
      </c>
    </row>
    <row r="21" spans="1:4">
      <c r="A21">
        <v>1948</v>
      </c>
      <c r="C21" t="s">
        <v>2483</v>
      </c>
      <c r="D21" s="252" t="s">
        <v>2263</v>
      </c>
    </row>
    <row r="22" spans="1:4">
      <c r="A22">
        <v>1948</v>
      </c>
      <c r="C22" t="s">
        <v>2488</v>
      </c>
    </row>
    <row r="23" spans="1:4">
      <c r="A23">
        <v>1948</v>
      </c>
      <c r="C23" t="s">
        <v>2491</v>
      </c>
    </row>
    <row r="24" spans="1:4">
      <c r="A24">
        <v>1948</v>
      </c>
      <c r="C24" t="s">
        <v>2494</v>
      </c>
    </row>
    <row r="25" spans="1:4">
      <c r="A25">
        <v>2102</v>
      </c>
      <c r="C25" t="s">
        <v>2497</v>
      </c>
      <c r="D25" s="252" t="s">
        <v>2368</v>
      </c>
    </row>
    <row r="26" spans="1:4">
      <c r="A26">
        <v>1948</v>
      </c>
      <c r="C26" t="s">
        <v>2501</v>
      </c>
    </row>
    <row r="27" spans="1:4">
      <c r="A27">
        <v>1948</v>
      </c>
      <c r="C27" t="s">
        <v>2505</v>
      </c>
      <c r="D27" s="252" t="s">
        <v>2265</v>
      </c>
    </row>
    <row r="28" spans="1:4">
      <c r="A28">
        <v>1948</v>
      </c>
      <c r="C28" t="s">
        <v>2509</v>
      </c>
    </row>
    <row r="29" spans="1:4">
      <c r="A29">
        <v>1948</v>
      </c>
      <c r="C29" t="s">
        <v>2512</v>
      </c>
    </row>
    <row r="30" spans="1:4">
      <c r="A30">
        <v>2029</v>
      </c>
      <c r="C30" t="s">
        <v>2516</v>
      </c>
      <c r="D30" s="252" t="s">
        <v>2267</v>
      </c>
    </row>
    <row r="31" spans="1:4">
      <c r="A31">
        <v>1948</v>
      </c>
      <c r="C31" t="s">
        <v>2518</v>
      </c>
    </row>
    <row r="32" spans="1:4">
      <c r="A32">
        <v>2026</v>
      </c>
      <c r="C32" t="s">
        <v>2521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B13"/>
  <sheetViews>
    <sheetView workbookViewId="0">
      <selection activeCell="C15" sqref="C15"/>
    </sheetView>
  </sheetViews>
  <sheetFormatPr baseColWidth="10" defaultRowHeight="15"/>
  <sheetData>
    <row r="1" spans="1:28">
      <c r="A1" t="s">
        <v>2221</v>
      </c>
      <c r="B1" t="s">
        <v>2223</v>
      </c>
      <c r="C1" t="s">
        <v>2551</v>
      </c>
      <c r="D1" t="s">
        <v>2526</v>
      </c>
      <c r="E1" t="s">
        <v>2527</v>
      </c>
      <c r="F1" t="s">
        <v>2528</v>
      </c>
      <c r="G1" t="s">
        <v>2529</v>
      </c>
      <c r="H1" t="s">
        <v>2530</v>
      </c>
      <c r="I1" t="s">
        <v>2531</v>
      </c>
      <c r="J1" t="s">
        <v>2532</v>
      </c>
      <c r="K1" t="s">
        <v>2533</v>
      </c>
      <c r="L1" t="s">
        <v>2534</v>
      </c>
      <c r="M1" t="s">
        <v>2535</v>
      </c>
      <c r="N1" t="s">
        <v>2536</v>
      </c>
      <c r="O1" t="s">
        <v>2537</v>
      </c>
      <c r="P1" t="s">
        <v>2538</v>
      </c>
      <c r="Q1" t="s">
        <v>2539</v>
      </c>
      <c r="R1" t="s">
        <v>2540</v>
      </c>
      <c r="S1" t="s">
        <v>2541</v>
      </c>
      <c r="T1" t="s">
        <v>2542</v>
      </c>
      <c r="U1" t="s">
        <v>2543</v>
      </c>
      <c r="V1" t="s">
        <v>2544</v>
      </c>
      <c r="W1" t="s">
        <v>2545</v>
      </c>
      <c r="X1" t="s">
        <v>2546</v>
      </c>
      <c r="Y1" t="s">
        <v>2547</v>
      </c>
      <c r="Z1" t="s">
        <v>2548</v>
      </c>
      <c r="AA1" t="s">
        <v>2549</v>
      </c>
      <c r="AB1" t="s">
        <v>2550</v>
      </c>
    </row>
    <row r="2" spans="1:28">
      <c r="C2" t="s">
        <v>2552</v>
      </c>
      <c r="D2" s="252" t="s">
        <v>2256</v>
      </c>
      <c r="E2" s="252" t="s">
        <v>2259</v>
      </c>
      <c r="F2" s="252" t="s">
        <v>2265</v>
      </c>
      <c r="G2" s="252" t="s">
        <v>2267</v>
      </c>
    </row>
    <row r="3" spans="1:28">
      <c r="C3" t="s">
        <v>2553</v>
      </c>
      <c r="D3" s="252" t="s">
        <v>2256</v>
      </c>
      <c r="E3" s="252" t="s">
        <v>2261</v>
      </c>
      <c r="F3" s="252" t="s">
        <v>2265</v>
      </c>
      <c r="G3" s="252" t="s">
        <v>2267</v>
      </c>
    </row>
    <row r="4" spans="1:28">
      <c r="C4" t="s">
        <v>2554</v>
      </c>
      <c r="D4" s="252" t="s">
        <v>2256</v>
      </c>
      <c r="E4" s="252" t="s">
        <v>2263</v>
      </c>
      <c r="F4" s="252" t="s">
        <v>2265</v>
      </c>
      <c r="G4" s="252" t="s">
        <v>2267</v>
      </c>
    </row>
    <row r="5" spans="1:28">
      <c r="C5" t="s">
        <v>2555</v>
      </c>
      <c r="D5" s="252" t="s">
        <v>2256</v>
      </c>
      <c r="E5" s="252" t="s">
        <v>2259</v>
      </c>
      <c r="F5" s="252" t="s">
        <v>2265</v>
      </c>
    </row>
    <row r="6" spans="1:28">
      <c r="C6" t="s">
        <v>2556</v>
      </c>
      <c r="D6" s="252" t="s">
        <v>2256</v>
      </c>
      <c r="E6" s="252" t="s">
        <v>2261</v>
      </c>
      <c r="F6" s="252" t="s">
        <v>2265</v>
      </c>
    </row>
    <row r="7" spans="1:28">
      <c r="C7" t="s">
        <v>2557</v>
      </c>
      <c r="D7" s="252" t="s">
        <v>2256</v>
      </c>
      <c r="E7" s="252" t="s">
        <v>2263</v>
      </c>
      <c r="F7" s="252" t="s">
        <v>2265</v>
      </c>
    </row>
    <row r="8" spans="1:28">
      <c r="C8" t="s">
        <v>2558</v>
      </c>
      <c r="D8" s="252" t="s">
        <v>2274</v>
      </c>
      <c r="E8" s="252" t="s">
        <v>2281</v>
      </c>
    </row>
    <row r="9" spans="1:28">
      <c r="C9" t="s">
        <v>2559</v>
      </c>
      <c r="D9" s="252" t="s">
        <v>2274</v>
      </c>
      <c r="E9" s="252" t="s">
        <v>2276</v>
      </c>
      <c r="F9" s="252" t="s">
        <v>2281</v>
      </c>
    </row>
    <row r="10" spans="1:28">
      <c r="C10" t="s">
        <v>2560</v>
      </c>
      <c r="D10" s="252" t="s">
        <v>2274</v>
      </c>
      <c r="E10" s="252" t="s">
        <v>2280</v>
      </c>
    </row>
    <row r="11" spans="1:28">
      <c r="C11" t="s">
        <v>2561</v>
      </c>
      <c r="D11" s="252" t="s">
        <v>2274</v>
      </c>
      <c r="E11" s="252" t="s">
        <v>2276</v>
      </c>
      <c r="F11" s="252" t="s">
        <v>2280</v>
      </c>
    </row>
    <row r="12" spans="1:28">
      <c r="C12" t="s">
        <v>2562</v>
      </c>
      <c r="D12" s="252" t="s">
        <v>2367</v>
      </c>
    </row>
    <row r="13" spans="1:28">
      <c r="C13" t="s">
        <v>2563</v>
      </c>
      <c r="D13" s="252" t="s">
        <v>2367</v>
      </c>
      <c r="E13" s="252" t="s">
        <v>2368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tabSelected="1" workbookViewId="0">
      <selection activeCell="E29" sqref="E29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"/>
  <dimension ref="A1:DP434"/>
  <sheetViews>
    <sheetView zoomScale="70" zoomScaleNormal="70" workbookViewId="0">
      <pane xSplit="33" ySplit="2" topLeftCell="AH3" activePane="bottomRight" state="frozen"/>
      <selection pane="topRight" activeCell="AH1" sqref="AH1"/>
      <selection pane="bottomLeft" activeCell="A3" sqref="A3"/>
      <selection pane="bottomRight" activeCell="Q20" sqref="Q20"/>
    </sheetView>
  </sheetViews>
  <sheetFormatPr baseColWidth="10" defaultColWidth="11.42578125" defaultRowHeight="15"/>
  <cols>
    <col min="1" max="1" width="19.7109375" style="161" customWidth="1"/>
    <col min="2" max="2" width="7.7109375" style="27" customWidth="1"/>
    <col min="3" max="3" width="5.28515625" style="27" customWidth="1"/>
    <col min="4" max="4" width="3.85546875" style="27" customWidth="1"/>
    <col min="5" max="5" width="9" style="27" customWidth="1"/>
    <col min="6" max="6" width="2.140625" style="27" customWidth="1"/>
    <col min="7" max="7" width="14.140625" style="27" customWidth="1"/>
    <col min="8" max="8" width="8.140625" style="27" customWidth="1"/>
    <col min="9" max="9" width="8.5703125" style="27" customWidth="1"/>
    <col min="10" max="10" width="8.7109375" style="27" customWidth="1"/>
    <col min="11" max="11" width="5.28515625" style="27" customWidth="1"/>
    <col min="12" max="13" width="7.140625" style="27" customWidth="1"/>
    <col min="14" max="14" width="3.7109375" style="27" customWidth="1"/>
    <col min="15" max="15" width="6.28515625" style="27" customWidth="1"/>
    <col min="16" max="16" width="6.42578125" style="27" customWidth="1"/>
    <col min="17" max="17" width="6.85546875" style="27" customWidth="1"/>
    <col min="18" max="19" width="2" style="27" customWidth="1"/>
    <col min="20" max="20" width="15.5703125" style="27" customWidth="1"/>
    <col min="21" max="22" width="2.28515625" style="27" customWidth="1"/>
    <col min="23" max="24" width="4.7109375" style="27" customWidth="1"/>
    <col min="25" max="29" width="2.28515625" style="27" customWidth="1"/>
    <col min="30" max="30" width="12.28515625" style="27" bestFit="1" customWidth="1"/>
    <col min="31" max="31" width="9.140625" style="27" bestFit="1" customWidth="1"/>
    <col min="32" max="32" width="29" style="27" bestFit="1" customWidth="1"/>
    <col min="33" max="33" width="3" style="27" customWidth="1"/>
    <col min="34" max="34" width="3" customWidth="1"/>
    <col min="35" max="35" width="7.5703125" customWidth="1"/>
    <col min="36" max="36" width="46.28515625" customWidth="1"/>
    <col min="42" max="42" width="3.28515625" customWidth="1"/>
    <col min="43" max="43" width="6.28515625" customWidth="1"/>
    <col min="44" max="44" width="14.28515625" customWidth="1"/>
    <col min="51" max="51" width="3.28515625" customWidth="1"/>
    <col min="52" max="52" width="6.28515625" customWidth="1"/>
    <col min="53" max="53" width="17.42578125" customWidth="1"/>
    <col min="55" max="55" width="14.7109375" customWidth="1"/>
    <col min="56" max="56" width="4.7109375" customWidth="1"/>
    <col min="59" max="59" width="5.42578125" customWidth="1"/>
    <col min="60" max="60" width="8" customWidth="1"/>
    <col min="61" max="61" width="6.42578125" customWidth="1"/>
    <col min="62" max="62" width="25.28515625" customWidth="1"/>
    <col min="63" max="63" width="14.7109375" customWidth="1"/>
    <col min="64" max="64" width="15.140625" customWidth="1"/>
    <col min="65" max="65" width="14.140625" customWidth="1"/>
  </cols>
  <sheetData>
    <row r="1" spans="1:120" s="13" customFormat="1" ht="114.6" customHeight="1">
      <c r="A1" s="158" t="s">
        <v>2055</v>
      </c>
      <c r="B1" s="2" t="s">
        <v>2056</v>
      </c>
      <c r="C1" s="3" t="s">
        <v>2057</v>
      </c>
      <c r="D1" s="4" t="s">
        <v>2058</v>
      </c>
      <c r="E1" s="2" t="s">
        <v>2059</v>
      </c>
      <c r="F1" s="2" t="s">
        <v>2060</v>
      </c>
      <c r="G1" s="5" t="s">
        <v>2061</v>
      </c>
      <c r="H1" s="6" t="s">
        <v>2062</v>
      </c>
      <c r="I1" s="6" t="s">
        <v>2063</v>
      </c>
      <c r="J1" s="3" t="s">
        <v>2064</v>
      </c>
      <c r="K1" s="2" t="s">
        <v>2065</v>
      </c>
      <c r="L1" s="7" t="s">
        <v>2066</v>
      </c>
      <c r="M1" s="7" t="s">
        <v>2067</v>
      </c>
      <c r="N1" s="7" t="s">
        <v>2068</v>
      </c>
      <c r="O1" s="8" t="s">
        <v>2069</v>
      </c>
      <c r="P1" s="9" t="s">
        <v>2070</v>
      </c>
      <c r="Q1" s="9" t="s">
        <v>2071</v>
      </c>
      <c r="R1" s="10" t="s">
        <v>2072</v>
      </c>
      <c r="S1" s="10" t="s">
        <v>2073</v>
      </c>
      <c r="T1" s="10" t="s">
        <v>2074</v>
      </c>
      <c r="U1" s="10" t="s">
        <v>2075</v>
      </c>
      <c r="V1" s="10" t="s">
        <v>2076</v>
      </c>
      <c r="W1" s="10" t="s">
        <v>2077</v>
      </c>
      <c r="X1" s="10" t="s">
        <v>2078</v>
      </c>
      <c r="Y1" s="11" t="s">
        <v>2079</v>
      </c>
      <c r="Z1" s="11" t="s">
        <v>2080</v>
      </c>
      <c r="AA1" s="11" t="s">
        <v>2081</v>
      </c>
      <c r="AB1" s="11" t="s">
        <v>2082</v>
      </c>
      <c r="AC1" s="11" t="s">
        <v>2083</v>
      </c>
      <c r="AD1" s="197" t="s">
        <v>2386</v>
      </c>
      <c r="AE1" s="197" t="s">
        <v>2385</v>
      </c>
      <c r="AF1" s="11" t="s">
        <v>2384</v>
      </c>
      <c r="AG1" s="12" t="s">
        <v>2087</v>
      </c>
      <c r="AI1" s="14" t="s">
        <v>6</v>
      </c>
      <c r="AJ1" t="s">
        <v>7</v>
      </c>
      <c r="AK1" t="s">
        <v>8</v>
      </c>
      <c r="AL1" t="s">
        <v>9</v>
      </c>
      <c r="AM1" t="s">
        <v>9</v>
      </c>
      <c r="AN1" t="s">
        <v>10</v>
      </c>
      <c r="AO1" t="s">
        <v>11</v>
      </c>
      <c r="AP1" s="14" t="s">
        <v>12</v>
      </c>
      <c r="AQ1" t="s">
        <v>13</v>
      </c>
      <c r="AR1" t="s">
        <v>14</v>
      </c>
      <c r="AS1" t="s">
        <v>15</v>
      </c>
      <c r="AT1" t="s">
        <v>8</v>
      </c>
      <c r="AU1" t="s">
        <v>9</v>
      </c>
      <c r="AV1" t="s">
        <v>9</v>
      </c>
      <c r="AW1" t="s">
        <v>16</v>
      </c>
      <c r="AX1" t="s">
        <v>11</v>
      </c>
      <c r="AY1" t="s">
        <v>12</v>
      </c>
      <c r="AZ1" t="s">
        <v>13</v>
      </c>
      <c r="BA1" t="s">
        <v>14</v>
      </c>
      <c r="BB1" t="s">
        <v>15</v>
      </c>
      <c r="BC1" t="s">
        <v>17</v>
      </c>
      <c r="BD1" t="s">
        <v>18</v>
      </c>
      <c r="BE1" t="s">
        <v>19</v>
      </c>
      <c r="BF1" t="s">
        <v>20</v>
      </c>
      <c r="BG1" t="s">
        <v>21</v>
      </c>
      <c r="BH1" t="s">
        <v>22</v>
      </c>
      <c r="BI1" t="s">
        <v>23</v>
      </c>
      <c r="BJ1" t="s">
        <v>24</v>
      </c>
      <c r="BK1" t="s">
        <v>1</v>
      </c>
      <c r="BL1" t="s">
        <v>509</v>
      </c>
      <c r="BM1" t="s">
        <v>512</v>
      </c>
      <c r="BN1" t="s">
        <v>2088</v>
      </c>
      <c r="BO1" t="s">
        <v>2089</v>
      </c>
      <c r="BP1" t="s">
        <v>2090</v>
      </c>
      <c r="BQ1" t="s">
        <v>2091</v>
      </c>
      <c r="BR1" t="s">
        <v>2092</v>
      </c>
      <c r="BS1" t="s">
        <v>2093</v>
      </c>
      <c r="BT1" t="s">
        <v>2094</v>
      </c>
      <c r="BU1" t="s">
        <v>2095</v>
      </c>
      <c r="BV1" t="s">
        <v>2096</v>
      </c>
      <c r="BW1" t="s">
        <v>2097</v>
      </c>
      <c r="BX1" t="s">
        <v>2098</v>
      </c>
      <c r="BY1" t="s">
        <v>2099</v>
      </c>
      <c r="BZ1" t="s">
        <v>2100</v>
      </c>
      <c r="CA1" t="s">
        <v>2101</v>
      </c>
      <c r="CB1" t="s">
        <v>2102</v>
      </c>
      <c r="CC1" t="s">
        <v>2103</v>
      </c>
      <c r="CD1" t="s">
        <v>2104</v>
      </c>
      <c r="CE1" t="s">
        <v>2105</v>
      </c>
      <c r="CF1" t="s">
        <v>2106</v>
      </c>
      <c r="CG1" t="s">
        <v>2107</v>
      </c>
      <c r="CH1" t="s">
        <v>2108</v>
      </c>
      <c r="CI1" t="s">
        <v>2109</v>
      </c>
      <c r="CJ1" t="s">
        <v>2110</v>
      </c>
      <c r="CK1" t="s">
        <v>2111</v>
      </c>
      <c r="CL1" t="s">
        <v>2112</v>
      </c>
      <c r="CM1" t="s">
        <v>2113</v>
      </c>
      <c r="CN1" t="s">
        <v>2114</v>
      </c>
      <c r="CO1" t="s">
        <v>2115</v>
      </c>
      <c r="CP1" t="s">
        <v>2116</v>
      </c>
      <c r="CQ1" t="s">
        <v>2117</v>
      </c>
      <c r="CR1" t="s">
        <v>2118</v>
      </c>
      <c r="CS1" t="s">
        <v>2119</v>
      </c>
      <c r="CT1" t="s">
        <v>2120</v>
      </c>
      <c r="CU1" t="s">
        <v>2121</v>
      </c>
      <c r="CV1" t="s">
        <v>2122</v>
      </c>
      <c r="CW1" t="s">
        <v>2123</v>
      </c>
      <c r="CX1" t="s">
        <v>2124</v>
      </c>
      <c r="CY1" t="s">
        <v>2125</v>
      </c>
      <c r="CZ1" t="s">
        <v>2126</v>
      </c>
      <c r="DA1" t="s">
        <v>2127</v>
      </c>
      <c r="DB1" t="s">
        <v>2128</v>
      </c>
      <c r="DC1" t="s">
        <v>2129</v>
      </c>
      <c r="DD1" t="s">
        <v>2130</v>
      </c>
      <c r="DE1" t="s">
        <v>2131</v>
      </c>
      <c r="DF1" t="s">
        <v>2132</v>
      </c>
      <c r="DG1" t="s">
        <v>2133</v>
      </c>
      <c r="DH1" t="s">
        <v>2134</v>
      </c>
      <c r="DI1"/>
      <c r="DJ1"/>
      <c r="DK1"/>
      <c r="DL1"/>
      <c r="DM1"/>
      <c r="DN1"/>
      <c r="DO1"/>
      <c r="DP1"/>
    </row>
    <row r="2" spans="1:120">
      <c r="A2" s="159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120">
      <c r="A3" s="47"/>
      <c r="C3" s="27" t="s">
        <v>2147</v>
      </c>
      <c r="D3" s="28"/>
      <c r="E3" s="29"/>
      <c r="F3" s="29"/>
      <c r="G3" s="30"/>
      <c r="H3" s="29"/>
      <c r="I3" s="29"/>
      <c r="J3" s="31"/>
      <c r="K3" s="29"/>
      <c r="L3" s="32"/>
      <c r="M3" s="32"/>
      <c r="N3" s="32"/>
      <c r="O3" s="33"/>
      <c r="P3" s="34"/>
      <c r="Q3" s="34"/>
      <c r="R3" s="35"/>
      <c r="S3" s="35"/>
      <c r="T3" s="35"/>
      <c r="U3" s="35"/>
      <c r="V3" s="35"/>
      <c r="W3" s="35"/>
      <c r="X3" s="35"/>
      <c r="Y3" s="32"/>
      <c r="Z3" s="32"/>
      <c r="AA3" s="32"/>
      <c r="AB3" s="32"/>
      <c r="AC3" s="32"/>
      <c r="AD3" s="32"/>
      <c r="AE3" s="32"/>
      <c r="AF3" s="37" t="str">
        <f xml:space="preserve"> AO3 &amp; REPT(" ",20-LEN(AO3)) &amp; AX3</f>
        <v xml:space="preserve">                    </v>
      </c>
      <c r="AG3" s="36"/>
      <c r="AH3">
        <v>1</v>
      </c>
      <c r="AI3" t="s">
        <v>0</v>
      </c>
    </row>
    <row r="4" spans="1:120">
      <c r="A4" s="160" t="s">
        <v>2348</v>
      </c>
      <c r="C4" s="27" t="s">
        <v>2147</v>
      </c>
      <c r="AF4" s="37"/>
      <c r="AH4">
        <v>2</v>
      </c>
      <c r="AI4" t="s">
        <v>1</v>
      </c>
      <c r="AJ4" t="s">
        <v>2</v>
      </c>
      <c r="AK4" t="s">
        <v>3</v>
      </c>
      <c r="AL4" s="146" t="s">
        <v>2351</v>
      </c>
      <c r="AM4" t="s">
        <v>4</v>
      </c>
      <c r="AN4" s="146" t="s">
        <v>2329</v>
      </c>
      <c r="AO4" t="s">
        <v>5</v>
      </c>
    </row>
    <row r="5" spans="1:120">
      <c r="A5" s="47"/>
      <c r="C5" s="27" t="s">
        <v>2147</v>
      </c>
      <c r="AF5" s="37" t="str">
        <f t="shared" ref="AF5:AF36" si="0" xml:space="preserve"> AO5 &amp; REPT(" ",20-LEN(AO5)) &amp; AX5</f>
        <v>Kurzname            Kurzname</v>
      </c>
      <c r="AH5">
        <v>0</v>
      </c>
      <c r="AI5" t="s">
        <v>6</v>
      </c>
      <c r="AJ5" t="s">
        <v>7</v>
      </c>
      <c r="AK5" t="s">
        <v>8</v>
      </c>
      <c r="AL5" t="s">
        <v>9</v>
      </c>
      <c r="AM5" t="s">
        <v>9</v>
      </c>
      <c r="AN5" t="s">
        <v>10</v>
      </c>
      <c r="AO5" t="s">
        <v>11</v>
      </c>
      <c r="AP5" t="s">
        <v>12</v>
      </c>
      <c r="AQ5" t="s">
        <v>13</v>
      </c>
      <c r="AR5" t="s">
        <v>14</v>
      </c>
      <c r="AS5" t="s">
        <v>15</v>
      </c>
      <c r="AT5" t="s">
        <v>8</v>
      </c>
      <c r="AU5" t="s">
        <v>9</v>
      </c>
      <c r="AV5" t="s">
        <v>9</v>
      </c>
      <c r="AW5" t="s">
        <v>16</v>
      </c>
      <c r="AX5" t="s">
        <v>11</v>
      </c>
      <c r="AY5" t="s">
        <v>12</v>
      </c>
      <c r="AZ5" t="s">
        <v>13</v>
      </c>
      <c r="BA5" t="s">
        <v>14</v>
      </c>
      <c r="BB5" t="s">
        <v>15</v>
      </c>
      <c r="BC5" t="s">
        <v>17</v>
      </c>
      <c r="BD5" t="s">
        <v>18</v>
      </c>
      <c r="BE5" t="s">
        <v>19</v>
      </c>
      <c r="BF5" t="s">
        <v>20</v>
      </c>
      <c r="BG5" t="s">
        <v>21</v>
      </c>
      <c r="BH5" t="s">
        <v>22</v>
      </c>
      <c r="BI5" t="s">
        <v>23</v>
      </c>
      <c r="BJ5" t="s">
        <v>24</v>
      </c>
      <c r="BK5" t="s">
        <v>1</v>
      </c>
      <c r="BL5" t="s">
        <v>6</v>
      </c>
    </row>
    <row r="6" spans="1:120">
      <c r="A6" s="170">
        <v>502.50599999999997</v>
      </c>
      <c r="B6" s="101">
        <v>1</v>
      </c>
      <c r="C6" s="101" t="s">
        <v>2147</v>
      </c>
      <c r="D6" s="101"/>
      <c r="E6" s="101" t="s">
        <v>2148</v>
      </c>
      <c r="F6" s="101"/>
      <c r="G6" s="101"/>
      <c r="H6" s="101"/>
      <c r="I6" s="101"/>
      <c r="J6" s="101"/>
      <c r="K6" s="101"/>
      <c r="L6" s="101" t="s">
        <v>2149</v>
      </c>
      <c r="M6" s="101" t="s">
        <v>2149</v>
      </c>
      <c r="N6" s="101"/>
      <c r="O6" s="101"/>
      <c r="P6" s="101"/>
      <c r="Q6" s="101"/>
      <c r="R6" s="101"/>
      <c r="S6" s="101"/>
      <c r="T6" s="101">
        <v>980015464</v>
      </c>
      <c r="U6" s="101"/>
      <c r="V6" s="101"/>
      <c r="W6" s="101"/>
      <c r="X6" s="101"/>
      <c r="Y6" s="101"/>
      <c r="Z6" s="101"/>
      <c r="AA6" s="101"/>
      <c r="AB6" s="101"/>
      <c r="AC6" s="102"/>
      <c r="AD6" s="102"/>
      <c r="AE6" s="102"/>
      <c r="AF6" s="196" t="str">
        <f t="shared" si="0"/>
        <v>KOMBI_C             MIB_I</v>
      </c>
      <c r="AG6" s="102" t="s">
        <v>2150</v>
      </c>
      <c r="AH6" s="102">
        <v>3</v>
      </c>
      <c r="AI6" s="102">
        <v>1</v>
      </c>
      <c r="AJ6" s="102" t="s">
        <v>25</v>
      </c>
      <c r="AK6" s="102" t="s">
        <v>26</v>
      </c>
      <c r="AL6" s="102" t="s">
        <v>27</v>
      </c>
      <c r="AM6" s="102" t="s">
        <v>27</v>
      </c>
      <c r="AN6" s="102" t="s">
        <v>28</v>
      </c>
      <c r="AO6" s="102" t="s">
        <v>29</v>
      </c>
      <c r="AP6" s="102">
        <v>1</v>
      </c>
      <c r="AQ6" s="165" t="s">
        <v>2305</v>
      </c>
      <c r="AR6" s="102" t="s">
        <v>31</v>
      </c>
      <c r="AS6" s="102" t="s">
        <v>26</v>
      </c>
      <c r="AT6" s="102" t="s">
        <v>26</v>
      </c>
      <c r="AU6" s="102" t="s">
        <v>32</v>
      </c>
      <c r="AV6" s="102" t="s">
        <v>33</v>
      </c>
      <c r="AW6" s="102" t="s">
        <v>34</v>
      </c>
      <c r="AX6" s="102" t="s">
        <v>35</v>
      </c>
      <c r="AY6" s="102">
        <v>4</v>
      </c>
      <c r="AZ6" s="102" t="s">
        <v>36</v>
      </c>
      <c r="BA6" s="102" t="s">
        <v>37</v>
      </c>
      <c r="BB6" s="102" t="s">
        <v>26</v>
      </c>
      <c r="BC6" s="102" t="s">
        <v>38</v>
      </c>
      <c r="BD6" s="102" t="s">
        <v>39</v>
      </c>
      <c r="BE6" s="102" t="s">
        <v>40</v>
      </c>
      <c r="BF6" s="102" t="s">
        <v>41</v>
      </c>
      <c r="BG6" s="165">
        <v>2071</v>
      </c>
      <c r="BH6" s="102" t="s">
        <v>42</v>
      </c>
      <c r="BI6" s="102">
        <v>0.14000000000000001</v>
      </c>
      <c r="BJ6" s="102" t="s">
        <v>43</v>
      </c>
      <c r="BK6" s="102" t="s">
        <v>2</v>
      </c>
      <c r="BL6" s="102">
        <v>1</v>
      </c>
    </row>
    <row r="7" spans="1:120">
      <c r="A7" s="160">
        <v>502.50599999999997</v>
      </c>
      <c r="B7" s="27">
        <v>1</v>
      </c>
      <c r="C7" s="27" t="s">
        <v>2147</v>
      </c>
      <c r="E7" s="27" t="s">
        <v>2148</v>
      </c>
      <c r="L7" s="27" t="s">
        <v>2149</v>
      </c>
      <c r="M7" s="27" t="s">
        <v>2149</v>
      </c>
      <c r="T7" s="146">
        <v>980019248</v>
      </c>
      <c r="AC7"/>
      <c r="AD7"/>
      <c r="AE7"/>
      <c r="AF7" s="37" t="str">
        <f t="shared" si="0"/>
        <v>KOMBI_C             MIB_I</v>
      </c>
      <c r="AG7" t="s">
        <v>2150</v>
      </c>
      <c r="AH7">
        <v>3</v>
      </c>
      <c r="AI7">
        <v>1</v>
      </c>
      <c r="AJ7" t="s">
        <v>25</v>
      </c>
      <c r="AK7" t="s">
        <v>26</v>
      </c>
      <c r="AL7" t="s">
        <v>27</v>
      </c>
      <c r="AM7" t="s">
        <v>27</v>
      </c>
      <c r="AN7" t="s">
        <v>28</v>
      </c>
      <c r="AO7" t="s">
        <v>29</v>
      </c>
      <c r="AP7">
        <v>1</v>
      </c>
      <c r="AQ7" s="146" t="s">
        <v>2305</v>
      </c>
      <c r="AR7" t="s">
        <v>31</v>
      </c>
      <c r="AS7" t="s">
        <v>26</v>
      </c>
      <c r="AT7" t="s">
        <v>26</v>
      </c>
      <c r="AU7" t="s">
        <v>32</v>
      </c>
      <c r="AV7" t="s">
        <v>33</v>
      </c>
      <c r="AW7" t="s">
        <v>34</v>
      </c>
      <c r="AX7" t="s">
        <v>35</v>
      </c>
      <c r="AY7">
        <v>4</v>
      </c>
      <c r="AZ7" t="s">
        <v>36</v>
      </c>
      <c r="BA7" t="s">
        <v>37</v>
      </c>
      <c r="BB7" t="s">
        <v>26</v>
      </c>
      <c r="BC7" t="s">
        <v>38</v>
      </c>
      <c r="BD7" t="s">
        <v>39</v>
      </c>
      <c r="BE7" t="s">
        <v>40</v>
      </c>
      <c r="BF7" t="s">
        <v>41</v>
      </c>
      <c r="BG7" s="146">
        <v>2071</v>
      </c>
      <c r="BH7" t="s">
        <v>42</v>
      </c>
      <c r="BI7">
        <v>0.14000000000000001</v>
      </c>
      <c r="BJ7" t="s">
        <v>43</v>
      </c>
      <c r="BK7" t="s">
        <v>2</v>
      </c>
      <c r="BL7">
        <v>1</v>
      </c>
    </row>
    <row r="8" spans="1:120">
      <c r="A8" s="170">
        <v>502.50599999999997</v>
      </c>
      <c r="B8" s="101">
        <v>2</v>
      </c>
      <c r="C8" s="101" t="s">
        <v>2147</v>
      </c>
      <c r="D8" s="101"/>
      <c r="E8" s="101" t="s">
        <v>2148</v>
      </c>
      <c r="F8" s="101"/>
      <c r="G8" s="101"/>
      <c r="H8" s="101"/>
      <c r="I8" s="101"/>
      <c r="J8" s="101"/>
      <c r="K8" s="101"/>
      <c r="L8" s="101" t="s">
        <v>2149</v>
      </c>
      <c r="M8" s="101" t="s">
        <v>2149</v>
      </c>
      <c r="N8" s="101"/>
      <c r="O8" s="101"/>
      <c r="P8" s="101"/>
      <c r="Q8" s="101"/>
      <c r="R8" s="101"/>
      <c r="S8" s="101"/>
      <c r="T8" s="101">
        <v>980015464</v>
      </c>
      <c r="U8" s="101"/>
      <c r="V8" s="101"/>
      <c r="W8" s="101"/>
      <c r="X8" s="101"/>
      <c r="Y8" s="101"/>
      <c r="Z8" s="101"/>
      <c r="AA8" s="101"/>
      <c r="AB8" s="101"/>
      <c r="AC8" s="102"/>
      <c r="AD8" s="102"/>
      <c r="AE8" s="102"/>
      <c r="AF8" s="196" t="str">
        <f t="shared" si="0"/>
        <v>KOMBI_C             MIB_I</v>
      </c>
      <c r="AG8" s="102" t="s">
        <v>2150</v>
      </c>
      <c r="AH8" s="102">
        <v>3</v>
      </c>
      <c r="AI8" s="102">
        <v>2</v>
      </c>
      <c r="AJ8" s="102" t="s">
        <v>44</v>
      </c>
      <c r="AK8" s="102" t="s">
        <v>26</v>
      </c>
      <c r="AL8" s="102" t="s">
        <v>27</v>
      </c>
      <c r="AM8" s="102" t="s">
        <v>27</v>
      </c>
      <c r="AN8" s="102" t="s">
        <v>28</v>
      </c>
      <c r="AO8" s="102" t="s">
        <v>29</v>
      </c>
      <c r="AP8" s="102">
        <v>2</v>
      </c>
      <c r="AQ8" s="165" t="s">
        <v>2305</v>
      </c>
      <c r="AR8" s="102" t="s">
        <v>31</v>
      </c>
      <c r="AS8" s="102" t="s">
        <v>26</v>
      </c>
      <c r="AT8" s="102" t="s">
        <v>26</v>
      </c>
      <c r="AU8" s="102" t="s">
        <v>32</v>
      </c>
      <c r="AV8" s="102" t="s">
        <v>33</v>
      </c>
      <c r="AW8" s="102" t="s">
        <v>34</v>
      </c>
      <c r="AX8" s="102" t="s">
        <v>35</v>
      </c>
      <c r="AY8" s="102">
        <v>3</v>
      </c>
      <c r="AZ8" s="102" t="s">
        <v>36</v>
      </c>
      <c r="BA8" s="102" t="s">
        <v>37</v>
      </c>
      <c r="BB8" s="102" t="s">
        <v>26</v>
      </c>
      <c r="BC8" s="102" t="s">
        <v>38</v>
      </c>
      <c r="BD8" s="102" t="s">
        <v>39</v>
      </c>
      <c r="BE8" s="102" t="s">
        <v>40</v>
      </c>
      <c r="BF8" s="102" t="s">
        <v>45</v>
      </c>
      <c r="BG8" s="165">
        <v>2071</v>
      </c>
      <c r="BH8" s="102" t="s">
        <v>46</v>
      </c>
      <c r="BI8" s="102">
        <v>0.14000000000000001</v>
      </c>
      <c r="BJ8" s="102" t="s">
        <v>47</v>
      </c>
      <c r="BK8" s="102" t="s">
        <v>2</v>
      </c>
      <c r="BL8" s="102">
        <v>2</v>
      </c>
    </row>
    <row r="9" spans="1:120">
      <c r="A9" s="160">
        <v>502.50599999999997</v>
      </c>
      <c r="B9" s="27">
        <v>2</v>
      </c>
      <c r="C9" s="27" t="s">
        <v>2147</v>
      </c>
      <c r="E9" s="27" t="s">
        <v>2148</v>
      </c>
      <c r="L9" s="27" t="s">
        <v>2149</v>
      </c>
      <c r="M9" s="27" t="s">
        <v>2149</v>
      </c>
      <c r="T9" s="146">
        <v>980019248</v>
      </c>
      <c r="AC9"/>
      <c r="AD9"/>
      <c r="AE9"/>
      <c r="AF9" s="37" t="str">
        <f t="shared" si="0"/>
        <v>KOMBI_C             MIB_I</v>
      </c>
      <c r="AG9" t="s">
        <v>2150</v>
      </c>
      <c r="AH9">
        <v>3</v>
      </c>
      <c r="AI9">
        <v>2</v>
      </c>
      <c r="AJ9" t="s">
        <v>44</v>
      </c>
      <c r="AK9" t="s">
        <v>26</v>
      </c>
      <c r="AL9" t="s">
        <v>27</v>
      </c>
      <c r="AM9" t="s">
        <v>27</v>
      </c>
      <c r="AN9" t="s">
        <v>28</v>
      </c>
      <c r="AO9" t="s">
        <v>29</v>
      </c>
      <c r="AP9">
        <v>2</v>
      </c>
      <c r="AQ9" s="146" t="s">
        <v>2305</v>
      </c>
      <c r="AR9" t="s">
        <v>31</v>
      </c>
      <c r="AS9" t="s">
        <v>26</v>
      </c>
      <c r="AT9" t="s">
        <v>26</v>
      </c>
      <c r="AU9" t="s">
        <v>32</v>
      </c>
      <c r="AV9" t="s">
        <v>33</v>
      </c>
      <c r="AW9" t="s">
        <v>34</v>
      </c>
      <c r="AX9" t="s">
        <v>35</v>
      </c>
      <c r="AY9">
        <v>3</v>
      </c>
      <c r="AZ9" t="s">
        <v>36</v>
      </c>
      <c r="BA9" t="s">
        <v>37</v>
      </c>
      <c r="BB9" t="s">
        <v>26</v>
      </c>
      <c r="BC9" t="s">
        <v>38</v>
      </c>
      <c r="BD9" t="s">
        <v>39</v>
      </c>
      <c r="BE9" t="s">
        <v>40</v>
      </c>
      <c r="BF9" t="s">
        <v>45</v>
      </c>
      <c r="BG9" s="146">
        <v>2071</v>
      </c>
      <c r="BH9" t="s">
        <v>46</v>
      </c>
      <c r="BI9">
        <v>0.14000000000000001</v>
      </c>
      <c r="BJ9" t="s">
        <v>47</v>
      </c>
      <c r="BK9" t="s">
        <v>2</v>
      </c>
      <c r="BL9">
        <v>2</v>
      </c>
    </row>
    <row r="10" spans="1:120">
      <c r="A10" s="170">
        <v>502.50599999999997</v>
      </c>
      <c r="B10" s="101">
        <v>3</v>
      </c>
      <c r="C10" s="101" t="s">
        <v>2147</v>
      </c>
      <c r="D10" s="101"/>
      <c r="E10" s="101" t="s">
        <v>2148</v>
      </c>
      <c r="F10" s="101"/>
      <c r="G10" s="101"/>
      <c r="H10" s="101"/>
      <c r="I10" s="101"/>
      <c r="J10" s="101"/>
      <c r="K10" s="101"/>
      <c r="L10" s="101" t="s">
        <v>2149</v>
      </c>
      <c r="M10" s="101" t="s">
        <v>2149</v>
      </c>
      <c r="N10" s="101"/>
      <c r="O10" s="101"/>
      <c r="P10" s="101"/>
      <c r="Q10" s="101"/>
      <c r="R10" s="101"/>
      <c r="S10" s="101"/>
      <c r="T10" s="101">
        <v>980015464</v>
      </c>
      <c r="U10" s="101"/>
      <c r="V10" s="101"/>
      <c r="W10" s="101"/>
      <c r="X10" s="101"/>
      <c r="Y10" s="101"/>
      <c r="Z10" s="101"/>
      <c r="AA10" s="101"/>
      <c r="AB10" s="101"/>
      <c r="AC10" s="102"/>
      <c r="AD10" s="102"/>
      <c r="AE10" s="102"/>
      <c r="AF10" s="196" t="str">
        <f t="shared" si="0"/>
        <v>KOMBI_C             MIB_I</v>
      </c>
      <c r="AG10" s="102" t="s">
        <v>2150</v>
      </c>
      <c r="AH10" s="102">
        <v>3</v>
      </c>
      <c r="AI10" s="102">
        <v>3</v>
      </c>
      <c r="AJ10" s="102" t="s">
        <v>48</v>
      </c>
      <c r="AK10" s="102" t="s">
        <v>26</v>
      </c>
      <c r="AL10" s="102" t="s">
        <v>27</v>
      </c>
      <c r="AM10" s="102" t="s">
        <v>27</v>
      </c>
      <c r="AN10" s="102" t="s">
        <v>28</v>
      </c>
      <c r="AO10" s="102" t="s">
        <v>29</v>
      </c>
      <c r="AP10" s="102">
        <v>3</v>
      </c>
      <c r="AQ10" s="165" t="s">
        <v>2305</v>
      </c>
      <c r="AR10" s="102" t="s">
        <v>31</v>
      </c>
      <c r="AS10" s="102" t="s">
        <v>26</v>
      </c>
      <c r="AT10" s="102" t="s">
        <v>26</v>
      </c>
      <c r="AU10" s="102" t="s">
        <v>32</v>
      </c>
      <c r="AV10" s="102" t="s">
        <v>33</v>
      </c>
      <c r="AW10" s="102" t="s">
        <v>34</v>
      </c>
      <c r="AX10" s="102" t="s">
        <v>35</v>
      </c>
      <c r="AY10" s="102">
        <v>2</v>
      </c>
      <c r="AZ10" s="102" t="s">
        <v>36</v>
      </c>
      <c r="BA10" s="102" t="s">
        <v>37</v>
      </c>
      <c r="BB10" s="102" t="s">
        <v>26</v>
      </c>
      <c r="BC10" s="102" t="s">
        <v>38</v>
      </c>
      <c r="BD10" s="102" t="s">
        <v>39</v>
      </c>
      <c r="BE10" s="102" t="s">
        <v>40</v>
      </c>
      <c r="BF10" s="102" t="s">
        <v>49</v>
      </c>
      <c r="BG10" s="165">
        <v>2071</v>
      </c>
      <c r="BH10" s="102" t="s">
        <v>50</v>
      </c>
      <c r="BI10" s="102">
        <v>0.14000000000000001</v>
      </c>
      <c r="BJ10" s="102" t="s">
        <v>51</v>
      </c>
      <c r="BK10" s="102" t="s">
        <v>2</v>
      </c>
      <c r="BL10" s="102">
        <v>3</v>
      </c>
    </row>
    <row r="11" spans="1:120">
      <c r="A11" s="160">
        <v>502.50599999999997</v>
      </c>
      <c r="B11" s="27">
        <v>3</v>
      </c>
      <c r="C11" s="27" t="s">
        <v>2147</v>
      </c>
      <c r="E11" s="27" t="s">
        <v>2148</v>
      </c>
      <c r="L11" s="27" t="s">
        <v>2149</v>
      </c>
      <c r="M11" s="27" t="s">
        <v>2149</v>
      </c>
      <c r="T11" s="146">
        <v>980019248</v>
      </c>
      <c r="AC11"/>
      <c r="AD11"/>
      <c r="AE11"/>
      <c r="AF11" s="37" t="str">
        <f t="shared" si="0"/>
        <v>KOMBI_C             MIB_I</v>
      </c>
      <c r="AG11" t="s">
        <v>2150</v>
      </c>
      <c r="AH11">
        <v>3</v>
      </c>
      <c r="AI11">
        <v>3</v>
      </c>
      <c r="AJ11" t="s">
        <v>48</v>
      </c>
      <c r="AK11" t="s">
        <v>26</v>
      </c>
      <c r="AL11" t="s">
        <v>27</v>
      </c>
      <c r="AM11" t="s">
        <v>27</v>
      </c>
      <c r="AN11" t="s">
        <v>28</v>
      </c>
      <c r="AO11" t="s">
        <v>29</v>
      </c>
      <c r="AP11">
        <v>3</v>
      </c>
      <c r="AQ11" s="146" t="s">
        <v>2305</v>
      </c>
      <c r="AR11" t="s">
        <v>31</v>
      </c>
      <c r="AS11" t="s">
        <v>26</v>
      </c>
      <c r="AT11" t="s">
        <v>26</v>
      </c>
      <c r="AU11" t="s">
        <v>32</v>
      </c>
      <c r="AV11" t="s">
        <v>33</v>
      </c>
      <c r="AW11" t="s">
        <v>34</v>
      </c>
      <c r="AX11" t="s">
        <v>35</v>
      </c>
      <c r="AY11">
        <v>2</v>
      </c>
      <c r="AZ11" t="s">
        <v>36</v>
      </c>
      <c r="BA11" t="s">
        <v>37</v>
      </c>
      <c r="BB11" t="s">
        <v>26</v>
      </c>
      <c r="BC11" t="s">
        <v>38</v>
      </c>
      <c r="BD11" t="s">
        <v>39</v>
      </c>
      <c r="BE11" t="s">
        <v>40</v>
      </c>
      <c r="BF11" t="s">
        <v>49</v>
      </c>
      <c r="BG11" s="146">
        <v>2071</v>
      </c>
      <c r="BH11" t="s">
        <v>50</v>
      </c>
      <c r="BI11">
        <v>0.14000000000000001</v>
      </c>
      <c r="BJ11" t="s">
        <v>51</v>
      </c>
      <c r="BK11" t="s">
        <v>2</v>
      </c>
      <c r="BL11">
        <v>3</v>
      </c>
    </row>
    <row r="12" spans="1:120">
      <c r="A12" s="170">
        <v>502.50599999999997</v>
      </c>
      <c r="B12" s="101">
        <v>4</v>
      </c>
      <c r="C12" s="101" t="s">
        <v>2147</v>
      </c>
      <c r="D12" s="101"/>
      <c r="E12" s="101" t="s">
        <v>2148</v>
      </c>
      <c r="F12" s="101"/>
      <c r="G12" s="101"/>
      <c r="H12" s="101"/>
      <c r="I12" s="101"/>
      <c r="J12" s="101"/>
      <c r="K12" s="101"/>
      <c r="L12" s="101" t="s">
        <v>2149</v>
      </c>
      <c r="M12" s="101" t="s">
        <v>2149</v>
      </c>
      <c r="N12" s="101"/>
      <c r="O12" s="101"/>
      <c r="P12" s="101"/>
      <c r="Q12" s="101"/>
      <c r="R12" s="101"/>
      <c r="S12" s="101"/>
      <c r="T12" s="101">
        <v>980015464</v>
      </c>
      <c r="U12" s="101"/>
      <c r="V12" s="101"/>
      <c r="W12" s="101"/>
      <c r="X12" s="101"/>
      <c r="Y12" s="101"/>
      <c r="Z12" s="101"/>
      <c r="AA12" s="101"/>
      <c r="AB12" s="101"/>
      <c r="AC12" s="102"/>
      <c r="AD12" s="102"/>
      <c r="AE12" s="102"/>
      <c r="AF12" s="196" t="str">
        <f t="shared" si="0"/>
        <v>KOMBI_C             MIB_I</v>
      </c>
      <c r="AG12" s="102" t="s">
        <v>2150</v>
      </c>
      <c r="AH12" s="102">
        <v>3</v>
      </c>
      <c r="AI12" s="102">
        <v>4</v>
      </c>
      <c r="AJ12" s="102" t="s">
        <v>52</v>
      </c>
      <c r="AK12" s="102" t="s">
        <v>26</v>
      </c>
      <c r="AL12" s="102" t="s">
        <v>27</v>
      </c>
      <c r="AM12" s="102" t="s">
        <v>27</v>
      </c>
      <c r="AN12" s="102" t="s">
        <v>28</v>
      </c>
      <c r="AO12" s="102" t="s">
        <v>29</v>
      </c>
      <c r="AP12" s="102">
        <v>4</v>
      </c>
      <c r="AQ12" s="165" t="s">
        <v>2305</v>
      </c>
      <c r="AR12" s="102" t="s">
        <v>31</v>
      </c>
      <c r="AS12" s="102" t="s">
        <v>26</v>
      </c>
      <c r="AT12" s="102" t="s">
        <v>26</v>
      </c>
      <c r="AU12" s="102" t="s">
        <v>32</v>
      </c>
      <c r="AV12" s="102" t="s">
        <v>33</v>
      </c>
      <c r="AW12" s="102" t="s">
        <v>34</v>
      </c>
      <c r="AX12" s="102" t="s">
        <v>35</v>
      </c>
      <c r="AY12" s="102">
        <v>1</v>
      </c>
      <c r="AZ12" s="102" t="s">
        <v>36</v>
      </c>
      <c r="BA12" s="102" t="s">
        <v>37</v>
      </c>
      <c r="BB12" s="102" t="s">
        <v>26</v>
      </c>
      <c r="BC12" s="102" t="s">
        <v>38</v>
      </c>
      <c r="BD12" s="102" t="s">
        <v>39</v>
      </c>
      <c r="BE12" s="102" t="s">
        <v>40</v>
      </c>
      <c r="BF12" s="102" t="s">
        <v>53</v>
      </c>
      <c r="BG12" s="165">
        <v>2071</v>
      </c>
      <c r="BH12" s="102" t="s">
        <v>54</v>
      </c>
      <c r="BI12" s="102">
        <v>0.14000000000000001</v>
      </c>
      <c r="BJ12" s="102" t="s">
        <v>55</v>
      </c>
      <c r="BK12" s="102" t="s">
        <v>2</v>
      </c>
      <c r="BL12" s="102">
        <v>4</v>
      </c>
    </row>
    <row r="13" spans="1:120">
      <c r="A13" s="160">
        <v>502.50599999999997</v>
      </c>
      <c r="B13" s="27">
        <v>4</v>
      </c>
      <c r="C13" s="27" t="s">
        <v>2147</v>
      </c>
      <c r="E13" s="27" t="s">
        <v>2148</v>
      </c>
      <c r="L13" s="27" t="s">
        <v>2149</v>
      </c>
      <c r="M13" s="27" t="s">
        <v>2149</v>
      </c>
      <c r="T13" s="146">
        <v>980019248</v>
      </c>
      <c r="AC13"/>
      <c r="AD13"/>
      <c r="AE13"/>
      <c r="AF13" s="37" t="str">
        <f t="shared" si="0"/>
        <v>KOMBI_C             MIB_I</v>
      </c>
      <c r="AG13" t="s">
        <v>2150</v>
      </c>
      <c r="AH13">
        <v>3</v>
      </c>
      <c r="AI13">
        <v>4</v>
      </c>
      <c r="AJ13" t="s">
        <v>52</v>
      </c>
      <c r="AK13" t="s">
        <v>26</v>
      </c>
      <c r="AL13" t="s">
        <v>27</v>
      </c>
      <c r="AM13" t="s">
        <v>27</v>
      </c>
      <c r="AN13" t="s">
        <v>28</v>
      </c>
      <c r="AO13" t="s">
        <v>29</v>
      </c>
      <c r="AP13">
        <v>4</v>
      </c>
      <c r="AQ13" s="146" t="s">
        <v>2305</v>
      </c>
      <c r="AR13" t="s">
        <v>31</v>
      </c>
      <c r="AS13" t="s">
        <v>26</v>
      </c>
      <c r="AT13" t="s">
        <v>26</v>
      </c>
      <c r="AU13" t="s">
        <v>32</v>
      </c>
      <c r="AV13" t="s">
        <v>33</v>
      </c>
      <c r="AW13" t="s">
        <v>34</v>
      </c>
      <c r="AX13" t="s">
        <v>35</v>
      </c>
      <c r="AY13">
        <v>1</v>
      </c>
      <c r="AZ13" t="s">
        <v>36</v>
      </c>
      <c r="BA13" t="s">
        <v>37</v>
      </c>
      <c r="BB13" t="s">
        <v>26</v>
      </c>
      <c r="BC13" t="s">
        <v>38</v>
      </c>
      <c r="BD13" t="s">
        <v>39</v>
      </c>
      <c r="BE13" t="s">
        <v>40</v>
      </c>
      <c r="BF13" t="s">
        <v>53</v>
      </c>
      <c r="BG13" s="146">
        <v>2071</v>
      </c>
      <c r="BH13" t="s">
        <v>54</v>
      </c>
      <c r="BI13">
        <v>0.14000000000000001</v>
      </c>
      <c r="BJ13" t="s">
        <v>55</v>
      </c>
      <c r="BK13" t="s">
        <v>2</v>
      </c>
      <c r="BL13">
        <v>4</v>
      </c>
    </row>
    <row r="14" spans="1:120">
      <c r="A14" s="170">
        <v>502.50599999999997</v>
      </c>
      <c r="B14" s="101">
        <v>5</v>
      </c>
      <c r="C14" s="101" t="s">
        <v>2147</v>
      </c>
      <c r="D14" s="101"/>
      <c r="E14" s="101" t="s">
        <v>2148</v>
      </c>
      <c r="F14" s="101"/>
      <c r="G14" s="101"/>
      <c r="H14" s="101"/>
      <c r="I14" s="101"/>
      <c r="J14" s="101"/>
      <c r="K14" s="101"/>
      <c r="L14" s="101" t="s">
        <v>2149</v>
      </c>
      <c r="M14" s="101" t="s">
        <v>2149</v>
      </c>
      <c r="N14" s="101"/>
      <c r="O14" s="101"/>
      <c r="P14" s="101"/>
      <c r="Q14" s="101"/>
      <c r="R14" s="101"/>
      <c r="S14" s="101"/>
      <c r="T14" s="101">
        <v>980015464</v>
      </c>
      <c r="U14" s="101"/>
      <c r="V14" s="101"/>
      <c r="W14" s="101"/>
      <c r="X14" s="101"/>
      <c r="Y14" s="101"/>
      <c r="Z14" s="101"/>
      <c r="AA14" s="101"/>
      <c r="AB14" s="101"/>
      <c r="AC14" s="102"/>
      <c r="AD14" s="102"/>
      <c r="AE14" s="102"/>
      <c r="AF14" s="196" t="str">
        <f t="shared" si="0"/>
        <v>KOMBI_C             MIB_I</v>
      </c>
      <c r="AG14" s="102" t="s">
        <v>2150</v>
      </c>
      <c r="AH14" s="102">
        <v>3</v>
      </c>
      <c r="AI14" s="102">
        <v>5</v>
      </c>
      <c r="AJ14" s="102" t="s">
        <v>56</v>
      </c>
      <c r="AK14" s="102" t="s">
        <v>26</v>
      </c>
      <c r="AL14" s="102" t="s">
        <v>27</v>
      </c>
      <c r="AM14" s="102" t="s">
        <v>27</v>
      </c>
      <c r="AN14" s="102" t="s">
        <v>28</v>
      </c>
      <c r="AO14" s="102" t="s">
        <v>29</v>
      </c>
      <c r="AP14" s="102" t="s">
        <v>57</v>
      </c>
      <c r="AQ14" s="165" t="s">
        <v>2305</v>
      </c>
      <c r="AR14" s="102" t="s">
        <v>58</v>
      </c>
      <c r="AS14" s="102" t="s">
        <v>26</v>
      </c>
      <c r="AT14" s="102" t="s">
        <v>26</v>
      </c>
      <c r="AU14" s="102" t="s">
        <v>32</v>
      </c>
      <c r="AV14" s="102" t="s">
        <v>33</v>
      </c>
      <c r="AW14" s="102" t="s">
        <v>34</v>
      </c>
      <c r="AX14" s="102" t="s">
        <v>35</v>
      </c>
      <c r="AY14" s="102" t="s">
        <v>57</v>
      </c>
      <c r="AZ14" s="102" t="s">
        <v>36</v>
      </c>
      <c r="BA14" s="102" t="s">
        <v>58</v>
      </c>
      <c r="BB14" s="102" t="s">
        <v>26</v>
      </c>
      <c r="BC14" s="102" t="s">
        <v>38</v>
      </c>
      <c r="BD14" s="102" t="s">
        <v>59</v>
      </c>
      <c r="BE14" s="102" t="s">
        <v>40</v>
      </c>
      <c r="BF14" s="102" t="s">
        <v>60</v>
      </c>
      <c r="BG14" s="165">
        <v>2071</v>
      </c>
      <c r="BH14" s="102" t="s">
        <v>61</v>
      </c>
      <c r="BI14" s="102">
        <v>1</v>
      </c>
      <c r="BJ14" s="102" t="s">
        <v>62</v>
      </c>
      <c r="BK14" s="102" t="s">
        <v>2</v>
      </c>
      <c r="BL14" s="102">
        <v>5</v>
      </c>
    </row>
    <row r="15" spans="1:120">
      <c r="A15" s="160">
        <v>502.50599999999997</v>
      </c>
      <c r="B15" s="27">
        <v>5</v>
      </c>
      <c r="C15" s="27" t="s">
        <v>2147</v>
      </c>
      <c r="E15" s="27" t="s">
        <v>2148</v>
      </c>
      <c r="L15" s="27" t="s">
        <v>2149</v>
      </c>
      <c r="M15" s="27" t="s">
        <v>2149</v>
      </c>
      <c r="T15" s="146">
        <v>980019248</v>
      </c>
      <c r="AC15"/>
      <c r="AD15"/>
      <c r="AE15"/>
      <c r="AF15" s="37" t="str">
        <f t="shared" si="0"/>
        <v>KOMBI_C             MIB_I</v>
      </c>
      <c r="AG15" t="s">
        <v>2150</v>
      </c>
      <c r="AH15">
        <v>3</v>
      </c>
      <c r="AI15">
        <v>5</v>
      </c>
      <c r="AJ15" t="s">
        <v>56</v>
      </c>
      <c r="AK15" t="s">
        <v>26</v>
      </c>
      <c r="AL15" t="s">
        <v>27</v>
      </c>
      <c r="AM15" t="s">
        <v>27</v>
      </c>
      <c r="AN15" t="s">
        <v>28</v>
      </c>
      <c r="AO15" t="s">
        <v>29</v>
      </c>
      <c r="AP15" t="s">
        <v>57</v>
      </c>
      <c r="AQ15" s="146" t="s">
        <v>2305</v>
      </c>
      <c r="AR15" t="s">
        <v>58</v>
      </c>
      <c r="AS15" t="s">
        <v>26</v>
      </c>
      <c r="AT15" t="s">
        <v>26</v>
      </c>
      <c r="AU15" t="s">
        <v>32</v>
      </c>
      <c r="AV15" t="s">
        <v>33</v>
      </c>
      <c r="AW15" t="s">
        <v>34</v>
      </c>
      <c r="AX15" t="s">
        <v>35</v>
      </c>
      <c r="AY15" t="s">
        <v>57</v>
      </c>
      <c r="AZ15" t="s">
        <v>36</v>
      </c>
      <c r="BA15" t="s">
        <v>58</v>
      </c>
      <c r="BB15" t="s">
        <v>26</v>
      </c>
      <c r="BC15" t="s">
        <v>38</v>
      </c>
      <c r="BD15" t="s">
        <v>59</v>
      </c>
      <c r="BE15" t="s">
        <v>40</v>
      </c>
      <c r="BF15" t="s">
        <v>60</v>
      </c>
      <c r="BG15" s="146">
        <v>2071</v>
      </c>
      <c r="BH15" t="s">
        <v>61</v>
      </c>
      <c r="BI15">
        <v>1</v>
      </c>
      <c r="BJ15" t="s">
        <v>62</v>
      </c>
      <c r="BK15" t="s">
        <v>2</v>
      </c>
      <c r="BL15">
        <v>5</v>
      </c>
    </row>
    <row r="16" spans="1:120">
      <c r="A16" s="47"/>
      <c r="B16" s="27">
        <v>11</v>
      </c>
      <c r="C16" s="27" t="s">
        <v>2147</v>
      </c>
      <c r="E16" s="27" t="s">
        <v>2148</v>
      </c>
      <c r="AC16"/>
      <c r="AD16"/>
      <c r="AE16"/>
      <c r="AF16" s="37" t="str">
        <f t="shared" si="0"/>
        <v>KS_CPL_D            KS_CPM_E</v>
      </c>
      <c r="AG16" t="s">
        <v>2150</v>
      </c>
      <c r="AH16">
        <v>3</v>
      </c>
      <c r="AI16">
        <v>11</v>
      </c>
      <c r="AJ16" t="s">
        <v>63</v>
      </c>
      <c r="AK16" t="s">
        <v>26</v>
      </c>
      <c r="AL16" t="s">
        <v>64</v>
      </c>
      <c r="AM16" t="s">
        <v>64</v>
      </c>
      <c r="AN16" t="s">
        <v>65</v>
      </c>
      <c r="AO16" t="s">
        <v>66</v>
      </c>
      <c r="AP16">
        <v>3</v>
      </c>
      <c r="AQ16" t="s">
        <v>67</v>
      </c>
      <c r="AR16" t="s">
        <v>68</v>
      </c>
      <c r="AS16" t="s">
        <v>26</v>
      </c>
      <c r="AT16" t="s">
        <v>26</v>
      </c>
      <c r="AU16" t="s">
        <v>69</v>
      </c>
      <c r="AV16" t="s">
        <v>69</v>
      </c>
      <c r="AW16" t="s">
        <v>70</v>
      </c>
      <c r="AX16" t="s">
        <v>71</v>
      </c>
      <c r="AY16">
        <v>15</v>
      </c>
      <c r="AZ16" t="s">
        <v>72</v>
      </c>
      <c r="BA16" t="s">
        <v>73</v>
      </c>
      <c r="BB16" t="s">
        <v>26</v>
      </c>
      <c r="BC16" t="s">
        <v>74</v>
      </c>
      <c r="BD16" t="s">
        <v>75</v>
      </c>
      <c r="BE16" t="s">
        <v>26</v>
      </c>
      <c r="BF16" t="s">
        <v>26</v>
      </c>
      <c r="BG16">
        <v>1551</v>
      </c>
      <c r="BH16" t="s">
        <v>76</v>
      </c>
      <c r="BI16">
        <v>0.35</v>
      </c>
      <c r="BJ16" t="s">
        <v>77</v>
      </c>
      <c r="BK16" t="s">
        <v>2</v>
      </c>
      <c r="BL16">
        <v>11</v>
      </c>
    </row>
    <row r="17" spans="1:64">
      <c r="A17" s="47"/>
      <c r="B17" s="27">
        <v>13</v>
      </c>
      <c r="C17" s="27" t="s">
        <v>2147</v>
      </c>
      <c r="E17" s="27" t="s">
        <v>2148</v>
      </c>
      <c r="AC17"/>
      <c r="AD17"/>
      <c r="AE17"/>
      <c r="AF17" s="37" t="str">
        <f t="shared" si="0"/>
        <v>KS_CPM_E            KS_CPL_D</v>
      </c>
      <c r="AG17" t="s">
        <v>2150</v>
      </c>
      <c r="AH17">
        <v>3</v>
      </c>
      <c r="AI17">
        <v>13</v>
      </c>
      <c r="AJ17" t="s">
        <v>78</v>
      </c>
      <c r="AK17" t="s">
        <v>26</v>
      </c>
      <c r="AL17" t="s">
        <v>69</v>
      </c>
      <c r="AM17" t="s">
        <v>69</v>
      </c>
      <c r="AN17" t="s">
        <v>70</v>
      </c>
      <c r="AO17" t="s">
        <v>71</v>
      </c>
      <c r="AP17">
        <v>14</v>
      </c>
      <c r="AQ17" t="s">
        <v>72</v>
      </c>
      <c r="AR17" t="s">
        <v>68</v>
      </c>
      <c r="AS17" t="s">
        <v>26</v>
      </c>
      <c r="AT17" t="s">
        <v>26</v>
      </c>
      <c r="AU17" t="s">
        <v>64</v>
      </c>
      <c r="AV17" t="s">
        <v>64</v>
      </c>
      <c r="AW17" t="s">
        <v>65</v>
      </c>
      <c r="AX17" t="s">
        <v>66</v>
      </c>
      <c r="AY17">
        <v>4</v>
      </c>
      <c r="AZ17" t="s">
        <v>67</v>
      </c>
      <c r="BA17" t="s">
        <v>68</v>
      </c>
      <c r="BB17" t="s">
        <v>26</v>
      </c>
      <c r="BC17" t="s">
        <v>79</v>
      </c>
      <c r="BD17" t="s">
        <v>75</v>
      </c>
      <c r="BE17" t="s">
        <v>26</v>
      </c>
      <c r="BF17" t="s">
        <v>26</v>
      </c>
      <c r="BG17">
        <v>1551</v>
      </c>
      <c r="BH17" t="s">
        <v>80</v>
      </c>
      <c r="BI17">
        <v>0.35</v>
      </c>
      <c r="BJ17" t="s">
        <v>81</v>
      </c>
      <c r="BK17" t="s">
        <v>2</v>
      </c>
      <c r="BL17">
        <v>13</v>
      </c>
    </row>
    <row r="18" spans="1:64">
      <c r="A18" s="47"/>
      <c r="B18" s="27">
        <v>14</v>
      </c>
      <c r="C18" s="27" t="s">
        <v>2147</v>
      </c>
      <c r="E18" s="27" t="s">
        <v>2148</v>
      </c>
      <c r="AC18"/>
      <c r="AD18"/>
      <c r="AE18"/>
      <c r="AF18" s="37" t="str">
        <f t="shared" si="0"/>
        <v>KS_CPM_E            KS_CPL_D</v>
      </c>
      <c r="AG18" t="s">
        <v>2150</v>
      </c>
      <c r="AH18">
        <v>3</v>
      </c>
      <c r="AI18">
        <v>14</v>
      </c>
      <c r="AJ18" t="s">
        <v>82</v>
      </c>
      <c r="AK18" t="s">
        <v>26</v>
      </c>
      <c r="AL18" t="s">
        <v>69</v>
      </c>
      <c r="AM18" t="s">
        <v>69</v>
      </c>
      <c r="AN18" t="s">
        <v>70</v>
      </c>
      <c r="AO18" t="s">
        <v>71</v>
      </c>
      <c r="AP18">
        <v>13</v>
      </c>
      <c r="AQ18" t="s">
        <v>72</v>
      </c>
      <c r="AR18" t="s">
        <v>68</v>
      </c>
      <c r="AS18" t="s">
        <v>26</v>
      </c>
      <c r="AT18" t="s">
        <v>26</v>
      </c>
      <c r="AU18" t="s">
        <v>64</v>
      </c>
      <c r="AV18" t="s">
        <v>64</v>
      </c>
      <c r="AW18" t="s">
        <v>65</v>
      </c>
      <c r="AX18" t="s">
        <v>66</v>
      </c>
      <c r="AY18">
        <v>5</v>
      </c>
      <c r="AZ18" t="s">
        <v>67</v>
      </c>
      <c r="BA18" t="s">
        <v>68</v>
      </c>
      <c r="BB18" t="s">
        <v>26</v>
      </c>
      <c r="BC18" t="s">
        <v>83</v>
      </c>
      <c r="BD18" t="s">
        <v>75</v>
      </c>
      <c r="BE18" t="s">
        <v>26</v>
      </c>
      <c r="BF18" t="s">
        <v>26</v>
      </c>
      <c r="BG18">
        <v>1551</v>
      </c>
      <c r="BH18" t="s">
        <v>84</v>
      </c>
      <c r="BI18">
        <v>0.35</v>
      </c>
      <c r="BJ18" t="s">
        <v>85</v>
      </c>
      <c r="BK18" t="s">
        <v>2</v>
      </c>
      <c r="BL18">
        <v>14</v>
      </c>
    </row>
    <row r="19" spans="1:64">
      <c r="A19" s="160">
        <v>502.50599999999997</v>
      </c>
      <c r="B19" s="27">
        <v>15</v>
      </c>
      <c r="C19" s="27" t="s">
        <v>2147</v>
      </c>
      <c r="E19" s="27" t="s">
        <v>2151</v>
      </c>
      <c r="F19" s="27" t="s">
        <v>2152</v>
      </c>
      <c r="G19" s="27" t="s">
        <v>89</v>
      </c>
      <c r="K19" s="27" t="s">
        <v>2153</v>
      </c>
      <c r="L19" s="27" t="s">
        <v>2154</v>
      </c>
      <c r="M19" s="27" t="s">
        <v>2148</v>
      </c>
      <c r="AC19"/>
      <c r="AD19"/>
      <c r="AE19" t="s">
        <v>2155</v>
      </c>
      <c r="AF19" s="37" t="str">
        <f t="shared" si="0"/>
        <v>SP_CANLK            KS_CPL_B</v>
      </c>
      <c r="AG19" t="s">
        <v>2150</v>
      </c>
      <c r="AH19">
        <v>3</v>
      </c>
      <c r="AI19">
        <v>15</v>
      </c>
      <c r="AJ19" t="s">
        <v>86</v>
      </c>
      <c r="AK19" t="s">
        <v>26</v>
      </c>
      <c r="AL19" t="s">
        <v>26</v>
      </c>
      <c r="AM19" t="s">
        <v>87</v>
      </c>
      <c r="AN19" t="s">
        <v>88</v>
      </c>
      <c r="AO19" t="s">
        <v>89</v>
      </c>
      <c r="AP19">
        <v>1</v>
      </c>
      <c r="AQ19" s="146" t="s">
        <v>2306</v>
      </c>
      <c r="AR19" t="s">
        <v>26</v>
      </c>
      <c r="AS19" t="s">
        <v>26</v>
      </c>
      <c r="AT19" t="s">
        <v>26</v>
      </c>
      <c r="AU19" t="s">
        <v>64</v>
      </c>
      <c r="AV19" t="s">
        <v>64</v>
      </c>
      <c r="AW19" t="s">
        <v>91</v>
      </c>
      <c r="AX19" t="s">
        <v>92</v>
      </c>
      <c r="AY19">
        <v>1</v>
      </c>
      <c r="AZ19" t="s">
        <v>93</v>
      </c>
      <c r="BA19" t="s">
        <v>68</v>
      </c>
      <c r="BB19" t="s">
        <v>26</v>
      </c>
      <c r="BC19" t="s">
        <v>94</v>
      </c>
      <c r="BD19" t="s">
        <v>75</v>
      </c>
      <c r="BE19" t="s">
        <v>95</v>
      </c>
      <c r="BF19" t="s">
        <v>96</v>
      </c>
      <c r="BG19" s="146">
        <v>2595</v>
      </c>
      <c r="BH19" t="s">
        <v>97</v>
      </c>
      <c r="BI19">
        <v>0.35</v>
      </c>
      <c r="BJ19" t="s">
        <v>98</v>
      </c>
      <c r="BK19" t="s">
        <v>2</v>
      </c>
      <c r="BL19">
        <v>15</v>
      </c>
    </row>
    <row r="20" spans="1:64">
      <c r="A20" s="160">
        <v>502.50599999999997</v>
      </c>
      <c r="B20" s="27">
        <v>16</v>
      </c>
      <c r="C20" s="27" t="s">
        <v>2147</v>
      </c>
      <c r="E20" s="27" t="s">
        <v>2151</v>
      </c>
      <c r="F20" s="27" t="s">
        <v>2152</v>
      </c>
      <c r="G20" s="27" t="s">
        <v>102</v>
      </c>
      <c r="K20" s="27" t="s">
        <v>2153</v>
      </c>
      <c r="L20" s="27" t="s">
        <v>2154</v>
      </c>
      <c r="M20" s="27" t="s">
        <v>2148</v>
      </c>
      <c r="AC20"/>
      <c r="AD20"/>
      <c r="AE20" t="s">
        <v>2155</v>
      </c>
      <c r="AF20" s="37" t="str">
        <f t="shared" si="0"/>
        <v>SP_CANHK            KS_CPL_B</v>
      </c>
      <c r="AG20" t="s">
        <v>2150</v>
      </c>
      <c r="AH20">
        <v>3</v>
      </c>
      <c r="AI20">
        <v>16</v>
      </c>
      <c r="AJ20" t="s">
        <v>99</v>
      </c>
      <c r="AK20" t="s">
        <v>26</v>
      </c>
      <c r="AL20" t="s">
        <v>26</v>
      </c>
      <c r="AM20" t="s">
        <v>100</v>
      </c>
      <c r="AN20" t="s">
        <v>101</v>
      </c>
      <c r="AO20" t="s">
        <v>102</v>
      </c>
      <c r="AP20">
        <v>1</v>
      </c>
      <c r="AQ20" s="146" t="s">
        <v>2306</v>
      </c>
      <c r="AR20" t="s">
        <v>26</v>
      </c>
      <c r="AS20" t="s">
        <v>26</v>
      </c>
      <c r="AT20" t="s">
        <v>26</v>
      </c>
      <c r="AU20" t="s">
        <v>64</v>
      </c>
      <c r="AV20" t="s">
        <v>64</v>
      </c>
      <c r="AW20" t="s">
        <v>91</v>
      </c>
      <c r="AX20" t="s">
        <v>92</v>
      </c>
      <c r="AY20">
        <v>2</v>
      </c>
      <c r="AZ20" t="s">
        <v>93</v>
      </c>
      <c r="BA20" t="s">
        <v>68</v>
      </c>
      <c r="BB20" t="s">
        <v>26</v>
      </c>
      <c r="BC20" t="s">
        <v>94</v>
      </c>
      <c r="BD20" t="s">
        <v>75</v>
      </c>
      <c r="BE20" t="s">
        <v>95</v>
      </c>
      <c r="BF20" t="s">
        <v>103</v>
      </c>
      <c r="BG20" s="146">
        <v>2595</v>
      </c>
      <c r="BH20" t="s">
        <v>104</v>
      </c>
      <c r="BI20">
        <v>0.35</v>
      </c>
      <c r="BJ20" t="s">
        <v>105</v>
      </c>
      <c r="BK20" t="s">
        <v>2</v>
      </c>
      <c r="BL20">
        <v>16</v>
      </c>
    </row>
    <row r="21" spans="1:64">
      <c r="A21" s="47"/>
      <c r="B21" s="27">
        <v>17</v>
      </c>
      <c r="C21" s="27" t="s">
        <v>2147</v>
      </c>
      <c r="E21" s="27" t="s">
        <v>2148</v>
      </c>
      <c r="AC21"/>
      <c r="AD21"/>
      <c r="AE21"/>
      <c r="AF21" s="37" t="str">
        <f t="shared" si="0"/>
        <v>HSK103P             LEL11A</v>
      </c>
      <c r="AG21" t="s">
        <v>2150</v>
      </c>
      <c r="AH21">
        <v>3</v>
      </c>
      <c r="AI21">
        <v>17</v>
      </c>
      <c r="AJ21" t="s">
        <v>106</v>
      </c>
      <c r="AK21" t="s">
        <v>26</v>
      </c>
      <c r="AL21" t="s">
        <v>107</v>
      </c>
      <c r="AM21" t="s">
        <v>107</v>
      </c>
      <c r="AN21" t="s">
        <v>108</v>
      </c>
      <c r="AO21" t="s">
        <v>109</v>
      </c>
      <c r="AP21">
        <v>1</v>
      </c>
      <c r="AQ21" t="s">
        <v>110</v>
      </c>
      <c r="AR21" t="s">
        <v>111</v>
      </c>
      <c r="AS21" t="s">
        <v>26</v>
      </c>
      <c r="AT21" t="s">
        <v>26</v>
      </c>
      <c r="AU21" t="s">
        <v>112</v>
      </c>
      <c r="AV21" t="s">
        <v>112</v>
      </c>
      <c r="AW21" t="s">
        <v>113</v>
      </c>
      <c r="AX21" t="s">
        <v>114</v>
      </c>
      <c r="AY21">
        <v>1</v>
      </c>
      <c r="AZ21" t="s">
        <v>115</v>
      </c>
      <c r="BA21" t="s">
        <v>111</v>
      </c>
      <c r="BB21" t="s">
        <v>26</v>
      </c>
      <c r="BC21" t="s">
        <v>116</v>
      </c>
      <c r="BD21" t="s">
        <v>75</v>
      </c>
      <c r="BE21" t="s">
        <v>26</v>
      </c>
      <c r="BF21" t="s">
        <v>26</v>
      </c>
      <c r="BG21">
        <v>609</v>
      </c>
      <c r="BH21" t="s">
        <v>76</v>
      </c>
      <c r="BI21">
        <v>0.5</v>
      </c>
      <c r="BJ21" t="s">
        <v>117</v>
      </c>
      <c r="BK21" t="s">
        <v>2</v>
      </c>
      <c r="BL21">
        <v>17</v>
      </c>
    </row>
    <row r="22" spans="1:64">
      <c r="A22" s="47">
        <v>500</v>
      </c>
      <c r="B22" s="27">
        <v>19</v>
      </c>
      <c r="C22" s="27" t="s">
        <v>2147</v>
      </c>
      <c r="E22" s="27" t="s">
        <v>2148</v>
      </c>
      <c r="AC22"/>
      <c r="AD22"/>
      <c r="AE22"/>
      <c r="AF22" s="37" t="str">
        <f t="shared" si="0"/>
        <v>LEL11A              KS_CPL_C</v>
      </c>
      <c r="AG22" t="s">
        <v>2150</v>
      </c>
      <c r="AH22">
        <v>3</v>
      </c>
      <c r="AI22">
        <v>19</v>
      </c>
      <c r="AJ22" t="s">
        <v>118</v>
      </c>
      <c r="AK22" t="s">
        <v>26</v>
      </c>
      <c r="AL22" t="s">
        <v>112</v>
      </c>
      <c r="AM22" t="s">
        <v>112</v>
      </c>
      <c r="AN22" t="s">
        <v>113</v>
      </c>
      <c r="AO22" t="s">
        <v>114</v>
      </c>
      <c r="AP22">
        <v>2</v>
      </c>
      <c r="AQ22" t="s">
        <v>115</v>
      </c>
      <c r="AR22" t="s">
        <v>111</v>
      </c>
      <c r="AS22" t="s">
        <v>26</v>
      </c>
      <c r="AT22" t="s">
        <v>26</v>
      </c>
      <c r="AU22" t="s">
        <v>64</v>
      </c>
      <c r="AV22" t="s">
        <v>64</v>
      </c>
      <c r="AW22" t="s">
        <v>119</v>
      </c>
      <c r="AX22" t="s">
        <v>120</v>
      </c>
      <c r="AY22">
        <v>9</v>
      </c>
      <c r="AZ22" s="146" t="s">
        <v>191</v>
      </c>
      <c r="BA22" t="s">
        <v>122</v>
      </c>
      <c r="BB22" t="s">
        <v>26</v>
      </c>
      <c r="BC22" t="s">
        <v>123</v>
      </c>
      <c r="BD22" t="s">
        <v>75</v>
      </c>
      <c r="BE22" t="s">
        <v>26</v>
      </c>
      <c r="BF22" t="s">
        <v>26</v>
      </c>
      <c r="BG22" s="146">
        <v>1213</v>
      </c>
      <c r="BH22" t="s">
        <v>124</v>
      </c>
      <c r="BI22">
        <v>0.5</v>
      </c>
      <c r="BJ22" t="s">
        <v>125</v>
      </c>
      <c r="BK22" t="s">
        <v>2</v>
      </c>
      <c r="BL22">
        <v>19</v>
      </c>
    </row>
    <row r="23" spans="1:64">
      <c r="A23" s="47">
        <v>506</v>
      </c>
      <c r="B23" s="27">
        <v>23</v>
      </c>
      <c r="C23" s="27" t="s">
        <v>2147</v>
      </c>
      <c r="E23" s="27" t="s">
        <v>2148</v>
      </c>
      <c r="AC23"/>
      <c r="AD23"/>
      <c r="AE23"/>
      <c r="AF23" s="37" t="str">
        <f t="shared" si="0"/>
        <v>KS_CPM_F            KS_CPR_B</v>
      </c>
      <c r="AG23" t="s">
        <v>2150</v>
      </c>
      <c r="AH23">
        <v>3</v>
      </c>
      <c r="AI23">
        <v>23</v>
      </c>
      <c r="AJ23" t="s">
        <v>126</v>
      </c>
      <c r="AK23" t="s">
        <v>26</v>
      </c>
      <c r="AL23" t="s">
        <v>69</v>
      </c>
      <c r="AM23" t="s">
        <v>127</v>
      </c>
      <c r="AN23" t="s">
        <v>128</v>
      </c>
      <c r="AO23" t="s">
        <v>129</v>
      </c>
      <c r="AP23">
        <v>10</v>
      </c>
      <c r="AQ23" t="s">
        <v>130</v>
      </c>
      <c r="AR23" t="s">
        <v>122</v>
      </c>
      <c r="AS23" t="s">
        <v>26</v>
      </c>
      <c r="AT23" t="s">
        <v>26</v>
      </c>
      <c r="AU23" t="s">
        <v>131</v>
      </c>
      <c r="AV23" t="s">
        <v>131</v>
      </c>
      <c r="AW23" t="s">
        <v>132</v>
      </c>
      <c r="AX23" t="s">
        <v>133</v>
      </c>
      <c r="AY23">
        <v>9</v>
      </c>
      <c r="AZ23" t="s">
        <v>134</v>
      </c>
      <c r="BA23" t="s">
        <v>122</v>
      </c>
      <c r="BB23" t="s">
        <v>26</v>
      </c>
      <c r="BC23" t="s">
        <v>135</v>
      </c>
      <c r="BD23" t="s">
        <v>75</v>
      </c>
      <c r="BE23" t="s">
        <v>26</v>
      </c>
      <c r="BF23" t="s">
        <v>26</v>
      </c>
      <c r="BG23" s="146">
        <v>1713</v>
      </c>
      <c r="BH23" t="s">
        <v>136</v>
      </c>
      <c r="BI23">
        <v>0.5</v>
      </c>
      <c r="BJ23" t="s">
        <v>137</v>
      </c>
      <c r="BK23" t="s">
        <v>2</v>
      </c>
      <c r="BL23">
        <v>23</v>
      </c>
    </row>
    <row r="24" spans="1:64">
      <c r="A24" s="47">
        <v>506</v>
      </c>
      <c r="B24" s="27">
        <v>24</v>
      </c>
      <c r="C24" s="27" t="s">
        <v>2147</v>
      </c>
      <c r="E24" s="27" t="s">
        <v>2148</v>
      </c>
      <c r="AC24"/>
      <c r="AD24"/>
      <c r="AE24"/>
      <c r="AF24" s="37" t="str">
        <f t="shared" si="0"/>
        <v>KS_CPM_F            KS_CPR_B</v>
      </c>
      <c r="AG24" t="s">
        <v>2150</v>
      </c>
      <c r="AH24">
        <v>3</v>
      </c>
      <c r="AI24">
        <v>24</v>
      </c>
      <c r="AJ24" t="s">
        <v>138</v>
      </c>
      <c r="AK24" t="s">
        <v>26</v>
      </c>
      <c r="AL24" t="s">
        <v>69</v>
      </c>
      <c r="AM24" t="s">
        <v>127</v>
      </c>
      <c r="AN24" t="s">
        <v>128</v>
      </c>
      <c r="AO24" t="s">
        <v>129</v>
      </c>
      <c r="AP24">
        <v>12</v>
      </c>
      <c r="AQ24" t="s">
        <v>130</v>
      </c>
      <c r="AR24" t="s">
        <v>122</v>
      </c>
      <c r="AS24" t="s">
        <v>26</v>
      </c>
      <c r="AT24" t="s">
        <v>26</v>
      </c>
      <c r="AU24" t="s">
        <v>131</v>
      </c>
      <c r="AV24" t="s">
        <v>131</v>
      </c>
      <c r="AW24" t="s">
        <v>132</v>
      </c>
      <c r="AX24" t="s">
        <v>133</v>
      </c>
      <c r="AY24">
        <v>10</v>
      </c>
      <c r="AZ24" t="s">
        <v>134</v>
      </c>
      <c r="BA24" t="s">
        <v>122</v>
      </c>
      <c r="BB24" t="s">
        <v>26</v>
      </c>
      <c r="BC24" t="s">
        <v>139</v>
      </c>
      <c r="BD24" t="s">
        <v>75</v>
      </c>
      <c r="BE24" t="s">
        <v>26</v>
      </c>
      <c r="BF24" t="s">
        <v>26</v>
      </c>
      <c r="BG24" s="146">
        <v>1713</v>
      </c>
      <c r="BH24" t="s">
        <v>140</v>
      </c>
      <c r="BI24">
        <v>0.5</v>
      </c>
      <c r="BJ24" t="s">
        <v>141</v>
      </c>
      <c r="BK24" t="s">
        <v>2</v>
      </c>
      <c r="BL24">
        <v>24</v>
      </c>
    </row>
    <row r="25" spans="1:64">
      <c r="A25" s="47">
        <v>500</v>
      </c>
      <c r="B25" s="27">
        <v>26</v>
      </c>
      <c r="C25" s="27" t="s">
        <v>2147</v>
      </c>
      <c r="E25" s="27" t="s">
        <v>2148</v>
      </c>
      <c r="AC25"/>
      <c r="AD25"/>
      <c r="AE25"/>
      <c r="AF25" s="37" t="str">
        <f t="shared" si="0"/>
        <v>KS_CPM_A            KS_CPL_C</v>
      </c>
      <c r="AG25" t="s">
        <v>2150</v>
      </c>
      <c r="AH25">
        <v>3</v>
      </c>
      <c r="AI25">
        <v>26</v>
      </c>
      <c r="AJ25" t="s">
        <v>142</v>
      </c>
      <c r="AK25" t="s">
        <v>26</v>
      </c>
      <c r="AL25" t="s">
        <v>69</v>
      </c>
      <c r="AM25" t="s">
        <v>69</v>
      </c>
      <c r="AN25" t="s">
        <v>143</v>
      </c>
      <c r="AO25" t="s">
        <v>144</v>
      </c>
      <c r="AP25">
        <v>8</v>
      </c>
      <c r="AQ25" t="s">
        <v>145</v>
      </c>
      <c r="AR25" t="s">
        <v>122</v>
      </c>
      <c r="AS25" t="s">
        <v>26</v>
      </c>
      <c r="AT25" t="s">
        <v>26</v>
      </c>
      <c r="AU25" t="s">
        <v>64</v>
      </c>
      <c r="AV25" t="s">
        <v>64</v>
      </c>
      <c r="AW25" t="s">
        <v>119</v>
      </c>
      <c r="AX25" t="s">
        <v>120</v>
      </c>
      <c r="AY25">
        <v>4</v>
      </c>
      <c r="AZ25" s="146" t="s">
        <v>191</v>
      </c>
      <c r="BA25" t="s">
        <v>122</v>
      </c>
      <c r="BB25" t="s">
        <v>26</v>
      </c>
      <c r="BC25" t="s">
        <v>146</v>
      </c>
      <c r="BD25" t="s">
        <v>75</v>
      </c>
      <c r="BE25" t="s">
        <v>26</v>
      </c>
      <c r="BF25" t="s">
        <v>26</v>
      </c>
      <c r="BG25" s="146">
        <v>1583</v>
      </c>
      <c r="BH25" t="s">
        <v>147</v>
      </c>
      <c r="BI25">
        <v>0.5</v>
      </c>
      <c r="BJ25" t="s">
        <v>148</v>
      </c>
      <c r="BK25" t="s">
        <v>2</v>
      </c>
      <c r="BL25">
        <v>26</v>
      </c>
    </row>
    <row r="26" spans="1:64">
      <c r="A26" s="47"/>
      <c r="B26" s="27">
        <v>27</v>
      </c>
      <c r="C26" s="27" t="s">
        <v>2147</v>
      </c>
      <c r="E26" s="27" t="s">
        <v>2148</v>
      </c>
      <c r="AC26"/>
      <c r="AD26"/>
      <c r="AE26"/>
      <c r="AF26" s="37" t="str">
        <f t="shared" si="0"/>
        <v>STO52A              MIB_D</v>
      </c>
      <c r="AG26" t="s">
        <v>2150</v>
      </c>
      <c r="AH26">
        <v>3</v>
      </c>
      <c r="AI26">
        <v>27</v>
      </c>
      <c r="AJ26" t="s">
        <v>149</v>
      </c>
      <c r="AK26" t="s">
        <v>26</v>
      </c>
      <c r="AL26" t="s">
        <v>150</v>
      </c>
      <c r="AM26" t="s">
        <v>150</v>
      </c>
      <c r="AN26" t="s">
        <v>151</v>
      </c>
      <c r="AO26" t="s">
        <v>152</v>
      </c>
      <c r="AP26" t="s">
        <v>153</v>
      </c>
      <c r="AQ26" t="s">
        <v>154</v>
      </c>
      <c r="AR26" t="s">
        <v>155</v>
      </c>
      <c r="AS26" t="s">
        <v>26</v>
      </c>
      <c r="AT26" t="s">
        <v>26</v>
      </c>
      <c r="AU26" t="s">
        <v>32</v>
      </c>
      <c r="AV26" t="s">
        <v>33</v>
      </c>
      <c r="AW26" t="s">
        <v>156</v>
      </c>
      <c r="AX26" t="s">
        <v>157</v>
      </c>
      <c r="AY26">
        <v>18</v>
      </c>
      <c r="AZ26" t="s">
        <v>158</v>
      </c>
      <c r="BA26" t="s">
        <v>159</v>
      </c>
      <c r="BB26" t="s">
        <v>26</v>
      </c>
      <c r="BC26" t="s">
        <v>160</v>
      </c>
      <c r="BD26" t="s">
        <v>75</v>
      </c>
      <c r="BE26" t="s">
        <v>26</v>
      </c>
      <c r="BF26" t="s">
        <v>26</v>
      </c>
      <c r="BG26">
        <v>1851</v>
      </c>
      <c r="BH26" t="s">
        <v>161</v>
      </c>
      <c r="BI26">
        <v>2.5</v>
      </c>
      <c r="BJ26" t="s">
        <v>162</v>
      </c>
      <c r="BK26" t="s">
        <v>2</v>
      </c>
      <c r="BL26">
        <v>27</v>
      </c>
    </row>
    <row r="27" spans="1:64">
      <c r="A27" s="47">
        <v>506</v>
      </c>
      <c r="B27" s="27">
        <v>29</v>
      </c>
      <c r="C27" s="27" t="s">
        <v>2147</v>
      </c>
      <c r="E27" s="27" t="s">
        <v>2148</v>
      </c>
      <c r="AC27"/>
      <c r="AD27"/>
      <c r="AE27"/>
      <c r="AF27" s="37" t="str">
        <f t="shared" si="0"/>
        <v>KS_CPR_A            KS_CPM_A</v>
      </c>
      <c r="AG27" t="s">
        <v>2150</v>
      </c>
      <c r="AH27">
        <v>3</v>
      </c>
      <c r="AI27">
        <v>29</v>
      </c>
      <c r="AJ27" t="s">
        <v>163</v>
      </c>
      <c r="AK27" t="s">
        <v>26</v>
      </c>
      <c r="AL27" t="s">
        <v>131</v>
      </c>
      <c r="AM27" t="s">
        <v>131</v>
      </c>
      <c r="AN27" t="s">
        <v>164</v>
      </c>
      <c r="AO27" t="s">
        <v>165</v>
      </c>
      <c r="AP27">
        <v>1</v>
      </c>
      <c r="AQ27" t="s">
        <v>166</v>
      </c>
      <c r="AR27" t="s">
        <v>122</v>
      </c>
      <c r="AS27" t="s">
        <v>26</v>
      </c>
      <c r="AT27" t="s">
        <v>26</v>
      </c>
      <c r="AU27" t="s">
        <v>69</v>
      </c>
      <c r="AV27" t="s">
        <v>69</v>
      </c>
      <c r="AW27" t="s">
        <v>143</v>
      </c>
      <c r="AX27" t="s">
        <v>144</v>
      </c>
      <c r="AY27">
        <v>10</v>
      </c>
      <c r="AZ27" t="s">
        <v>145</v>
      </c>
      <c r="BA27" t="s">
        <v>122</v>
      </c>
      <c r="BB27" t="s">
        <v>26</v>
      </c>
      <c r="BC27" t="s">
        <v>167</v>
      </c>
      <c r="BD27" t="s">
        <v>75</v>
      </c>
      <c r="BE27" t="s">
        <v>26</v>
      </c>
      <c r="BF27" t="s">
        <v>26</v>
      </c>
      <c r="BG27" s="146">
        <v>1507</v>
      </c>
      <c r="BH27" t="s">
        <v>168</v>
      </c>
      <c r="BI27">
        <v>0.5</v>
      </c>
      <c r="BJ27" t="s">
        <v>169</v>
      </c>
      <c r="BK27" t="s">
        <v>2</v>
      </c>
      <c r="BL27">
        <v>29</v>
      </c>
    </row>
    <row r="28" spans="1:64">
      <c r="A28" s="47">
        <v>506</v>
      </c>
      <c r="B28" s="27">
        <v>30</v>
      </c>
      <c r="C28" s="27" t="s">
        <v>2147</v>
      </c>
      <c r="E28" s="27" t="s">
        <v>2148</v>
      </c>
      <c r="AC28"/>
      <c r="AD28"/>
      <c r="AE28"/>
      <c r="AF28" s="37" t="str">
        <f t="shared" si="0"/>
        <v>KS_CPM_A            KS_CPR_A</v>
      </c>
      <c r="AG28" t="s">
        <v>2150</v>
      </c>
      <c r="AH28">
        <v>3</v>
      </c>
      <c r="AI28">
        <v>30</v>
      </c>
      <c r="AJ28" t="s">
        <v>170</v>
      </c>
      <c r="AK28" t="s">
        <v>26</v>
      </c>
      <c r="AL28" t="s">
        <v>69</v>
      </c>
      <c r="AM28" t="s">
        <v>69</v>
      </c>
      <c r="AN28" t="s">
        <v>143</v>
      </c>
      <c r="AO28" t="s">
        <v>144</v>
      </c>
      <c r="AP28">
        <v>3</v>
      </c>
      <c r="AQ28" t="s">
        <v>145</v>
      </c>
      <c r="AR28" t="s">
        <v>122</v>
      </c>
      <c r="AS28" t="s">
        <v>26</v>
      </c>
      <c r="AT28" t="s">
        <v>26</v>
      </c>
      <c r="AU28" t="s">
        <v>131</v>
      </c>
      <c r="AV28" t="s">
        <v>131</v>
      </c>
      <c r="AW28" t="s">
        <v>164</v>
      </c>
      <c r="AX28" t="s">
        <v>165</v>
      </c>
      <c r="AY28">
        <v>2</v>
      </c>
      <c r="AZ28" t="s">
        <v>166</v>
      </c>
      <c r="BA28" t="s">
        <v>122</v>
      </c>
      <c r="BB28" t="s">
        <v>26</v>
      </c>
      <c r="BC28" t="s">
        <v>171</v>
      </c>
      <c r="BD28" t="s">
        <v>75</v>
      </c>
      <c r="BE28" t="s">
        <v>26</v>
      </c>
      <c r="BF28" t="s">
        <v>26</v>
      </c>
      <c r="BG28" s="146">
        <v>1507</v>
      </c>
      <c r="BH28" t="s">
        <v>172</v>
      </c>
      <c r="BI28">
        <v>0.5</v>
      </c>
      <c r="BJ28" t="s">
        <v>173</v>
      </c>
      <c r="BK28" t="s">
        <v>2</v>
      </c>
      <c r="BL28">
        <v>30</v>
      </c>
    </row>
    <row r="29" spans="1:64">
      <c r="A29" s="47"/>
      <c r="B29" s="27">
        <v>31</v>
      </c>
      <c r="C29" s="27" t="s">
        <v>2147</v>
      </c>
      <c r="E29" s="27" t="s">
        <v>2148</v>
      </c>
      <c r="F29" s="27" t="s">
        <v>2152</v>
      </c>
      <c r="G29" s="27" t="s">
        <v>176</v>
      </c>
      <c r="K29" s="27" t="s">
        <v>2153</v>
      </c>
      <c r="L29" s="27" t="s">
        <v>2148</v>
      </c>
      <c r="M29" s="27" t="s">
        <v>2154</v>
      </c>
      <c r="AC29"/>
      <c r="AD29"/>
      <c r="AE29"/>
      <c r="AF29" s="37" t="str">
        <f t="shared" si="0"/>
        <v>MIB_D               SP_MB34_B1</v>
      </c>
      <c r="AG29" t="s">
        <v>2150</v>
      </c>
      <c r="AH29">
        <v>3</v>
      </c>
      <c r="AI29">
        <v>31</v>
      </c>
      <c r="AJ29" t="s">
        <v>174</v>
      </c>
      <c r="AK29" t="s">
        <v>26</v>
      </c>
      <c r="AL29" t="s">
        <v>32</v>
      </c>
      <c r="AM29" t="s">
        <v>33</v>
      </c>
      <c r="AN29" t="s">
        <v>156</v>
      </c>
      <c r="AO29" t="s">
        <v>157</v>
      </c>
      <c r="AP29">
        <v>17</v>
      </c>
      <c r="AQ29" t="s">
        <v>158</v>
      </c>
      <c r="AR29" t="s">
        <v>159</v>
      </c>
      <c r="AS29" t="s">
        <v>26</v>
      </c>
      <c r="AT29" t="s">
        <v>26</v>
      </c>
      <c r="AU29" t="s">
        <v>26</v>
      </c>
      <c r="AV29" t="s">
        <v>175</v>
      </c>
      <c r="AW29">
        <v>335</v>
      </c>
      <c r="AX29" t="s">
        <v>176</v>
      </c>
      <c r="AY29">
        <v>1</v>
      </c>
      <c r="AZ29" t="s">
        <v>177</v>
      </c>
      <c r="BA29" t="s">
        <v>26</v>
      </c>
      <c r="BB29" t="s">
        <v>26</v>
      </c>
      <c r="BC29" t="s">
        <v>178</v>
      </c>
      <c r="BD29" t="s">
        <v>75</v>
      </c>
      <c r="BE29" t="s">
        <v>26</v>
      </c>
      <c r="BF29" t="s">
        <v>26</v>
      </c>
      <c r="BG29">
        <v>886</v>
      </c>
      <c r="BH29" t="s">
        <v>42</v>
      </c>
      <c r="BI29">
        <v>2.5</v>
      </c>
      <c r="BJ29" t="s">
        <v>179</v>
      </c>
      <c r="BK29" t="s">
        <v>2</v>
      </c>
      <c r="BL29">
        <v>31</v>
      </c>
    </row>
    <row r="30" spans="1:64">
      <c r="A30" s="47">
        <v>506</v>
      </c>
      <c r="B30" s="27">
        <v>32</v>
      </c>
      <c r="C30" s="27" t="s">
        <v>2147</v>
      </c>
      <c r="E30" s="27" t="s">
        <v>2148</v>
      </c>
      <c r="AC30"/>
      <c r="AD30"/>
      <c r="AE30"/>
      <c r="AF30" s="37" t="str">
        <f t="shared" si="0"/>
        <v>KS_CPR_A            KS_CPM_A</v>
      </c>
      <c r="AG30" t="s">
        <v>2150</v>
      </c>
      <c r="AH30">
        <v>3</v>
      </c>
      <c r="AI30">
        <v>32</v>
      </c>
      <c r="AJ30" t="s">
        <v>180</v>
      </c>
      <c r="AK30" t="s">
        <v>26</v>
      </c>
      <c r="AL30" t="s">
        <v>131</v>
      </c>
      <c r="AM30" t="s">
        <v>131</v>
      </c>
      <c r="AN30" t="s">
        <v>164</v>
      </c>
      <c r="AO30" t="s">
        <v>165</v>
      </c>
      <c r="AP30">
        <v>4</v>
      </c>
      <c r="AQ30" t="s">
        <v>166</v>
      </c>
      <c r="AR30" t="s">
        <v>122</v>
      </c>
      <c r="AS30" t="s">
        <v>26</v>
      </c>
      <c r="AT30" t="s">
        <v>26</v>
      </c>
      <c r="AU30" t="s">
        <v>69</v>
      </c>
      <c r="AV30" t="s">
        <v>69</v>
      </c>
      <c r="AW30" t="s">
        <v>143</v>
      </c>
      <c r="AX30" t="s">
        <v>144</v>
      </c>
      <c r="AY30">
        <v>9</v>
      </c>
      <c r="AZ30" t="s">
        <v>145</v>
      </c>
      <c r="BA30" t="s">
        <v>122</v>
      </c>
      <c r="BB30" t="s">
        <v>26</v>
      </c>
      <c r="BC30" t="s">
        <v>181</v>
      </c>
      <c r="BD30" t="s">
        <v>75</v>
      </c>
      <c r="BE30" t="s">
        <v>26</v>
      </c>
      <c r="BF30" t="s">
        <v>26</v>
      </c>
      <c r="BG30" s="146">
        <v>1507</v>
      </c>
      <c r="BH30" t="s">
        <v>182</v>
      </c>
      <c r="BI30">
        <v>0.5</v>
      </c>
      <c r="BJ30" t="s">
        <v>183</v>
      </c>
      <c r="BK30" t="s">
        <v>2</v>
      </c>
      <c r="BL30">
        <v>32</v>
      </c>
    </row>
    <row r="31" spans="1:64">
      <c r="A31" s="47">
        <v>500</v>
      </c>
      <c r="B31" s="27">
        <v>33</v>
      </c>
      <c r="C31" s="27" t="s">
        <v>2147</v>
      </c>
      <c r="E31" s="27" t="s">
        <v>2148</v>
      </c>
      <c r="AC31"/>
      <c r="AD31"/>
      <c r="AE31"/>
      <c r="AF31" s="37" t="str">
        <f t="shared" si="0"/>
        <v>KS_CPM_F            KS_CPL_C</v>
      </c>
      <c r="AG31" t="s">
        <v>2150</v>
      </c>
      <c r="AH31">
        <v>3</v>
      </c>
      <c r="AI31">
        <v>33</v>
      </c>
      <c r="AJ31" t="s">
        <v>184</v>
      </c>
      <c r="AK31" t="s">
        <v>26</v>
      </c>
      <c r="AL31" t="s">
        <v>69</v>
      </c>
      <c r="AM31" t="s">
        <v>127</v>
      </c>
      <c r="AN31" t="s">
        <v>128</v>
      </c>
      <c r="AO31" t="s">
        <v>129</v>
      </c>
      <c r="AP31">
        <v>2</v>
      </c>
      <c r="AQ31" t="s">
        <v>130</v>
      </c>
      <c r="AR31" t="s">
        <v>68</v>
      </c>
      <c r="AS31" t="s">
        <v>26</v>
      </c>
      <c r="AT31" t="s">
        <v>26</v>
      </c>
      <c r="AU31" t="s">
        <v>64</v>
      </c>
      <c r="AV31" t="s">
        <v>64</v>
      </c>
      <c r="AW31" t="s">
        <v>119</v>
      </c>
      <c r="AX31" t="s">
        <v>120</v>
      </c>
      <c r="AY31">
        <v>11</v>
      </c>
      <c r="AZ31" s="146" t="s">
        <v>191</v>
      </c>
      <c r="BA31" t="s">
        <v>68</v>
      </c>
      <c r="BB31" t="s">
        <v>26</v>
      </c>
      <c r="BC31" t="s">
        <v>185</v>
      </c>
      <c r="BD31" t="s">
        <v>75</v>
      </c>
      <c r="BE31" t="s">
        <v>26</v>
      </c>
      <c r="BF31" t="s">
        <v>26</v>
      </c>
      <c r="BG31" s="146">
        <v>1304</v>
      </c>
      <c r="BH31" t="s">
        <v>186</v>
      </c>
      <c r="BI31">
        <v>0.35</v>
      </c>
      <c r="BJ31" t="s">
        <v>187</v>
      </c>
      <c r="BK31" t="s">
        <v>2</v>
      </c>
      <c r="BL31">
        <v>33</v>
      </c>
    </row>
    <row r="32" spans="1:64">
      <c r="A32" s="47">
        <v>500.50599999999997</v>
      </c>
      <c r="B32" s="27">
        <v>34</v>
      </c>
      <c r="C32" s="27" t="s">
        <v>2147</v>
      </c>
      <c r="E32" s="27" t="s">
        <v>2148</v>
      </c>
      <c r="AC32"/>
      <c r="AD32"/>
      <c r="AE32"/>
      <c r="AF32" s="37" t="str">
        <f t="shared" si="0"/>
        <v>KS_CPR_C            KS_CPM_F</v>
      </c>
      <c r="AG32" t="s">
        <v>2150</v>
      </c>
      <c r="AH32">
        <v>3</v>
      </c>
      <c r="AI32">
        <v>34</v>
      </c>
      <c r="AJ32" t="s">
        <v>188</v>
      </c>
      <c r="AK32" t="s">
        <v>26</v>
      </c>
      <c r="AL32" t="s">
        <v>131</v>
      </c>
      <c r="AM32" t="s">
        <v>131</v>
      </c>
      <c r="AN32" t="s">
        <v>189</v>
      </c>
      <c r="AO32" t="s">
        <v>190</v>
      </c>
      <c r="AP32">
        <v>17</v>
      </c>
      <c r="AQ32" s="146" t="s">
        <v>121</v>
      </c>
      <c r="AR32" t="s">
        <v>73</v>
      </c>
      <c r="AS32" t="s">
        <v>26</v>
      </c>
      <c r="AT32" t="s">
        <v>26</v>
      </c>
      <c r="AU32" t="s">
        <v>69</v>
      </c>
      <c r="AV32" t="s">
        <v>127</v>
      </c>
      <c r="AW32" t="s">
        <v>128</v>
      </c>
      <c r="AX32" t="s">
        <v>129</v>
      </c>
      <c r="AY32">
        <v>3</v>
      </c>
      <c r="AZ32" t="s">
        <v>130</v>
      </c>
      <c r="BA32" t="s">
        <v>68</v>
      </c>
      <c r="BB32" t="s">
        <v>26</v>
      </c>
      <c r="BC32" t="s">
        <v>192</v>
      </c>
      <c r="BD32" t="s">
        <v>75</v>
      </c>
      <c r="BE32" t="s">
        <v>26</v>
      </c>
      <c r="BF32" t="s">
        <v>26</v>
      </c>
      <c r="BG32" s="146">
        <v>1593</v>
      </c>
      <c r="BH32" t="s">
        <v>193</v>
      </c>
      <c r="BI32">
        <v>0.35</v>
      </c>
      <c r="BJ32" t="s">
        <v>194</v>
      </c>
      <c r="BK32" t="s">
        <v>2</v>
      </c>
      <c r="BL32">
        <v>34</v>
      </c>
    </row>
    <row r="33" spans="1:64">
      <c r="A33" s="47"/>
      <c r="B33" s="27">
        <v>38</v>
      </c>
      <c r="C33" s="27" t="s">
        <v>2147</v>
      </c>
      <c r="E33" s="27" t="s">
        <v>2148</v>
      </c>
      <c r="F33" s="27" t="s">
        <v>2156</v>
      </c>
      <c r="G33" s="27" t="s">
        <v>197</v>
      </c>
      <c r="K33" s="27" t="s">
        <v>2153</v>
      </c>
      <c r="L33" s="27" t="s">
        <v>2154</v>
      </c>
      <c r="M33" s="27" t="s">
        <v>2148</v>
      </c>
      <c r="AC33"/>
      <c r="AD33"/>
      <c r="AE33"/>
      <c r="AF33" s="37" t="str">
        <f t="shared" si="0"/>
        <v>SP_MB32_B2          KS_CPM_A</v>
      </c>
      <c r="AG33" t="s">
        <v>2150</v>
      </c>
      <c r="AH33">
        <v>3</v>
      </c>
      <c r="AI33">
        <v>38</v>
      </c>
      <c r="AJ33" t="s">
        <v>195</v>
      </c>
      <c r="AK33" t="s">
        <v>26</v>
      </c>
      <c r="AL33" t="s">
        <v>26</v>
      </c>
      <c r="AM33" t="s">
        <v>196</v>
      </c>
      <c r="AN33">
        <v>135</v>
      </c>
      <c r="AO33" t="s">
        <v>197</v>
      </c>
      <c r="AP33">
        <v>1</v>
      </c>
      <c r="AQ33" t="s">
        <v>198</v>
      </c>
      <c r="AR33" t="s">
        <v>26</v>
      </c>
      <c r="AS33" t="s">
        <v>26</v>
      </c>
      <c r="AT33" t="s">
        <v>26</v>
      </c>
      <c r="AU33" t="s">
        <v>69</v>
      </c>
      <c r="AV33" t="s">
        <v>69</v>
      </c>
      <c r="AW33" t="s">
        <v>143</v>
      </c>
      <c r="AX33" t="s">
        <v>144</v>
      </c>
      <c r="AY33">
        <v>14</v>
      </c>
      <c r="AZ33" t="s">
        <v>145</v>
      </c>
      <c r="BA33" t="s">
        <v>122</v>
      </c>
      <c r="BB33" t="s">
        <v>26</v>
      </c>
      <c r="BC33" t="s">
        <v>199</v>
      </c>
      <c r="BD33" t="s">
        <v>75</v>
      </c>
      <c r="BE33" t="s">
        <v>26</v>
      </c>
      <c r="BF33" t="s">
        <v>26</v>
      </c>
      <c r="BG33">
        <v>408</v>
      </c>
      <c r="BH33" t="s">
        <v>42</v>
      </c>
      <c r="BI33">
        <v>0.75</v>
      </c>
      <c r="BJ33" t="s">
        <v>200</v>
      </c>
      <c r="BK33" t="s">
        <v>2</v>
      </c>
      <c r="BL33">
        <v>38</v>
      </c>
    </row>
    <row r="34" spans="1:64">
      <c r="A34" s="160">
        <v>502.50599999999997</v>
      </c>
      <c r="B34" s="27">
        <v>39</v>
      </c>
      <c r="C34" s="27" t="s">
        <v>2147</v>
      </c>
      <c r="E34" s="27" t="s">
        <v>2148</v>
      </c>
      <c r="AC34"/>
      <c r="AD34"/>
      <c r="AE34" s="169" t="s">
        <v>2355</v>
      </c>
      <c r="AF34" s="37" t="str">
        <f t="shared" si="0"/>
        <v>SMLS02P             KS_CPL_B</v>
      </c>
      <c r="AG34" t="s">
        <v>2150</v>
      </c>
      <c r="AH34">
        <v>3</v>
      </c>
      <c r="AI34">
        <v>39</v>
      </c>
      <c r="AJ34" t="s">
        <v>201</v>
      </c>
      <c r="AK34" t="s">
        <v>26</v>
      </c>
      <c r="AL34" t="s">
        <v>202</v>
      </c>
      <c r="AM34" t="s">
        <v>202</v>
      </c>
      <c r="AN34" t="s">
        <v>203</v>
      </c>
      <c r="AO34" t="s">
        <v>204</v>
      </c>
      <c r="AP34">
        <v>3</v>
      </c>
      <c r="AQ34" t="s">
        <v>205</v>
      </c>
      <c r="AR34" t="s">
        <v>68</v>
      </c>
      <c r="AS34" t="s">
        <v>26</v>
      </c>
      <c r="AT34" t="s">
        <v>26</v>
      </c>
      <c r="AU34" t="s">
        <v>64</v>
      </c>
      <c r="AV34" t="s">
        <v>64</v>
      </c>
      <c r="AW34" t="s">
        <v>91</v>
      </c>
      <c r="AX34" t="s">
        <v>92</v>
      </c>
      <c r="AY34">
        <v>6</v>
      </c>
      <c r="AZ34" t="s">
        <v>93</v>
      </c>
      <c r="BA34" t="s">
        <v>68</v>
      </c>
      <c r="BB34" t="s">
        <v>26</v>
      </c>
      <c r="BC34" t="s">
        <v>206</v>
      </c>
      <c r="BD34" t="s">
        <v>75</v>
      </c>
      <c r="BE34" t="s">
        <v>207</v>
      </c>
      <c r="BF34" t="s">
        <v>208</v>
      </c>
      <c r="BG34" s="146">
        <v>2922</v>
      </c>
      <c r="BH34" t="s">
        <v>209</v>
      </c>
      <c r="BI34">
        <v>0.35</v>
      </c>
      <c r="BJ34" t="s">
        <v>210</v>
      </c>
      <c r="BK34" t="s">
        <v>2</v>
      </c>
      <c r="BL34">
        <v>39</v>
      </c>
    </row>
    <row r="35" spans="1:64">
      <c r="A35" s="160">
        <v>502.50599999999997</v>
      </c>
      <c r="B35" s="27">
        <v>40</v>
      </c>
      <c r="C35" s="27" t="s">
        <v>2147</v>
      </c>
      <c r="E35" s="27" t="s">
        <v>2148</v>
      </c>
      <c r="AC35"/>
      <c r="AD35"/>
      <c r="AE35" s="169" t="s">
        <v>2355</v>
      </c>
      <c r="AF35" s="37" t="str">
        <f t="shared" si="0"/>
        <v>SMLS02P             KS_CPL_B</v>
      </c>
      <c r="AG35" t="s">
        <v>2150</v>
      </c>
      <c r="AH35">
        <v>3</v>
      </c>
      <c r="AI35">
        <v>40</v>
      </c>
      <c r="AJ35" t="s">
        <v>211</v>
      </c>
      <c r="AK35" t="s">
        <v>26</v>
      </c>
      <c r="AL35" t="s">
        <v>202</v>
      </c>
      <c r="AM35" t="s">
        <v>202</v>
      </c>
      <c r="AN35" t="s">
        <v>203</v>
      </c>
      <c r="AO35" t="s">
        <v>204</v>
      </c>
      <c r="AP35">
        <v>4</v>
      </c>
      <c r="AQ35" t="s">
        <v>205</v>
      </c>
      <c r="AR35" t="s">
        <v>68</v>
      </c>
      <c r="AS35" t="s">
        <v>26</v>
      </c>
      <c r="AT35" t="s">
        <v>26</v>
      </c>
      <c r="AU35" t="s">
        <v>64</v>
      </c>
      <c r="AV35" t="s">
        <v>64</v>
      </c>
      <c r="AW35" t="s">
        <v>91</v>
      </c>
      <c r="AX35" t="s">
        <v>92</v>
      </c>
      <c r="AY35">
        <v>7</v>
      </c>
      <c r="AZ35" t="s">
        <v>93</v>
      </c>
      <c r="BA35" t="s">
        <v>68</v>
      </c>
      <c r="BB35" t="s">
        <v>26</v>
      </c>
      <c r="BC35" t="s">
        <v>206</v>
      </c>
      <c r="BD35" t="s">
        <v>75</v>
      </c>
      <c r="BE35" t="s">
        <v>207</v>
      </c>
      <c r="BF35" t="s">
        <v>45</v>
      </c>
      <c r="BG35" s="146">
        <v>2922</v>
      </c>
      <c r="BH35" t="s">
        <v>46</v>
      </c>
      <c r="BI35">
        <v>0.35</v>
      </c>
      <c r="BJ35" t="s">
        <v>212</v>
      </c>
      <c r="BK35" t="s">
        <v>2</v>
      </c>
      <c r="BL35">
        <v>40</v>
      </c>
    </row>
    <row r="36" spans="1:64">
      <c r="A36" s="160">
        <v>502.50599999999997</v>
      </c>
      <c r="B36" s="27">
        <v>41</v>
      </c>
      <c r="C36" s="27" t="s">
        <v>2147</v>
      </c>
      <c r="E36" s="27" t="s">
        <v>2148</v>
      </c>
      <c r="AC36"/>
      <c r="AD36"/>
      <c r="AE36"/>
      <c r="AF36" s="37" t="str">
        <f t="shared" si="0"/>
        <v>SMLS02P             KS_CPL_B</v>
      </c>
      <c r="AG36" t="s">
        <v>2150</v>
      </c>
      <c r="AH36">
        <v>3</v>
      </c>
      <c r="AI36">
        <v>41</v>
      </c>
      <c r="AJ36" t="s">
        <v>213</v>
      </c>
      <c r="AK36" t="s">
        <v>26</v>
      </c>
      <c r="AL36" t="s">
        <v>202</v>
      </c>
      <c r="AM36" t="s">
        <v>202</v>
      </c>
      <c r="AN36" t="s">
        <v>203</v>
      </c>
      <c r="AO36" t="s">
        <v>204</v>
      </c>
      <c r="AP36">
        <v>2</v>
      </c>
      <c r="AQ36" t="s">
        <v>205</v>
      </c>
      <c r="AR36" t="s">
        <v>214</v>
      </c>
      <c r="AS36" t="s">
        <v>26</v>
      </c>
      <c r="AT36" t="s">
        <v>26</v>
      </c>
      <c r="AU36" t="s">
        <v>64</v>
      </c>
      <c r="AV36" t="s">
        <v>64</v>
      </c>
      <c r="AW36" t="s">
        <v>91</v>
      </c>
      <c r="AX36" t="s">
        <v>92</v>
      </c>
      <c r="AY36">
        <v>5</v>
      </c>
      <c r="AZ36" t="s">
        <v>93</v>
      </c>
      <c r="BA36" t="s">
        <v>214</v>
      </c>
      <c r="BB36" t="s">
        <v>26</v>
      </c>
      <c r="BC36" t="s">
        <v>215</v>
      </c>
      <c r="BD36" t="s">
        <v>75</v>
      </c>
      <c r="BE36" t="s">
        <v>26</v>
      </c>
      <c r="BF36" t="s">
        <v>26</v>
      </c>
      <c r="BG36" s="146">
        <v>2922</v>
      </c>
      <c r="BH36" t="s">
        <v>216</v>
      </c>
      <c r="BI36">
        <v>0.13</v>
      </c>
      <c r="BJ36" t="s">
        <v>217</v>
      </c>
      <c r="BK36" t="s">
        <v>2</v>
      </c>
      <c r="BL36">
        <v>41</v>
      </c>
    </row>
    <row r="37" spans="1:64">
      <c r="A37" s="160">
        <v>502</v>
      </c>
      <c r="B37" s="27">
        <v>42</v>
      </c>
      <c r="C37" s="27" t="s">
        <v>2147</v>
      </c>
      <c r="E37" s="27" t="s">
        <v>2148</v>
      </c>
      <c r="AC37"/>
      <c r="AD37"/>
      <c r="AE37"/>
      <c r="AF37" s="37" t="str">
        <f t="shared" ref="AF37:AF68" si="1" xml:space="preserve"> AO37 &amp; REPT(" ",20-LEN(AO37)) &amp; AX37</f>
        <v>STO51A              SMLS02P</v>
      </c>
      <c r="AG37" t="s">
        <v>2150</v>
      </c>
      <c r="AH37">
        <v>3</v>
      </c>
      <c r="AI37">
        <v>42</v>
      </c>
      <c r="AJ37" t="s">
        <v>218</v>
      </c>
      <c r="AK37" t="s">
        <v>26</v>
      </c>
      <c r="AL37" t="s">
        <v>219</v>
      </c>
      <c r="AM37" t="s">
        <v>219</v>
      </c>
      <c r="AN37" t="s">
        <v>220</v>
      </c>
      <c r="AO37" t="s">
        <v>221</v>
      </c>
      <c r="AP37" t="s">
        <v>222</v>
      </c>
      <c r="AQ37" t="s">
        <v>223</v>
      </c>
      <c r="AR37" t="s">
        <v>224</v>
      </c>
      <c r="AS37" t="s">
        <v>26</v>
      </c>
      <c r="AT37" t="s">
        <v>26</v>
      </c>
      <c r="AU37" t="s">
        <v>202</v>
      </c>
      <c r="AV37" t="s">
        <v>202</v>
      </c>
      <c r="AW37" t="s">
        <v>203</v>
      </c>
      <c r="AX37" t="s">
        <v>204</v>
      </c>
      <c r="AY37">
        <v>1</v>
      </c>
      <c r="AZ37" t="s">
        <v>205</v>
      </c>
      <c r="BA37" t="s">
        <v>225</v>
      </c>
      <c r="BB37" t="s">
        <v>26</v>
      </c>
      <c r="BC37" t="s">
        <v>226</v>
      </c>
      <c r="BD37" t="s">
        <v>75</v>
      </c>
      <c r="BE37" t="s">
        <v>26</v>
      </c>
      <c r="BF37" t="s">
        <v>26</v>
      </c>
      <c r="BG37" s="146">
        <v>911</v>
      </c>
      <c r="BH37" t="s">
        <v>227</v>
      </c>
      <c r="BI37">
        <v>1</v>
      </c>
      <c r="BJ37" t="s">
        <v>228</v>
      </c>
      <c r="BK37" t="s">
        <v>2</v>
      </c>
      <c r="BL37">
        <v>42</v>
      </c>
    </row>
    <row r="38" spans="1:64">
      <c r="A38" s="47"/>
      <c r="B38" s="27">
        <v>43</v>
      </c>
      <c r="C38" s="27" t="s">
        <v>2147</v>
      </c>
      <c r="E38" s="27" t="s">
        <v>2148</v>
      </c>
      <c r="AC38"/>
      <c r="AD38"/>
      <c r="AE38"/>
      <c r="AF38" s="37" t="str">
        <f t="shared" si="1"/>
        <v>KS_CPL_D            KS_CPM_D</v>
      </c>
      <c r="AG38" t="s">
        <v>2150</v>
      </c>
      <c r="AH38">
        <v>3</v>
      </c>
      <c r="AI38">
        <v>43</v>
      </c>
      <c r="AJ38" t="s">
        <v>229</v>
      </c>
      <c r="AK38" t="s">
        <v>26</v>
      </c>
      <c r="AL38" t="s">
        <v>64</v>
      </c>
      <c r="AM38" t="s">
        <v>64</v>
      </c>
      <c r="AN38" t="s">
        <v>65</v>
      </c>
      <c r="AO38" t="s">
        <v>66</v>
      </c>
      <c r="AP38">
        <v>17</v>
      </c>
      <c r="AQ38" t="s">
        <v>67</v>
      </c>
      <c r="AR38" t="s">
        <v>230</v>
      </c>
      <c r="AS38" t="s">
        <v>26</v>
      </c>
      <c r="AT38" t="s">
        <v>26</v>
      </c>
      <c r="AU38" t="s">
        <v>69</v>
      </c>
      <c r="AV38" t="s">
        <v>69</v>
      </c>
      <c r="AW38" t="s">
        <v>231</v>
      </c>
      <c r="AX38" t="s">
        <v>232</v>
      </c>
      <c r="AY38">
        <v>17</v>
      </c>
      <c r="AZ38" t="s">
        <v>233</v>
      </c>
      <c r="BA38" t="s">
        <v>230</v>
      </c>
      <c r="BB38" t="s">
        <v>26</v>
      </c>
      <c r="BC38" t="s">
        <v>234</v>
      </c>
      <c r="BD38" t="s">
        <v>75</v>
      </c>
      <c r="BE38" t="s">
        <v>26</v>
      </c>
      <c r="BF38" t="s">
        <v>26</v>
      </c>
      <c r="BG38">
        <v>1342</v>
      </c>
      <c r="BH38" t="s">
        <v>42</v>
      </c>
      <c r="BI38">
        <v>1.5</v>
      </c>
      <c r="BJ38" t="s">
        <v>235</v>
      </c>
      <c r="BK38" t="s">
        <v>2</v>
      </c>
      <c r="BL38">
        <v>43</v>
      </c>
    </row>
    <row r="39" spans="1:64">
      <c r="A39" s="47"/>
      <c r="B39" s="27">
        <v>44</v>
      </c>
      <c r="C39" s="27" t="s">
        <v>2147</v>
      </c>
      <c r="E39" s="27" t="s">
        <v>2148</v>
      </c>
      <c r="AC39"/>
      <c r="AD39"/>
      <c r="AE39"/>
      <c r="AF39" s="37" t="str">
        <f t="shared" si="1"/>
        <v>KS_CPL_D            KS_CPM_E</v>
      </c>
      <c r="AG39" t="s">
        <v>2150</v>
      </c>
      <c r="AH39">
        <v>3</v>
      </c>
      <c r="AI39">
        <v>44</v>
      </c>
      <c r="AJ39" t="s">
        <v>236</v>
      </c>
      <c r="AK39" t="s">
        <v>26</v>
      </c>
      <c r="AL39" t="s">
        <v>64</v>
      </c>
      <c r="AM39" t="s">
        <v>64</v>
      </c>
      <c r="AN39" t="s">
        <v>65</v>
      </c>
      <c r="AO39" t="s">
        <v>66</v>
      </c>
      <c r="AP39">
        <v>9</v>
      </c>
      <c r="AQ39" t="s">
        <v>67</v>
      </c>
      <c r="AR39" t="s">
        <v>68</v>
      </c>
      <c r="AS39" t="s">
        <v>26</v>
      </c>
      <c r="AT39" t="s">
        <v>26</v>
      </c>
      <c r="AU39" t="s">
        <v>69</v>
      </c>
      <c r="AV39" t="s">
        <v>69</v>
      </c>
      <c r="AW39" t="s">
        <v>70</v>
      </c>
      <c r="AX39" t="s">
        <v>71</v>
      </c>
      <c r="AY39">
        <v>9</v>
      </c>
      <c r="AZ39" t="s">
        <v>72</v>
      </c>
      <c r="BA39" t="s">
        <v>68</v>
      </c>
      <c r="BB39" t="s">
        <v>26</v>
      </c>
      <c r="BC39" t="s">
        <v>237</v>
      </c>
      <c r="BD39" t="s">
        <v>75</v>
      </c>
      <c r="BE39" t="s">
        <v>26</v>
      </c>
      <c r="BF39" t="s">
        <v>26</v>
      </c>
      <c r="BG39">
        <v>1551</v>
      </c>
      <c r="BH39" t="s">
        <v>147</v>
      </c>
      <c r="BI39">
        <v>0.35</v>
      </c>
      <c r="BJ39" t="s">
        <v>238</v>
      </c>
      <c r="BK39" t="s">
        <v>2</v>
      </c>
      <c r="BL39">
        <v>44</v>
      </c>
    </row>
    <row r="40" spans="1:64">
      <c r="A40" s="47">
        <v>506</v>
      </c>
      <c r="B40" s="27">
        <v>45</v>
      </c>
      <c r="C40" s="27" t="s">
        <v>2147</v>
      </c>
      <c r="E40" s="27" t="s">
        <v>2148</v>
      </c>
      <c r="AC40"/>
      <c r="AD40"/>
      <c r="AE40" t="s">
        <v>2155</v>
      </c>
      <c r="AF40" s="37" t="str">
        <f t="shared" si="1"/>
        <v>MIB_E               KS_CPR_A</v>
      </c>
      <c r="AG40" t="s">
        <v>2150</v>
      </c>
      <c r="AH40">
        <v>3</v>
      </c>
      <c r="AI40">
        <v>45</v>
      </c>
      <c r="AJ40" t="s">
        <v>239</v>
      </c>
      <c r="AK40" t="s">
        <v>26</v>
      </c>
      <c r="AL40" t="s">
        <v>32</v>
      </c>
      <c r="AM40" t="s">
        <v>33</v>
      </c>
      <c r="AN40" t="s">
        <v>240</v>
      </c>
      <c r="AO40" t="s">
        <v>241</v>
      </c>
      <c r="AP40">
        <v>6</v>
      </c>
      <c r="AQ40" t="s">
        <v>242</v>
      </c>
      <c r="AR40" t="s">
        <v>243</v>
      </c>
      <c r="AS40" t="s">
        <v>26</v>
      </c>
      <c r="AT40" t="s">
        <v>26</v>
      </c>
      <c r="AU40" t="s">
        <v>131</v>
      </c>
      <c r="AV40" t="s">
        <v>131</v>
      </c>
      <c r="AW40" t="s">
        <v>164</v>
      </c>
      <c r="AX40" t="s">
        <v>165</v>
      </c>
      <c r="AY40">
        <v>12</v>
      </c>
      <c r="AZ40" t="s">
        <v>166</v>
      </c>
      <c r="BA40" t="s">
        <v>68</v>
      </c>
      <c r="BB40" t="s">
        <v>26</v>
      </c>
      <c r="BC40" t="s">
        <v>244</v>
      </c>
      <c r="BD40" t="s">
        <v>75</v>
      </c>
      <c r="BE40" t="s">
        <v>245</v>
      </c>
      <c r="BF40" t="s">
        <v>246</v>
      </c>
      <c r="BG40" s="146">
        <v>1863</v>
      </c>
      <c r="BH40" t="s">
        <v>136</v>
      </c>
      <c r="BI40">
        <v>0.35</v>
      </c>
      <c r="BJ40" t="s">
        <v>247</v>
      </c>
      <c r="BK40" t="s">
        <v>2</v>
      </c>
      <c r="BL40">
        <v>45</v>
      </c>
    </row>
    <row r="41" spans="1:64">
      <c r="A41" s="47">
        <v>506</v>
      </c>
      <c r="B41" s="27">
        <v>46</v>
      </c>
      <c r="C41" s="27" t="s">
        <v>2147</v>
      </c>
      <c r="E41" s="27" t="s">
        <v>2148</v>
      </c>
      <c r="AC41"/>
      <c r="AD41"/>
      <c r="AE41" t="s">
        <v>2155</v>
      </c>
      <c r="AF41" s="37" t="str">
        <f t="shared" si="1"/>
        <v>MIB_E               KS_CPR_A</v>
      </c>
      <c r="AG41" t="s">
        <v>2150</v>
      </c>
      <c r="AH41">
        <v>3</v>
      </c>
      <c r="AI41">
        <v>46</v>
      </c>
      <c r="AJ41" t="s">
        <v>248</v>
      </c>
      <c r="AK41" t="s">
        <v>26</v>
      </c>
      <c r="AL41" t="s">
        <v>32</v>
      </c>
      <c r="AM41" t="s">
        <v>33</v>
      </c>
      <c r="AN41" t="s">
        <v>240</v>
      </c>
      <c r="AO41" t="s">
        <v>241</v>
      </c>
      <c r="AP41">
        <v>12</v>
      </c>
      <c r="AQ41" t="s">
        <v>242</v>
      </c>
      <c r="AR41" t="s">
        <v>243</v>
      </c>
      <c r="AS41" t="s">
        <v>26</v>
      </c>
      <c r="AT41" t="s">
        <v>26</v>
      </c>
      <c r="AU41" t="s">
        <v>131</v>
      </c>
      <c r="AV41" t="s">
        <v>131</v>
      </c>
      <c r="AW41" t="s">
        <v>164</v>
      </c>
      <c r="AX41" t="s">
        <v>165</v>
      </c>
      <c r="AY41">
        <v>13</v>
      </c>
      <c r="AZ41" t="s">
        <v>166</v>
      </c>
      <c r="BA41" t="s">
        <v>68</v>
      </c>
      <c r="BB41" t="s">
        <v>26</v>
      </c>
      <c r="BC41" t="s">
        <v>244</v>
      </c>
      <c r="BD41" t="s">
        <v>75</v>
      </c>
      <c r="BE41" t="s">
        <v>245</v>
      </c>
      <c r="BF41" t="s">
        <v>96</v>
      </c>
      <c r="BG41" s="146">
        <v>1863</v>
      </c>
      <c r="BH41" t="s">
        <v>97</v>
      </c>
      <c r="BI41">
        <v>0.35</v>
      </c>
      <c r="BJ41" t="s">
        <v>249</v>
      </c>
      <c r="BK41" t="s">
        <v>2</v>
      </c>
      <c r="BL41">
        <v>46</v>
      </c>
    </row>
    <row r="42" spans="1:64">
      <c r="A42" s="47"/>
      <c r="B42" s="27">
        <v>50</v>
      </c>
      <c r="C42" s="27" t="s">
        <v>2147</v>
      </c>
      <c r="E42" s="27" t="s">
        <v>2148</v>
      </c>
      <c r="AC42"/>
      <c r="AD42"/>
      <c r="AE42"/>
      <c r="AF42" s="37" t="str">
        <f t="shared" si="1"/>
        <v>KS_CPM_D            KS_CPL_D</v>
      </c>
      <c r="AG42" t="s">
        <v>2150</v>
      </c>
      <c r="AH42">
        <v>3</v>
      </c>
      <c r="AI42">
        <v>50</v>
      </c>
      <c r="AJ42" t="s">
        <v>250</v>
      </c>
      <c r="AK42" t="s">
        <v>26</v>
      </c>
      <c r="AL42" t="s">
        <v>69</v>
      </c>
      <c r="AM42" t="s">
        <v>69</v>
      </c>
      <c r="AN42" t="s">
        <v>231</v>
      </c>
      <c r="AO42" t="s">
        <v>232</v>
      </c>
      <c r="AP42">
        <v>15</v>
      </c>
      <c r="AQ42" t="s">
        <v>233</v>
      </c>
      <c r="AR42" t="s">
        <v>230</v>
      </c>
      <c r="AS42" t="s">
        <v>26</v>
      </c>
      <c r="AT42" t="s">
        <v>26</v>
      </c>
      <c r="AU42" t="s">
        <v>64</v>
      </c>
      <c r="AV42" t="s">
        <v>64</v>
      </c>
      <c r="AW42" t="s">
        <v>65</v>
      </c>
      <c r="AX42" t="s">
        <v>66</v>
      </c>
      <c r="AY42">
        <v>15</v>
      </c>
      <c r="AZ42" t="s">
        <v>67</v>
      </c>
      <c r="BA42" t="s">
        <v>230</v>
      </c>
      <c r="BB42" t="s">
        <v>26</v>
      </c>
      <c r="BC42" t="s">
        <v>251</v>
      </c>
      <c r="BD42" t="s">
        <v>75</v>
      </c>
      <c r="BE42" t="s">
        <v>26</v>
      </c>
      <c r="BF42" t="s">
        <v>26</v>
      </c>
      <c r="BG42">
        <v>1342</v>
      </c>
      <c r="BH42" t="s">
        <v>161</v>
      </c>
      <c r="BI42">
        <v>1.5</v>
      </c>
      <c r="BJ42" t="s">
        <v>252</v>
      </c>
      <c r="BK42" t="s">
        <v>2</v>
      </c>
      <c r="BL42">
        <v>50</v>
      </c>
    </row>
    <row r="43" spans="1:64">
      <c r="A43" s="160">
        <v>502.50599999999997</v>
      </c>
      <c r="B43" s="27">
        <v>51</v>
      </c>
      <c r="C43" s="27" t="s">
        <v>2147</v>
      </c>
      <c r="E43" s="27" t="s">
        <v>2148</v>
      </c>
      <c r="AC43"/>
      <c r="AD43"/>
      <c r="AE43"/>
      <c r="AF43" s="37" t="str">
        <f t="shared" si="1"/>
        <v>SMLS02P             KS_CPL_B</v>
      </c>
      <c r="AG43" t="s">
        <v>2150</v>
      </c>
      <c r="AH43">
        <v>3</v>
      </c>
      <c r="AI43">
        <v>51</v>
      </c>
      <c r="AJ43" t="s">
        <v>253</v>
      </c>
      <c r="AK43" t="s">
        <v>26</v>
      </c>
      <c r="AL43" t="s">
        <v>202</v>
      </c>
      <c r="AM43" t="s">
        <v>202</v>
      </c>
      <c r="AN43" t="s">
        <v>203</v>
      </c>
      <c r="AO43" t="s">
        <v>204</v>
      </c>
      <c r="AP43">
        <v>7</v>
      </c>
      <c r="AQ43" t="s">
        <v>205</v>
      </c>
      <c r="AR43" t="s">
        <v>68</v>
      </c>
      <c r="AS43" t="s">
        <v>26</v>
      </c>
      <c r="AT43" t="s">
        <v>26</v>
      </c>
      <c r="AU43" t="s">
        <v>64</v>
      </c>
      <c r="AV43" t="s">
        <v>64</v>
      </c>
      <c r="AW43" t="s">
        <v>91</v>
      </c>
      <c r="AX43" t="s">
        <v>92</v>
      </c>
      <c r="AY43">
        <v>8</v>
      </c>
      <c r="AZ43" t="s">
        <v>93</v>
      </c>
      <c r="BA43" t="s">
        <v>68</v>
      </c>
      <c r="BB43" t="s">
        <v>26</v>
      </c>
      <c r="BC43" t="s">
        <v>254</v>
      </c>
      <c r="BD43" t="s">
        <v>75</v>
      </c>
      <c r="BE43" t="s">
        <v>26</v>
      </c>
      <c r="BF43" t="s">
        <v>26</v>
      </c>
      <c r="BG43" s="146">
        <v>2922</v>
      </c>
      <c r="BH43" t="s">
        <v>255</v>
      </c>
      <c r="BI43">
        <v>0.35</v>
      </c>
      <c r="BJ43" t="s">
        <v>256</v>
      </c>
      <c r="BK43" t="s">
        <v>2</v>
      </c>
      <c r="BL43">
        <v>51</v>
      </c>
    </row>
    <row r="44" spans="1:64">
      <c r="A44" s="47"/>
      <c r="B44" s="27">
        <v>53</v>
      </c>
      <c r="C44" s="27" t="s">
        <v>2147</v>
      </c>
      <c r="E44" s="27" t="s">
        <v>2148</v>
      </c>
      <c r="F44" s="27" t="s">
        <v>2156</v>
      </c>
      <c r="G44" s="27" t="s">
        <v>259</v>
      </c>
      <c r="K44" s="27" t="s">
        <v>2153</v>
      </c>
      <c r="L44" s="27" t="s">
        <v>2154</v>
      </c>
      <c r="M44" s="27" t="s">
        <v>2148</v>
      </c>
      <c r="AC44"/>
      <c r="AD44"/>
      <c r="AE44"/>
      <c r="AF44" s="37" t="str">
        <f t="shared" si="1"/>
        <v>SP_MB31_B1          KS_CPL_A</v>
      </c>
      <c r="AG44" t="s">
        <v>2150</v>
      </c>
      <c r="AH44">
        <v>3</v>
      </c>
      <c r="AI44">
        <v>53</v>
      </c>
      <c r="AJ44" t="s">
        <v>257</v>
      </c>
      <c r="AK44" t="s">
        <v>26</v>
      </c>
      <c r="AL44" t="s">
        <v>26</v>
      </c>
      <c r="AM44" t="s">
        <v>258</v>
      </c>
      <c r="AN44">
        <v>332</v>
      </c>
      <c r="AO44" t="s">
        <v>259</v>
      </c>
      <c r="AP44">
        <v>1</v>
      </c>
      <c r="AQ44" t="s">
        <v>260</v>
      </c>
      <c r="AR44" t="s">
        <v>26</v>
      </c>
      <c r="AS44" t="s">
        <v>26</v>
      </c>
      <c r="AT44" t="s">
        <v>26</v>
      </c>
      <c r="AU44" t="s">
        <v>64</v>
      </c>
      <c r="AV44" t="s">
        <v>64</v>
      </c>
      <c r="AW44" t="s">
        <v>261</v>
      </c>
      <c r="AX44" t="s">
        <v>262</v>
      </c>
      <c r="AY44">
        <v>15</v>
      </c>
      <c r="AZ44" t="s">
        <v>263</v>
      </c>
      <c r="BA44" t="s">
        <v>230</v>
      </c>
      <c r="BB44" t="s">
        <v>26</v>
      </c>
      <c r="BC44" t="s">
        <v>178</v>
      </c>
      <c r="BD44" t="s">
        <v>75</v>
      </c>
      <c r="BE44" t="s">
        <v>26</v>
      </c>
      <c r="BF44" t="s">
        <v>26</v>
      </c>
      <c r="BG44">
        <v>775</v>
      </c>
      <c r="BH44" t="s">
        <v>42</v>
      </c>
      <c r="BI44">
        <v>2.5</v>
      </c>
      <c r="BJ44" t="s">
        <v>264</v>
      </c>
      <c r="BK44" t="s">
        <v>2</v>
      </c>
      <c r="BL44">
        <v>53</v>
      </c>
    </row>
    <row r="45" spans="1:64">
      <c r="A45" s="47">
        <v>500</v>
      </c>
      <c r="B45" s="27">
        <v>54</v>
      </c>
      <c r="C45" s="27" t="s">
        <v>2147</v>
      </c>
      <c r="E45" s="27" t="s">
        <v>2148</v>
      </c>
      <c r="F45" s="27" t="s">
        <v>2156</v>
      </c>
      <c r="G45" s="27" t="s">
        <v>267</v>
      </c>
      <c r="K45" s="27" t="s">
        <v>2153</v>
      </c>
      <c r="L45" s="27" t="s">
        <v>2154</v>
      </c>
      <c r="M45" s="27" t="s">
        <v>2148</v>
      </c>
      <c r="AC45"/>
      <c r="AD45"/>
      <c r="AE45"/>
      <c r="AF45" s="37" t="str">
        <f t="shared" si="1"/>
        <v>SP_MB32_B1          KS_CPR_C</v>
      </c>
      <c r="AG45" t="s">
        <v>2150</v>
      </c>
      <c r="AH45">
        <v>3</v>
      </c>
      <c r="AI45">
        <v>54</v>
      </c>
      <c r="AJ45" t="s">
        <v>265</v>
      </c>
      <c r="AK45" t="s">
        <v>26</v>
      </c>
      <c r="AL45" t="s">
        <v>26</v>
      </c>
      <c r="AM45" t="s">
        <v>266</v>
      </c>
      <c r="AN45">
        <v>199</v>
      </c>
      <c r="AO45" t="s">
        <v>267</v>
      </c>
      <c r="AP45">
        <v>1</v>
      </c>
      <c r="AQ45" t="s">
        <v>268</v>
      </c>
      <c r="AR45" t="s">
        <v>26</v>
      </c>
      <c r="AS45" t="s">
        <v>26</v>
      </c>
      <c r="AT45" t="s">
        <v>26</v>
      </c>
      <c r="AU45" t="s">
        <v>131</v>
      </c>
      <c r="AV45" t="s">
        <v>131</v>
      </c>
      <c r="AW45" t="s">
        <v>189</v>
      </c>
      <c r="AX45" t="s">
        <v>190</v>
      </c>
      <c r="AY45">
        <v>16</v>
      </c>
      <c r="AZ45" s="146" t="s">
        <v>121</v>
      </c>
      <c r="BA45" t="s">
        <v>269</v>
      </c>
      <c r="BB45" t="s">
        <v>26</v>
      </c>
      <c r="BC45" t="s">
        <v>270</v>
      </c>
      <c r="BD45" t="s">
        <v>75</v>
      </c>
      <c r="BE45" t="s">
        <v>26</v>
      </c>
      <c r="BF45" t="s">
        <v>26</v>
      </c>
      <c r="BG45" s="146">
        <v>386</v>
      </c>
      <c r="BH45" t="s">
        <v>42</v>
      </c>
      <c r="BI45">
        <v>4</v>
      </c>
      <c r="BJ45" t="s">
        <v>200</v>
      </c>
      <c r="BK45" t="s">
        <v>2</v>
      </c>
      <c r="BL45">
        <v>54</v>
      </c>
    </row>
    <row r="46" spans="1:64">
      <c r="A46" s="47">
        <v>506</v>
      </c>
      <c r="B46" s="27">
        <v>62</v>
      </c>
      <c r="C46" s="27" t="s">
        <v>2147</v>
      </c>
      <c r="E46" s="27" t="s">
        <v>2148</v>
      </c>
      <c r="AC46"/>
      <c r="AD46"/>
      <c r="AE46"/>
      <c r="AF46" s="37" t="str">
        <f t="shared" si="1"/>
        <v>KS_CPR_A            KS_CPM_D</v>
      </c>
      <c r="AG46" t="s">
        <v>2150</v>
      </c>
      <c r="AH46">
        <v>3</v>
      </c>
      <c r="AI46">
        <v>62</v>
      </c>
      <c r="AJ46" t="s">
        <v>271</v>
      </c>
      <c r="AK46" t="s">
        <v>26</v>
      </c>
      <c r="AL46" t="s">
        <v>131</v>
      </c>
      <c r="AM46" t="s">
        <v>131</v>
      </c>
      <c r="AN46" t="s">
        <v>164</v>
      </c>
      <c r="AO46" t="s">
        <v>165</v>
      </c>
      <c r="AP46">
        <v>11</v>
      </c>
      <c r="AQ46" t="s">
        <v>166</v>
      </c>
      <c r="AR46" t="s">
        <v>68</v>
      </c>
      <c r="AS46" t="s">
        <v>26</v>
      </c>
      <c r="AT46" t="s">
        <v>26</v>
      </c>
      <c r="AU46" t="s">
        <v>69</v>
      </c>
      <c r="AV46" t="s">
        <v>69</v>
      </c>
      <c r="AW46" t="s">
        <v>231</v>
      </c>
      <c r="AX46" t="s">
        <v>232</v>
      </c>
      <c r="AY46">
        <v>7</v>
      </c>
      <c r="AZ46" t="s">
        <v>233</v>
      </c>
      <c r="BA46" t="s">
        <v>68</v>
      </c>
      <c r="BB46" t="s">
        <v>26</v>
      </c>
      <c r="BC46" t="s">
        <v>272</v>
      </c>
      <c r="BD46" t="s">
        <v>75</v>
      </c>
      <c r="BE46" t="s">
        <v>273</v>
      </c>
      <c r="BF46" t="s">
        <v>274</v>
      </c>
      <c r="BG46" s="146">
        <v>1742</v>
      </c>
      <c r="BH46" t="s">
        <v>42</v>
      </c>
      <c r="BI46">
        <v>0.35</v>
      </c>
      <c r="BJ46" t="s">
        <v>275</v>
      </c>
      <c r="BK46" t="s">
        <v>2</v>
      </c>
      <c r="BL46">
        <v>62</v>
      </c>
    </row>
    <row r="47" spans="1:64">
      <c r="A47" s="47">
        <v>506</v>
      </c>
      <c r="B47" s="27">
        <v>63</v>
      </c>
      <c r="C47" s="27" t="s">
        <v>2147</v>
      </c>
      <c r="E47" s="27" t="s">
        <v>2148</v>
      </c>
      <c r="AC47"/>
      <c r="AD47"/>
      <c r="AE47"/>
      <c r="AF47" s="37" t="str">
        <f t="shared" si="1"/>
        <v>KS_CPR_A            KS_CPM_D</v>
      </c>
      <c r="AG47" t="s">
        <v>2150</v>
      </c>
      <c r="AH47">
        <v>3</v>
      </c>
      <c r="AI47">
        <v>63</v>
      </c>
      <c r="AJ47" t="s">
        <v>276</v>
      </c>
      <c r="AK47" t="s">
        <v>26</v>
      </c>
      <c r="AL47" t="s">
        <v>131</v>
      </c>
      <c r="AM47" t="s">
        <v>131</v>
      </c>
      <c r="AN47" t="s">
        <v>164</v>
      </c>
      <c r="AO47" t="s">
        <v>165</v>
      </c>
      <c r="AP47">
        <v>10</v>
      </c>
      <c r="AQ47" t="s">
        <v>166</v>
      </c>
      <c r="AR47" t="s">
        <v>68</v>
      </c>
      <c r="AS47" t="s">
        <v>26</v>
      </c>
      <c r="AT47" t="s">
        <v>26</v>
      </c>
      <c r="AU47" t="s">
        <v>69</v>
      </c>
      <c r="AV47" t="s">
        <v>69</v>
      </c>
      <c r="AW47" t="s">
        <v>231</v>
      </c>
      <c r="AX47" t="s">
        <v>232</v>
      </c>
      <c r="AY47">
        <v>8</v>
      </c>
      <c r="AZ47" t="s">
        <v>233</v>
      </c>
      <c r="BA47" t="s">
        <v>68</v>
      </c>
      <c r="BB47" t="s">
        <v>26</v>
      </c>
      <c r="BC47" t="s">
        <v>272</v>
      </c>
      <c r="BD47" t="s">
        <v>75</v>
      </c>
      <c r="BE47" t="s">
        <v>273</v>
      </c>
      <c r="BF47" t="s">
        <v>277</v>
      </c>
      <c r="BG47" s="146">
        <v>1742</v>
      </c>
      <c r="BH47" t="s">
        <v>46</v>
      </c>
      <c r="BI47">
        <v>0.35</v>
      </c>
      <c r="BJ47" t="s">
        <v>278</v>
      </c>
      <c r="BK47" t="s">
        <v>2</v>
      </c>
      <c r="BL47">
        <v>63</v>
      </c>
    </row>
    <row r="48" spans="1:64">
      <c r="A48" s="47"/>
      <c r="B48" s="27">
        <v>77</v>
      </c>
      <c r="C48" s="27" t="s">
        <v>2147</v>
      </c>
      <c r="E48" s="27" t="s">
        <v>2148</v>
      </c>
      <c r="F48" s="27" t="s">
        <v>2152</v>
      </c>
      <c r="G48" s="27" t="s">
        <v>176</v>
      </c>
      <c r="K48" s="27" t="s">
        <v>2153</v>
      </c>
      <c r="L48" s="27" t="s">
        <v>2154</v>
      </c>
      <c r="M48" s="27" t="s">
        <v>2148</v>
      </c>
      <c r="AC48"/>
      <c r="AD48"/>
      <c r="AE48"/>
      <c r="AF48" s="37" t="str">
        <f t="shared" si="1"/>
        <v>SP_MB34_B1          KS_CPM_E</v>
      </c>
      <c r="AG48" t="s">
        <v>2150</v>
      </c>
      <c r="AH48">
        <v>3</v>
      </c>
      <c r="AI48">
        <v>77</v>
      </c>
      <c r="AJ48" t="s">
        <v>279</v>
      </c>
      <c r="AK48" t="s">
        <v>26</v>
      </c>
      <c r="AL48" t="s">
        <v>26</v>
      </c>
      <c r="AM48" t="s">
        <v>175</v>
      </c>
      <c r="AN48">
        <v>335</v>
      </c>
      <c r="AO48" t="s">
        <v>176</v>
      </c>
      <c r="AP48">
        <v>1</v>
      </c>
      <c r="AQ48" t="s">
        <v>177</v>
      </c>
      <c r="AR48" t="s">
        <v>26</v>
      </c>
      <c r="AS48" t="s">
        <v>26</v>
      </c>
      <c r="AT48" t="s">
        <v>26</v>
      </c>
      <c r="AU48" t="s">
        <v>69</v>
      </c>
      <c r="AV48" t="s">
        <v>69</v>
      </c>
      <c r="AW48" t="s">
        <v>70</v>
      </c>
      <c r="AX48" t="s">
        <v>71</v>
      </c>
      <c r="AY48">
        <v>11</v>
      </c>
      <c r="AZ48" t="s">
        <v>72</v>
      </c>
      <c r="BA48" t="s">
        <v>122</v>
      </c>
      <c r="BB48" t="s">
        <v>26</v>
      </c>
      <c r="BC48" t="s">
        <v>280</v>
      </c>
      <c r="BD48" t="s">
        <v>75</v>
      </c>
      <c r="BE48" t="s">
        <v>26</v>
      </c>
      <c r="BF48" t="s">
        <v>26</v>
      </c>
      <c r="BG48">
        <v>615</v>
      </c>
      <c r="BH48" t="s">
        <v>42</v>
      </c>
      <c r="BI48">
        <v>0.5</v>
      </c>
      <c r="BJ48" t="s">
        <v>179</v>
      </c>
      <c r="BK48" t="s">
        <v>2</v>
      </c>
      <c r="BL48">
        <v>77</v>
      </c>
    </row>
    <row r="49" spans="1:64">
      <c r="A49" s="47"/>
      <c r="B49" s="27">
        <v>78</v>
      </c>
      <c r="C49" s="27" t="s">
        <v>2147</v>
      </c>
      <c r="E49" s="27" t="s">
        <v>2148</v>
      </c>
      <c r="AC49"/>
      <c r="AD49"/>
      <c r="AE49"/>
      <c r="AF49" s="37" t="str">
        <f t="shared" si="1"/>
        <v>STO52A              KS_CPM_E</v>
      </c>
      <c r="AG49" t="s">
        <v>2150</v>
      </c>
      <c r="AH49">
        <v>3</v>
      </c>
      <c r="AI49">
        <v>78</v>
      </c>
      <c r="AJ49" t="s">
        <v>281</v>
      </c>
      <c r="AK49" t="s">
        <v>26</v>
      </c>
      <c r="AL49" t="s">
        <v>150</v>
      </c>
      <c r="AM49" t="s">
        <v>150</v>
      </c>
      <c r="AN49" t="s">
        <v>151</v>
      </c>
      <c r="AO49" t="s">
        <v>152</v>
      </c>
      <c r="AP49" t="s">
        <v>222</v>
      </c>
      <c r="AQ49" t="s">
        <v>154</v>
      </c>
      <c r="AR49" t="s">
        <v>224</v>
      </c>
      <c r="AS49" t="s">
        <v>26</v>
      </c>
      <c r="AT49" t="s">
        <v>26</v>
      </c>
      <c r="AU49" t="s">
        <v>69</v>
      </c>
      <c r="AV49" t="s">
        <v>69</v>
      </c>
      <c r="AW49" t="s">
        <v>70</v>
      </c>
      <c r="AX49" t="s">
        <v>71</v>
      </c>
      <c r="AY49">
        <v>12</v>
      </c>
      <c r="AZ49" t="s">
        <v>72</v>
      </c>
      <c r="BA49" t="s">
        <v>122</v>
      </c>
      <c r="BB49" t="s">
        <v>26</v>
      </c>
      <c r="BC49" t="s">
        <v>282</v>
      </c>
      <c r="BD49" t="s">
        <v>75</v>
      </c>
      <c r="BE49" t="s">
        <v>26</v>
      </c>
      <c r="BF49" t="s">
        <v>26</v>
      </c>
      <c r="BG49">
        <v>1580</v>
      </c>
      <c r="BH49" t="s">
        <v>283</v>
      </c>
      <c r="BI49">
        <v>0.5</v>
      </c>
      <c r="BJ49" t="s">
        <v>284</v>
      </c>
      <c r="BK49" t="s">
        <v>2</v>
      </c>
      <c r="BL49">
        <v>78</v>
      </c>
    </row>
    <row r="50" spans="1:64">
      <c r="A50" s="47"/>
      <c r="B50" s="27">
        <v>83</v>
      </c>
      <c r="C50" s="27" t="s">
        <v>2147</v>
      </c>
      <c r="E50" s="27" t="s">
        <v>2148</v>
      </c>
      <c r="T50" s="27">
        <v>920007290</v>
      </c>
      <c r="AC50"/>
      <c r="AD50"/>
      <c r="AE50"/>
      <c r="AF50" s="37" t="str">
        <f t="shared" si="1"/>
        <v>STO51A              KS_CPR_A</v>
      </c>
      <c r="AG50" t="s">
        <v>2150</v>
      </c>
      <c r="AH50">
        <v>3</v>
      </c>
      <c r="AI50">
        <v>83</v>
      </c>
      <c r="AJ50" t="s">
        <v>285</v>
      </c>
      <c r="AK50" t="s">
        <v>26</v>
      </c>
      <c r="AL50" t="s">
        <v>219</v>
      </c>
      <c r="AM50" t="s">
        <v>219</v>
      </c>
      <c r="AN50" t="s">
        <v>220</v>
      </c>
      <c r="AO50" t="s">
        <v>221</v>
      </c>
      <c r="AP50">
        <v>6</v>
      </c>
      <c r="AQ50" t="s">
        <v>223</v>
      </c>
      <c r="AR50" t="s">
        <v>286</v>
      </c>
      <c r="AS50" t="s">
        <v>26</v>
      </c>
      <c r="AT50" t="s">
        <v>26</v>
      </c>
      <c r="AU50" t="s">
        <v>131</v>
      </c>
      <c r="AV50" t="s">
        <v>131</v>
      </c>
      <c r="AW50" t="s">
        <v>164</v>
      </c>
      <c r="AX50" t="s">
        <v>165</v>
      </c>
      <c r="AY50">
        <v>16</v>
      </c>
      <c r="AZ50" t="s">
        <v>166</v>
      </c>
      <c r="BA50" t="s">
        <v>287</v>
      </c>
      <c r="BB50" t="s">
        <v>26</v>
      </c>
      <c r="BC50" t="s">
        <v>288</v>
      </c>
      <c r="BD50" t="s">
        <v>39</v>
      </c>
      <c r="BE50" t="s">
        <v>26</v>
      </c>
      <c r="BF50" t="s">
        <v>26</v>
      </c>
      <c r="BG50">
        <v>473</v>
      </c>
      <c r="BH50" t="s">
        <v>161</v>
      </c>
      <c r="BI50">
        <v>6</v>
      </c>
      <c r="BJ50" t="s">
        <v>289</v>
      </c>
      <c r="BK50" t="s">
        <v>2</v>
      </c>
      <c r="BL50">
        <v>83</v>
      </c>
    </row>
    <row r="51" spans="1:64" s="27" customFormat="1">
      <c r="A51" s="47">
        <v>506</v>
      </c>
      <c r="B51" s="27">
        <v>84</v>
      </c>
      <c r="C51" s="27" t="s">
        <v>2147</v>
      </c>
      <c r="E51" s="27" t="s">
        <v>2148</v>
      </c>
      <c r="T51" s="27">
        <v>920008352</v>
      </c>
      <c r="AC51"/>
      <c r="AD51"/>
      <c r="AE51"/>
      <c r="AF51" s="37" t="str">
        <f t="shared" si="1"/>
        <v>STO52A              KS_CPR_B</v>
      </c>
      <c r="AG51" t="s">
        <v>2150</v>
      </c>
      <c r="AH51" s="27">
        <v>3</v>
      </c>
      <c r="AI51" s="27">
        <v>84</v>
      </c>
      <c r="AJ51" s="27" t="s">
        <v>290</v>
      </c>
      <c r="AK51" s="27" t="s">
        <v>26</v>
      </c>
      <c r="AL51" s="27" t="s">
        <v>150</v>
      </c>
      <c r="AM51" s="27" t="s">
        <v>150</v>
      </c>
      <c r="AN51" s="27" t="s">
        <v>151</v>
      </c>
      <c r="AO51" s="27" t="s">
        <v>152</v>
      </c>
      <c r="AP51" s="27">
        <v>6</v>
      </c>
      <c r="AQ51" s="27" t="s">
        <v>154</v>
      </c>
      <c r="AR51" s="27" t="s">
        <v>286</v>
      </c>
      <c r="AS51" s="27" t="s">
        <v>26</v>
      </c>
      <c r="AT51" s="27" t="s">
        <v>26</v>
      </c>
      <c r="AU51" s="27" t="s">
        <v>131</v>
      </c>
      <c r="AV51" s="27" t="s">
        <v>131</v>
      </c>
      <c r="AW51" s="27" t="s">
        <v>132</v>
      </c>
      <c r="AX51" s="27" t="s">
        <v>133</v>
      </c>
      <c r="AY51" s="27">
        <v>16</v>
      </c>
      <c r="AZ51" s="27" t="s">
        <v>134</v>
      </c>
      <c r="BA51" s="27" t="s">
        <v>287</v>
      </c>
      <c r="BB51" s="27" t="s">
        <v>26</v>
      </c>
      <c r="BC51" s="27" t="s">
        <v>291</v>
      </c>
      <c r="BD51" s="27" t="s">
        <v>39</v>
      </c>
      <c r="BE51" s="27" t="s">
        <v>26</v>
      </c>
      <c r="BF51" s="27" t="s">
        <v>26</v>
      </c>
      <c r="BG51" s="146">
        <v>2351</v>
      </c>
      <c r="BH51" s="27" t="s">
        <v>227</v>
      </c>
      <c r="BI51" s="27">
        <v>6</v>
      </c>
      <c r="BJ51" s="27" t="s">
        <v>292</v>
      </c>
      <c r="BK51" t="s">
        <v>2</v>
      </c>
      <c r="BL51" s="27">
        <v>84</v>
      </c>
    </row>
    <row r="52" spans="1:64">
      <c r="A52" s="47"/>
      <c r="B52" s="27">
        <v>85</v>
      </c>
      <c r="C52" s="27" t="s">
        <v>2147</v>
      </c>
      <c r="E52" s="27" t="s">
        <v>2151</v>
      </c>
      <c r="F52" s="27" t="s">
        <v>2152</v>
      </c>
      <c r="G52" s="27" t="s">
        <v>102</v>
      </c>
      <c r="K52" s="27" t="s">
        <v>2153</v>
      </c>
      <c r="L52" s="27" t="s">
        <v>2154</v>
      </c>
      <c r="M52" s="27" t="s">
        <v>2148</v>
      </c>
      <c r="AC52"/>
      <c r="AD52"/>
      <c r="AE52" t="s">
        <v>2155</v>
      </c>
      <c r="AF52" s="37" t="str">
        <f t="shared" si="1"/>
        <v>SP_CANHK            KOMBI_A</v>
      </c>
      <c r="AG52" t="s">
        <v>2150</v>
      </c>
      <c r="AH52">
        <v>3</v>
      </c>
      <c r="AI52">
        <v>85</v>
      </c>
      <c r="AJ52" t="s">
        <v>293</v>
      </c>
      <c r="AK52" t="s">
        <v>26</v>
      </c>
      <c r="AL52" t="s">
        <v>26</v>
      </c>
      <c r="AM52" t="s">
        <v>100</v>
      </c>
      <c r="AN52" t="s">
        <v>101</v>
      </c>
      <c r="AO52" t="s">
        <v>102</v>
      </c>
      <c r="AP52">
        <v>1</v>
      </c>
      <c r="AQ52" t="s">
        <v>90</v>
      </c>
      <c r="AR52" t="s">
        <v>26</v>
      </c>
      <c r="AS52" t="s">
        <v>26</v>
      </c>
      <c r="AT52" t="s">
        <v>26</v>
      </c>
      <c r="AU52" t="s">
        <v>27</v>
      </c>
      <c r="AV52" t="s">
        <v>27</v>
      </c>
      <c r="AW52" t="s">
        <v>294</v>
      </c>
      <c r="AX52" t="s">
        <v>295</v>
      </c>
      <c r="AY52">
        <v>18</v>
      </c>
      <c r="AZ52" t="s">
        <v>296</v>
      </c>
      <c r="BA52" t="s">
        <v>243</v>
      </c>
      <c r="BB52" t="s">
        <v>26</v>
      </c>
      <c r="BC52" t="s">
        <v>94</v>
      </c>
      <c r="BD52" t="s">
        <v>75</v>
      </c>
      <c r="BE52" t="s">
        <v>297</v>
      </c>
      <c r="BF52" t="s">
        <v>103</v>
      </c>
      <c r="BG52">
        <v>381</v>
      </c>
      <c r="BH52" t="s">
        <v>104</v>
      </c>
      <c r="BI52">
        <v>0.35</v>
      </c>
      <c r="BJ52" t="s">
        <v>105</v>
      </c>
      <c r="BK52" t="s">
        <v>2</v>
      </c>
      <c r="BL52">
        <v>85</v>
      </c>
    </row>
    <row r="53" spans="1:64">
      <c r="A53" s="47"/>
      <c r="B53" s="27">
        <v>86</v>
      </c>
      <c r="C53" s="27" t="s">
        <v>2147</v>
      </c>
      <c r="E53" s="27" t="s">
        <v>2151</v>
      </c>
      <c r="F53" s="27" t="s">
        <v>2152</v>
      </c>
      <c r="G53" s="27" t="s">
        <v>89</v>
      </c>
      <c r="K53" s="27" t="s">
        <v>2153</v>
      </c>
      <c r="L53" s="27" t="s">
        <v>2154</v>
      </c>
      <c r="M53" s="27" t="s">
        <v>2148</v>
      </c>
      <c r="AC53"/>
      <c r="AD53"/>
      <c r="AE53" t="s">
        <v>2155</v>
      </c>
      <c r="AF53" s="37" t="str">
        <f t="shared" si="1"/>
        <v>SP_CANLK            KOMBI_A</v>
      </c>
      <c r="AG53" t="s">
        <v>2150</v>
      </c>
      <c r="AH53">
        <v>3</v>
      </c>
      <c r="AI53">
        <v>86</v>
      </c>
      <c r="AJ53" t="s">
        <v>298</v>
      </c>
      <c r="AK53" t="s">
        <v>26</v>
      </c>
      <c r="AL53" t="s">
        <v>26</v>
      </c>
      <c r="AM53" t="s">
        <v>87</v>
      </c>
      <c r="AN53" t="s">
        <v>88</v>
      </c>
      <c r="AO53" t="s">
        <v>89</v>
      </c>
      <c r="AP53">
        <v>1</v>
      </c>
      <c r="AQ53" t="s">
        <v>90</v>
      </c>
      <c r="AR53" t="s">
        <v>26</v>
      </c>
      <c r="AS53" t="s">
        <v>26</v>
      </c>
      <c r="AT53" t="s">
        <v>26</v>
      </c>
      <c r="AU53" t="s">
        <v>27</v>
      </c>
      <c r="AV53" t="s">
        <v>27</v>
      </c>
      <c r="AW53" t="s">
        <v>294</v>
      </c>
      <c r="AX53" t="s">
        <v>295</v>
      </c>
      <c r="AY53">
        <v>17</v>
      </c>
      <c r="AZ53" t="s">
        <v>296</v>
      </c>
      <c r="BA53" t="s">
        <v>243</v>
      </c>
      <c r="BB53" t="s">
        <v>26</v>
      </c>
      <c r="BC53" t="s">
        <v>94</v>
      </c>
      <c r="BD53" t="s">
        <v>75</v>
      </c>
      <c r="BE53" t="s">
        <v>297</v>
      </c>
      <c r="BF53" t="s">
        <v>96</v>
      </c>
      <c r="BG53">
        <v>381</v>
      </c>
      <c r="BH53" t="s">
        <v>97</v>
      </c>
      <c r="BI53">
        <v>0.35</v>
      </c>
      <c r="BJ53" t="s">
        <v>98</v>
      </c>
      <c r="BK53" t="s">
        <v>2</v>
      </c>
      <c r="BL53">
        <v>86</v>
      </c>
    </row>
    <row r="54" spans="1:64">
      <c r="A54" s="160">
        <v>502.50599999999997</v>
      </c>
      <c r="B54" s="27">
        <v>87</v>
      </c>
      <c r="C54" s="27" t="s">
        <v>2147</v>
      </c>
      <c r="E54" s="27" t="s">
        <v>2151</v>
      </c>
      <c r="F54" s="27" t="s">
        <v>2152</v>
      </c>
      <c r="G54" s="27" t="s">
        <v>102</v>
      </c>
      <c r="K54" s="27" t="s">
        <v>2153</v>
      </c>
      <c r="L54" s="27" t="s">
        <v>2154</v>
      </c>
      <c r="M54" s="27" t="s">
        <v>2148</v>
      </c>
      <c r="AC54"/>
      <c r="AD54"/>
      <c r="AE54" t="s">
        <v>2155</v>
      </c>
      <c r="AF54" s="37" t="str">
        <f t="shared" si="1"/>
        <v>SP_CANHK            KS_CPM_F</v>
      </c>
      <c r="AG54" t="s">
        <v>2150</v>
      </c>
      <c r="AH54">
        <v>3</v>
      </c>
      <c r="AI54">
        <v>87</v>
      </c>
      <c r="AJ54" t="s">
        <v>299</v>
      </c>
      <c r="AK54" t="s">
        <v>26</v>
      </c>
      <c r="AL54" t="s">
        <v>26</v>
      </c>
      <c r="AM54" t="s">
        <v>100</v>
      </c>
      <c r="AN54" t="s">
        <v>101</v>
      </c>
      <c r="AO54" t="s">
        <v>102</v>
      </c>
      <c r="AP54">
        <v>1</v>
      </c>
      <c r="AQ54" s="146" t="s">
        <v>2306</v>
      </c>
      <c r="AR54" t="s">
        <v>26</v>
      </c>
      <c r="AS54" t="s">
        <v>26</v>
      </c>
      <c r="AT54" t="s">
        <v>26</v>
      </c>
      <c r="AU54" t="s">
        <v>69</v>
      </c>
      <c r="AV54" t="s">
        <v>127</v>
      </c>
      <c r="AW54" t="s">
        <v>128</v>
      </c>
      <c r="AX54" t="s">
        <v>129</v>
      </c>
      <c r="AY54">
        <v>7</v>
      </c>
      <c r="AZ54" t="s">
        <v>130</v>
      </c>
      <c r="BA54" t="s">
        <v>68</v>
      </c>
      <c r="BB54" t="s">
        <v>26</v>
      </c>
      <c r="BC54" t="s">
        <v>94</v>
      </c>
      <c r="BD54" t="s">
        <v>75</v>
      </c>
      <c r="BE54" t="s">
        <v>300</v>
      </c>
      <c r="BF54" t="s">
        <v>103</v>
      </c>
      <c r="BG54" s="146">
        <v>1815</v>
      </c>
      <c r="BH54" t="s">
        <v>104</v>
      </c>
      <c r="BI54">
        <v>0.35</v>
      </c>
      <c r="BJ54" t="s">
        <v>105</v>
      </c>
      <c r="BK54" t="s">
        <v>2</v>
      </c>
      <c r="BL54">
        <v>87</v>
      </c>
    </row>
    <row r="55" spans="1:64">
      <c r="A55" s="160">
        <v>502.50599999999997</v>
      </c>
      <c r="B55" s="27">
        <v>88</v>
      </c>
      <c r="C55" s="27" t="s">
        <v>2147</v>
      </c>
      <c r="E55" s="27" t="s">
        <v>2151</v>
      </c>
      <c r="F55" s="27" t="s">
        <v>2152</v>
      </c>
      <c r="G55" s="27" t="s">
        <v>89</v>
      </c>
      <c r="K55" s="27" t="s">
        <v>2153</v>
      </c>
      <c r="L55" s="27" t="s">
        <v>2154</v>
      </c>
      <c r="M55" s="27" t="s">
        <v>2148</v>
      </c>
      <c r="AC55"/>
      <c r="AD55"/>
      <c r="AE55" t="s">
        <v>2155</v>
      </c>
      <c r="AF55" s="37" t="str">
        <f t="shared" si="1"/>
        <v>SP_CANLK            KS_CPM_F</v>
      </c>
      <c r="AG55" t="s">
        <v>2150</v>
      </c>
      <c r="AH55">
        <v>3</v>
      </c>
      <c r="AI55">
        <v>88</v>
      </c>
      <c r="AJ55" t="s">
        <v>301</v>
      </c>
      <c r="AK55" t="s">
        <v>26</v>
      </c>
      <c r="AL55" t="s">
        <v>26</v>
      </c>
      <c r="AM55" t="s">
        <v>87</v>
      </c>
      <c r="AN55" t="s">
        <v>88</v>
      </c>
      <c r="AO55" t="s">
        <v>89</v>
      </c>
      <c r="AP55">
        <v>1</v>
      </c>
      <c r="AQ55" s="146" t="s">
        <v>2306</v>
      </c>
      <c r="AR55" t="s">
        <v>26</v>
      </c>
      <c r="AS55" t="s">
        <v>26</v>
      </c>
      <c r="AT55" t="s">
        <v>26</v>
      </c>
      <c r="AU55" t="s">
        <v>69</v>
      </c>
      <c r="AV55" t="s">
        <v>127</v>
      </c>
      <c r="AW55" t="s">
        <v>128</v>
      </c>
      <c r="AX55" t="s">
        <v>129</v>
      </c>
      <c r="AY55">
        <v>6</v>
      </c>
      <c r="AZ55" t="s">
        <v>130</v>
      </c>
      <c r="BA55" t="s">
        <v>68</v>
      </c>
      <c r="BB55" t="s">
        <v>26</v>
      </c>
      <c r="BC55" t="s">
        <v>94</v>
      </c>
      <c r="BD55" t="s">
        <v>75</v>
      </c>
      <c r="BE55" t="s">
        <v>300</v>
      </c>
      <c r="BF55" t="s">
        <v>96</v>
      </c>
      <c r="BG55" s="146">
        <v>1815</v>
      </c>
      <c r="BH55" t="s">
        <v>97</v>
      </c>
      <c r="BI55">
        <v>0.35</v>
      </c>
      <c r="BJ55" t="s">
        <v>98</v>
      </c>
      <c r="BK55" t="s">
        <v>2</v>
      </c>
      <c r="BL55">
        <v>88</v>
      </c>
    </row>
    <row r="56" spans="1:64">
      <c r="A56" s="47"/>
      <c r="B56" s="27">
        <v>89</v>
      </c>
      <c r="C56" s="27" t="s">
        <v>2147</v>
      </c>
      <c r="E56" s="27" t="s">
        <v>2148</v>
      </c>
      <c r="AC56"/>
      <c r="AD56"/>
      <c r="AE56"/>
      <c r="AF56" s="37" t="str">
        <f t="shared" si="1"/>
        <v>STO52A              KS_CPM_F</v>
      </c>
      <c r="AG56" t="s">
        <v>2150</v>
      </c>
      <c r="AH56">
        <v>3</v>
      </c>
      <c r="AI56">
        <v>89</v>
      </c>
      <c r="AJ56" t="s">
        <v>302</v>
      </c>
      <c r="AK56" t="s">
        <v>26</v>
      </c>
      <c r="AL56" t="s">
        <v>150</v>
      </c>
      <c r="AM56" t="s">
        <v>150</v>
      </c>
      <c r="AN56" t="s">
        <v>151</v>
      </c>
      <c r="AO56" t="s">
        <v>152</v>
      </c>
      <c r="AP56" t="s">
        <v>303</v>
      </c>
      <c r="AQ56" t="s">
        <v>154</v>
      </c>
      <c r="AR56" t="s">
        <v>304</v>
      </c>
      <c r="AS56" t="s">
        <v>26</v>
      </c>
      <c r="AT56" t="s">
        <v>26</v>
      </c>
      <c r="AU56" t="s">
        <v>69</v>
      </c>
      <c r="AV56" t="s">
        <v>127</v>
      </c>
      <c r="AW56" t="s">
        <v>128</v>
      </c>
      <c r="AX56" t="s">
        <v>129</v>
      </c>
      <c r="AY56">
        <v>5</v>
      </c>
      <c r="AZ56" t="s">
        <v>130</v>
      </c>
      <c r="BA56" t="s">
        <v>68</v>
      </c>
      <c r="BB56" t="s">
        <v>26</v>
      </c>
      <c r="BC56" t="s">
        <v>305</v>
      </c>
      <c r="BD56" t="s">
        <v>75</v>
      </c>
      <c r="BE56" t="s">
        <v>26</v>
      </c>
      <c r="BF56" t="s">
        <v>26</v>
      </c>
      <c r="BG56">
        <v>1333</v>
      </c>
      <c r="BH56" t="s">
        <v>306</v>
      </c>
      <c r="BI56">
        <v>0.35</v>
      </c>
      <c r="BJ56" t="s">
        <v>307</v>
      </c>
      <c r="BK56" t="s">
        <v>2</v>
      </c>
      <c r="BL56">
        <v>89</v>
      </c>
    </row>
    <row r="57" spans="1:64">
      <c r="A57" s="47"/>
      <c r="B57" s="27">
        <v>90</v>
      </c>
      <c r="C57" s="27" t="s">
        <v>2147</v>
      </c>
      <c r="E57" s="27" t="s">
        <v>2148</v>
      </c>
      <c r="F57" s="27" t="s">
        <v>2156</v>
      </c>
      <c r="G57" s="27" t="s">
        <v>310</v>
      </c>
      <c r="K57" s="27" t="s">
        <v>2153</v>
      </c>
      <c r="L57" s="27" t="s">
        <v>2154</v>
      </c>
      <c r="M57" s="27" t="s">
        <v>2148</v>
      </c>
      <c r="AC57"/>
      <c r="AD57"/>
      <c r="AE57"/>
      <c r="AF57" s="37" t="str">
        <f t="shared" si="1"/>
        <v>SP_MB31_B2          KS_CPM_F</v>
      </c>
      <c r="AG57" t="s">
        <v>2150</v>
      </c>
      <c r="AH57">
        <v>3</v>
      </c>
      <c r="AI57">
        <v>90</v>
      </c>
      <c r="AJ57" t="s">
        <v>308</v>
      </c>
      <c r="AK57" t="s">
        <v>26</v>
      </c>
      <c r="AL57" t="s">
        <v>26</v>
      </c>
      <c r="AM57" t="s">
        <v>309</v>
      </c>
      <c r="AN57">
        <v>213</v>
      </c>
      <c r="AO57" t="s">
        <v>310</v>
      </c>
      <c r="AP57">
        <v>1</v>
      </c>
      <c r="AQ57" t="s">
        <v>311</v>
      </c>
      <c r="AR57" t="s">
        <v>26</v>
      </c>
      <c r="AS57" t="s">
        <v>26</v>
      </c>
      <c r="AT57" t="s">
        <v>26</v>
      </c>
      <c r="AU57" t="s">
        <v>69</v>
      </c>
      <c r="AV57" t="s">
        <v>127</v>
      </c>
      <c r="AW57" t="s">
        <v>128</v>
      </c>
      <c r="AX57" t="s">
        <v>129</v>
      </c>
      <c r="AY57">
        <v>4</v>
      </c>
      <c r="AZ57" t="s">
        <v>130</v>
      </c>
      <c r="BA57" t="s">
        <v>68</v>
      </c>
      <c r="BB57" t="s">
        <v>26</v>
      </c>
      <c r="BC57" t="s">
        <v>312</v>
      </c>
      <c r="BD57" t="s">
        <v>75</v>
      </c>
      <c r="BE57" t="s">
        <v>26</v>
      </c>
      <c r="BF57" t="s">
        <v>26</v>
      </c>
      <c r="BG57">
        <v>407</v>
      </c>
      <c r="BH57" t="s">
        <v>42</v>
      </c>
      <c r="BI57">
        <v>0.35</v>
      </c>
      <c r="BJ57" t="s">
        <v>264</v>
      </c>
      <c r="BK57" t="s">
        <v>2</v>
      </c>
      <c r="BL57">
        <v>90</v>
      </c>
    </row>
    <row r="58" spans="1:64">
      <c r="A58" s="160">
        <v>502</v>
      </c>
      <c r="B58" s="27">
        <v>91</v>
      </c>
      <c r="C58" s="27" t="s">
        <v>2147</v>
      </c>
      <c r="E58" s="27" t="s">
        <v>2148</v>
      </c>
      <c r="AC58"/>
      <c r="AD58"/>
      <c r="AE58"/>
      <c r="AF58" s="37" t="str">
        <f t="shared" si="1"/>
        <v>STO51A              KOMBI_A</v>
      </c>
      <c r="AG58" t="s">
        <v>2150</v>
      </c>
      <c r="AH58">
        <v>3</v>
      </c>
      <c r="AI58">
        <v>91</v>
      </c>
      <c r="AJ58" t="s">
        <v>313</v>
      </c>
      <c r="AK58" t="s">
        <v>26</v>
      </c>
      <c r="AL58" t="s">
        <v>219</v>
      </c>
      <c r="AM58" t="s">
        <v>219</v>
      </c>
      <c r="AN58" t="s">
        <v>220</v>
      </c>
      <c r="AO58" t="s">
        <v>221</v>
      </c>
      <c r="AP58" t="s">
        <v>303</v>
      </c>
      <c r="AQ58" t="s">
        <v>223</v>
      </c>
      <c r="AR58" t="s">
        <v>224</v>
      </c>
      <c r="AS58" t="s">
        <v>26</v>
      </c>
      <c r="AT58" t="s">
        <v>26</v>
      </c>
      <c r="AU58" t="s">
        <v>27</v>
      </c>
      <c r="AV58" t="s">
        <v>27</v>
      </c>
      <c r="AW58" t="s">
        <v>294</v>
      </c>
      <c r="AX58" t="s">
        <v>295</v>
      </c>
      <c r="AY58">
        <v>1</v>
      </c>
      <c r="AZ58" s="146" t="s">
        <v>2307</v>
      </c>
      <c r="BA58" t="s">
        <v>111</v>
      </c>
      <c r="BB58" t="s">
        <v>26</v>
      </c>
      <c r="BC58" t="s">
        <v>314</v>
      </c>
      <c r="BD58" t="s">
        <v>75</v>
      </c>
      <c r="BE58" t="s">
        <v>26</v>
      </c>
      <c r="BF58" t="s">
        <v>26</v>
      </c>
      <c r="BG58" s="146">
        <v>794</v>
      </c>
      <c r="BH58" t="s">
        <v>306</v>
      </c>
      <c r="BI58">
        <v>0.5</v>
      </c>
      <c r="BJ58" t="s">
        <v>315</v>
      </c>
      <c r="BK58" t="s">
        <v>2</v>
      </c>
      <c r="BL58">
        <v>91</v>
      </c>
    </row>
    <row r="59" spans="1:64">
      <c r="A59" s="47">
        <v>500.50599999999997</v>
      </c>
      <c r="B59" s="27">
        <v>92</v>
      </c>
      <c r="C59" s="27" t="s">
        <v>2147</v>
      </c>
      <c r="E59" s="27" t="s">
        <v>2148</v>
      </c>
      <c r="AC59"/>
      <c r="AD59"/>
      <c r="AE59"/>
      <c r="AF59" s="37" t="str">
        <f t="shared" si="1"/>
        <v>LDS                 KS_CPL_C</v>
      </c>
      <c r="AG59" t="s">
        <v>2150</v>
      </c>
      <c r="AH59">
        <v>3</v>
      </c>
      <c r="AI59">
        <v>92</v>
      </c>
      <c r="AJ59" t="s">
        <v>316</v>
      </c>
      <c r="AK59" t="s">
        <v>26</v>
      </c>
      <c r="AL59" t="s">
        <v>317</v>
      </c>
      <c r="AM59" t="s">
        <v>317</v>
      </c>
      <c r="AN59" t="s">
        <v>318</v>
      </c>
      <c r="AO59" t="s">
        <v>319</v>
      </c>
      <c r="AP59">
        <v>1</v>
      </c>
      <c r="AQ59" t="s">
        <v>320</v>
      </c>
      <c r="AR59" t="s">
        <v>321</v>
      </c>
      <c r="AS59" t="s">
        <v>26</v>
      </c>
      <c r="AT59" t="s">
        <v>26</v>
      </c>
      <c r="AU59" t="s">
        <v>64</v>
      </c>
      <c r="AV59" t="s">
        <v>64</v>
      </c>
      <c r="AW59" t="s">
        <v>119</v>
      </c>
      <c r="AX59" t="s">
        <v>120</v>
      </c>
      <c r="AY59">
        <v>10</v>
      </c>
      <c r="AZ59" s="146" t="s">
        <v>191</v>
      </c>
      <c r="BA59" t="s">
        <v>214</v>
      </c>
      <c r="BB59" t="s">
        <v>26</v>
      </c>
      <c r="BC59" t="s">
        <v>322</v>
      </c>
      <c r="BD59" t="s">
        <v>75</v>
      </c>
      <c r="BE59" t="s">
        <v>26</v>
      </c>
      <c r="BF59" t="s">
        <v>26</v>
      </c>
      <c r="BG59" s="146">
        <v>2376</v>
      </c>
      <c r="BH59" t="s">
        <v>323</v>
      </c>
      <c r="BI59">
        <v>0.13</v>
      </c>
      <c r="BJ59" t="s">
        <v>324</v>
      </c>
      <c r="BK59" t="s">
        <v>2</v>
      </c>
      <c r="BL59">
        <v>92</v>
      </c>
    </row>
    <row r="60" spans="1:64">
      <c r="A60" s="47"/>
      <c r="B60" s="27">
        <v>93</v>
      </c>
      <c r="C60" s="27" t="s">
        <v>2147</v>
      </c>
      <c r="E60" s="27" t="s">
        <v>2148</v>
      </c>
      <c r="AC60"/>
      <c r="AD60"/>
      <c r="AE60"/>
      <c r="AF60" s="37" t="str">
        <f t="shared" si="1"/>
        <v>STO51A              LDS</v>
      </c>
      <c r="AG60" t="s">
        <v>2150</v>
      </c>
      <c r="AH60">
        <v>3</v>
      </c>
      <c r="AI60">
        <v>93</v>
      </c>
      <c r="AJ60" t="s">
        <v>325</v>
      </c>
      <c r="AK60" t="s">
        <v>26</v>
      </c>
      <c r="AL60" t="s">
        <v>219</v>
      </c>
      <c r="AM60" t="s">
        <v>219</v>
      </c>
      <c r="AN60" t="s">
        <v>220</v>
      </c>
      <c r="AO60" t="s">
        <v>221</v>
      </c>
      <c r="AP60" t="s">
        <v>153</v>
      </c>
      <c r="AQ60" t="s">
        <v>223</v>
      </c>
      <c r="AR60" t="s">
        <v>304</v>
      </c>
      <c r="AS60" t="s">
        <v>26</v>
      </c>
      <c r="AT60" t="s">
        <v>26</v>
      </c>
      <c r="AU60" t="s">
        <v>317</v>
      </c>
      <c r="AV60" t="s">
        <v>317</v>
      </c>
      <c r="AW60" t="s">
        <v>318</v>
      </c>
      <c r="AX60" t="s">
        <v>319</v>
      </c>
      <c r="AY60">
        <v>2</v>
      </c>
      <c r="AZ60" t="s">
        <v>320</v>
      </c>
      <c r="BA60" t="s">
        <v>243</v>
      </c>
      <c r="BB60" t="s">
        <v>26</v>
      </c>
      <c r="BC60" t="s">
        <v>326</v>
      </c>
      <c r="BD60" t="s">
        <v>75</v>
      </c>
      <c r="BE60" t="s">
        <v>26</v>
      </c>
      <c r="BF60" t="s">
        <v>26</v>
      </c>
      <c r="BG60">
        <v>254</v>
      </c>
      <c r="BH60" t="s">
        <v>227</v>
      </c>
      <c r="BI60">
        <v>0.35</v>
      </c>
      <c r="BJ60" t="s">
        <v>327</v>
      </c>
      <c r="BK60" t="s">
        <v>2</v>
      </c>
      <c r="BL60">
        <v>93</v>
      </c>
    </row>
    <row r="61" spans="1:64">
      <c r="A61" s="47"/>
      <c r="B61" s="27">
        <v>94</v>
      </c>
      <c r="C61" s="27" t="s">
        <v>2147</v>
      </c>
      <c r="E61" s="27" t="s">
        <v>2148</v>
      </c>
      <c r="F61" s="27" t="s">
        <v>2152</v>
      </c>
      <c r="G61" s="27" t="s">
        <v>330</v>
      </c>
      <c r="K61" s="27" t="s">
        <v>2153</v>
      </c>
      <c r="L61" s="27" t="s">
        <v>2148</v>
      </c>
      <c r="M61" s="27" t="s">
        <v>2154</v>
      </c>
      <c r="AC61"/>
      <c r="AD61"/>
      <c r="AE61"/>
      <c r="AF61" s="37" t="str">
        <f t="shared" si="1"/>
        <v>LDS                 SP_MB33_C</v>
      </c>
      <c r="AG61" t="s">
        <v>2150</v>
      </c>
      <c r="AH61">
        <v>3</v>
      </c>
      <c r="AI61">
        <v>94</v>
      </c>
      <c r="AJ61" t="s">
        <v>328</v>
      </c>
      <c r="AK61" t="s">
        <v>26</v>
      </c>
      <c r="AL61" t="s">
        <v>317</v>
      </c>
      <c r="AM61" t="s">
        <v>317</v>
      </c>
      <c r="AN61" t="s">
        <v>318</v>
      </c>
      <c r="AO61" t="s">
        <v>319</v>
      </c>
      <c r="AP61">
        <v>3</v>
      </c>
      <c r="AQ61" t="s">
        <v>320</v>
      </c>
      <c r="AR61" t="s">
        <v>243</v>
      </c>
      <c r="AS61" t="s">
        <v>26</v>
      </c>
      <c r="AT61" t="s">
        <v>26</v>
      </c>
      <c r="AU61" t="s">
        <v>26</v>
      </c>
      <c r="AV61" t="s">
        <v>329</v>
      </c>
      <c r="AW61">
        <v>354</v>
      </c>
      <c r="AX61" t="s">
        <v>330</v>
      </c>
      <c r="AY61">
        <v>1</v>
      </c>
      <c r="AZ61" t="s">
        <v>331</v>
      </c>
      <c r="BA61" t="s">
        <v>26</v>
      </c>
      <c r="BB61" t="s">
        <v>26</v>
      </c>
      <c r="BC61" t="s">
        <v>312</v>
      </c>
      <c r="BD61" t="s">
        <v>75</v>
      </c>
      <c r="BE61" t="s">
        <v>26</v>
      </c>
      <c r="BF61" t="s">
        <v>26</v>
      </c>
      <c r="BG61">
        <v>450</v>
      </c>
      <c r="BH61" t="s">
        <v>42</v>
      </c>
      <c r="BI61">
        <v>0.35</v>
      </c>
      <c r="BJ61" t="s">
        <v>332</v>
      </c>
      <c r="BK61" t="s">
        <v>2</v>
      </c>
      <c r="BL61">
        <v>94</v>
      </c>
    </row>
    <row r="62" spans="1:64">
      <c r="A62" s="47"/>
      <c r="B62" s="27">
        <v>100</v>
      </c>
      <c r="C62" s="27" t="s">
        <v>2147</v>
      </c>
      <c r="E62" s="27" t="s">
        <v>2148</v>
      </c>
      <c r="AC62"/>
      <c r="AD62"/>
      <c r="AE62"/>
      <c r="AF62" s="37" t="str">
        <f t="shared" si="1"/>
        <v>KS_CPL_D            KS_CPM_A</v>
      </c>
      <c r="AG62" t="s">
        <v>2150</v>
      </c>
      <c r="AH62">
        <v>3</v>
      </c>
      <c r="AI62">
        <v>100</v>
      </c>
      <c r="AJ62" t="s">
        <v>333</v>
      </c>
      <c r="AK62" t="s">
        <v>26</v>
      </c>
      <c r="AL62" t="s">
        <v>64</v>
      </c>
      <c r="AM62" t="s">
        <v>64</v>
      </c>
      <c r="AN62" t="s">
        <v>65</v>
      </c>
      <c r="AO62" t="s">
        <v>66</v>
      </c>
      <c r="AP62">
        <v>2</v>
      </c>
      <c r="AQ62" t="s">
        <v>67</v>
      </c>
      <c r="AR62" t="s">
        <v>68</v>
      </c>
      <c r="AS62" t="s">
        <v>26</v>
      </c>
      <c r="AT62" t="s">
        <v>26</v>
      </c>
      <c r="AU62" t="s">
        <v>69</v>
      </c>
      <c r="AV62" t="s">
        <v>69</v>
      </c>
      <c r="AW62" t="s">
        <v>143</v>
      </c>
      <c r="AX62" t="s">
        <v>144</v>
      </c>
      <c r="AY62">
        <v>2</v>
      </c>
      <c r="AZ62" t="s">
        <v>145</v>
      </c>
      <c r="BA62" t="s">
        <v>68</v>
      </c>
      <c r="BB62" t="s">
        <v>26</v>
      </c>
      <c r="BC62" t="s">
        <v>334</v>
      </c>
      <c r="BD62" t="s">
        <v>75</v>
      </c>
      <c r="BE62" t="s">
        <v>26</v>
      </c>
      <c r="BF62" t="s">
        <v>26</v>
      </c>
      <c r="BG62">
        <v>1583</v>
      </c>
      <c r="BH62" t="s">
        <v>335</v>
      </c>
      <c r="BI62">
        <v>0.35</v>
      </c>
      <c r="BJ62" t="s">
        <v>336</v>
      </c>
      <c r="BK62" t="s">
        <v>2</v>
      </c>
      <c r="BL62">
        <v>100</v>
      </c>
    </row>
    <row r="63" spans="1:64">
      <c r="A63" s="47">
        <v>501.50599999999997</v>
      </c>
      <c r="B63" s="27">
        <v>102</v>
      </c>
      <c r="C63" s="27" t="s">
        <v>2147</v>
      </c>
      <c r="E63" s="27" t="s">
        <v>2148</v>
      </c>
      <c r="AC63"/>
      <c r="AD63"/>
      <c r="AE63" s="162" t="s">
        <v>2356</v>
      </c>
      <c r="AF63" s="37" t="str">
        <f t="shared" si="1"/>
        <v>DSO03A              KS_CPL_A</v>
      </c>
      <c r="AG63" t="s">
        <v>2150</v>
      </c>
      <c r="AH63">
        <v>3</v>
      </c>
      <c r="AI63">
        <v>102</v>
      </c>
      <c r="AJ63" t="s">
        <v>337</v>
      </c>
      <c r="AK63" t="s">
        <v>26</v>
      </c>
      <c r="AL63" t="s">
        <v>338</v>
      </c>
      <c r="AM63" t="s">
        <v>338</v>
      </c>
      <c r="AN63" t="s">
        <v>339</v>
      </c>
      <c r="AO63" t="s">
        <v>340</v>
      </c>
      <c r="AP63">
        <v>11</v>
      </c>
      <c r="AQ63" t="s">
        <v>341</v>
      </c>
      <c r="AR63" t="s">
        <v>342</v>
      </c>
      <c r="AS63" t="s">
        <v>26</v>
      </c>
      <c r="AT63" t="s">
        <v>26</v>
      </c>
      <c r="AU63" t="s">
        <v>64</v>
      </c>
      <c r="AV63" t="s">
        <v>64</v>
      </c>
      <c r="AW63" t="s">
        <v>261</v>
      </c>
      <c r="AX63" t="s">
        <v>262</v>
      </c>
      <c r="AY63">
        <v>7</v>
      </c>
      <c r="AZ63" t="s">
        <v>263</v>
      </c>
      <c r="BA63" t="s">
        <v>68</v>
      </c>
      <c r="BB63" t="s">
        <v>26</v>
      </c>
      <c r="BC63" t="s">
        <v>206</v>
      </c>
      <c r="BD63" t="s">
        <v>75</v>
      </c>
      <c r="BE63" t="s">
        <v>343</v>
      </c>
      <c r="BF63" t="s">
        <v>45</v>
      </c>
      <c r="BG63" s="146">
        <v>2447</v>
      </c>
      <c r="BH63" t="s">
        <v>46</v>
      </c>
      <c r="BI63">
        <v>0.35</v>
      </c>
      <c r="BJ63" t="s">
        <v>344</v>
      </c>
      <c r="BK63" t="s">
        <v>2</v>
      </c>
      <c r="BL63">
        <v>102</v>
      </c>
    </row>
    <row r="64" spans="1:64">
      <c r="A64" s="47">
        <v>501.50599999999997</v>
      </c>
      <c r="B64" s="27">
        <v>103</v>
      </c>
      <c r="C64" s="27" t="s">
        <v>2147</v>
      </c>
      <c r="E64" s="27" t="s">
        <v>2148</v>
      </c>
      <c r="AC64"/>
      <c r="AD64"/>
      <c r="AE64" s="162" t="s">
        <v>2356</v>
      </c>
      <c r="AF64" s="37" t="str">
        <f t="shared" si="1"/>
        <v>DSO03A              KS_CPL_A</v>
      </c>
      <c r="AG64" t="s">
        <v>2150</v>
      </c>
      <c r="AH64">
        <v>3</v>
      </c>
      <c r="AI64">
        <v>103</v>
      </c>
      <c r="AJ64" t="s">
        <v>345</v>
      </c>
      <c r="AK64" t="s">
        <v>26</v>
      </c>
      <c r="AL64" t="s">
        <v>338</v>
      </c>
      <c r="AM64" t="s">
        <v>338</v>
      </c>
      <c r="AN64" t="s">
        <v>339</v>
      </c>
      <c r="AO64" t="s">
        <v>340</v>
      </c>
      <c r="AP64">
        <v>13</v>
      </c>
      <c r="AQ64" t="s">
        <v>341</v>
      </c>
      <c r="AR64" t="s">
        <v>342</v>
      </c>
      <c r="AS64" t="s">
        <v>26</v>
      </c>
      <c r="AT64" t="s">
        <v>26</v>
      </c>
      <c r="AU64" t="s">
        <v>64</v>
      </c>
      <c r="AV64" t="s">
        <v>64</v>
      </c>
      <c r="AW64" t="s">
        <v>261</v>
      </c>
      <c r="AX64" t="s">
        <v>262</v>
      </c>
      <c r="AY64">
        <v>8</v>
      </c>
      <c r="AZ64" t="s">
        <v>263</v>
      </c>
      <c r="BA64" t="s">
        <v>68</v>
      </c>
      <c r="BB64" t="s">
        <v>26</v>
      </c>
      <c r="BC64" t="s">
        <v>206</v>
      </c>
      <c r="BD64" t="s">
        <v>75</v>
      </c>
      <c r="BE64" t="s">
        <v>346</v>
      </c>
      <c r="BF64" t="s">
        <v>45</v>
      </c>
      <c r="BG64" s="146">
        <v>2447</v>
      </c>
      <c r="BH64" t="s">
        <v>46</v>
      </c>
      <c r="BI64">
        <v>0.35</v>
      </c>
      <c r="BJ64" t="s">
        <v>347</v>
      </c>
      <c r="BK64" t="s">
        <v>2</v>
      </c>
      <c r="BL64">
        <v>103</v>
      </c>
    </row>
    <row r="65" spans="1:64">
      <c r="A65" s="47">
        <v>501.50599999999997</v>
      </c>
      <c r="B65" s="27">
        <v>104</v>
      </c>
      <c r="C65" s="27" t="s">
        <v>2147</v>
      </c>
      <c r="E65" s="27" t="s">
        <v>2148</v>
      </c>
      <c r="AC65"/>
      <c r="AD65"/>
      <c r="AE65" s="162" t="s">
        <v>2356</v>
      </c>
      <c r="AF65" s="37" t="str">
        <f t="shared" si="1"/>
        <v>DSO03A              KS_CPL_A</v>
      </c>
      <c r="AG65" t="s">
        <v>2150</v>
      </c>
      <c r="AH65">
        <v>3</v>
      </c>
      <c r="AI65">
        <v>104</v>
      </c>
      <c r="AJ65" t="s">
        <v>348</v>
      </c>
      <c r="AK65" t="s">
        <v>26</v>
      </c>
      <c r="AL65" t="s">
        <v>338</v>
      </c>
      <c r="AM65" t="s">
        <v>338</v>
      </c>
      <c r="AN65" t="s">
        <v>339</v>
      </c>
      <c r="AO65" t="s">
        <v>340</v>
      </c>
      <c r="AP65">
        <v>3</v>
      </c>
      <c r="AQ65" t="s">
        <v>341</v>
      </c>
      <c r="AR65" t="s">
        <v>342</v>
      </c>
      <c r="AS65" t="s">
        <v>26</v>
      </c>
      <c r="AT65" t="s">
        <v>26</v>
      </c>
      <c r="AU65" t="s">
        <v>64</v>
      </c>
      <c r="AV65" t="s">
        <v>64</v>
      </c>
      <c r="AW65" t="s">
        <v>261</v>
      </c>
      <c r="AX65" t="s">
        <v>262</v>
      </c>
      <c r="AY65">
        <v>6</v>
      </c>
      <c r="AZ65" t="s">
        <v>263</v>
      </c>
      <c r="BA65" t="s">
        <v>68</v>
      </c>
      <c r="BB65" t="s">
        <v>26</v>
      </c>
      <c r="BC65" t="s">
        <v>206</v>
      </c>
      <c r="BD65" t="s">
        <v>75</v>
      </c>
      <c r="BE65" t="s">
        <v>343</v>
      </c>
      <c r="BF65" t="s">
        <v>208</v>
      </c>
      <c r="BG65" s="146">
        <v>2447</v>
      </c>
      <c r="BH65" t="s">
        <v>209</v>
      </c>
      <c r="BI65">
        <v>0.35</v>
      </c>
      <c r="BJ65" t="s">
        <v>349</v>
      </c>
      <c r="BK65" t="s">
        <v>2</v>
      </c>
      <c r="BL65">
        <v>104</v>
      </c>
    </row>
    <row r="66" spans="1:64">
      <c r="A66" s="47">
        <v>501.50599999999997</v>
      </c>
      <c r="B66" s="27">
        <v>105</v>
      </c>
      <c r="C66" s="27" t="s">
        <v>2147</v>
      </c>
      <c r="E66" s="27" t="s">
        <v>2148</v>
      </c>
      <c r="AC66"/>
      <c r="AD66"/>
      <c r="AE66" s="162" t="s">
        <v>2356</v>
      </c>
      <c r="AF66" s="37" t="str">
        <f t="shared" si="1"/>
        <v>DSO03A              KS_CPL_A</v>
      </c>
      <c r="AG66" t="s">
        <v>2150</v>
      </c>
      <c r="AH66">
        <v>3</v>
      </c>
      <c r="AI66">
        <v>105</v>
      </c>
      <c r="AJ66" t="s">
        <v>350</v>
      </c>
      <c r="AK66" t="s">
        <v>26</v>
      </c>
      <c r="AL66" t="s">
        <v>338</v>
      </c>
      <c r="AM66" t="s">
        <v>338</v>
      </c>
      <c r="AN66" t="s">
        <v>339</v>
      </c>
      <c r="AO66" t="s">
        <v>340</v>
      </c>
      <c r="AP66">
        <v>12</v>
      </c>
      <c r="AQ66" t="s">
        <v>341</v>
      </c>
      <c r="AR66" t="s">
        <v>342</v>
      </c>
      <c r="AS66" t="s">
        <v>26</v>
      </c>
      <c r="AT66" t="s">
        <v>26</v>
      </c>
      <c r="AU66" t="s">
        <v>64</v>
      </c>
      <c r="AV66" t="s">
        <v>64</v>
      </c>
      <c r="AW66" t="s">
        <v>261</v>
      </c>
      <c r="AX66" t="s">
        <v>262</v>
      </c>
      <c r="AY66">
        <v>9</v>
      </c>
      <c r="AZ66" t="s">
        <v>263</v>
      </c>
      <c r="BA66" t="s">
        <v>68</v>
      </c>
      <c r="BB66" t="s">
        <v>26</v>
      </c>
      <c r="BC66" t="s">
        <v>206</v>
      </c>
      <c r="BD66" t="s">
        <v>75</v>
      </c>
      <c r="BE66" t="s">
        <v>346</v>
      </c>
      <c r="BF66" t="s">
        <v>208</v>
      </c>
      <c r="BG66" s="146">
        <v>2447</v>
      </c>
      <c r="BH66" t="s">
        <v>209</v>
      </c>
      <c r="BI66">
        <v>0.35</v>
      </c>
      <c r="BJ66" t="s">
        <v>351</v>
      </c>
      <c r="BK66" t="s">
        <v>2</v>
      </c>
      <c r="BL66">
        <v>105</v>
      </c>
    </row>
    <row r="67" spans="1:64">
      <c r="A67" s="47">
        <v>506</v>
      </c>
      <c r="B67" s="27">
        <v>108</v>
      </c>
      <c r="C67" s="27" t="s">
        <v>2147</v>
      </c>
      <c r="E67" s="27" t="s">
        <v>2148</v>
      </c>
      <c r="F67" s="27" t="s">
        <v>2152</v>
      </c>
      <c r="G67" s="27" t="s">
        <v>330</v>
      </c>
      <c r="K67" s="27" t="s">
        <v>2153</v>
      </c>
      <c r="L67" s="27" t="s">
        <v>2154</v>
      </c>
      <c r="M67" s="27" t="s">
        <v>2148</v>
      </c>
      <c r="AC67"/>
      <c r="AD67"/>
      <c r="AE67"/>
      <c r="AF67" s="37" t="str">
        <f t="shared" si="1"/>
        <v>SP_MB33_C           KS_CPL_A</v>
      </c>
      <c r="AG67" t="s">
        <v>2150</v>
      </c>
      <c r="AH67">
        <v>3</v>
      </c>
      <c r="AI67">
        <v>108</v>
      </c>
      <c r="AJ67" t="s">
        <v>352</v>
      </c>
      <c r="AK67" t="s">
        <v>26</v>
      </c>
      <c r="AL67" t="s">
        <v>26</v>
      </c>
      <c r="AM67" t="s">
        <v>329</v>
      </c>
      <c r="AN67">
        <v>354</v>
      </c>
      <c r="AO67" t="s">
        <v>330</v>
      </c>
      <c r="AP67">
        <v>1</v>
      </c>
      <c r="AQ67" t="s">
        <v>331</v>
      </c>
      <c r="AR67" t="s">
        <v>26</v>
      </c>
      <c r="AS67" t="s">
        <v>26</v>
      </c>
      <c r="AT67" t="s">
        <v>26</v>
      </c>
      <c r="AU67" t="s">
        <v>64</v>
      </c>
      <c r="AV67" t="s">
        <v>64</v>
      </c>
      <c r="AW67" t="s">
        <v>261</v>
      </c>
      <c r="AX67" t="s">
        <v>262</v>
      </c>
      <c r="AY67">
        <v>17</v>
      </c>
      <c r="AZ67" t="s">
        <v>263</v>
      </c>
      <c r="BA67" t="s">
        <v>230</v>
      </c>
      <c r="BB67" t="s">
        <v>26</v>
      </c>
      <c r="BC67" t="s">
        <v>234</v>
      </c>
      <c r="BD67" t="s">
        <v>75</v>
      </c>
      <c r="BE67" t="s">
        <v>26</v>
      </c>
      <c r="BF67" t="s">
        <v>26</v>
      </c>
      <c r="BG67" s="146">
        <v>2337</v>
      </c>
      <c r="BH67" t="s">
        <v>42</v>
      </c>
      <c r="BI67">
        <v>1.5</v>
      </c>
      <c r="BJ67" t="s">
        <v>332</v>
      </c>
      <c r="BK67" t="s">
        <v>2</v>
      </c>
      <c r="BL67">
        <v>108</v>
      </c>
    </row>
    <row r="68" spans="1:64">
      <c r="A68" s="47">
        <v>506</v>
      </c>
      <c r="B68" s="27">
        <v>109</v>
      </c>
      <c r="C68" s="27" t="s">
        <v>2147</v>
      </c>
      <c r="E68" s="27" t="s">
        <v>2148</v>
      </c>
      <c r="F68" s="27" t="s">
        <v>2152</v>
      </c>
      <c r="G68" s="27" t="s">
        <v>176</v>
      </c>
      <c r="K68" s="27" t="s">
        <v>2153</v>
      </c>
      <c r="L68" s="27" t="s">
        <v>2154</v>
      </c>
      <c r="M68" s="27" t="s">
        <v>2148</v>
      </c>
      <c r="AC68"/>
      <c r="AD68"/>
      <c r="AE68"/>
      <c r="AF68" s="37" t="str">
        <f t="shared" si="1"/>
        <v>SP_MB34_B1          KS_CPR_B</v>
      </c>
      <c r="AG68" t="s">
        <v>2150</v>
      </c>
      <c r="AH68">
        <v>3</v>
      </c>
      <c r="AI68">
        <v>109</v>
      </c>
      <c r="AJ68" t="s">
        <v>353</v>
      </c>
      <c r="AK68" t="s">
        <v>26</v>
      </c>
      <c r="AL68" t="s">
        <v>26</v>
      </c>
      <c r="AM68" t="s">
        <v>175</v>
      </c>
      <c r="AN68">
        <v>335</v>
      </c>
      <c r="AO68" t="s">
        <v>176</v>
      </c>
      <c r="AP68">
        <v>1</v>
      </c>
      <c r="AQ68" t="s">
        <v>177</v>
      </c>
      <c r="AR68" t="s">
        <v>26</v>
      </c>
      <c r="AS68" t="s">
        <v>26</v>
      </c>
      <c r="AT68" t="s">
        <v>26</v>
      </c>
      <c r="AU68" t="s">
        <v>131</v>
      </c>
      <c r="AV68" t="s">
        <v>131</v>
      </c>
      <c r="AW68" t="s">
        <v>132</v>
      </c>
      <c r="AX68" t="s">
        <v>133</v>
      </c>
      <c r="AY68">
        <v>15</v>
      </c>
      <c r="AZ68" t="s">
        <v>134</v>
      </c>
      <c r="BA68" t="s">
        <v>230</v>
      </c>
      <c r="BB68" t="s">
        <v>26</v>
      </c>
      <c r="BC68" t="s">
        <v>178</v>
      </c>
      <c r="BD68" t="s">
        <v>75</v>
      </c>
      <c r="BE68" t="s">
        <v>26</v>
      </c>
      <c r="BF68" t="s">
        <v>26</v>
      </c>
      <c r="BG68" s="146">
        <v>1386</v>
      </c>
      <c r="BH68" t="s">
        <v>42</v>
      </c>
      <c r="BI68">
        <v>2.5</v>
      </c>
      <c r="BJ68" t="s">
        <v>179</v>
      </c>
      <c r="BK68" t="s">
        <v>2</v>
      </c>
      <c r="BL68">
        <v>109</v>
      </c>
    </row>
    <row r="69" spans="1:64">
      <c r="A69" s="47">
        <v>501</v>
      </c>
      <c r="B69" s="27">
        <v>112</v>
      </c>
      <c r="C69" s="27" t="s">
        <v>2147</v>
      </c>
      <c r="E69" s="27" t="s">
        <v>2148</v>
      </c>
      <c r="F69" s="27" t="s">
        <v>2152</v>
      </c>
      <c r="G69" s="27" t="s">
        <v>330</v>
      </c>
      <c r="K69" s="27" t="s">
        <v>2153</v>
      </c>
      <c r="L69" s="27" t="s">
        <v>2148</v>
      </c>
      <c r="M69" s="27" t="s">
        <v>2154</v>
      </c>
      <c r="AC69"/>
      <c r="AD69"/>
      <c r="AE69"/>
      <c r="AF69" s="37" t="str">
        <f t="shared" ref="AF69:AF100" si="2" xml:space="preserve"> AO69 &amp; REPT(" ",20-LEN(AO69)) &amp; AX69</f>
        <v>DSO03A              SP_MB33_C</v>
      </c>
      <c r="AG69" t="s">
        <v>2150</v>
      </c>
      <c r="AH69">
        <v>3</v>
      </c>
      <c r="AI69">
        <v>112</v>
      </c>
      <c r="AJ69" t="s">
        <v>354</v>
      </c>
      <c r="AK69" t="s">
        <v>26</v>
      </c>
      <c r="AL69" t="s">
        <v>338</v>
      </c>
      <c r="AM69" t="s">
        <v>338</v>
      </c>
      <c r="AN69" t="s">
        <v>339</v>
      </c>
      <c r="AO69" t="s">
        <v>340</v>
      </c>
      <c r="AP69">
        <v>4</v>
      </c>
      <c r="AQ69" t="s">
        <v>341</v>
      </c>
      <c r="AR69" t="s">
        <v>342</v>
      </c>
      <c r="AS69" t="s">
        <v>26</v>
      </c>
      <c r="AT69" t="s">
        <v>26</v>
      </c>
      <c r="AU69" t="s">
        <v>26</v>
      </c>
      <c r="AV69" t="s">
        <v>329</v>
      </c>
      <c r="AW69">
        <v>354</v>
      </c>
      <c r="AX69" t="s">
        <v>330</v>
      </c>
      <c r="AY69">
        <v>1</v>
      </c>
      <c r="AZ69" t="s">
        <v>331</v>
      </c>
      <c r="BA69" t="s">
        <v>26</v>
      </c>
      <c r="BB69" t="s">
        <v>26</v>
      </c>
      <c r="BC69" t="s">
        <v>280</v>
      </c>
      <c r="BD69" t="s">
        <v>75</v>
      </c>
      <c r="BE69" t="s">
        <v>26</v>
      </c>
      <c r="BF69" t="s">
        <v>26</v>
      </c>
      <c r="BG69" s="146">
        <v>310</v>
      </c>
      <c r="BH69" t="s">
        <v>42</v>
      </c>
      <c r="BI69">
        <v>0.5</v>
      </c>
      <c r="BJ69" t="s">
        <v>332</v>
      </c>
      <c r="BK69" t="s">
        <v>2</v>
      </c>
      <c r="BL69">
        <v>112</v>
      </c>
    </row>
    <row r="70" spans="1:64">
      <c r="A70" s="47">
        <v>501</v>
      </c>
      <c r="B70" s="27">
        <v>113</v>
      </c>
      <c r="C70" s="27" t="s">
        <v>2147</v>
      </c>
      <c r="E70" s="27" t="s">
        <v>2148</v>
      </c>
      <c r="F70" s="27" t="s">
        <v>2152</v>
      </c>
      <c r="G70" s="27" t="s">
        <v>330</v>
      </c>
      <c r="K70" s="27" t="s">
        <v>2153</v>
      </c>
      <c r="L70" s="27" t="s">
        <v>2148</v>
      </c>
      <c r="M70" s="27" t="s">
        <v>2154</v>
      </c>
      <c r="AC70"/>
      <c r="AD70"/>
      <c r="AE70"/>
      <c r="AF70" s="37" t="str">
        <f t="shared" si="2"/>
        <v>DSO03A              SP_MB33_C</v>
      </c>
      <c r="AG70" t="s">
        <v>2150</v>
      </c>
      <c r="AH70">
        <v>3</v>
      </c>
      <c r="AI70">
        <v>113</v>
      </c>
      <c r="AJ70" t="s">
        <v>355</v>
      </c>
      <c r="AK70" t="s">
        <v>26</v>
      </c>
      <c r="AL70" t="s">
        <v>338</v>
      </c>
      <c r="AM70" t="s">
        <v>338</v>
      </c>
      <c r="AN70" t="s">
        <v>339</v>
      </c>
      <c r="AO70" t="s">
        <v>340</v>
      </c>
      <c r="AP70">
        <v>5</v>
      </c>
      <c r="AQ70" t="s">
        <v>341</v>
      </c>
      <c r="AR70" t="s">
        <v>342</v>
      </c>
      <c r="AS70" t="s">
        <v>26</v>
      </c>
      <c r="AT70" t="s">
        <v>26</v>
      </c>
      <c r="AU70" t="s">
        <v>26</v>
      </c>
      <c r="AV70" t="s">
        <v>329</v>
      </c>
      <c r="AW70">
        <v>354</v>
      </c>
      <c r="AX70" t="s">
        <v>330</v>
      </c>
      <c r="AY70">
        <v>1</v>
      </c>
      <c r="AZ70" t="s">
        <v>331</v>
      </c>
      <c r="BA70" t="s">
        <v>26</v>
      </c>
      <c r="BB70" t="s">
        <v>26</v>
      </c>
      <c r="BC70" t="s">
        <v>280</v>
      </c>
      <c r="BD70" t="s">
        <v>75</v>
      </c>
      <c r="BE70" t="s">
        <v>26</v>
      </c>
      <c r="BF70" t="s">
        <v>26</v>
      </c>
      <c r="BG70" s="146">
        <v>310</v>
      </c>
      <c r="BH70" t="s">
        <v>42</v>
      </c>
      <c r="BI70">
        <v>0.5</v>
      </c>
      <c r="BJ70" t="s">
        <v>332</v>
      </c>
      <c r="BK70" t="s">
        <v>2</v>
      </c>
      <c r="BL70">
        <v>113</v>
      </c>
    </row>
    <row r="71" spans="1:64">
      <c r="A71" s="47">
        <v>501.50599999999997</v>
      </c>
      <c r="B71" s="27">
        <v>115</v>
      </c>
      <c r="C71" s="27" t="s">
        <v>2147</v>
      </c>
      <c r="E71" s="27" t="s">
        <v>2148</v>
      </c>
      <c r="AC71"/>
      <c r="AD71"/>
      <c r="AE71" t="s">
        <v>2155</v>
      </c>
      <c r="AF71" s="37" t="str">
        <f t="shared" si="2"/>
        <v>DSO03A              KS_CPL_B</v>
      </c>
      <c r="AG71" t="s">
        <v>2150</v>
      </c>
      <c r="AH71">
        <v>3</v>
      </c>
      <c r="AI71">
        <v>115</v>
      </c>
      <c r="AJ71" t="s">
        <v>356</v>
      </c>
      <c r="AK71" t="s">
        <v>26</v>
      </c>
      <c r="AL71" t="s">
        <v>338</v>
      </c>
      <c r="AM71" t="s">
        <v>338</v>
      </c>
      <c r="AN71" t="s">
        <v>339</v>
      </c>
      <c r="AO71" t="s">
        <v>340</v>
      </c>
      <c r="AP71">
        <v>6</v>
      </c>
      <c r="AQ71" t="s">
        <v>341</v>
      </c>
      <c r="AR71" t="s">
        <v>342</v>
      </c>
      <c r="AS71" t="s">
        <v>26</v>
      </c>
      <c r="AT71" t="s">
        <v>26</v>
      </c>
      <c r="AU71" t="s">
        <v>64</v>
      </c>
      <c r="AV71" t="s">
        <v>64</v>
      </c>
      <c r="AW71" t="s">
        <v>91</v>
      </c>
      <c r="AX71" t="s">
        <v>92</v>
      </c>
      <c r="AY71">
        <v>11</v>
      </c>
      <c r="AZ71" t="s">
        <v>93</v>
      </c>
      <c r="BA71" t="s">
        <v>68</v>
      </c>
      <c r="BB71" t="s">
        <v>26</v>
      </c>
      <c r="BC71" t="s">
        <v>357</v>
      </c>
      <c r="BD71" t="s">
        <v>75</v>
      </c>
      <c r="BE71" t="s">
        <v>358</v>
      </c>
      <c r="BF71" t="s">
        <v>359</v>
      </c>
      <c r="BG71" s="146">
        <v>2447</v>
      </c>
      <c r="BH71" t="s">
        <v>161</v>
      </c>
      <c r="BI71">
        <v>0.35</v>
      </c>
      <c r="BJ71" t="s">
        <v>360</v>
      </c>
      <c r="BK71" t="s">
        <v>2</v>
      </c>
      <c r="BL71">
        <v>115</v>
      </c>
    </row>
    <row r="72" spans="1:64">
      <c r="A72" s="47">
        <v>501.50599999999997</v>
      </c>
      <c r="B72" s="27">
        <v>116</v>
      </c>
      <c r="C72" s="27" t="s">
        <v>2147</v>
      </c>
      <c r="E72" s="27" t="s">
        <v>2148</v>
      </c>
      <c r="AC72"/>
      <c r="AD72"/>
      <c r="AE72" t="s">
        <v>2155</v>
      </c>
      <c r="AF72" s="37" t="str">
        <f t="shared" si="2"/>
        <v>DSO03A              KS_CPL_B</v>
      </c>
      <c r="AG72" t="s">
        <v>2150</v>
      </c>
      <c r="AH72">
        <v>3</v>
      </c>
      <c r="AI72">
        <v>116</v>
      </c>
      <c r="AJ72" t="s">
        <v>361</v>
      </c>
      <c r="AK72" t="s">
        <v>26</v>
      </c>
      <c r="AL72" t="s">
        <v>338</v>
      </c>
      <c r="AM72" t="s">
        <v>338</v>
      </c>
      <c r="AN72" t="s">
        <v>339</v>
      </c>
      <c r="AO72" t="s">
        <v>340</v>
      </c>
      <c r="AP72">
        <v>14</v>
      </c>
      <c r="AQ72" t="s">
        <v>341</v>
      </c>
      <c r="AR72" t="s">
        <v>342</v>
      </c>
      <c r="AS72" t="s">
        <v>26</v>
      </c>
      <c r="AT72" t="s">
        <v>26</v>
      </c>
      <c r="AU72" t="s">
        <v>64</v>
      </c>
      <c r="AV72" t="s">
        <v>64</v>
      </c>
      <c r="AW72" t="s">
        <v>91</v>
      </c>
      <c r="AX72" t="s">
        <v>92</v>
      </c>
      <c r="AY72">
        <v>12</v>
      </c>
      <c r="AZ72" t="s">
        <v>93</v>
      </c>
      <c r="BA72" t="s">
        <v>68</v>
      </c>
      <c r="BB72" t="s">
        <v>26</v>
      </c>
      <c r="BC72" t="s">
        <v>357</v>
      </c>
      <c r="BD72" t="s">
        <v>75</v>
      </c>
      <c r="BE72" t="s">
        <v>358</v>
      </c>
      <c r="BF72" t="s">
        <v>96</v>
      </c>
      <c r="BG72" s="146">
        <v>2447</v>
      </c>
      <c r="BH72" t="s">
        <v>97</v>
      </c>
      <c r="BI72">
        <v>0.35</v>
      </c>
      <c r="BJ72" t="s">
        <v>362</v>
      </c>
      <c r="BK72" t="s">
        <v>2</v>
      </c>
      <c r="BL72">
        <v>116</v>
      </c>
    </row>
    <row r="73" spans="1:64">
      <c r="A73" s="47">
        <v>501.50599999999997</v>
      </c>
      <c r="B73" s="27">
        <v>117</v>
      </c>
      <c r="C73" s="27" t="s">
        <v>2147</v>
      </c>
      <c r="E73" s="27" t="s">
        <v>2148</v>
      </c>
      <c r="AC73"/>
      <c r="AD73"/>
      <c r="AE73"/>
      <c r="AF73" s="37" t="str">
        <f t="shared" si="2"/>
        <v>DSO03A              KS_CPL_D</v>
      </c>
      <c r="AG73" t="s">
        <v>2150</v>
      </c>
      <c r="AH73">
        <v>3</v>
      </c>
      <c r="AI73">
        <v>117</v>
      </c>
      <c r="AJ73" t="s">
        <v>363</v>
      </c>
      <c r="AK73" t="s">
        <v>26</v>
      </c>
      <c r="AL73" t="s">
        <v>338</v>
      </c>
      <c r="AM73" t="s">
        <v>338</v>
      </c>
      <c r="AN73" t="s">
        <v>339</v>
      </c>
      <c r="AO73" t="s">
        <v>340</v>
      </c>
      <c r="AP73">
        <v>8</v>
      </c>
      <c r="AQ73" t="s">
        <v>341</v>
      </c>
      <c r="AR73" t="s">
        <v>364</v>
      </c>
      <c r="AS73" t="s">
        <v>26</v>
      </c>
      <c r="AT73" t="s">
        <v>26</v>
      </c>
      <c r="AU73" t="s">
        <v>64</v>
      </c>
      <c r="AV73" t="s">
        <v>64</v>
      </c>
      <c r="AW73" t="s">
        <v>65</v>
      </c>
      <c r="AX73" t="s">
        <v>66</v>
      </c>
      <c r="AY73">
        <v>14</v>
      </c>
      <c r="AZ73" t="s">
        <v>67</v>
      </c>
      <c r="BA73" t="s">
        <v>214</v>
      </c>
      <c r="BB73" t="s">
        <v>26</v>
      </c>
      <c r="BC73" t="s">
        <v>365</v>
      </c>
      <c r="BD73" t="s">
        <v>75</v>
      </c>
      <c r="BE73" t="s">
        <v>26</v>
      </c>
      <c r="BF73" t="s">
        <v>26</v>
      </c>
      <c r="BG73" s="146">
        <v>2277</v>
      </c>
      <c r="BH73" t="s">
        <v>136</v>
      </c>
      <c r="BI73">
        <v>0.13</v>
      </c>
      <c r="BJ73" t="s">
        <v>366</v>
      </c>
      <c r="BK73" t="s">
        <v>2</v>
      </c>
      <c r="BL73">
        <v>117</v>
      </c>
    </row>
    <row r="74" spans="1:64">
      <c r="A74" s="47">
        <v>501.50599999999997</v>
      </c>
      <c r="B74" s="27">
        <v>118</v>
      </c>
      <c r="C74" s="27" t="s">
        <v>2147</v>
      </c>
      <c r="E74" s="27" t="s">
        <v>2148</v>
      </c>
      <c r="AC74"/>
      <c r="AD74"/>
      <c r="AE74"/>
      <c r="AF74" s="37" t="str">
        <f t="shared" si="2"/>
        <v>STO52A              DSO03A</v>
      </c>
      <c r="AG74" t="s">
        <v>2150</v>
      </c>
      <c r="AH74">
        <v>3</v>
      </c>
      <c r="AI74">
        <v>118</v>
      </c>
      <c r="AJ74" t="s">
        <v>367</v>
      </c>
      <c r="AK74" t="s">
        <v>26</v>
      </c>
      <c r="AL74" t="s">
        <v>150</v>
      </c>
      <c r="AM74" t="s">
        <v>150</v>
      </c>
      <c r="AN74" t="s">
        <v>151</v>
      </c>
      <c r="AO74" t="s">
        <v>152</v>
      </c>
      <c r="AP74" t="s">
        <v>368</v>
      </c>
      <c r="AQ74" t="s">
        <v>154</v>
      </c>
      <c r="AR74" t="s">
        <v>224</v>
      </c>
      <c r="AS74" t="s">
        <v>26</v>
      </c>
      <c r="AT74" t="s">
        <v>26</v>
      </c>
      <c r="AU74" t="s">
        <v>338</v>
      </c>
      <c r="AV74" t="s">
        <v>338</v>
      </c>
      <c r="AW74" t="s">
        <v>339</v>
      </c>
      <c r="AX74" t="s">
        <v>340</v>
      </c>
      <c r="AY74">
        <v>16</v>
      </c>
      <c r="AZ74" t="s">
        <v>341</v>
      </c>
      <c r="BA74" t="s">
        <v>342</v>
      </c>
      <c r="BB74" t="s">
        <v>26</v>
      </c>
      <c r="BC74" t="s">
        <v>369</v>
      </c>
      <c r="BD74" t="s">
        <v>75</v>
      </c>
      <c r="BE74" t="s">
        <v>26</v>
      </c>
      <c r="BF74" t="s">
        <v>26</v>
      </c>
      <c r="BG74" s="146">
        <v>2305</v>
      </c>
      <c r="BH74" t="s">
        <v>227</v>
      </c>
      <c r="BI74">
        <v>0.5</v>
      </c>
      <c r="BJ74" t="s">
        <v>370</v>
      </c>
      <c r="BK74" t="s">
        <v>2</v>
      </c>
      <c r="BL74">
        <v>118</v>
      </c>
    </row>
    <row r="75" spans="1:64">
      <c r="A75" s="47"/>
      <c r="B75" s="27">
        <v>119</v>
      </c>
      <c r="C75" s="27" t="s">
        <v>2147</v>
      </c>
      <c r="E75" s="27" t="s">
        <v>2148</v>
      </c>
      <c r="F75" s="27" t="s">
        <v>2156</v>
      </c>
      <c r="G75" s="27" t="s">
        <v>373</v>
      </c>
      <c r="K75" s="27" t="s">
        <v>2158</v>
      </c>
      <c r="L75" s="27" t="s">
        <v>2154</v>
      </c>
      <c r="M75" s="27" t="s">
        <v>2148</v>
      </c>
      <c r="AC75"/>
      <c r="AD75"/>
      <c r="AE75"/>
      <c r="AF75" s="37" t="str">
        <f t="shared" si="2"/>
        <v>SP_MB31_B3          HSK103P</v>
      </c>
      <c r="AG75" t="s">
        <v>2150</v>
      </c>
      <c r="AH75">
        <v>3</v>
      </c>
      <c r="AI75">
        <v>119</v>
      </c>
      <c r="AJ75" t="s">
        <v>371</v>
      </c>
      <c r="AK75" t="s">
        <v>26</v>
      </c>
      <c r="AL75" t="s">
        <v>26</v>
      </c>
      <c r="AM75" t="s">
        <v>372</v>
      </c>
      <c r="AN75">
        <v>821</v>
      </c>
      <c r="AO75" t="s">
        <v>373</v>
      </c>
      <c r="AP75">
        <v>1</v>
      </c>
      <c r="AQ75" t="s">
        <v>374</v>
      </c>
      <c r="AR75" t="s">
        <v>26</v>
      </c>
      <c r="AS75" t="s">
        <v>26</v>
      </c>
      <c r="AT75" t="s">
        <v>26</v>
      </c>
      <c r="AU75" t="s">
        <v>107</v>
      </c>
      <c r="AV75" t="s">
        <v>107</v>
      </c>
      <c r="AW75" t="s">
        <v>108</v>
      </c>
      <c r="AX75" t="s">
        <v>109</v>
      </c>
      <c r="AY75">
        <v>3</v>
      </c>
      <c r="AZ75" t="s">
        <v>110</v>
      </c>
      <c r="BA75" t="s">
        <v>111</v>
      </c>
      <c r="BB75" t="s">
        <v>26</v>
      </c>
      <c r="BC75" t="s">
        <v>280</v>
      </c>
      <c r="BD75" t="s">
        <v>75</v>
      </c>
      <c r="BE75" t="s">
        <v>26</v>
      </c>
      <c r="BF75" t="s">
        <v>26</v>
      </c>
      <c r="BG75">
        <v>946</v>
      </c>
      <c r="BH75" t="s">
        <v>42</v>
      </c>
      <c r="BI75">
        <v>0.5</v>
      </c>
      <c r="BJ75" t="s">
        <v>264</v>
      </c>
      <c r="BK75" t="s">
        <v>2</v>
      </c>
      <c r="BL75">
        <v>119</v>
      </c>
    </row>
    <row r="76" spans="1:64">
      <c r="A76" s="47">
        <v>501.50599999999997</v>
      </c>
      <c r="B76" s="27">
        <v>129</v>
      </c>
      <c r="C76" s="27" t="s">
        <v>2147</v>
      </c>
      <c r="E76" s="27" t="s">
        <v>2148</v>
      </c>
      <c r="AC76"/>
      <c r="AD76"/>
      <c r="AE76"/>
      <c r="AF76" s="37" t="str">
        <f t="shared" si="2"/>
        <v>DSO03A              KS_CPL_D</v>
      </c>
      <c r="AG76" t="s">
        <v>2150</v>
      </c>
      <c r="AH76">
        <v>3</v>
      </c>
      <c r="AI76">
        <v>129</v>
      </c>
      <c r="AJ76" t="s">
        <v>375</v>
      </c>
      <c r="AK76" t="s">
        <v>26</v>
      </c>
      <c r="AL76" t="s">
        <v>338</v>
      </c>
      <c r="AM76" t="s">
        <v>338</v>
      </c>
      <c r="AN76" t="s">
        <v>339</v>
      </c>
      <c r="AO76" t="s">
        <v>340</v>
      </c>
      <c r="AP76">
        <v>15</v>
      </c>
      <c r="AQ76" t="s">
        <v>341</v>
      </c>
      <c r="AR76" t="s">
        <v>342</v>
      </c>
      <c r="AS76" t="s">
        <v>26</v>
      </c>
      <c r="AT76" t="s">
        <v>26</v>
      </c>
      <c r="AU76" t="s">
        <v>64</v>
      </c>
      <c r="AV76" t="s">
        <v>64</v>
      </c>
      <c r="AW76" t="s">
        <v>65</v>
      </c>
      <c r="AX76" t="s">
        <v>66</v>
      </c>
      <c r="AY76">
        <v>13</v>
      </c>
      <c r="AZ76" t="s">
        <v>67</v>
      </c>
      <c r="BA76" t="s">
        <v>68</v>
      </c>
      <c r="BB76" t="s">
        <v>26</v>
      </c>
      <c r="BC76" t="s">
        <v>376</v>
      </c>
      <c r="BD76" t="s">
        <v>75</v>
      </c>
      <c r="BE76" t="s">
        <v>26</v>
      </c>
      <c r="BF76" t="s">
        <v>26</v>
      </c>
      <c r="BG76" s="146">
        <v>2277</v>
      </c>
      <c r="BH76" t="s">
        <v>377</v>
      </c>
      <c r="BI76">
        <v>0.35</v>
      </c>
      <c r="BJ76" t="s">
        <v>378</v>
      </c>
      <c r="BK76" t="s">
        <v>2</v>
      </c>
      <c r="BL76">
        <v>129</v>
      </c>
    </row>
    <row r="77" spans="1:64">
      <c r="A77" s="160">
        <v>502.50599999999997</v>
      </c>
      <c r="B77" s="27">
        <v>131</v>
      </c>
      <c r="C77" s="27" t="s">
        <v>2147</v>
      </c>
      <c r="E77" s="27" t="s">
        <v>2148</v>
      </c>
      <c r="F77" s="27" t="s">
        <v>2156</v>
      </c>
      <c r="G77" s="27" t="s">
        <v>381</v>
      </c>
      <c r="K77" s="27" t="s">
        <v>2158</v>
      </c>
      <c r="L77" s="27" t="s">
        <v>2154</v>
      </c>
      <c r="M77" s="27" t="s">
        <v>2148</v>
      </c>
      <c r="AC77"/>
      <c r="AD77"/>
      <c r="AE77"/>
      <c r="AF77" s="37" t="str">
        <f t="shared" si="2"/>
        <v>SP_MB32_B3          KOMBI_A</v>
      </c>
      <c r="AG77" t="s">
        <v>2150</v>
      </c>
      <c r="AH77">
        <v>3</v>
      </c>
      <c r="AI77">
        <v>131</v>
      </c>
      <c r="AJ77" t="s">
        <v>379</v>
      </c>
      <c r="AK77" t="s">
        <v>26</v>
      </c>
      <c r="AL77" t="s">
        <v>26</v>
      </c>
      <c r="AM77" t="s">
        <v>380</v>
      </c>
      <c r="AN77">
        <v>81</v>
      </c>
      <c r="AO77" t="s">
        <v>381</v>
      </c>
      <c r="AP77">
        <v>1</v>
      </c>
      <c r="AQ77" t="s">
        <v>382</v>
      </c>
      <c r="AR77" t="s">
        <v>26</v>
      </c>
      <c r="AS77" t="s">
        <v>26</v>
      </c>
      <c r="AT77" t="s">
        <v>26</v>
      </c>
      <c r="AU77" t="s">
        <v>27</v>
      </c>
      <c r="AV77" t="s">
        <v>27</v>
      </c>
      <c r="AW77" t="s">
        <v>294</v>
      </c>
      <c r="AX77" t="s">
        <v>295</v>
      </c>
      <c r="AY77">
        <v>10</v>
      </c>
      <c r="AZ77" s="146" t="s">
        <v>2307</v>
      </c>
      <c r="BA77" t="s">
        <v>111</v>
      </c>
      <c r="BB77" t="s">
        <v>26</v>
      </c>
      <c r="BC77" t="s">
        <v>280</v>
      </c>
      <c r="BD77" t="s">
        <v>75</v>
      </c>
      <c r="BE77" t="s">
        <v>26</v>
      </c>
      <c r="BF77" t="s">
        <v>26</v>
      </c>
      <c r="BG77" s="146">
        <v>1252</v>
      </c>
      <c r="BH77" t="s">
        <v>42</v>
      </c>
      <c r="BI77">
        <v>0.5</v>
      </c>
      <c r="BJ77" t="s">
        <v>200</v>
      </c>
      <c r="BK77" t="s">
        <v>2</v>
      </c>
      <c r="BL77">
        <v>131</v>
      </c>
    </row>
    <row r="78" spans="1:64">
      <c r="A78" s="160">
        <v>502.50599999999997</v>
      </c>
      <c r="B78" s="27">
        <v>135</v>
      </c>
      <c r="C78" s="27" t="s">
        <v>2147</v>
      </c>
      <c r="E78" s="27" t="s">
        <v>2148</v>
      </c>
      <c r="F78" s="27" t="s">
        <v>2156</v>
      </c>
      <c r="G78" s="27" t="s">
        <v>381</v>
      </c>
      <c r="K78" s="27" t="s">
        <v>2158</v>
      </c>
      <c r="L78" s="27" t="s">
        <v>2154</v>
      </c>
      <c r="M78" s="27" t="s">
        <v>2148</v>
      </c>
      <c r="AC78"/>
      <c r="AD78"/>
      <c r="AE78"/>
      <c r="AF78" s="37" t="str">
        <f t="shared" si="2"/>
        <v>SP_MB32_B3          SMLS02P</v>
      </c>
      <c r="AG78" t="s">
        <v>2150</v>
      </c>
      <c r="AH78">
        <v>3</v>
      </c>
      <c r="AI78">
        <v>135</v>
      </c>
      <c r="AJ78" t="s">
        <v>383</v>
      </c>
      <c r="AK78" t="s">
        <v>26</v>
      </c>
      <c r="AL78" t="s">
        <v>26</v>
      </c>
      <c r="AM78" t="s">
        <v>380</v>
      </c>
      <c r="AN78">
        <v>81</v>
      </c>
      <c r="AO78" t="s">
        <v>381</v>
      </c>
      <c r="AP78">
        <v>1</v>
      </c>
      <c r="AQ78" t="s">
        <v>382</v>
      </c>
      <c r="AR78" t="s">
        <v>26</v>
      </c>
      <c r="AS78" t="s">
        <v>26</v>
      </c>
      <c r="AT78" t="s">
        <v>26</v>
      </c>
      <c r="AU78" t="s">
        <v>202</v>
      </c>
      <c r="AV78" t="s">
        <v>202</v>
      </c>
      <c r="AW78" t="s">
        <v>203</v>
      </c>
      <c r="AX78" t="s">
        <v>204</v>
      </c>
      <c r="AY78">
        <v>17</v>
      </c>
      <c r="AZ78" t="s">
        <v>205</v>
      </c>
      <c r="BA78" t="s">
        <v>384</v>
      </c>
      <c r="BB78" t="s">
        <v>26</v>
      </c>
      <c r="BC78" t="s">
        <v>199</v>
      </c>
      <c r="BD78" t="s">
        <v>75</v>
      </c>
      <c r="BE78" t="s">
        <v>26</v>
      </c>
      <c r="BF78" t="s">
        <v>26</v>
      </c>
      <c r="BG78" s="146">
        <v>1369</v>
      </c>
      <c r="BH78" t="s">
        <v>42</v>
      </c>
      <c r="BI78">
        <v>0.75</v>
      </c>
      <c r="BJ78" t="s">
        <v>200</v>
      </c>
      <c r="BK78" t="s">
        <v>2</v>
      </c>
      <c r="BL78">
        <v>135</v>
      </c>
    </row>
    <row r="79" spans="1:64">
      <c r="A79" s="47"/>
      <c r="B79" s="27">
        <v>139</v>
      </c>
      <c r="C79" s="27" t="s">
        <v>2147</v>
      </c>
      <c r="E79" s="27" t="s">
        <v>2162</v>
      </c>
      <c r="F79" s="27" t="s">
        <v>2152</v>
      </c>
      <c r="G79" s="27" t="s">
        <v>388</v>
      </c>
      <c r="K79" s="27" t="s">
        <v>2153</v>
      </c>
      <c r="L79" s="27" t="s">
        <v>2148</v>
      </c>
      <c r="M79" s="27" t="s">
        <v>2154</v>
      </c>
      <c r="AC79"/>
      <c r="AD79"/>
      <c r="AE79" t="s">
        <v>2155</v>
      </c>
      <c r="AF79" s="37" t="str">
        <f t="shared" si="2"/>
        <v>SP_CANL_MIB         KS_CPM_E</v>
      </c>
      <c r="AG79" t="s">
        <v>2161</v>
      </c>
      <c r="AH79">
        <v>3</v>
      </c>
      <c r="AI79">
        <v>139</v>
      </c>
      <c r="AJ79" t="s">
        <v>385</v>
      </c>
      <c r="AK79" t="s">
        <v>26</v>
      </c>
      <c r="AL79" t="s">
        <v>26</v>
      </c>
      <c r="AM79" t="s">
        <v>386</v>
      </c>
      <c r="AN79" t="s">
        <v>387</v>
      </c>
      <c r="AO79" t="s">
        <v>388</v>
      </c>
      <c r="AP79">
        <v>1</v>
      </c>
      <c r="AQ79" t="s">
        <v>389</v>
      </c>
      <c r="AR79" t="s">
        <v>26</v>
      </c>
      <c r="AS79" t="s">
        <v>26</v>
      </c>
      <c r="AT79" t="s">
        <v>26</v>
      </c>
      <c r="AU79" t="s">
        <v>69</v>
      </c>
      <c r="AV79" t="s">
        <v>69</v>
      </c>
      <c r="AW79" t="s">
        <v>70</v>
      </c>
      <c r="AX79" t="s">
        <v>71</v>
      </c>
      <c r="AY79">
        <v>6</v>
      </c>
      <c r="AZ79" t="s">
        <v>72</v>
      </c>
      <c r="BA79" t="s">
        <v>68</v>
      </c>
      <c r="BB79" t="s">
        <v>26</v>
      </c>
      <c r="BC79" t="s">
        <v>390</v>
      </c>
      <c r="BD79" t="s">
        <v>75</v>
      </c>
      <c r="BE79" t="s">
        <v>391</v>
      </c>
      <c r="BF79" t="s">
        <v>96</v>
      </c>
      <c r="BG79">
        <v>555</v>
      </c>
      <c r="BH79" t="s">
        <v>97</v>
      </c>
      <c r="BI79">
        <v>0.35</v>
      </c>
      <c r="BJ79" t="s">
        <v>392</v>
      </c>
      <c r="BK79" t="s">
        <v>2</v>
      </c>
      <c r="BL79">
        <v>139</v>
      </c>
    </row>
    <row r="80" spans="1:64">
      <c r="A80" s="47"/>
      <c r="B80" s="27">
        <v>140</v>
      </c>
      <c r="C80" s="27" t="s">
        <v>2147</v>
      </c>
      <c r="E80" s="27" t="s">
        <v>2148</v>
      </c>
      <c r="AC80"/>
      <c r="AD80"/>
      <c r="AE80"/>
      <c r="AF80" s="37" t="str">
        <f t="shared" si="2"/>
        <v>MIB_E               KS_CPM_E</v>
      </c>
      <c r="AG80" t="s">
        <v>2150</v>
      </c>
      <c r="AH80">
        <v>3</v>
      </c>
      <c r="AI80">
        <v>140</v>
      </c>
      <c r="AJ80" t="s">
        <v>393</v>
      </c>
      <c r="AK80" t="s">
        <v>26</v>
      </c>
      <c r="AL80" t="s">
        <v>32</v>
      </c>
      <c r="AM80" t="s">
        <v>33</v>
      </c>
      <c r="AN80" t="s">
        <v>240</v>
      </c>
      <c r="AO80" t="s">
        <v>241</v>
      </c>
      <c r="AP80">
        <v>8</v>
      </c>
      <c r="AQ80" t="s">
        <v>242</v>
      </c>
      <c r="AR80" t="s">
        <v>243</v>
      </c>
      <c r="AS80" t="s">
        <v>26</v>
      </c>
      <c r="AT80" t="s">
        <v>26</v>
      </c>
      <c r="AU80" t="s">
        <v>69</v>
      </c>
      <c r="AV80" t="s">
        <v>69</v>
      </c>
      <c r="AW80" t="s">
        <v>70</v>
      </c>
      <c r="AX80" t="s">
        <v>71</v>
      </c>
      <c r="AY80">
        <v>8</v>
      </c>
      <c r="AZ80" t="s">
        <v>72</v>
      </c>
      <c r="BA80" t="s">
        <v>68</v>
      </c>
      <c r="BB80" t="s">
        <v>26</v>
      </c>
      <c r="BC80" t="s">
        <v>394</v>
      </c>
      <c r="BD80" t="s">
        <v>75</v>
      </c>
      <c r="BE80" t="s">
        <v>26</v>
      </c>
      <c r="BF80" t="s">
        <v>26</v>
      </c>
      <c r="BG80">
        <v>1101</v>
      </c>
      <c r="BH80" t="s">
        <v>395</v>
      </c>
      <c r="BI80">
        <v>0.35</v>
      </c>
      <c r="BJ80" t="s">
        <v>396</v>
      </c>
      <c r="BK80" t="s">
        <v>2</v>
      </c>
      <c r="BL80">
        <v>140</v>
      </c>
    </row>
    <row r="81" spans="1:64">
      <c r="A81" s="47"/>
      <c r="B81" s="27">
        <v>142</v>
      </c>
      <c r="C81" s="27" t="s">
        <v>2147</v>
      </c>
      <c r="E81" s="27" t="s">
        <v>2162</v>
      </c>
      <c r="F81" s="27" t="s">
        <v>2152</v>
      </c>
      <c r="G81" s="27" t="s">
        <v>400</v>
      </c>
      <c r="K81" s="27" t="s">
        <v>2153</v>
      </c>
      <c r="L81" s="27" t="s">
        <v>2154</v>
      </c>
      <c r="M81" s="27" t="s">
        <v>2148</v>
      </c>
      <c r="AC81"/>
      <c r="AD81"/>
      <c r="AE81" t="s">
        <v>2155</v>
      </c>
      <c r="AF81" s="37" t="str">
        <f t="shared" si="2"/>
        <v>SP_CANH_MIB         KS_CPM_E</v>
      </c>
      <c r="AG81" t="s">
        <v>2161</v>
      </c>
      <c r="AH81">
        <v>3</v>
      </c>
      <c r="AI81">
        <v>142</v>
      </c>
      <c r="AJ81" t="s">
        <v>397</v>
      </c>
      <c r="AK81" t="s">
        <v>26</v>
      </c>
      <c r="AL81" t="s">
        <v>26</v>
      </c>
      <c r="AM81" t="s">
        <v>398</v>
      </c>
      <c r="AN81" t="s">
        <v>399</v>
      </c>
      <c r="AO81" t="s">
        <v>400</v>
      </c>
      <c r="AP81">
        <v>1</v>
      </c>
      <c r="AQ81" t="s">
        <v>389</v>
      </c>
      <c r="AR81" t="s">
        <v>26</v>
      </c>
      <c r="AS81" t="s">
        <v>26</v>
      </c>
      <c r="AT81" t="s">
        <v>26</v>
      </c>
      <c r="AU81" t="s">
        <v>69</v>
      </c>
      <c r="AV81" t="s">
        <v>69</v>
      </c>
      <c r="AW81" t="s">
        <v>70</v>
      </c>
      <c r="AX81" t="s">
        <v>71</v>
      </c>
      <c r="AY81">
        <v>7</v>
      </c>
      <c r="AZ81" t="s">
        <v>72</v>
      </c>
      <c r="BA81" t="s">
        <v>68</v>
      </c>
      <c r="BB81" t="s">
        <v>26</v>
      </c>
      <c r="BC81" t="s">
        <v>390</v>
      </c>
      <c r="BD81" t="s">
        <v>75</v>
      </c>
      <c r="BE81" t="s">
        <v>391</v>
      </c>
      <c r="BF81" t="s">
        <v>401</v>
      </c>
      <c r="BG81">
        <v>555</v>
      </c>
      <c r="BH81" t="s">
        <v>50</v>
      </c>
      <c r="BI81">
        <v>0.35</v>
      </c>
      <c r="BJ81" t="s">
        <v>402</v>
      </c>
      <c r="BK81" t="s">
        <v>2</v>
      </c>
      <c r="BL81">
        <v>142</v>
      </c>
    </row>
    <row r="82" spans="1:64">
      <c r="A82" s="47"/>
      <c r="B82" s="27">
        <v>143</v>
      </c>
      <c r="C82" s="27" t="s">
        <v>2147</v>
      </c>
      <c r="E82" s="27" t="s">
        <v>2159</v>
      </c>
      <c r="L82" s="27" t="s">
        <v>2149</v>
      </c>
      <c r="M82" s="27" t="s">
        <v>2149</v>
      </c>
      <c r="N82" s="27" t="s">
        <v>2160</v>
      </c>
      <c r="T82" s="27">
        <v>980017681</v>
      </c>
      <c r="AC82"/>
      <c r="AD82"/>
      <c r="AE82"/>
      <c r="AF82" s="37" t="str">
        <f t="shared" si="2"/>
        <v>AWO01A              KS_CPR_J</v>
      </c>
      <c r="AG82" t="s">
        <v>2161</v>
      </c>
      <c r="AH82">
        <v>3</v>
      </c>
      <c r="AI82">
        <v>143</v>
      </c>
      <c r="AJ82" t="s">
        <v>403</v>
      </c>
      <c r="AK82" t="s">
        <v>26</v>
      </c>
      <c r="AL82" t="s">
        <v>404</v>
      </c>
      <c r="AM82" t="s">
        <v>405</v>
      </c>
      <c r="AN82" t="s">
        <v>406</v>
      </c>
      <c r="AO82" t="s">
        <v>407</v>
      </c>
      <c r="AP82">
        <v>1</v>
      </c>
      <c r="AQ82" t="s">
        <v>408</v>
      </c>
      <c r="AR82" t="s">
        <v>409</v>
      </c>
      <c r="AS82" t="s">
        <v>26</v>
      </c>
      <c r="AT82" t="s">
        <v>26</v>
      </c>
      <c r="AU82" t="s">
        <v>131</v>
      </c>
      <c r="AV82" t="s">
        <v>131</v>
      </c>
      <c r="AW82" t="s">
        <v>410</v>
      </c>
      <c r="AX82" t="s">
        <v>411</v>
      </c>
      <c r="AY82">
        <v>1</v>
      </c>
      <c r="AZ82" t="s">
        <v>412</v>
      </c>
      <c r="BA82" t="s">
        <v>409</v>
      </c>
      <c r="BB82" t="s">
        <v>26</v>
      </c>
      <c r="BC82" t="s">
        <v>413</v>
      </c>
      <c r="BD82" t="s">
        <v>414</v>
      </c>
      <c r="BE82" t="s">
        <v>415</v>
      </c>
      <c r="BF82" t="s">
        <v>416</v>
      </c>
      <c r="BG82">
        <v>1807</v>
      </c>
      <c r="BH82" t="s">
        <v>417</v>
      </c>
      <c r="BI82">
        <v>0.37</v>
      </c>
      <c r="BJ82" t="s">
        <v>418</v>
      </c>
      <c r="BK82" t="s">
        <v>2</v>
      </c>
      <c r="BL82">
        <v>143</v>
      </c>
    </row>
    <row r="83" spans="1:64">
      <c r="A83" s="47"/>
      <c r="B83" s="27">
        <v>144</v>
      </c>
      <c r="C83" s="27" t="s">
        <v>2147</v>
      </c>
      <c r="E83" s="27" t="s">
        <v>2159</v>
      </c>
      <c r="L83" s="27" t="s">
        <v>2149</v>
      </c>
      <c r="M83" s="27" t="s">
        <v>2149</v>
      </c>
      <c r="N83" s="27" t="s">
        <v>2160</v>
      </c>
      <c r="T83" s="27">
        <v>980017681</v>
      </c>
      <c r="AC83"/>
      <c r="AD83"/>
      <c r="AE83"/>
      <c r="AF83" s="37" t="str">
        <f t="shared" si="2"/>
        <v>AWO01A              KS_CPR_J</v>
      </c>
      <c r="AG83" t="s">
        <v>2161</v>
      </c>
      <c r="AH83">
        <v>3</v>
      </c>
      <c r="AI83">
        <v>144</v>
      </c>
      <c r="AJ83" t="s">
        <v>419</v>
      </c>
      <c r="AK83" t="s">
        <v>26</v>
      </c>
      <c r="AL83" t="s">
        <v>404</v>
      </c>
      <c r="AM83" t="s">
        <v>405</v>
      </c>
      <c r="AN83" t="s">
        <v>406</v>
      </c>
      <c r="AO83" t="s">
        <v>407</v>
      </c>
      <c r="AP83">
        <v>2</v>
      </c>
      <c r="AQ83" t="s">
        <v>408</v>
      </c>
      <c r="AR83" t="s">
        <v>59</v>
      </c>
      <c r="AS83" t="s">
        <v>26</v>
      </c>
      <c r="AT83" t="s">
        <v>26</v>
      </c>
      <c r="AU83" t="s">
        <v>131</v>
      </c>
      <c r="AV83" t="s">
        <v>131</v>
      </c>
      <c r="AW83" t="s">
        <v>410</v>
      </c>
      <c r="AX83" t="s">
        <v>411</v>
      </c>
      <c r="AY83">
        <v>2</v>
      </c>
      <c r="AZ83" t="s">
        <v>412</v>
      </c>
      <c r="BA83" t="s">
        <v>59</v>
      </c>
      <c r="BB83" t="s">
        <v>26</v>
      </c>
      <c r="BC83" t="s">
        <v>413</v>
      </c>
      <c r="BD83" t="s">
        <v>59</v>
      </c>
      <c r="BE83" t="s">
        <v>415</v>
      </c>
      <c r="BF83" t="s">
        <v>420</v>
      </c>
      <c r="BG83">
        <v>1807</v>
      </c>
      <c r="BH83" t="s">
        <v>61</v>
      </c>
      <c r="BI83">
        <v>0.5</v>
      </c>
      <c r="BJ83" t="s">
        <v>421</v>
      </c>
      <c r="BK83" t="s">
        <v>2</v>
      </c>
      <c r="BL83">
        <v>144</v>
      </c>
    </row>
    <row r="84" spans="1:64">
      <c r="A84" s="160">
        <v>502</v>
      </c>
      <c r="B84" s="27">
        <v>151</v>
      </c>
      <c r="C84" s="27" t="s">
        <v>2147</v>
      </c>
      <c r="E84" s="27" t="s">
        <v>2148</v>
      </c>
      <c r="AC84"/>
      <c r="AD84"/>
      <c r="AE84"/>
      <c r="AF84" s="37" t="str">
        <f t="shared" si="2"/>
        <v>SM2SM_2             KS_CPL_D</v>
      </c>
      <c r="AG84" t="s">
        <v>2150</v>
      </c>
      <c r="AH84">
        <v>3</v>
      </c>
      <c r="AI84">
        <v>151</v>
      </c>
      <c r="AJ84" t="s">
        <v>422</v>
      </c>
      <c r="AK84" t="s">
        <v>26</v>
      </c>
      <c r="AL84" t="s">
        <v>423</v>
      </c>
      <c r="AM84" t="s">
        <v>423</v>
      </c>
      <c r="AN84" t="s">
        <v>424</v>
      </c>
      <c r="AO84" t="s">
        <v>425</v>
      </c>
      <c r="AP84">
        <v>16</v>
      </c>
      <c r="AQ84" t="s">
        <v>426</v>
      </c>
      <c r="AR84" t="s">
        <v>111</v>
      </c>
      <c r="AS84" t="s">
        <v>26</v>
      </c>
      <c r="AT84" t="s">
        <v>26</v>
      </c>
      <c r="AU84" t="s">
        <v>64</v>
      </c>
      <c r="AV84" t="s">
        <v>64</v>
      </c>
      <c r="AW84" t="s">
        <v>65</v>
      </c>
      <c r="AX84" t="s">
        <v>66</v>
      </c>
      <c r="AY84">
        <v>12</v>
      </c>
      <c r="AZ84" t="s">
        <v>67</v>
      </c>
      <c r="BA84" t="s">
        <v>122</v>
      </c>
      <c r="BB84" t="s">
        <v>26</v>
      </c>
      <c r="BC84" t="s">
        <v>427</v>
      </c>
      <c r="BD84" t="s">
        <v>75</v>
      </c>
      <c r="BE84" t="s">
        <v>26</v>
      </c>
      <c r="BF84" t="s">
        <v>26</v>
      </c>
      <c r="BG84" s="146">
        <v>1676</v>
      </c>
      <c r="BH84" t="s">
        <v>428</v>
      </c>
      <c r="BI84">
        <v>0.5</v>
      </c>
      <c r="BJ84" t="s">
        <v>429</v>
      </c>
      <c r="BK84" t="s">
        <v>2</v>
      </c>
      <c r="BL84">
        <v>151</v>
      </c>
    </row>
    <row r="85" spans="1:64">
      <c r="A85" s="160" t="s">
        <v>2357</v>
      </c>
      <c r="B85" s="27">
        <v>152</v>
      </c>
      <c r="C85" s="27" t="s">
        <v>2147</v>
      </c>
      <c r="E85" s="27" t="s">
        <v>2148</v>
      </c>
      <c r="AC85"/>
      <c r="AD85"/>
      <c r="AE85"/>
      <c r="AF85" s="37" t="str">
        <f t="shared" si="2"/>
        <v>SM2SM_2             KS_CPL_C</v>
      </c>
      <c r="AG85" t="s">
        <v>2150</v>
      </c>
      <c r="AH85">
        <v>3</v>
      </c>
      <c r="AI85">
        <v>152</v>
      </c>
      <c r="AJ85" t="s">
        <v>430</v>
      </c>
      <c r="AK85" t="s">
        <v>26</v>
      </c>
      <c r="AL85" t="s">
        <v>423</v>
      </c>
      <c r="AM85" t="s">
        <v>423</v>
      </c>
      <c r="AN85" t="s">
        <v>424</v>
      </c>
      <c r="AO85" t="s">
        <v>425</v>
      </c>
      <c r="AP85">
        <v>17</v>
      </c>
      <c r="AQ85" t="s">
        <v>426</v>
      </c>
      <c r="AR85" t="s">
        <v>243</v>
      </c>
      <c r="AS85" t="s">
        <v>26</v>
      </c>
      <c r="AT85" t="s">
        <v>26</v>
      </c>
      <c r="AU85" t="s">
        <v>64</v>
      </c>
      <c r="AV85" t="s">
        <v>64</v>
      </c>
      <c r="AW85" t="s">
        <v>119</v>
      </c>
      <c r="AX85" t="s">
        <v>120</v>
      </c>
      <c r="AY85">
        <v>16</v>
      </c>
      <c r="AZ85" s="146" t="s">
        <v>191</v>
      </c>
      <c r="BA85" t="s">
        <v>431</v>
      </c>
      <c r="BB85" t="s">
        <v>26</v>
      </c>
      <c r="BC85" t="s">
        <v>432</v>
      </c>
      <c r="BD85" t="s">
        <v>75</v>
      </c>
      <c r="BE85" t="s">
        <v>26</v>
      </c>
      <c r="BF85" t="s">
        <v>26</v>
      </c>
      <c r="BG85" s="146">
        <v>1676</v>
      </c>
      <c r="BH85" t="s">
        <v>433</v>
      </c>
      <c r="BI85">
        <v>0.35</v>
      </c>
      <c r="BJ85" t="s">
        <v>434</v>
      </c>
      <c r="BK85" t="s">
        <v>2</v>
      </c>
      <c r="BL85">
        <v>152</v>
      </c>
    </row>
    <row r="86" spans="1:64">
      <c r="A86" s="160">
        <v>502.50599999999997</v>
      </c>
      <c r="B86" s="27">
        <v>153</v>
      </c>
      <c r="C86" s="27" t="s">
        <v>2147</v>
      </c>
      <c r="E86" s="27" t="s">
        <v>2148</v>
      </c>
      <c r="AC86"/>
      <c r="AD86"/>
      <c r="AE86"/>
      <c r="AF86" s="37" t="str">
        <f t="shared" si="2"/>
        <v>SM2SM_2             KS_CPR_A</v>
      </c>
      <c r="AG86" t="s">
        <v>2150</v>
      </c>
      <c r="AH86">
        <v>3</v>
      </c>
      <c r="AI86">
        <v>153</v>
      </c>
      <c r="AJ86" t="s">
        <v>435</v>
      </c>
      <c r="AK86" t="s">
        <v>26</v>
      </c>
      <c r="AL86" t="s">
        <v>423</v>
      </c>
      <c r="AM86" t="s">
        <v>423</v>
      </c>
      <c r="AN86" t="s">
        <v>424</v>
      </c>
      <c r="AO86" t="s">
        <v>425</v>
      </c>
      <c r="AP86">
        <v>13</v>
      </c>
      <c r="AQ86" t="s">
        <v>426</v>
      </c>
      <c r="AR86" t="s">
        <v>243</v>
      </c>
      <c r="AS86" t="s">
        <v>26</v>
      </c>
      <c r="AT86" t="s">
        <v>26</v>
      </c>
      <c r="AU86" t="s">
        <v>131</v>
      </c>
      <c r="AV86" t="s">
        <v>131</v>
      </c>
      <c r="AW86" t="s">
        <v>164</v>
      </c>
      <c r="AX86" t="s">
        <v>165</v>
      </c>
      <c r="AY86">
        <v>15</v>
      </c>
      <c r="AZ86" t="s">
        <v>166</v>
      </c>
      <c r="BA86" t="s">
        <v>73</v>
      </c>
      <c r="BB86" t="s">
        <v>26</v>
      </c>
      <c r="BC86" t="s">
        <v>185</v>
      </c>
      <c r="BD86" t="s">
        <v>75</v>
      </c>
      <c r="BE86" t="s">
        <v>26</v>
      </c>
      <c r="BF86" t="s">
        <v>26</v>
      </c>
      <c r="BG86" s="146">
        <v>1717</v>
      </c>
      <c r="BH86" t="s">
        <v>186</v>
      </c>
      <c r="BI86">
        <v>0.35</v>
      </c>
      <c r="BJ86" t="s">
        <v>436</v>
      </c>
      <c r="BK86" t="s">
        <v>2</v>
      </c>
      <c r="BL86">
        <v>153</v>
      </c>
    </row>
    <row r="87" spans="1:64">
      <c r="A87" s="160">
        <v>502.50599999999997</v>
      </c>
      <c r="B87" s="27">
        <v>154</v>
      </c>
      <c r="C87" s="27" t="s">
        <v>2147</v>
      </c>
      <c r="E87" s="27" t="s">
        <v>2148</v>
      </c>
      <c r="AC87"/>
      <c r="AD87"/>
      <c r="AE87"/>
      <c r="AF87" s="37" t="str">
        <f t="shared" si="2"/>
        <v>SM2SM_2             KS_CPR_A</v>
      </c>
      <c r="AG87" t="s">
        <v>2150</v>
      </c>
      <c r="AH87">
        <v>3</v>
      </c>
      <c r="AI87">
        <v>154</v>
      </c>
      <c r="AJ87" t="s">
        <v>437</v>
      </c>
      <c r="AK87" t="s">
        <v>26</v>
      </c>
      <c r="AL87" t="s">
        <v>423</v>
      </c>
      <c r="AM87" t="s">
        <v>423</v>
      </c>
      <c r="AN87" t="s">
        <v>424</v>
      </c>
      <c r="AO87" t="s">
        <v>425</v>
      </c>
      <c r="AP87">
        <v>14</v>
      </c>
      <c r="AQ87" t="s">
        <v>426</v>
      </c>
      <c r="AR87" t="s">
        <v>243</v>
      </c>
      <c r="AS87" t="s">
        <v>26</v>
      </c>
      <c r="AT87" t="s">
        <v>26</v>
      </c>
      <c r="AU87" t="s">
        <v>131</v>
      </c>
      <c r="AV87" t="s">
        <v>131</v>
      </c>
      <c r="AW87" t="s">
        <v>164</v>
      </c>
      <c r="AX87" t="s">
        <v>165</v>
      </c>
      <c r="AY87">
        <v>7</v>
      </c>
      <c r="AZ87" t="s">
        <v>166</v>
      </c>
      <c r="BA87" t="s">
        <v>68</v>
      </c>
      <c r="BB87" t="s">
        <v>26</v>
      </c>
      <c r="BC87" t="s">
        <v>438</v>
      </c>
      <c r="BD87" t="s">
        <v>75</v>
      </c>
      <c r="BE87" t="s">
        <v>26</v>
      </c>
      <c r="BF87" t="s">
        <v>26</v>
      </c>
      <c r="BG87" s="146">
        <v>1717</v>
      </c>
      <c r="BH87" t="s">
        <v>439</v>
      </c>
      <c r="BI87">
        <v>0.35</v>
      </c>
      <c r="BJ87" t="s">
        <v>440</v>
      </c>
      <c r="BK87" t="s">
        <v>2</v>
      </c>
      <c r="BL87">
        <v>154</v>
      </c>
    </row>
    <row r="88" spans="1:64">
      <c r="A88" s="160">
        <v>502</v>
      </c>
      <c r="B88" s="27">
        <v>156</v>
      </c>
      <c r="C88" s="27" t="s">
        <v>2147</v>
      </c>
      <c r="E88" s="27" t="s">
        <v>2148</v>
      </c>
      <c r="F88" s="27" t="s">
        <v>2156</v>
      </c>
      <c r="G88" s="27" t="s">
        <v>197</v>
      </c>
      <c r="K88" s="27" t="s">
        <v>2153</v>
      </c>
      <c r="L88" s="27" t="s">
        <v>2148</v>
      </c>
      <c r="M88" s="27" t="s">
        <v>2154</v>
      </c>
      <c r="AC88"/>
      <c r="AD88"/>
      <c r="AE88"/>
      <c r="AF88" s="37" t="str">
        <f t="shared" si="2"/>
        <v>SM2SM_2             SP_MB32_B2</v>
      </c>
      <c r="AG88" t="s">
        <v>2150</v>
      </c>
      <c r="AH88">
        <v>3</v>
      </c>
      <c r="AI88">
        <v>156</v>
      </c>
      <c r="AJ88" t="s">
        <v>441</v>
      </c>
      <c r="AK88" t="s">
        <v>26</v>
      </c>
      <c r="AL88" t="s">
        <v>423</v>
      </c>
      <c r="AM88" t="s">
        <v>423</v>
      </c>
      <c r="AN88" t="s">
        <v>424</v>
      </c>
      <c r="AO88" t="s">
        <v>425</v>
      </c>
      <c r="AP88">
        <v>10</v>
      </c>
      <c r="AQ88" t="s">
        <v>426</v>
      </c>
      <c r="AR88" t="s">
        <v>111</v>
      </c>
      <c r="AS88" t="s">
        <v>26</v>
      </c>
      <c r="AT88" t="s">
        <v>26</v>
      </c>
      <c r="AU88" t="s">
        <v>26</v>
      </c>
      <c r="AV88" t="s">
        <v>196</v>
      </c>
      <c r="AW88">
        <v>135</v>
      </c>
      <c r="AX88" t="s">
        <v>197</v>
      </c>
      <c r="AY88">
        <v>1</v>
      </c>
      <c r="AZ88" t="s">
        <v>198</v>
      </c>
      <c r="BA88" t="s">
        <v>26</v>
      </c>
      <c r="BB88" t="s">
        <v>26</v>
      </c>
      <c r="BC88" t="s">
        <v>280</v>
      </c>
      <c r="BD88" t="s">
        <v>75</v>
      </c>
      <c r="BE88" t="s">
        <v>26</v>
      </c>
      <c r="BF88" t="s">
        <v>26</v>
      </c>
      <c r="BG88" s="146">
        <v>778</v>
      </c>
      <c r="BH88" t="s">
        <v>42</v>
      </c>
      <c r="BI88">
        <v>0.5</v>
      </c>
      <c r="BJ88" t="s">
        <v>200</v>
      </c>
      <c r="BK88" t="s">
        <v>2</v>
      </c>
      <c r="BL88">
        <v>156</v>
      </c>
    </row>
    <row r="89" spans="1:64">
      <c r="A89" s="160">
        <v>500.50200000000001</v>
      </c>
      <c r="B89" s="27">
        <v>157</v>
      </c>
      <c r="C89" s="27" t="s">
        <v>2147</v>
      </c>
      <c r="E89" s="27" t="s">
        <v>2148</v>
      </c>
      <c r="AC89"/>
      <c r="AD89"/>
      <c r="AE89"/>
      <c r="AF89" s="37" t="str">
        <f t="shared" si="2"/>
        <v>SM2SM_2             KS_CPL_C</v>
      </c>
      <c r="AG89" t="s">
        <v>2150</v>
      </c>
      <c r="AH89">
        <v>3</v>
      </c>
      <c r="AI89">
        <v>157</v>
      </c>
      <c r="AJ89" t="s">
        <v>442</v>
      </c>
      <c r="AK89" t="s">
        <v>26</v>
      </c>
      <c r="AL89" t="s">
        <v>423</v>
      </c>
      <c r="AM89" t="s">
        <v>423</v>
      </c>
      <c r="AN89" t="s">
        <v>424</v>
      </c>
      <c r="AO89" t="s">
        <v>425</v>
      </c>
      <c r="AP89">
        <v>7</v>
      </c>
      <c r="AQ89" t="s">
        <v>426</v>
      </c>
      <c r="AR89" t="s">
        <v>243</v>
      </c>
      <c r="AS89" t="s">
        <v>26</v>
      </c>
      <c r="AT89" t="s">
        <v>26</v>
      </c>
      <c r="AU89" t="s">
        <v>64</v>
      </c>
      <c r="AV89" t="s">
        <v>64</v>
      </c>
      <c r="AW89" t="s">
        <v>119</v>
      </c>
      <c r="AX89" t="s">
        <v>120</v>
      </c>
      <c r="AY89">
        <v>17</v>
      </c>
      <c r="AZ89" s="146" t="s">
        <v>191</v>
      </c>
      <c r="BA89" t="s">
        <v>73</v>
      </c>
      <c r="BB89" t="s">
        <v>26</v>
      </c>
      <c r="BC89" t="s">
        <v>443</v>
      </c>
      <c r="BD89" t="s">
        <v>75</v>
      </c>
      <c r="BE89" t="s">
        <v>26</v>
      </c>
      <c r="BF89" t="s">
        <v>26</v>
      </c>
      <c r="BG89" s="146">
        <v>1676</v>
      </c>
      <c r="BH89" t="s">
        <v>444</v>
      </c>
      <c r="BI89">
        <v>0.35</v>
      </c>
      <c r="BJ89" t="s">
        <v>445</v>
      </c>
      <c r="BK89" t="s">
        <v>2</v>
      </c>
      <c r="BL89">
        <v>157</v>
      </c>
    </row>
    <row r="90" spans="1:64">
      <c r="A90" s="160">
        <v>502</v>
      </c>
      <c r="B90" s="27">
        <v>158</v>
      </c>
      <c r="C90" s="27" t="s">
        <v>2147</v>
      </c>
      <c r="E90" s="27" t="s">
        <v>2148</v>
      </c>
      <c r="AC90"/>
      <c r="AD90"/>
      <c r="AE90"/>
      <c r="AF90" s="37" t="str">
        <f t="shared" si="2"/>
        <v>SM2SM_2             KS_CPL_A</v>
      </c>
      <c r="AG90" t="s">
        <v>2150</v>
      </c>
      <c r="AH90">
        <v>3</v>
      </c>
      <c r="AI90">
        <v>158</v>
      </c>
      <c r="AJ90" t="s">
        <v>446</v>
      </c>
      <c r="AK90" t="s">
        <v>26</v>
      </c>
      <c r="AL90" t="s">
        <v>423</v>
      </c>
      <c r="AM90" t="s">
        <v>423</v>
      </c>
      <c r="AN90" t="s">
        <v>424</v>
      </c>
      <c r="AO90" t="s">
        <v>425</v>
      </c>
      <c r="AP90">
        <v>8</v>
      </c>
      <c r="AQ90" t="s">
        <v>426</v>
      </c>
      <c r="AR90" t="s">
        <v>243</v>
      </c>
      <c r="AS90" t="s">
        <v>26</v>
      </c>
      <c r="AT90" t="s">
        <v>26</v>
      </c>
      <c r="AU90" t="s">
        <v>64</v>
      </c>
      <c r="AV90" t="s">
        <v>64</v>
      </c>
      <c r="AW90" t="s">
        <v>261</v>
      </c>
      <c r="AX90" t="s">
        <v>262</v>
      </c>
      <c r="AY90">
        <v>13</v>
      </c>
      <c r="AZ90" t="s">
        <v>263</v>
      </c>
      <c r="BA90" t="s">
        <v>68</v>
      </c>
      <c r="BB90" t="s">
        <v>26</v>
      </c>
      <c r="BC90" t="s">
        <v>447</v>
      </c>
      <c r="BD90" t="s">
        <v>75</v>
      </c>
      <c r="BE90" t="s">
        <v>26</v>
      </c>
      <c r="BF90" t="s">
        <v>26</v>
      </c>
      <c r="BG90" s="146">
        <v>1846</v>
      </c>
      <c r="BH90" t="s">
        <v>448</v>
      </c>
      <c r="BI90">
        <v>0.35</v>
      </c>
      <c r="BJ90" t="s">
        <v>449</v>
      </c>
      <c r="BK90" t="s">
        <v>2</v>
      </c>
      <c r="BL90">
        <v>158</v>
      </c>
    </row>
    <row r="91" spans="1:64">
      <c r="A91" s="160">
        <v>502</v>
      </c>
      <c r="B91" s="27">
        <v>160</v>
      </c>
      <c r="C91" s="27" t="s">
        <v>2147</v>
      </c>
      <c r="E91" s="27" t="s">
        <v>2148</v>
      </c>
      <c r="F91" s="27" t="s">
        <v>2156</v>
      </c>
      <c r="G91" s="27" t="s">
        <v>197</v>
      </c>
      <c r="K91" s="27" t="s">
        <v>2153</v>
      </c>
      <c r="L91" s="27" t="s">
        <v>2148</v>
      </c>
      <c r="M91" s="27" t="s">
        <v>2154</v>
      </c>
      <c r="AC91"/>
      <c r="AD91"/>
      <c r="AE91"/>
      <c r="AF91" s="37" t="str">
        <f t="shared" si="2"/>
        <v>SM2SM_2             SP_MB32_B2</v>
      </c>
      <c r="AG91" t="s">
        <v>2150</v>
      </c>
      <c r="AH91">
        <v>3</v>
      </c>
      <c r="AI91">
        <v>160</v>
      </c>
      <c r="AJ91" t="s">
        <v>450</v>
      </c>
      <c r="AK91" t="s">
        <v>26</v>
      </c>
      <c r="AL91" t="s">
        <v>423</v>
      </c>
      <c r="AM91" t="s">
        <v>423</v>
      </c>
      <c r="AN91" t="s">
        <v>424</v>
      </c>
      <c r="AO91" t="s">
        <v>425</v>
      </c>
      <c r="AP91">
        <v>11</v>
      </c>
      <c r="AQ91" t="s">
        <v>426</v>
      </c>
      <c r="AR91" t="s">
        <v>111</v>
      </c>
      <c r="AS91" t="s">
        <v>26</v>
      </c>
      <c r="AT91" t="s">
        <v>26</v>
      </c>
      <c r="AU91" t="s">
        <v>26</v>
      </c>
      <c r="AV91" t="s">
        <v>196</v>
      </c>
      <c r="AW91">
        <v>135</v>
      </c>
      <c r="AX91" t="s">
        <v>197</v>
      </c>
      <c r="AY91">
        <v>1</v>
      </c>
      <c r="AZ91" t="s">
        <v>198</v>
      </c>
      <c r="BA91" t="s">
        <v>26</v>
      </c>
      <c r="BB91" t="s">
        <v>26</v>
      </c>
      <c r="BC91" t="s">
        <v>280</v>
      </c>
      <c r="BD91" t="s">
        <v>75</v>
      </c>
      <c r="BE91" t="s">
        <v>26</v>
      </c>
      <c r="BF91" t="s">
        <v>26</v>
      </c>
      <c r="BG91" s="146">
        <v>778</v>
      </c>
      <c r="BH91" t="s">
        <v>42</v>
      </c>
      <c r="BI91">
        <v>0.5</v>
      </c>
      <c r="BJ91" t="s">
        <v>200</v>
      </c>
      <c r="BK91" t="s">
        <v>2</v>
      </c>
      <c r="BL91">
        <v>160</v>
      </c>
    </row>
    <row r="92" spans="1:64">
      <c r="A92" s="160">
        <v>500.50200000000001</v>
      </c>
      <c r="B92" s="27">
        <v>163</v>
      </c>
      <c r="C92" s="27" t="s">
        <v>2147</v>
      </c>
      <c r="E92" s="27" t="s">
        <v>2148</v>
      </c>
      <c r="AC92"/>
      <c r="AD92"/>
      <c r="AE92"/>
      <c r="AF92" s="37" t="str">
        <f t="shared" si="2"/>
        <v>SM2SM_2             KS_CPL_C</v>
      </c>
      <c r="AG92" t="s">
        <v>2150</v>
      </c>
      <c r="AH92">
        <v>3</v>
      </c>
      <c r="AI92">
        <v>163</v>
      </c>
      <c r="AJ92" t="s">
        <v>451</v>
      </c>
      <c r="AK92" t="s">
        <v>26</v>
      </c>
      <c r="AL92" t="s">
        <v>423</v>
      </c>
      <c r="AM92" t="s">
        <v>423</v>
      </c>
      <c r="AN92" t="s">
        <v>424</v>
      </c>
      <c r="AO92" t="s">
        <v>425</v>
      </c>
      <c r="AP92">
        <v>3</v>
      </c>
      <c r="AQ92" t="s">
        <v>426</v>
      </c>
      <c r="AR92" t="s">
        <v>243</v>
      </c>
      <c r="AS92" t="s">
        <v>26</v>
      </c>
      <c r="AT92" t="s">
        <v>26</v>
      </c>
      <c r="AU92" t="s">
        <v>64</v>
      </c>
      <c r="AV92" t="s">
        <v>64</v>
      </c>
      <c r="AW92" t="s">
        <v>119</v>
      </c>
      <c r="AX92" t="s">
        <v>120</v>
      </c>
      <c r="AY92">
        <v>15</v>
      </c>
      <c r="AZ92" s="146" t="s">
        <v>191</v>
      </c>
      <c r="BA92" t="s">
        <v>73</v>
      </c>
      <c r="BB92" t="s">
        <v>26</v>
      </c>
      <c r="BC92" t="s">
        <v>452</v>
      </c>
      <c r="BD92" t="s">
        <v>75</v>
      </c>
      <c r="BE92" t="s">
        <v>26</v>
      </c>
      <c r="BF92" t="s">
        <v>26</v>
      </c>
      <c r="BG92" s="146">
        <v>1676</v>
      </c>
      <c r="BH92" t="s">
        <v>453</v>
      </c>
      <c r="BI92">
        <v>0.35</v>
      </c>
      <c r="BJ92" t="s">
        <v>454</v>
      </c>
      <c r="BK92" t="s">
        <v>2</v>
      </c>
      <c r="BL92">
        <v>163</v>
      </c>
    </row>
    <row r="93" spans="1:64">
      <c r="A93" s="160">
        <v>502</v>
      </c>
      <c r="B93" s="27">
        <v>164</v>
      </c>
      <c r="C93" s="27" t="s">
        <v>2147</v>
      </c>
      <c r="E93" s="27" t="s">
        <v>2148</v>
      </c>
      <c r="AC93"/>
      <c r="AD93"/>
      <c r="AE93"/>
      <c r="AF93" s="37" t="str">
        <f t="shared" si="2"/>
        <v>SM2SM_2             KS_CPL_B</v>
      </c>
      <c r="AG93" t="s">
        <v>2150</v>
      </c>
      <c r="AH93">
        <v>3</v>
      </c>
      <c r="AI93">
        <v>164</v>
      </c>
      <c r="AJ93" t="s">
        <v>455</v>
      </c>
      <c r="AK93" t="s">
        <v>26</v>
      </c>
      <c r="AL93" t="s">
        <v>423</v>
      </c>
      <c r="AM93" t="s">
        <v>423</v>
      </c>
      <c r="AN93" t="s">
        <v>424</v>
      </c>
      <c r="AO93" t="s">
        <v>425</v>
      </c>
      <c r="AP93">
        <v>4</v>
      </c>
      <c r="AQ93" t="s">
        <v>426</v>
      </c>
      <c r="AR93" t="s">
        <v>243</v>
      </c>
      <c r="AS93" t="s">
        <v>26</v>
      </c>
      <c r="AT93" t="s">
        <v>26</v>
      </c>
      <c r="AU93" t="s">
        <v>64</v>
      </c>
      <c r="AV93" t="s">
        <v>64</v>
      </c>
      <c r="AW93" t="s">
        <v>91</v>
      </c>
      <c r="AX93" t="s">
        <v>92</v>
      </c>
      <c r="AY93">
        <v>16</v>
      </c>
      <c r="AZ93" t="s">
        <v>93</v>
      </c>
      <c r="BA93" t="s">
        <v>431</v>
      </c>
      <c r="BB93" t="s">
        <v>26</v>
      </c>
      <c r="BC93" t="s">
        <v>456</v>
      </c>
      <c r="BD93" t="s">
        <v>75</v>
      </c>
      <c r="BE93" t="s">
        <v>26</v>
      </c>
      <c r="BF93" t="s">
        <v>26</v>
      </c>
      <c r="BG93" s="146">
        <v>1846</v>
      </c>
      <c r="BH93" t="s">
        <v>457</v>
      </c>
      <c r="BI93">
        <v>0.35</v>
      </c>
      <c r="BJ93" t="s">
        <v>458</v>
      </c>
      <c r="BK93" t="s">
        <v>2</v>
      </c>
      <c r="BL93">
        <v>164</v>
      </c>
    </row>
    <row r="94" spans="1:64">
      <c r="A94" s="160">
        <v>502</v>
      </c>
      <c r="B94" s="27">
        <v>165</v>
      </c>
      <c r="C94" s="27" t="s">
        <v>2147</v>
      </c>
      <c r="E94" s="27" t="s">
        <v>2148</v>
      </c>
      <c r="AC94"/>
      <c r="AD94"/>
      <c r="AE94"/>
      <c r="AF94" s="37" t="str">
        <f t="shared" si="2"/>
        <v>SM2SM_2             KS_CPL_C</v>
      </c>
      <c r="AG94" t="s">
        <v>2150</v>
      </c>
      <c r="AH94">
        <v>3</v>
      </c>
      <c r="AI94">
        <v>165</v>
      </c>
      <c r="AJ94" t="s">
        <v>459</v>
      </c>
      <c r="AK94" t="s">
        <v>26</v>
      </c>
      <c r="AL94" t="s">
        <v>423</v>
      </c>
      <c r="AM94" t="s">
        <v>423</v>
      </c>
      <c r="AN94" t="s">
        <v>424</v>
      </c>
      <c r="AO94" t="s">
        <v>425</v>
      </c>
      <c r="AP94">
        <v>5</v>
      </c>
      <c r="AQ94" t="s">
        <v>426</v>
      </c>
      <c r="AR94" t="s">
        <v>321</v>
      </c>
      <c r="AS94" t="s">
        <v>26</v>
      </c>
      <c r="AT94" t="s">
        <v>26</v>
      </c>
      <c r="AU94" t="s">
        <v>64</v>
      </c>
      <c r="AV94" t="s">
        <v>64</v>
      </c>
      <c r="AW94" t="s">
        <v>119</v>
      </c>
      <c r="AX94" t="s">
        <v>120</v>
      </c>
      <c r="AY94">
        <v>8</v>
      </c>
      <c r="AZ94" t="s">
        <v>121</v>
      </c>
      <c r="BA94" t="s">
        <v>214</v>
      </c>
      <c r="BB94" t="s">
        <v>26</v>
      </c>
      <c r="BC94" t="s">
        <v>460</v>
      </c>
      <c r="BD94" t="s">
        <v>75</v>
      </c>
      <c r="BE94" t="s">
        <v>26</v>
      </c>
      <c r="BF94" t="s">
        <v>26</v>
      </c>
      <c r="BG94" s="146">
        <v>1676</v>
      </c>
      <c r="BH94" t="s">
        <v>377</v>
      </c>
      <c r="BI94">
        <v>0.13</v>
      </c>
      <c r="BJ94" t="s">
        <v>461</v>
      </c>
      <c r="BK94" t="s">
        <v>2</v>
      </c>
      <c r="BL94">
        <v>165</v>
      </c>
    </row>
    <row r="95" spans="1:64">
      <c r="A95" s="160">
        <v>502</v>
      </c>
      <c r="B95" s="27">
        <v>166</v>
      </c>
      <c r="C95" s="27" t="s">
        <v>2147</v>
      </c>
      <c r="E95" s="27" t="s">
        <v>2148</v>
      </c>
      <c r="AC95"/>
      <c r="AD95"/>
      <c r="AE95"/>
      <c r="AF95" s="37" t="str">
        <f t="shared" si="2"/>
        <v>SM2SM_2             KS_CPL_D</v>
      </c>
      <c r="AG95" t="s">
        <v>2150</v>
      </c>
      <c r="AH95">
        <v>3</v>
      </c>
      <c r="AI95">
        <v>166</v>
      </c>
      <c r="AJ95" t="s">
        <v>462</v>
      </c>
      <c r="AK95" t="s">
        <v>26</v>
      </c>
      <c r="AL95" t="s">
        <v>423</v>
      </c>
      <c r="AM95" t="s">
        <v>423</v>
      </c>
      <c r="AN95" t="s">
        <v>424</v>
      </c>
      <c r="AO95" t="s">
        <v>425</v>
      </c>
      <c r="AP95">
        <v>6</v>
      </c>
      <c r="AQ95" t="s">
        <v>426</v>
      </c>
      <c r="AR95" t="s">
        <v>111</v>
      </c>
      <c r="AS95" t="s">
        <v>26</v>
      </c>
      <c r="AT95" t="s">
        <v>26</v>
      </c>
      <c r="AU95" t="s">
        <v>64</v>
      </c>
      <c r="AV95" t="s">
        <v>64</v>
      </c>
      <c r="AW95" t="s">
        <v>65</v>
      </c>
      <c r="AX95" t="s">
        <v>66</v>
      </c>
      <c r="AY95">
        <v>11</v>
      </c>
      <c r="AZ95" t="s">
        <v>67</v>
      </c>
      <c r="BA95" t="s">
        <v>122</v>
      </c>
      <c r="BB95" t="s">
        <v>26</v>
      </c>
      <c r="BC95" t="s">
        <v>463</v>
      </c>
      <c r="BD95" t="s">
        <v>75</v>
      </c>
      <c r="BE95" t="s">
        <v>26</v>
      </c>
      <c r="BF95" t="s">
        <v>26</v>
      </c>
      <c r="BG95" s="146">
        <v>1676</v>
      </c>
      <c r="BH95" t="s">
        <v>193</v>
      </c>
      <c r="BI95">
        <v>0.5</v>
      </c>
      <c r="BJ95" t="s">
        <v>464</v>
      </c>
      <c r="BK95" t="s">
        <v>2</v>
      </c>
      <c r="BL95">
        <v>166</v>
      </c>
    </row>
    <row r="96" spans="1:64">
      <c r="A96" s="47"/>
      <c r="B96" s="27">
        <v>167</v>
      </c>
      <c r="C96" s="27" t="s">
        <v>2147</v>
      </c>
      <c r="E96" s="27" t="s">
        <v>2148</v>
      </c>
      <c r="F96" s="27" t="s">
        <v>2156</v>
      </c>
      <c r="G96" s="27" t="s">
        <v>472</v>
      </c>
      <c r="I96" s="27" t="s">
        <v>2163</v>
      </c>
      <c r="K96" s="27" t="s">
        <v>2153</v>
      </c>
      <c r="L96" s="27" t="s">
        <v>2148</v>
      </c>
      <c r="M96" s="27" t="s">
        <v>2154</v>
      </c>
      <c r="AC96"/>
      <c r="AD96"/>
      <c r="AE96"/>
      <c r="AF96" s="37" t="str">
        <f t="shared" si="2"/>
        <v>SGKG102P_B          SP_ACLIN5</v>
      </c>
      <c r="AG96" t="s">
        <v>2150</v>
      </c>
      <c r="AH96">
        <v>3</v>
      </c>
      <c r="AI96">
        <v>167</v>
      </c>
      <c r="AJ96" t="s">
        <v>465</v>
      </c>
      <c r="AK96" t="s">
        <v>26</v>
      </c>
      <c r="AL96" t="s">
        <v>466</v>
      </c>
      <c r="AM96" t="s">
        <v>466</v>
      </c>
      <c r="AN96" t="s">
        <v>467</v>
      </c>
      <c r="AO96" t="s">
        <v>468</v>
      </c>
      <c r="AP96">
        <v>17</v>
      </c>
      <c r="AQ96" t="s">
        <v>469</v>
      </c>
      <c r="AR96" t="s">
        <v>321</v>
      </c>
      <c r="AS96" t="s">
        <v>26</v>
      </c>
      <c r="AT96" t="s">
        <v>26</v>
      </c>
      <c r="AU96" t="s">
        <v>26</v>
      </c>
      <c r="AV96" t="s">
        <v>470</v>
      </c>
      <c r="AW96" t="s">
        <v>471</v>
      </c>
      <c r="AX96" t="s">
        <v>472</v>
      </c>
      <c r="AY96">
        <v>1</v>
      </c>
      <c r="AZ96" t="s">
        <v>473</v>
      </c>
      <c r="BA96" t="s">
        <v>26</v>
      </c>
      <c r="BB96" t="s">
        <v>26</v>
      </c>
      <c r="BC96" t="s">
        <v>322</v>
      </c>
      <c r="BD96" t="s">
        <v>75</v>
      </c>
      <c r="BE96" t="s">
        <v>26</v>
      </c>
      <c r="BF96" t="s">
        <v>26</v>
      </c>
      <c r="BG96">
        <v>318</v>
      </c>
      <c r="BH96" t="s">
        <v>323</v>
      </c>
      <c r="BI96">
        <v>0.13</v>
      </c>
      <c r="BJ96" t="s">
        <v>474</v>
      </c>
      <c r="BK96" t="s">
        <v>2</v>
      </c>
      <c r="BL96">
        <v>167</v>
      </c>
    </row>
    <row r="97" spans="1:66">
      <c r="A97" s="47">
        <v>500.50599999999997</v>
      </c>
      <c r="B97" s="27">
        <v>170</v>
      </c>
      <c r="C97" s="27" t="s">
        <v>2147</v>
      </c>
      <c r="E97" s="27" t="s">
        <v>2148</v>
      </c>
      <c r="AC97"/>
      <c r="AD97"/>
      <c r="AE97" s="162" t="s">
        <v>2356</v>
      </c>
      <c r="AF97" s="37" t="str">
        <f t="shared" si="2"/>
        <v>MIB_C               KS_CPR_C</v>
      </c>
      <c r="AG97" t="s">
        <v>2150</v>
      </c>
      <c r="AH97">
        <v>3</v>
      </c>
      <c r="AI97">
        <v>170</v>
      </c>
      <c r="AJ97" t="s">
        <v>475</v>
      </c>
      <c r="AK97" t="s">
        <v>26</v>
      </c>
      <c r="AL97" t="s">
        <v>32</v>
      </c>
      <c r="AM97" t="s">
        <v>33</v>
      </c>
      <c r="AN97" t="s">
        <v>476</v>
      </c>
      <c r="AO97" t="s">
        <v>477</v>
      </c>
      <c r="AP97">
        <v>6</v>
      </c>
      <c r="AQ97" t="s">
        <v>158</v>
      </c>
      <c r="AR97" t="s">
        <v>321</v>
      </c>
      <c r="AS97" t="s">
        <v>26</v>
      </c>
      <c r="AT97" t="s">
        <v>26</v>
      </c>
      <c r="AU97" t="s">
        <v>131</v>
      </c>
      <c r="AV97" t="s">
        <v>131</v>
      </c>
      <c r="AW97" t="s">
        <v>189</v>
      </c>
      <c r="AX97" t="s">
        <v>190</v>
      </c>
      <c r="AY97">
        <v>9</v>
      </c>
      <c r="AZ97" s="146" t="s">
        <v>121</v>
      </c>
      <c r="BA97" t="s">
        <v>214</v>
      </c>
      <c r="BB97" t="s">
        <v>26</v>
      </c>
      <c r="BC97" t="s">
        <v>478</v>
      </c>
      <c r="BD97" t="s">
        <v>75</v>
      </c>
      <c r="BE97" t="s">
        <v>479</v>
      </c>
      <c r="BF97" t="s">
        <v>480</v>
      </c>
      <c r="BG97" s="146">
        <v>1753</v>
      </c>
      <c r="BH97" t="s">
        <v>255</v>
      </c>
      <c r="BI97">
        <v>0.13</v>
      </c>
      <c r="BJ97" t="s">
        <v>481</v>
      </c>
      <c r="BK97" t="s">
        <v>2</v>
      </c>
      <c r="BL97">
        <v>170</v>
      </c>
    </row>
    <row r="98" spans="1:66">
      <c r="A98" s="47">
        <v>500.50599999999997</v>
      </c>
      <c r="B98" s="27">
        <v>171</v>
      </c>
      <c r="C98" s="27" t="s">
        <v>2147</v>
      </c>
      <c r="E98" s="27" t="s">
        <v>2148</v>
      </c>
      <c r="AC98"/>
      <c r="AD98"/>
      <c r="AE98" s="162" t="s">
        <v>2356</v>
      </c>
      <c r="AF98" s="37" t="str">
        <f t="shared" si="2"/>
        <v>MIB_C               KS_CPR_C</v>
      </c>
      <c r="AG98" t="s">
        <v>2150</v>
      </c>
      <c r="AH98">
        <v>3</v>
      </c>
      <c r="AI98">
        <v>171</v>
      </c>
      <c r="AJ98" t="s">
        <v>482</v>
      </c>
      <c r="AK98" t="s">
        <v>26</v>
      </c>
      <c r="AL98" t="s">
        <v>32</v>
      </c>
      <c r="AM98" t="s">
        <v>33</v>
      </c>
      <c r="AN98" t="s">
        <v>476</v>
      </c>
      <c r="AO98" t="s">
        <v>477</v>
      </c>
      <c r="AP98">
        <v>12</v>
      </c>
      <c r="AQ98" t="s">
        <v>158</v>
      </c>
      <c r="AR98" t="s">
        <v>321</v>
      </c>
      <c r="AS98" t="s">
        <v>26</v>
      </c>
      <c r="AT98" t="s">
        <v>26</v>
      </c>
      <c r="AU98" t="s">
        <v>131</v>
      </c>
      <c r="AV98" t="s">
        <v>131</v>
      </c>
      <c r="AW98" t="s">
        <v>189</v>
      </c>
      <c r="AX98" t="s">
        <v>190</v>
      </c>
      <c r="AY98">
        <v>10</v>
      </c>
      <c r="AZ98" s="146" t="s">
        <v>121</v>
      </c>
      <c r="BA98" t="s">
        <v>214</v>
      </c>
      <c r="BB98" t="s">
        <v>26</v>
      </c>
      <c r="BC98" t="s">
        <v>478</v>
      </c>
      <c r="BD98" t="s">
        <v>75</v>
      </c>
      <c r="BE98" t="s">
        <v>479</v>
      </c>
      <c r="BF98" t="s">
        <v>45</v>
      </c>
      <c r="BG98" s="146">
        <v>1753</v>
      </c>
      <c r="BH98" t="s">
        <v>46</v>
      </c>
      <c r="BI98">
        <v>0.13</v>
      </c>
      <c r="BJ98" t="s">
        <v>483</v>
      </c>
      <c r="BK98" t="s">
        <v>2</v>
      </c>
      <c r="BL98">
        <v>171</v>
      </c>
    </row>
    <row r="99" spans="1:66">
      <c r="A99" s="47"/>
      <c r="B99" s="27">
        <v>182</v>
      </c>
      <c r="C99" s="27" t="s">
        <v>2147</v>
      </c>
      <c r="E99" s="27" t="s">
        <v>2148</v>
      </c>
      <c r="F99" s="27" t="s">
        <v>2156</v>
      </c>
      <c r="G99" s="27" t="s">
        <v>2164</v>
      </c>
      <c r="K99" s="27" t="s">
        <v>2158</v>
      </c>
      <c r="L99" s="27" t="s">
        <v>2154</v>
      </c>
      <c r="M99" s="27" t="s">
        <v>2154</v>
      </c>
      <c r="AC99"/>
      <c r="AD99"/>
      <c r="AE99"/>
      <c r="AF99" s="37" t="str">
        <f t="shared" si="2"/>
        <v>SP_MB31_B3          SP_MB31_B1</v>
      </c>
      <c r="AG99" t="s">
        <v>2150</v>
      </c>
      <c r="AH99">
        <v>3</v>
      </c>
      <c r="AI99">
        <v>182</v>
      </c>
      <c r="AJ99" t="s">
        <v>484</v>
      </c>
      <c r="AK99" t="s">
        <v>26</v>
      </c>
      <c r="AL99" t="s">
        <v>26</v>
      </c>
      <c r="AM99" t="s">
        <v>372</v>
      </c>
      <c r="AN99">
        <v>821</v>
      </c>
      <c r="AO99" t="s">
        <v>373</v>
      </c>
      <c r="AP99">
        <v>1</v>
      </c>
      <c r="AQ99" t="s">
        <v>374</v>
      </c>
      <c r="AR99" t="s">
        <v>26</v>
      </c>
      <c r="AS99" t="s">
        <v>26</v>
      </c>
      <c r="AT99" t="s">
        <v>26</v>
      </c>
      <c r="AU99" t="s">
        <v>26</v>
      </c>
      <c r="AV99" t="s">
        <v>258</v>
      </c>
      <c r="AW99">
        <v>332</v>
      </c>
      <c r="AX99" t="s">
        <v>259</v>
      </c>
      <c r="AY99">
        <v>1</v>
      </c>
      <c r="AZ99" t="s">
        <v>260</v>
      </c>
      <c r="BA99" t="s">
        <v>26</v>
      </c>
      <c r="BB99" t="s">
        <v>26</v>
      </c>
      <c r="BC99" t="s">
        <v>234</v>
      </c>
      <c r="BD99" t="s">
        <v>75</v>
      </c>
      <c r="BE99" t="s">
        <v>26</v>
      </c>
      <c r="BF99" t="s">
        <v>26</v>
      </c>
      <c r="BG99">
        <v>486</v>
      </c>
      <c r="BH99" t="s">
        <v>42</v>
      </c>
      <c r="BI99">
        <v>1.5</v>
      </c>
      <c r="BJ99" t="s">
        <v>264</v>
      </c>
      <c r="BK99" t="s">
        <v>2</v>
      </c>
      <c r="BL99">
        <v>182</v>
      </c>
    </row>
    <row r="100" spans="1:66">
      <c r="A100" s="47">
        <v>506</v>
      </c>
      <c r="B100" s="27">
        <v>183</v>
      </c>
      <c r="C100" s="27" t="s">
        <v>2147</v>
      </c>
      <c r="E100" s="27" t="s">
        <v>2148</v>
      </c>
      <c r="F100" s="27" t="s">
        <v>2156</v>
      </c>
      <c r="G100" s="27" t="s">
        <v>2165</v>
      </c>
      <c r="K100" s="27" t="s">
        <v>2158</v>
      </c>
      <c r="L100" s="27" t="s">
        <v>2154</v>
      </c>
      <c r="M100" s="27" t="s">
        <v>2154</v>
      </c>
      <c r="AC100"/>
      <c r="AD100"/>
      <c r="AE100"/>
      <c r="AF100" s="37" t="str">
        <f t="shared" si="2"/>
        <v>SP_MB32_B3          SP_MB32_B1</v>
      </c>
      <c r="AG100" t="s">
        <v>2150</v>
      </c>
      <c r="AH100">
        <v>3</v>
      </c>
      <c r="AI100">
        <v>183</v>
      </c>
      <c r="AJ100" t="s">
        <v>485</v>
      </c>
      <c r="AK100" t="s">
        <v>26</v>
      </c>
      <c r="AL100" t="s">
        <v>26</v>
      </c>
      <c r="AM100" t="s">
        <v>380</v>
      </c>
      <c r="AN100">
        <v>81</v>
      </c>
      <c r="AO100" t="s">
        <v>381</v>
      </c>
      <c r="AP100">
        <v>1</v>
      </c>
      <c r="AQ100" t="s">
        <v>382</v>
      </c>
      <c r="AR100" t="s">
        <v>26</v>
      </c>
      <c r="AS100" t="s">
        <v>26</v>
      </c>
      <c r="AT100" t="s">
        <v>26</v>
      </c>
      <c r="AU100" t="s">
        <v>26</v>
      </c>
      <c r="AV100" t="s">
        <v>266</v>
      </c>
      <c r="AW100">
        <v>199</v>
      </c>
      <c r="AX100" t="s">
        <v>267</v>
      </c>
      <c r="AY100">
        <v>1</v>
      </c>
      <c r="AZ100" t="s">
        <v>268</v>
      </c>
      <c r="BA100" t="s">
        <v>26</v>
      </c>
      <c r="BB100" t="s">
        <v>26</v>
      </c>
      <c r="BC100" t="s">
        <v>234</v>
      </c>
      <c r="BD100" t="s">
        <v>75</v>
      </c>
      <c r="BE100" t="s">
        <v>26</v>
      </c>
      <c r="BF100" t="s">
        <v>26</v>
      </c>
      <c r="BG100" s="146">
        <v>634</v>
      </c>
      <c r="BH100" t="s">
        <v>42</v>
      </c>
      <c r="BI100">
        <v>1.5</v>
      </c>
      <c r="BJ100" t="s">
        <v>200</v>
      </c>
      <c r="BK100" t="s">
        <v>2</v>
      </c>
      <c r="BL100">
        <v>183</v>
      </c>
    </row>
    <row r="101" spans="1:66">
      <c r="A101" s="47"/>
      <c r="B101" s="27">
        <v>185</v>
      </c>
      <c r="C101" s="27" t="s">
        <v>2147</v>
      </c>
      <c r="E101" s="27" t="s">
        <v>2148</v>
      </c>
      <c r="AC101"/>
      <c r="AD101"/>
      <c r="AE101"/>
      <c r="AF101" s="37" t="str">
        <f t="shared" ref="AF101:AF108" si="3" xml:space="preserve"> AO101 &amp; REPT(" ",20-LEN(AO101)) &amp; AX101</f>
        <v>MIB_B               KS_CPL_A</v>
      </c>
      <c r="AG101" t="s">
        <v>2150</v>
      </c>
      <c r="AH101">
        <v>3</v>
      </c>
      <c r="AI101">
        <v>185</v>
      </c>
      <c r="AJ101" t="s">
        <v>486</v>
      </c>
      <c r="AK101" t="s">
        <v>26</v>
      </c>
      <c r="AL101" t="s">
        <v>32</v>
      </c>
      <c r="AM101" t="s">
        <v>33</v>
      </c>
      <c r="AN101" t="s">
        <v>487</v>
      </c>
      <c r="AO101" t="s">
        <v>488</v>
      </c>
      <c r="AP101">
        <v>5</v>
      </c>
      <c r="AQ101" t="s">
        <v>489</v>
      </c>
      <c r="AR101" t="s">
        <v>321</v>
      </c>
      <c r="AS101" t="s">
        <v>26</v>
      </c>
      <c r="AT101" t="s">
        <v>26</v>
      </c>
      <c r="AU101" t="s">
        <v>64</v>
      </c>
      <c r="AV101" t="s">
        <v>64</v>
      </c>
      <c r="AW101" t="s">
        <v>261</v>
      </c>
      <c r="AX101" t="s">
        <v>262</v>
      </c>
      <c r="AY101">
        <v>12</v>
      </c>
      <c r="AZ101" t="s">
        <v>263</v>
      </c>
      <c r="BA101" t="s">
        <v>214</v>
      </c>
      <c r="BB101" t="s">
        <v>26</v>
      </c>
      <c r="BC101" t="s">
        <v>490</v>
      </c>
      <c r="BD101" t="s">
        <v>75</v>
      </c>
      <c r="BE101" t="s">
        <v>26</v>
      </c>
      <c r="BF101" t="s">
        <v>26</v>
      </c>
      <c r="BG101">
        <v>1992</v>
      </c>
      <c r="BH101" t="s">
        <v>491</v>
      </c>
      <c r="BI101">
        <v>0.13</v>
      </c>
      <c r="BJ101" t="s">
        <v>492</v>
      </c>
      <c r="BK101" t="s">
        <v>2</v>
      </c>
      <c r="BL101">
        <v>185</v>
      </c>
    </row>
    <row r="102" spans="1:66">
      <c r="A102" s="47">
        <v>500.50599999999997</v>
      </c>
      <c r="B102" s="27">
        <v>187</v>
      </c>
      <c r="C102" s="27" t="s">
        <v>2147</v>
      </c>
      <c r="E102" s="27" t="s">
        <v>2148</v>
      </c>
      <c r="AC102"/>
      <c r="AD102"/>
      <c r="AE102"/>
      <c r="AF102" s="37" t="str">
        <f t="shared" si="3"/>
        <v>STO52A              KS_CPR_C</v>
      </c>
      <c r="AG102" t="s">
        <v>2150</v>
      </c>
      <c r="AH102">
        <v>3</v>
      </c>
      <c r="AI102">
        <v>187</v>
      </c>
      <c r="AJ102" t="s">
        <v>493</v>
      </c>
      <c r="AK102" t="s">
        <v>26</v>
      </c>
      <c r="AL102" t="s">
        <v>150</v>
      </c>
      <c r="AM102" t="s">
        <v>150</v>
      </c>
      <c r="AN102" t="s">
        <v>151</v>
      </c>
      <c r="AO102" t="s">
        <v>152</v>
      </c>
      <c r="AP102" t="s">
        <v>494</v>
      </c>
      <c r="AQ102" t="s">
        <v>154</v>
      </c>
      <c r="AR102" t="s">
        <v>304</v>
      </c>
      <c r="AS102" t="s">
        <v>26</v>
      </c>
      <c r="AT102" t="s">
        <v>26</v>
      </c>
      <c r="AU102" t="s">
        <v>131</v>
      </c>
      <c r="AV102" t="s">
        <v>131</v>
      </c>
      <c r="AW102" t="s">
        <v>189</v>
      </c>
      <c r="AX102" t="s">
        <v>190</v>
      </c>
      <c r="AY102">
        <v>7</v>
      </c>
      <c r="AZ102" s="146" t="s">
        <v>121</v>
      </c>
      <c r="BA102" t="s">
        <v>68</v>
      </c>
      <c r="BB102" t="s">
        <v>26</v>
      </c>
      <c r="BC102" t="s">
        <v>305</v>
      </c>
      <c r="BD102" t="s">
        <v>75</v>
      </c>
      <c r="BE102" t="s">
        <v>26</v>
      </c>
      <c r="BF102" t="s">
        <v>26</v>
      </c>
      <c r="BG102" s="146">
        <v>2232</v>
      </c>
      <c r="BH102" t="s">
        <v>306</v>
      </c>
      <c r="BI102">
        <v>0.35</v>
      </c>
      <c r="BJ102" t="s">
        <v>495</v>
      </c>
      <c r="BK102" t="s">
        <v>2</v>
      </c>
      <c r="BL102">
        <v>187</v>
      </c>
    </row>
    <row r="103" spans="1:66">
      <c r="A103" s="160">
        <v>502</v>
      </c>
      <c r="B103" s="27">
        <v>188</v>
      </c>
      <c r="C103" s="27" t="s">
        <v>2147</v>
      </c>
      <c r="E103" s="27" t="s">
        <v>2148</v>
      </c>
      <c r="F103" s="27" t="s">
        <v>2156</v>
      </c>
      <c r="G103" s="27" t="s">
        <v>267</v>
      </c>
      <c r="K103" s="27" t="s">
        <v>2153</v>
      </c>
      <c r="L103" s="27" t="s">
        <v>2148</v>
      </c>
      <c r="M103" s="27" t="s">
        <v>2154</v>
      </c>
      <c r="AC103"/>
      <c r="AD103"/>
      <c r="AE103"/>
      <c r="AF103" s="37" t="str">
        <f t="shared" si="3"/>
        <v>SM2SM_2             SP_MB32_B2</v>
      </c>
      <c r="AG103" t="s">
        <v>2150</v>
      </c>
      <c r="AH103">
        <v>3</v>
      </c>
      <c r="AI103">
        <v>188</v>
      </c>
      <c r="AJ103" t="s">
        <v>496</v>
      </c>
      <c r="AK103" t="s">
        <v>26</v>
      </c>
      <c r="AL103" t="s">
        <v>423</v>
      </c>
      <c r="AM103" t="s">
        <v>423</v>
      </c>
      <c r="AN103" t="s">
        <v>424</v>
      </c>
      <c r="AO103" t="s">
        <v>425</v>
      </c>
      <c r="AP103">
        <v>15</v>
      </c>
      <c r="AQ103" t="s">
        <v>426</v>
      </c>
      <c r="AR103" t="s">
        <v>111</v>
      </c>
      <c r="AS103" t="s">
        <v>26</v>
      </c>
      <c r="AT103" t="s">
        <v>26</v>
      </c>
      <c r="AU103" t="s">
        <v>26</v>
      </c>
      <c r="AV103" t="s">
        <v>196</v>
      </c>
      <c r="AW103">
        <v>135</v>
      </c>
      <c r="AX103" t="s">
        <v>197</v>
      </c>
      <c r="AY103">
        <v>1</v>
      </c>
      <c r="AZ103" t="s">
        <v>198</v>
      </c>
      <c r="BA103" t="s">
        <v>26</v>
      </c>
      <c r="BB103" t="s">
        <v>26</v>
      </c>
      <c r="BC103" t="s">
        <v>280</v>
      </c>
      <c r="BD103" t="s">
        <v>75</v>
      </c>
      <c r="BE103" t="s">
        <v>26</v>
      </c>
      <c r="BF103" t="s">
        <v>26</v>
      </c>
      <c r="BG103" s="146">
        <v>778</v>
      </c>
      <c r="BH103" t="s">
        <v>42</v>
      </c>
      <c r="BI103">
        <v>0.5</v>
      </c>
      <c r="BJ103" t="s">
        <v>200</v>
      </c>
      <c r="BK103" t="s">
        <v>2</v>
      </c>
      <c r="BL103">
        <v>188</v>
      </c>
    </row>
    <row r="104" spans="1:66">
      <c r="A104" s="47">
        <v>501</v>
      </c>
      <c r="B104" s="27">
        <v>189</v>
      </c>
      <c r="C104" s="27" t="s">
        <v>2147</v>
      </c>
      <c r="E104" s="27" t="s">
        <v>2148</v>
      </c>
      <c r="AC104"/>
      <c r="AD104"/>
      <c r="AE104"/>
      <c r="AF104" s="37" t="str">
        <f t="shared" si="3"/>
        <v>DSO03A              KS_CPR_A</v>
      </c>
      <c r="AG104" t="s">
        <v>2150</v>
      </c>
      <c r="AH104">
        <v>3</v>
      </c>
      <c r="AI104">
        <v>189</v>
      </c>
      <c r="AJ104" t="s">
        <v>497</v>
      </c>
      <c r="AK104" t="s">
        <v>26</v>
      </c>
      <c r="AL104" t="s">
        <v>338</v>
      </c>
      <c r="AM104" t="s">
        <v>338</v>
      </c>
      <c r="AN104" t="s">
        <v>339</v>
      </c>
      <c r="AO104" t="s">
        <v>340</v>
      </c>
      <c r="AP104">
        <v>1</v>
      </c>
      <c r="AQ104" t="s">
        <v>341</v>
      </c>
      <c r="AR104" t="s">
        <v>342</v>
      </c>
      <c r="AS104" t="s">
        <v>26</v>
      </c>
      <c r="AT104" t="s">
        <v>26</v>
      </c>
      <c r="AU104" t="s">
        <v>131</v>
      </c>
      <c r="AV104" t="s">
        <v>131</v>
      </c>
      <c r="AW104" t="s">
        <v>164</v>
      </c>
      <c r="AX104" t="s">
        <v>165</v>
      </c>
      <c r="AY104">
        <v>9</v>
      </c>
      <c r="AZ104" t="s">
        <v>166</v>
      </c>
      <c r="BA104" t="s">
        <v>122</v>
      </c>
      <c r="BB104" t="s">
        <v>26</v>
      </c>
      <c r="BC104" t="s">
        <v>498</v>
      </c>
      <c r="BD104" t="s">
        <v>75</v>
      </c>
      <c r="BE104" t="s">
        <v>26</v>
      </c>
      <c r="BF104" t="s">
        <v>26</v>
      </c>
      <c r="BG104" s="146">
        <v>397</v>
      </c>
      <c r="BH104" t="s">
        <v>499</v>
      </c>
      <c r="BI104">
        <v>0.5</v>
      </c>
      <c r="BJ104" t="s">
        <v>500</v>
      </c>
      <c r="BK104" t="s">
        <v>2</v>
      </c>
      <c r="BL104">
        <v>189</v>
      </c>
    </row>
    <row r="105" spans="1:66">
      <c r="A105" s="47"/>
      <c r="B105" s="27">
        <v>192</v>
      </c>
      <c r="C105" s="27" t="s">
        <v>2147</v>
      </c>
      <c r="E105" s="27" t="s">
        <v>2148</v>
      </c>
      <c r="F105" s="27" t="s">
        <v>2156</v>
      </c>
      <c r="G105" s="27" t="s">
        <v>2166</v>
      </c>
      <c r="K105" s="27" t="s">
        <v>2153</v>
      </c>
      <c r="L105" s="27" t="s">
        <v>2154</v>
      </c>
      <c r="M105" s="27" t="s">
        <v>2154</v>
      </c>
      <c r="AC105"/>
      <c r="AD105"/>
      <c r="AE105"/>
      <c r="AF105" s="37" t="str">
        <f t="shared" si="3"/>
        <v>SP_MB31_B2          SP_MB31_B3</v>
      </c>
      <c r="AG105" t="s">
        <v>2150</v>
      </c>
      <c r="AH105">
        <v>3</v>
      </c>
      <c r="AI105">
        <v>192</v>
      </c>
      <c r="AJ105" t="s">
        <v>501</v>
      </c>
      <c r="AK105" t="s">
        <v>26</v>
      </c>
      <c r="AL105" t="s">
        <v>26</v>
      </c>
      <c r="AM105" t="s">
        <v>309</v>
      </c>
      <c r="AN105">
        <v>213</v>
      </c>
      <c r="AO105" t="s">
        <v>310</v>
      </c>
      <c r="AP105">
        <v>1</v>
      </c>
      <c r="AQ105" t="s">
        <v>311</v>
      </c>
      <c r="AR105" t="s">
        <v>26</v>
      </c>
      <c r="AS105" t="s">
        <v>26</v>
      </c>
      <c r="AT105" t="s">
        <v>26</v>
      </c>
      <c r="AU105" t="s">
        <v>26</v>
      </c>
      <c r="AV105" t="s">
        <v>372</v>
      </c>
      <c r="AW105">
        <v>821</v>
      </c>
      <c r="AX105" t="s">
        <v>373</v>
      </c>
      <c r="AY105">
        <v>1</v>
      </c>
      <c r="AZ105" t="s">
        <v>374</v>
      </c>
      <c r="BA105" t="s">
        <v>26</v>
      </c>
      <c r="BB105" t="s">
        <v>26</v>
      </c>
      <c r="BC105" t="s">
        <v>502</v>
      </c>
      <c r="BD105" t="s">
        <v>75</v>
      </c>
      <c r="BE105" t="s">
        <v>26</v>
      </c>
      <c r="BF105" t="s">
        <v>26</v>
      </c>
      <c r="BG105">
        <v>406</v>
      </c>
      <c r="BH105" t="s">
        <v>42</v>
      </c>
      <c r="BI105">
        <v>1</v>
      </c>
      <c r="BJ105" t="s">
        <v>264</v>
      </c>
      <c r="BK105" t="s">
        <v>2</v>
      </c>
      <c r="BL105">
        <v>192</v>
      </c>
    </row>
    <row r="106" spans="1:66">
      <c r="A106" s="47"/>
      <c r="B106" s="27">
        <v>193</v>
      </c>
      <c r="C106" s="27" t="s">
        <v>2147</v>
      </c>
      <c r="E106" s="27" t="s">
        <v>2148</v>
      </c>
      <c r="F106" s="27" t="s">
        <v>2156</v>
      </c>
      <c r="G106" s="27" t="s">
        <v>2167</v>
      </c>
      <c r="K106" s="27" t="s">
        <v>2153</v>
      </c>
      <c r="L106" s="27" t="s">
        <v>2154</v>
      </c>
      <c r="M106" s="27" t="s">
        <v>2154</v>
      </c>
      <c r="AC106"/>
      <c r="AD106"/>
      <c r="AE106"/>
      <c r="AF106" s="37" t="str">
        <f t="shared" si="3"/>
        <v>SP_MB32_B2          SP_MB32_B3</v>
      </c>
      <c r="AG106" t="s">
        <v>2150</v>
      </c>
      <c r="AH106">
        <v>3</v>
      </c>
      <c r="AI106">
        <v>193</v>
      </c>
      <c r="AJ106" t="s">
        <v>503</v>
      </c>
      <c r="AK106" t="s">
        <v>26</v>
      </c>
      <c r="AL106" t="s">
        <v>26</v>
      </c>
      <c r="AM106" t="s">
        <v>196</v>
      </c>
      <c r="AN106">
        <v>135</v>
      </c>
      <c r="AO106" t="s">
        <v>197</v>
      </c>
      <c r="AP106">
        <v>1</v>
      </c>
      <c r="AQ106" t="s">
        <v>198</v>
      </c>
      <c r="AR106" t="s">
        <v>26</v>
      </c>
      <c r="AS106" t="s">
        <v>26</v>
      </c>
      <c r="AT106" t="s">
        <v>26</v>
      </c>
      <c r="AU106" t="s">
        <v>26</v>
      </c>
      <c r="AV106" t="s">
        <v>380</v>
      </c>
      <c r="AW106">
        <v>81</v>
      </c>
      <c r="AX106" t="s">
        <v>381</v>
      </c>
      <c r="AY106">
        <v>1</v>
      </c>
      <c r="AZ106" t="s">
        <v>382</v>
      </c>
      <c r="BA106" t="s">
        <v>26</v>
      </c>
      <c r="BB106" t="s">
        <v>26</v>
      </c>
      <c r="BC106" t="s">
        <v>234</v>
      </c>
      <c r="BD106" t="s">
        <v>75</v>
      </c>
      <c r="BE106" t="s">
        <v>26</v>
      </c>
      <c r="BF106" t="s">
        <v>26</v>
      </c>
      <c r="BG106">
        <v>568</v>
      </c>
      <c r="BH106" t="s">
        <v>42</v>
      </c>
      <c r="BI106">
        <v>1.5</v>
      </c>
      <c r="BJ106" t="s">
        <v>200</v>
      </c>
      <c r="BK106" t="s">
        <v>2</v>
      </c>
      <c r="BL106">
        <v>193</v>
      </c>
    </row>
    <row r="107" spans="1:66">
      <c r="A107" s="47"/>
      <c r="B107" s="27">
        <v>195</v>
      </c>
      <c r="C107" s="27" t="s">
        <v>2147</v>
      </c>
      <c r="E107" s="27" t="s">
        <v>2148</v>
      </c>
      <c r="AC107"/>
      <c r="AD107"/>
      <c r="AE107"/>
      <c r="AF107" s="37" t="str">
        <f t="shared" si="3"/>
        <v>MIB_C               KS_CPM_E</v>
      </c>
      <c r="AG107" t="s">
        <v>2150</v>
      </c>
      <c r="AH107">
        <v>3</v>
      </c>
      <c r="AI107">
        <v>195</v>
      </c>
      <c r="AJ107" t="s">
        <v>504</v>
      </c>
      <c r="AK107" t="s">
        <v>26</v>
      </c>
      <c r="AL107" t="s">
        <v>32</v>
      </c>
      <c r="AM107" t="s">
        <v>33</v>
      </c>
      <c r="AN107" t="s">
        <v>476</v>
      </c>
      <c r="AO107" t="s">
        <v>477</v>
      </c>
      <c r="AP107">
        <v>10</v>
      </c>
      <c r="AQ107" t="s">
        <v>158</v>
      </c>
      <c r="AR107" t="s">
        <v>111</v>
      </c>
      <c r="AS107" t="s">
        <v>26</v>
      </c>
      <c r="AT107" t="s">
        <v>26</v>
      </c>
      <c r="AU107" t="s">
        <v>69</v>
      </c>
      <c r="AV107" t="s">
        <v>69</v>
      </c>
      <c r="AW107" t="s">
        <v>70</v>
      </c>
      <c r="AX107" t="s">
        <v>71</v>
      </c>
      <c r="AY107">
        <v>10</v>
      </c>
      <c r="AZ107" t="s">
        <v>72</v>
      </c>
      <c r="BA107" t="s">
        <v>122</v>
      </c>
      <c r="BB107" t="s">
        <v>26</v>
      </c>
      <c r="BC107" t="s">
        <v>369</v>
      </c>
      <c r="BD107" t="s">
        <v>75</v>
      </c>
      <c r="BE107" t="s">
        <v>26</v>
      </c>
      <c r="BF107" t="s">
        <v>26</v>
      </c>
      <c r="BG107">
        <v>1101</v>
      </c>
      <c r="BH107" t="s">
        <v>227</v>
      </c>
      <c r="BI107">
        <v>0.5</v>
      </c>
      <c r="BJ107" t="s">
        <v>505</v>
      </c>
      <c r="BK107" t="s">
        <v>2</v>
      </c>
      <c r="BL107">
        <v>195</v>
      </c>
    </row>
    <row r="108" spans="1:66">
      <c r="A108" s="47"/>
      <c r="C108" s="27" t="s">
        <v>2168</v>
      </c>
      <c r="AF108" s="37" t="str">
        <f t="shared" si="3"/>
        <v xml:space="preserve">                    </v>
      </c>
      <c r="AH108">
        <v>1</v>
      </c>
      <c r="AI108" t="s">
        <v>506</v>
      </c>
    </row>
    <row r="109" spans="1:66">
      <c r="A109" s="160">
        <v>500.50599999999997</v>
      </c>
      <c r="C109" s="27" t="s">
        <v>2168</v>
      </c>
      <c r="AF109" s="37"/>
      <c r="AH109">
        <v>2</v>
      </c>
      <c r="AI109" t="s">
        <v>1</v>
      </c>
      <c r="AJ109" t="s">
        <v>507</v>
      </c>
      <c r="AK109" t="s">
        <v>508</v>
      </c>
      <c r="AL109" s="146" t="s">
        <v>2349</v>
      </c>
      <c r="AN109" s="146" t="s">
        <v>2331</v>
      </c>
      <c r="AO109" t="s">
        <v>5</v>
      </c>
    </row>
    <row r="110" spans="1:66">
      <c r="A110" s="47">
        <v>500.50599999999997</v>
      </c>
      <c r="C110" s="27" t="s">
        <v>2168</v>
      </c>
      <c r="AF110" s="37"/>
      <c r="AH110">
        <v>2</v>
      </c>
      <c r="AI110" t="s">
        <v>509</v>
      </c>
      <c r="AJ110" t="s">
        <v>510</v>
      </c>
      <c r="AK110" t="s">
        <v>511</v>
      </c>
      <c r="AL110" s="146" t="s">
        <v>2330</v>
      </c>
      <c r="AN110" s="146" t="s">
        <v>2332</v>
      </c>
      <c r="AO110" t="s">
        <v>5</v>
      </c>
    </row>
    <row r="111" spans="1:66">
      <c r="A111" s="160">
        <v>500.50599999999997</v>
      </c>
      <c r="C111" s="27" t="s">
        <v>2168</v>
      </c>
      <c r="AF111" s="37"/>
      <c r="AH111">
        <v>2</v>
      </c>
      <c r="AI111" t="s">
        <v>512</v>
      </c>
      <c r="AJ111" t="s">
        <v>513</v>
      </c>
      <c r="AK111" t="s">
        <v>514</v>
      </c>
      <c r="AL111" s="146" t="s">
        <v>2350</v>
      </c>
      <c r="AN111" s="146" t="s">
        <v>2333</v>
      </c>
      <c r="AO111" t="s">
        <v>5</v>
      </c>
    </row>
    <row r="112" spans="1:66">
      <c r="A112" s="47"/>
      <c r="C112" s="27" t="s">
        <v>2168</v>
      </c>
      <c r="AF112" s="37" t="str">
        <f t="shared" ref="AF112:AF143" si="4" xml:space="preserve"> AO112 &amp; REPT(" ",20-LEN(AO112)) &amp; AX112</f>
        <v>Kurzname            Kurzname</v>
      </c>
      <c r="AH112">
        <v>0</v>
      </c>
      <c r="AI112" t="s">
        <v>6</v>
      </c>
      <c r="AJ112" t="s">
        <v>7</v>
      </c>
      <c r="AK112" t="s">
        <v>8</v>
      </c>
      <c r="AL112" t="s">
        <v>9</v>
      </c>
      <c r="AM112" t="s">
        <v>9</v>
      </c>
      <c r="AN112" t="s">
        <v>10</v>
      </c>
      <c r="AO112" t="s">
        <v>11</v>
      </c>
      <c r="AP112" t="s">
        <v>12</v>
      </c>
      <c r="AQ112" t="s">
        <v>13</v>
      </c>
      <c r="AR112" t="s">
        <v>14</v>
      </c>
      <c r="AS112" t="s">
        <v>15</v>
      </c>
      <c r="AT112" t="s">
        <v>8</v>
      </c>
      <c r="AU112" t="s">
        <v>9</v>
      </c>
      <c r="AV112" t="s">
        <v>9</v>
      </c>
      <c r="AW112" t="s">
        <v>16</v>
      </c>
      <c r="AX112" t="s">
        <v>11</v>
      </c>
      <c r="AY112" t="s">
        <v>12</v>
      </c>
      <c r="AZ112" t="s">
        <v>13</v>
      </c>
      <c r="BA112" t="s">
        <v>14</v>
      </c>
      <c r="BB112" t="s">
        <v>15</v>
      </c>
      <c r="BC112" t="s">
        <v>17</v>
      </c>
      <c r="BD112" t="s">
        <v>18</v>
      </c>
      <c r="BE112" t="s">
        <v>19</v>
      </c>
      <c r="BF112" t="s">
        <v>20</v>
      </c>
      <c r="BG112" t="s">
        <v>21</v>
      </c>
      <c r="BH112" t="s">
        <v>22</v>
      </c>
      <c r="BI112" t="s">
        <v>23</v>
      </c>
      <c r="BJ112" t="s">
        <v>24</v>
      </c>
      <c r="BK112" t="s">
        <v>1</v>
      </c>
      <c r="BL112" t="s">
        <v>509</v>
      </c>
      <c r="BM112" t="s">
        <v>512</v>
      </c>
      <c r="BN112" t="s">
        <v>6</v>
      </c>
    </row>
    <row r="113" spans="1:66">
      <c r="A113" s="47">
        <v>500</v>
      </c>
      <c r="B113" s="27">
        <v>29001</v>
      </c>
      <c r="C113" s="27" t="s">
        <v>2168</v>
      </c>
      <c r="E113" s="27" t="s">
        <v>2148</v>
      </c>
      <c r="AC113"/>
      <c r="AD113"/>
      <c r="AE113" t="s">
        <v>2155</v>
      </c>
      <c r="AF113" s="37" t="str">
        <f t="shared" si="4"/>
        <v>SGKG102P_B          KS_CPL_C</v>
      </c>
      <c r="AG113" t="s">
        <v>2150</v>
      </c>
      <c r="AH113">
        <v>3</v>
      </c>
      <c r="AI113">
        <v>29001</v>
      </c>
      <c r="AJ113" t="s">
        <v>515</v>
      </c>
      <c r="AK113" t="s">
        <v>26</v>
      </c>
      <c r="AL113" t="s">
        <v>466</v>
      </c>
      <c r="AM113" t="s">
        <v>466</v>
      </c>
      <c r="AN113" t="s">
        <v>467</v>
      </c>
      <c r="AO113" t="s">
        <v>468</v>
      </c>
      <c r="AP113">
        <v>1</v>
      </c>
      <c r="AQ113" t="s">
        <v>469</v>
      </c>
      <c r="AR113" t="s">
        <v>243</v>
      </c>
      <c r="AS113" t="s">
        <v>26</v>
      </c>
      <c r="AT113" t="s">
        <v>26</v>
      </c>
      <c r="AU113" t="s">
        <v>64</v>
      </c>
      <c r="AV113" t="s">
        <v>64</v>
      </c>
      <c r="AW113" t="s">
        <v>119</v>
      </c>
      <c r="AX113" t="s">
        <v>120</v>
      </c>
      <c r="AY113">
        <v>2</v>
      </c>
      <c r="AZ113" s="146" t="s">
        <v>191</v>
      </c>
      <c r="BA113" t="s">
        <v>68</v>
      </c>
      <c r="BB113" t="s">
        <v>26</v>
      </c>
      <c r="BC113" t="s">
        <v>516</v>
      </c>
      <c r="BD113" t="s">
        <v>75</v>
      </c>
      <c r="BE113" t="s">
        <v>517</v>
      </c>
      <c r="BF113" t="s">
        <v>518</v>
      </c>
      <c r="BG113" s="146">
        <v>1681</v>
      </c>
      <c r="BH113" t="s">
        <v>519</v>
      </c>
      <c r="BI113">
        <v>0.35</v>
      </c>
      <c r="BJ113" t="s">
        <v>520</v>
      </c>
      <c r="BK113" t="s">
        <v>507</v>
      </c>
      <c r="BL113" t="s">
        <v>510</v>
      </c>
      <c r="BM113" t="s">
        <v>513</v>
      </c>
      <c r="BN113">
        <v>29001</v>
      </c>
    </row>
    <row r="114" spans="1:66">
      <c r="A114" s="47">
        <v>500</v>
      </c>
      <c r="B114" s="27">
        <v>29002</v>
      </c>
      <c r="C114" s="27" t="s">
        <v>2168</v>
      </c>
      <c r="E114" s="27" t="s">
        <v>2148</v>
      </c>
      <c r="AC114"/>
      <c r="AD114"/>
      <c r="AE114" t="s">
        <v>2155</v>
      </c>
      <c r="AF114" s="37" t="str">
        <f t="shared" si="4"/>
        <v>SGKG102P_B          KS_CPL_C</v>
      </c>
      <c r="AG114" t="s">
        <v>2150</v>
      </c>
      <c r="AH114">
        <v>3</v>
      </c>
      <c r="AI114">
        <v>29002</v>
      </c>
      <c r="AJ114" t="s">
        <v>521</v>
      </c>
      <c r="AK114" t="s">
        <v>26</v>
      </c>
      <c r="AL114" t="s">
        <v>466</v>
      </c>
      <c r="AM114" t="s">
        <v>466</v>
      </c>
      <c r="AN114" t="s">
        <v>467</v>
      </c>
      <c r="AO114" t="s">
        <v>468</v>
      </c>
      <c r="AP114">
        <v>2</v>
      </c>
      <c r="AQ114" t="s">
        <v>469</v>
      </c>
      <c r="AR114" t="s">
        <v>243</v>
      </c>
      <c r="AS114" t="s">
        <v>26</v>
      </c>
      <c r="AT114" t="s">
        <v>26</v>
      </c>
      <c r="AU114" t="s">
        <v>64</v>
      </c>
      <c r="AV114" t="s">
        <v>64</v>
      </c>
      <c r="AW114" t="s">
        <v>119</v>
      </c>
      <c r="AX114" t="s">
        <v>120</v>
      </c>
      <c r="AY114">
        <v>3</v>
      </c>
      <c r="AZ114" s="146" t="s">
        <v>191</v>
      </c>
      <c r="BA114" t="s">
        <v>68</v>
      </c>
      <c r="BB114" t="s">
        <v>26</v>
      </c>
      <c r="BC114" t="s">
        <v>516</v>
      </c>
      <c r="BD114" t="s">
        <v>75</v>
      </c>
      <c r="BE114" t="s">
        <v>517</v>
      </c>
      <c r="BF114" t="s">
        <v>96</v>
      </c>
      <c r="BG114" s="146">
        <v>1681</v>
      </c>
      <c r="BH114" t="s">
        <v>97</v>
      </c>
      <c r="BI114">
        <v>0.35</v>
      </c>
      <c r="BJ114" t="s">
        <v>522</v>
      </c>
      <c r="BK114" t="s">
        <v>507</v>
      </c>
      <c r="BL114" t="s">
        <v>510</v>
      </c>
      <c r="BM114" t="s">
        <v>513</v>
      </c>
      <c r="BN114">
        <v>29002</v>
      </c>
    </row>
    <row r="115" spans="1:66">
      <c r="A115" s="47"/>
      <c r="B115" s="27">
        <v>29003</v>
      </c>
      <c r="C115" s="27" t="s">
        <v>2168</v>
      </c>
      <c r="E115" s="27" t="s">
        <v>2148</v>
      </c>
      <c r="F115" s="27" t="s">
        <v>2152</v>
      </c>
      <c r="G115" s="27" t="s">
        <v>526</v>
      </c>
      <c r="K115" s="27" t="s">
        <v>2153</v>
      </c>
      <c r="L115" s="27" t="s">
        <v>2148</v>
      </c>
      <c r="M115" s="27" t="s">
        <v>2154</v>
      </c>
      <c r="AC115"/>
      <c r="AD115"/>
      <c r="AE115"/>
      <c r="AF115" s="37" t="str">
        <f t="shared" si="4"/>
        <v>SGKG102P_B          SP_ACLIN2</v>
      </c>
      <c r="AG115" t="s">
        <v>2150</v>
      </c>
      <c r="AH115">
        <v>3</v>
      </c>
      <c r="AI115">
        <v>29003</v>
      </c>
      <c r="AJ115" t="s">
        <v>523</v>
      </c>
      <c r="AK115" t="s">
        <v>26</v>
      </c>
      <c r="AL115" t="s">
        <v>466</v>
      </c>
      <c r="AM115" t="s">
        <v>466</v>
      </c>
      <c r="AN115" t="s">
        <v>467</v>
      </c>
      <c r="AO115" t="s">
        <v>468</v>
      </c>
      <c r="AP115">
        <v>8</v>
      </c>
      <c r="AQ115" t="s">
        <v>469</v>
      </c>
      <c r="AR115" t="s">
        <v>321</v>
      </c>
      <c r="AS115" t="s">
        <v>26</v>
      </c>
      <c r="AT115" t="s">
        <v>26</v>
      </c>
      <c r="AU115" t="s">
        <v>26</v>
      </c>
      <c r="AV115" t="s">
        <v>524</v>
      </c>
      <c r="AW115" t="s">
        <v>525</v>
      </c>
      <c r="AX115" t="s">
        <v>526</v>
      </c>
      <c r="AY115">
        <v>1</v>
      </c>
      <c r="AZ115" t="s">
        <v>527</v>
      </c>
      <c r="BA115" t="s">
        <v>26</v>
      </c>
      <c r="BB115" t="s">
        <v>26</v>
      </c>
      <c r="BC115" t="s">
        <v>215</v>
      </c>
      <c r="BD115" t="s">
        <v>75</v>
      </c>
      <c r="BE115" t="s">
        <v>26</v>
      </c>
      <c r="BF115" t="s">
        <v>26</v>
      </c>
      <c r="BG115">
        <v>556</v>
      </c>
      <c r="BH115" t="s">
        <v>216</v>
      </c>
      <c r="BI115">
        <v>0.13</v>
      </c>
      <c r="BJ115" t="s">
        <v>528</v>
      </c>
      <c r="BK115" t="s">
        <v>507</v>
      </c>
      <c r="BL115" t="s">
        <v>510</v>
      </c>
      <c r="BM115" t="s">
        <v>513</v>
      </c>
      <c r="BN115">
        <v>29003</v>
      </c>
    </row>
    <row r="116" spans="1:66">
      <c r="A116" s="47"/>
      <c r="B116" s="27">
        <v>29004</v>
      </c>
      <c r="C116" s="27" t="s">
        <v>2168</v>
      </c>
      <c r="E116" s="27" t="s">
        <v>2148</v>
      </c>
      <c r="AC116"/>
      <c r="AD116"/>
      <c r="AE116"/>
      <c r="AF116" s="37" t="str">
        <f t="shared" si="4"/>
        <v>SGKG102P_B          KS_CPM_A</v>
      </c>
      <c r="AG116" t="s">
        <v>2150</v>
      </c>
      <c r="AH116">
        <v>3</v>
      </c>
      <c r="AI116">
        <v>29004</v>
      </c>
      <c r="AJ116" t="s">
        <v>529</v>
      </c>
      <c r="AK116" t="s">
        <v>26</v>
      </c>
      <c r="AL116" t="s">
        <v>466</v>
      </c>
      <c r="AM116" t="s">
        <v>466</v>
      </c>
      <c r="AN116" t="s">
        <v>467</v>
      </c>
      <c r="AO116" t="s">
        <v>468</v>
      </c>
      <c r="AP116">
        <v>16</v>
      </c>
      <c r="AQ116" t="s">
        <v>469</v>
      </c>
      <c r="AR116" t="s">
        <v>243</v>
      </c>
      <c r="AS116" t="s">
        <v>26</v>
      </c>
      <c r="AT116" t="s">
        <v>26</v>
      </c>
      <c r="AU116" t="s">
        <v>69</v>
      </c>
      <c r="AV116" t="s">
        <v>69</v>
      </c>
      <c r="AW116" t="s">
        <v>143</v>
      </c>
      <c r="AX116" t="s">
        <v>144</v>
      </c>
      <c r="AY116">
        <v>11</v>
      </c>
      <c r="AZ116" t="s">
        <v>145</v>
      </c>
      <c r="BA116" t="s">
        <v>68</v>
      </c>
      <c r="BB116" t="s">
        <v>26</v>
      </c>
      <c r="BC116" t="s">
        <v>530</v>
      </c>
      <c r="BD116" t="s">
        <v>75</v>
      </c>
      <c r="BE116" t="s">
        <v>26</v>
      </c>
      <c r="BF116" t="s">
        <v>26</v>
      </c>
      <c r="BG116">
        <v>874</v>
      </c>
      <c r="BH116" t="s">
        <v>216</v>
      </c>
      <c r="BI116">
        <v>0.35</v>
      </c>
      <c r="BJ116" t="s">
        <v>531</v>
      </c>
      <c r="BK116" t="s">
        <v>507</v>
      </c>
      <c r="BL116" t="s">
        <v>510</v>
      </c>
      <c r="BM116" t="s">
        <v>513</v>
      </c>
      <c r="BN116">
        <v>29004</v>
      </c>
    </row>
    <row r="117" spans="1:66">
      <c r="A117" s="47"/>
      <c r="B117" s="27">
        <v>29005</v>
      </c>
      <c r="C117" s="27" t="s">
        <v>2168</v>
      </c>
      <c r="E117" s="27" t="s">
        <v>2148</v>
      </c>
      <c r="F117" s="27" t="s">
        <v>2152</v>
      </c>
      <c r="G117" s="27" t="s">
        <v>534</v>
      </c>
      <c r="K117" s="27" t="s">
        <v>2153</v>
      </c>
      <c r="L117" s="27" t="s">
        <v>2154</v>
      </c>
      <c r="M117" s="27" t="s">
        <v>2148</v>
      </c>
      <c r="AC117"/>
      <c r="AD117"/>
      <c r="AE117"/>
      <c r="AF117" s="37" t="str">
        <f t="shared" si="4"/>
        <v>SP_AC31             KS_CPM_A</v>
      </c>
      <c r="AG117" t="s">
        <v>2150</v>
      </c>
      <c r="AH117">
        <v>3</v>
      </c>
      <c r="AI117">
        <v>29005</v>
      </c>
      <c r="AJ117" t="s">
        <v>532</v>
      </c>
      <c r="AK117" t="s">
        <v>26</v>
      </c>
      <c r="AL117" t="s">
        <v>26</v>
      </c>
      <c r="AM117" t="s">
        <v>533</v>
      </c>
      <c r="AN117">
        <v>170</v>
      </c>
      <c r="AO117" t="s">
        <v>534</v>
      </c>
      <c r="AP117">
        <v>1</v>
      </c>
      <c r="AQ117" t="s">
        <v>198</v>
      </c>
      <c r="AR117" t="s">
        <v>26</v>
      </c>
      <c r="AS117" t="s">
        <v>26</v>
      </c>
      <c r="AT117" t="s">
        <v>26</v>
      </c>
      <c r="AU117" t="s">
        <v>69</v>
      </c>
      <c r="AV117" t="s">
        <v>69</v>
      </c>
      <c r="AW117" t="s">
        <v>143</v>
      </c>
      <c r="AX117" t="s">
        <v>144</v>
      </c>
      <c r="AY117">
        <v>13</v>
      </c>
      <c r="AZ117" t="s">
        <v>145</v>
      </c>
      <c r="BA117" t="s">
        <v>122</v>
      </c>
      <c r="BB117" t="s">
        <v>26</v>
      </c>
      <c r="BC117" t="s">
        <v>280</v>
      </c>
      <c r="BD117" t="s">
        <v>75</v>
      </c>
      <c r="BE117" t="s">
        <v>26</v>
      </c>
      <c r="BF117" t="s">
        <v>26</v>
      </c>
      <c r="BG117">
        <v>448</v>
      </c>
      <c r="BH117" t="s">
        <v>42</v>
      </c>
      <c r="BI117">
        <v>0.5</v>
      </c>
      <c r="BJ117" t="s">
        <v>535</v>
      </c>
      <c r="BK117" t="s">
        <v>507</v>
      </c>
      <c r="BL117" t="s">
        <v>510</v>
      </c>
      <c r="BM117" t="s">
        <v>513</v>
      </c>
      <c r="BN117">
        <v>29005</v>
      </c>
    </row>
    <row r="118" spans="1:66">
      <c r="A118" s="47">
        <v>506</v>
      </c>
      <c r="B118" s="27">
        <v>29006</v>
      </c>
      <c r="C118" s="27" t="s">
        <v>2168</v>
      </c>
      <c r="E118" s="27" t="s">
        <v>2148</v>
      </c>
      <c r="AC118"/>
      <c r="AD118"/>
      <c r="AE118"/>
      <c r="AF118" s="37" t="str">
        <f t="shared" si="4"/>
        <v>STO51A              KS_CPM_F</v>
      </c>
      <c r="AG118" t="s">
        <v>2150</v>
      </c>
      <c r="AH118">
        <v>3</v>
      </c>
      <c r="AI118">
        <v>29006</v>
      </c>
      <c r="AJ118" t="s">
        <v>536</v>
      </c>
      <c r="AK118" t="s">
        <v>26</v>
      </c>
      <c r="AL118" t="s">
        <v>219</v>
      </c>
      <c r="AM118" t="s">
        <v>219</v>
      </c>
      <c r="AN118" t="s">
        <v>220</v>
      </c>
      <c r="AO118" t="s">
        <v>221</v>
      </c>
      <c r="AP118" t="s">
        <v>537</v>
      </c>
      <c r="AQ118" t="s">
        <v>223</v>
      </c>
      <c r="AR118" t="s">
        <v>155</v>
      </c>
      <c r="AS118" t="s">
        <v>26</v>
      </c>
      <c r="AT118" t="s">
        <v>26</v>
      </c>
      <c r="AU118" t="s">
        <v>69</v>
      </c>
      <c r="AV118" t="s">
        <v>127</v>
      </c>
      <c r="AW118" t="s">
        <v>128</v>
      </c>
      <c r="AX118" t="s">
        <v>129</v>
      </c>
      <c r="AY118">
        <v>16</v>
      </c>
      <c r="AZ118" t="s">
        <v>130</v>
      </c>
      <c r="BA118" t="s">
        <v>159</v>
      </c>
      <c r="BB118" t="s">
        <v>26</v>
      </c>
      <c r="BC118" t="s">
        <v>538</v>
      </c>
      <c r="BD118" t="s">
        <v>75</v>
      </c>
      <c r="BE118" t="s">
        <v>26</v>
      </c>
      <c r="BF118" t="s">
        <v>26</v>
      </c>
      <c r="BG118" s="146">
        <v>1643</v>
      </c>
      <c r="BH118" t="s">
        <v>539</v>
      </c>
      <c r="BI118">
        <v>2.5</v>
      </c>
      <c r="BJ118" t="s">
        <v>540</v>
      </c>
      <c r="BK118" t="s">
        <v>507</v>
      </c>
      <c r="BL118" t="s">
        <v>510</v>
      </c>
      <c r="BM118" t="s">
        <v>513</v>
      </c>
      <c r="BN118">
        <v>29006</v>
      </c>
    </row>
    <row r="119" spans="1:66">
      <c r="A119" s="47"/>
      <c r="B119" s="27">
        <v>29007</v>
      </c>
      <c r="C119" s="27" t="s">
        <v>2168</v>
      </c>
      <c r="E119" s="27" t="s">
        <v>2148</v>
      </c>
      <c r="P119" s="27">
        <v>29007</v>
      </c>
      <c r="Q119" s="27">
        <v>29007</v>
      </c>
      <c r="X119" s="185" t="s">
        <v>2383</v>
      </c>
      <c r="AC119"/>
      <c r="AD119"/>
      <c r="AE119"/>
      <c r="AF119" s="37" t="str">
        <f t="shared" si="4"/>
        <v>SGKG102P_B          TMPF100P</v>
      </c>
      <c r="AG119" t="s">
        <v>2150</v>
      </c>
      <c r="AH119">
        <v>3</v>
      </c>
      <c r="AI119">
        <v>29007</v>
      </c>
      <c r="AJ119" t="s">
        <v>541</v>
      </c>
      <c r="AK119" t="s">
        <v>26</v>
      </c>
      <c r="AL119" t="s">
        <v>466</v>
      </c>
      <c r="AM119" t="s">
        <v>466</v>
      </c>
      <c r="AN119" t="s">
        <v>467</v>
      </c>
      <c r="AO119" t="s">
        <v>468</v>
      </c>
      <c r="AP119">
        <v>28</v>
      </c>
      <c r="AQ119" t="s">
        <v>469</v>
      </c>
      <c r="AR119" t="s">
        <v>321</v>
      </c>
      <c r="AS119" t="s">
        <v>26</v>
      </c>
      <c r="AT119" t="s">
        <v>26</v>
      </c>
      <c r="AU119" t="s">
        <v>542</v>
      </c>
      <c r="AV119" t="s">
        <v>542</v>
      </c>
      <c r="AW119" t="s">
        <v>543</v>
      </c>
      <c r="AX119" t="s">
        <v>544</v>
      </c>
      <c r="AY119">
        <v>3</v>
      </c>
      <c r="AZ119" t="s">
        <v>545</v>
      </c>
      <c r="BA119" t="s">
        <v>546</v>
      </c>
      <c r="BB119" t="s">
        <v>26</v>
      </c>
      <c r="BC119" t="s">
        <v>547</v>
      </c>
      <c r="BD119" t="s">
        <v>75</v>
      </c>
      <c r="BE119" t="s">
        <v>26</v>
      </c>
      <c r="BF119" t="s">
        <v>26</v>
      </c>
      <c r="BG119">
        <v>790</v>
      </c>
      <c r="BH119" t="s">
        <v>548</v>
      </c>
      <c r="BI119">
        <v>0.13</v>
      </c>
      <c r="BJ119" t="s">
        <v>549</v>
      </c>
      <c r="BK119" t="s">
        <v>507</v>
      </c>
      <c r="BL119" t="s">
        <v>510</v>
      </c>
      <c r="BM119" t="s">
        <v>513</v>
      </c>
      <c r="BN119">
        <v>29007</v>
      </c>
    </row>
    <row r="120" spans="1:66">
      <c r="A120" s="47"/>
      <c r="B120" s="27">
        <v>29008</v>
      </c>
      <c r="C120" s="27" t="s">
        <v>2168</v>
      </c>
      <c r="E120" s="27" t="s">
        <v>2148</v>
      </c>
      <c r="P120" s="27">
        <v>29008</v>
      </c>
      <c r="Q120" s="27">
        <v>29008</v>
      </c>
      <c r="X120" s="185" t="s">
        <v>2383</v>
      </c>
      <c r="AC120"/>
      <c r="AD120"/>
      <c r="AE120"/>
      <c r="AF120" s="37" t="str">
        <f t="shared" si="4"/>
        <v>SGKG102P_B          TMPF100P</v>
      </c>
      <c r="AG120" t="s">
        <v>2150</v>
      </c>
      <c r="AH120">
        <v>3</v>
      </c>
      <c r="AI120">
        <v>29008</v>
      </c>
      <c r="AJ120" t="s">
        <v>550</v>
      </c>
      <c r="AK120" t="s">
        <v>26</v>
      </c>
      <c r="AL120" t="s">
        <v>466</v>
      </c>
      <c r="AM120" t="s">
        <v>466</v>
      </c>
      <c r="AN120" t="s">
        <v>467</v>
      </c>
      <c r="AO120" t="s">
        <v>468</v>
      </c>
      <c r="AP120">
        <v>29</v>
      </c>
      <c r="AQ120" t="s">
        <v>469</v>
      </c>
      <c r="AR120" t="s">
        <v>321</v>
      </c>
      <c r="AS120" t="s">
        <v>26</v>
      </c>
      <c r="AT120" t="s">
        <v>26</v>
      </c>
      <c r="AU120" t="s">
        <v>542</v>
      </c>
      <c r="AV120" t="s">
        <v>542</v>
      </c>
      <c r="AW120" t="s">
        <v>543</v>
      </c>
      <c r="AX120" t="s">
        <v>544</v>
      </c>
      <c r="AY120">
        <v>4</v>
      </c>
      <c r="AZ120" t="s">
        <v>545</v>
      </c>
      <c r="BA120" t="s">
        <v>546</v>
      </c>
      <c r="BB120" t="s">
        <v>26</v>
      </c>
      <c r="BC120" t="s">
        <v>551</v>
      </c>
      <c r="BD120" t="s">
        <v>75</v>
      </c>
      <c r="BE120" t="s">
        <v>26</v>
      </c>
      <c r="BF120" t="s">
        <v>26</v>
      </c>
      <c r="BG120">
        <v>790</v>
      </c>
      <c r="BH120" t="s">
        <v>552</v>
      </c>
      <c r="BI120">
        <v>0.13</v>
      </c>
      <c r="BJ120" t="s">
        <v>553</v>
      </c>
      <c r="BK120" t="s">
        <v>507</v>
      </c>
      <c r="BL120" t="s">
        <v>510</v>
      </c>
      <c r="BM120" t="s">
        <v>513</v>
      </c>
      <c r="BN120">
        <v>29008</v>
      </c>
    </row>
    <row r="121" spans="1:66">
      <c r="A121" s="47"/>
      <c r="B121" s="27">
        <v>29009</v>
      </c>
      <c r="C121" s="27" t="s">
        <v>2168</v>
      </c>
      <c r="E121" s="27" t="s">
        <v>2148</v>
      </c>
      <c r="P121" s="27">
        <v>29009</v>
      </c>
      <c r="Q121" s="27">
        <v>29009</v>
      </c>
      <c r="X121" s="185" t="s">
        <v>2383</v>
      </c>
      <c r="AC121"/>
      <c r="AD121"/>
      <c r="AE121"/>
      <c r="AF121" s="37" t="str">
        <f t="shared" si="4"/>
        <v>SGKG102P_B          TMPF100P</v>
      </c>
      <c r="AG121" t="s">
        <v>2150</v>
      </c>
      <c r="AH121">
        <v>3</v>
      </c>
      <c r="AI121">
        <v>29009</v>
      </c>
      <c r="AJ121" t="s">
        <v>554</v>
      </c>
      <c r="AK121" t="s">
        <v>26</v>
      </c>
      <c r="AL121" t="s">
        <v>466</v>
      </c>
      <c r="AM121" t="s">
        <v>466</v>
      </c>
      <c r="AN121" t="s">
        <v>467</v>
      </c>
      <c r="AO121" t="s">
        <v>468</v>
      </c>
      <c r="AP121">
        <v>30</v>
      </c>
      <c r="AQ121" t="s">
        <v>469</v>
      </c>
      <c r="AR121" t="s">
        <v>321</v>
      </c>
      <c r="AS121" t="s">
        <v>26</v>
      </c>
      <c r="AT121" t="s">
        <v>26</v>
      </c>
      <c r="AU121" t="s">
        <v>542</v>
      </c>
      <c r="AV121" t="s">
        <v>542</v>
      </c>
      <c r="AW121" t="s">
        <v>543</v>
      </c>
      <c r="AX121" t="s">
        <v>544</v>
      </c>
      <c r="AY121">
        <v>1</v>
      </c>
      <c r="AZ121" t="s">
        <v>545</v>
      </c>
      <c r="BA121" t="s">
        <v>546</v>
      </c>
      <c r="BB121" t="s">
        <v>26</v>
      </c>
      <c r="BC121" t="s">
        <v>555</v>
      </c>
      <c r="BD121" t="s">
        <v>75</v>
      </c>
      <c r="BE121" t="s">
        <v>26</v>
      </c>
      <c r="BF121" t="s">
        <v>26</v>
      </c>
      <c r="BG121">
        <v>790</v>
      </c>
      <c r="BH121" t="s">
        <v>556</v>
      </c>
      <c r="BI121">
        <v>0.13</v>
      </c>
      <c r="BJ121" t="s">
        <v>557</v>
      </c>
      <c r="BK121" t="s">
        <v>507</v>
      </c>
      <c r="BL121" t="s">
        <v>510</v>
      </c>
      <c r="BM121" t="s">
        <v>513</v>
      </c>
      <c r="BN121">
        <v>29009</v>
      </c>
    </row>
    <row r="122" spans="1:66">
      <c r="A122" s="47"/>
      <c r="B122" s="27">
        <v>29012</v>
      </c>
      <c r="C122" s="27" t="s">
        <v>2168</v>
      </c>
      <c r="E122" s="27" t="s">
        <v>2148</v>
      </c>
      <c r="F122" s="27" t="s">
        <v>2152</v>
      </c>
      <c r="G122" s="27" t="s">
        <v>561</v>
      </c>
      <c r="K122" s="27" t="s">
        <v>2153</v>
      </c>
      <c r="L122" s="27" t="s">
        <v>2154</v>
      </c>
      <c r="M122" s="27" t="s">
        <v>2148</v>
      </c>
      <c r="AC122"/>
      <c r="AD122"/>
      <c r="AE122"/>
      <c r="AF122" s="37" t="str">
        <f t="shared" si="4"/>
        <v>SP_AC30             KS_CPM_A</v>
      </c>
      <c r="AG122" t="s">
        <v>2150</v>
      </c>
      <c r="AH122">
        <v>3</v>
      </c>
      <c r="AI122">
        <v>29012</v>
      </c>
      <c r="AJ122" t="s">
        <v>558</v>
      </c>
      <c r="AK122" t="s">
        <v>26</v>
      </c>
      <c r="AL122" t="s">
        <v>26</v>
      </c>
      <c r="AM122" t="s">
        <v>559</v>
      </c>
      <c r="AN122" t="s">
        <v>560</v>
      </c>
      <c r="AO122" t="s">
        <v>561</v>
      </c>
      <c r="AP122">
        <v>1</v>
      </c>
      <c r="AQ122" t="s">
        <v>562</v>
      </c>
      <c r="AR122" t="s">
        <v>26</v>
      </c>
      <c r="AS122" t="s">
        <v>26</v>
      </c>
      <c r="AT122" t="s">
        <v>26</v>
      </c>
      <c r="AU122" t="s">
        <v>69</v>
      </c>
      <c r="AV122" t="s">
        <v>69</v>
      </c>
      <c r="AW122" t="s">
        <v>143</v>
      </c>
      <c r="AX122" t="s">
        <v>144</v>
      </c>
      <c r="AY122">
        <v>12</v>
      </c>
      <c r="AZ122" t="s">
        <v>145</v>
      </c>
      <c r="BA122" t="s">
        <v>122</v>
      </c>
      <c r="BB122" t="s">
        <v>26</v>
      </c>
      <c r="BC122" t="s">
        <v>369</v>
      </c>
      <c r="BD122" t="s">
        <v>75</v>
      </c>
      <c r="BE122" t="s">
        <v>26</v>
      </c>
      <c r="BF122" t="s">
        <v>26</v>
      </c>
      <c r="BG122">
        <v>627</v>
      </c>
      <c r="BH122" t="s">
        <v>227</v>
      </c>
      <c r="BI122">
        <v>0.5</v>
      </c>
      <c r="BJ122" t="s">
        <v>563</v>
      </c>
      <c r="BK122" t="s">
        <v>507</v>
      </c>
      <c r="BL122" t="s">
        <v>510</v>
      </c>
      <c r="BM122" t="s">
        <v>513</v>
      </c>
      <c r="BN122">
        <v>29012</v>
      </c>
    </row>
    <row r="123" spans="1:66">
      <c r="A123" s="47">
        <v>500.50599999999997</v>
      </c>
      <c r="B123" s="27">
        <v>29013</v>
      </c>
      <c r="C123" s="27" t="s">
        <v>2168</v>
      </c>
      <c r="E123" s="27" t="s">
        <v>2148</v>
      </c>
      <c r="F123" s="27" t="s">
        <v>2152</v>
      </c>
      <c r="G123" s="27" t="s">
        <v>561</v>
      </c>
      <c r="K123" s="27" t="s">
        <v>2153</v>
      </c>
      <c r="L123" s="27" t="s">
        <v>2154</v>
      </c>
      <c r="M123" s="27" t="s">
        <v>2148</v>
      </c>
      <c r="AC123"/>
      <c r="AD123"/>
      <c r="AE123"/>
      <c r="AF123" s="37" t="str">
        <f t="shared" si="4"/>
        <v>SP_AC30             KS_CPR_C</v>
      </c>
      <c r="AG123" t="s">
        <v>2150</v>
      </c>
      <c r="AH123">
        <v>3</v>
      </c>
      <c r="AI123">
        <v>29013</v>
      </c>
      <c r="AJ123" t="s">
        <v>564</v>
      </c>
      <c r="AK123" t="s">
        <v>26</v>
      </c>
      <c r="AL123" t="s">
        <v>26</v>
      </c>
      <c r="AM123" t="s">
        <v>559</v>
      </c>
      <c r="AN123" t="s">
        <v>560</v>
      </c>
      <c r="AO123" t="s">
        <v>561</v>
      </c>
      <c r="AP123">
        <v>1</v>
      </c>
      <c r="AQ123" t="s">
        <v>562</v>
      </c>
      <c r="AR123" t="s">
        <v>26</v>
      </c>
      <c r="AS123" t="s">
        <v>26</v>
      </c>
      <c r="AT123" t="s">
        <v>26</v>
      </c>
      <c r="AU123" t="s">
        <v>131</v>
      </c>
      <c r="AV123" t="s">
        <v>131</v>
      </c>
      <c r="AW123" t="s">
        <v>189</v>
      </c>
      <c r="AX123" t="s">
        <v>190</v>
      </c>
      <c r="AY123">
        <v>5</v>
      </c>
      <c r="AZ123" s="146" t="s">
        <v>121</v>
      </c>
      <c r="BA123" t="s">
        <v>68</v>
      </c>
      <c r="BB123" t="s">
        <v>26</v>
      </c>
      <c r="BC123" t="s">
        <v>326</v>
      </c>
      <c r="BD123" t="s">
        <v>75</v>
      </c>
      <c r="BE123" t="s">
        <v>26</v>
      </c>
      <c r="BF123" t="s">
        <v>26</v>
      </c>
      <c r="BG123" s="146">
        <v>1247</v>
      </c>
      <c r="BH123" t="s">
        <v>227</v>
      </c>
      <c r="BI123">
        <v>0.35</v>
      </c>
      <c r="BJ123" t="s">
        <v>563</v>
      </c>
      <c r="BK123" t="s">
        <v>507</v>
      </c>
      <c r="BL123" t="s">
        <v>510</v>
      </c>
      <c r="BM123" t="s">
        <v>513</v>
      </c>
      <c r="BN123">
        <v>29013</v>
      </c>
    </row>
    <row r="124" spans="1:66">
      <c r="A124" s="47"/>
      <c r="B124" s="27">
        <v>29014</v>
      </c>
      <c r="C124" s="27" t="s">
        <v>2168</v>
      </c>
      <c r="E124" s="27" t="s">
        <v>2148</v>
      </c>
      <c r="F124" s="27" t="s">
        <v>2156</v>
      </c>
      <c r="G124" s="27" t="s">
        <v>568</v>
      </c>
      <c r="K124" s="27" t="s">
        <v>2153</v>
      </c>
      <c r="L124" s="27" t="s">
        <v>2154</v>
      </c>
      <c r="M124" s="27" t="s">
        <v>2148</v>
      </c>
      <c r="AC124"/>
      <c r="AD124"/>
      <c r="AE124"/>
      <c r="AF124" s="37" t="str">
        <f t="shared" si="4"/>
        <v>SP_ACLIN3           KS_CPM_F</v>
      </c>
      <c r="AG124" t="s">
        <v>2150</v>
      </c>
      <c r="AH124">
        <v>3</v>
      </c>
      <c r="AI124">
        <v>29014</v>
      </c>
      <c r="AJ124" t="s">
        <v>565</v>
      </c>
      <c r="AK124" t="s">
        <v>26</v>
      </c>
      <c r="AL124" t="s">
        <v>26</v>
      </c>
      <c r="AM124" t="s">
        <v>566</v>
      </c>
      <c r="AN124" t="s">
        <v>567</v>
      </c>
      <c r="AO124" t="s">
        <v>568</v>
      </c>
      <c r="AP124">
        <v>1</v>
      </c>
      <c r="AQ124" t="s">
        <v>177</v>
      </c>
      <c r="AR124" t="s">
        <v>26</v>
      </c>
      <c r="AS124" t="s">
        <v>26</v>
      </c>
      <c r="AT124" t="s">
        <v>26</v>
      </c>
      <c r="AU124" t="s">
        <v>69</v>
      </c>
      <c r="AV124" t="s">
        <v>127</v>
      </c>
      <c r="AW124" t="s">
        <v>128</v>
      </c>
      <c r="AX124" t="s">
        <v>129</v>
      </c>
      <c r="AY124">
        <v>9</v>
      </c>
      <c r="AZ124" t="s">
        <v>130</v>
      </c>
      <c r="BA124" t="s">
        <v>68</v>
      </c>
      <c r="BB124" t="s">
        <v>26</v>
      </c>
      <c r="BC124" t="s">
        <v>569</v>
      </c>
      <c r="BD124" t="s">
        <v>75</v>
      </c>
      <c r="BE124" t="s">
        <v>26</v>
      </c>
      <c r="BF124" t="s">
        <v>26</v>
      </c>
      <c r="BG124">
        <v>507</v>
      </c>
      <c r="BH124" t="s">
        <v>570</v>
      </c>
      <c r="BI124">
        <v>0.35</v>
      </c>
      <c r="BJ124" t="s">
        <v>571</v>
      </c>
      <c r="BK124" t="s">
        <v>507</v>
      </c>
      <c r="BL124" t="s">
        <v>510</v>
      </c>
      <c r="BM124" t="s">
        <v>513</v>
      </c>
      <c r="BN124">
        <v>29014</v>
      </c>
    </row>
    <row r="125" spans="1:66">
      <c r="A125" s="47"/>
      <c r="B125" s="27">
        <v>29015</v>
      </c>
      <c r="C125" s="27" t="s">
        <v>2168</v>
      </c>
      <c r="E125" s="27" t="s">
        <v>2148</v>
      </c>
      <c r="F125" s="27" t="s">
        <v>2152</v>
      </c>
      <c r="G125" s="27" t="s">
        <v>561</v>
      </c>
      <c r="K125" s="27" t="s">
        <v>2153</v>
      </c>
      <c r="L125" s="27" t="s">
        <v>2148</v>
      </c>
      <c r="M125" s="27" t="s">
        <v>2154</v>
      </c>
      <c r="AC125"/>
      <c r="AD125"/>
      <c r="AE125"/>
      <c r="AF125" s="37" t="str">
        <f t="shared" si="4"/>
        <v>SGKG102P_B          SP_AC30</v>
      </c>
      <c r="AG125" t="s">
        <v>2150</v>
      </c>
      <c r="AH125">
        <v>3</v>
      </c>
      <c r="AI125">
        <v>29015</v>
      </c>
      <c r="AJ125" t="s">
        <v>572</v>
      </c>
      <c r="AK125" t="s">
        <v>26</v>
      </c>
      <c r="AL125" t="s">
        <v>466</v>
      </c>
      <c r="AM125" t="s">
        <v>466</v>
      </c>
      <c r="AN125" t="s">
        <v>467</v>
      </c>
      <c r="AO125" t="s">
        <v>468</v>
      </c>
      <c r="AP125">
        <v>40</v>
      </c>
      <c r="AQ125" t="s">
        <v>469</v>
      </c>
      <c r="AR125" t="s">
        <v>111</v>
      </c>
      <c r="AS125" t="s">
        <v>26</v>
      </c>
      <c r="AT125" t="s">
        <v>26</v>
      </c>
      <c r="AU125" t="s">
        <v>26</v>
      </c>
      <c r="AV125" t="s">
        <v>559</v>
      </c>
      <c r="AW125" t="s">
        <v>560</v>
      </c>
      <c r="AX125" t="s">
        <v>561</v>
      </c>
      <c r="AY125">
        <v>1</v>
      </c>
      <c r="AZ125" t="s">
        <v>562</v>
      </c>
      <c r="BA125" t="s">
        <v>26</v>
      </c>
      <c r="BB125" t="s">
        <v>26</v>
      </c>
      <c r="BC125" t="s">
        <v>573</v>
      </c>
      <c r="BD125" t="s">
        <v>75</v>
      </c>
      <c r="BE125" t="s">
        <v>26</v>
      </c>
      <c r="BF125" t="s">
        <v>26</v>
      </c>
      <c r="BG125">
        <v>724</v>
      </c>
      <c r="BH125" t="s">
        <v>227</v>
      </c>
      <c r="BI125">
        <v>0.75</v>
      </c>
      <c r="BJ125" t="s">
        <v>563</v>
      </c>
      <c r="BK125" t="s">
        <v>507</v>
      </c>
      <c r="BL125" t="s">
        <v>510</v>
      </c>
      <c r="BM125" t="s">
        <v>513</v>
      </c>
      <c r="BN125">
        <v>29015</v>
      </c>
    </row>
    <row r="126" spans="1:66">
      <c r="A126" s="47"/>
      <c r="B126" s="27">
        <v>29016</v>
      </c>
      <c r="C126" s="27" t="s">
        <v>2168</v>
      </c>
      <c r="E126" s="27" t="s">
        <v>2148</v>
      </c>
      <c r="F126" s="27" t="s">
        <v>2152</v>
      </c>
      <c r="G126" s="27" t="s">
        <v>526</v>
      </c>
      <c r="K126" s="27" t="s">
        <v>2153</v>
      </c>
      <c r="L126" s="27" t="s">
        <v>2148</v>
      </c>
      <c r="M126" s="27" t="s">
        <v>2154</v>
      </c>
      <c r="W126" s="185" t="s">
        <v>2383</v>
      </c>
      <c r="AC126"/>
      <c r="AD126"/>
      <c r="AE126"/>
      <c r="AF126" s="37" t="str">
        <f t="shared" si="4"/>
        <v>LIO3P_A             SP_ACLIN2</v>
      </c>
      <c r="AG126" t="s">
        <v>2150</v>
      </c>
      <c r="AH126">
        <v>3</v>
      </c>
      <c r="AI126">
        <v>29016</v>
      </c>
      <c r="AJ126" t="s">
        <v>574</v>
      </c>
      <c r="AK126" t="s">
        <v>26</v>
      </c>
      <c r="AL126" t="s">
        <v>575</v>
      </c>
      <c r="AM126" t="s">
        <v>575</v>
      </c>
      <c r="AN126" t="s">
        <v>576</v>
      </c>
      <c r="AO126" t="s">
        <v>577</v>
      </c>
      <c r="AP126">
        <v>2</v>
      </c>
      <c r="AQ126" t="s">
        <v>578</v>
      </c>
      <c r="AR126" t="s">
        <v>546</v>
      </c>
      <c r="AS126" t="s">
        <v>26</v>
      </c>
      <c r="AT126" t="s">
        <v>26</v>
      </c>
      <c r="AU126" t="s">
        <v>26</v>
      </c>
      <c r="AV126" t="s">
        <v>524</v>
      </c>
      <c r="AW126" t="s">
        <v>525</v>
      </c>
      <c r="AX126" t="s">
        <v>526</v>
      </c>
      <c r="AY126">
        <v>1</v>
      </c>
      <c r="AZ126" t="s">
        <v>527</v>
      </c>
      <c r="BA126" t="s">
        <v>26</v>
      </c>
      <c r="BB126" t="s">
        <v>26</v>
      </c>
      <c r="BC126" t="s">
        <v>215</v>
      </c>
      <c r="BD126" t="s">
        <v>75</v>
      </c>
      <c r="BE126" t="s">
        <v>26</v>
      </c>
      <c r="BF126" t="s">
        <v>26</v>
      </c>
      <c r="BG126">
        <v>629</v>
      </c>
      <c r="BH126" t="s">
        <v>216</v>
      </c>
      <c r="BI126">
        <v>0.13</v>
      </c>
      <c r="BJ126" t="s">
        <v>528</v>
      </c>
      <c r="BK126" t="s">
        <v>507</v>
      </c>
      <c r="BL126" t="s">
        <v>26</v>
      </c>
      <c r="BM126" t="s">
        <v>513</v>
      </c>
      <c r="BN126">
        <v>29016</v>
      </c>
    </row>
    <row r="127" spans="1:66">
      <c r="A127" s="47"/>
      <c r="B127" s="27">
        <v>29017</v>
      </c>
      <c r="C127" s="27" t="s">
        <v>2168</v>
      </c>
      <c r="E127" s="27" t="s">
        <v>2148</v>
      </c>
      <c r="AC127"/>
      <c r="AD127"/>
      <c r="AE127"/>
      <c r="AF127" s="37" t="str">
        <f t="shared" si="4"/>
        <v>KS_CPL_A            KS_CPM_F</v>
      </c>
      <c r="AG127" t="s">
        <v>2150</v>
      </c>
      <c r="AH127">
        <v>3</v>
      </c>
      <c r="AI127">
        <v>29017</v>
      </c>
      <c r="AJ127" t="s">
        <v>579</v>
      </c>
      <c r="AK127" t="s">
        <v>26</v>
      </c>
      <c r="AL127" t="s">
        <v>64</v>
      </c>
      <c r="AM127" t="s">
        <v>64</v>
      </c>
      <c r="AN127" t="s">
        <v>261</v>
      </c>
      <c r="AO127" t="s">
        <v>262</v>
      </c>
      <c r="AP127">
        <v>5</v>
      </c>
      <c r="AQ127" t="s">
        <v>263</v>
      </c>
      <c r="AR127" t="s">
        <v>122</v>
      </c>
      <c r="AS127" t="s">
        <v>26</v>
      </c>
      <c r="AT127" t="s">
        <v>26</v>
      </c>
      <c r="AU127" t="s">
        <v>69</v>
      </c>
      <c r="AV127" t="s">
        <v>127</v>
      </c>
      <c r="AW127" t="s">
        <v>128</v>
      </c>
      <c r="AX127" t="s">
        <v>129</v>
      </c>
      <c r="AY127">
        <v>13</v>
      </c>
      <c r="AZ127" t="s">
        <v>130</v>
      </c>
      <c r="BA127" t="s">
        <v>122</v>
      </c>
      <c r="BB127" t="s">
        <v>26</v>
      </c>
      <c r="BC127" t="s">
        <v>498</v>
      </c>
      <c r="BD127" t="s">
        <v>75</v>
      </c>
      <c r="BE127" t="s">
        <v>26</v>
      </c>
      <c r="BF127" t="s">
        <v>26</v>
      </c>
      <c r="BG127">
        <v>1474</v>
      </c>
      <c r="BH127" t="s">
        <v>499</v>
      </c>
      <c r="BI127">
        <v>0.5</v>
      </c>
      <c r="BJ127" t="s">
        <v>580</v>
      </c>
      <c r="BK127" t="s">
        <v>507</v>
      </c>
      <c r="BL127" t="s">
        <v>510</v>
      </c>
      <c r="BM127" t="s">
        <v>513</v>
      </c>
      <c r="BN127">
        <v>29017</v>
      </c>
    </row>
    <row r="128" spans="1:66">
      <c r="A128" s="47"/>
      <c r="B128" s="27">
        <v>29018</v>
      </c>
      <c r="C128" s="27" t="s">
        <v>2168</v>
      </c>
      <c r="E128" s="27" t="s">
        <v>2148</v>
      </c>
      <c r="F128" s="27" t="s">
        <v>2152</v>
      </c>
      <c r="G128" s="27" t="s">
        <v>526</v>
      </c>
      <c r="K128" s="27" t="s">
        <v>2153</v>
      </c>
      <c r="L128" s="27" t="s">
        <v>2148</v>
      </c>
      <c r="M128" s="27" t="s">
        <v>2154</v>
      </c>
      <c r="AC128"/>
      <c r="AD128"/>
      <c r="AE128"/>
      <c r="AF128" s="37" t="str">
        <f t="shared" si="4"/>
        <v>GBR26P              SP_ACLIN2</v>
      </c>
      <c r="AG128" t="s">
        <v>2150</v>
      </c>
      <c r="AH128">
        <v>3</v>
      </c>
      <c r="AI128">
        <v>29018</v>
      </c>
      <c r="AJ128" t="s">
        <v>581</v>
      </c>
      <c r="AK128" t="s">
        <v>26</v>
      </c>
      <c r="AL128" t="s">
        <v>582</v>
      </c>
      <c r="AM128" t="s">
        <v>582</v>
      </c>
      <c r="AN128" t="s">
        <v>583</v>
      </c>
      <c r="AO128" t="s">
        <v>584</v>
      </c>
      <c r="AP128">
        <v>4</v>
      </c>
      <c r="AQ128" t="s">
        <v>585</v>
      </c>
      <c r="AR128" t="s">
        <v>73</v>
      </c>
      <c r="AS128" t="s">
        <v>26</v>
      </c>
      <c r="AT128" t="s">
        <v>26</v>
      </c>
      <c r="AU128" t="s">
        <v>26</v>
      </c>
      <c r="AV128" t="s">
        <v>524</v>
      </c>
      <c r="AW128" t="s">
        <v>525</v>
      </c>
      <c r="AX128" t="s">
        <v>526</v>
      </c>
      <c r="AY128">
        <v>1</v>
      </c>
      <c r="AZ128" t="s">
        <v>527</v>
      </c>
      <c r="BA128" t="s">
        <v>26</v>
      </c>
      <c r="BB128" t="s">
        <v>26</v>
      </c>
      <c r="BC128" t="s">
        <v>530</v>
      </c>
      <c r="BD128" t="s">
        <v>75</v>
      </c>
      <c r="BE128" t="s">
        <v>26</v>
      </c>
      <c r="BF128" t="s">
        <v>26</v>
      </c>
      <c r="BG128">
        <v>941</v>
      </c>
      <c r="BH128" t="s">
        <v>216</v>
      </c>
      <c r="BI128">
        <v>0.35</v>
      </c>
      <c r="BJ128" t="s">
        <v>528</v>
      </c>
      <c r="BK128" t="s">
        <v>507</v>
      </c>
      <c r="BL128" t="s">
        <v>510</v>
      </c>
      <c r="BM128" t="s">
        <v>513</v>
      </c>
      <c r="BN128">
        <v>29018</v>
      </c>
    </row>
    <row r="129" spans="1:66">
      <c r="A129" s="47">
        <v>500.50599999999997</v>
      </c>
      <c r="B129" s="27">
        <v>29019</v>
      </c>
      <c r="C129" s="27" t="s">
        <v>2168</v>
      </c>
      <c r="E129" s="27" t="s">
        <v>2148</v>
      </c>
      <c r="F129" s="27" t="s">
        <v>2152</v>
      </c>
      <c r="G129" s="27" t="s">
        <v>534</v>
      </c>
      <c r="K129" s="27" t="s">
        <v>2153</v>
      </c>
      <c r="L129" s="27" t="s">
        <v>2154</v>
      </c>
      <c r="M129" s="27" t="s">
        <v>2148</v>
      </c>
      <c r="AC129"/>
      <c r="AD129"/>
      <c r="AE129"/>
      <c r="AF129" s="37" t="str">
        <f t="shared" si="4"/>
        <v>SP_AC31             KS_CPR_C</v>
      </c>
      <c r="AG129" t="s">
        <v>2150</v>
      </c>
      <c r="AH129">
        <v>3</v>
      </c>
      <c r="AI129">
        <v>29019</v>
      </c>
      <c r="AJ129" t="s">
        <v>586</v>
      </c>
      <c r="AK129" t="s">
        <v>26</v>
      </c>
      <c r="AL129" t="s">
        <v>26</v>
      </c>
      <c r="AM129" t="s">
        <v>533</v>
      </c>
      <c r="AN129">
        <v>170</v>
      </c>
      <c r="AO129" t="s">
        <v>534</v>
      </c>
      <c r="AP129">
        <v>1</v>
      </c>
      <c r="AQ129" t="s">
        <v>198</v>
      </c>
      <c r="AR129" t="s">
        <v>26</v>
      </c>
      <c r="AS129" t="s">
        <v>26</v>
      </c>
      <c r="AT129" t="s">
        <v>26</v>
      </c>
      <c r="AU129" t="s">
        <v>131</v>
      </c>
      <c r="AV129" t="s">
        <v>131</v>
      </c>
      <c r="AW129" t="s">
        <v>189</v>
      </c>
      <c r="AX129" t="s">
        <v>190</v>
      </c>
      <c r="AY129">
        <v>4</v>
      </c>
      <c r="AZ129" s="146" t="s">
        <v>121</v>
      </c>
      <c r="BA129" t="s">
        <v>68</v>
      </c>
      <c r="BB129" t="s">
        <v>26</v>
      </c>
      <c r="BC129" t="s">
        <v>312</v>
      </c>
      <c r="BD129" t="s">
        <v>75</v>
      </c>
      <c r="BE129" t="s">
        <v>26</v>
      </c>
      <c r="BF129" t="s">
        <v>26</v>
      </c>
      <c r="BG129" s="146">
        <v>1148</v>
      </c>
      <c r="BH129" t="s">
        <v>42</v>
      </c>
      <c r="BI129">
        <v>0.35</v>
      </c>
      <c r="BJ129" t="s">
        <v>535</v>
      </c>
      <c r="BK129" t="s">
        <v>507</v>
      </c>
      <c r="BL129" t="s">
        <v>510</v>
      </c>
      <c r="BM129" t="s">
        <v>513</v>
      </c>
      <c r="BN129">
        <v>29019</v>
      </c>
    </row>
    <row r="130" spans="1:66">
      <c r="A130" s="47"/>
      <c r="B130" s="27">
        <v>29020</v>
      </c>
      <c r="C130" s="27" t="s">
        <v>2168</v>
      </c>
      <c r="E130" s="27" t="s">
        <v>2148</v>
      </c>
      <c r="AC130"/>
      <c r="AD130"/>
      <c r="AE130"/>
      <c r="AF130" s="37" t="str">
        <f t="shared" si="4"/>
        <v>KS_CPL_A            KS_CPM_F</v>
      </c>
      <c r="AG130" t="s">
        <v>2150</v>
      </c>
      <c r="AH130">
        <v>3</v>
      </c>
      <c r="AI130">
        <v>29020</v>
      </c>
      <c r="AJ130" t="s">
        <v>587</v>
      </c>
      <c r="AK130" t="s">
        <v>26</v>
      </c>
      <c r="AL130" t="s">
        <v>64</v>
      </c>
      <c r="AM130" t="s">
        <v>64</v>
      </c>
      <c r="AN130" t="s">
        <v>261</v>
      </c>
      <c r="AO130" t="s">
        <v>262</v>
      </c>
      <c r="AP130">
        <v>16</v>
      </c>
      <c r="AQ130" t="s">
        <v>263</v>
      </c>
      <c r="AR130" t="s">
        <v>159</v>
      </c>
      <c r="AS130" t="s">
        <v>26</v>
      </c>
      <c r="AT130" t="s">
        <v>26</v>
      </c>
      <c r="AU130" t="s">
        <v>69</v>
      </c>
      <c r="AV130" t="s">
        <v>127</v>
      </c>
      <c r="AW130" t="s">
        <v>128</v>
      </c>
      <c r="AX130" t="s">
        <v>129</v>
      </c>
      <c r="AY130">
        <v>15</v>
      </c>
      <c r="AZ130" t="s">
        <v>130</v>
      </c>
      <c r="BA130" t="s">
        <v>230</v>
      </c>
      <c r="BB130" t="s">
        <v>26</v>
      </c>
      <c r="BC130" t="s">
        <v>588</v>
      </c>
      <c r="BD130" t="s">
        <v>75</v>
      </c>
      <c r="BE130" t="s">
        <v>26</v>
      </c>
      <c r="BF130" t="s">
        <v>26</v>
      </c>
      <c r="BG130">
        <v>1474</v>
      </c>
      <c r="BH130" t="s">
        <v>589</v>
      </c>
      <c r="BI130">
        <v>1.5</v>
      </c>
      <c r="BJ130" t="s">
        <v>590</v>
      </c>
      <c r="BK130" t="s">
        <v>507</v>
      </c>
      <c r="BL130" t="s">
        <v>510</v>
      </c>
      <c r="BM130" t="s">
        <v>513</v>
      </c>
      <c r="BN130">
        <v>29020</v>
      </c>
    </row>
    <row r="131" spans="1:66">
      <c r="A131" s="47">
        <v>506</v>
      </c>
      <c r="B131" s="27">
        <v>29021</v>
      </c>
      <c r="C131" s="27" t="s">
        <v>2168</v>
      </c>
      <c r="E131" s="27" t="s">
        <v>2148</v>
      </c>
      <c r="AC131"/>
      <c r="AD131"/>
      <c r="AE131"/>
      <c r="AF131" s="37" t="str">
        <f t="shared" si="4"/>
        <v>KS_CPR_B            KS_CPM_F</v>
      </c>
      <c r="AG131" t="s">
        <v>2150</v>
      </c>
      <c r="AH131">
        <v>3</v>
      </c>
      <c r="AI131">
        <v>29021</v>
      </c>
      <c r="AJ131" t="s">
        <v>591</v>
      </c>
      <c r="AK131" t="s">
        <v>26</v>
      </c>
      <c r="AL131" t="s">
        <v>131</v>
      </c>
      <c r="AM131" t="s">
        <v>131</v>
      </c>
      <c r="AN131" t="s">
        <v>132</v>
      </c>
      <c r="AO131" t="s">
        <v>133</v>
      </c>
      <c r="AP131">
        <v>12</v>
      </c>
      <c r="AQ131" t="s">
        <v>134</v>
      </c>
      <c r="AR131" t="s">
        <v>122</v>
      </c>
      <c r="AS131" t="s">
        <v>26</v>
      </c>
      <c r="AT131" t="s">
        <v>26</v>
      </c>
      <c r="AU131" t="s">
        <v>69</v>
      </c>
      <c r="AV131" t="s">
        <v>127</v>
      </c>
      <c r="AW131" t="s">
        <v>128</v>
      </c>
      <c r="AX131" t="s">
        <v>129</v>
      </c>
      <c r="AY131">
        <v>14</v>
      </c>
      <c r="AZ131" t="s">
        <v>130</v>
      </c>
      <c r="BA131" t="s">
        <v>122</v>
      </c>
      <c r="BB131" t="s">
        <v>26</v>
      </c>
      <c r="BC131" t="s">
        <v>592</v>
      </c>
      <c r="BD131" t="s">
        <v>75</v>
      </c>
      <c r="BE131" t="s">
        <v>26</v>
      </c>
      <c r="BF131" t="s">
        <v>26</v>
      </c>
      <c r="BG131" s="146">
        <v>1713</v>
      </c>
      <c r="BH131" t="s">
        <v>589</v>
      </c>
      <c r="BI131">
        <v>0.5</v>
      </c>
      <c r="BJ131" t="s">
        <v>593</v>
      </c>
      <c r="BK131" t="s">
        <v>507</v>
      </c>
      <c r="BL131" t="s">
        <v>510</v>
      </c>
      <c r="BM131" t="s">
        <v>513</v>
      </c>
      <c r="BN131">
        <v>29021</v>
      </c>
    </row>
    <row r="132" spans="1:66">
      <c r="A132" s="47">
        <v>506</v>
      </c>
      <c r="B132" s="27">
        <v>29022</v>
      </c>
      <c r="C132" s="27" t="s">
        <v>2168</v>
      </c>
      <c r="E132" s="27" t="s">
        <v>2148</v>
      </c>
      <c r="AC132"/>
      <c r="AD132"/>
      <c r="AE132"/>
      <c r="AF132" s="37" t="str">
        <f t="shared" si="4"/>
        <v>KS_CPR_A            KS_CPM_F</v>
      </c>
      <c r="AG132" t="s">
        <v>2150</v>
      </c>
      <c r="AH132">
        <v>3</v>
      </c>
      <c r="AI132">
        <v>29022</v>
      </c>
      <c r="AJ132" t="s">
        <v>594</v>
      </c>
      <c r="AK132" t="s">
        <v>26</v>
      </c>
      <c r="AL132" t="s">
        <v>131</v>
      </c>
      <c r="AM132" t="s">
        <v>131</v>
      </c>
      <c r="AN132" t="s">
        <v>164</v>
      </c>
      <c r="AO132" t="s">
        <v>165</v>
      </c>
      <c r="AP132">
        <v>17</v>
      </c>
      <c r="AQ132" t="s">
        <v>166</v>
      </c>
      <c r="AR132" t="s">
        <v>230</v>
      </c>
      <c r="AS132" t="s">
        <v>26</v>
      </c>
      <c r="AT132" t="s">
        <v>26</v>
      </c>
      <c r="AU132" t="s">
        <v>69</v>
      </c>
      <c r="AV132" t="s">
        <v>127</v>
      </c>
      <c r="AW132" t="s">
        <v>128</v>
      </c>
      <c r="AX132" t="s">
        <v>129</v>
      </c>
      <c r="AY132">
        <v>17</v>
      </c>
      <c r="AZ132" t="s">
        <v>130</v>
      </c>
      <c r="BA132" t="s">
        <v>230</v>
      </c>
      <c r="BB132" t="s">
        <v>26</v>
      </c>
      <c r="BC132" t="s">
        <v>595</v>
      </c>
      <c r="BD132" t="s">
        <v>75</v>
      </c>
      <c r="BE132" t="s">
        <v>26</v>
      </c>
      <c r="BF132" t="s">
        <v>26</v>
      </c>
      <c r="BG132" s="146">
        <v>1704</v>
      </c>
      <c r="BH132" t="s">
        <v>499</v>
      </c>
      <c r="BI132">
        <v>1.5</v>
      </c>
      <c r="BJ132" t="s">
        <v>596</v>
      </c>
      <c r="BK132" t="s">
        <v>507</v>
      </c>
      <c r="BL132" t="s">
        <v>510</v>
      </c>
      <c r="BM132" t="s">
        <v>513</v>
      </c>
      <c r="BN132">
        <v>29022</v>
      </c>
    </row>
    <row r="133" spans="1:66">
      <c r="A133" s="47"/>
      <c r="B133" s="27">
        <v>29023</v>
      </c>
      <c r="C133" s="27" t="s">
        <v>2168</v>
      </c>
      <c r="E133" s="27" t="s">
        <v>2148</v>
      </c>
      <c r="F133" s="27" t="s">
        <v>2152</v>
      </c>
      <c r="G133" s="27" t="s">
        <v>600</v>
      </c>
      <c r="K133" s="27" t="s">
        <v>2153</v>
      </c>
      <c r="L133" s="27" t="s">
        <v>2154</v>
      </c>
      <c r="M133" s="27" t="s">
        <v>2148</v>
      </c>
      <c r="X133" s="185" t="s">
        <v>2383</v>
      </c>
      <c r="AC133"/>
      <c r="AD133"/>
      <c r="AE133"/>
      <c r="AF133" s="37" t="str">
        <f t="shared" si="4"/>
        <v>SP_31SM             TMPF100P</v>
      </c>
      <c r="AG133" t="s">
        <v>2150</v>
      </c>
      <c r="AH133">
        <v>3</v>
      </c>
      <c r="AI133">
        <v>29023</v>
      </c>
      <c r="AJ133" t="s">
        <v>597</v>
      </c>
      <c r="AK133" t="s">
        <v>26</v>
      </c>
      <c r="AL133" t="s">
        <v>26</v>
      </c>
      <c r="AM133" t="s">
        <v>598</v>
      </c>
      <c r="AN133" t="s">
        <v>599</v>
      </c>
      <c r="AO133" t="s">
        <v>600</v>
      </c>
      <c r="AP133">
        <v>1</v>
      </c>
      <c r="AQ133" t="s">
        <v>601</v>
      </c>
      <c r="AR133" t="s">
        <v>26</v>
      </c>
      <c r="AS133" t="s">
        <v>26</v>
      </c>
      <c r="AT133" t="s">
        <v>26</v>
      </c>
      <c r="AU133" t="s">
        <v>542</v>
      </c>
      <c r="AV133" t="s">
        <v>542</v>
      </c>
      <c r="AW133" t="s">
        <v>543</v>
      </c>
      <c r="AX133" t="s">
        <v>544</v>
      </c>
      <c r="AY133">
        <v>2</v>
      </c>
      <c r="AZ133" t="s">
        <v>545</v>
      </c>
      <c r="BA133" t="s">
        <v>546</v>
      </c>
      <c r="BB133" t="s">
        <v>26</v>
      </c>
      <c r="BC133" t="s">
        <v>602</v>
      </c>
      <c r="BD133" t="s">
        <v>75</v>
      </c>
      <c r="BE133" t="s">
        <v>26</v>
      </c>
      <c r="BF133" t="s">
        <v>26</v>
      </c>
      <c r="BG133">
        <v>425</v>
      </c>
      <c r="BH133" t="s">
        <v>140</v>
      </c>
      <c r="BI133">
        <v>0.13</v>
      </c>
      <c r="BJ133" t="s">
        <v>603</v>
      </c>
      <c r="BK133" t="s">
        <v>507</v>
      </c>
      <c r="BL133" t="s">
        <v>510</v>
      </c>
      <c r="BM133" t="s">
        <v>513</v>
      </c>
      <c r="BN133">
        <v>29023</v>
      </c>
    </row>
    <row r="134" spans="1:66">
      <c r="A134" s="47"/>
      <c r="B134" s="27">
        <v>29024</v>
      </c>
      <c r="C134" s="27" t="s">
        <v>2168</v>
      </c>
      <c r="E134" s="27" t="s">
        <v>2148</v>
      </c>
      <c r="F134" s="27" t="s">
        <v>2152</v>
      </c>
      <c r="G134" s="27" t="s">
        <v>561</v>
      </c>
      <c r="K134" s="27" t="s">
        <v>2153</v>
      </c>
      <c r="L134" s="27" t="s">
        <v>2148</v>
      </c>
      <c r="M134" s="27" t="s">
        <v>2154</v>
      </c>
      <c r="AC134"/>
      <c r="AD134"/>
      <c r="AE134"/>
      <c r="AF134" s="37" t="str">
        <f t="shared" si="4"/>
        <v>FSSE                SP_AC30</v>
      </c>
      <c r="AG134" t="s">
        <v>2150</v>
      </c>
      <c r="AH134">
        <v>3</v>
      </c>
      <c r="AI134">
        <v>29024</v>
      </c>
      <c r="AJ134" t="s">
        <v>604</v>
      </c>
      <c r="AK134" t="s">
        <v>26</v>
      </c>
      <c r="AL134" t="s">
        <v>605</v>
      </c>
      <c r="AM134" t="s">
        <v>605</v>
      </c>
      <c r="AN134" t="s">
        <v>606</v>
      </c>
      <c r="AO134" t="s">
        <v>607</v>
      </c>
      <c r="AP134">
        <v>1</v>
      </c>
      <c r="AQ134" t="s">
        <v>608</v>
      </c>
      <c r="AR134" t="s">
        <v>243</v>
      </c>
      <c r="AS134" t="s">
        <v>26</v>
      </c>
      <c r="AT134" t="s">
        <v>26</v>
      </c>
      <c r="AU134" t="s">
        <v>26</v>
      </c>
      <c r="AV134" t="s">
        <v>559</v>
      </c>
      <c r="AW134" t="s">
        <v>560</v>
      </c>
      <c r="AX134" t="s">
        <v>561</v>
      </c>
      <c r="AY134">
        <v>1</v>
      </c>
      <c r="AZ134" t="s">
        <v>562</v>
      </c>
      <c r="BA134" t="s">
        <v>26</v>
      </c>
      <c r="BB134" t="s">
        <v>26</v>
      </c>
      <c r="BC134" t="s">
        <v>326</v>
      </c>
      <c r="BD134" t="s">
        <v>75</v>
      </c>
      <c r="BE134" t="s">
        <v>26</v>
      </c>
      <c r="BF134" t="s">
        <v>26</v>
      </c>
      <c r="BG134">
        <v>1060</v>
      </c>
      <c r="BH134" t="s">
        <v>227</v>
      </c>
      <c r="BI134">
        <v>0.35</v>
      </c>
      <c r="BJ134" t="s">
        <v>563</v>
      </c>
      <c r="BK134" t="s">
        <v>507</v>
      </c>
      <c r="BL134" t="s">
        <v>510</v>
      </c>
      <c r="BM134" t="s">
        <v>513</v>
      </c>
      <c r="BN134">
        <v>29024</v>
      </c>
    </row>
    <row r="135" spans="1:66">
      <c r="A135" s="47"/>
      <c r="B135" s="27">
        <v>29025</v>
      </c>
      <c r="C135" s="27" t="s">
        <v>2168</v>
      </c>
      <c r="E135" s="27" t="s">
        <v>2148</v>
      </c>
      <c r="F135" s="27" t="s">
        <v>2152</v>
      </c>
      <c r="G135" s="27" t="s">
        <v>534</v>
      </c>
      <c r="K135" s="27" t="s">
        <v>2153</v>
      </c>
      <c r="L135" s="27" t="s">
        <v>2148</v>
      </c>
      <c r="M135" s="27" t="s">
        <v>2154</v>
      </c>
      <c r="AC135"/>
      <c r="AD135"/>
      <c r="AE135"/>
      <c r="AF135" s="37" t="str">
        <f t="shared" si="4"/>
        <v>FSSE                SP_AC31</v>
      </c>
      <c r="AG135" t="s">
        <v>2150</v>
      </c>
      <c r="AH135">
        <v>3</v>
      </c>
      <c r="AI135">
        <v>29025</v>
      </c>
      <c r="AJ135" t="s">
        <v>609</v>
      </c>
      <c r="AK135" t="s">
        <v>26</v>
      </c>
      <c r="AL135" t="s">
        <v>605</v>
      </c>
      <c r="AM135" t="s">
        <v>605</v>
      </c>
      <c r="AN135" t="s">
        <v>606</v>
      </c>
      <c r="AO135" t="s">
        <v>607</v>
      </c>
      <c r="AP135">
        <v>2</v>
      </c>
      <c r="AQ135" t="s">
        <v>608</v>
      </c>
      <c r="AR135" t="s">
        <v>243</v>
      </c>
      <c r="AS135" t="s">
        <v>26</v>
      </c>
      <c r="AT135" t="s">
        <v>26</v>
      </c>
      <c r="AU135" t="s">
        <v>26</v>
      </c>
      <c r="AV135" t="s">
        <v>533</v>
      </c>
      <c r="AW135">
        <v>170</v>
      </c>
      <c r="AX135" t="s">
        <v>534</v>
      </c>
      <c r="AY135">
        <v>1</v>
      </c>
      <c r="AZ135" t="s">
        <v>198</v>
      </c>
      <c r="BA135" t="s">
        <v>26</v>
      </c>
      <c r="BB135" t="s">
        <v>26</v>
      </c>
      <c r="BC135" t="s">
        <v>312</v>
      </c>
      <c r="BD135" t="s">
        <v>75</v>
      </c>
      <c r="BE135" t="s">
        <v>26</v>
      </c>
      <c r="BF135" t="s">
        <v>26</v>
      </c>
      <c r="BG135">
        <v>1238</v>
      </c>
      <c r="BH135" t="s">
        <v>42</v>
      </c>
      <c r="BI135">
        <v>0.35</v>
      </c>
      <c r="BJ135" t="s">
        <v>535</v>
      </c>
      <c r="BK135" t="s">
        <v>507</v>
      </c>
      <c r="BL135" t="s">
        <v>510</v>
      </c>
      <c r="BM135" t="s">
        <v>513</v>
      </c>
      <c r="BN135">
        <v>29025</v>
      </c>
    </row>
    <row r="136" spans="1:66">
      <c r="A136" s="47"/>
      <c r="B136" s="27">
        <v>29026</v>
      </c>
      <c r="C136" s="27" t="s">
        <v>2168</v>
      </c>
      <c r="E136" s="27" t="s">
        <v>2148</v>
      </c>
      <c r="F136" s="27" t="s">
        <v>2152</v>
      </c>
      <c r="G136" s="27" t="s">
        <v>526</v>
      </c>
      <c r="K136" s="27" t="s">
        <v>2153</v>
      </c>
      <c r="L136" s="27" t="s">
        <v>2148</v>
      </c>
      <c r="M136" s="27" t="s">
        <v>2154</v>
      </c>
      <c r="AC136"/>
      <c r="AD136"/>
      <c r="AE136"/>
      <c r="AF136" s="37" t="str">
        <f t="shared" si="4"/>
        <v>FSSE                SP_ACLIN2</v>
      </c>
      <c r="AG136" t="s">
        <v>2150</v>
      </c>
      <c r="AH136">
        <v>3</v>
      </c>
      <c r="AI136">
        <v>29026</v>
      </c>
      <c r="AJ136" t="s">
        <v>610</v>
      </c>
      <c r="AK136" t="s">
        <v>26</v>
      </c>
      <c r="AL136" t="s">
        <v>605</v>
      </c>
      <c r="AM136" t="s">
        <v>605</v>
      </c>
      <c r="AN136" t="s">
        <v>606</v>
      </c>
      <c r="AO136" t="s">
        <v>607</v>
      </c>
      <c r="AP136">
        <v>4</v>
      </c>
      <c r="AQ136" t="s">
        <v>608</v>
      </c>
      <c r="AR136" t="s">
        <v>321</v>
      </c>
      <c r="AS136" t="s">
        <v>26</v>
      </c>
      <c r="AT136" t="s">
        <v>26</v>
      </c>
      <c r="AU136" t="s">
        <v>26</v>
      </c>
      <c r="AV136" t="s">
        <v>524</v>
      </c>
      <c r="AW136" t="s">
        <v>525</v>
      </c>
      <c r="AX136" t="s">
        <v>526</v>
      </c>
      <c r="AY136">
        <v>1</v>
      </c>
      <c r="AZ136" t="s">
        <v>527</v>
      </c>
      <c r="BA136" t="s">
        <v>26</v>
      </c>
      <c r="BB136" t="s">
        <v>26</v>
      </c>
      <c r="BC136" t="s">
        <v>215</v>
      </c>
      <c r="BD136" t="s">
        <v>75</v>
      </c>
      <c r="BE136" t="s">
        <v>26</v>
      </c>
      <c r="BF136" t="s">
        <v>26</v>
      </c>
      <c r="BG136">
        <v>1228</v>
      </c>
      <c r="BH136" t="s">
        <v>216</v>
      </c>
      <c r="BI136">
        <v>0.13</v>
      </c>
      <c r="BJ136" t="s">
        <v>528</v>
      </c>
      <c r="BK136" t="s">
        <v>507</v>
      </c>
      <c r="BL136" t="s">
        <v>510</v>
      </c>
      <c r="BM136" t="s">
        <v>513</v>
      </c>
      <c r="BN136">
        <v>29026</v>
      </c>
    </row>
    <row r="137" spans="1:66">
      <c r="A137" s="47">
        <v>500.50599999999997</v>
      </c>
      <c r="B137" s="27">
        <v>29027</v>
      </c>
      <c r="C137" s="27" t="s">
        <v>2168</v>
      </c>
      <c r="E137" s="27" t="s">
        <v>2148</v>
      </c>
      <c r="F137" s="27" t="s">
        <v>2152</v>
      </c>
      <c r="G137" s="27" t="s">
        <v>526</v>
      </c>
      <c r="K137" s="27" t="s">
        <v>2153</v>
      </c>
      <c r="L137" s="27" t="s">
        <v>2154</v>
      </c>
      <c r="M137" s="27" t="s">
        <v>2148</v>
      </c>
      <c r="AC137"/>
      <c r="AD137"/>
      <c r="AE137"/>
      <c r="AF137" s="37" t="str">
        <f t="shared" si="4"/>
        <v>SP_ACLIN2           KS_CPR_C</v>
      </c>
      <c r="AG137" t="s">
        <v>2150</v>
      </c>
      <c r="AH137">
        <v>3</v>
      </c>
      <c r="AI137">
        <v>29027</v>
      </c>
      <c r="AJ137" t="s">
        <v>611</v>
      </c>
      <c r="AK137" t="s">
        <v>26</v>
      </c>
      <c r="AL137" t="s">
        <v>26</v>
      </c>
      <c r="AM137" t="s">
        <v>524</v>
      </c>
      <c r="AN137" t="s">
        <v>525</v>
      </c>
      <c r="AO137" t="s">
        <v>526</v>
      </c>
      <c r="AP137">
        <v>1</v>
      </c>
      <c r="AQ137" t="s">
        <v>527</v>
      </c>
      <c r="AR137" t="s">
        <v>26</v>
      </c>
      <c r="AS137" t="s">
        <v>26</v>
      </c>
      <c r="AT137" t="s">
        <v>26</v>
      </c>
      <c r="AU137" t="s">
        <v>131</v>
      </c>
      <c r="AV137" t="s">
        <v>131</v>
      </c>
      <c r="AW137" t="s">
        <v>189</v>
      </c>
      <c r="AX137" t="s">
        <v>190</v>
      </c>
      <c r="AY137">
        <v>3</v>
      </c>
      <c r="AZ137" s="146" t="s">
        <v>121</v>
      </c>
      <c r="BA137" t="s">
        <v>68</v>
      </c>
      <c r="BB137" t="s">
        <v>26</v>
      </c>
      <c r="BC137" t="s">
        <v>530</v>
      </c>
      <c r="BD137" t="s">
        <v>75</v>
      </c>
      <c r="BE137" t="s">
        <v>26</v>
      </c>
      <c r="BF137" t="s">
        <v>26</v>
      </c>
      <c r="BG137" s="146">
        <v>1078</v>
      </c>
      <c r="BH137" t="s">
        <v>216</v>
      </c>
      <c r="BI137">
        <v>0.35</v>
      </c>
      <c r="BJ137" t="s">
        <v>528</v>
      </c>
      <c r="BK137" t="s">
        <v>507</v>
      </c>
      <c r="BL137" t="s">
        <v>510</v>
      </c>
      <c r="BM137" t="s">
        <v>513</v>
      </c>
      <c r="BN137">
        <v>29027</v>
      </c>
    </row>
    <row r="138" spans="1:66">
      <c r="A138" s="47"/>
      <c r="B138" s="27">
        <v>29028</v>
      </c>
      <c r="C138" s="27" t="s">
        <v>2168</v>
      </c>
      <c r="E138" s="27" t="s">
        <v>2148</v>
      </c>
      <c r="F138" s="27" t="s">
        <v>2156</v>
      </c>
      <c r="G138" s="27" t="s">
        <v>472</v>
      </c>
      <c r="I138" s="27" t="s">
        <v>2163</v>
      </c>
      <c r="K138" s="27" t="s">
        <v>2153</v>
      </c>
      <c r="L138" s="27" t="s">
        <v>2148</v>
      </c>
      <c r="M138" s="27" t="s">
        <v>2154</v>
      </c>
      <c r="AC138"/>
      <c r="AD138"/>
      <c r="AE138"/>
      <c r="AF138" s="37" t="str">
        <f t="shared" si="4"/>
        <v>BAKV                SP_ACLIN5</v>
      </c>
      <c r="AG138" t="s">
        <v>2150</v>
      </c>
      <c r="AH138">
        <v>3</v>
      </c>
      <c r="AI138">
        <v>29028</v>
      </c>
      <c r="AJ138" t="s">
        <v>612</v>
      </c>
      <c r="AK138" t="s">
        <v>26</v>
      </c>
      <c r="AL138" t="s">
        <v>613</v>
      </c>
      <c r="AM138" t="s">
        <v>613</v>
      </c>
      <c r="AN138" t="s">
        <v>614</v>
      </c>
      <c r="AO138" t="s">
        <v>615</v>
      </c>
      <c r="AP138">
        <v>2</v>
      </c>
      <c r="AQ138" t="s">
        <v>616</v>
      </c>
      <c r="AR138" t="s">
        <v>321</v>
      </c>
      <c r="AS138" t="s">
        <v>26</v>
      </c>
      <c r="AT138" t="s">
        <v>26</v>
      </c>
      <c r="AU138" t="s">
        <v>26</v>
      </c>
      <c r="AV138" t="s">
        <v>470</v>
      </c>
      <c r="AW138" t="s">
        <v>471</v>
      </c>
      <c r="AX138" t="s">
        <v>472</v>
      </c>
      <c r="AY138">
        <v>1</v>
      </c>
      <c r="AZ138" t="s">
        <v>473</v>
      </c>
      <c r="BA138" t="s">
        <v>26</v>
      </c>
      <c r="BB138" t="s">
        <v>26</v>
      </c>
      <c r="BC138" t="s">
        <v>322</v>
      </c>
      <c r="BD138" t="s">
        <v>75</v>
      </c>
      <c r="BE138" t="s">
        <v>26</v>
      </c>
      <c r="BF138" t="s">
        <v>26</v>
      </c>
      <c r="BG138">
        <v>753</v>
      </c>
      <c r="BH138" t="s">
        <v>323</v>
      </c>
      <c r="BI138">
        <v>0.13</v>
      </c>
      <c r="BJ138" t="s">
        <v>474</v>
      </c>
      <c r="BK138" t="s">
        <v>507</v>
      </c>
      <c r="BL138" t="s">
        <v>510</v>
      </c>
      <c r="BM138" t="s">
        <v>513</v>
      </c>
      <c r="BN138">
        <v>29028</v>
      </c>
    </row>
    <row r="139" spans="1:66">
      <c r="A139" s="47">
        <v>506</v>
      </c>
      <c r="B139" s="27">
        <v>29029</v>
      </c>
      <c r="C139" s="27" t="s">
        <v>2168</v>
      </c>
      <c r="E139" s="27" t="s">
        <v>2148</v>
      </c>
      <c r="AC139"/>
      <c r="AD139"/>
      <c r="AE139"/>
      <c r="AF139" s="37" t="str">
        <f t="shared" si="4"/>
        <v>STO51A              BAKV</v>
      </c>
      <c r="AG139" t="s">
        <v>2150</v>
      </c>
      <c r="AH139">
        <v>3</v>
      </c>
      <c r="AI139">
        <v>29029</v>
      </c>
      <c r="AJ139" t="s">
        <v>617</v>
      </c>
      <c r="AK139" t="s">
        <v>26</v>
      </c>
      <c r="AL139" t="s">
        <v>219</v>
      </c>
      <c r="AM139" t="s">
        <v>219</v>
      </c>
      <c r="AN139" t="s">
        <v>220</v>
      </c>
      <c r="AO139" t="s">
        <v>221</v>
      </c>
      <c r="AP139" t="s">
        <v>618</v>
      </c>
      <c r="AQ139" t="s">
        <v>223</v>
      </c>
      <c r="AR139" t="s">
        <v>304</v>
      </c>
      <c r="AS139" t="s">
        <v>26</v>
      </c>
      <c r="AT139" t="s">
        <v>26</v>
      </c>
      <c r="AU139" t="s">
        <v>613</v>
      </c>
      <c r="AV139" t="s">
        <v>613</v>
      </c>
      <c r="AW139" t="s">
        <v>614</v>
      </c>
      <c r="AX139" t="s">
        <v>615</v>
      </c>
      <c r="AY139">
        <v>1</v>
      </c>
      <c r="AZ139" t="s">
        <v>616</v>
      </c>
      <c r="BA139" t="s">
        <v>243</v>
      </c>
      <c r="BB139" t="s">
        <v>26</v>
      </c>
      <c r="BC139" t="s">
        <v>326</v>
      </c>
      <c r="BD139" t="s">
        <v>75</v>
      </c>
      <c r="BE139" t="s">
        <v>26</v>
      </c>
      <c r="BF139" t="s">
        <v>26</v>
      </c>
      <c r="BG139" s="162">
        <v>1442</v>
      </c>
      <c r="BH139" t="s">
        <v>227</v>
      </c>
      <c r="BI139">
        <v>0.35</v>
      </c>
      <c r="BJ139" t="s">
        <v>619</v>
      </c>
      <c r="BK139" t="s">
        <v>507</v>
      </c>
      <c r="BL139" t="s">
        <v>510</v>
      </c>
      <c r="BM139" t="s">
        <v>513</v>
      </c>
      <c r="BN139">
        <v>29029</v>
      </c>
    </row>
    <row r="140" spans="1:66">
      <c r="A140" s="47"/>
      <c r="B140" s="27">
        <v>29030</v>
      </c>
      <c r="C140" s="27" t="s">
        <v>2168</v>
      </c>
      <c r="E140" s="27" t="s">
        <v>2148</v>
      </c>
      <c r="F140" s="27" t="s">
        <v>2156</v>
      </c>
      <c r="G140" s="27" t="s">
        <v>310</v>
      </c>
      <c r="K140" s="27" t="s">
        <v>2153</v>
      </c>
      <c r="L140" s="27" t="s">
        <v>2148</v>
      </c>
      <c r="M140" s="27" t="s">
        <v>2154</v>
      </c>
      <c r="AC140"/>
      <c r="AD140"/>
      <c r="AE140"/>
      <c r="AF140" s="37" t="str">
        <f t="shared" si="4"/>
        <v>BAKV                SP_MB31_B2</v>
      </c>
      <c r="AG140" t="s">
        <v>2150</v>
      </c>
      <c r="AH140">
        <v>3</v>
      </c>
      <c r="AI140">
        <v>29030</v>
      </c>
      <c r="AJ140" t="s">
        <v>620</v>
      </c>
      <c r="AK140" t="s">
        <v>26</v>
      </c>
      <c r="AL140" t="s">
        <v>613</v>
      </c>
      <c r="AM140" t="s">
        <v>613</v>
      </c>
      <c r="AN140" t="s">
        <v>614</v>
      </c>
      <c r="AO140" t="s">
        <v>615</v>
      </c>
      <c r="AP140">
        <v>3</v>
      </c>
      <c r="AQ140" t="s">
        <v>616</v>
      </c>
      <c r="AR140" t="s">
        <v>243</v>
      </c>
      <c r="AS140" t="s">
        <v>26</v>
      </c>
      <c r="AT140" t="s">
        <v>26</v>
      </c>
      <c r="AU140" t="s">
        <v>26</v>
      </c>
      <c r="AV140" t="s">
        <v>309</v>
      </c>
      <c r="AW140">
        <v>213</v>
      </c>
      <c r="AX140" t="s">
        <v>310</v>
      </c>
      <c r="AY140">
        <v>1</v>
      </c>
      <c r="AZ140" t="s">
        <v>311</v>
      </c>
      <c r="BA140" t="s">
        <v>26</v>
      </c>
      <c r="BB140" t="s">
        <v>26</v>
      </c>
      <c r="BC140" t="s">
        <v>312</v>
      </c>
      <c r="BD140" t="s">
        <v>75</v>
      </c>
      <c r="BE140" t="s">
        <v>26</v>
      </c>
      <c r="BF140" t="s">
        <v>26</v>
      </c>
      <c r="BG140">
        <v>645</v>
      </c>
      <c r="BH140" t="s">
        <v>42</v>
      </c>
      <c r="BI140">
        <v>0.35</v>
      </c>
      <c r="BJ140" t="s">
        <v>264</v>
      </c>
      <c r="BK140" t="s">
        <v>507</v>
      </c>
      <c r="BL140" t="s">
        <v>510</v>
      </c>
      <c r="BM140" t="s">
        <v>513</v>
      </c>
      <c r="BN140">
        <v>29030</v>
      </c>
    </row>
    <row r="141" spans="1:66">
      <c r="A141" s="47"/>
      <c r="B141" s="27">
        <v>29031</v>
      </c>
      <c r="C141" s="27" t="s">
        <v>2168</v>
      </c>
      <c r="E141" s="27" t="s">
        <v>2148</v>
      </c>
      <c r="F141" s="27" t="s">
        <v>2156</v>
      </c>
      <c r="G141" s="27" t="s">
        <v>568</v>
      </c>
      <c r="K141" s="27" t="s">
        <v>2153</v>
      </c>
      <c r="L141" s="27" t="s">
        <v>2154</v>
      </c>
      <c r="M141" s="27" t="s">
        <v>2148</v>
      </c>
      <c r="AC141"/>
      <c r="AD141"/>
      <c r="AE141"/>
      <c r="AF141" s="37" t="str">
        <f t="shared" si="4"/>
        <v>SP_ACLIN3           SGKG102P_B</v>
      </c>
      <c r="AG141" t="s">
        <v>2150</v>
      </c>
      <c r="AH141">
        <v>3</v>
      </c>
      <c r="AI141">
        <v>29031</v>
      </c>
      <c r="AJ141" t="s">
        <v>621</v>
      </c>
      <c r="AK141" t="s">
        <v>26</v>
      </c>
      <c r="AL141" t="s">
        <v>26</v>
      </c>
      <c r="AM141" t="s">
        <v>566</v>
      </c>
      <c r="AN141" t="s">
        <v>567</v>
      </c>
      <c r="AO141" t="s">
        <v>568</v>
      </c>
      <c r="AP141">
        <v>1</v>
      </c>
      <c r="AQ141" t="s">
        <v>177</v>
      </c>
      <c r="AR141" t="s">
        <v>26</v>
      </c>
      <c r="AS141" t="s">
        <v>26</v>
      </c>
      <c r="AT141" t="s">
        <v>26</v>
      </c>
      <c r="AU141" t="s">
        <v>466</v>
      </c>
      <c r="AV141" t="s">
        <v>466</v>
      </c>
      <c r="AW141" t="s">
        <v>467</v>
      </c>
      <c r="AX141" t="s">
        <v>468</v>
      </c>
      <c r="AY141">
        <v>15</v>
      </c>
      <c r="AZ141" t="s">
        <v>469</v>
      </c>
      <c r="BA141" t="s">
        <v>321</v>
      </c>
      <c r="BB141" t="s">
        <v>26</v>
      </c>
      <c r="BC141" t="s">
        <v>622</v>
      </c>
      <c r="BD141" t="s">
        <v>75</v>
      </c>
      <c r="BE141" t="s">
        <v>26</v>
      </c>
      <c r="BF141" t="s">
        <v>26</v>
      </c>
      <c r="BG141">
        <v>764</v>
      </c>
      <c r="BH141" t="s">
        <v>570</v>
      </c>
      <c r="BI141">
        <v>0.13</v>
      </c>
      <c r="BJ141" t="s">
        <v>571</v>
      </c>
      <c r="BK141" t="s">
        <v>507</v>
      </c>
      <c r="BL141" t="s">
        <v>510</v>
      </c>
      <c r="BM141" t="s">
        <v>513</v>
      </c>
      <c r="BN141">
        <v>29031</v>
      </c>
    </row>
    <row r="142" spans="1:66">
      <c r="A142" s="47">
        <v>506</v>
      </c>
      <c r="B142" s="27">
        <v>29039</v>
      </c>
      <c r="C142" s="27" t="s">
        <v>2168</v>
      </c>
      <c r="E142" s="27" t="s">
        <v>2148</v>
      </c>
      <c r="F142" s="27" t="s">
        <v>2156</v>
      </c>
      <c r="G142" s="27" t="s">
        <v>267</v>
      </c>
      <c r="K142" s="27" t="s">
        <v>2153</v>
      </c>
      <c r="L142" s="27" t="s">
        <v>2148</v>
      </c>
      <c r="M142" s="27" t="s">
        <v>2154</v>
      </c>
      <c r="AC142"/>
      <c r="AD142"/>
      <c r="AE142"/>
      <c r="AF142" s="37" t="str">
        <f t="shared" si="4"/>
        <v>GBR26P              SP_MB32_B1</v>
      </c>
      <c r="AG142" t="s">
        <v>2150</v>
      </c>
      <c r="AH142">
        <v>3</v>
      </c>
      <c r="AI142">
        <v>29039</v>
      </c>
      <c r="AJ142" t="s">
        <v>623</v>
      </c>
      <c r="AK142" t="s">
        <v>26</v>
      </c>
      <c r="AL142" t="s">
        <v>582</v>
      </c>
      <c r="AM142" t="s">
        <v>582</v>
      </c>
      <c r="AN142" t="s">
        <v>583</v>
      </c>
      <c r="AO142" t="s">
        <v>584</v>
      </c>
      <c r="AP142">
        <v>1</v>
      </c>
      <c r="AQ142" t="s">
        <v>585</v>
      </c>
      <c r="AR142" t="s">
        <v>159</v>
      </c>
      <c r="AS142" t="s">
        <v>26</v>
      </c>
      <c r="AT142" t="s">
        <v>26</v>
      </c>
      <c r="AU142" t="s">
        <v>26</v>
      </c>
      <c r="AV142" t="s">
        <v>266</v>
      </c>
      <c r="AW142">
        <v>199</v>
      </c>
      <c r="AX142" t="s">
        <v>267</v>
      </c>
      <c r="AY142">
        <v>1</v>
      </c>
      <c r="AZ142" t="s">
        <v>268</v>
      </c>
      <c r="BA142" t="s">
        <v>26</v>
      </c>
      <c r="BB142" t="s">
        <v>26</v>
      </c>
      <c r="BC142" t="s">
        <v>178</v>
      </c>
      <c r="BD142" t="s">
        <v>75</v>
      </c>
      <c r="BE142" t="s">
        <v>26</v>
      </c>
      <c r="BF142" t="s">
        <v>26</v>
      </c>
      <c r="BG142" s="162">
        <v>1633</v>
      </c>
      <c r="BH142" t="s">
        <v>42</v>
      </c>
      <c r="BI142">
        <v>2.5</v>
      </c>
      <c r="BJ142" t="s">
        <v>200</v>
      </c>
      <c r="BK142" t="s">
        <v>507</v>
      </c>
      <c r="BL142" t="s">
        <v>510</v>
      </c>
      <c r="BM142" t="s">
        <v>513</v>
      </c>
      <c r="BN142">
        <v>29039</v>
      </c>
    </row>
    <row r="143" spans="1:66">
      <c r="A143" s="47"/>
      <c r="B143" s="27">
        <v>29040</v>
      </c>
      <c r="C143" s="27" t="s">
        <v>2168</v>
      </c>
      <c r="E143" s="27" t="s">
        <v>2148</v>
      </c>
      <c r="AC143"/>
      <c r="AD143"/>
      <c r="AE143"/>
      <c r="AF143" s="37" t="str">
        <f t="shared" si="4"/>
        <v>SGKG102P_B          KS_CPM_A</v>
      </c>
      <c r="AG143" t="s">
        <v>2150</v>
      </c>
      <c r="AH143">
        <v>3</v>
      </c>
      <c r="AI143">
        <v>29040</v>
      </c>
      <c r="AJ143" t="s">
        <v>624</v>
      </c>
      <c r="AK143" t="s">
        <v>26</v>
      </c>
      <c r="AL143" t="s">
        <v>466</v>
      </c>
      <c r="AM143" t="s">
        <v>466</v>
      </c>
      <c r="AN143" t="s">
        <v>467</v>
      </c>
      <c r="AO143" t="s">
        <v>468</v>
      </c>
      <c r="AP143">
        <v>9</v>
      </c>
      <c r="AQ143" t="s">
        <v>469</v>
      </c>
      <c r="AR143" t="s">
        <v>243</v>
      </c>
      <c r="AS143" t="s">
        <v>26</v>
      </c>
      <c r="AT143" t="s">
        <v>26</v>
      </c>
      <c r="AU143" t="s">
        <v>69</v>
      </c>
      <c r="AV143" t="s">
        <v>69</v>
      </c>
      <c r="AW143" t="s">
        <v>143</v>
      </c>
      <c r="AX143" t="s">
        <v>144</v>
      </c>
      <c r="AY143">
        <v>6</v>
      </c>
      <c r="AZ143" t="s">
        <v>145</v>
      </c>
      <c r="BA143" t="s">
        <v>68</v>
      </c>
      <c r="BB143" t="s">
        <v>26</v>
      </c>
      <c r="BC143" t="s">
        <v>625</v>
      </c>
      <c r="BD143" t="s">
        <v>75</v>
      </c>
      <c r="BE143" t="s">
        <v>26</v>
      </c>
      <c r="BF143" t="s">
        <v>26</v>
      </c>
      <c r="BG143">
        <v>874</v>
      </c>
      <c r="BH143" t="s">
        <v>626</v>
      </c>
      <c r="BI143">
        <v>0.35</v>
      </c>
      <c r="BJ143" t="s">
        <v>627</v>
      </c>
      <c r="BK143" t="s">
        <v>507</v>
      </c>
      <c r="BL143" t="s">
        <v>510</v>
      </c>
      <c r="BM143" t="s">
        <v>513</v>
      </c>
      <c r="BN143">
        <v>29040</v>
      </c>
    </row>
    <row r="144" spans="1:66">
      <c r="A144" s="47"/>
      <c r="B144" s="27">
        <v>29041</v>
      </c>
      <c r="C144" s="27" t="s">
        <v>2168</v>
      </c>
      <c r="E144" s="27" t="s">
        <v>2148</v>
      </c>
      <c r="AC144"/>
      <c r="AD144"/>
      <c r="AE144"/>
      <c r="AF144" s="37" t="str">
        <f t="shared" ref="AF144:AF178" si="5" xml:space="preserve"> AO144 &amp; REPT(" ",20-LEN(AO144)) &amp; AX144</f>
        <v>SGKG102P_B          KS_CPM_A</v>
      </c>
      <c r="AG144" t="s">
        <v>2150</v>
      </c>
      <c r="AH144">
        <v>3</v>
      </c>
      <c r="AI144">
        <v>29041</v>
      </c>
      <c r="AJ144" t="s">
        <v>628</v>
      </c>
      <c r="AK144" t="s">
        <v>26</v>
      </c>
      <c r="AL144" t="s">
        <v>466</v>
      </c>
      <c r="AM144" t="s">
        <v>466</v>
      </c>
      <c r="AN144" t="s">
        <v>467</v>
      </c>
      <c r="AO144" t="s">
        <v>468</v>
      </c>
      <c r="AP144">
        <v>5</v>
      </c>
      <c r="AQ144" t="s">
        <v>469</v>
      </c>
      <c r="AR144" t="s">
        <v>243</v>
      </c>
      <c r="AS144" t="s">
        <v>26</v>
      </c>
      <c r="AT144" t="s">
        <v>26</v>
      </c>
      <c r="AU144" t="s">
        <v>69</v>
      </c>
      <c r="AV144" t="s">
        <v>69</v>
      </c>
      <c r="AW144" t="s">
        <v>143</v>
      </c>
      <c r="AX144" t="s">
        <v>144</v>
      </c>
      <c r="AY144">
        <v>7</v>
      </c>
      <c r="AZ144" t="s">
        <v>145</v>
      </c>
      <c r="BA144" t="s">
        <v>68</v>
      </c>
      <c r="BB144" t="s">
        <v>26</v>
      </c>
      <c r="BC144" t="s">
        <v>629</v>
      </c>
      <c r="BD144" t="s">
        <v>75</v>
      </c>
      <c r="BE144" t="s">
        <v>26</v>
      </c>
      <c r="BF144" t="s">
        <v>26</v>
      </c>
      <c r="BG144">
        <v>874</v>
      </c>
      <c r="BH144" t="s">
        <v>172</v>
      </c>
      <c r="BI144">
        <v>0.35</v>
      </c>
      <c r="BJ144" t="s">
        <v>630</v>
      </c>
      <c r="BK144" t="s">
        <v>507</v>
      </c>
      <c r="BL144" t="s">
        <v>510</v>
      </c>
      <c r="BM144" t="s">
        <v>513</v>
      </c>
      <c r="BN144">
        <v>29041</v>
      </c>
    </row>
    <row r="145" spans="1:66">
      <c r="A145" s="47"/>
      <c r="B145" s="27">
        <v>29042</v>
      </c>
      <c r="C145" s="27" t="s">
        <v>2168</v>
      </c>
      <c r="E145" s="27" t="s">
        <v>2148</v>
      </c>
      <c r="AC145"/>
      <c r="AD145"/>
      <c r="AE145"/>
      <c r="AF145" s="37" t="str">
        <f t="shared" si="5"/>
        <v>STO52A              GBR26P</v>
      </c>
      <c r="AG145" t="s">
        <v>2150</v>
      </c>
      <c r="AH145">
        <v>3</v>
      </c>
      <c r="AI145">
        <v>29042</v>
      </c>
      <c r="AJ145" t="s">
        <v>631</v>
      </c>
      <c r="AK145" t="s">
        <v>26</v>
      </c>
      <c r="AL145" t="s">
        <v>150</v>
      </c>
      <c r="AM145" t="s">
        <v>150</v>
      </c>
      <c r="AN145" t="s">
        <v>151</v>
      </c>
      <c r="AO145" t="s">
        <v>152</v>
      </c>
      <c r="AP145" t="s">
        <v>632</v>
      </c>
      <c r="AQ145" t="s">
        <v>154</v>
      </c>
      <c r="AR145" t="s">
        <v>155</v>
      </c>
      <c r="AS145" t="s">
        <v>26</v>
      </c>
      <c r="AT145" t="s">
        <v>26</v>
      </c>
      <c r="AU145" t="s">
        <v>582</v>
      </c>
      <c r="AV145" t="s">
        <v>582</v>
      </c>
      <c r="AW145" t="s">
        <v>583</v>
      </c>
      <c r="AX145" t="s">
        <v>584</v>
      </c>
      <c r="AY145">
        <v>3</v>
      </c>
      <c r="AZ145" t="s">
        <v>585</v>
      </c>
      <c r="BA145" t="s">
        <v>159</v>
      </c>
      <c r="BB145" t="s">
        <v>26</v>
      </c>
      <c r="BC145" t="s">
        <v>633</v>
      </c>
      <c r="BD145" t="s">
        <v>75</v>
      </c>
      <c r="BE145" t="s">
        <v>26</v>
      </c>
      <c r="BF145" t="s">
        <v>26</v>
      </c>
      <c r="BG145">
        <v>931</v>
      </c>
      <c r="BH145" t="s">
        <v>634</v>
      </c>
      <c r="BI145">
        <v>2.5</v>
      </c>
      <c r="BJ145" t="s">
        <v>635</v>
      </c>
      <c r="BK145" t="s">
        <v>507</v>
      </c>
      <c r="BL145" t="s">
        <v>510</v>
      </c>
      <c r="BM145" t="s">
        <v>513</v>
      </c>
      <c r="BN145">
        <v>29042</v>
      </c>
    </row>
    <row r="146" spans="1:66">
      <c r="A146" s="47">
        <v>506</v>
      </c>
      <c r="B146" s="27">
        <v>29044</v>
      </c>
      <c r="C146" s="27" t="s">
        <v>2168</v>
      </c>
      <c r="E146" s="27" t="s">
        <v>2148</v>
      </c>
      <c r="AC146"/>
      <c r="AD146"/>
      <c r="AE146"/>
      <c r="AF146" s="37" t="str">
        <f t="shared" si="5"/>
        <v>STO51A              SGKG102P_C</v>
      </c>
      <c r="AG146" t="s">
        <v>2150</v>
      </c>
      <c r="AH146">
        <v>3</v>
      </c>
      <c r="AI146">
        <v>29044</v>
      </c>
      <c r="AJ146" t="s">
        <v>636</v>
      </c>
      <c r="AK146" t="s">
        <v>26</v>
      </c>
      <c r="AL146" t="s">
        <v>219</v>
      </c>
      <c r="AM146" t="s">
        <v>219</v>
      </c>
      <c r="AN146" t="s">
        <v>220</v>
      </c>
      <c r="AO146" t="s">
        <v>221</v>
      </c>
      <c r="AP146" t="s">
        <v>637</v>
      </c>
      <c r="AQ146" t="s">
        <v>223</v>
      </c>
      <c r="AR146" t="s">
        <v>155</v>
      </c>
      <c r="AS146" t="s">
        <v>26</v>
      </c>
      <c r="AT146" t="s">
        <v>26</v>
      </c>
      <c r="AU146" t="s">
        <v>466</v>
      </c>
      <c r="AV146" t="s">
        <v>466</v>
      </c>
      <c r="AW146" t="s">
        <v>638</v>
      </c>
      <c r="AX146" t="s">
        <v>639</v>
      </c>
      <c r="AY146">
        <v>3</v>
      </c>
      <c r="AZ146" t="s">
        <v>640</v>
      </c>
      <c r="BA146" t="s">
        <v>230</v>
      </c>
      <c r="BB146" t="s">
        <v>26</v>
      </c>
      <c r="BC146" t="s">
        <v>633</v>
      </c>
      <c r="BD146" t="s">
        <v>75</v>
      </c>
      <c r="BE146" t="s">
        <v>26</v>
      </c>
      <c r="BF146" t="s">
        <v>26</v>
      </c>
      <c r="BG146" s="162">
        <v>909</v>
      </c>
      <c r="BH146" t="s">
        <v>634</v>
      </c>
      <c r="BI146">
        <v>2.5</v>
      </c>
      <c r="BJ146" t="s">
        <v>641</v>
      </c>
      <c r="BK146" t="s">
        <v>507</v>
      </c>
      <c r="BL146" t="s">
        <v>510</v>
      </c>
      <c r="BM146" t="s">
        <v>513</v>
      </c>
      <c r="BN146">
        <v>29044</v>
      </c>
    </row>
    <row r="147" spans="1:66">
      <c r="A147" s="47">
        <v>506</v>
      </c>
      <c r="B147" s="27">
        <v>29047</v>
      </c>
      <c r="C147" s="27" t="s">
        <v>2168</v>
      </c>
      <c r="E147" s="27" t="s">
        <v>2148</v>
      </c>
      <c r="F147" s="27" t="s">
        <v>2152</v>
      </c>
      <c r="G147" s="27" t="s">
        <v>646</v>
      </c>
      <c r="K147" s="27" t="s">
        <v>2153</v>
      </c>
      <c r="L147" s="27" t="s">
        <v>2148</v>
      </c>
      <c r="M147" s="27" t="s">
        <v>2154</v>
      </c>
      <c r="W147" s="185" t="s">
        <v>2383</v>
      </c>
      <c r="AC147"/>
      <c r="AD147"/>
      <c r="AE147"/>
      <c r="AF147" s="37" t="str">
        <f t="shared" si="5"/>
        <v>LIO3P_A             SP_15AS</v>
      </c>
      <c r="AG147" t="s">
        <v>2150</v>
      </c>
      <c r="AH147">
        <v>3</v>
      </c>
      <c r="AI147">
        <v>29047</v>
      </c>
      <c r="AJ147" t="s">
        <v>642</v>
      </c>
      <c r="AK147" t="s">
        <v>26</v>
      </c>
      <c r="AL147" t="s">
        <v>575</v>
      </c>
      <c r="AM147" t="s">
        <v>575</v>
      </c>
      <c r="AN147" t="s">
        <v>576</v>
      </c>
      <c r="AO147" t="s">
        <v>577</v>
      </c>
      <c r="AP147">
        <v>1</v>
      </c>
      <c r="AQ147" t="s">
        <v>578</v>
      </c>
      <c r="AR147" t="s">
        <v>643</v>
      </c>
      <c r="AS147" t="s">
        <v>26</v>
      </c>
      <c r="AT147" t="s">
        <v>26</v>
      </c>
      <c r="AU147" t="s">
        <v>26</v>
      </c>
      <c r="AV147" t="s">
        <v>644</v>
      </c>
      <c r="AW147" t="s">
        <v>645</v>
      </c>
      <c r="AX147" t="s">
        <v>646</v>
      </c>
      <c r="AY147">
        <v>1</v>
      </c>
      <c r="AZ147" t="s">
        <v>268</v>
      </c>
      <c r="BA147" t="s">
        <v>26</v>
      </c>
      <c r="BB147" t="s">
        <v>26</v>
      </c>
      <c r="BC147" t="s">
        <v>647</v>
      </c>
      <c r="BD147" t="s">
        <v>75</v>
      </c>
      <c r="BE147" t="s">
        <v>26</v>
      </c>
      <c r="BF147" t="s">
        <v>26</v>
      </c>
      <c r="BG147" s="146">
        <v>1291</v>
      </c>
      <c r="BH147" t="s">
        <v>539</v>
      </c>
      <c r="BI147">
        <v>0.35</v>
      </c>
      <c r="BJ147" t="s">
        <v>648</v>
      </c>
      <c r="BK147" t="s">
        <v>507</v>
      </c>
      <c r="BL147" t="s">
        <v>26</v>
      </c>
      <c r="BM147" t="s">
        <v>513</v>
      </c>
      <c r="BN147">
        <v>29047</v>
      </c>
    </row>
    <row r="148" spans="1:66">
      <c r="A148" s="47">
        <v>506</v>
      </c>
      <c r="B148" s="27">
        <v>29048</v>
      </c>
      <c r="C148" s="27" t="s">
        <v>2168</v>
      </c>
      <c r="E148" s="27" t="s">
        <v>2148</v>
      </c>
      <c r="F148" s="27" t="s">
        <v>2156</v>
      </c>
      <c r="G148" s="27" t="s">
        <v>267</v>
      </c>
      <c r="K148" s="27" t="s">
        <v>2153</v>
      </c>
      <c r="L148" s="27" t="s">
        <v>2148</v>
      </c>
      <c r="M148" s="27" t="s">
        <v>2154</v>
      </c>
      <c r="AC148"/>
      <c r="AD148"/>
      <c r="AE148"/>
      <c r="AF148" s="37" t="str">
        <f t="shared" si="5"/>
        <v>SGKG102P_C          SP_MB32_B1</v>
      </c>
      <c r="AG148" t="s">
        <v>2150</v>
      </c>
      <c r="AH148">
        <v>3</v>
      </c>
      <c r="AI148">
        <v>29048</v>
      </c>
      <c r="AJ148" t="s">
        <v>649</v>
      </c>
      <c r="AK148" t="s">
        <v>26</v>
      </c>
      <c r="AL148" t="s">
        <v>466</v>
      </c>
      <c r="AM148" t="s">
        <v>466</v>
      </c>
      <c r="AN148" t="s">
        <v>638</v>
      </c>
      <c r="AO148" t="s">
        <v>639</v>
      </c>
      <c r="AP148">
        <v>6</v>
      </c>
      <c r="AQ148" t="s">
        <v>640</v>
      </c>
      <c r="AR148" t="s">
        <v>230</v>
      </c>
      <c r="AS148" t="s">
        <v>26</v>
      </c>
      <c r="AT148" t="s">
        <v>26</v>
      </c>
      <c r="AU148" t="s">
        <v>26</v>
      </c>
      <c r="AV148" t="s">
        <v>266</v>
      </c>
      <c r="AW148">
        <v>199</v>
      </c>
      <c r="AX148" t="s">
        <v>267</v>
      </c>
      <c r="AY148">
        <v>1</v>
      </c>
      <c r="AZ148" t="s">
        <v>268</v>
      </c>
      <c r="BA148" t="s">
        <v>26</v>
      </c>
      <c r="BB148" t="s">
        <v>26</v>
      </c>
      <c r="BC148" t="s">
        <v>178</v>
      </c>
      <c r="BD148" t="s">
        <v>75</v>
      </c>
      <c r="BE148" t="s">
        <v>26</v>
      </c>
      <c r="BF148" t="s">
        <v>26</v>
      </c>
      <c r="BG148" s="146">
        <v>673</v>
      </c>
      <c r="BH148" t="s">
        <v>42</v>
      </c>
      <c r="BI148">
        <v>2.5</v>
      </c>
      <c r="BJ148" t="s">
        <v>200</v>
      </c>
      <c r="BK148" t="s">
        <v>507</v>
      </c>
      <c r="BL148" t="s">
        <v>510</v>
      </c>
      <c r="BM148" t="s">
        <v>513</v>
      </c>
      <c r="BN148">
        <v>29048</v>
      </c>
    </row>
    <row r="149" spans="1:66">
      <c r="A149" s="47">
        <v>506</v>
      </c>
      <c r="B149" s="27">
        <v>29052</v>
      </c>
      <c r="C149" s="27" t="s">
        <v>2168</v>
      </c>
      <c r="E149" s="27" t="s">
        <v>2148</v>
      </c>
      <c r="AC149"/>
      <c r="AD149"/>
      <c r="AE149"/>
      <c r="AF149" s="37" t="str">
        <f t="shared" si="5"/>
        <v>TF_MS_VRE           SGKG102P_B</v>
      </c>
      <c r="AG149" t="s">
        <v>2150</v>
      </c>
      <c r="AH149">
        <v>3</v>
      </c>
      <c r="AI149">
        <v>29052</v>
      </c>
      <c r="AJ149" t="s">
        <v>650</v>
      </c>
      <c r="AK149" t="s">
        <v>26</v>
      </c>
      <c r="AL149" t="s">
        <v>651</v>
      </c>
      <c r="AM149" t="s">
        <v>651</v>
      </c>
      <c r="AN149" t="s">
        <v>652</v>
      </c>
      <c r="AO149" t="s">
        <v>653</v>
      </c>
      <c r="AP149">
        <v>2</v>
      </c>
      <c r="AQ149" t="s">
        <v>654</v>
      </c>
      <c r="AR149" t="s">
        <v>655</v>
      </c>
      <c r="AS149" t="s">
        <v>26</v>
      </c>
      <c r="AT149" t="s">
        <v>26</v>
      </c>
      <c r="AU149" t="s">
        <v>466</v>
      </c>
      <c r="AV149" t="s">
        <v>466</v>
      </c>
      <c r="AW149" t="s">
        <v>467</v>
      </c>
      <c r="AX149" t="s">
        <v>468</v>
      </c>
      <c r="AY149">
        <v>12</v>
      </c>
      <c r="AZ149" t="s">
        <v>469</v>
      </c>
      <c r="BA149" t="s">
        <v>321</v>
      </c>
      <c r="BB149" t="s">
        <v>26</v>
      </c>
      <c r="BC149" t="s">
        <v>656</v>
      </c>
      <c r="BD149" t="s">
        <v>75</v>
      </c>
      <c r="BE149" t="s">
        <v>26</v>
      </c>
      <c r="BF149" t="s">
        <v>26</v>
      </c>
      <c r="BG149" s="146">
        <v>1077</v>
      </c>
      <c r="BH149" t="s">
        <v>433</v>
      </c>
      <c r="BI149">
        <v>0.13</v>
      </c>
      <c r="BJ149" t="s">
        <v>657</v>
      </c>
      <c r="BK149" t="s">
        <v>507</v>
      </c>
      <c r="BL149" t="s">
        <v>510</v>
      </c>
      <c r="BM149" t="s">
        <v>513</v>
      </c>
      <c r="BN149">
        <v>29052</v>
      </c>
    </row>
    <row r="150" spans="1:66">
      <c r="A150" s="47"/>
      <c r="B150" s="27">
        <v>29053</v>
      </c>
      <c r="C150" s="27" t="s">
        <v>2168</v>
      </c>
      <c r="E150" s="27" t="s">
        <v>2148</v>
      </c>
      <c r="F150" s="27" t="s">
        <v>2152</v>
      </c>
      <c r="G150" s="27" t="s">
        <v>600</v>
      </c>
      <c r="K150" s="27" t="s">
        <v>2153</v>
      </c>
      <c r="L150" s="27" t="s">
        <v>2154</v>
      </c>
      <c r="M150" s="27" t="s">
        <v>2148</v>
      </c>
      <c r="AC150"/>
      <c r="AD150"/>
      <c r="AE150"/>
      <c r="AF150" s="37" t="str">
        <f t="shared" si="5"/>
        <v>SP_31SM             TF_MS_VLI</v>
      </c>
      <c r="AG150" t="s">
        <v>2150</v>
      </c>
      <c r="AH150">
        <v>3</v>
      </c>
      <c r="AI150">
        <v>29053</v>
      </c>
      <c r="AJ150" t="s">
        <v>658</v>
      </c>
      <c r="AK150" t="s">
        <v>26</v>
      </c>
      <c r="AL150" t="s">
        <v>26</v>
      </c>
      <c r="AM150" t="s">
        <v>598</v>
      </c>
      <c r="AN150" t="s">
        <v>599</v>
      </c>
      <c r="AO150" t="s">
        <v>600</v>
      </c>
      <c r="AP150">
        <v>1</v>
      </c>
      <c r="AQ150" t="s">
        <v>601</v>
      </c>
      <c r="AR150" t="s">
        <v>26</v>
      </c>
      <c r="AS150" t="s">
        <v>26</v>
      </c>
      <c r="AT150" t="s">
        <v>26</v>
      </c>
      <c r="AU150" t="s">
        <v>659</v>
      </c>
      <c r="AV150" t="s">
        <v>659</v>
      </c>
      <c r="AW150" t="s">
        <v>660</v>
      </c>
      <c r="AX150" t="s">
        <v>661</v>
      </c>
      <c r="AY150">
        <v>1</v>
      </c>
      <c r="AZ150" t="s">
        <v>662</v>
      </c>
      <c r="BA150" t="s">
        <v>655</v>
      </c>
      <c r="BB150" t="s">
        <v>26</v>
      </c>
      <c r="BC150" t="s">
        <v>602</v>
      </c>
      <c r="BD150" t="s">
        <v>75</v>
      </c>
      <c r="BE150" t="s">
        <v>26</v>
      </c>
      <c r="BF150" t="s">
        <v>26</v>
      </c>
      <c r="BG150">
        <v>1460</v>
      </c>
      <c r="BH150" t="s">
        <v>140</v>
      </c>
      <c r="BI150">
        <v>0.13</v>
      </c>
      <c r="BJ150" t="s">
        <v>603</v>
      </c>
      <c r="BK150" t="s">
        <v>507</v>
      </c>
      <c r="BL150" t="s">
        <v>510</v>
      </c>
      <c r="BM150" t="s">
        <v>513</v>
      </c>
      <c r="BN150">
        <v>29053</v>
      </c>
    </row>
    <row r="151" spans="1:66">
      <c r="A151" s="47"/>
      <c r="B151" s="27">
        <v>29054</v>
      </c>
      <c r="C151" s="27" t="s">
        <v>2168</v>
      </c>
      <c r="E151" s="27" t="s">
        <v>2148</v>
      </c>
      <c r="AC151"/>
      <c r="AD151"/>
      <c r="AE151"/>
      <c r="AF151" s="37" t="str">
        <f t="shared" si="5"/>
        <v>TF_MS_VLI           SGKG102P_B</v>
      </c>
      <c r="AG151" t="s">
        <v>2150</v>
      </c>
      <c r="AH151">
        <v>3</v>
      </c>
      <c r="AI151">
        <v>29054</v>
      </c>
      <c r="AJ151" t="s">
        <v>663</v>
      </c>
      <c r="AK151" t="s">
        <v>26</v>
      </c>
      <c r="AL151" t="s">
        <v>659</v>
      </c>
      <c r="AM151" t="s">
        <v>659</v>
      </c>
      <c r="AN151" t="s">
        <v>660</v>
      </c>
      <c r="AO151" t="s">
        <v>661</v>
      </c>
      <c r="AP151">
        <v>2</v>
      </c>
      <c r="AQ151" t="s">
        <v>662</v>
      </c>
      <c r="AR151" t="s">
        <v>655</v>
      </c>
      <c r="AS151" t="s">
        <v>26</v>
      </c>
      <c r="AT151" t="s">
        <v>26</v>
      </c>
      <c r="AU151" t="s">
        <v>466</v>
      </c>
      <c r="AV151" t="s">
        <v>466</v>
      </c>
      <c r="AW151" t="s">
        <v>467</v>
      </c>
      <c r="AX151" t="s">
        <v>468</v>
      </c>
      <c r="AY151">
        <v>11</v>
      </c>
      <c r="AZ151" t="s">
        <v>469</v>
      </c>
      <c r="BA151" t="s">
        <v>321</v>
      </c>
      <c r="BB151" t="s">
        <v>26</v>
      </c>
      <c r="BC151" t="s">
        <v>664</v>
      </c>
      <c r="BD151" t="s">
        <v>75</v>
      </c>
      <c r="BE151" t="s">
        <v>26</v>
      </c>
      <c r="BF151" t="s">
        <v>26</v>
      </c>
      <c r="BG151">
        <v>1866</v>
      </c>
      <c r="BH151" t="s">
        <v>255</v>
      </c>
      <c r="BI151">
        <v>0.13</v>
      </c>
      <c r="BJ151" t="s">
        <v>665</v>
      </c>
      <c r="BK151" t="s">
        <v>507</v>
      </c>
      <c r="BL151" t="s">
        <v>510</v>
      </c>
      <c r="BM151" t="s">
        <v>513</v>
      </c>
      <c r="BN151">
        <v>29054</v>
      </c>
    </row>
    <row r="152" spans="1:66">
      <c r="A152" s="47">
        <v>506</v>
      </c>
      <c r="B152" s="27">
        <v>29055</v>
      </c>
      <c r="C152" s="27" t="s">
        <v>2168</v>
      </c>
      <c r="E152" s="27" t="s">
        <v>2148</v>
      </c>
      <c r="F152" s="27" t="s">
        <v>2152</v>
      </c>
      <c r="G152" s="27" t="s">
        <v>668</v>
      </c>
      <c r="K152" s="27" t="s">
        <v>2153</v>
      </c>
      <c r="L152" s="27" t="s">
        <v>2148</v>
      </c>
      <c r="M152" s="27" t="s">
        <v>2154</v>
      </c>
      <c r="AC152"/>
      <c r="AD152"/>
      <c r="AE152"/>
      <c r="AF152" s="37" t="str">
        <f t="shared" si="5"/>
        <v>TF_MS_VRE           SP_31SM_1</v>
      </c>
      <c r="AG152" t="s">
        <v>2150</v>
      </c>
      <c r="AH152">
        <v>3</v>
      </c>
      <c r="AI152">
        <v>29055</v>
      </c>
      <c r="AJ152" t="s">
        <v>666</v>
      </c>
      <c r="AK152" t="s">
        <v>26</v>
      </c>
      <c r="AL152" t="s">
        <v>651</v>
      </c>
      <c r="AM152" t="s">
        <v>651</v>
      </c>
      <c r="AN152" t="s">
        <v>652</v>
      </c>
      <c r="AO152" t="s">
        <v>653</v>
      </c>
      <c r="AP152">
        <v>1</v>
      </c>
      <c r="AQ152" t="s">
        <v>654</v>
      </c>
      <c r="AR152" t="s">
        <v>655</v>
      </c>
      <c r="AS152" t="s">
        <v>26</v>
      </c>
      <c r="AT152" t="s">
        <v>26</v>
      </c>
      <c r="AU152" t="s">
        <v>26</v>
      </c>
      <c r="AV152" t="s">
        <v>667</v>
      </c>
      <c r="AW152">
        <v>97</v>
      </c>
      <c r="AX152" t="s">
        <v>668</v>
      </c>
      <c r="AY152">
        <v>1</v>
      </c>
      <c r="AZ152" t="s">
        <v>669</v>
      </c>
      <c r="BA152" t="s">
        <v>26</v>
      </c>
      <c r="BB152" t="s">
        <v>26</v>
      </c>
      <c r="BC152" t="s">
        <v>602</v>
      </c>
      <c r="BD152" t="s">
        <v>75</v>
      </c>
      <c r="BE152" t="s">
        <v>26</v>
      </c>
      <c r="BF152" t="s">
        <v>26</v>
      </c>
      <c r="BG152" s="146">
        <v>928</v>
      </c>
      <c r="BH152" t="s">
        <v>140</v>
      </c>
      <c r="BI152">
        <v>0.13</v>
      </c>
      <c r="BJ152" t="s">
        <v>603</v>
      </c>
      <c r="BK152" t="s">
        <v>507</v>
      </c>
      <c r="BL152" t="s">
        <v>510</v>
      </c>
      <c r="BM152" t="s">
        <v>513</v>
      </c>
      <c r="BN152">
        <v>29055</v>
      </c>
    </row>
    <row r="153" spans="1:66">
      <c r="A153" s="47"/>
      <c r="B153" s="27">
        <v>29063</v>
      </c>
      <c r="C153" s="27" t="s">
        <v>2168</v>
      </c>
      <c r="E153" s="27" t="s">
        <v>2148</v>
      </c>
      <c r="L153" s="27" t="s">
        <v>2149</v>
      </c>
      <c r="M153" s="27" t="s">
        <v>2149</v>
      </c>
      <c r="X153" s="185" t="s">
        <v>2383</v>
      </c>
      <c r="AC153"/>
      <c r="AD153"/>
      <c r="AE153" t="s">
        <v>2169</v>
      </c>
      <c r="AF153" s="37" t="str">
        <f t="shared" si="5"/>
        <v>EMI2P_A             LIO3P_B</v>
      </c>
      <c r="AG153" t="s">
        <v>2150</v>
      </c>
      <c r="AH153">
        <v>3</v>
      </c>
      <c r="AI153">
        <v>29063</v>
      </c>
      <c r="AJ153" t="s">
        <v>670</v>
      </c>
      <c r="AK153" t="s">
        <v>26</v>
      </c>
      <c r="AL153" t="s">
        <v>671</v>
      </c>
      <c r="AM153" t="s">
        <v>671</v>
      </c>
      <c r="AN153" t="s">
        <v>672</v>
      </c>
      <c r="AO153" t="s">
        <v>673</v>
      </c>
      <c r="AP153">
        <v>1</v>
      </c>
      <c r="AQ153" t="s">
        <v>578</v>
      </c>
      <c r="AR153" t="s">
        <v>26</v>
      </c>
      <c r="AS153" t="s">
        <v>26</v>
      </c>
      <c r="AT153" t="s">
        <v>26</v>
      </c>
      <c r="AU153" t="s">
        <v>575</v>
      </c>
      <c r="AV153" t="s">
        <v>575</v>
      </c>
      <c r="AW153" t="s">
        <v>674</v>
      </c>
      <c r="AX153" t="s">
        <v>675</v>
      </c>
      <c r="AY153">
        <v>1</v>
      </c>
      <c r="AZ153" t="s">
        <v>676</v>
      </c>
      <c r="BA153" t="s">
        <v>26</v>
      </c>
      <c r="BB153" t="s">
        <v>26</v>
      </c>
      <c r="BC153" t="s">
        <v>677</v>
      </c>
      <c r="BD153" t="s">
        <v>75</v>
      </c>
      <c r="BE153" t="s">
        <v>26</v>
      </c>
      <c r="BF153" t="s">
        <v>26</v>
      </c>
      <c r="BG153">
        <v>551</v>
      </c>
      <c r="BH153" t="s">
        <v>255</v>
      </c>
      <c r="BI153">
        <v>0.5</v>
      </c>
      <c r="BJ153" t="s">
        <v>678</v>
      </c>
      <c r="BK153" t="s">
        <v>507</v>
      </c>
      <c r="BL153" t="s">
        <v>26</v>
      </c>
      <c r="BM153" t="s">
        <v>513</v>
      </c>
      <c r="BN153">
        <v>29063</v>
      </c>
    </row>
    <row r="154" spans="1:66">
      <c r="A154" s="47"/>
      <c r="B154" s="27">
        <v>29064</v>
      </c>
      <c r="C154" s="27" t="s">
        <v>2168</v>
      </c>
      <c r="E154" s="27" t="s">
        <v>2148</v>
      </c>
      <c r="L154" s="27" t="s">
        <v>2149</v>
      </c>
      <c r="M154" s="27" t="s">
        <v>2149</v>
      </c>
      <c r="X154" s="185" t="s">
        <v>2383</v>
      </c>
      <c r="AC154"/>
      <c r="AD154"/>
      <c r="AE154" t="s">
        <v>2169</v>
      </c>
      <c r="AF154" s="37" t="str">
        <f t="shared" si="5"/>
        <v>EMI2P_B             LIO3P_C</v>
      </c>
      <c r="AG154" t="s">
        <v>2150</v>
      </c>
      <c r="AH154">
        <v>3</v>
      </c>
      <c r="AI154">
        <v>29064</v>
      </c>
      <c r="AJ154" t="s">
        <v>679</v>
      </c>
      <c r="AK154" t="s">
        <v>26</v>
      </c>
      <c r="AL154" t="s">
        <v>671</v>
      </c>
      <c r="AM154" t="s">
        <v>671</v>
      </c>
      <c r="AN154" t="s">
        <v>680</v>
      </c>
      <c r="AO154" t="s">
        <v>681</v>
      </c>
      <c r="AP154">
        <v>2</v>
      </c>
      <c r="AQ154" t="s">
        <v>601</v>
      </c>
      <c r="AR154" t="s">
        <v>26</v>
      </c>
      <c r="AS154" t="s">
        <v>26</v>
      </c>
      <c r="AT154" t="s">
        <v>26</v>
      </c>
      <c r="AU154" t="s">
        <v>575</v>
      </c>
      <c r="AV154" t="s">
        <v>575</v>
      </c>
      <c r="AW154" t="s">
        <v>682</v>
      </c>
      <c r="AX154" t="s">
        <v>683</v>
      </c>
      <c r="AY154">
        <v>1</v>
      </c>
      <c r="AZ154" t="s">
        <v>684</v>
      </c>
      <c r="BA154" t="s">
        <v>26</v>
      </c>
      <c r="BB154" t="s">
        <v>26</v>
      </c>
      <c r="BC154" t="s">
        <v>677</v>
      </c>
      <c r="BD154" t="s">
        <v>75</v>
      </c>
      <c r="BE154" t="s">
        <v>26</v>
      </c>
      <c r="BF154" t="s">
        <v>26</v>
      </c>
      <c r="BG154">
        <v>720</v>
      </c>
      <c r="BH154" t="s">
        <v>42</v>
      </c>
      <c r="BI154">
        <v>0.5</v>
      </c>
      <c r="BJ154" t="s">
        <v>685</v>
      </c>
      <c r="BK154" t="s">
        <v>507</v>
      </c>
      <c r="BL154" t="s">
        <v>26</v>
      </c>
      <c r="BM154" t="s">
        <v>513</v>
      </c>
      <c r="BN154">
        <v>29064</v>
      </c>
    </row>
    <row r="155" spans="1:66">
      <c r="A155" s="47"/>
      <c r="B155" s="27">
        <v>29065</v>
      </c>
      <c r="C155" s="27" t="s">
        <v>2168</v>
      </c>
      <c r="E155" s="27" t="s">
        <v>2148</v>
      </c>
      <c r="L155" s="27" t="s">
        <v>2149</v>
      </c>
      <c r="M155" s="27" t="s">
        <v>2149</v>
      </c>
      <c r="X155" s="185" t="s">
        <v>2383</v>
      </c>
      <c r="AC155"/>
      <c r="AD155"/>
      <c r="AE155" t="s">
        <v>2169</v>
      </c>
      <c r="AF155" s="37" t="str">
        <f t="shared" si="5"/>
        <v>EMI2P_B             LIO3P_B</v>
      </c>
      <c r="AG155" t="s">
        <v>2150</v>
      </c>
      <c r="AH155">
        <v>3</v>
      </c>
      <c r="AI155">
        <v>29065</v>
      </c>
      <c r="AJ155" t="s">
        <v>686</v>
      </c>
      <c r="AK155" t="s">
        <v>26</v>
      </c>
      <c r="AL155" t="s">
        <v>671</v>
      </c>
      <c r="AM155" t="s">
        <v>671</v>
      </c>
      <c r="AN155" t="s">
        <v>680</v>
      </c>
      <c r="AO155" t="s">
        <v>681</v>
      </c>
      <c r="AP155">
        <v>1</v>
      </c>
      <c r="AQ155" t="s">
        <v>601</v>
      </c>
      <c r="AR155" t="s">
        <v>26</v>
      </c>
      <c r="AS155" t="s">
        <v>26</v>
      </c>
      <c r="AT155" t="s">
        <v>26</v>
      </c>
      <c r="AU155" t="s">
        <v>575</v>
      </c>
      <c r="AV155" t="s">
        <v>575</v>
      </c>
      <c r="AW155" t="s">
        <v>674</v>
      </c>
      <c r="AX155" t="s">
        <v>675</v>
      </c>
      <c r="AY155">
        <v>4</v>
      </c>
      <c r="AZ155" t="s">
        <v>676</v>
      </c>
      <c r="BA155" t="s">
        <v>26</v>
      </c>
      <c r="BB155" t="s">
        <v>26</v>
      </c>
      <c r="BC155" t="s">
        <v>677</v>
      </c>
      <c r="BD155" t="s">
        <v>75</v>
      </c>
      <c r="BE155" t="s">
        <v>26</v>
      </c>
      <c r="BF155" t="s">
        <v>26</v>
      </c>
      <c r="BG155">
        <v>751</v>
      </c>
      <c r="BH155" t="s">
        <v>46</v>
      </c>
      <c r="BI155">
        <v>0.5</v>
      </c>
      <c r="BJ155" t="s">
        <v>687</v>
      </c>
      <c r="BK155" t="s">
        <v>507</v>
      </c>
      <c r="BL155" t="s">
        <v>26</v>
      </c>
      <c r="BM155" t="s">
        <v>513</v>
      </c>
      <c r="BN155">
        <v>29065</v>
      </c>
    </row>
    <row r="156" spans="1:66">
      <c r="A156" s="47"/>
      <c r="B156" s="27">
        <v>29066</v>
      </c>
      <c r="C156" s="27" t="s">
        <v>2168</v>
      </c>
      <c r="E156" s="27" t="s">
        <v>2148</v>
      </c>
      <c r="L156" s="27" t="s">
        <v>2149</v>
      </c>
      <c r="M156" s="27" t="s">
        <v>2149</v>
      </c>
      <c r="X156" s="185" t="s">
        <v>2383</v>
      </c>
      <c r="AC156"/>
      <c r="AD156"/>
      <c r="AE156" t="s">
        <v>2169</v>
      </c>
      <c r="AF156" s="37" t="str">
        <f t="shared" si="5"/>
        <v>EMI2P_A             LIO3P_C</v>
      </c>
      <c r="AG156" t="s">
        <v>2150</v>
      </c>
      <c r="AH156">
        <v>3</v>
      </c>
      <c r="AI156">
        <v>29066</v>
      </c>
      <c r="AJ156" t="s">
        <v>688</v>
      </c>
      <c r="AK156" t="s">
        <v>26</v>
      </c>
      <c r="AL156" t="s">
        <v>671</v>
      </c>
      <c r="AM156" t="s">
        <v>671</v>
      </c>
      <c r="AN156" t="s">
        <v>672</v>
      </c>
      <c r="AO156" t="s">
        <v>673</v>
      </c>
      <c r="AP156">
        <v>2</v>
      </c>
      <c r="AQ156" t="s">
        <v>578</v>
      </c>
      <c r="AR156" t="s">
        <v>26</v>
      </c>
      <c r="AS156" t="s">
        <v>26</v>
      </c>
      <c r="AT156" t="s">
        <v>26</v>
      </c>
      <c r="AU156" t="s">
        <v>575</v>
      </c>
      <c r="AV156" t="s">
        <v>575</v>
      </c>
      <c r="AW156" t="s">
        <v>682</v>
      </c>
      <c r="AX156" t="s">
        <v>683</v>
      </c>
      <c r="AY156">
        <v>4</v>
      </c>
      <c r="AZ156" t="s">
        <v>684</v>
      </c>
      <c r="BA156" t="s">
        <v>26</v>
      </c>
      <c r="BB156" t="s">
        <v>26</v>
      </c>
      <c r="BC156" t="s">
        <v>677</v>
      </c>
      <c r="BD156" t="s">
        <v>75</v>
      </c>
      <c r="BE156" t="s">
        <v>26</v>
      </c>
      <c r="BF156" t="s">
        <v>26</v>
      </c>
      <c r="BG156">
        <v>520</v>
      </c>
      <c r="BH156" t="s">
        <v>161</v>
      </c>
      <c r="BI156">
        <v>0.5</v>
      </c>
      <c r="BJ156" t="s">
        <v>689</v>
      </c>
      <c r="BK156" t="s">
        <v>507</v>
      </c>
      <c r="BL156" t="s">
        <v>26</v>
      </c>
      <c r="BM156" t="s">
        <v>513</v>
      </c>
      <c r="BN156">
        <v>29066</v>
      </c>
    </row>
    <row r="157" spans="1:66">
      <c r="A157" s="47"/>
      <c r="B157" s="27">
        <v>29067</v>
      </c>
      <c r="C157" s="27" t="s">
        <v>2168</v>
      </c>
      <c r="E157" s="27" t="s">
        <v>2148</v>
      </c>
      <c r="F157" s="27" t="s">
        <v>2152</v>
      </c>
      <c r="G157" s="27" t="s">
        <v>534</v>
      </c>
      <c r="K157" s="27" t="s">
        <v>2153</v>
      </c>
      <c r="L157" s="27" t="s">
        <v>2154</v>
      </c>
      <c r="M157" s="27" t="s">
        <v>2148</v>
      </c>
      <c r="AC157"/>
      <c r="AD157"/>
      <c r="AE157"/>
      <c r="AF157" s="37" t="str">
        <f t="shared" si="5"/>
        <v>SP_AC31             SGKG102P_B</v>
      </c>
      <c r="AG157" t="s">
        <v>2150</v>
      </c>
      <c r="AH157">
        <v>3</v>
      </c>
      <c r="AI157">
        <v>29067</v>
      </c>
      <c r="AJ157" t="s">
        <v>690</v>
      </c>
      <c r="AK157" t="s">
        <v>26</v>
      </c>
      <c r="AL157" t="s">
        <v>26</v>
      </c>
      <c r="AM157" t="s">
        <v>533</v>
      </c>
      <c r="AN157">
        <v>170</v>
      </c>
      <c r="AO157" t="s">
        <v>534</v>
      </c>
      <c r="AP157">
        <v>1</v>
      </c>
      <c r="AQ157" t="s">
        <v>198</v>
      </c>
      <c r="AR157" t="s">
        <v>26</v>
      </c>
      <c r="AS157" t="s">
        <v>26</v>
      </c>
      <c r="AT157" t="s">
        <v>26</v>
      </c>
      <c r="AU157" t="s">
        <v>466</v>
      </c>
      <c r="AV157" t="s">
        <v>466</v>
      </c>
      <c r="AW157" t="s">
        <v>467</v>
      </c>
      <c r="AX157" t="s">
        <v>468</v>
      </c>
      <c r="AY157">
        <v>20</v>
      </c>
      <c r="AZ157" t="s">
        <v>469</v>
      </c>
      <c r="BA157" t="s">
        <v>111</v>
      </c>
      <c r="BB157" t="s">
        <v>26</v>
      </c>
      <c r="BC157" t="s">
        <v>280</v>
      </c>
      <c r="BD157" t="s">
        <v>75</v>
      </c>
      <c r="BE157" t="s">
        <v>26</v>
      </c>
      <c r="BF157" t="s">
        <v>26</v>
      </c>
      <c r="BG157">
        <v>626</v>
      </c>
      <c r="BH157" t="s">
        <v>42</v>
      </c>
      <c r="BI157">
        <v>0.5</v>
      </c>
      <c r="BJ157" t="s">
        <v>535</v>
      </c>
      <c r="BK157" t="s">
        <v>507</v>
      </c>
      <c r="BL157" t="s">
        <v>510</v>
      </c>
      <c r="BM157" t="s">
        <v>513</v>
      </c>
      <c r="BN157">
        <v>29067</v>
      </c>
    </row>
    <row r="158" spans="1:66">
      <c r="A158" s="47">
        <v>506</v>
      </c>
      <c r="B158" s="27">
        <v>29099</v>
      </c>
      <c r="C158" s="27" t="s">
        <v>2168</v>
      </c>
      <c r="E158" s="27" t="s">
        <v>2148</v>
      </c>
      <c r="F158" s="27" t="s">
        <v>2152</v>
      </c>
      <c r="G158" s="27" t="s">
        <v>646</v>
      </c>
      <c r="K158" s="27" t="s">
        <v>2153</v>
      </c>
      <c r="L158" s="27" t="s">
        <v>2148</v>
      </c>
      <c r="M158" s="27" t="s">
        <v>2154</v>
      </c>
      <c r="AC158"/>
      <c r="AD158"/>
      <c r="AE158"/>
      <c r="AF158" s="37" t="str">
        <f t="shared" si="5"/>
        <v>FSS03A              SP_15AS</v>
      </c>
      <c r="AG158" t="s">
        <v>2150</v>
      </c>
      <c r="AH158">
        <v>3</v>
      </c>
      <c r="AI158">
        <v>29099</v>
      </c>
      <c r="AJ158" t="s">
        <v>691</v>
      </c>
      <c r="AK158" t="s">
        <v>26</v>
      </c>
      <c r="AL158" t="s">
        <v>692</v>
      </c>
      <c r="AM158" t="s">
        <v>692</v>
      </c>
      <c r="AN158" t="s">
        <v>693</v>
      </c>
      <c r="AO158" t="s">
        <v>694</v>
      </c>
      <c r="AP158">
        <v>1</v>
      </c>
      <c r="AQ158" t="s">
        <v>695</v>
      </c>
      <c r="AR158" t="s">
        <v>243</v>
      </c>
      <c r="AS158" t="s">
        <v>26</v>
      </c>
      <c r="AT158" t="s">
        <v>26</v>
      </c>
      <c r="AU158" t="s">
        <v>26</v>
      </c>
      <c r="AV158" t="s">
        <v>644</v>
      </c>
      <c r="AW158" t="s">
        <v>645</v>
      </c>
      <c r="AX158" t="s">
        <v>646</v>
      </c>
      <c r="AY158">
        <v>1</v>
      </c>
      <c r="AZ158" t="s">
        <v>268</v>
      </c>
      <c r="BA158" t="s">
        <v>26</v>
      </c>
      <c r="BB158" t="s">
        <v>26</v>
      </c>
      <c r="BC158" t="s">
        <v>647</v>
      </c>
      <c r="BD158" t="s">
        <v>75</v>
      </c>
      <c r="BE158" t="s">
        <v>26</v>
      </c>
      <c r="BF158" t="s">
        <v>26</v>
      </c>
      <c r="BG158" s="146">
        <v>1893</v>
      </c>
      <c r="BH158" t="s">
        <v>539</v>
      </c>
      <c r="BI158">
        <v>0.35</v>
      </c>
      <c r="BJ158" t="s">
        <v>648</v>
      </c>
      <c r="BK158" t="s">
        <v>507</v>
      </c>
      <c r="BL158" t="s">
        <v>26</v>
      </c>
      <c r="BM158" t="s">
        <v>26</v>
      </c>
      <c r="BN158">
        <v>29099</v>
      </c>
    </row>
    <row r="159" spans="1:66">
      <c r="A159" s="47"/>
      <c r="B159" s="27">
        <v>29100</v>
      </c>
      <c r="C159" s="27" t="s">
        <v>2168</v>
      </c>
      <c r="E159" s="27" t="s">
        <v>2148</v>
      </c>
      <c r="F159" s="27" t="s">
        <v>2152</v>
      </c>
      <c r="G159" s="27" t="s">
        <v>526</v>
      </c>
      <c r="K159" s="27" t="s">
        <v>2153</v>
      </c>
      <c r="L159" s="27" t="s">
        <v>2148</v>
      </c>
      <c r="M159" s="27" t="s">
        <v>2154</v>
      </c>
      <c r="AC159"/>
      <c r="AD159"/>
      <c r="AE159"/>
      <c r="AF159" s="37" t="str">
        <f t="shared" si="5"/>
        <v>FSS03A              SP_ACLIN2</v>
      </c>
      <c r="AG159" t="s">
        <v>2150</v>
      </c>
      <c r="AH159">
        <v>3</v>
      </c>
      <c r="AI159">
        <v>29100</v>
      </c>
      <c r="AJ159" t="s">
        <v>696</v>
      </c>
      <c r="AK159" t="s">
        <v>26</v>
      </c>
      <c r="AL159" t="s">
        <v>692</v>
      </c>
      <c r="AM159" t="s">
        <v>692</v>
      </c>
      <c r="AN159" t="s">
        <v>693</v>
      </c>
      <c r="AO159" t="s">
        <v>694</v>
      </c>
      <c r="AP159">
        <v>2</v>
      </c>
      <c r="AQ159" t="s">
        <v>695</v>
      </c>
      <c r="AR159" t="s">
        <v>321</v>
      </c>
      <c r="AS159" t="s">
        <v>26</v>
      </c>
      <c r="AT159" t="s">
        <v>26</v>
      </c>
      <c r="AU159" t="s">
        <v>26</v>
      </c>
      <c r="AV159" t="s">
        <v>524</v>
      </c>
      <c r="AW159" t="s">
        <v>525</v>
      </c>
      <c r="AX159" t="s">
        <v>526</v>
      </c>
      <c r="AY159">
        <v>1</v>
      </c>
      <c r="AZ159" t="s">
        <v>527</v>
      </c>
      <c r="BA159" t="s">
        <v>26</v>
      </c>
      <c r="BB159" t="s">
        <v>26</v>
      </c>
      <c r="BC159" t="s">
        <v>215</v>
      </c>
      <c r="BD159" t="s">
        <v>75</v>
      </c>
      <c r="BE159" t="s">
        <v>26</v>
      </c>
      <c r="BF159" t="s">
        <v>26</v>
      </c>
      <c r="BG159">
        <v>1231</v>
      </c>
      <c r="BH159" t="s">
        <v>216</v>
      </c>
      <c r="BI159">
        <v>0.13</v>
      </c>
      <c r="BJ159" t="s">
        <v>528</v>
      </c>
      <c r="BK159" t="s">
        <v>507</v>
      </c>
      <c r="BL159" t="s">
        <v>26</v>
      </c>
      <c r="BM159" t="s">
        <v>26</v>
      </c>
      <c r="BN159">
        <v>29100</v>
      </c>
    </row>
    <row r="160" spans="1:66">
      <c r="A160" s="47"/>
      <c r="B160" s="27">
        <v>29102</v>
      </c>
      <c r="C160" s="27" t="s">
        <v>2168</v>
      </c>
      <c r="E160" s="27" t="s">
        <v>2148</v>
      </c>
      <c r="F160" s="27" t="s">
        <v>2152</v>
      </c>
      <c r="G160" s="27" t="s">
        <v>646</v>
      </c>
      <c r="K160" s="27" t="s">
        <v>2153</v>
      </c>
      <c r="L160" s="27" t="s">
        <v>2154</v>
      </c>
      <c r="M160" s="27" t="s">
        <v>2148</v>
      </c>
      <c r="AC160"/>
      <c r="AD160"/>
      <c r="AE160"/>
      <c r="AF160" s="37" t="str">
        <f t="shared" si="5"/>
        <v>SP_15AS             KS_CPR_A</v>
      </c>
      <c r="AG160" t="s">
        <v>2150</v>
      </c>
      <c r="AH160">
        <v>3</v>
      </c>
      <c r="AI160">
        <v>29102</v>
      </c>
      <c r="AJ160" t="s">
        <v>697</v>
      </c>
      <c r="AK160" t="s">
        <v>26</v>
      </c>
      <c r="AL160" t="s">
        <v>26</v>
      </c>
      <c r="AM160" t="s">
        <v>644</v>
      </c>
      <c r="AN160" t="s">
        <v>645</v>
      </c>
      <c r="AO160" t="s">
        <v>646</v>
      </c>
      <c r="AP160">
        <v>1</v>
      </c>
      <c r="AQ160" t="s">
        <v>268</v>
      </c>
      <c r="AR160" t="s">
        <v>26</v>
      </c>
      <c r="AS160" t="s">
        <v>26</v>
      </c>
      <c r="AT160" t="s">
        <v>26</v>
      </c>
      <c r="AU160" t="s">
        <v>131</v>
      </c>
      <c r="AV160" t="s">
        <v>131</v>
      </c>
      <c r="AW160" t="s">
        <v>164</v>
      </c>
      <c r="AX160" t="s">
        <v>165</v>
      </c>
      <c r="AY160">
        <v>3</v>
      </c>
      <c r="AZ160" t="s">
        <v>166</v>
      </c>
      <c r="BA160" t="s">
        <v>68</v>
      </c>
      <c r="BB160" t="s">
        <v>26</v>
      </c>
      <c r="BC160" t="s">
        <v>647</v>
      </c>
      <c r="BD160" t="s">
        <v>75</v>
      </c>
      <c r="BE160" t="s">
        <v>26</v>
      </c>
      <c r="BF160" t="s">
        <v>26</v>
      </c>
      <c r="BG160">
        <v>527</v>
      </c>
      <c r="BH160" t="s">
        <v>539</v>
      </c>
      <c r="BI160">
        <v>0.35</v>
      </c>
      <c r="BJ160" t="s">
        <v>648</v>
      </c>
      <c r="BK160" t="s">
        <v>507</v>
      </c>
      <c r="BL160" t="s">
        <v>26</v>
      </c>
      <c r="BM160" t="s">
        <v>513</v>
      </c>
      <c r="BN160">
        <v>29102</v>
      </c>
    </row>
    <row r="161" spans="1:66">
      <c r="A161" s="47"/>
      <c r="B161" s="27">
        <v>29103</v>
      </c>
      <c r="C161" s="27" t="s">
        <v>2168</v>
      </c>
      <c r="E161" s="27" t="s">
        <v>2148</v>
      </c>
      <c r="F161" s="27" t="s">
        <v>2156</v>
      </c>
      <c r="G161" s="27" t="s">
        <v>373</v>
      </c>
      <c r="K161" s="27" t="s">
        <v>2158</v>
      </c>
      <c r="L161" s="27" t="s">
        <v>2154</v>
      </c>
      <c r="M161" s="27" t="s">
        <v>2148</v>
      </c>
      <c r="AC161"/>
      <c r="AD161"/>
      <c r="AE161"/>
      <c r="AF161" s="37" t="str">
        <f t="shared" si="5"/>
        <v>SP_MB31_B3          FSS03A</v>
      </c>
      <c r="AG161" t="s">
        <v>2150</v>
      </c>
      <c r="AH161">
        <v>3</v>
      </c>
      <c r="AI161">
        <v>29103</v>
      </c>
      <c r="AJ161" t="s">
        <v>698</v>
      </c>
      <c r="AK161" t="s">
        <v>26</v>
      </c>
      <c r="AL161" t="s">
        <v>26</v>
      </c>
      <c r="AM161" t="s">
        <v>372</v>
      </c>
      <c r="AN161">
        <v>821</v>
      </c>
      <c r="AO161" t="s">
        <v>373</v>
      </c>
      <c r="AP161">
        <v>1</v>
      </c>
      <c r="AQ161" t="s">
        <v>374</v>
      </c>
      <c r="AR161" t="s">
        <v>26</v>
      </c>
      <c r="AS161" t="s">
        <v>26</v>
      </c>
      <c r="AT161" t="s">
        <v>26</v>
      </c>
      <c r="AU161" t="s">
        <v>692</v>
      </c>
      <c r="AV161" t="s">
        <v>692</v>
      </c>
      <c r="AW161" t="s">
        <v>693</v>
      </c>
      <c r="AX161" t="s">
        <v>694</v>
      </c>
      <c r="AY161">
        <v>3</v>
      </c>
      <c r="AZ161" t="s">
        <v>695</v>
      </c>
      <c r="BA161" t="s">
        <v>243</v>
      </c>
      <c r="BB161" t="s">
        <v>26</v>
      </c>
      <c r="BC161" t="s">
        <v>312</v>
      </c>
      <c r="BD161" t="s">
        <v>75</v>
      </c>
      <c r="BE161" t="s">
        <v>26</v>
      </c>
      <c r="BF161" t="s">
        <v>26</v>
      </c>
      <c r="BG161">
        <v>797</v>
      </c>
      <c r="BH161" t="s">
        <v>42</v>
      </c>
      <c r="BI161">
        <v>0.35</v>
      </c>
      <c r="BJ161" t="s">
        <v>264</v>
      </c>
      <c r="BK161" t="s">
        <v>507</v>
      </c>
      <c r="BL161" t="s">
        <v>26</v>
      </c>
      <c r="BM161" t="s">
        <v>26</v>
      </c>
      <c r="BN161">
        <v>29103</v>
      </c>
    </row>
    <row r="162" spans="1:66">
      <c r="A162" s="47"/>
      <c r="B162" s="27">
        <v>29108</v>
      </c>
      <c r="C162" s="27" t="s">
        <v>2168</v>
      </c>
      <c r="E162" s="27" t="s">
        <v>2148</v>
      </c>
      <c r="F162" s="27" t="s">
        <v>2152</v>
      </c>
      <c r="G162" s="27" t="s">
        <v>600</v>
      </c>
      <c r="K162" s="27" t="s">
        <v>2153</v>
      </c>
      <c r="L162" s="27" t="s">
        <v>2148</v>
      </c>
      <c r="M162" s="27" t="s">
        <v>2154</v>
      </c>
      <c r="AC162"/>
      <c r="AD162"/>
      <c r="AE162"/>
      <c r="AF162" s="37" t="str">
        <f t="shared" si="5"/>
        <v>ASS_LI              SP_31SM</v>
      </c>
      <c r="AG162" t="s">
        <v>2150</v>
      </c>
      <c r="AH162">
        <v>3</v>
      </c>
      <c r="AI162">
        <v>29108</v>
      </c>
      <c r="AJ162" t="s">
        <v>699</v>
      </c>
      <c r="AK162" t="s">
        <v>26</v>
      </c>
      <c r="AL162" t="s">
        <v>700</v>
      </c>
      <c r="AM162" t="s">
        <v>700</v>
      </c>
      <c r="AN162" t="s">
        <v>701</v>
      </c>
      <c r="AO162" t="s">
        <v>702</v>
      </c>
      <c r="AP162">
        <v>2</v>
      </c>
      <c r="AQ162" t="s">
        <v>703</v>
      </c>
      <c r="AR162" t="s">
        <v>243</v>
      </c>
      <c r="AS162" t="s">
        <v>26</v>
      </c>
      <c r="AT162" t="s">
        <v>26</v>
      </c>
      <c r="AU162" t="s">
        <v>26</v>
      </c>
      <c r="AV162" t="s">
        <v>598</v>
      </c>
      <c r="AW162" t="s">
        <v>599</v>
      </c>
      <c r="AX162" t="s">
        <v>600</v>
      </c>
      <c r="AY162">
        <v>1</v>
      </c>
      <c r="AZ162" t="s">
        <v>601</v>
      </c>
      <c r="BA162" t="s">
        <v>26</v>
      </c>
      <c r="BB162" t="s">
        <v>26</v>
      </c>
      <c r="BC162" t="s">
        <v>704</v>
      </c>
      <c r="BD162" t="s">
        <v>75</v>
      </c>
      <c r="BE162" t="s">
        <v>26</v>
      </c>
      <c r="BF162" t="s">
        <v>26</v>
      </c>
      <c r="BG162">
        <v>1385</v>
      </c>
      <c r="BH162" t="s">
        <v>140</v>
      </c>
      <c r="BI162">
        <v>0.35</v>
      </c>
      <c r="BJ162" t="s">
        <v>603</v>
      </c>
      <c r="BK162" t="s">
        <v>507</v>
      </c>
      <c r="BL162" t="s">
        <v>510</v>
      </c>
      <c r="BM162" t="s">
        <v>513</v>
      </c>
      <c r="BN162">
        <v>29108</v>
      </c>
    </row>
    <row r="163" spans="1:66">
      <c r="A163" s="47">
        <v>506</v>
      </c>
      <c r="B163" s="27">
        <v>29109</v>
      </c>
      <c r="C163" s="27" t="s">
        <v>2168</v>
      </c>
      <c r="E163" s="27" t="s">
        <v>2148</v>
      </c>
      <c r="F163" s="27" t="s">
        <v>2152</v>
      </c>
      <c r="G163" s="27" t="s">
        <v>668</v>
      </c>
      <c r="K163" s="27" t="s">
        <v>2153</v>
      </c>
      <c r="L163" s="27" t="s">
        <v>2154</v>
      </c>
      <c r="M163" s="27" t="s">
        <v>2148</v>
      </c>
      <c r="AC163"/>
      <c r="AD163"/>
      <c r="AE163"/>
      <c r="AF163" s="37" t="str">
        <f t="shared" si="5"/>
        <v>SP_31SM_1           ASS_RE</v>
      </c>
      <c r="AG163" t="s">
        <v>2150</v>
      </c>
      <c r="AH163">
        <v>3</v>
      </c>
      <c r="AI163">
        <v>29109</v>
      </c>
      <c r="AJ163" t="s">
        <v>705</v>
      </c>
      <c r="AK163" t="s">
        <v>26</v>
      </c>
      <c r="AL163" t="s">
        <v>26</v>
      </c>
      <c r="AM163" t="s">
        <v>667</v>
      </c>
      <c r="AN163">
        <v>97</v>
      </c>
      <c r="AO163" t="s">
        <v>668</v>
      </c>
      <c r="AP163">
        <v>1</v>
      </c>
      <c r="AQ163" t="s">
        <v>669</v>
      </c>
      <c r="AR163" t="s">
        <v>26</v>
      </c>
      <c r="AS163" t="s">
        <v>26</v>
      </c>
      <c r="AT163" t="s">
        <v>26</v>
      </c>
      <c r="AU163" t="s">
        <v>706</v>
      </c>
      <c r="AV163" t="s">
        <v>706</v>
      </c>
      <c r="AW163" t="s">
        <v>707</v>
      </c>
      <c r="AX163" t="s">
        <v>708</v>
      </c>
      <c r="AY163">
        <v>2</v>
      </c>
      <c r="AZ163" t="s">
        <v>709</v>
      </c>
      <c r="BA163" t="s">
        <v>243</v>
      </c>
      <c r="BB163" t="s">
        <v>26</v>
      </c>
      <c r="BC163" t="s">
        <v>704</v>
      </c>
      <c r="BD163" t="s">
        <v>75</v>
      </c>
      <c r="BE163" t="s">
        <v>26</v>
      </c>
      <c r="BF163" t="s">
        <v>26</v>
      </c>
      <c r="BG163" s="146">
        <v>928</v>
      </c>
      <c r="BH163" t="s">
        <v>140</v>
      </c>
      <c r="BI163">
        <v>0.35</v>
      </c>
      <c r="BJ163" t="s">
        <v>603</v>
      </c>
      <c r="BK163" t="s">
        <v>507</v>
      </c>
      <c r="BL163" t="s">
        <v>510</v>
      </c>
      <c r="BM163" t="s">
        <v>513</v>
      </c>
      <c r="BN163">
        <v>29109</v>
      </c>
    </row>
    <row r="164" spans="1:66">
      <c r="A164" s="160">
        <v>502</v>
      </c>
      <c r="B164" s="27">
        <v>29110</v>
      </c>
      <c r="C164" s="27" t="s">
        <v>2168</v>
      </c>
      <c r="E164" s="27" t="s">
        <v>2148</v>
      </c>
      <c r="F164" s="27" t="s">
        <v>2152</v>
      </c>
      <c r="G164" s="27" t="s">
        <v>600</v>
      </c>
      <c r="K164" s="27" t="s">
        <v>2153</v>
      </c>
      <c r="L164" s="27" t="s">
        <v>2148</v>
      </c>
      <c r="M164" s="27" t="s">
        <v>2154</v>
      </c>
      <c r="AC164"/>
      <c r="AD164"/>
      <c r="AE164"/>
      <c r="AF164" s="37" t="str">
        <f t="shared" si="5"/>
        <v>ASM                 SP_31SM</v>
      </c>
      <c r="AG164" t="s">
        <v>2150</v>
      </c>
      <c r="AH164">
        <v>3</v>
      </c>
      <c r="AI164">
        <v>29110</v>
      </c>
      <c r="AJ164" t="s">
        <v>710</v>
      </c>
      <c r="AK164" t="s">
        <v>26</v>
      </c>
      <c r="AL164" t="s">
        <v>711</v>
      </c>
      <c r="AM164" t="s">
        <v>711</v>
      </c>
      <c r="AN164" t="s">
        <v>712</v>
      </c>
      <c r="AO164" t="s">
        <v>713</v>
      </c>
      <c r="AP164">
        <v>2</v>
      </c>
      <c r="AQ164" t="s">
        <v>714</v>
      </c>
      <c r="AR164" t="s">
        <v>243</v>
      </c>
      <c r="AS164" t="s">
        <v>26</v>
      </c>
      <c r="AT164" t="s">
        <v>26</v>
      </c>
      <c r="AU164" t="s">
        <v>26</v>
      </c>
      <c r="AV164" t="s">
        <v>598</v>
      </c>
      <c r="AW164" t="s">
        <v>599</v>
      </c>
      <c r="AX164" t="s">
        <v>600</v>
      </c>
      <c r="AY164">
        <v>1</v>
      </c>
      <c r="AZ164" t="s">
        <v>601</v>
      </c>
      <c r="BA164" t="s">
        <v>26</v>
      </c>
      <c r="BB164" t="s">
        <v>26</v>
      </c>
      <c r="BC164" t="s">
        <v>704</v>
      </c>
      <c r="BD164" t="s">
        <v>75</v>
      </c>
      <c r="BE164" t="s">
        <v>26</v>
      </c>
      <c r="BF164" t="s">
        <v>26</v>
      </c>
      <c r="BG164" s="146">
        <v>643</v>
      </c>
      <c r="BH164" t="s">
        <v>140</v>
      </c>
      <c r="BI164">
        <v>0.35</v>
      </c>
      <c r="BJ164" t="s">
        <v>603</v>
      </c>
      <c r="BK164" t="s">
        <v>507</v>
      </c>
      <c r="BL164" t="s">
        <v>510</v>
      </c>
      <c r="BM164" t="s">
        <v>513</v>
      </c>
      <c r="BN164">
        <v>29110</v>
      </c>
    </row>
    <row r="165" spans="1:66">
      <c r="A165" s="47"/>
      <c r="B165" s="27">
        <v>29112</v>
      </c>
      <c r="C165" s="27" t="s">
        <v>2168</v>
      </c>
      <c r="E165" s="27" t="s">
        <v>2148</v>
      </c>
      <c r="AC165"/>
      <c r="AD165"/>
      <c r="AE165"/>
      <c r="AF165" s="37" t="str">
        <f t="shared" si="5"/>
        <v>ASS_LI              SGKG102P_B</v>
      </c>
      <c r="AG165" t="s">
        <v>2150</v>
      </c>
      <c r="AH165">
        <v>3</v>
      </c>
      <c r="AI165">
        <v>29112</v>
      </c>
      <c r="AJ165" t="s">
        <v>715</v>
      </c>
      <c r="AK165" t="s">
        <v>26</v>
      </c>
      <c r="AL165" t="s">
        <v>700</v>
      </c>
      <c r="AM165" t="s">
        <v>700</v>
      </c>
      <c r="AN165" t="s">
        <v>701</v>
      </c>
      <c r="AO165" t="s">
        <v>702</v>
      </c>
      <c r="AP165">
        <v>3</v>
      </c>
      <c r="AQ165" t="s">
        <v>703</v>
      </c>
      <c r="AR165" t="s">
        <v>243</v>
      </c>
      <c r="AS165" t="s">
        <v>26</v>
      </c>
      <c r="AT165" t="s">
        <v>26</v>
      </c>
      <c r="AU165" t="s">
        <v>466</v>
      </c>
      <c r="AV165" t="s">
        <v>466</v>
      </c>
      <c r="AW165" t="s">
        <v>467</v>
      </c>
      <c r="AX165" t="s">
        <v>468</v>
      </c>
      <c r="AY165">
        <v>23</v>
      </c>
      <c r="AZ165" t="s">
        <v>469</v>
      </c>
      <c r="BA165" t="s">
        <v>243</v>
      </c>
      <c r="BB165" t="s">
        <v>26</v>
      </c>
      <c r="BC165" t="s">
        <v>716</v>
      </c>
      <c r="BD165" t="s">
        <v>75</v>
      </c>
      <c r="BE165" t="s">
        <v>26</v>
      </c>
      <c r="BF165" t="s">
        <v>26</v>
      </c>
      <c r="BG165">
        <v>1791</v>
      </c>
      <c r="BH165" t="s">
        <v>124</v>
      </c>
      <c r="BI165">
        <v>0.35</v>
      </c>
      <c r="BJ165" t="s">
        <v>717</v>
      </c>
      <c r="BK165" t="s">
        <v>507</v>
      </c>
      <c r="BL165" t="s">
        <v>510</v>
      </c>
      <c r="BM165" t="s">
        <v>513</v>
      </c>
      <c r="BN165">
        <v>29112</v>
      </c>
    </row>
    <row r="166" spans="1:66">
      <c r="A166" s="160">
        <v>502</v>
      </c>
      <c r="B166" s="27">
        <v>29113</v>
      </c>
      <c r="C166" s="27" t="s">
        <v>2168</v>
      </c>
      <c r="E166" s="27" t="s">
        <v>2148</v>
      </c>
      <c r="AC166"/>
      <c r="AD166"/>
      <c r="AE166"/>
      <c r="AF166" s="37" t="str">
        <f t="shared" si="5"/>
        <v>SGKG102P_B          ASM</v>
      </c>
      <c r="AG166" t="s">
        <v>2150</v>
      </c>
      <c r="AH166">
        <v>3</v>
      </c>
      <c r="AI166">
        <v>29113</v>
      </c>
      <c r="AJ166" t="s">
        <v>718</v>
      </c>
      <c r="AK166" t="s">
        <v>26</v>
      </c>
      <c r="AL166" t="s">
        <v>466</v>
      </c>
      <c r="AM166" t="s">
        <v>466</v>
      </c>
      <c r="AN166" t="s">
        <v>467</v>
      </c>
      <c r="AO166" t="s">
        <v>468</v>
      </c>
      <c r="AP166">
        <v>24</v>
      </c>
      <c r="AQ166" t="s">
        <v>469</v>
      </c>
      <c r="AR166" t="s">
        <v>243</v>
      </c>
      <c r="AS166" t="s">
        <v>26</v>
      </c>
      <c r="AT166" t="s">
        <v>26</v>
      </c>
      <c r="AU166" t="s">
        <v>711</v>
      </c>
      <c r="AV166" t="s">
        <v>711</v>
      </c>
      <c r="AW166" t="s">
        <v>712</v>
      </c>
      <c r="AX166" t="s">
        <v>713</v>
      </c>
      <c r="AY166">
        <v>3</v>
      </c>
      <c r="AZ166" t="s">
        <v>714</v>
      </c>
      <c r="BA166" t="s">
        <v>243</v>
      </c>
      <c r="BB166" t="s">
        <v>26</v>
      </c>
      <c r="BC166" t="s">
        <v>530</v>
      </c>
      <c r="BD166" t="s">
        <v>75</v>
      </c>
      <c r="BE166" t="s">
        <v>26</v>
      </c>
      <c r="BF166" t="s">
        <v>26</v>
      </c>
      <c r="BG166" s="146">
        <v>1049</v>
      </c>
      <c r="BH166" t="s">
        <v>216</v>
      </c>
      <c r="BI166">
        <v>0.35</v>
      </c>
      <c r="BJ166" t="s">
        <v>719</v>
      </c>
      <c r="BK166" t="s">
        <v>507</v>
      </c>
      <c r="BL166" t="s">
        <v>510</v>
      </c>
      <c r="BM166" t="s">
        <v>513</v>
      </c>
      <c r="BN166">
        <v>29113</v>
      </c>
    </row>
    <row r="167" spans="1:66">
      <c r="A167" s="160">
        <v>502</v>
      </c>
      <c r="B167" s="27">
        <v>29114</v>
      </c>
      <c r="C167" s="27" t="s">
        <v>2168</v>
      </c>
      <c r="E167" s="27" t="s">
        <v>2148</v>
      </c>
      <c r="F167" s="27" t="s">
        <v>2152</v>
      </c>
      <c r="G167" s="27" t="s">
        <v>723</v>
      </c>
      <c r="K167" s="27" t="s">
        <v>2153</v>
      </c>
      <c r="L167" s="27" t="s">
        <v>2148</v>
      </c>
      <c r="M167" s="27" t="s">
        <v>2154</v>
      </c>
      <c r="AC167"/>
      <c r="AD167"/>
      <c r="AE167"/>
      <c r="AF167" s="37" t="str">
        <f t="shared" si="5"/>
        <v>ASM                 SP_SIG_5V</v>
      </c>
      <c r="AG167" t="s">
        <v>2150</v>
      </c>
      <c r="AH167">
        <v>3</v>
      </c>
      <c r="AI167">
        <v>29114</v>
      </c>
      <c r="AJ167" t="s">
        <v>720</v>
      </c>
      <c r="AK167" t="s">
        <v>26</v>
      </c>
      <c r="AL167" t="s">
        <v>711</v>
      </c>
      <c r="AM167" t="s">
        <v>711</v>
      </c>
      <c r="AN167" t="s">
        <v>712</v>
      </c>
      <c r="AO167" t="s">
        <v>713</v>
      </c>
      <c r="AP167">
        <v>4</v>
      </c>
      <c r="AQ167" t="s">
        <v>714</v>
      </c>
      <c r="AR167" t="s">
        <v>243</v>
      </c>
      <c r="AS167" t="s">
        <v>26</v>
      </c>
      <c r="AT167" t="s">
        <v>26</v>
      </c>
      <c r="AU167" t="s">
        <v>26</v>
      </c>
      <c r="AV167" t="s">
        <v>721</v>
      </c>
      <c r="AW167" t="s">
        <v>722</v>
      </c>
      <c r="AX167" t="s">
        <v>723</v>
      </c>
      <c r="AY167">
        <v>1</v>
      </c>
      <c r="AZ167" t="s">
        <v>724</v>
      </c>
      <c r="BA167" t="s">
        <v>26</v>
      </c>
      <c r="BB167" t="s">
        <v>26</v>
      </c>
      <c r="BC167" t="s">
        <v>725</v>
      </c>
      <c r="BD167" t="s">
        <v>75</v>
      </c>
      <c r="BE167" t="s">
        <v>26</v>
      </c>
      <c r="BF167" t="s">
        <v>26</v>
      </c>
      <c r="BG167" s="146">
        <v>723</v>
      </c>
      <c r="BH167" t="s">
        <v>428</v>
      </c>
      <c r="BI167">
        <v>0.35</v>
      </c>
      <c r="BJ167" t="s">
        <v>726</v>
      </c>
      <c r="BK167" t="s">
        <v>507</v>
      </c>
      <c r="BL167" t="s">
        <v>510</v>
      </c>
      <c r="BM167" t="s">
        <v>513</v>
      </c>
      <c r="BN167">
        <v>29114</v>
      </c>
    </row>
    <row r="168" spans="1:66">
      <c r="A168" s="47"/>
      <c r="B168" s="27">
        <v>29115</v>
      </c>
      <c r="C168" s="27" t="s">
        <v>2168</v>
      </c>
      <c r="E168" s="27" t="s">
        <v>2148</v>
      </c>
      <c r="F168" s="27" t="s">
        <v>2152</v>
      </c>
      <c r="G168" s="27" t="s">
        <v>723</v>
      </c>
      <c r="K168" s="27" t="s">
        <v>2153</v>
      </c>
      <c r="L168" s="27" t="s">
        <v>2148</v>
      </c>
      <c r="M168" s="27" t="s">
        <v>2154</v>
      </c>
      <c r="AC168"/>
      <c r="AD168"/>
      <c r="AE168"/>
      <c r="AF168" s="37" t="str">
        <f t="shared" si="5"/>
        <v>ASS_LI              SP_SIG_5V</v>
      </c>
      <c r="AG168" t="s">
        <v>2150</v>
      </c>
      <c r="AH168">
        <v>3</v>
      </c>
      <c r="AI168">
        <v>29115</v>
      </c>
      <c r="AJ168" t="s">
        <v>727</v>
      </c>
      <c r="AK168" t="s">
        <v>26</v>
      </c>
      <c r="AL168" t="s">
        <v>700</v>
      </c>
      <c r="AM168" t="s">
        <v>700</v>
      </c>
      <c r="AN168" t="s">
        <v>701</v>
      </c>
      <c r="AO168" t="s">
        <v>702</v>
      </c>
      <c r="AP168">
        <v>1</v>
      </c>
      <c r="AQ168" t="s">
        <v>703</v>
      </c>
      <c r="AR168" t="s">
        <v>243</v>
      </c>
      <c r="AS168" t="s">
        <v>26</v>
      </c>
      <c r="AT168" t="s">
        <v>26</v>
      </c>
      <c r="AU168" t="s">
        <v>26</v>
      </c>
      <c r="AV168" t="s">
        <v>721</v>
      </c>
      <c r="AW168" t="s">
        <v>722</v>
      </c>
      <c r="AX168" t="s">
        <v>723</v>
      </c>
      <c r="AY168">
        <v>1</v>
      </c>
      <c r="AZ168" t="s">
        <v>724</v>
      </c>
      <c r="BA168" t="s">
        <v>26</v>
      </c>
      <c r="BB168" t="s">
        <v>26</v>
      </c>
      <c r="BC168" t="s">
        <v>725</v>
      </c>
      <c r="BD168" t="s">
        <v>75</v>
      </c>
      <c r="BE168" t="s">
        <v>26</v>
      </c>
      <c r="BF168" t="s">
        <v>26</v>
      </c>
      <c r="BG168">
        <v>1465</v>
      </c>
      <c r="BH168" t="s">
        <v>428</v>
      </c>
      <c r="BI168">
        <v>0.35</v>
      </c>
      <c r="BJ168" t="s">
        <v>726</v>
      </c>
      <c r="BK168" t="s">
        <v>507</v>
      </c>
      <c r="BL168" t="s">
        <v>510</v>
      </c>
      <c r="BM168" t="s">
        <v>513</v>
      </c>
      <c r="BN168">
        <v>29115</v>
      </c>
    </row>
    <row r="169" spans="1:66">
      <c r="A169" s="160">
        <v>502</v>
      </c>
      <c r="B169" s="27">
        <v>29116</v>
      </c>
      <c r="C169" s="27" t="s">
        <v>2168</v>
      </c>
      <c r="E169" s="27" t="s">
        <v>2148</v>
      </c>
      <c r="F169" s="27" t="s">
        <v>2152</v>
      </c>
      <c r="G169" s="27" t="s">
        <v>723</v>
      </c>
      <c r="K169" s="27" t="s">
        <v>2153</v>
      </c>
      <c r="L169" s="27" t="s">
        <v>2148</v>
      </c>
      <c r="M169" s="27" t="s">
        <v>2154</v>
      </c>
      <c r="AC169"/>
      <c r="AD169"/>
      <c r="AE169"/>
      <c r="AF169" s="37" t="str">
        <f t="shared" si="5"/>
        <v>ASM                 SP_SIG_5V</v>
      </c>
      <c r="AG169" t="s">
        <v>2150</v>
      </c>
      <c r="AH169">
        <v>3</v>
      </c>
      <c r="AI169">
        <v>29116</v>
      </c>
      <c r="AJ169" t="s">
        <v>728</v>
      </c>
      <c r="AK169" t="s">
        <v>26</v>
      </c>
      <c r="AL169" t="s">
        <v>711</v>
      </c>
      <c r="AM169" t="s">
        <v>711</v>
      </c>
      <c r="AN169" t="s">
        <v>712</v>
      </c>
      <c r="AO169" t="s">
        <v>713</v>
      </c>
      <c r="AP169">
        <v>1</v>
      </c>
      <c r="AQ169" t="s">
        <v>714</v>
      </c>
      <c r="AR169" t="s">
        <v>243</v>
      </c>
      <c r="AS169" t="s">
        <v>26</v>
      </c>
      <c r="AT169" t="s">
        <v>26</v>
      </c>
      <c r="AU169" t="s">
        <v>26</v>
      </c>
      <c r="AV169" t="s">
        <v>721</v>
      </c>
      <c r="AW169" t="s">
        <v>722</v>
      </c>
      <c r="AX169" t="s">
        <v>723</v>
      </c>
      <c r="AY169">
        <v>1</v>
      </c>
      <c r="AZ169" t="s">
        <v>724</v>
      </c>
      <c r="BA169" t="s">
        <v>26</v>
      </c>
      <c r="BB169" t="s">
        <v>26</v>
      </c>
      <c r="BC169" t="s">
        <v>725</v>
      </c>
      <c r="BD169" t="s">
        <v>75</v>
      </c>
      <c r="BE169" t="s">
        <v>26</v>
      </c>
      <c r="BF169" t="s">
        <v>26</v>
      </c>
      <c r="BG169" s="146">
        <v>723</v>
      </c>
      <c r="BH169" t="s">
        <v>428</v>
      </c>
      <c r="BI169">
        <v>0.35</v>
      </c>
      <c r="BJ169" t="s">
        <v>726</v>
      </c>
      <c r="BK169" t="s">
        <v>507</v>
      </c>
      <c r="BL169" t="s">
        <v>510</v>
      </c>
      <c r="BM169" t="s">
        <v>513</v>
      </c>
      <c r="BN169">
        <v>29116</v>
      </c>
    </row>
    <row r="170" spans="1:66">
      <c r="A170" s="47"/>
      <c r="B170" s="27">
        <v>29117</v>
      </c>
      <c r="C170" s="27" t="s">
        <v>2168</v>
      </c>
      <c r="E170" s="27" t="s">
        <v>2148</v>
      </c>
      <c r="F170" s="27" t="s">
        <v>2152</v>
      </c>
      <c r="G170" s="27" t="s">
        <v>723</v>
      </c>
      <c r="K170" s="27" t="s">
        <v>2153</v>
      </c>
      <c r="L170" s="27" t="s">
        <v>2148</v>
      </c>
      <c r="M170" s="27" t="s">
        <v>2154</v>
      </c>
      <c r="AC170"/>
      <c r="AD170"/>
      <c r="AE170"/>
      <c r="AF170" s="37" t="str">
        <f t="shared" si="5"/>
        <v>SGKG102P_B          SP_SIG_5V</v>
      </c>
      <c r="AG170" t="s">
        <v>2150</v>
      </c>
      <c r="AH170">
        <v>3</v>
      </c>
      <c r="AI170">
        <v>29117</v>
      </c>
      <c r="AJ170" t="s">
        <v>729</v>
      </c>
      <c r="AK170" t="s">
        <v>26</v>
      </c>
      <c r="AL170" t="s">
        <v>466</v>
      </c>
      <c r="AM170" t="s">
        <v>466</v>
      </c>
      <c r="AN170" t="s">
        <v>467</v>
      </c>
      <c r="AO170" t="s">
        <v>468</v>
      </c>
      <c r="AP170">
        <v>10</v>
      </c>
      <c r="AQ170" t="s">
        <v>469</v>
      </c>
      <c r="AR170" t="s">
        <v>243</v>
      </c>
      <c r="AS170" t="s">
        <v>26</v>
      </c>
      <c r="AT170" t="s">
        <v>26</v>
      </c>
      <c r="AU170" t="s">
        <v>26</v>
      </c>
      <c r="AV170" t="s">
        <v>721</v>
      </c>
      <c r="AW170" t="s">
        <v>722</v>
      </c>
      <c r="AX170" t="s">
        <v>723</v>
      </c>
      <c r="AY170">
        <v>1</v>
      </c>
      <c r="AZ170" t="s">
        <v>724</v>
      </c>
      <c r="BA170" t="s">
        <v>26</v>
      </c>
      <c r="BB170" t="s">
        <v>26</v>
      </c>
      <c r="BC170" t="s">
        <v>725</v>
      </c>
      <c r="BD170" t="s">
        <v>75</v>
      </c>
      <c r="BE170" t="s">
        <v>26</v>
      </c>
      <c r="BF170" t="s">
        <v>26</v>
      </c>
      <c r="BG170">
        <v>526</v>
      </c>
      <c r="BH170" t="s">
        <v>428</v>
      </c>
      <c r="BI170">
        <v>0.35</v>
      </c>
      <c r="BJ170" t="s">
        <v>726</v>
      </c>
      <c r="BK170" t="s">
        <v>507</v>
      </c>
      <c r="BL170" t="s">
        <v>510</v>
      </c>
      <c r="BM170" t="s">
        <v>513</v>
      </c>
      <c r="BN170">
        <v>29117</v>
      </c>
    </row>
    <row r="171" spans="1:66">
      <c r="A171" s="47">
        <v>506</v>
      </c>
      <c r="B171" s="27">
        <v>29118</v>
      </c>
      <c r="C171" s="27" t="s">
        <v>2168</v>
      </c>
      <c r="E171" s="27" t="s">
        <v>2148</v>
      </c>
      <c r="F171" s="27" t="s">
        <v>2152</v>
      </c>
      <c r="G171" s="27" t="s">
        <v>723</v>
      </c>
      <c r="K171" s="27" t="s">
        <v>2153</v>
      </c>
      <c r="L171" s="27" t="s">
        <v>2148</v>
      </c>
      <c r="M171" s="27" t="s">
        <v>2154</v>
      </c>
      <c r="AC171"/>
      <c r="AD171"/>
      <c r="AE171"/>
      <c r="AF171" s="37" t="str">
        <f t="shared" si="5"/>
        <v>ASS_RE              SP_SIG_5V</v>
      </c>
      <c r="AG171" t="s">
        <v>2150</v>
      </c>
      <c r="AH171">
        <v>3</v>
      </c>
      <c r="AI171">
        <v>29118</v>
      </c>
      <c r="AJ171" t="s">
        <v>730</v>
      </c>
      <c r="AK171" t="s">
        <v>26</v>
      </c>
      <c r="AL171" t="s">
        <v>706</v>
      </c>
      <c r="AM171" t="s">
        <v>706</v>
      </c>
      <c r="AN171" t="s">
        <v>707</v>
      </c>
      <c r="AO171" t="s">
        <v>708</v>
      </c>
      <c r="AP171">
        <v>1</v>
      </c>
      <c r="AQ171" t="s">
        <v>709</v>
      </c>
      <c r="AR171" t="s">
        <v>243</v>
      </c>
      <c r="AS171" t="s">
        <v>26</v>
      </c>
      <c r="AT171" t="s">
        <v>26</v>
      </c>
      <c r="AU171" t="s">
        <v>26</v>
      </c>
      <c r="AV171" t="s">
        <v>721</v>
      </c>
      <c r="AW171" t="s">
        <v>722</v>
      </c>
      <c r="AX171" t="s">
        <v>723</v>
      </c>
      <c r="AY171">
        <v>1</v>
      </c>
      <c r="AZ171" t="s">
        <v>724</v>
      </c>
      <c r="BA171" t="s">
        <v>26</v>
      </c>
      <c r="BB171" t="s">
        <v>26</v>
      </c>
      <c r="BC171" t="s">
        <v>725</v>
      </c>
      <c r="BD171" t="s">
        <v>75</v>
      </c>
      <c r="BE171" t="s">
        <v>26</v>
      </c>
      <c r="BF171" t="s">
        <v>26</v>
      </c>
      <c r="BG171" s="146">
        <v>1267</v>
      </c>
      <c r="BH171" t="s">
        <v>428</v>
      </c>
      <c r="BI171">
        <v>0.35</v>
      </c>
      <c r="BJ171" t="s">
        <v>726</v>
      </c>
      <c r="BK171" t="s">
        <v>507</v>
      </c>
      <c r="BL171" t="s">
        <v>510</v>
      </c>
      <c r="BM171" t="s">
        <v>513</v>
      </c>
      <c r="BN171">
        <v>29118</v>
      </c>
    </row>
    <row r="172" spans="1:66">
      <c r="A172" s="160">
        <v>502</v>
      </c>
      <c r="B172" s="27">
        <v>29123</v>
      </c>
      <c r="C172" s="27" t="s">
        <v>2168</v>
      </c>
      <c r="E172" s="27" t="s">
        <v>2148</v>
      </c>
      <c r="AC172"/>
      <c r="AD172"/>
      <c r="AE172"/>
      <c r="AF172" s="37" t="str">
        <f t="shared" si="5"/>
        <v>ASM                 SGKG102P_B</v>
      </c>
      <c r="AG172" t="s">
        <v>2150</v>
      </c>
      <c r="AH172">
        <v>3</v>
      </c>
      <c r="AI172">
        <v>29123</v>
      </c>
      <c r="AJ172" t="s">
        <v>731</v>
      </c>
      <c r="AK172" t="s">
        <v>26</v>
      </c>
      <c r="AL172" t="s">
        <v>711</v>
      </c>
      <c r="AM172" t="s">
        <v>711</v>
      </c>
      <c r="AN172" t="s">
        <v>712</v>
      </c>
      <c r="AO172" t="s">
        <v>713</v>
      </c>
      <c r="AP172">
        <v>5</v>
      </c>
      <c r="AQ172" t="s">
        <v>714</v>
      </c>
      <c r="AR172" t="s">
        <v>243</v>
      </c>
      <c r="AS172" t="s">
        <v>26</v>
      </c>
      <c r="AT172" t="s">
        <v>26</v>
      </c>
      <c r="AU172" t="s">
        <v>466</v>
      </c>
      <c r="AV172" t="s">
        <v>466</v>
      </c>
      <c r="AW172" t="s">
        <v>467</v>
      </c>
      <c r="AX172" t="s">
        <v>468</v>
      </c>
      <c r="AY172">
        <v>34</v>
      </c>
      <c r="AZ172" t="s">
        <v>469</v>
      </c>
      <c r="BA172" t="s">
        <v>243</v>
      </c>
      <c r="BB172" t="s">
        <v>26</v>
      </c>
      <c r="BC172" t="s">
        <v>432</v>
      </c>
      <c r="BD172" t="s">
        <v>75</v>
      </c>
      <c r="BE172" t="s">
        <v>26</v>
      </c>
      <c r="BF172" t="s">
        <v>26</v>
      </c>
      <c r="BG172" s="146">
        <v>1049</v>
      </c>
      <c r="BH172" t="s">
        <v>433</v>
      </c>
      <c r="BI172">
        <v>0.35</v>
      </c>
      <c r="BJ172" t="s">
        <v>732</v>
      </c>
      <c r="BK172" t="s">
        <v>507</v>
      </c>
      <c r="BL172" t="s">
        <v>510</v>
      </c>
      <c r="BM172" t="s">
        <v>513</v>
      </c>
      <c r="BN172">
        <v>29123</v>
      </c>
    </row>
    <row r="173" spans="1:66">
      <c r="A173" s="47">
        <v>506</v>
      </c>
      <c r="B173" s="27">
        <v>29124</v>
      </c>
      <c r="C173" s="27" t="s">
        <v>2168</v>
      </c>
      <c r="E173" s="27" t="s">
        <v>2148</v>
      </c>
      <c r="AC173"/>
      <c r="AD173"/>
      <c r="AE173"/>
      <c r="AF173" s="37" t="str">
        <f t="shared" si="5"/>
        <v>ASS_RE              SGKG102P_B</v>
      </c>
      <c r="AG173" t="s">
        <v>2150</v>
      </c>
      <c r="AH173">
        <v>3</v>
      </c>
      <c r="AI173">
        <v>29124</v>
      </c>
      <c r="AJ173" t="s">
        <v>733</v>
      </c>
      <c r="AK173" t="s">
        <v>26</v>
      </c>
      <c r="AL173" t="s">
        <v>706</v>
      </c>
      <c r="AM173" t="s">
        <v>706</v>
      </c>
      <c r="AN173" t="s">
        <v>707</v>
      </c>
      <c r="AO173" t="s">
        <v>708</v>
      </c>
      <c r="AP173">
        <v>3</v>
      </c>
      <c r="AQ173" t="s">
        <v>709</v>
      </c>
      <c r="AR173" t="s">
        <v>243</v>
      </c>
      <c r="AS173" t="s">
        <v>26</v>
      </c>
      <c r="AT173" t="s">
        <v>26</v>
      </c>
      <c r="AU173" t="s">
        <v>466</v>
      </c>
      <c r="AV173" t="s">
        <v>466</v>
      </c>
      <c r="AW173" t="s">
        <v>467</v>
      </c>
      <c r="AX173" t="s">
        <v>468</v>
      </c>
      <c r="AY173">
        <v>32</v>
      </c>
      <c r="AZ173" t="s">
        <v>469</v>
      </c>
      <c r="BA173" t="s">
        <v>243</v>
      </c>
      <c r="BB173" t="s">
        <v>26</v>
      </c>
      <c r="BC173" t="s">
        <v>734</v>
      </c>
      <c r="BD173" t="s">
        <v>75</v>
      </c>
      <c r="BE173" t="s">
        <v>26</v>
      </c>
      <c r="BF173" t="s">
        <v>26</v>
      </c>
      <c r="BG173" s="162">
        <v>1077</v>
      </c>
      <c r="BH173" t="s">
        <v>735</v>
      </c>
      <c r="BI173">
        <v>0.35</v>
      </c>
      <c r="BJ173" t="s">
        <v>736</v>
      </c>
      <c r="BK173" t="s">
        <v>507</v>
      </c>
      <c r="BL173" t="s">
        <v>510</v>
      </c>
      <c r="BM173" t="s">
        <v>513</v>
      </c>
      <c r="BN173">
        <v>29124</v>
      </c>
    </row>
    <row r="174" spans="1:66">
      <c r="A174" s="47">
        <v>506</v>
      </c>
      <c r="B174" s="27">
        <v>29125</v>
      </c>
      <c r="C174" s="27" t="s">
        <v>2168</v>
      </c>
      <c r="E174" s="27" t="s">
        <v>2148</v>
      </c>
      <c r="F174" s="27" t="s">
        <v>2152</v>
      </c>
      <c r="G174" s="27" t="s">
        <v>2170</v>
      </c>
      <c r="K174" s="27" t="s">
        <v>2153</v>
      </c>
      <c r="L174" s="27" t="s">
        <v>2154</v>
      </c>
      <c r="M174" s="27" t="s">
        <v>2154</v>
      </c>
      <c r="AC174"/>
      <c r="AD174"/>
      <c r="AE174"/>
      <c r="AF174" s="37" t="str">
        <f t="shared" si="5"/>
        <v>SP_31SM_1           SP_31SM</v>
      </c>
      <c r="AG174" t="s">
        <v>2150</v>
      </c>
      <c r="AH174">
        <v>3</v>
      </c>
      <c r="AI174">
        <v>29125</v>
      </c>
      <c r="AJ174" t="s">
        <v>737</v>
      </c>
      <c r="AK174" t="s">
        <v>26</v>
      </c>
      <c r="AL174" t="s">
        <v>26</v>
      </c>
      <c r="AM174" t="s">
        <v>667</v>
      </c>
      <c r="AN174">
        <v>97</v>
      </c>
      <c r="AO174" t="s">
        <v>668</v>
      </c>
      <c r="AP174">
        <v>1</v>
      </c>
      <c r="AQ174" t="s">
        <v>669</v>
      </c>
      <c r="AR174" t="s">
        <v>26</v>
      </c>
      <c r="AS174" t="s">
        <v>26</v>
      </c>
      <c r="AT174" t="s">
        <v>26</v>
      </c>
      <c r="AU174" t="s">
        <v>26</v>
      </c>
      <c r="AV174" t="s">
        <v>598</v>
      </c>
      <c r="AW174" t="s">
        <v>599</v>
      </c>
      <c r="AX174" t="s">
        <v>600</v>
      </c>
      <c r="AY174">
        <v>1</v>
      </c>
      <c r="AZ174" t="s">
        <v>601</v>
      </c>
      <c r="BA174" t="s">
        <v>26</v>
      </c>
      <c r="BB174" t="s">
        <v>26</v>
      </c>
      <c r="BC174" t="s">
        <v>704</v>
      </c>
      <c r="BD174" t="s">
        <v>75</v>
      </c>
      <c r="BE174" t="s">
        <v>26</v>
      </c>
      <c r="BF174" t="s">
        <v>26</v>
      </c>
      <c r="BG174" s="146">
        <v>618</v>
      </c>
      <c r="BH174" t="s">
        <v>140</v>
      </c>
      <c r="BI174">
        <v>0.35</v>
      </c>
      <c r="BJ174" t="s">
        <v>603</v>
      </c>
      <c r="BK174" t="s">
        <v>507</v>
      </c>
      <c r="BL174" t="s">
        <v>510</v>
      </c>
      <c r="BM174" t="s">
        <v>513</v>
      </c>
      <c r="BN174">
        <v>29125</v>
      </c>
    </row>
    <row r="175" spans="1:66">
      <c r="A175" s="47"/>
      <c r="B175" s="27">
        <v>29126</v>
      </c>
      <c r="C175" s="27" t="s">
        <v>2168</v>
      </c>
      <c r="E175" s="27" t="s">
        <v>2148</v>
      </c>
      <c r="F175" s="27" t="s">
        <v>2152</v>
      </c>
      <c r="G175" s="27" t="s">
        <v>600</v>
      </c>
      <c r="K175" s="27" t="s">
        <v>2153</v>
      </c>
      <c r="L175" s="27" t="s">
        <v>2154</v>
      </c>
      <c r="M175" s="27" t="s">
        <v>2148</v>
      </c>
      <c r="AC175"/>
      <c r="AD175"/>
      <c r="AE175"/>
      <c r="AF175" s="37" t="str">
        <f t="shared" si="5"/>
        <v>SP_31SM             KS_CPM_A</v>
      </c>
      <c r="AG175" t="s">
        <v>2150</v>
      </c>
      <c r="AH175">
        <v>3</v>
      </c>
      <c r="AI175">
        <v>29126</v>
      </c>
      <c r="AJ175" t="s">
        <v>738</v>
      </c>
      <c r="AK175" t="s">
        <v>26</v>
      </c>
      <c r="AL175" t="s">
        <v>26</v>
      </c>
      <c r="AM175" t="s">
        <v>598</v>
      </c>
      <c r="AN175" t="s">
        <v>599</v>
      </c>
      <c r="AO175" t="s">
        <v>600</v>
      </c>
      <c r="AP175">
        <v>1</v>
      </c>
      <c r="AQ175" t="s">
        <v>601</v>
      </c>
      <c r="AR175" t="s">
        <v>26</v>
      </c>
      <c r="AS175" t="s">
        <v>26</v>
      </c>
      <c r="AT175" t="s">
        <v>26</v>
      </c>
      <c r="AU175" t="s">
        <v>69</v>
      </c>
      <c r="AV175" t="s">
        <v>69</v>
      </c>
      <c r="AW175" t="s">
        <v>143</v>
      </c>
      <c r="AX175" t="s">
        <v>144</v>
      </c>
      <c r="AY175">
        <v>5</v>
      </c>
      <c r="AZ175" t="s">
        <v>145</v>
      </c>
      <c r="BA175" t="s">
        <v>68</v>
      </c>
      <c r="BB175" t="s">
        <v>26</v>
      </c>
      <c r="BC175" t="s">
        <v>704</v>
      </c>
      <c r="BD175" t="s">
        <v>75</v>
      </c>
      <c r="BE175" t="s">
        <v>26</v>
      </c>
      <c r="BF175" t="s">
        <v>26</v>
      </c>
      <c r="BG175">
        <v>508</v>
      </c>
      <c r="BH175" t="s">
        <v>140</v>
      </c>
      <c r="BI175">
        <v>0.35</v>
      </c>
      <c r="BJ175" t="s">
        <v>603</v>
      </c>
      <c r="BK175" t="s">
        <v>507</v>
      </c>
      <c r="BL175" t="s">
        <v>510</v>
      </c>
      <c r="BM175" t="s">
        <v>513</v>
      </c>
      <c r="BN175">
        <v>29126</v>
      </c>
    </row>
    <row r="176" spans="1:66">
      <c r="A176" s="47">
        <v>506</v>
      </c>
      <c r="B176" s="27">
        <v>29127</v>
      </c>
      <c r="C176" s="27" t="s">
        <v>2168</v>
      </c>
      <c r="E176" s="27" t="s">
        <v>2148</v>
      </c>
      <c r="F176" s="27" t="s">
        <v>2152</v>
      </c>
      <c r="G176" s="27" t="s">
        <v>668</v>
      </c>
      <c r="K176" s="27" t="s">
        <v>2153</v>
      </c>
      <c r="L176" s="27" t="s">
        <v>2154</v>
      </c>
      <c r="M176" s="27" t="s">
        <v>2148</v>
      </c>
      <c r="AC176"/>
      <c r="AD176"/>
      <c r="AE176"/>
      <c r="AF176" s="37" t="str">
        <f t="shared" si="5"/>
        <v>SP_31SM_1           SGKG102P_B</v>
      </c>
      <c r="AG176" t="s">
        <v>2150</v>
      </c>
      <c r="AH176">
        <v>3</v>
      </c>
      <c r="AI176">
        <v>29127</v>
      </c>
      <c r="AJ176" t="s">
        <v>739</v>
      </c>
      <c r="AK176" t="s">
        <v>26</v>
      </c>
      <c r="AL176" t="s">
        <v>26</v>
      </c>
      <c r="AM176" t="s">
        <v>667</v>
      </c>
      <c r="AN176">
        <v>97</v>
      </c>
      <c r="AO176" t="s">
        <v>668</v>
      </c>
      <c r="AP176">
        <v>1</v>
      </c>
      <c r="AQ176" t="s">
        <v>669</v>
      </c>
      <c r="AR176" t="s">
        <v>26</v>
      </c>
      <c r="AS176" t="s">
        <v>26</v>
      </c>
      <c r="AT176" t="s">
        <v>26</v>
      </c>
      <c r="AU176" t="s">
        <v>466</v>
      </c>
      <c r="AV176" t="s">
        <v>466</v>
      </c>
      <c r="AW176" t="s">
        <v>467</v>
      </c>
      <c r="AX176" t="s">
        <v>468</v>
      </c>
      <c r="AY176">
        <v>38</v>
      </c>
      <c r="AZ176" t="s">
        <v>469</v>
      </c>
      <c r="BA176" t="s">
        <v>243</v>
      </c>
      <c r="BB176" t="s">
        <v>26</v>
      </c>
      <c r="BC176" t="s">
        <v>704</v>
      </c>
      <c r="BD176" t="s">
        <v>75</v>
      </c>
      <c r="BE176" t="s">
        <v>26</v>
      </c>
      <c r="BF176" t="s">
        <v>26</v>
      </c>
      <c r="BG176" s="146">
        <v>347</v>
      </c>
      <c r="BH176" t="s">
        <v>140</v>
      </c>
      <c r="BI176">
        <v>0.35</v>
      </c>
      <c r="BJ176" t="s">
        <v>603</v>
      </c>
      <c r="BK176" t="s">
        <v>507</v>
      </c>
      <c r="BL176" t="s">
        <v>510</v>
      </c>
      <c r="BM176" t="s">
        <v>513</v>
      </c>
      <c r="BN176">
        <v>29127</v>
      </c>
    </row>
    <row r="177" spans="1:66">
      <c r="A177" s="47"/>
      <c r="B177" s="27">
        <v>29136</v>
      </c>
      <c r="C177" s="27" t="s">
        <v>2168</v>
      </c>
      <c r="E177" s="27" t="s">
        <v>2148</v>
      </c>
      <c r="F177" s="27" t="s">
        <v>2156</v>
      </c>
      <c r="G177" s="27" t="s">
        <v>373</v>
      </c>
      <c r="K177" s="27" t="s">
        <v>2158</v>
      </c>
      <c r="L177" s="27" t="s">
        <v>2154</v>
      </c>
      <c r="M177" s="27" t="s">
        <v>2148</v>
      </c>
      <c r="X177" s="185" t="s">
        <v>2383</v>
      </c>
      <c r="AC177"/>
      <c r="AD177"/>
      <c r="AE177"/>
      <c r="AF177" s="37" t="str">
        <f t="shared" si="5"/>
        <v>SP_MB31_B3          LIO3P_A</v>
      </c>
      <c r="AG177" t="s">
        <v>2150</v>
      </c>
      <c r="AH177">
        <v>3</v>
      </c>
      <c r="AI177">
        <v>29136</v>
      </c>
      <c r="AJ177" t="s">
        <v>740</v>
      </c>
      <c r="AK177" t="s">
        <v>26</v>
      </c>
      <c r="AL177" t="s">
        <v>26</v>
      </c>
      <c r="AM177" t="s">
        <v>372</v>
      </c>
      <c r="AN177">
        <v>821</v>
      </c>
      <c r="AO177" t="s">
        <v>373</v>
      </c>
      <c r="AP177">
        <v>1</v>
      </c>
      <c r="AQ177" t="s">
        <v>374</v>
      </c>
      <c r="AR177" t="s">
        <v>26</v>
      </c>
      <c r="AS177" t="s">
        <v>26</v>
      </c>
      <c r="AT177" t="s">
        <v>26</v>
      </c>
      <c r="AU177" t="s">
        <v>575</v>
      </c>
      <c r="AV177" t="s">
        <v>575</v>
      </c>
      <c r="AW177" t="s">
        <v>576</v>
      </c>
      <c r="AX177" t="s">
        <v>577</v>
      </c>
      <c r="AY177">
        <v>3</v>
      </c>
      <c r="AZ177" t="s">
        <v>578</v>
      </c>
      <c r="BA177" t="s">
        <v>643</v>
      </c>
      <c r="BB177" t="s">
        <v>26</v>
      </c>
      <c r="BC177" t="s">
        <v>312</v>
      </c>
      <c r="BD177" t="s">
        <v>75</v>
      </c>
      <c r="BE177" t="s">
        <v>26</v>
      </c>
      <c r="BF177" t="s">
        <v>26</v>
      </c>
      <c r="BG177">
        <v>429</v>
      </c>
      <c r="BH177" t="s">
        <v>42</v>
      </c>
      <c r="BI177">
        <v>0.35</v>
      </c>
      <c r="BJ177" t="s">
        <v>264</v>
      </c>
      <c r="BK177" t="s">
        <v>507</v>
      </c>
      <c r="BL177" t="s">
        <v>26</v>
      </c>
      <c r="BM177" t="s">
        <v>513</v>
      </c>
      <c r="BN177">
        <v>29136</v>
      </c>
    </row>
    <row r="178" spans="1:66">
      <c r="A178" s="47"/>
      <c r="C178" s="27" t="s">
        <v>2171</v>
      </c>
      <c r="AF178" s="37" t="str">
        <f t="shared" si="5"/>
        <v xml:space="preserve">                    </v>
      </c>
      <c r="AH178">
        <v>1</v>
      </c>
      <c r="AI178" t="s">
        <v>741</v>
      </c>
    </row>
    <row r="179" spans="1:66">
      <c r="A179" s="160">
        <v>500.50599999999997</v>
      </c>
      <c r="C179" s="27" t="s">
        <v>2171</v>
      </c>
      <c r="AF179" s="37"/>
      <c r="AH179">
        <v>2</v>
      </c>
      <c r="AI179" t="s">
        <v>1</v>
      </c>
      <c r="AJ179" t="s">
        <v>742</v>
      </c>
      <c r="AK179" t="s">
        <v>743</v>
      </c>
      <c r="AL179" s="146" t="s">
        <v>2334</v>
      </c>
      <c r="AN179" s="146" t="s">
        <v>1308</v>
      </c>
      <c r="AO179" t="s">
        <v>5</v>
      </c>
    </row>
    <row r="180" spans="1:66">
      <c r="A180" s="47"/>
      <c r="C180" s="27" t="s">
        <v>2171</v>
      </c>
      <c r="AF180" s="37" t="str">
        <f t="shared" ref="AF180:AF186" si="6" xml:space="preserve"> AO180 &amp; REPT(" ",20-LEN(AO180)) &amp; AX180</f>
        <v>Kurzname            Kurzname</v>
      </c>
      <c r="AH180">
        <v>0</v>
      </c>
      <c r="AI180" t="s">
        <v>6</v>
      </c>
      <c r="AJ180" t="s">
        <v>7</v>
      </c>
      <c r="AK180" t="s">
        <v>8</v>
      </c>
      <c r="AL180" t="s">
        <v>9</v>
      </c>
      <c r="AM180" t="s">
        <v>9</v>
      </c>
      <c r="AN180" t="s">
        <v>10</v>
      </c>
      <c r="AO180" t="s">
        <v>11</v>
      </c>
      <c r="AP180" t="s">
        <v>12</v>
      </c>
      <c r="AQ180" t="s">
        <v>13</v>
      </c>
      <c r="AR180" t="s">
        <v>14</v>
      </c>
      <c r="AS180" t="s">
        <v>15</v>
      </c>
      <c r="AT180" t="s">
        <v>8</v>
      </c>
      <c r="AU180" t="s">
        <v>9</v>
      </c>
      <c r="AV180" t="s">
        <v>9</v>
      </c>
      <c r="AW180" t="s">
        <v>16</v>
      </c>
      <c r="AX180" t="s">
        <v>11</v>
      </c>
      <c r="AY180" t="s">
        <v>12</v>
      </c>
      <c r="AZ180" t="s">
        <v>13</v>
      </c>
      <c r="BA180" t="s">
        <v>14</v>
      </c>
      <c r="BB180" t="s">
        <v>15</v>
      </c>
      <c r="BC180" t="s">
        <v>17</v>
      </c>
      <c r="BD180" t="s">
        <v>18</v>
      </c>
      <c r="BE180" t="s">
        <v>19</v>
      </c>
      <c r="BF180" t="s">
        <v>20</v>
      </c>
      <c r="BG180" t="s">
        <v>21</v>
      </c>
      <c r="BH180" t="s">
        <v>22</v>
      </c>
      <c r="BI180" t="s">
        <v>23</v>
      </c>
      <c r="BJ180" t="s">
        <v>24</v>
      </c>
      <c r="BK180" t="s">
        <v>1</v>
      </c>
      <c r="BL180" t="s">
        <v>6</v>
      </c>
    </row>
    <row r="181" spans="1:66">
      <c r="A181" s="160">
        <v>502.50599999999997</v>
      </c>
      <c r="B181" s="27">
        <v>72001</v>
      </c>
      <c r="C181" s="27" t="s">
        <v>2171</v>
      </c>
      <c r="E181" s="27" t="s">
        <v>2148</v>
      </c>
      <c r="AF181" s="37" t="str">
        <f t="shared" si="6"/>
        <v>ESG04A              LSVS01P</v>
      </c>
      <c r="AG181" s="27" t="s">
        <v>2150</v>
      </c>
      <c r="AH181">
        <v>3</v>
      </c>
      <c r="AI181">
        <v>72001</v>
      </c>
      <c r="AJ181" t="s">
        <v>745</v>
      </c>
      <c r="AK181" t="s">
        <v>26</v>
      </c>
      <c r="AL181" t="s">
        <v>746</v>
      </c>
      <c r="AM181" t="s">
        <v>746</v>
      </c>
      <c r="AN181" t="s">
        <v>747</v>
      </c>
      <c r="AO181" t="s">
        <v>748</v>
      </c>
      <c r="AP181">
        <v>4</v>
      </c>
      <c r="AQ181" t="s">
        <v>749</v>
      </c>
      <c r="AR181" t="s">
        <v>111</v>
      </c>
      <c r="AS181" t="s">
        <v>26</v>
      </c>
      <c r="AT181" t="s">
        <v>26</v>
      </c>
      <c r="AU181" t="s">
        <v>750</v>
      </c>
      <c r="AV181" t="s">
        <v>750</v>
      </c>
      <c r="AW181" t="s">
        <v>751</v>
      </c>
      <c r="AX181" t="s">
        <v>752</v>
      </c>
      <c r="AY181">
        <v>1</v>
      </c>
      <c r="AZ181" t="s">
        <v>753</v>
      </c>
      <c r="BA181" t="s">
        <v>111</v>
      </c>
      <c r="BB181" t="s">
        <v>26</v>
      </c>
      <c r="BC181" t="s">
        <v>135</v>
      </c>
      <c r="BD181" t="s">
        <v>75</v>
      </c>
      <c r="BE181" t="s">
        <v>26</v>
      </c>
      <c r="BF181" t="s">
        <v>26</v>
      </c>
      <c r="BG181" s="146">
        <v>1369</v>
      </c>
      <c r="BH181" t="s">
        <v>136</v>
      </c>
      <c r="BI181">
        <v>0.5</v>
      </c>
      <c r="BJ181" t="s">
        <v>754</v>
      </c>
      <c r="BK181" t="s">
        <v>742</v>
      </c>
      <c r="BL181">
        <v>72001</v>
      </c>
    </row>
    <row r="182" spans="1:66">
      <c r="A182" s="160">
        <v>502.50599999999997</v>
      </c>
      <c r="B182" s="27">
        <v>72002</v>
      </c>
      <c r="C182" s="27" t="s">
        <v>2171</v>
      </c>
      <c r="E182" s="27" t="s">
        <v>2148</v>
      </c>
      <c r="AF182" s="37" t="str">
        <f t="shared" si="6"/>
        <v>ESG04A              LSVS01P</v>
      </c>
      <c r="AG182" s="27" t="s">
        <v>2150</v>
      </c>
      <c r="AH182">
        <v>3</v>
      </c>
      <c r="AI182">
        <v>72002</v>
      </c>
      <c r="AJ182" t="s">
        <v>755</v>
      </c>
      <c r="AK182" t="s">
        <v>26</v>
      </c>
      <c r="AL182" t="s">
        <v>746</v>
      </c>
      <c r="AM182" t="s">
        <v>746</v>
      </c>
      <c r="AN182" t="s">
        <v>747</v>
      </c>
      <c r="AO182" t="s">
        <v>748</v>
      </c>
      <c r="AP182">
        <v>1</v>
      </c>
      <c r="AQ182" t="s">
        <v>749</v>
      </c>
      <c r="AR182" t="s">
        <v>111</v>
      </c>
      <c r="AS182" t="s">
        <v>26</v>
      </c>
      <c r="AT182" t="s">
        <v>26</v>
      </c>
      <c r="AU182" t="s">
        <v>750</v>
      </c>
      <c r="AV182" t="s">
        <v>750</v>
      </c>
      <c r="AW182" t="s">
        <v>751</v>
      </c>
      <c r="AX182" t="s">
        <v>752</v>
      </c>
      <c r="AY182">
        <v>2</v>
      </c>
      <c r="AZ182" t="s">
        <v>753</v>
      </c>
      <c r="BA182" t="s">
        <v>111</v>
      </c>
      <c r="BB182" t="s">
        <v>26</v>
      </c>
      <c r="BC182" t="s">
        <v>139</v>
      </c>
      <c r="BD182" t="s">
        <v>75</v>
      </c>
      <c r="BE182" t="s">
        <v>26</v>
      </c>
      <c r="BF182" t="s">
        <v>26</v>
      </c>
      <c r="BG182" s="146">
        <v>1369</v>
      </c>
      <c r="BH182" t="s">
        <v>140</v>
      </c>
      <c r="BI182">
        <v>0.5</v>
      </c>
      <c r="BJ182" t="s">
        <v>756</v>
      </c>
      <c r="BK182" t="s">
        <v>742</v>
      </c>
      <c r="BL182">
        <v>72002</v>
      </c>
    </row>
    <row r="183" spans="1:66">
      <c r="A183" s="47">
        <v>500</v>
      </c>
      <c r="B183" s="27">
        <v>72004</v>
      </c>
      <c r="C183" s="27" t="s">
        <v>2171</v>
      </c>
      <c r="E183" s="27" t="s">
        <v>2148</v>
      </c>
      <c r="AF183" s="37" t="str">
        <f t="shared" si="6"/>
        <v>ESG04A              KS_CPL_C</v>
      </c>
      <c r="AG183" s="27" t="s">
        <v>2150</v>
      </c>
      <c r="AH183">
        <v>3</v>
      </c>
      <c r="AI183">
        <v>72004</v>
      </c>
      <c r="AJ183" t="s">
        <v>757</v>
      </c>
      <c r="AK183" t="s">
        <v>26</v>
      </c>
      <c r="AL183" t="s">
        <v>746</v>
      </c>
      <c r="AM183" t="s">
        <v>746</v>
      </c>
      <c r="AN183" t="s">
        <v>747</v>
      </c>
      <c r="AO183" t="s">
        <v>748</v>
      </c>
      <c r="AP183">
        <v>5</v>
      </c>
      <c r="AQ183" t="s">
        <v>749</v>
      </c>
      <c r="AR183" t="s">
        <v>321</v>
      </c>
      <c r="AS183" t="s">
        <v>26</v>
      </c>
      <c r="AT183" t="s">
        <v>26</v>
      </c>
      <c r="AU183" t="s">
        <v>64</v>
      </c>
      <c r="AV183" t="s">
        <v>64</v>
      </c>
      <c r="AW183" t="s">
        <v>119</v>
      </c>
      <c r="AX183" t="s">
        <v>120</v>
      </c>
      <c r="AY183">
        <v>7</v>
      </c>
      <c r="AZ183" s="146" t="s">
        <v>191</v>
      </c>
      <c r="BA183" t="s">
        <v>214</v>
      </c>
      <c r="BB183" t="s">
        <v>26</v>
      </c>
      <c r="BC183" t="s">
        <v>215</v>
      </c>
      <c r="BD183" t="s">
        <v>75</v>
      </c>
      <c r="BE183" t="s">
        <v>26</v>
      </c>
      <c r="BF183" t="s">
        <v>26</v>
      </c>
      <c r="BG183" s="146">
        <v>1613</v>
      </c>
      <c r="BH183" t="s">
        <v>216</v>
      </c>
      <c r="BI183">
        <v>0.13</v>
      </c>
      <c r="BJ183" t="s">
        <v>758</v>
      </c>
      <c r="BK183" t="s">
        <v>742</v>
      </c>
      <c r="BL183">
        <v>72004</v>
      </c>
    </row>
    <row r="184" spans="1:66">
      <c r="A184" s="47">
        <v>506</v>
      </c>
      <c r="B184" s="27">
        <v>72005</v>
      </c>
      <c r="C184" s="27" t="s">
        <v>2171</v>
      </c>
      <c r="E184" s="27" t="s">
        <v>2148</v>
      </c>
      <c r="AF184" s="37" t="str">
        <f t="shared" si="6"/>
        <v>STO51A              ESG04A</v>
      </c>
      <c r="AG184" s="27" t="s">
        <v>2150</v>
      </c>
      <c r="AH184">
        <v>3</v>
      </c>
      <c r="AI184">
        <v>72005</v>
      </c>
      <c r="AJ184" t="s">
        <v>759</v>
      </c>
      <c r="AK184" t="s">
        <v>26</v>
      </c>
      <c r="AL184" t="s">
        <v>219</v>
      </c>
      <c r="AM184" t="s">
        <v>219</v>
      </c>
      <c r="AN184" t="s">
        <v>220</v>
      </c>
      <c r="AO184" t="s">
        <v>221</v>
      </c>
      <c r="AP184" t="s">
        <v>632</v>
      </c>
      <c r="AQ184" t="s">
        <v>223</v>
      </c>
      <c r="AR184" t="s">
        <v>224</v>
      </c>
      <c r="AS184" t="s">
        <v>26</v>
      </c>
      <c r="AT184" t="s">
        <v>26</v>
      </c>
      <c r="AU184" t="s">
        <v>746</v>
      </c>
      <c r="AV184" t="s">
        <v>746</v>
      </c>
      <c r="AW184" t="s">
        <v>747</v>
      </c>
      <c r="AX184" t="s">
        <v>748</v>
      </c>
      <c r="AY184">
        <v>6</v>
      </c>
      <c r="AZ184" t="s">
        <v>749</v>
      </c>
      <c r="BA184" t="s">
        <v>384</v>
      </c>
      <c r="BB184" t="s">
        <v>26</v>
      </c>
      <c r="BC184" t="s">
        <v>760</v>
      </c>
      <c r="BD184" t="s">
        <v>75</v>
      </c>
      <c r="BE184" t="s">
        <v>26</v>
      </c>
      <c r="BF184" t="s">
        <v>26</v>
      </c>
      <c r="BG184" s="146">
        <v>840</v>
      </c>
      <c r="BH184" t="s">
        <v>124</v>
      </c>
      <c r="BI184">
        <v>1</v>
      </c>
      <c r="BJ184" t="s">
        <v>761</v>
      </c>
      <c r="BK184" t="s">
        <v>742</v>
      </c>
      <c r="BL184">
        <v>72005</v>
      </c>
    </row>
    <row r="185" spans="1:66">
      <c r="A185" s="47">
        <v>506</v>
      </c>
      <c r="B185" s="27">
        <v>72011</v>
      </c>
      <c r="C185" s="27" t="s">
        <v>2171</v>
      </c>
      <c r="E185" s="27" t="s">
        <v>2148</v>
      </c>
      <c r="F185" s="27" t="s">
        <v>2156</v>
      </c>
      <c r="G185" s="27" t="s">
        <v>267</v>
      </c>
      <c r="K185" s="27" t="s">
        <v>2153</v>
      </c>
      <c r="L185" s="27" t="s">
        <v>2154</v>
      </c>
      <c r="M185" s="27" t="s">
        <v>2148</v>
      </c>
      <c r="O185" s="27" t="s">
        <v>2157</v>
      </c>
      <c r="AF185" s="37" t="str">
        <f t="shared" si="6"/>
        <v>SP_MB32_B1          ESG04A</v>
      </c>
      <c r="AG185" s="27" t="s">
        <v>2150</v>
      </c>
      <c r="AH185">
        <v>3</v>
      </c>
      <c r="AI185">
        <v>72011</v>
      </c>
      <c r="AJ185" t="s">
        <v>762</v>
      </c>
      <c r="AK185" t="s">
        <v>26</v>
      </c>
      <c r="AL185" t="s">
        <v>26</v>
      </c>
      <c r="AM185" t="s">
        <v>266</v>
      </c>
      <c r="AN185">
        <v>199</v>
      </c>
      <c r="AO185" t="s">
        <v>267</v>
      </c>
      <c r="AP185">
        <v>1</v>
      </c>
      <c r="AQ185" t="s">
        <v>268</v>
      </c>
      <c r="AR185" t="s">
        <v>26</v>
      </c>
      <c r="AS185" t="s">
        <v>26</v>
      </c>
      <c r="AT185" t="s">
        <v>26</v>
      </c>
      <c r="AU185" t="s">
        <v>746</v>
      </c>
      <c r="AV185" t="s">
        <v>746</v>
      </c>
      <c r="AW185" t="s">
        <v>747</v>
      </c>
      <c r="AX185" t="s">
        <v>748</v>
      </c>
      <c r="AY185">
        <v>3</v>
      </c>
      <c r="AZ185" t="s">
        <v>749</v>
      </c>
      <c r="BA185" t="s">
        <v>384</v>
      </c>
      <c r="BB185" t="s">
        <v>26</v>
      </c>
      <c r="BC185" t="s">
        <v>502</v>
      </c>
      <c r="BD185" t="s">
        <v>75</v>
      </c>
      <c r="BE185" t="s">
        <v>26</v>
      </c>
      <c r="BF185" t="s">
        <v>26</v>
      </c>
      <c r="BG185" s="146">
        <v>604</v>
      </c>
      <c r="BH185" t="s">
        <v>42</v>
      </c>
      <c r="BI185">
        <v>1</v>
      </c>
      <c r="BJ185" t="s">
        <v>200</v>
      </c>
      <c r="BK185" t="s">
        <v>742</v>
      </c>
      <c r="BL185">
        <v>72011</v>
      </c>
    </row>
    <row r="186" spans="1:66">
      <c r="A186" s="47"/>
      <c r="C186" s="27" t="s">
        <v>2172</v>
      </c>
      <c r="AF186" s="37" t="str">
        <f t="shared" si="6"/>
        <v xml:space="preserve">                    </v>
      </c>
      <c r="AH186">
        <v>1</v>
      </c>
      <c r="AI186" t="s">
        <v>763</v>
      </c>
    </row>
    <row r="187" spans="1:66">
      <c r="A187" s="47">
        <v>500.50099999999998</v>
      </c>
      <c r="C187" s="27" t="s">
        <v>2172</v>
      </c>
      <c r="AF187" s="37"/>
      <c r="AH187">
        <v>2</v>
      </c>
      <c r="AI187" t="s">
        <v>1</v>
      </c>
      <c r="AJ187" t="s">
        <v>764</v>
      </c>
      <c r="AK187" t="s">
        <v>765</v>
      </c>
      <c r="AL187" s="146" t="s">
        <v>2304</v>
      </c>
      <c r="AN187" t="s">
        <v>766</v>
      </c>
      <c r="AO187" t="s">
        <v>5</v>
      </c>
    </row>
    <row r="188" spans="1:66">
      <c r="A188" s="47">
        <v>500.50599999999997</v>
      </c>
      <c r="C188" s="27" t="s">
        <v>2172</v>
      </c>
      <c r="AF188" s="37"/>
      <c r="AH188">
        <v>2</v>
      </c>
      <c r="AI188" t="s">
        <v>509</v>
      </c>
      <c r="AJ188" t="s">
        <v>767</v>
      </c>
      <c r="AK188" t="s">
        <v>768</v>
      </c>
      <c r="AL188" s="146" t="s">
        <v>2335</v>
      </c>
      <c r="AN188" s="146" t="s">
        <v>2300</v>
      </c>
      <c r="AO188" t="s">
        <v>5</v>
      </c>
    </row>
    <row r="189" spans="1:66">
      <c r="A189" s="47"/>
      <c r="C189" s="27" t="s">
        <v>2172</v>
      </c>
      <c r="AF189" s="37" t="str">
        <f t="shared" ref="AF189:AF232" si="7" xml:space="preserve"> AO189 &amp; REPT(" ",20-LEN(AO189)) &amp; AX189</f>
        <v>Kurzname            Kurzname</v>
      </c>
      <c r="AH189">
        <v>0</v>
      </c>
      <c r="AI189" t="s">
        <v>6</v>
      </c>
      <c r="AJ189" t="s">
        <v>7</v>
      </c>
      <c r="AK189" t="s">
        <v>8</v>
      </c>
      <c r="AL189" t="s">
        <v>9</v>
      </c>
      <c r="AM189" t="s">
        <v>9</v>
      </c>
      <c r="AN189" t="s">
        <v>10</v>
      </c>
      <c r="AO189" t="s">
        <v>11</v>
      </c>
      <c r="AP189" t="s">
        <v>12</v>
      </c>
      <c r="AQ189" t="s">
        <v>13</v>
      </c>
      <c r="AR189" t="s">
        <v>14</v>
      </c>
      <c r="AS189" t="s">
        <v>15</v>
      </c>
      <c r="AT189" t="s">
        <v>8</v>
      </c>
      <c r="AU189" t="s">
        <v>9</v>
      </c>
      <c r="AV189" t="s">
        <v>9</v>
      </c>
      <c r="AW189" t="s">
        <v>16</v>
      </c>
      <c r="AX189" t="s">
        <v>11</v>
      </c>
      <c r="AY189" t="s">
        <v>12</v>
      </c>
      <c r="AZ189" t="s">
        <v>13</v>
      </c>
      <c r="BA189" t="s">
        <v>14</v>
      </c>
      <c r="BB189" t="s">
        <v>15</v>
      </c>
      <c r="BC189" t="s">
        <v>17</v>
      </c>
      <c r="BD189" t="s">
        <v>18</v>
      </c>
      <c r="BE189" t="s">
        <v>19</v>
      </c>
      <c r="BF189" t="s">
        <v>20</v>
      </c>
      <c r="BG189" t="s">
        <v>21</v>
      </c>
      <c r="BH189" t="s">
        <v>22</v>
      </c>
      <c r="BI189" t="s">
        <v>23</v>
      </c>
      <c r="BJ189" t="s">
        <v>24</v>
      </c>
      <c r="BK189" t="s">
        <v>1</v>
      </c>
      <c r="BL189" t="s">
        <v>509</v>
      </c>
      <c r="BM189" t="s">
        <v>6</v>
      </c>
    </row>
    <row r="190" spans="1:66">
      <c r="A190" s="47">
        <v>506</v>
      </c>
      <c r="B190" s="27">
        <v>76005</v>
      </c>
      <c r="C190" s="27" t="s">
        <v>2172</v>
      </c>
      <c r="E190" s="27" t="s">
        <v>2148</v>
      </c>
      <c r="F190" s="27" t="s">
        <v>2152</v>
      </c>
      <c r="G190" s="27" t="s">
        <v>772</v>
      </c>
      <c r="K190" s="27" t="s">
        <v>2153</v>
      </c>
      <c r="L190" s="27" t="s">
        <v>2148</v>
      </c>
      <c r="M190" s="27" t="s">
        <v>2154</v>
      </c>
      <c r="AF190" s="37" t="str">
        <f t="shared" si="7"/>
        <v>SP_MTVR_P           MIB_A</v>
      </c>
      <c r="AG190" s="27" t="s">
        <v>2150</v>
      </c>
      <c r="AH190">
        <v>3</v>
      </c>
      <c r="AI190">
        <v>76005</v>
      </c>
      <c r="AJ190" t="s">
        <v>769</v>
      </c>
      <c r="AK190" t="s">
        <v>26</v>
      </c>
      <c r="AL190" t="s">
        <v>26</v>
      </c>
      <c r="AM190" t="s">
        <v>770</v>
      </c>
      <c r="AN190" t="s">
        <v>771</v>
      </c>
      <c r="AO190" t="s">
        <v>772</v>
      </c>
      <c r="AP190">
        <v>1</v>
      </c>
      <c r="AQ190" t="s">
        <v>773</v>
      </c>
      <c r="AR190" t="s">
        <v>26</v>
      </c>
      <c r="AS190" t="s">
        <v>26</v>
      </c>
      <c r="AT190" t="s">
        <v>26</v>
      </c>
      <c r="AU190" t="s">
        <v>32</v>
      </c>
      <c r="AV190" t="s">
        <v>33</v>
      </c>
      <c r="AW190" t="s">
        <v>774</v>
      </c>
      <c r="AX190" t="s">
        <v>775</v>
      </c>
      <c r="AY190">
        <v>2</v>
      </c>
      <c r="AZ190" t="s">
        <v>776</v>
      </c>
      <c r="BA190" t="s">
        <v>777</v>
      </c>
      <c r="BB190" t="s">
        <v>26</v>
      </c>
      <c r="BC190" t="s">
        <v>778</v>
      </c>
      <c r="BD190" t="s">
        <v>75</v>
      </c>
      <c r="BE190" t="s">
        <v>779</v>
      </c>
      <c r="BF190" t="s">
        <v>780</v>
      </c>
      <c r="BG190" s="146">
        <v>1621</v>
      </c>
      <c r="BH190" t="s">
        <v>735</v>
      </c>
      <c r="BI190">
        <v>0.75</v>
      </c>
      <c r="BJ190" t="s">
        <v>781</v>
      </c>
      <c r="BK190" t="s">
        <v>764</v>
      </c>
      <c r="BL190" t="s">
        <v>26</v>
      </c>
      <c r="BM190">
        <v>76005</v>
      </c>
    </row>
    <row r="191" spans="1:66">
      <c r="A191" s="47">
        <v>506</v>
      </c>
      <c r="B191" s="27">
        <v>76006</v>
      </c>
      <c r="C191" s="27" t="s">
        <v>2172</v>
      </c>
      <c r="E191" s="27" t="s">
        <v>2148</v>
      </c>
      <c r="F191" s="27" t="s">
        <v>2152</v>
      </c>
      <c r="G191" s="27" t="s">
        <v>785</v>
      </c>
      <c r="K191" s="27" t="s">
        <v>2153</v>
      </c>
      <c r="L191" s="27" t="s">
        <v>2148</v>
      </c>
      <c r="M191" s="27" t="s">
        <v>2154</v>
      </c>
      <c r="AF191" s="37" t="str">
        <f t="shared" si="7"/>
        <v>SP_MTVR_M           MIB_A</v>
      </c>
      <c r="AG191" s="27" t="s">
        <v>2150</v>
      </c>
      <c r="AH191">
        <v>3</v>
      </c>
      <c r="AI191">
        <v>76006</v>
      </c>
      <c r="AJ191" t="s">
        <v>782</v>
      </c>
      <c r="AK191" t="s">
        <v>26</v>
      </c>
      <c r="AL191" t="s">
        <v>26</v>
      </c>
      <c r="AM191" t="s">
        <v>783</v>
      </c>
      <c r="AN191" t="s">
        <v>784</v>
      </c>
      <c r="AO191" t="s">
        <v>785</v>
      </c>
      <c r="AP191">
        <v>1</v>
      </c>
      <c r="AQ191" t="s">
        <v>773</v>
      </c>
      <c r="AR191" t="s">
        <v>26</v>
      </c>
      <c r="AS191" t="s">
        <v>26</v>
      </c>
      <c r="AT191" t="s">
        <v>26</v>
      </c>
      <c r="AU191" t="s">
        <v>32</v>
      </c>
      <c r="AV191" t="s">
        <v>33</v>
      </c>
      <c r="AW191" t="s">
        <v>774</v>
      </c>
      <c r="AX191" t="s">
        <v>775</v>
      </c>
      <c r="AY191">
        <v>6</v>
      </c>
      <c r="AZ191" t="s">
        <v>776</v>
      </c>
      <c r="BA191" t="s">
        <v>777</v>
      </c>
      <c r="BB191" t="s">
        <v>26</v>
      </c>
      <c r="BC191" t="s">
        <v>778</v>
      </c>
      <c r="BD191" t="s">
        <v>75</v>
      </c>
      <c r="BE191" t="s">
        <v>779</v>
      </c>
      <c r="BF191" t="s">
        <v>786</v>
      </c>
      <c r="BG191" s="146">
        <v>1591</v>
      </c>
      <c r="BH191" t="s">
        <v>787</v>
      </c>
      <c r="BI191">
        <v>0.75</v>
      </c>
      <c r="BJ191" t="s">
        <v>788</v>
      </c>
      <c r="BK191" t="s">
        <v>764</v>
      </c>
      <c r="BL191" t="s">
        <v>26</v>
      </c>
      <c r="BM191">
        <v>76006</v>
      </c>
    </row>
    <row r="192" spans="1:66">
      <c r="A192" s="47"/>
      <c r="B192" s="27">
        <v>76007</v>
      </c>
      <c r="C192" s="27" t="s">
        <v>2172</v>
      </c>
      <c r="E192" s="27" t="s">
        <v>2148</v>
      </c>
      <c r="F192" s="27" t="s">
        <v>2152</v>
      </c>
      <c r="G192" s="27" t="s">
        <v>792</v>
      </c>
      <c r="K192" s="27" t="s">
        <v>2153</v>
      </c>
      <c r="L192" s="27" t="s">
        <v>2148</v>
      </c>
      <c r="M192" s="27" t="s">
        <v>2154</v>
      </c>
      <c r="AF192" s="37" t="str">
        <f t="shared" si="7"/>
        <v>SP_MTVL_P           MIB_A</v>
      </c>
      <c r="AG192" s="27" t="s">
        <v>2150</v>
      </c>
      <c r="AH192">
        <v>3</v>
      </c>
      <c r="AI192">
        <v>76007</v>
      </c>
      <c r="AJ192" t="s">
        <v>789</v>
      </c>
      <c r="AK192" t="s">
        <v>26</v>
      </c>
      <c r="AL192" t="s">
        <v>26</v>
      </c>
      <c r="AM192" t="s">
        <v>790</v>
      </c>
      <c r="AN192" t="s">
        <v>791</v>
      </c>
      <c r="AO192" t="s">
        <v>792</v>
      </c>
      <c r="AP192">
        <v>1</v>
      </c>
      <c r="AQ192" t="s">
        <v>793</v>
      </c>
      <c r="AR192" t="s">
        <v>26</v>
      </c>
      <c r="AS192" t="s">
        <v>26</v>
      </c>
      <c r="AT192" t="s">
        <v>26</v>
      </c>
      <c r="AU192" t="s">
        <v>32</v>
      </c>
      <c r="AV192" t="s">
        <v>33</v>
      </c>
      <c r="AW192" t="s">
        <v>774</v>
      </c>
      <c r="AX192" t="s">
        <v>775</v>
      </c>
      <c r="AY192">
        <v>3</v>
      </c>
      <c r="AZ192" t="s">
        <v>776</v>
      </c>
      <c r="BA192" t="s">
        <v>777</v>
      </c>
      <c r="BB192" t="s">
        <v>26</v>
      </c>
      <c r="BC192" t="s">
        <v>794</v>
      </c>
      <c r="BD192" t="s">
        <v>75</v>
      </c>
      <c r="BE192" t="s">
        <v>795</v>
      </c>
      <c r="BF192" t="s">
        <v>780</v>
      </c>
      <c r="BG192">
        <v>1442</v>
      </c>
      <c r="BH192" t="s">
        <v>735</v>
      </c>
      <c r="BI192">
        <v>0.75</v>
      </c>
      <c r="BJ192" t="s">
        <v>796</v>
      </c>
      <c r="BK192" t="s">
        <v>764</v>
      </c>
      <c r="BL192" t="s">
        <v>26</v>
      </c>
      <c r="BM192">
        <v>76007</v>
      </c>
    </row>
    <row r="193" spans="1:65">
      <c r="A193" s="47"/>
      <c r="B193" s="27">
        <v>76008</v>
      </c>
      <c r="C193" s="27" t="s">
        <v>2172</v>
      </c>
      <c r="E193" s="27" t="s">
        <v>2148</v>
      </c>
      <c r="F193" s="27" t="s">
        <v>2152</v>
      </c>
      <c r="G193" s="27" t="s">
        <v>800</v>
      </c>
      <c r="K193" s="27" t="s">
        <v>2153</v>
      </c>
      <c r="L193" s="27" t="s">
        <v>2148</v>
      </c>
      <c r="M193" s="27" t="s">
        <v>2154</v>
      </c>
      <c r="AF193" s="37" t="str">
        <f t="shared" si="7"/>
        <v>SP_MTVL_M           MIB_A</v>
      </c>
      <c r="AG193" s="27" t="s">
        <v>2150</v>
      </c>
      <c r="AH193">
        <v>3</v>
      </c>
      <c r="AI193">
        <v>76008</v>
      </c>
      <c r="AJ193" t="s">
        <v>797</v>
      </c>
      <c r="AK193" t="s">
        <v>26</v>
      </c>
      <c r="AL193" t="s">
        <v>26</v>
      </c>
      <c r="AM193" t="s">
        <v>798</v>
      </c>
      <c r="AN193" t="s">
        <v>799</v>
      </c>
      <c r="AO193" t="s">
        <v>800</v>
      </c>
      <c r="AP193">
        <v>1</v>
      </c>
      <c r="AQ193" t="s">
        <v>801</v>
      </c>
      <c r="AR193" t="s">
        <v>26</v>
      </c>
      <c r="AS193" t="s">
        <v>26</v>
      </c>
      <c r="AT193" t="s">
        <v>26</v>
      </c>
      <c r="AU193" t="s">
        <v>32</v>
      </c>
      <c r="AV193" t="s">
        <v>33</v>
      </c>
      <c r="AW193" t="s">
        <v>774</v>
      </c>
      <c r="AX193" t="s">
        <v>775</v>
      </c>
      <c r="AY193">
        <v>7</v>
      </c>
      <c r="AZ193" t="s">
        <v>776</v>
      </c>
      <c r="BA193" t="s">
        <v>777</v>
      </c>
      <c r="BB193" t="s">
        <v>26</v>
      </c>
      <c r="BC193" t="s">
        <v>794</v>
      </c>
      <c r="BD193" t="s">
        <v>75</v>
      </c>
      <c r="BE193" t="s">
        <v>795</v>
      </c>
      <c r="BF193" t="s">
        <v>802</v>
      </c>
      <c r="BG193">
        <v>1475</v>
      </c>
      <c r="BH193" t="s">
        <v>570</v>
      </c>
      <c r="BI193">
        <v>0.75</v>
      </c>
      <c r="BJ193" t="s">
        <v>803</v>
      </c>
      <c r="BK193" t="s">
        <v>764</v>
      </c>
      <c r="BL193" t="s">
        <v>26</v>
      </c>
      <c r="BM193">
        <v>76008</v>
      </c>
    </row>
    <row r="194" spans="1:65">
      <c r="A194" s="47">
        <v>506</v>
      </c>
      <c r="B194" s="27">
        <v>76013</v>
      </c>
      <c r="C194" s="27" t="s">
        <v>2172</v>
      </c>
      <c r="E194" s="27" t="s">
        <v>2148</v>
      </c>
      <c r="AF194" s="37" t="str">
        <f t="shared" si="7"/>
        <v>KS_CPR_B            MIB_A</v>
      </c>
      <c r="AG194" s="27" t="s">
        <v>2150</v>
      </c>
      <c r="AH194">
        <v>3</v>
      </c>
      <c r="AI194">
        <v>76013</v>
      </c>
      <c r="AJ194" t="s">
        <v>804</v>
      </c>
      <c r="AK194" t="s">
        <v>26</v>
      </c>
      <c r="AL194" t="s">
        <v>131</v>
      </c>
      <c r="AM194" t="s">
        <v>131</v>
      </c>
      <c r="AN194" t="s">
        <v>132</v>
      </c>
      <c r="AO194" t="s">
        <v>133</v>
      </c>
      <c r="AP194">
        <v>3</v>
      </c>
      <c r="AQ194" t="s">
        <v>134</v>
      </c>
      <c r="AR194" t="s">
        <v>805</v>
      </c>
      <c r="AS194" t="s">
        <v>26</v>
      </c>
      <c r="AT194" t="s">
        <v>26</v>
      </c>
      <c r="AU194" t="s">
        <v>32</v>
      </c>
      <c r="AV194" t="s">
        <v>33</v>
      </c>
      <c r="AW194" t="s">
        <v>774</v>
      </c>
      <c r="AX194" t="s">
        <v>775</v>
      </c>
      <c r="AY194">
        <v>1</v>
      </c>
      <c r="AZ194" t="s">
        <v>776</v>
      </c>
      <c r="BA194" t="s">
        <v>806</v>
      </c>
      <c r="BB194" t="s">
        <v>26</v>
      </c>
      <c r="BC194" t="s">
        <v>807</v>
      </c>
      <c r="BD194" t="s">
        <v>75</v>
      </c>
      <c r="BE194" t="s">
        <v>808</v>
      </c>
      <c r="BF194" t="s">
        <v>809</v>
      </c>
      <c r="BG194" s="146">
        <v>1867</v>
      </c>
      <c r="BH194" t="s">
        <v>810</v>
      </c>
      <c r="BI194">
        <v>1.5</v>
      </c>
      <c r="BJ194" t="s">
        <v>811</v>
      </c>
      <c r="BK194" t="s">
        <v>764</v>
      </c>
      <c r="BL194" t="s">
        <v>26</v>
      </c>
      <c r="BM194">
        <v>76013</v>
      </c>
    </row>
    <row r="195" spans="1:65">
      <c r="A195" s="47"/>
      <c r="B195" s="27">
        <v>76014</v>
      </c>
      <c r="C195" s="27" t="s">
        <v>2172</v>
      </c>
      <c r="E195" s="27" t="s">
        <v>2148</v>
      </c>
      <c r="AF195" s="37" t="str">
        <f t="shared" si="7"/>
        <v>KS_CPL_A            MIB_A</v>
      </c>
      <c r="AG195" s="27" t="s">
        <v>2150</v>
      </c>
      <c r="AH195">
        <v>3</v>
      </c>
      <c r="AI195">
        <v>76014</v>
      </c>
      <c r="AJ195" t="s">
        <v>812</v>
      </c>
      <c r="AK195" t="s">
        <v>26</v>
      </c>
      <c r="AL195" t="s">
        <v>64</v>
      </c>
      <c r="AM195" t="s">
        <v>64</v>
      </c>
      <c r="AN195" t="s">
        <v>261</v>
      </c>
      <c r="AO195" t="s">
        <v>262</v>
      </c>
      <c r="AP195">
        <v>3</v>
      </c>
      <c r="AQ195" t="s">
        <v>263</v>
      </c>
      <c r="AR195" t="s">
        <v>805</v>
      </c>
      <c r="AS195" t="s">
        <v>26</v>
      </c>
      <c r="AT195" t="s">
        <v>26</v>
      </c>
      <c r="AU195" t="s">
        <v>32</v>
      </c>
      <c r="AV195" t="s">
        <v>33</v>
      </c>
      <c r="AW195" t="s">
        <v>774</v>
      </c>
      <c r="AX195" t="s">
        <v>775</v>
      </c>
      <c r="AY195">
        <v>4</v>
      </c>
      <c r="AZ195" t="s">
        <v>776</v>
      </c>
      <c r="BA195" t="s">
        <v>806</v>
      </c>
      <c r="BB195" t="s">
        <v>26</v>
      </c>
      <c r="BC195" t="s">
        <v>813</v>
      </c>
      <c r="BD195" t="s">
        <v>75</v>
      </c>
      <c r="BE195" t="s">
        <v>814</v>
      </c>
      <c r="BF195" t="s">
        <v>809</v>
      </c>
      <c r="BG195">
        <v>1987</v>
      </c>
      <c r="BH195" t="s">
        <v>810</v>
      </c>
      <c r="BI195">
        <v>1.5</v>
      </c>
      <c r="BJ195" t="s">
        <v>815</v>
      </c>
      <c r="BK195" t="s">
        <v>764</v>
      </c>
      <c r="BL195" t="s">
        <v>26</v>
      </c>
      <c r="BM195">
        <v>76014</v>
      </c>
    </row>
    <row r="196" spans="1:65">
      <c r="A196" s="47">
        <v>506</v>
      </c>
      <c r="B196" s="27">
        <v>76015</v>
      </c>
      <c r="C196" s="27" t="s">
        <v>2172</v>
      </c>
      <c r="E196" s="27" t="s">
        <v>2148</v>
      </c>
      <c r="AF196" s="37" t="str">
        <f t="shared" si="7"/>
        <v>KS_CPR_B            MIB_A</v>
      </c>
      <c r="AG196" s="27" t="s">
        <v>2150</v>
      </c>
      <c r="AH196">
        <v>3</v>
      </c>
      <c r="AI196">
        <v>76015</v>
      </c>
      <c r="AJ196" t="s">
        <v>816</v>
      </c>
      <c r="AK196" t="s">
        <v>26</v>
      </c>
      <c r="AL196" t="s">
        <v>131</v>
      </c>
      <c r="AM196" t="s">
        <v>131</v>
      </c>
      <c r="AN196" t="s">
        <v>132</v>
      </c>
      <c r="AO196" t="s">
        <v>133</v>
      </c>
      <c r="AP196">
        <v>4</v>
      </c>
      <c r="AQ196" t="s">
        <v>134</v>
      </c>
      <c r="AR196" t="s">
        <v>805</v>
      </c>
      <c r="AS196" t="s">
        <v>26</v>
      </c>
      <c r="AT196" t="s">
        <v>26</v>
      </c>
      <c r="AU196" t="s">
        <v>32</v>
      </c>
      <c r="AV196" t="s">
        <v>33</v>
      </c>
      <c r="AW196" t="s">
        <v>774</v>
      </c>
      <c r="AX196" t="s">
        <v>775</v>
      </c>
      <c r="AY196">
        <v>5</v>
      </c>
      <c r="AZ196" t="s">
        <v>776</v>
      </c>
      <c r="BA196" t="s">
        <v>806</v>
      </c>
      <c r="BB196" t="s">
        <v>26</v>
      </c>
      <c r="BC196" t="s">
        <v>807</v>
      </c>
      <c r="BD196" t="s">
        <v>75</v>
      </c>
      <c r="BE196" t="s">
        <v>808</v>
      </c>
      <c r="BF196" t="s">
        <v>817</v>
      </c>
      <c r="BG196" s="146">
        <v>1867</v>
      </c>
      <c r="BH196" t="s">
        <v>140</v>
      </c>
      <c r="BI196">
        <v>1.5</v>
      </c>
      <c r="BJ196" t="s">
        <v>818</v>
      </c>
      <c r="BK196" t="s">
        <v>764</v>
      </c>
      <c r="BL196" t="s">
        <v>26</v>
      </c>
      <c r="BM196">
        <v>76015</v>
      </c>
    </row>
    <row r="197" spans="1:65">
      <c r="A197" s="47"/>
      <c r="B197" s="27">
        <v>76016</v>
      </c>
      <c r="C197" s="27" t="s">
        <v>2172</v>
      </c>
      <c r="E197" s="27" t="s">
        <v>2148</v>
      </c>
      <c r="AF197" s="37" t="str">
        <f t="shared" si="7"/>
        <v>KS_CPL_A            MIB_A</v>
      </c>
      <c r="AG197" s="27" t="s">
        <v>2150</v>
      </c>
      <c r="AH197">
        <v>3</v>
      </c>
      <c r="AI197">
        <v>76016</v>
      </c>
      <c r="AJ197" t="s">
        <v>819</v>
      </c>
      <c r="AK197" t="s">
        <v>26</v>
      </c>
      <c r="AL197" t="s">
        <v>64</v>
      </c>
      <c r="AM197" t="s">
        <v>64</v>
      </c>
      <c r="AN197" t="s">
        <v>261</v>
      </c>
      <c r="AO197" t="s">
        <v>262</v>
      </c>
      <c r="AP197">
        <v>4</v>
      </c>
      <c r="AQ197" t="s">
        <v>263</v>
      </c>
      <c r="AR197" t="s">
        <v>805</v>
      </c>
      <c r="AS197" t="s">
        <v>26</v>
      </c>
      <c r="AT197" t="s">
        <v>26</v>
      </c>
      <c r="AU197" t="s">
        <v>32</v>
      </c>
      <c r="AV197" t="s">
        <v>33</v>
      </c>
      <c r="AW197" t="s">
        <v>774</v>
      </c>
      <c r="AX197" t="s">
        <v>775</v>
      </c>
      <c r="AY197">
        <v>8</v>
      </c>
      <c r="AZ197" t="s">
        <v>776</v>
      </c>
      <c r="BA197" t="s">
        <v>806</v>
      </c>
      <c r="BB197" t="s">
        <v>26</v>
      </c>
      <c r="BC197" t="s">
        <v>813</v>
      </c>
      <c r="BD197" t="s">
        <v>75</v>
      </c>
      <c r="BE197" t="s">
        <v>814</v>
      </c>
      <c r="BF197" t="s">
        <v>820</v>
      </c>
      <c r="BG197">
        <v>1987</v>
      </c>
      <c r="BH197" t="s">
        <v>821</v>
      </c>
      <c r="BI197">
        <v>1.5</v>
      </c>
      <c r="BJ197" t="s">
        <v>822</v>
      </c>
      <c r="BK197" t="s">
        <v>764</v>
      </c>
      <c r="BL197" t="s">
        <v>26</v>
      </c>
      <c r="BM197">
        <v>76016</v>
      </c>
    </row>
    <row r="198" spans="1:65">
      <c r="A198" s="47">
        <v>501</v>
      </c>
      <c r="B198" s="27">
        <v>76017</v>
      </c>
      <c r="C198" s="27" t="s">
        <v>2172</v>
      </c>
      <c r="E198" s="27" t="s">
        <v>2148</v>
      </c>
      <c r="AF198" s="37" t="str">
        <f t="shared" si="7"/>
        <v>MIB_A               LS_HT_VL</v>
      </c>
      <c r="AG198" s="27" t="s">
        <v>2150</v>
      </c>
      <c r="AH198">
        <v>3</v>
      </c>
      <c r="AI198">
        <v>76017</v>
      </c>
      <c r="AJ198" t="s">
        <v>823</v>
      </c>
      <c r="AK198" t="s">
        <v>26</v>
      </c>
      <c r="AL198" t="s">
        <v>32</v>
      </c>
      <c r="AM198" t="s">
        <v>33</v>
      </c>
      <c r="AN198" t="s">
        <v>774</v>
      </c>
      <c r="AO198" t="s">
        <v>775</v>
      </c>
      <c r="AP198">
        <v>1</v>
      </c>
      <c r="AQ198" t="s">
        <v>776</v>
      </c>
      <c r="AR198" t="s">
        <v>777</v>
      </c>
      <c r="AS198" t="s">
        <v>26</v>
      </c>
      <c r="AT198" t="s">
        <v>26</v>
      </c>
      <c r="AU198" t="s">
        <v>824</v>
      </c>
      <c r="AV198" t="s">
        <v>825</v>
      </c>
      <c r="AW198" t="s">
        <v>826</v>
      </c>
      <c r="AX198" t="s">
        <v>827</v>
      </c>
      <c r="AY198">
        <v>1</v>
      </c>
      <c r="AZ198" t="s">
        <v>828</v>
      </c>
      <c r="BA198" t="s">
        <v>111</v>
      </c>
      <c r="BB198" t="s">
        <v>26</v>
      </c>
      <c r="BC198" t="s">
        <v>829</v>
      </c>
      <c r="BD198" t="s">
        <v>75</v>
      </c>
      <c r="BE198" t="s">
        <v>830</v>
      </c>
      <c r="BF198" t="s">
        <v>831</v>
      </c>
      <c r="BG198" s="146">
        <v>1665</v>
      </c>
      <c r="BH198" t="s">
        <v>161</v>
      </c>
      <c r="BI198">
        <v>0.75</v>
      </c>
      <c r="BJ198" t="s">
        <v>832</v>
      </c>
      <c r="BK198" t="s">
        <v>26</v>
      </c>
      <c r="BL198" t="s">
        <v>767</v>
      </c>
      <c r="BM198">
        <v>76017</v>
      </c>
    </row>
    <row r="199" spans="1:65">
      <c r="A199" s="47">
        <v>501</v>
      </c>
      <c r="B199" s="27">
        <v>76018</v>
      </c>
      <c r="C199" s="27" t="s">
        <v>2172</v>
      </c>
      <c r="E199" s="27" t="s">
        <v>2148</v>
      </c>
      <c r="AF199" s="37" t="str">
        <f t="shared" si="7"/>
        <v>LS_HT_VL            MIB_A</v>
      </c>
      <c r="AG199" s="27" t="s">
        <v>2150</v>
      </c>
      <c r="AH199">
        <v>3</v>
      </c>
      <c r="AI199">
        <v>76018</v>
      </c>
      <c r="AJ199" t="s">
        <v>833</v>
      </c>
      <c r="AK199" t="s">
        <v>26</v>
      </c>
      <c r="AL199" t="s">
        <v>824</v>
      </c>
      <c r="AM199" t="s">
        <v>825</v>
      </c>
      <c r="AN199" t="s">
        <v>826</v>
      </c>
      <c r="AO199" t="s">
        <v>827</v>
      </c>
      <c r="AP199">
        <v>2</v>
      </c>
      <c r="AQ199" t="s">
        <v>828</v>
      </c>
      <c r="AR199" t="s">
        <v>111</v>
      </c>
      <c r="AS199" t="s">
        <v>26</v>
      </c>
      <c r="AT199" t="s">
        <v>26</v>
      </c>
      <c r="AU199" t="s">
        <v>32</v>
      </c>
      <c r="AV199" t="s">
        <v>33</v>
      </c>
      <c r="AW199" t="s">
        <v>774</v>
      </c>
      <c r="AX199" t="s">
        <v>775</v>
      </c>
      <c r="AY199">
        <v>5</v>
      </c>
      <c r="AZ199" t="s">
        <v>776</v>
      </c>
      <c r="BA199" t="s">
        <v>777</v>
      </c>
      <c r="BB199" t="s">
        <v>26</v>
      </c>
      <c r="BC199" t="s">
        <v>829</v>
      </c>
      <c r="BD199" t="s">
        <v>75</v>
      </c>
      <c r="BE199" t="s">
        <v>830</v>
      </c>
      <c r="BF199" t="s">
        <v>834</v>
      </c>
      <c r="BG199" s="146">
        <v>1665</v>
      </c>
      <c r="BH199" t="s">
        <v>835</v>
      </c>
      <c r="BI199">
        <v>0.75</v>
      </c>
      <c r="BJ199" t="s">
        <v>836</v>
      </c>
      <c r="BK199" t="s">
        <v>26</v>
      </c>
      <c r="BL199" t="s">
        <v>767</v>
      </c>
      <c r="BM199">
        <v>76018</v>
      </c>
    </row>
    <row r="200" spans="1:65">
      <c r="A200" s="47">
        <v>506</v>
      </c>
      <c r="B200" s="27">
        <v>76019</v>
      </c>
      <c r="C200" s="27" t="s">
        <v>2172</v>
      </c>
      <c r="E200" s="27" t="s">
        <v>2148</v>
      </c>
      <c r="AF200" s="37" t="str">
        <f t="shared" si="7"/>
        <v>LS_HT_VR            MIB_A</v>
      </c>
      <c r="AG200" s="27" t="s">
        <v>2150</v>
      </c>
      <c r="AH200">
        <v>3</v>
      </c>
      <c r="AI200">
        <v>76019</v>
      </c>
      <c r="AJ200" t="s">
        <v>837</v>
      </c>
      <c r="AK200" t="s">
        <v>26</v>
      </c>
      <c r="AL200" t="s">
        <v>838</v>
      </c>
      <c r="AM200" t="s">
        <v>839</v>
      </c>
      <c r="AN200" t="s">
        <v>840</v>
      </c>
      <c r="AO200" t="s">
        <v>841</v>
      </c>
      <c r="AP200">
        <v>1</v>
      </c>
      <c r="AQ200" t="s">
        <v>842</v>
      </c>
      <c r="AR200" t="s">
        <v>111</v>
      </c>
      <c r="AS200" t="s">
        <v>26</v>
      </c>
      <c r="AT200" t="s">
        <v>26</v>
      </c>
      <c r="AU200" t="s">
        <v>32</v>
      </c>
      <c r="AV200" t="s">
        <v>33</v>
      </c>
      <c r="AW200" t="s">
        <v>774</v>
      </c>
      <c r="AX200" t="s">
        <v>775</v>
      </c>
      <c r="AY200">
        <v>2</v>
      </c>
      <c r="AZ200" t="s">
        <v>776</v>
      </c>
      <c r="BA200" t="s">
        <v>777</v>
      </c>
      <c r="BB200" t="s">
        <v>26</v>
      </c>
      <c r="BC200" t="s">
        <v>843</v>
      </c>
      <c r="BD200" t="s">
        <v>75</v>
      </c>
      <c r="BE200" t="s">
        <v>844</v>
      </c>
      <c r="BF200" t="s">
        <v>831</v>
      </c>
      <c r="BG200" s="146">
        <v>1765</v>
      </c>
      <c r="BH200" t="s">
        <v>161</v>
      </c>
      <c r="BI200">
        <v>0.75</v>
      </c>
      <c r="BJ200" t="s">
        <v>845</v>
      </c>
      <c r="BK200" t="s">
        <v>26</v>
      </c>
      <c r="BL200" t="s">
        <v>767</v>
      </c>
      <c r="BM200">
        <v>76019</v>
      </c>
    </row>
    <row r="201" spans="1:65">
      <c r="A201" s="47">
        <v>506</v>
      </c>
      <c r="B201" s="27">
        <v>76020</v>
      </c>
      <c r="C201" s="27" t="s">
        <v>2172</v>
      </c>
      <c r="E201" s="27" t="s">
        <v>2148</v>
      </c>
      <c r="AF201" s="37" t="str">
        <f t="shared" si="7"/>
        <v>LS_HT_VR            MIB_A</v>
      </c>
      <c r="AG201" s="27" t="s">
        <v>2150</v>
      </c>
      <c r="AH201">
        <v>3</v>
      </c>
      <c r="AI201">
        <v>76020</v>
      </c>
      <c r="AJ201" t="s">
        <v>846</v>
      </c>
      <c r="AK201" t="s">
        <v>26</v>
      </c>
      <c r="AL201" t="s">
        <v>838</v>
      </c>
      <c r="AM201" t="s">
        <v>839</v>
      </c>
      <c r="AN201" t="s">
        <v>840</v>
      </c>
      <c r="AO201" t="s">
        <v>841</v>
      </c>
      <c r="AP201">
        <v>2</v>
      </c>
      <c r="AQ201" t="s">
        <v>842</v>
      </c>
      <c r="AR201" t="s">
        <v>111</v>
      </c>
      <c r="AS201" t="s">
        <v>26</v>
      </c>
      <c r="AT201" t="s">
        <v>26</v>
      </c>
      <c r="AU201" t="s">
        <v>32</v>
      </c>
      <c r="AV201" t="s">
        <v>33</v>
      </c>
      <c r="AW201" t="s">
        <v>774</v>
      </c>
      <c r="AX201" t="s">
        <v>775</v>
      </c>
      <c r="AY201">
        <v>6</v>
      </c>
      <c r="AZ201" t="s">
        <v>776</v>
      </c>
      <c r="BA201" t="s">
        <v>777</v>
      </c>
      <c r="BB201" t="s">
        <v>26</v>
      </c>
      <c r="BC201" t="s">
        <v>843</v>
      </c>
      <c r="BD201" t="s">
        <v>75</v>
      </c>
      <c r="BE201" t="s">
        <v>844</v>
      </c>
      <c r="BF201" t="s">
        <v>847</v>
      </c>
      <c r="BG201" s="146">
        <v>1765</v>
      </c>
      <c r="BH201" t="s">
        <v>848</v>
      </c>
      <c r="BI201">
        <v>0.75</v>
      </c>
      <c r="BJ201" t="s">
        <v>849</v>
      </c>
      <c r="BK201" t="s">
        <v>26</v>
      </c>
      <c r="BL201" t="s">
        <v>767</v>
      </c>
      <c r="BM201">
        <v>76020</v>
      </c>
    </row>
    <row r="202" spans="1:65">
      <c r="A202" s="47">
        <v>506</v>
      </c>
      <c r="B202" s="27">
        <v>76021</v>
      </c>
      <c r="C202" s="27" t="s">
        <v>2172</v>
      </c>
      <c r="E202" s="27" t="s">
        <v>2148</v>
      </c>
      <c r="AF202" s="37" t="str">
        <f t="shared" si="7"/>
        <v>KS_CPR_B            MIB_C</v>
      </c>
      <c r="AG202" s="27" t="s">
        <v>2150</v>
      </c>
      <c r="AH202">
        <v>3</v>
      </c>
      <c r="AI202">
        <v>76021</v>
      </c>
      <c r="AJ202" t="s">
        <v>850</v>
      </c>
      <c r="AK202" t="s">
        <v>26</v>
      </c>
      <c r="AL202" t="s">
        <v>131</v>
      </c>
      <c r="AM202" t="s">
        <v>131</v>
      </c>
      <c r="AN202" t="s">
        <v>132</v>
      </c>
      <c r="AO202" t="s">
        <v>133</v>
      </c>
      <c r="AP202">
        <v>7</v>
      </c>
      <c r="AQ202" t="s">
        <v>134</v>
      </c>
      <c r="AR202" t="s">
        <v>68</v>
      </c>
      <c r="AS202" t="s">
        <v>26</v>
      </c>
      <c r="AT202" t="s">
        <v>26</v>
      </c>
      <c r="AU202" t="s">
        <v>32</v>
      </c>
      <c r="AV202" t="s">
        <v>33</v>
      </c>
      <c r="AW202" t="s">
        <v>476</v>
      </c>
      <c r="AX202" t="s">
        <v>477</v>
      </c>
      <c r="AY202">
        <v>1</v>
      </c>
      <c r="AZ202" t="s">
        <v>158</v>
      </c>
      <c r="BA202" t="s">
        <v>243</v>
      </c>
      <c r="BB202" t="s">
        <v>26</v>
      </c>
      <c r="BC202" t="s">
        <v>206</v>
      </c>
      <c r="BD202" t="s">
        <v>75</v>
      </c>
      <c r="BE202" t="s">
        <v>851</v>
      </c>
      <c r="BF202" t="s">
        <v>208</v>
      </c>
      <c r="BG202" s="146">
        <v>1872</v>
      </c>
      <c r="BH202" t="s">
        <v>209</v>
      </c>
      <c r="BI202">
        <v>0.35</v>
      </c>
      <c r="BJ202" t="s">
        <v>852</v>
      </c>
      <c r="BK202" t="s">
        <v>26</v>
      </c>
      <c r="BL202" t="s">
        <v>767</v>
      </c>
      <c r="BM202">
        <v>76021</v>
      </c>
    </row>
    <row r="203" spans="1:65">
      <c r="A203" s="47">
        <v>506</v>
      </c>
      <c r="B203" s="27">
        <v>76022</v>
      </c>
      <c r="C203" s="27" t="s">
        <v>2172</v>
      </c>
      <c r="E203" s="27" t="s">
        <v>2148</v>
      </c>
      <c r="AF203" s="37" t="str">
        <f t="shared" si="7"/>
        <v>KS_CPR_B            MIB_C</v>
      </c>
      <c r="AG203" s="27" t="s">
        <v>2150</v>
      </c>
      <c r="AH203">
        <v>3</v>
      </c>
      <c r="AI203">
        <v>76022</v>
      </c>
      <c r="AJ203" t="s">
        <v>853</v>
      </c>
      <c r="AK203" t="s">
        <v>26</v>
      </c>
      <c r="AL203" t="s">
        <v>131</v>
      </c>
      <c r="AM203" t="s">
        <v>131</v>
      </c>
      <c r="AN203" t="s">
        <v>132</v>
      </c>
      <c r="AO203" t="s">
        <v>133</v>
      </c>
      <c r="AP203">
        <v>8</v>
      </c>
      <c r="AQ203" t="s">
        <v>134</v>
      </c>
      <c r="AR203" t="s">
        <v>68</v>
      </c>
      <c r="AS203" t="s">
        <v>26</v>
      </c>
      <c r="AT203" t="s">
        <v>26</v>
      </c>
      <c r="AU203" t="s">
        <v>32</v>
      </c>
      <c r="AV203" t="s">
        <v>33</v>
      </c>
      <c r="AW203" t="s">
        <v>476</v>
      </c>
      <c r="AX203" t="s">
        <v>477</v>
      </c>
      <c r="AY203">
        <v>7</v>
      </c>
      <c r="AZ203" t="s">
        <v>158</v>
      </c>
      <c r="BA203" t="s">
        <v>243</v>
      </c>
      <c r="BB203" t="s">
        <v>26</v>
      </c>
      <c r="BC203" t="s">
        <v>206</v>
      </c>
      <c r="BD203" t="s">
        <v>75</v>
      </c>
      <c r="BE203" t="s">
        <v>851</v>
      </c>
      <c r="BF203" t="s">
        <v>45</v>
      </c>
      <c r="BG203" s="146">
        <v>1872</v>
      </c>
      <c r="BH203" t="s">
        <v>46</v>
      </c>
      <c r="BI203">
        <v>0.35</v>
      </c>
      <c r="BJ203" t="s">
        <v>854</v>
      </c>
      <c r="BK203" t="s">
        <v>26</v>
      </c>
      <c r="BL203" t="s">
        <v>767</v>
      </c>
      <c r="BM203">
        <v>76022</v>
      </c>
    </row>
    <row r="204" spans="1:65">
      <c r="A204" s="47"/>
      <c r="B204" s="27">
        <v>76025</v>
      </c>
      <c r="C204" s="27" t="s">
        <v>2172</v>
      </c>
      <c r="E204" s="27" t="s">
        <v>2148</v>
      </c>
      <c r="AF204" s="37" t="str">
        <f t="shared" si="7"/>
        <v>KS_CPL_A            MIB_D</v>
      </c>
      <c r="AG204" s="27" t="s">
        <v>2150</v>
      </c>
      <c r="AH204">
        <v>3</v>
      </c>
      <c r="AI204">
        <v>76025</v>
      </c>
      <c r="AJ204" t="s">
        <v>855</v>
      </c>
      <c r="AK204" t="s">
        <v>26</v>
      </c>
      <c r="AL204" t="s">
        <v>64</v>
      </c>
      <c r="AM204" t="s">
        <v>64</v>
      </c>
      <c r="AN204" t="s">
        <v>261</v>
      </c>
      <c r="AO204" t="s">
        <v>262</v>
      </c>
      <c r="AP204">
        <v>3</v>
      </c>
      <c r="AQ204" t="s">
        <v>263</v>
      </c>
      <c r="AR204" t="s">
        <v>805</v>
      </c>
      <c r="AS204" t="s">
        <v>26</v>
      </c>
      <c r="AT204" t="s">
        <v>26</v>
      </c>
      <c r="AU204" t="s">
        <v>32</v>
      </c>
      <c r="AV204" t="s">
        <v>33</v>
      </c>
      <c r="AW204" t="s">
        <v>156</v>
      </c>
      <c r="AX204" t="s">
        <v>157</v>
      </c>
      <c r="AY204">
        <v>9</v>
      </c>
      <c r="AZ204" t="s">
        <v>158</v>
      </c>
      <c r="BA204" t="s">
        <v>806</v>
      </c>
      <c r="BB204" t="s">
        <v>26</v>
      </c>
      <c r="BC204" t="s">
        <v>813</v>
      </c>
      <c r="BD204" t="s">
        <v>75</v>
      </c>
      <c r="BE204" t="s">
        <v>856</v>
      </c>
      <c r="BF204" t="s">
        <v>809</v>
      </c>
      <c r="BG204">
        <v>1992</v>
      </c>
      <c r="BH204" t="s">
        <v>810</v>
      </c>
      <c r="BI204">
        <v>1.5</v>
      </c>
      <c r="BJ204" t="s">
        <v>857</v>
      </c>
      <c r="BK204" t="s">
        <v>26</v>
      </c>
      <c r="BL204" t="s">
        <v>767</v>
      </c>
      <c r="BM204">
        <v>76025</v>
      </c>
    </row>
    <row r="205" spans="1:65">
      <c r="A205" s="47"/>
      <c r="B205" s="27">
        <v>76026</v>
      </c>
      <c r="C205" s="27" t="s">
        <v>2172</v>
      </c>
      <c r="E205" s="27" t="s">
        <v>2148</v>
      </c>
      <c r="AF205" s="37" t="str">
        <f t="shared" si="7"/>
        <v>KS_CPL_A            MIB_D</v>
      </c>
      <c r="AG205" s="27" t="s">
        <v>2150</v>
      </c>
      <c r="AH205">
        <v>3</v>
      </c>
      <c r="AI205">
        <v>76026</v>
      </c>
      <c r="AJ205" t="s">
        <v>858</v>
      </c>
      <c r="AK205" t="s">
        <v>26</v>
      </c>
      <c r="AL205" t="s">
        <v>64</v>
      </c>
      <c r="AM205" t="s">
        <v>64</v>
      </c>
      <c r="AN205" t="s">
        <v>261</v>
      </c>
      <c r="AO205" t="s">
        <v>262</v>
      </c>
      <c r="AP205">
        <v>4</v>
      </c>
      <c r="AQ205" t="s">
        <v>263</v>
      </c>
      <c r="AR205" t="s">
        <v>805</v>
      </c>
      <c r="AS205" t="s">
        <v>26</v>
      </c>
      <c r="AT205" t="s">
        <v>26</v>
      </c>
      <c r="AU205" t="s">
        <v>32</v>
      </c>
      <c r="AV205" t="s">
        <v>33</v>
      </c>
      <c r="AW205" t="s">
        <v>156</v>
      </c>
      <c r="AX205" t="s">
        <v>157</v>
      </c>
      <c r="AY205">
        <v>13</v>
      </c>
      <c r="AZ205" t="s">
        <v>158</v>
      </c>
      <c r="BA205" t="s">
        <v>806</v>
      </c>
      <c r="BB205" t="s">
        <v>26</v>
      </c>
      <c r="BC205" t="s">
        <v>813</v>
      </c>
      <c r="BD205" t="s">
        <v>75</v>
      </c>
      <c r="BE205" t="s">
        <v>856</v>
      </c>
      <c r="BF205" t="s">
        <v>820</v>
      </c>
      <c r="BG205">
        <v>1992</v>
      </c>
      <c r="BH205" t="s">
        <v>821</v>
      </c>
      <c r="BI205">
        <v>1.5</v>
      </c>
      <c r="BJ205" t="s">
        <v>859</v>
      </c>
      <c r="BK205" t="s">
        <v>26</v>
      </c>
      <c r="BL205" t="s">
        <v>767</v>
      </c>
      <c r="BM205">
        <v>76026</v>
      </c>
    </row>
    <row r="206" spans="1:65">
      <c r="A206" s="47"/>
      <c r="B206" s="27">
        <v>76027</v>
      </c>
      <c r="C206" s="27" t="s">
        <v>2172</v>
      </c>
      <c r="E206" s="27" t="s">
        <v>2148</v>
      </c>
      <c r="AF206" s="37" t="str">
        <f t="shared" si="7"/>
        <v>LS_CENT             MIB_A</v>
      </c>
      <c r="AG206" s="27" t="s">
        <v>2150</v>
      </c>
      <c r="AH206">
        <v>3</v>
      </c>
      <c r="AI206">
        <v>76027</v>
      </c>
      <c r="AJ206" t="s">
        <v>860</v>
      </c>
      <c r="AK206" t="s">
        <v>26</v>
      </c>
      <c r="AL206" t="s">
        <v>861</v>
      </c>
      <c r="AM206" t="s">
        <v>862</v>
      </c>
      <c r="AN206" t="s">
        <v>863</v>
      </c>
      <c r="AO206" t="s">
        <v>864</v>
      </c>
      <c r="AP206">
        <v>1</v>
      </c>
      <c r="AQ206" t="s">
        <v>865</v>
      </c>
      <c r="AR206" t="s">
        <v>866</v>
      </c>
      <c r="AS206" t="s">
        <v>26</v>
      </c>
      <c r="AT206" t="s">
        <v>26</v>
      </c>
      <c r="AU206" t="s">
        <v>32</v>
      </c>
      <c r="AV206" t="s">
        <v>33</v>
      </c>
      <c r="AW206" t="s">
        <v>774</v>
      </c>
      <c r="AX206" t="s">
        <v>775</v>
      </c>
      <c r="AY206">
        <v>3</v>
      </c>
      <c r="AZ206" t="s">
        <v>776</v>
      </c>
      <c r="BA206" t="s">
        <v>777</v>
      </c>
      <c r="BB206" t="s">
        <v>26</v>
      </c>
      <c r="BC206" t="s">
        <v>867</v>
      </c>
      <c r="BD206" t="s">
        <v>75</v>
      </c>
      <c r="BE206" t="s">
        <v>868</v>
      </c>
      <c r="BF206" t="s">
        <v>869</v>
      </c>
      <c r="BG206">
        <v>1752</v>
      </c>
      <c r="BH206" t="s">
        <v>54</v>
      </c>
      <c r="BI206">
        <v>0.75</v>
      </c>
      <c r="BJ206" t="s">
        <v>870</v>
      </c>
      <c r="BK206" t="s">
        <v>26</v>
      </c>
      <c r="BL206" t="s">
        <v>767</v>
      </c>
      <c r="BM206">
        <v>76027</v>
      </c>
    </row>
    <row r="207" spans="1:65">
      <c r="A207" s="47"/>
      <c r="B207" s="27">
        <v>76028</v>
      </c>
      <c r="C207" s="27" t="s">
        <v>2172</v>
      </c>
      <c r="E207" s="27" t="s">
        <v>2148</v>
      </c>
      <c r="AF207" s="37" t="str">
        <f t="shared" si="7"/>
        <v>MIB_A               LS_CENT</v>
      </c>
      <c r="AG207" s="27" t="s">
        <v>2150</v>
      </c>
      <c r="AH207">
        <v>3</v>
      </c>
      <c r="AI207">
        <v>76028</v>
      </c>
      <c r="AJ207" t="s">
        <v>871</v>
      </c>
      <c r="AK207" t="s">
        <v>26</v>
      </c>
      <c r="AL207" t="s">
        <v>32</v>
      </c>
      <c r="AM207" t="s">
        <v>33</v>
      </c>
      <c r="AN207" t="s">
        <v>774</v>
      </c>
      <c r="AO207" t="s">
        <v>775</v>
      </c>
      <c r="AP207">
        <v>7</v>
      </c>
      <c r="AQ207" t="s">
        <v>776</v>
      </c>
      <c r="AR207" t="s">
        <v>777</v>
      </c>
      <c r="AS207" t="s">
        <v>26</v>
      </c>
      <c r="AT207" t="s">
        <v>26</v>
      </c>
      <c r="AU207" t="s">
        <v>861</v>
      </c>
      <c r="AV207" t="s">
        <v>862</v>
      </c>
      <c r="AW207" t="s">
        <v>863</v>
      </c>
      <c r="AX207" t="s">
        <v>864</v>
      </c>
      <c r="AY207">
        <v>2</v>
      </c>
      <c r="AZ207" t="s">
        <v>865</v>
      </c>
      <c r="BA207" t="s">
        <v>866</v>
      </c>
      <c r="BB207" t="s">
        <v>26</v>
      </c>
      <c r="BC207" t="s">
        <v>867</v>
      </c>
      <c r="BD207" t="s">
        <v>75</v>
      </c>
      <c r="BE207" t="s">
        <v>868</v>
      </c>
      <c r="BF207" t="s">
        <v>872</v>
      </c>
      <c r="BG207">
        <v>1752</v>
      </c>
      <c r="BH207" t="s">
        <v>172</v>
      </c>
      <c r="BI207">
        <v>0.75</v>
      </c>
      <c r="BJ207" t="s">
        <v>873</v>
      </c>
      <c r="BK207" t="s">
        <v>26</v>
      </c>
      <c r="BL207" t="s">
        <v>767</v>
      </c>
      <c r="BM207">
        <v>76028</v>
      </c>
    </row>
    <row r="208" spans="1:65">
      <c r="A208" s="47"/>
      <c r="B208" s="27">
        <v>76029</v>
      </c>
      <c r="C208" s="27" t="s">
        <v>2172</v>
      </c>
      <c r="E208" s="27" t="s">
        <v>2148</v>
      </c>
      <c r="AF208" s="37" t="str">
        <f t="shared" si="7"/>
        <v>MIB_B               KS_CPL_D</v>
      </c>
      <c r="AG208" s="27" t="s">
        <v>2150</v>
      </c>
      <c r="AH208">
        <v>3</v>
      </c>
      <c r="AI208">
        <v>76029</v>
      </c>
      <c r="AJ208" t="s">
        <v>874</v>
      </c>
      <c r="AK208" t="s">
        <v>26</v>
      </c>
      <c r="AL208" t="s">
        <v>32</v>
      </c>
      <c r="AM208" t="s">
        <v>33</v>
      </c>
      <c r="AN208" t="s">
        <v>487</v>
      </c>
      <c r="AO208" t="s">
        <v>488</v>
      </c>
      <c r="AP208">
        <v>9</v>
      </c>
      <c r="AQ208" t="s">
        <v>489</v>
      </c>
      <c r="AR208" t="s">
        <v>243</v>
      </c>
      <c r="AS208" t="s">
        <v>26</v>
      </c>
      <c r="AT208" t="s">
        <v>26</v>
      </c>
      <c r="AU208" t="s">
        <v>64</v>
      </c>
      <c r="AV208" t="s">
        <v>64</v>
      </c>
      <c r="AW208" t="s">
        <v>65</v>
      </c>
      <c r="AX208" t="s">
        <v>66</v>
      </c>
      <c r="AY208">
        <v>8</v>
      </c>
      <c r="AZ208" t="s">
        <v>67</v>
      </c>
      <c r="BA208" t="s">
        <v>68</v>
      </c>
      <c r="BB208" t="s">
        <v>26</v>
      </c>
      <c r="BC208" t="s">
        <v>875</v>
      </c>
      <c r="BD208" t="s">
        <v>75</v>
      </c>
      <c r="BE208" t="s">
        <v>876</v>
      </c>
      <c r="BF208" t="s">
        <v>877</v>
      </c>
      <c r="BG208">
        <v>1822</v>
      </c>
      <c r="BH208" t="s">
        <v>878</v>
      </c>
      <c r="BI208">
        <v>0.35</v>
      </c>
      <c r="BJ208" t="s">
        <v>879</v>
      </c>
      <c r="BK208" t="s">
        <v>764</v>
      </c>
      <c r="BL208" t="s">
        <v>767</v>
      </c>
      <c r="BM208">
        <v>76029</v>
      </c>
    </row>
    <row r="209" spans="1:65">
      <c r="A209" s="47"/>
      <c r="B209" s="27">
        <v>76030</v>
      </c>
      <c r="C209" s="27" t="s">
        <v>2172</v>
      </c>
      <c r="E209" s="27" t="s">
        <v>2148</v>
      </c>
      <c r="AF209" s="37" t="str">
        <f t="shared" si="7"/>
        <v>MIB_B               KS_CPL_D</v>
      </c>
      <c r="AG209" s="27" t="s">
        <v>2150</v>
      </c>
      <c r="AH209">
        <v>3</v>
      </c>
      <c r="AI209">
        <v>76030</v>
      </c>
      <c r="AJ209" t="s">
        <v>880</v>
      </c>
      <c r="AK209" t="s">
        <v>26</v>
      </c>
      <c r="AL209" t="s">
        <v>32</v>
      </c>
      <c r="AM209" t="s">
        <v>33</v>
      </c>
      <c r="AN209" t="s">
        <v>487</v>
      </c>
      <c r="AO209" t="s">
        <v>488</v>
      </c>
      <c r="AP209">
        <v>3</v>
      </c>
      <c r="AQ209" t="s">
        <v>489</v>
      </c>
      <c r="AR209" t="s">
        <v>243</v>
      </c>
      <c r="AS209" t="s">
        <v>26</v>
      </c>
      <c r="AT209" t="s">
        <v>26</v>
      </c>
      <c r="AU209" t="s">
        <v>64</v>
      </c>
      <c r="AV209" t="s">
        <v>64</v>
      </c>
      <c r="AW209" t="s">
        <v>65</v>
      </c>
      <c r="AX209" t="s">
        <v>66</v>
      </c>
      <c r="AY209">
        <v>1</v>
      </c>
      <c r="AZ209" t="s">
        <v>67</v>
      </c>
      <c r="BA209" t="s">
        <v>68</v>
      </c>
      <c r="BB209" t="s">
        <v>26</v>
      </c>
      <c r="BC209" t="s">
        <v>875</v>
      </c>
      <c r="BD209" t="s">
        <v>75</v>
      </c>
      <c r="BE209" t="s">
        <v>876</v>
      </c>
      <c r="BF209" t="s">
        <v>359</v>
      </c>
      <c r="BG209">
        <v>1822</v>
      </c>
      <c r="BH209" t="s">
        <v>161</v>
      </c>
      <c r="BI209">
        <v>0.35</v>
      </c>
      <c r="BJ209" t="s">
        <v>881</v>
      </c>
      <c r="BK209" t="s">
        <v>764</v>
      </c>
      <c r="BL209" t="s">
        <v>767</v>
      </c>
      <c r="BM209">
        <v>76030</v>
      </c>
    </row>
    <row r="210" spans="1:65">
      <c r="A210" s="47">
        <v>500</v>
      </c>
      <c r="B210" s="27">
        <v>76031</v>
      </c>
      <c r="C210" s="27" t="s">
        <v>2172</v>
      </c>
      <c r="E210" s="27" t="s">
        <v>2148</v>
      </c>
      <c r="AF210" s="37" t="str">
        <f t="shared" si="7"/>
        <v>KS_CPL_C            MIB_A</v>
      </c>
      <c r="AG210" s="27" t="s">
        <v>2150</v>
      </c>
      <c r="AH210">
        <v>3</v>
      </c>
      <c r="AI210">
        <v>76031</v>
      </c>
      <c r="AJ210" t="s">
        <v>882</v>
      </c>
      <c r="AK210" t="s">
        <v>26</v>
      </c>
      <c r="AL210" t="s">
        <v>64</v>
      </c>
      <c r="AM210" t="s">
        <v>64</v>
      </c>
      <c r="AN210" t="s">
        <v>119</v>
      </c>
      <c r="AO210" t="s">
        <v>120</v>
      </c>
      <c r="AP210">
        <v>14</v>
      </c>
      <c r="AQ210" s="146" t="s">
        <v>191</v>
      </c>
      <c r="AR210" t="s">
        <v>122</v>
      </c>
      <c r="AS210" t="s">
        <v>26</v>
      </c>
      <c r="AT210" t="s">
        <v>26</v>
      </c>
      <c r="AU210" t="s">
        <v>32</v>
      </c>
      <c r="AV210" t="s">
        <v>33</v>
      </c>
      <c r="AW210" t="s">
        <v>774</v>
      </c>
      <c r="AX210" t="s">
        <v>775</v>
      </c>
      <c r="AY210">
        <v>4</v>
      </c>
      <c r="AZ210" t="s">
        <v>776</v>
      </c>
      <c r="BA210" t="s">
        <v>777</v>
      </c>
      <c r="BB210" t="s">
        <v>26</v>
      </c>
      <c r="BC210" t="s">
        <v>883</v>
      </c>
      <c r="BD210" t="s">
        <v>75</v>
      </c>
      <c r="BE210" t="s">
        <v>884</v>
      </c>
      <c r="BF210" t="s">
        <v>885</v>
      </c>
      <c r="BG210" s="146">
        <v>1817</v>
      </c>
      <c r="BH210" t="s">
        <v>84</v>
      </c>
      <c r="BI210">
        <v>0.5</v>
      </c>
      <c r="BJ210" t="s">
        <v>886</v>
      </c>
      <c r="BK210" t="s">
        <v>26</v>
      </c>
      <c r="BL210" t="s">
        <v>767</v>
      </c>
      <c r="BM210">
        <v>76031</v>
      </c>
    </row>
    <row r="211" spans="1:65">
      <c r="A211" s="47">
        <v>500</v>
      </c>
      <c r="B211" s="27">
        <v>76032</v>
      </c>
      <c r="C211" s="27" t="s">
        <v>2172</v>
      </c>
      <c r="E211" s="27" t="s">
        <v>2148</v>
      </c>
      <c r="AF211" s="37" t="str">
        <f t="shared" si="7"/>
        <v>KS_CPL_C            MIB_A</v>
      </c>
      <c r="AG211" s="27" t="s">
        <v>2150</v>
      </c>
      <c r="AH211">
        <v>3</v>
      </c>
      <c r="AI211">
        <v>76032</v>
      </c>
      <c r="AJ211" t="s">
        <v>887</v>
      </c>
      <c r="AK211" t="s">
        <v>26</v>
      </c>
      <c r="AL211" t="s">
        <v>64</v>
      </c>
      <c r="AM211" t="s">
        <v>64</v>
      </c>
      <c r="AN211" t="s">
        <v>119</v>
      </c>
      <c r="AO211" t="s">
        <v>120</v>
      </c>
      <c r="AP211">
        <v>13</v>
      </c>
      <c r="AQ211" s="146" t="s">
        <v>191</v>
      </c>
      <c r="AR211" t="s">
        <v>122</v>
      </c>
      <c r="AS211" t="s">
        <v>26</v>
      </c>
      <c r="AT211" t="s">
        <v>26</v>
      </c>
      <c r="AU211" t="s">
        <v>32</v>
      </c>
      <c r="AV211" t="s">
        <v>33</v>
      </c>
      <c r="AW211" t="s">
        <v>774</v>
      </c>
      <c r="AX211" t="s">
        <v>775</v>
      </c>
      <c r="AY211">
        <v>8</v>
      </c>
      <c r="AZ211" t="s">
        <v>776</v>
      </c>
      <c r="BA211" t="s">
        <v>777</v>
      </c>
      <c r="BB211" t="s">
        <v>26</v>
      </c>
      <c r="BC211" t="s">
        <v>883</v>
      </c>
      <c r="BD211" t="s">
        <v>75</v>
      </c>
      <c r="BE211" t="s">
        <v>884</v>
      </c>
      <c r="BF211" t="s">
        <v>888</v>
      </c>
      <c r="BG211" s="146">
        <v>1817</v>
      </c>
      <c r="BH211" t="s">
        <v>428</v>
      </c>
      <c r="BI211">
        <v>0.5</v>
      </c>
      <c r="BJ211" t="s">
        <v>889</v>
      </c>
      <c r="BK211" t="s">
        <v>26</v>
      </c>
      <c r="BL211" t="s">
        <v>767</v>
      </c>
      <c r="BM211">
        <v>76032</v>
      </c>
    </row>
    <row r="212" spans="1:65">
      <c r="A212" s="47">
        <v>506</v>
      </c>
      <c r="B212" s="27">
        <v>76035</v>
      </c>
      <c r="C212" s="27" t="s">
        <v>2172</v>
      </c>
      <c r="E212" s="27" t="s">
        <v>2148</v>
      </c>
      <c r="AF212" s="37" t="str">
        <f t="shared" si="7"/>
        <v>MIB_D               LSMT10P</v>
      </c>
      <c r="AG212" s="27" t="s">
        <v>2150</v>
      </c>
      <c r="AH212">
        <v>3</v>
      </c>
      <c r="AI212">
        <v>76035</v>
      </c>
      <c r="AJ212" t="s">
        <v>890</v>
      </c>
      <c r="AK212" t="s">
        <v>26</v>
      </c>
      <c r="AL212" t="s">
        <v>32</v>
      </c>
      <c r="AM212" t="s">
        <v>33</v>
      </c>
      <c r="AN212" t="s">
        <v>156</v>
      </c>
      <c r="AO212" t="s">
        <v>157</v>
      </c>
      <c r="AP212">
        <v>10</v>
      </c>
      <c r="AQ212" t="s">
        <v>158</v>
      </c>
      <c r="AR212" t="s">
        <v>777</v>
      </c>
      <c r="AS212" t="s">
        <v>26</v>
      </c>
      <c r="AT212" t="s">
        <v>26</v>
      </c>
      <c r="AU212" t="s">
        <v>891</v>
      </c>
      <c r="AV212" t="s">
        <v>892</v>
      </c>
      <c r="AW212" t="s">
        <v>893</v>
      </c>
      <c r="AX212" t="s">
        <v>894</v>
      </c>
      <c r="AY212">
        <v>1</v>
      </c>
      <c r="AZ212" t="s">
        <v>895</v>
      </c>
      <c r="BA212" t="s">
        <v>111</v>
      </c>
      <c r="BB212" t="s">
        <v>26</v>
      </c>
      <c r="BC212" t="s">
        <v>896</v>
      </c>
      <c r="BD212" t="s">
        <v>75</v>
      </c>
      <c r="BE212" t="s">
        <v>897</v>
      </c>
      <c r="BF212" t="s">
        <v>898</v>
      </c>
      <c r="BG212" s="146">
        <v>2401</v>
      </c>
      <c r="BH212" t="s">
        <v>227</v>
      </c>
      <c r="BI212">
        <v>0.5</v>
      </c>
      <c r="BJ212" t="s">
        <v>899</v>
      </c>
      <c r="BK212" t="s">
        <v>26</v>
      </c>
      <c r="BL212" t="s">
        <v>767</v>
      </c>
      <c r="BM212">
        <v>76035</v>
      </c>
    </row>
    <row r="213" spans="1:65">
      <c r="A213" s="47">
        <v>506</v>
      </c>
      <c r="B213" s="27">
        <v>76036</v>
      </c>
      <c r="C213" s="27" t="s">
        <v>2172</v>
      </c>
      <c r="E213" s="27" t="s">
        <v>2148</v>
      </c>
      <c r="AF213" s="37" t="str">
        <f t="shared" si="7"/>
        <v>MIB_D               LSMT10P</v>
      </c>
      <c r="AG213" s="27" t="s">
        <v>2150</v>
      </c>
      <c r="AH213">
        <v>3</v>
      </c>
      <c r="AI213">
        <v>76036</v>
      </c>
      <c r="AJ213" t="s">
        <v>900</v>
      </c>
      <c r="AK213" t="s">
        <v>26</v>
      </c>
      <c r="AL213" t="s">
        <v>32</v>
      </c>
      <c r="AM213" t="s">
        <v>33</v>
      </c>
      <c r="AN213" t="s">
        <v>156</v>
      </c>
      <c r="AO213" t="s">
        <v>157</v>
      </c>
      <c r="AP213">
        <v>14</v>
      </c>
      <c r="AQ213" t="s">
        <v>158</v>
      </c>
      <c r="AR213" t="s">
        <v>777</v>
      </c>
      <c r="AS213" t="s">
        <v>26</v>
      </c>
      <c r="AT213" t="s">
        <v>26</v>
      </c>
      <c r="AU213" t="s">
        <v>891</v>
      </c>
      <c r="AV213" t="s">
        <v>892</v>
      </c>
      <c r="AW213" t="s">
        <v>893</v>
      </c>
      <c r="AX213" t="s">
        <v>894</v>
      </c>
      <c r="AY213">
        <v>2</v>
      </c>
      <c r="AZ213" t="s">
        <v>895</v>
      </c>
      <c r="BA213" t="s">
        <v>111</v>
      </c>
      <c r="BB213" t="s">
        <v>26</v>
      </c>
      <c r="BC213" t="s">
        <v>896</v>
      </c>
      <c r="BD213" t="s">
        <v>75</v>
      </c>
      <c r="BE213" t="s">
        <v>897</v>
      </c>
      <c r="BF213" t="s">
        <v>901</v>
      </c>
      <c r="BG213" s="146">
        <v>2401</v>
      </c>
      <c r="BH213" t="s">
        <v>902</v>
      </c>
      <c r="BI213">
        <v>0.5</v>
      </c>
      <c r="BJ213" t="s">
        <v>903</v>
      </c>
      <c r="BK213" t="s">
        <v>26</v>
      </c>
      <c r="BL213" t="s">
        <v>767</v>
      </c>
      <c r="BM213">
        <v>76036</v>
      </c>
    </row>
    <row r="214" spans="1:65">
      <c r="A214" s="47">
        <v>506</v>
      </c>
      <c r="B214" s="27">
        <v>76039</v>
      </c>
      <c r="C214" s="27" t="s">
        <v>2172</v>
      </c>
      <c r="E214" s="27" t="s">
        <v>2148</v>
      </c>
      <c r="AF214" s="37" t="str">
        <f t="shared" si="7"/>
        <v>KS_CPR_B            MIB_D</v>
      </c>
      <c r="AG214" s="27" t="s">
        <v>2150</v>
      </c>
      <c r="AH214">
        <v>3</v>
      </c>
      <c r="AI214">
        <v>76039</v>
      </c>
      <c r="AJ214" t="s">
        <v>904</v>
      </c>
      <c r="AK214" t="s">
        <v>26</v>
      </c>
      <c r="AL214" t="s">
        <v>131</v>
      </c>
      <c r="AM214" t="s">
        <v>131</v>
      </c>
      <c r="AN214" t="s">
        <v>132</v>
      </c>
      <c r="AO214" t="s">
        <v>133</v>
      </c>
      <c r="AP214">
        <v>5</v>
      </c>
      <c r="AQ214" t="s">
        <v>134</v>
      </c>
      <c r="AR214" t="s">
        <v>122</v>
      </c>
      <c r="AS214" t="s">
        <v>26</v>
      </c>
      <c r="AT214" t="s">
        <v>26</v>
      </c>
      <c r="AU214" t="s">
        <v>32</v>
      </c>
      <c r="AV214" t="s">
        <v>33</v>
      </c>
      <c r="AW214" t="s">
        <v>156</v>
      </c>
      <c r="AX214" t="s">
        <v>157</v>
      </c>
      <c r="AY214">
        <v>11</v>
      </c>
      <c r="AZ214" t="s">
        <v>158</v>
      </c>
      <c r="BA214" t="s">
        <v>777</v>
      </c>
      <c r="BB214" t="s">
        <v>26</v>
      </c>
      <c r="BC214" t="s">
        <v>905</v>
      </c>
      <c r="BD214" t="s">
        <v>75</v>
      </c>
      <c r="BE214" t="s">
        <v>906</v>
      </c>
      <c r="BF214" t="s">
        <v>907</v>
      </c>
      <c r="BG214" s="146">
        <v>1872</v>
      </c>
      <c r="BH214" t="s">
        <v>283</v>
      </c>
      <c r="BI214">
        <v>0.75</v>
      </c>
      <c r="BJ214" t="s">
        <v>908</v>
      </c>
      <c r="BK214" t="s">
        <v>764</v>
      </c>
      <c r="BL214" t="s">
        <v>26</v>
      </c>
      <c r="BM214">
        <v>76039</v>
      </c>
    </row>
    <row r="215" spans="1:65">
      <c r="A215" s="47">
        <v>506</v>
      </c>
      <c r="B215" s="27">
        <v>76040</v>
      </c>
      <c r="C215" s="27" t="s">
        <v>2172</v>
      </c>
      <c r="E215" s="27" t="s">
        <v>2148</v>
      </c>
      <c r="AF215" s="37" t="str">
        <f t="shared" si="7"/>
        <v>KS_CPR_B            MIB_D</v>
      </c>
      <c r="AG215" s="27" t="s">
        <v>2150</v>
      </c>
      <c r="AH215">
        <v>3</v>
      </c>
      <c r="AI215">
        <v>76040</v>
      </c>
      <c r="AJ215" t="s">
        <v>909</v>
      </c>
      <c r="AK215" t="s">
        <v>26</v>
      </c>
      <c r="AL215" t="s">
        <v>131</v>
      </c>
      <c r="AM215" t="s">
        <v>131</v>
      </c>
      <c r="AN215" t="s">
        <v>132</v>
      </c>
      <c r="AO215" t="s">
        <v>133</v>
      </c>
      <c r="AP215">
        <v>6</v>
      </c>
      <c r="AQ215" t="s">
        <v>134</v>
      </c>
      <c r="AR215" t="s">
        <v>122</v>
      </c>
      <c r="AS215" t="s">
        <v>26</v>
      </c>
      <c r="AT215" t="s">
        <v>26</v>
      </c>
      <c r="AU215" t="s">
        <v>32</v>
      </c>
      <c r="AV215" t="s">
        <v>33</v>
      </c>
      <c r="AW215" t="s">
        <v>156</v>
      </c>
      <c r="AX215" t="s">
        <v>157</v>
      </c>
      <c r="AY215">
        <v>12</v>
      </c>
      <c r="AZ215" t="s">
        <v>158</v>
      </c>
      <c r="BA215" t="s">
        <v>777</v>
      </c>
      <c r="BB215" t="s">
        <v>26</v>
      </c>
      <c r="BC215" t="s">
        <v>905</v>
      </c>
      <c r="BD215" t="s">
        <v>75</v>
      </c>
      <c r="BE215" t="s">
        <v>906</v>
      </c>
      <c r="BF215" t="s">
        <v>817</v>
      </c>
      <c r="BG215" s="146">
        <v>1872</v>
      </c>
      <c r="BH215" t="s">
        <v>140</v>
      </c>
      <c r="BI215">
        <v>0.75</v>
      </c>
      <c r="BJ215" t="s">
        <v>910</v>
      </c>
      <c r="BK215" t="s">
        <v>764</v>
      </c>
      <c r="BL215" t="s">
        <v>26</v>
      </c>
      <c r="BM215">
        <v>76040</v>
      </c>
    </row>
    <row r="216" spans="1:65">
      <c r="A216" s="47"/>
      <c r="B216" s="27">
        <v>76041</v>
      </c>
      <c r="C216" s="27" t="s">
        <v>2172</v>
      </c>
      <c r="E216" s="27" t="s">
        <v>2148</v>
      </c>
      <c r="AF216" s="37" t="str">
        <f t="shared" si="7"/>
        <v>MIB_D               KS_CPL_B</v>
      </c>
      <c r="AG216" s="27" t="s">
        <v>2150</v>
      </c>
      <c r="AH216">
        <v>3</v>
      </c>
      <c r="AI216">
        <v>76041</v>
      </c>
      <c r="AJ216" t="s">
        <v>911</v>
      </c>
      <c r="AK216" t="s">
        <v>26</v>
      </c>
      <c r="AL216" t="s">
        <v>32</v>
      </c>
      <c r="AM216" t="s">
        <v>33</v>
      </c>
      <c r="AN216" t="s">
        <v>156</v>
      </c>
      <c r="AO216" t="s">
        <v>157</v>
      </c>
      <c r="AP216">
        <v>9</v>
      </c>
      <c r="AQ216" t="s">
        <v>158</v>
      </c>
      <c r="AR216" t="s">
        <v>777</v>
      </c>
      <c r="AS216" t="s">
        <v>26</v>
      </c>
      <c r="AT216" t="s">
        <v>26</v>
      </c>
      <c r="AU216" t="s">
        <v>64</v>
      </c>
      <c r="AV216" t="s">
        <v>64</v>
      </c>
      <c r="AW216" t="s">
        <v>91</v>
      </c>
      <c r="AX216" t="s">
        <v>92</v>
      </c>
      <c r="AY216">
        <v>15</v>
      </c>
      <c r="AZ216" t="s">
        <v>93</v>
      </c>
      <c r="BA216" t="s">
        <v>384</v>
      </c>
      <c r="BB216" t="s">
        <v>26</v>
      </c>
      <c r="BC216" t="s">
        <v>912</v>
      </c>
      <c r="BD216" t="s">
        <v>75</v>
      </c>
      <c r="BE216" t="s">
        <v>913</v>
      </c>
      <c r="BF216" t="s">
        <v>907</v>
      </c>
      <c r="BG216">
        <v>1992</v>
      </c>
      <c r="BH216" t="s">
        <v>283</v>
      </c>
      <c r="BI216">
        <v>0.75</v>
      </c>
      <c r="BJ216" t="s">
        <v>914</v>
      </c>
      <c r="BK216" t="s">
        <v>764</v>
      </c>
      <c r="BL216" t="s">
        <v>26</v>
      </c>
      <c r="BM216">
        <v>76041</v>
      </c>
    </row>
    <row r="217" spans="1:65">
      <c r="A217" s="47"/>
      <c r="B217" s="27">
        <v>76042</v>
      </c>
      <c r="C217" s="27" t="s">
        <v>2172</v>
      </c>
      <c r="E217" s="27" t="s">
        <v>2148</v>
      </c>
      <c r="AF217" s="37" t="str">
        <f t="shared" si="7"/>
        <v>KS_CPL_B            MIB_D</v>
      </c>
      <c r="AG217" s="27" t="s">
        <v>2150</v>
      </c>
      <c r="AH217">
        <v>3</v>
      </c>
      <c r="AI217">
        <v>76042</v>
      </c>
      <c r="AJ217" t="s">
        <v>915</v>
      </c>
      <c r="AK217" t="s">
        <v>26</v>
      </c>
      <c r="AL217" t="s">
        <v>64</v>
      </c>
      <c r="AM217" t="s">
        <v>64</v>
      </c>
      <c r="AN217" t="s">
        <v>91</v>
      </c>
      <c r="AO217" t="s">
        <v>92</v>
      </c>
      <c r="AP217">
        <v>17</v>
      </c>
      <c r="AQ217" t="s">
        <v>93</v>
      </c>
      <c r="AR217" t="s">
        <v>384</v>
      </c>
      <c r="AS217" t="s">
        <v>26</v>
      </c>
      <c r="AT217" t="s">
        <v>26</v>
      </c>
      <c r="AU217" t="s">
        <v>32</v>
      </c>
      <c r="AV217" t="s">
        <v>33</v>
      </c>
      <c r="AW217" t="s">
        <v>156</v>
      </c>
      <c r="AX217" t="s">
        <v>157</v>
      </c>
      <c r="AY217">
        <v>13</v>
      </c>
      <c r="AZ217" t="s">
        <v>158</v>
      </c>
      <c r="BA217" t="s">
        <v>777</v>
      </c>
      <c r="BB217" t="s">
        <v>26</v>
      </c>
      <c r="BC217" t="s">
        <v>912</v>
      </c>
      <c r="BD217" t="s">
        <v>75</v>
      </c>
      <c r="BE217" t="s">
        <v>913</v>
      </c>
      <c r="BF217" t="s">
        <v>820</v>
      </c>
      <c r="BG217">
        <v>1992</v>
      </c>
      <c r="BH217" t="s">
        <v>821</v>
      </c>
      <c r="BI217">
        <v>0.75</v>
      </c>
      <c r="BJ217" t="s">
        <v>916</v>
      </c>
      <c r="BK217" t="s">
        <v>764</v>
      </c>
      <c r="BL217" t="s">
        <v>26</v>
      </c>
      <c r="BM217">
        <v>76042</v>
      </c>
    </row>
    <row r="218" spans="1:65">
      <c r="A218" s="47">
        <v>506</v>
      </c>
      <c r="B218" s="27">
        <v>76045</v>
      </c>
      <c r="C218" s="27" t="s">
        <v>2172</v>
      </c>
      <c r="E218" s="27" t="s">
        <v>2148</v>
      </c>
      <c r="AF218" s="37" t="str">
        <f t="shared" si="7"/>
        <v>KS_CPR_B            MIB_D</v>
      </c>
      <c r="AG218" s="27" t="s">
        <v>2150</v>
      </c>
      <c r="AH218">
        <v>3</v>
      </c>
      <c r="AI218">
        <v>76045</v>
      </c>
      <c r="AJ218" t="s">
        <v>917</v>
      </c>
      <c r="AK218" t="s">
        <v>26</v>
      </c>
      <c r="AL218" t="s">
        <v>131</v>
      </c>
      <c r="AM218" t="s">
        <v>131</v>
      </c>
      <c r="AN218" t="s">
        <v>132</v>
      </c>
      <c r="AO218" t="s">
        <v>133</v>
      </c>
      <c r="AP218">
        <v>3</v>
      </c>
      <c r="AQ218" t="s">
        <v>134</v>
      </c>
      <c r="AR218" t="s">
        <v>805</v>
      </c>
      <c r="AS218" t="s">
        <v>26</v>
      </c>
      <c r="AT218" t="s">
        <v>26</v>
      </c>
      <c r="AU218" t="s">
        <v>32</v>
      </c>
      <c r="AV218" t="s">
        <v>33</v>
      </c>
      <c r="AW218" t="s">
        <v>156</v>
      </c>
      <c r="AX218" t="s">
        <v>157</v>
      </c>
      <c r="AY218">
        <v>11</v>
      </c>
      <c r="AZ218" t="s">
        <v>158</v>
      </c>
      <c r="BA218" t="s">
        <v>806</v>
      </c>
      <c r="BB218" t="s">
        <v>26</v>
      </c>
      <c r="BC218" t="s">
        <v>807</v>
      </c>
      <c r="BD218" t="s">
        <v>75</v>
      </c>
      <c r="BE218" t="s">
        <v>918</v>
      </c>
      <c r="BF218" t="s">
        <v>809</v>
      </c>
      <c r="BG218" s="146">
        <v>1872</v>
      </c>
      <c r="BH218" t="s">
        <v>810</v>
      </c>
      <c r="BI218">
        <v>1.5</v>
      </c>
      <c r="BJ218" t="s">
        <v>919</v>
      </c>
      <c r="BK218" t="s">
        <v>26</v>
      </c>
      <c r="BL218" t="s">
        <v>767</v>
      </c>
      <c r="BM218">
        <v>76045</v>
      </c>
    </row>
    <row r="219" spans="1:65">
      <c r="A219" s="47">
        <v>506</v>
      </c>
      <c r="B219" s="27">
        <v>76046</v>
      </c>
      <c r="C219" s="27" t="s">
        <v>2172</v>
      </c>
      <c r="E219" s="27" t="s">
        <v>2148</v>
      </c>
      <c r="AF219" s="37" t="str">
        <f t="shared" si="7"/>
        <v>KS_CPR_B            MIB_D</v>
      </c>
      <c r="AG219" s="27" t="s">
        <v>2150</v>
      </c>
      <c r="AH219">
        <v>3</v>
      </c>
      <c r="AI219">
        <v>76046</v>
      </c>
      <c r="AJ219" t="s">
        <v>920</v>
      </c>
      <c r="AK219" t="s">
        <v>26</v>
      </c>
      <c r="AL219" t="s">
        <v>131</v>
      </c>
      <c r="AM219" t="s">
        <v>131</v>
      </c>
      <c r="AN219" t="s">
        <v>132</v>
      </c>
      <c r="AO219" t="s">
        <v>133</v>
      </c>
      <c r="AP219">
        <v>4</v>
      </c>
      <c r="AQ219" t="s">
        <v>134</v>
      </c>
      <c r="AR219" t="s">
        <v>805</v>
      </c>
      <c r="AS219" t="s">
        <v>26</v>
      </c>
      <c r="AT219" t="s">
        <v>26</v>
      </c>
      <c r="AU219" t="s">
        <v>32</v>
      </c>
      <c r="AV219" t="s">
        <v>33</v>
      </c>
      <c r="AW219" t="s">
        <v>156</v>
      </c>
      <c r="AX219" t="s">
        <v>157</v>
      </c>
      <c r="AY219">
        <v>12</v>
      </c>
      <c r="AZ219" t="s">
        <v>158</v>
      </c>
      <c r="BA219" t="s">
        <v>806</v>
      </c>
      <c r="BB219" t="s">
        <v>26</v>
      </c>
      <c r="BC219" t="s">
        <v>807</v>
      </c>
      <c r="BD219" t="s">
        <v>75</v>
      </c>
      <c r="BE219" t="s">
        <v>918</v>
      </c>
      <c r="BF219" t="s">
        <v>817</v>
      </c>
      <c r="BG219" s="146">
        <v>1872</v>
      </c>
      <c r="BH219" t="s">
        <v>140</v>
      </c>
      <c r="BI219">
        <v>1.5</v>
      </c>
      <c r="BJ219" t="s">
        <v>921</v>
      </c>
      <c r="BK219" t="s">
        <v>26</v>
      </c>
      <c r="BL219" t="s">
        <v>767</v>
      </c>
      <c r="BM219">
        <v>76046</v>
      </c>
    </row>
    <row r="220" spans="1:65">
      <c r="A220" s="47"/>
      <c r="B220" s="27">
        <v>76047</v>
      </c>
      <c r="C220" s="27" t="s">
        <v>2172</v>
      </c>
      <c r="E220" s="27" t="s">
        <v>2148</v>
      </c>
      <c r="F220" s="27" t="s">
        <v>2152</v>
      </c>
      <c r="G220" s="27" t="s">
        <v>772</v>
      </c>
      <c r="K220" s="27" t="s">
        <v>2153</v>
      </c>
      <c r="L220" s="27" t="s">
        <v>2148</v>
      </c>
      <c r="M220" s="27" t="s">
        <v>2154</v>
      </c>
      <c r="AF220" s="37" t="str">
        <f t="shared" si="7"/>
        <v>LS_HT1_VR           SP_MTVR_P</v>
      </c>
      <c r="AG220" s="27" t="s">
        <v>2150</v>
      </c>
      <c r="AH220">
        <v>3</v>
      </c>
      <c r="AI220">
        <v>76047</v>
      </c>
      <c r="AJ220" t="s">
        <v>922</v>
      </c>
      <c r="AK220" t="s">
        <v>26</v>
      </c>
      <c r="AL220" t="s">
        <v>838</v>
      </c>
      <c r="AM220" t="s">
        <v>839</v>
      </c>
      <c r="AN220" t="s">
        <v>923</v>
      </c>
      <c r="AO220" t="s">
        <v>924</v>
      </c>
      <c r="AP220">
        <v>1</v>
      </c>
      <c r="AQ220" t="s">
        <v>320</v>
      </c>
      <c r="AR220" t="s">
        <v>111</v>
      </c>
      <c r="AS220" t="s">
        <v>26</v>
      </c>
      <c r="AT220" t="s">
        <v>26</v>
      </c>
      <c r="AU220" t="s">
        <v>26</v>
      </c>
      <c r="AV220" t="s">
        <v>770</v>
      </c>
      <c r="AW220" t="s">
        <v>771</v>
      </c>
      <c r="AX220" t="s">
        <v>772</v>
      </c>
      <c r="AY220">
        <v>1</v>
      </c>
      <c r="AZ220" t="s">
        <v>773</v>
      </c>
      <c r="BA220" t="s">
        <v>26</v>
      </c>
      <c r="BB220" t="s">
        <v>26</v>
      </c>
      <c r="BC220" t="s">
        <v>778</v>
      </c>
      <c r="BD220" t="s">
        <v>75</v>
      </c>
      <c r="BE220" t="s">
        <v>925</v>
      </c>
      <c r="BF220" t="s">
        <v>780</v>
      </c>
      <c r="BG220">
        <v>343</v>
      </c>
      <c r="BH220" t="s">
        <v>735</v>
      </c>
      <c r="BI220">
        <v>0.75</v>
      </c>
      <c r="BJ220" t="s">
        <v>781</v>
      </c>
      <c r="BK220" t="s">
        <v>764</v>
      </c>
      <c r="BL220" t="s">
        <v>26</v>
      </c>
      <c r="BM220">
        <v>76047</v>
      </c>
    </row>
    <row r="221" spans="1:65">
      <c r="A221" s="47"/>
      <c r="B221" s="27">
        <v>76048</v>
      </c>
      <c r="C221" s="27" t="s">
        <v>2172</v>
      </c>
      <c r="E221" s="27" t="s">
        <v>2148</v>
      </c>
      <c r="F221" s="27" t="s">
        <v>2152</v>
      </c>
      <c r="G221" s="27" t="s">
        <v>785</v>
      </c>
      <c r="K221" s="27" t="s">
        <v>2153</v>
      </c>
      <c r="L221" s="27" t="s">
        <v>2148</v>
      </c>
      <c r="M221" s="27" t="s">
        <v>2154</v>
      </c>
      <c r="AF221" s="37" t="str">
        <f t="shared" si="7"/>
        <v>LS_HT1_VR           SP_MTVR_M</v>
      </c>
      <c r="AG221" s="27" t="s">
        <v>2150</v>
      </c>
      <c r="AH221">
        <v>3</v>
      </c>
      <c r="AI221">
        <v>76048</v>
      </c>
      <c r="AJ221" t="s">
        <v>926</v>
      </c>
      <c r="AK221" t="s">
        <v>26</v>
      </c>
      <c r="AL221" t="s">
        <v>838</v>
      </c>
      <c r="AM221" t="s">
        <v>839</v>
      </c>
      <c r="AN221" t="s">
        <v>923</v>
      </c>
      <c r="AO221" t="s">
        <v>924</v>
      </c>
      <c r="AP221">
        <v>2</v>
      </c>
      <c r="AQ221" t="s">
        <v>320</v>
      </c>
      <c r="AR221" t="s">
        <v>111</v>
      </c>
      <c r="AS221" t="s">
        <v>26</v>
      </c>
      <c r="AT221" t="s">
        <v>26</v>
      </c>
      <c r="AU221" t="s">
        <v>26</v>
      </c>
      <c r="AV221" t="s">
        <v>783</v>
      </c>
      <c r="AW221" t="s">
        <v>784</v>
      </c>
      <c r="AX221" t="s">
        <v>785</v>
      </c>
      <c r="AY221">
        <v>1</v>
      </c>
      <c r="AZ221" t="s">
        <v>773</v>
      </c>
      <c r="BA221" t="s">
        <v>26</v>
      </c>
      <c r="BB221" t="s">
        <v>26</v>
      </c>
      <c r="BC221" t="s">
        <v>778</v>
      </c>
      <c r="BD221" t="s">
        <v>75</v>
      </c>
      <c r="BE221" t="s">
        <v>925</v>
      </c>
      <c r="BF221" t="s">
        <v>786</v>
      </c>
      <c r="BG221">
        <v>373</v>
      </c>
      <c r="BH221" t="s">
        <v>787</v>
      </c>
      <c r="BI221">
        <v>0.75</v>
      </c>
      <c r="BJ221" t="s">
        <v>788</v>
      </c>
      <c r="BK221" t="s">
        <v>764</v>
      </c>
      <c r="BL221" t="s">
        <v>26</v>
      </c>
      <c r="BM221">
        <v>76048</v>
      </c>
    </row>
    <row r="222" spans="1:65">
      <c r="A222" s="47"/>
      <c r="B222" s="27">
        <v>76049</v>
      </c>
      <c r="C222" s="27" t="s">
        <v>2172</v>
      </c>
      <c r="E222" s="27" t="s">
        <v>2148</v>
      </c>
      <c r="F222" s="27" t="s">
        <v>2152</v>
      </c>
      <c r="G222" s="27" t="s">
        <v>772</v>
      </c>
      <c r="K222" s="27" t="s">
        <v>2153</v>
      </c>
      <c r="L222" s="27" t="s">
        <v>2154</v>
      </c>
      <c r="M222" s="27" t="s">
        <v>2148</v>
      </c>
      <c r="AF222" s="37" t="str">
        <f t="shared" si="7"/>
        <v>SP_MTVR_P           KS_CPR_B</v>
      </c>
      <c r="AG222" s="27" t="s">
        <v>2150</v>
      </c>
      <c r="AH222">
        <v>3</v>
      </c>
      <c r="AI222">
        <v>76049</v>
      </c>
      <c r="AJ222" t="s">
        <v>927</v>
      </c>
      <c r="AK222" t="s">
        <v>26</v>
      </c>
      <c r="AL222" t="s">
        <v>26</v>
      </c>
      <c r="AM222" t="s">
        <v>770</v>
      </c>
      <c r="AN222" t="s">
        <v>771</v>
      </c>
      <c r="AO222" t="s">
        <v>772</v>
      </c>
      <c r="AP222">
        <v>1</v>
      </c>
      <c r="AQ222" t="s">
        <v>773</v>
      </c>
      <c r="AR222" t="s">
        <v>26</v>
      </c>
      <c r="AS222" t="s">
        <v>26</v>
      </c>
      <c r="AT222" t="s">
        <v>26</v>
      </c>
      <c r="AU222" t="s">
        <v>131</v>
      </c>
      <c r="AV222" t="s">
        <v>131</v>
      </c>
      <c r="AW222" t="s">
        <v>132</v>
      </c>
      <c r="AX222" t="s">
        <v>133</v>
      </c>
      <c r="AY222">
        <v>1</v>
      </c>
      <c r="AZ222" t="s">
        <v>134</v>
      </c>
      <c r="BA222" t="s">
        <v>122</v>
      </c>
      <c r="BB222" t="s">
        <v>26</v>
      </c>
      <c r="BC222" t="s">
        <v>778</v>
      </c>
      <c r="BD222" t="s">
        <v>75</v>
      </c>
      <c r="BE222" t="s">
        <v>928</v>
      </c>
      <c r="BF222" t="s">
        <v>780</v>
      </c>
      <c r="BG222">
        <v>446</v>
      </c>
      <c r="BH222" t="s">
        <v>735</v>
      </c>
      <c r="BI222">
        <v>0.75</v>
      </c>
      <c r="BJ222" t="s">
        <v>781</v>
      </c>
      <c r="BK222" t="s">
        <v>764</v>
      </c>
      <c r="BL222" t="s">
        <v>26</v>
      </c>
      <c r="BM222">
        <v>76049</v>
      </c>
    </row>
    <row r="223" spans="1:65">
      <c r="A223" s="47"/>
      <c r="B223" s="27">
        <v>76050</v>
      </c>
      <c r="C223" s="27" t="s">
        <v>2172</v>
      </c>
      <c r="E223" s="27" t="s">
        <v>2148</v>
      </c>
      <c r="F223" s="27" t="s">
        <v>2152</v>
      </c>
      <c r="G223" s="27" t="s">
        <v>785</v>
      </c>
      <c r="K223" s="27" t="s">
        <v>2153</v>
      </c>
      <c r="L223" s="27" t="s">
        <v>2154</v>
      </c>
      <c r="M223" s="27" t="s">
        <v>2148</v>
      </c>
      <c r="AF223" s="37" t="str">
        <f t="shared" si="7"/>
        <v>SP_MTVR_M           KS_CPR_B</v>
      </c>
      <c r="AG223" s="27" t="s">
        <v>2150</v>
      </c>
      <c r="AH223">
        <v>3</v>
      </c>
      <c r="AI223">
        <v>76050</v>
      </c>
      <c r="AJ223" t="s">
        <v>929</v>
      </c>
      <c r="AK223" t="s">
        <v>26</v>
      </c>
      <c r="AL223" t="s">
        <v>26</v>
      </c>
      <c r="AM223" t="s">
        <v>783</v>
      </c>
      <c r="AN223" t="s">
        <v>784</v>
      </c>
      <c r="AO223" t="s">
        <v>785</v>
      </c>
      <c r="AP223">
        <v>1</v>
      </c>
      <c r="AQ223" t="s">
        <v>773</v>
      </c>
      <c r="AR223" t="s">
        <v>26</v>
      </c>
      <c r="AS223" t="s">
        <v>26</v>
      </c>
      <c r="AT223" t="s">
        <v>26</v>
      </c>
      <c r="AU223" t="s">
        <v>131</v>
      </c>
      <c r="AV223" t="s">
        <v>131</v>
      </c>
      <c r="AW223" t="s">
        <v>132</v>
      </c>
      <c r="AX223" t="s">
        <v>133</v>
      </c>
      <c r="AY223">
        <v>2</v>
      </c>
      <c r="AZ223" t="s">
        <v>134</v>
      </c>
      <c r="BA223" t="s">
        <v>122</v>
      </c>
      <c r="BB223" t="s">
        <v>26</v>
      </c>
      <c r="BC223" t="s">
        <v>778</v>
      </c>
      <c r="BD223" t="s">
        <v>75</v>
      </c>
      <c r="BE223" t="s">
        <v>928</v>
      </c>
      <c r="BF223" t="s">
        <v>786</v>
      </c>
      <c r="BG223">
        <v>476</v>
      </c>
      <c r="BH223" t="s">
        <v>787</v>
      </c>
      <c r="BI223">
        <v>0.75</v>
      </c>
      <c r="BJ223" t="s">
        <v>788</v>
      </c>
      <c r="BK223" t="s">
        <v>764</v>
      </c>
      <c r="BL223" t="s">
        <v>26</v>
      </c>
      <c r="BM223">
        <v>76050</v>
      </c>
    </row>
    <row r="224" spans="1:65">
      <c r="A224" s="47">
        <v>501</v>
      </c>
      <c r="B224" s="27">
        <v>76051</v>
      </c>
      <c r="C224" s="27" t="s">
        <v>2172</v>
      </c>
      <c r="E224" s="27" t="s">
        <v>2148</v>
      </c>
      <c r="F224" s="27" t="s">
        <v>2152</v>
      </c>
      <c r="G224" s="27" t="s">
        <v>792</v>
      </c>
      <c r="K224" s="27" t="s">
        <v>2153</v>
      </c>
      <c r="L224" s="27" t="s">
        <v>2154</v>
      </c>
      <c r="M224" s="27" t="s">
        <v>2148</v>
      </c>
      <c r="AF224" s="37" t="str">
        <f t="shared" si="7"/>
        <v>SP_MTVL_P           LS_HT1_VL</v>
      </c>
      <c r="AG224" s="27" t="s">
        <v>2150</v>
      </c>
      <c r="AH224">
        <v>3</v>
      </c>
      <c r="AI224">
        <v>76051</v>
      </c>
      <c r="AJ224" t="s">
        <v>930</v>
      </c>
      <c r="AK224" t="s">
        <v>26</v>
      </c>
      <c r="AL224" t="s">
        <v>26</v>
      </c>
      <c r="AM224" t="s">
        <v>790</v>
      </c>
      <c r="AN224" t="s">
        <v>791</v>
      </c>
      <c r="AO224" t="s">
        <v>792</v>
      </c>
      <c r="AP224">
        <v>1</v>
      </c>
      <c r="AQ224" t="s">
        <v>793</v>
      </c>
      <c r="AR224" t="s">
        <v>26</v>
      </c>
      <c r="AS224" t="s">
        <v>26</v>
      </c>
      <c r="AT224" t="s">
        <v>26</v>
      </c>
      <c r="AU224" t="s">
        <v>824</v>
      </c>
      <c r="AV224" t="s">
        <v>825</v>
      </c>
      <c r="AW224" t="s">
        <v>931</v>
      </c>
      <c r="AX224" t="s">
        <v>932</v>
      </c>
      <c r="AY224">
        <v>1</v>
      </c>
      <c r="AZ224" t="s">
        <v>933</v>
      </c>
      <c r="BA224" t="s">
        <v>111</v>
      </c>
      <c r="BB224" t="s">
        <v>26</v>
      </c>
      <c r="BC224" t="s">
        <v>794</v>
      </c>
      <c r="BD224" t="s">
        <v>75</v>
      </c>
      <c r="BE224" t="s">
        <v>934</v>
      </c>
      <c r="BF224" t="s">
        <v>780</v>
      </c>
      <c r="BG224" s="146">
        <v>423</v>
      </c>
      <c r="BH224" t="s">
        <v>735</v>
      </c>
      <c r="BI224">
        <v>0.75</v>
      </c>
      <c r="BJ224" t="s">
        <v>796</v>
      </c>
      <c r="BK224" t="s">
        <v>764</v>
      </c>
      <c r="BL224" t="s">
        <v>26</v>
      </c>
      <c r="BM224">
        <v>76051</v>
      </c>
    </row>
    <row r="225" spans="1:67">
      <c r="A225" s="47">
        <v>501</v>
      </c>
      <c r="B225" s="27">
        <v>76052</v>
      </c>
      <c r="C225" s="27" t="s">
        <v>2172</v>
      </c>
      <c r="E225" s="27" t="s">
        <v>2148</v>
      </c>
      <c r="F225" s="27" t="s">
        <v>2152</v>
      </c>
      <c r="G225" s="27" t="s">
        <v>800</v>
      </c>
      <c r="K225" s="27" t="s">
        <v>2153</v>
      </c>
      <c r="L225" s="27" t="s">
        <v>2154</v>
      </c>
      <c r="M225" s="27" t="s">
        <v>2148</v>
      </c>
      <c r="AF225" s="37" t="str">
        <f t="shared" si="7"/>
        <v>SP_MTVL_M           LS_HT1_VL</v>
      </c>
      <c r="AG225" s="27" t="s">
        <v>2150</v>
      </c>
      <c r="AH225">
        <v>3</v>
      </c>
      <c r="AI225">
        <v>76052</v>
      </c>
      <c r="AJ225" t="s">
        <v>935</v>
      </c>
      <c r="AK225" t="s">
        <v>26</v>
      </c>
      <c r="AL225" t="s">
        <v>26</v>
      </c>
      <c r="AM225" t="s">
        <v>798</v>
      </c>
      <c r="AN225" t="s">
        <v>799</v>
      </c>
      <c r="AO225" t="s">
        <v>800</v>
      </c>
      <c r="AP225">
        <v>1</v>
      </c>
      <c r="AQ225" t="s">
        <v>801</v>
      </c>
      <c r="AR225" t="s">
        <v>26</v>
      </c>
      <c r="AS225" t="s">
        <v>26</v>
      </c>
      <c r="AT225" t="s">
        <v>26</v>
      </c>
      <c r="AU225" t="s">
        <v>824</v>
      </c>
      <c r="AV225" t="s">
        <v>825</v>
      </c>
      <c r="AW225" t="s">
        <v>931</v>
      </c>
      <c r="AX225" t="s">
        <v>932</v>
      </c>
      <c r="AY225">
        <v>2</v>
      </c>
      <c r="AZ225" t="s">
        <v>933</v>
      </c>
      <c r="BA225" t="s">
        <v>111</v>
      </c>
      <c r="BB225" t="s">
        <v>26</v>
      </c>
      <c r="BC225" t="s">
        <v>794</v>
      </c>
      <c r="BD225" t="s">
        <v>75</v>
      </c>
      <c r="BE225" t="s">
        <v>934</v>
      </c>
      <c r="BF225" t="s">
        <v>802</v>
      </c>
      <c r="BG225" s="146">
        <v>391</v>
      </c>
      <c r="BH225" t="s">
        <v>570</v>
      </c>
      <c r="BI225">
        <v>0.75</v>
      </c>
      <c r="BJ225" t="s">
        <v>803</v>
      </c>
      <c r="BK225" t="s">
        <v>764</v>
      </c>
      <c r="BL225" t="s">
        <v>26</v>
      </c>
      <c r="BM225">
        <v>76052</v>
      </c>
    </row>
    <row r="226" spans="1:67">
      <c r="A226" s="47"/>
      <c r="B226" s="27">
        <v>76053</v>
      </c>
      <c r="C226" s="27" t="s">
        <v>2172</v>
      </c>
      <c r="E226" s="27" t="s">
        <v>2148</v>
      </c>
      <c r="F226" s="27" t="s">
        <v>2152</v>
      </c>
      <c r="G226" s="27" t="s">
        <v>792</v>
      </c>
      <c r="K226" s="27" t="s">
        <v>2153</v>
      </c>
      <c r="L226" s="27" t="s">
        <v>2154</v>
      </c>
      <c r="M226" s="27" t="s">
        <v>2148</v>
      </c>
      <c r="AF226" s="37" t="str">
        <f t="shared" si="7"/>
        <v>SP_MTVL_P           KS_CPL_A</v>
      </c>
      <c r="AG226" s="27" t="s">
        <v>2150</v>
      </c>
      <c r="AH226">
        <v>3</v>
      </c>
      <c r="AI226">
        <v>76053</v>
      </c>
      <c r="AJ226" t="s">
        <v>936</v>
      </c>
      <c r="AK226" t="s">
        <v>26</v>
      </c>
      <c r="AL226" t="s">
        <v>26</v>
      </c>
      <c r="AM226" t="s">
        <v>790</v>
      </c>
      <c r="AN226" t="s">
        <v>791</v>
      </c>
      <c r="AO226" t="s">
        <v>792</v>
      </c>
      <c r="AP226">
        <v>1</v>
      </c>
      <c r="AQ226" t="s">
        <v>793</v>
      </c>
      <c r="AR226" t="s">
        <v>26</v>
      </c>
      <c r="AS226" t="s">
        <v>26</v>
      </c>
      <c r="AT226" t="s">
        <v>26</v>
      </c>
      <c r="AU226" t="s">
        <v>64</v>
      </c>
      <c r="AV226" t="s">
        <v>64</v>
      </c>
      <c r="AW226" t="s">
        <v>261</v>
      </c>
      <c r="AX226" t="s">
        <v>262</v>
      </c>
      <c r="AY226">
        <v>1</v>
      </c>
      <c r="AZ226" t="s">
        <v>263</v>
      </c>
      <c r="BA226" t="s">
        <v>122</v>
      </c>
      <c r="BB226" t="s">
        <v>26</v>
      </c>
      <c r="BC226" t="s">
        <v>794</v>
      </c>
      <c r="BD226" t="s">
        <v>75</v>
      </c>
      <c r="BE226" t="s">
        <v>937</v>
      </c>
      <c r="BF226" t="s">
        <v>780</v>
      </c>
      <c r="BG226">
        <v>745</v>
      </c>
      <c r="BH226" t="s">
        <v>735</v>
      </c>
      <c r="BI226">
        <v>0.75</v>
      </c>
      <c r="BJ226" t="s">
        <v>796</v>
      </c>
      <c r="BK226" t="s">
        <v>764</v>
      </c>
      <c r="BL226" t="s">
        <v>26</v>
      </c>
      <c r="BM226">
        <v>76053</v>
      </c>
    </row>
    <row r="227" spans="1:67">
      <c r="A227" s="47"/>
      <c r="B227" s="27">
        <v>76054</v>
      </c>
      <c r="C227" s="27" t="s">
        <v>2172</v>
      </c>
      <c r="E227" s="27" t="s">
        <v>2148</v>
      </c>
      <c r="F227" s="27" t="s">
        <v>2152</v>
      </c>
      <c r="G227" s="27" t="s">
        <v>800</v>
      </c>
      <c r="K227" s="27" t="s">
        <v>2153</v>
      </c>
      <c r="L227" s="27" t="s">
        <v>2154</v>
      </c>
      <c r="M227" s="27" t="s">
        <v>2148</v>
      </c>
      <c r="AF227" s="37" t="str">
        <f t="shared" si="7"/>
        <v>SP_MTVL_M           KS_CPL_A</v>
      </c>
      <c r="AG227" s="27" t="s">
        <v>2150</v>
      </c>
      <c r="AH227">
        <v>3</v>
      </c>
      <c r="AI227">
        <v>76054</v>
      </c>
      <c r="AJ227" t="s">
        <v>938</v>
      </c>
      <c r="AK227" t="s">
        <v>26</v>
      </c>
      <c r="AL227" t="s">
        <v>26</v>
      </c>
      <c r="AM227" t="s">
        <v>798</v>
      </c>
      <c r="AN227" t="s">
        <v>799</v>
      </c>
      <c r="AO227" t="s">
        <v>800</v>
      </c>
      <c r="AP227">
        <v>1</v>
      </c>
      <c r="AQ227" t="s">
        <v>801</v>
      </c>
      <c r="AR227" t="s">
        <v>26</v>
      </c>
      <c r="AS227" t="s">
        <v>26</v>
      </c>
      <c r="AT227" t="s">
        <v>26</v>
      </c>
      <c r="AU227" t="s">
        <v>64</v>
      </c>
      <c r="AV227" t="s">
        <v>64</v>
      </c>
      <c r="AW227" t="s">
        <v>261</v>
      </c>
      <c r="AX227" t="s">
        <v>262</v>
      </c>
      <c r="AY227">
        <v>2</v>
      </c>
      <c r="AZ227" t="s">
        <v>263</v>
      </c>
      <c r="BA227" t="s">
        <v>122</v>
      </c>
      <c r="BB227" t="s">
        <v>26</v>
      </c>
      <c r="BC227" t="s">
        <v>794</v>
      </c>
      <c r="BD227" t="s">
        <v>75</v>
      </c>
      <c r="BE227" t="s">
        <v>937</v>
      </c>
      <c r="BF227" t="s">
        <v>802</v>
      </c>
      <c r="BG227">
        <v>712</v>
      </c>
      <c r="BH227" t="s">
        <v>570</v>
      </c>
      <c r="BI227">
        <v>0.75</v>
      </c>
      <c r="BJ227" t="s">
        <v>803</v>
      </c>
      <c r="BK227" t="s">
        <v>764</v>
      </c>
      <c r="BL227" t="s">
        <v>26</v>
      </c>
      <c r="BM227">
        <v>76054</v>
      </c>
    </row>
    <row r="228" spans="1:67">
      <c r="A228" s="47">
        <v>506</v>
      </c>
      <c r="B228" s="27">
        <v>76055</v>
      </c>
      <c r="C228" s="27" t="s">
        <v>2172</v>
      </c>
      <c r="E228" s="27" t="s">
        <v>2148</v>
      </c>
      <c r="AF228" s="37" t="str">
        <f t="shared" si="7"/>
        <v>LSEPH               KS_CPL_D</v>
      </c>
      <c r="AG228" s="27" t="s">
        <v>2150</v>
      </c>
      <c r="AH228">
        <v>3</v>
      </c>
      <c r="AI228">
        <v>76055</v>
      </c>
      <c r="AJ228" t="s">
        <v>939</v>
      </c>
      <c r="AK228" t="s">
        <v>26</v>
      </c>
      <c r="AL228" t="s">
        <v>940</v>
      </c>
      <c r="AM228" t="s">
        <v>941</v>
      </c>
      <c r="AN228" t="s">
        <v>942</v>
      </c>
      <c r="AO228" t="s">
        <v>943</v>
      </c>
      <c r="AP228">
        <v>1</v>
      </c>
      <c r="AQ228" t="s">
        <v>320</v>
      </c>
      <c r="AR228" t="s">
        <v>243</v>
      </c>
      <c r="AS228" t="s">
        <v>26</v>
      </c>
      <c r="AT228" t="s">
        <v>26</v>
      </c>
      <c r="AU228" t="s">
        <v>64</v>
      </c>
      <c r="AV228" t="s">
        <v>64</v>
      </c>
      <c r="AW228" t="s">
        <v>65</v>
      </c>
      <c r="AX228" t="s">
        <v>66</v>
      </c>
      <c r="AY228">
        <v>6</v>
      </c>
      <c r="AZ228" t="s">
        <v>67</v>
      </c>
      <c r="BA228" t="s">
        <v>68</v>
      </c>
      <c r="BB228" t="s">
        <v>26</v>
      </c>
      <c r="BC228" t="s">
        <v>456</v>
      </c>
      <c r="BD228" t="s">
        <v>75</v>
      </c>
      <c r="BE228" t="s">
        <v>26</v>
      </c>
      <c r="BF228" t="s">
        <v>26</v>
      </c>
      <c r="BG228" s="146">
        <v>2338</v>
      </c>
      <c r="BH228" t="s">
        <v>457</v>
      </c>
      <c r="BI228">
        <v>0.35</v>
      </c>
      <c r="BJ228" t="s">
        <v>944</v>
      </c>
      <c r="BK228" t="s">
        <v>764</v>
      </c>
      <c r="BL228" t="s">
        <v>767</v>
      </c>
      <c r="BM228">
        <v>76055</v>
      </c>
    </row>
    <row r="229" spans="1:67">
      <c r="A229" s="47">
        <v>506</v>
      </c>
      <c r="B229" s="27">
        <v>76056</v>
      </c>
      <c r="C229" s="27" t="s">
        <v>2172</v>
      </c>
      <c r="E229" s="27" t="s">
        <v>2148</v>
      </c>
      <c r="AF229" s="37" t="str">
        <f t="shared" si="7"/>
        <v>LSEPH               KS_CPL_D</v>
      </c>
      <c r="AG229" s="27" t="s">
        <v>2150</v>
      </c>
      <c r="AH229">
        <v>3</v>
      </c>
      <c r="AI229">
        <v>76056</v>
      </c>
      <c r="AJ229" t="s">
        <v>945</v>
      </c>
      <c r="AK229" t="s">
        <v>26</v>
      </c>
      <c r="AL229" t="s">
        <v>940</v>
      </c>
      <c r="AM229" t="s">
        <v>941</v>
      </c>
      <c r="AN229" t="s">
        <v>942</v>
      </c>
      <c r="AO229" t="s">
        <v>943</v>
      </c>
      <c r="AP229">
        <v>2</v>
      </c>
      <c r="AQ229" t="s">
        <v>320</v>
      </c>
      <c r="AR229" t="s">
        <v>243</v>
      </c>
      <c r="AS229" t="s">
        <v>26</v>
      </c>
      <c r="AT229" t="s">
        <v>26</v>
      </c>
      <c r="AU229" t="s">
        <v>64</v>
      </c>
      <c r="AV229" t="s">
        <v>64</v>
      </c>
      <c r="AW229" t="s">
        <v>65</v>
      </c>
      <c r="AX229" t="s">
        <v>66</v>
      </c>
      <c r="AY229">
        <v>7</v>
      </c>
      <c r="AZ229" t="s">
        <v>67</v>
      </c>
      <c r="BA229" t="s">
        <v>68</v>
      </c>
      <c r="BB229" t="s">
        <v>26</v>
      </c>
      <c r="BC229" t="s">
        <v>452</v>
      </c>
      <c r="BD229" t="s">
        <v>75</v>
      </c>
      <c r="BE229" t="s">
        <v>26</v>
      </c>
      <c r="BF229" t="s">
        <v>26</v>
      </c>
      <c r="BG229" s="146">
        <v>2338</v>
      </c>
      <c r="BH229" t="s">
        <v>453</v>
      </c>
      <c r="BI229">
        <v>0.35</v>
      </c>
      <c r="BJ229" t="s">
        <v>946</v>
      </c>
      <c r="BK229" t="s">
        <v>764</v>
      </c>
      <c r="BL229" t="s">
        <v>767</v>
      </c>
      <c r="BM229">
        <v>76056</v>
      </c>
    </row>
    <row r="230" spans="1:67">
      <c r="A230" s="47">
        <v>500.50599999999997</v>
      </c>
      <c r="B230" s="27">
        <v>76057</v>
      </c>
      <c r="C230" s="27" t="s">
        <v>2172</v>
      </c>
      <c r="E230" s="27" t="s">
        <v>2148</v>
      </c>
      <c r="L230" s="27" t="s">
        <v>2148</v>
      </c>
      <c r="M230" s="27" t="s">
        <v>2148</v>
      </c>
      <c r="AF230" s="37" t="str">
        <f t="shared" si="7"/>
        <v>KS_CPR_C            MIB_C</v>
      </c>
      <c r="AG230" s="27" t="s">
        <v>2150</v>
      </c>
      <c r="AH230">
        <v>3</v>
      </c>
      <c r="AI230">
        <v>76057</v>
      </c>
      <c r="AJ230" t="s">
        <v>947</v>
      </c>
      <c r="AK230" t="s">
        <v>26</v>
      </c>
      <c r="AL230" t="s">
        <v>131</v>
      </c>
      <c r="AM230" t="s">
        <v>131</v>
      </c>
      <c r="AN230" t="s">
        <v>189</v>
      </c>
      <c r="AO230" t="s">
        <v>190</v>
      </c>
      <c r="AP230">
        <v>14</v>
      </c>
      <c r="AQ230" s="146" t="s">
        <v>121</v>
      </c>
      <c r="AR230" t="s">
        <v>68</v>
      </c>
      <c r="AS230" t="s">
        <v>26</v>
      </c>
      <c r="AT230" t="s">
        <v>26</v>
      </c>
      <c r="AU230" t="s">
        <v>32</v>
      </c>
      <c r="AV230" t="s">
        <v>33</v>
      </c>
      <c r="AW230" t="s">
        <v>476</v>
      </c>
      <c r="AX230" t="s">
        <v>477</v>
      </c>
      <c r="AY230">
        <v>1</v>
      </c>
      <c r="AZ230" t="s">
        <v>158</v>
      </c>
      <c r="BA230" t="s">
        <v>243</v>
      </c>
      <c r="BB230" t="s">
        <v>26</v>
      </c>
      <c r="BC230" t="s">
        <v>206</v>
      </c>
      <c r="BD230" t="s">
        <v>75</v>
      </c>
      <c r="BE230" t="s">
        <v>948</v>
      </c>
      <c r="BF230" t="s">
        <v>208</v>
      </c>
      <c r="BG230" s="146">
        <v>1753</v>
      </c>
      <c r="BH230" t="s">
        <v>209</v>
      </c>
      <c r="BI230">
        <v>0.35</v>
      </c>
      <c r="BJ230" t="s">
        <v>949</v>
      </c>
      <c r="BK230" t="s">
        <v>764</v>
      </c>
      <c r="BL230" t="s">
        <v>26</v>
      </c>
      <c r="BM230">
        <v>76057</v>
      </c>
    </row>
    <row r="231" spans="1:67">
      <c r="A231" s="47">
        <v>500.50599999999997</v>
      </c>
      <c r="B231" s="27">
        <v>76058</v>
      </c>
      <c r="C231" s="27" t="s">
        <v>2172</v>
      </c>
      <c r="E231" s="27" t="s">
        <v>2148</v>
      </c>
      <c r="L231" s="27" t="s">
        <v>2148</v>
      </c>
      <c r="M231" s="27" t="s">
        <v>2148</v>
      </c>
      <c r="AF231" s="37" t="str">
        <f t="shared" si="7"/>
        <v>KS_CPR_C            MIB_C</v>
      </c>
      <c r="AG231" s="27" t="s">
        <v>2150</v>
      </c>
      <c r="AH231">
        <v>3</v>
      </c>
      <c r="AI231">
        <v>76058</v>
      </c>
      <c r="AJ231" t="s">
        <v>950</v>
      </c>
      <c r="AK231" t="s">
        <v>26</v>
      </c>
      <c r="AL231" t="s">
        <v>131</v>
      </c>
      <c r="AM231" t="s">
        <v>131</v>
      </c>
      <c r="AN231" t="s">
        <v>189</v>
      </c>
      <c r="AO231" t="s">
        <v>190</v>
      </c>
      <c r="AP231">
        <v>13</v>
      </c>
      <c r="AQ231" s="146" t="s">
        <v>121</v>
      </c>
      <c r="AR231" t="s">
        <v>68</v>
      </c>
      <c r="AS231" t="s">
        <v>26</v>
      </c>
      <c r="AT231" t="s">
        <v>26</v>
      </c>
      <c r="AU231" t="s">
        <v>32</v>
      </c>
      <c r="AV231" t="s">
        <v>33</v>
      </c>
      <c r="AW231" t="s">
        <v>476</v>
      </c>
      <c r="AX231" t="s">
        <v>477</v>
      </c>
      <c r="AY231">
        <v>7</v>
      </c>
      <c r="AZ231" t="s">
        <v>158</v>
      </c>
      <c r="BA231" t="s">
        <v>243</v>
      </c>
      <c r="BB231" t="s">
        <v>26</v>
      </c>
      <c r="BC231" t="s">
        <v>206</v>
      </c>
      <c r="BD231" t="s">
        <v>75</v>
      </c>
      <c r="BE231" t="s">
        <v>948</v>
      </c>
      <c r="BF231" t="s">
        <v>45</v>
      </c>
      <c r="BG231" s="146">
        <v>1753</v>
      </c>
      <c r="BH231" t="s">
        <v>46</v>
      </c>
      <c r="BI231">
        <v>0.35</v>
      </c>
      <c r="BJ231" t="s">
        <v>951</v>
      </c>
      <c r="BK231" t="s">
        <v>764</v>
      </c>
      <c r="BL231" t="s">
        <v>26</v>
      </c>
      <c r="BM231">
        <v>76058</v>
      </c>
    </row>
    <row r="232" spans="1:67">
      <c r="A232" s="47"/>
      <c r="C232" s="27" t="s">
        <v>2173</v>
      </c>
      <c r="AF232" s="37" t="str">
        <f t="shared" si="7"/>
        <v xml:space="preserve">                    </v>
      </c>
      <c r="AH232">
        <v>1</v>
      </c>
      <c r="AI232" t="s">
        <v>952</v>
      </c>
    </row>
    <row r="233" spans="1:67">
      <c r="A233" s="47"/>
      <c r="C233" s="27" t="s">
        <v>2173</v>
      </c>
      <c r="AF233" s="37"/>
      <c r="AH233">
        <v>2</v>
      </c>
      <c r="AI233" t="s">
        <v>1</v>
      </c>
      <c r="AJ233" t="s">
        <v>953</v>
      </c>
      <c r="AK233" t="s">
        <v>954</v>
      </c>
      <c r="AL233" s="146" t="s">
        <v>2301</v>
      </c>
      <c r="AM233" t="s">
        <v>4</v>
      </c>
      <c r="AN233" s="146" t="s">
        <v>2302</v>
      </c>
      <c r="AO233" t="s">
        <v>5</v>
      </c>
    </row>
    <row r="234" spans="1:67">
      <c r="A234" s="47"/>
      <c r="C234" s="27" t="s">
        <v>2173</v>
      </c>
      <c r="AF234" s="37"/>
      <c r="AH234">
        <v>2</v>
      </c>
      <c r="AI234" t="s">
        <v>509</v>
      </c>
      <c r="AJ234" t="s">
        <v>955</v>
      </c>
      <c r="AK234" t="s">
        <v>956</v>
      </c>
      <c r="AL234" t="s">
        <v>957</v>
      </c>
      <c r="AN234" t="s">
        <v>958</v>
      </c>
      <c r="AO234" t="s">
        <v>5</v>
      </c>
    </row>
    <row r="235" spans="1:67">
      <c r="A235" s="47"/>
      <c r="C235" s="27" t="s">
        <v>2173</v>
      </c>
      <c r="AF235" s="37"/>
      <c r="AH235">
        <v>2</v>
      </c>
      <c r="AI235" t="s">
        <v>512</v>
      </c>
      <c r="AJ235" t="s">
        <v>959</v>
      </c>
      <c r="AK235" t="s">
        <v>960</v>
      </c>
      <c r="AL235" t="s">
        <v>961</v>
      </c>
      <c r="AN235" t="s">
        <v>962</v>
      </c>
      <c r="AO235" t="s">
        <v>5</v>
      </c>
    </row>
    <row r="236" spans="1:67">
      <c r="A236" s="47">
        <v>505</v>
      </c>
      <c r="C236" s="27" t="s">
        <v>2173</v>
      </c>
      <c r="AF236" s="37"/>
      <c r="AH236" s="146">
        <v>2</v>
      </c>
      <c r="AI236" s="146" t="s">
        <v>2088</v>
      </c>
      <c r="AJ236" s="146" t="s">
        <v>2326</v>
      </c>
      <c r="AK236" s="146" t="s">
        <v>2327</v>
      </c>
      <c r="AL236" s="146" t="s">
        <v>1098</v>
      </c>
      <c r="AM236" s="146"/>
      <c r="AN236" s="146" t="s">
        <v>2328</v>
      </c>
      <c r="AO236" s="146" t="s">
        <v>5</v>
      </c>
    </row>
    <row r="237" spans="1:67">
      <c r="A237" s="47"/>
      <c r="C237" s="27" t="s">
        <v>2173</v>
      </c>
      <c r="AF237" s="37" t="str">
        <f t="shared" ref="AF237:AF256" si="8" xml:space="preserve"> AO237 &amp; REPT(" ",20-LEN(AO237)) &amp; AX237</f>
        <v>Kurzname            Kurzname</v>
      </c>
      <c r="AH237">
        <v>0</v>
      </c>
      <c r="AI237" t="s">
        <v>6</v>
      </c>
      <c r="AJ237" t="s">
        <v>7</v>
      </c>
      <c r="AK237" t="s">
        <v>8</v>
      </c>
      <c r="AL237" t="s">
        <v>9</v>
      </c>
      <c r="AM237" t="s">
        <v>9</v>
      </c>
      <c r="AN237" t="s">
        <v>10</v>
      </c>
      <c r="AO237" t="s">
        <v>11</v>
      </c>
      <c r="AP237" t="s">
        <v>12</v>
      </c>
      <c r="AQ237" t="s">
        <v>13</v>
      </c>
      <c r="AR237" t="s">
        <v>14</v>
      </c>
      <c r="AS237" t="s">
        <v>15</v>
      </c>
      <c r="AT237" t="s">
        <v>8</v>
      </c>
      <c r="AU237" t="s">
        <v>9</v>
      </c>
      <c r="AV237" t="s">
        <v>9</v>
      </c>
      <c r="AW237" t="s">
        <v>16</v>
      </c>
      <c r="AX237" t="s">
        <v>11</v>
      </c>
      <c r="AY237" t="s">
        <v>12</v>
      </c>
      <c r="AZ237" t="s">
        <v>13</v>
      </c>
      <c r="BA237" t="s">
        <v>14</v>
      </c>
      <c r="BB237" t="s">
        <v>15</v>
      </c>
      <c r="BC237" t="s">
        <v>17</v>
      </c>
      <c r="BD237" t="s">
        <v>18</v>
      </c>
      <c r="BE237" t="s">
        <v>19</v>
      </c>
      <c r="BF237" t="s">
        <v>20</v>
      </c>
      <c r="BG237" t="s">
        <v>21</v>
      </c>
      <c r="BH237" t="s">
        <v>22</v>
      </c>
      <c r="BI237" t="s">
        <v>23</v>
      </c>
      <c r="BJ237" t="s">
        <v>24</v>
      </c>
      <c r="BK237" t="s">
        <v>1</v>
      </c>
      <c r="BL237" t="s">
        <v>509</v>
      </c>
      <c r="BM237" t="s">
        <v>512</v>
      </c>
      <c r="BN237" s="146" t="s">
        <v>2088</v>
      </c>
      <c r="BO237" t="s">
        <v>6</v>
      </c>
    </row>
    <row r="238" spans="1:67">
      <c r="A238" s="47">
        <v>505</v>
      </c>
      <c r="B238" s="27">
        <v>77001</v>
      </c>
      <c r="C238" s="27" t="s">
        <v>2173</v>
      </c>
      <c r="E238" s="27" t="s">
        <v>2162</v>
      </c>
      <c r="F238" s="27" t="s">
        <v>2152</v>
      </c>
      <c r="G238" s="27" t="s">
        <v>388</v>
      </c>
      <c r="K238" s="27" t="s">
        <v>2153</v>
      </c>
      <c r="L238" s="27" t="s">
        <v>2148</v>
      </c>
      <c r="M238" s="27" t="s">
        <v>2154</v>
      </c>
      <c r="AE238" s="27" t="s">
        <v>2155</v>
      </c>
      <c r="AF238" s="37" t="str">
        <f t="shared" si="8"/>
        <v>KS_CPM_E            SP_CANL_MIB</v>
      </c>
      <c r="AG238" s="27" t="s">
        <v>2150</v>
      </c>
      <c r="AH238">
        <v>3</v>
      </c>
      <c r="AI238">
        <v>77001</v>
      </c>
      <c r="AJ238" t="s">
        <v>963</v>
      </c>
      <c r="AK238" t="s">
        <v>26</v>
      </c>
      <c r="AL238" t="s">
        <v>69</v>
      </c>
      <c r="AM238" t="s">
        <v>69</v>
      </c>
      <c r="AN238" t="s">
        <v>70</v>
      </c>
      <c r="AO238" t="s">
        <v>71</v>
      </c>
      <c r="AP238">
        <v>2</v>
      </c>
      <c r="AQ238" t="s">
        <v>72</v>
      </c>
      <c r="AR238" t="s">
        <v>68</v>
      </c>
      <c r="AS238" t="s">
        <v>26</v>
      </c>
      <c r="AT238" t="s">
        <v>26</v>
      </c>
      <c r="AU238" t="s">
        <v>26</v>
      </c>
      <c r="AV238" t="s">
        <v>386</v>
      </c>
      <c r="AW238" t="s">
        <v>387</v>
      </c>
      <c r="AX238" t="s">
        <v>388</v>
      </c>
      <c r="AY238">
        <v>1</v>
      </c>
      <c r="AZ238" t="s">
        <v>389</v>
      </c>
      <c r="BA238" t="s">
        <v>26</v>
      </c>
      <c r="BB238" t="s">
        <v>26</v>
      </c>
      <c r="BC238" t="s">
        <v>390</v>
      </c>
      <c r="BD238" t="s">
        <v>75</v>
      </c>
      <c r="BE238" t="s">
        <v>964</v>
      </c>
      <c r="BF238" t="s">
        <v>96</v>
      </c>
      <c r="BG238">
        <v>555</v>
      </c>
      <c r="BH238" t="s">
        <v>97</v>
      </c>
      <c r="BI238">
        <v>0.35</v>
      </c>
      <c r="BJ238" t="s">
        <v>392</v>
      </c>
      <c r="BK238" t="s">
        <v>953</v>
      </c>
      <c r="BL238" t="s">
        <v>955</v>
      </c>
      <c r="BM238" t="s">
        <v>959</v>
      </c>
      <c r="BN238" s="146" t="s">
        <v>26</v>
      </c>
      <c r="BO238">
        <v>77001</v>
      </c>
    </row>
    <row r="239" spans="1:67">
      <c r="A239" s="47">
        <v>505</v>
      </c>
      <c r="B239" s="27">
        <v>77004</v>
      </c>
      <c r="C239" s="27" t="s">
        <v>2173</v>
      </c>
      <c r="E239" s="27" t="s">
        <v>2162</v>
      </c>
      <c r="F239" s="27" t="s">
        <v>2152</v>
      </c>
      <c r="G239" s="27" t="s">
        <v>400</v>
      </c>
      <c r="K239" s="27" t="s">
        <v>2153</v>
      </c>
      <c r="L239" s="27" t="s">
        <v>2148</v>
      </c>
      <c r="M239" s="27" t="s">
        <v>2154</v>
      </c>
      <c r="AE239" s="27" t="s">
        <v>2155</v>
      </c>
      <c r="AF239" s="37" t="str">
        <f t="shared" si="8"/>
        <v>KS_CPM_E            SP_CANH_MIB</v>
      </c>
      <c r="AG239" s="27" t="s">
        <v>2150</v>
      </c>
      <c r="AH239">
        <v>3</v>
      </c>
      <c r="AI239">
        <v>77004</v>
      </c>
      <c r="AJ239" t="s">
        <v>965</v>
      </c>
      <c r="AK239" t="s">
        <v>26</v>
      </c>
      <c r="AL239" t="s">
        <v>69</v>
      </c>
      <c r="AM239" t="s">
        <v>69</v>
      </c>
      <c r="AN239" t="s">
        <v>70</v>
      </c>
      <c r="AO239" t="s">
        <v>71</v>
      </c>
      <c r="AP239">
        <v>1</v>
      </c>
      <c r="AQ239" t="s">
        <v>72</v>
      </c>
      <c r="AR239" t="s">
        <v>68</v>
      </c>
      <c r="AS239" t="s">
        <v>26</v>
      </c>
      <c r="AT239" t="s">
        <v>26</v>
      </c>
      <c r="AU239" t="s">
        <v>26</v>
      </c>
      <c r="AV239" t="s">
        <v>398</v>
      </c>
      <c r="AW239" t="s">
        <v>399</v>
      </c>
      <c r="AX239" t="s">
        <v>400</v>
      </c>
      <c r="AY239">
        <v>1</v>
      </c>
      <c r="AZ239" t="s">
        <v>389</v>
      </c>
      <c r="BA239" t="s">
        <v>26</v>
      </c>
      <c r="BB239" t="s">
        <v>26</v>
      </c>
      <c r="BC239" t="s">
        <v>390</v>
      </c>
      <c r="BD239" t="s">
        <v>75</v>
      </c>
      <c r="BE239" t="s">
        <v>964</v>
      </c>
      <c r="BF239" t="s">
        <v>401</v>
      </c>
      <c r="BG239">
        <v>555</v>
      </c>
      <c r="BH239" t="s">
        <v>50</v>
      </c>
      <c r="BI239">
        <v>0.35</v>
      </c>
      <c r="BJ239" t="s">
        <v>402</v>
      </c>
      <c r="BK239" t="s">
        <v>953</v>
      </c>
      <c r="BL239" t="s">
        <v>955</v>
      </c>
      <c r="BM239" t="s">
        <v>959</v>
      </c>
      <c r="BN239" s="146" t="s">
        <v>26</v>
      </c>
      <c r="BO239">
        <v>77004</v>
      </c>
    </row>
    <row r="240" spans="1:67">
      <c r="A240" s="47">
        <v>506</v>
      </c>
      <c r="B240" s="27">
        <v>77005</v>
      </c>
      <c r="C240" s="27" t="s">
        <v>2173</v>
      </c>
      <c r="E240" s="27" t="s">
        <v>2148</v>
      </c>
      <c r="L240" s="27" t="s">
        <v>2149</v>
      </c>
      <c r="M240" s="27" t="s">
        <v>2149</v>
      </c>
      <c r="T240" s="27">
        <v>980018105</v>
      </c>
      <c r="AF240" s="37" t="str">
        <f t="shared" si="8"/>
        <v>KS_CPM_C            KS_CPR_H</v>
      </c>
      <c r="AG240" s="27" t="s">
        <v>2150</v>
      </c>
      <c r="AH240">
        <v>3</v>
      </c>
      <c r="AI240">
        <v>77005</v>
      </c>
      <c r="AJ240" t="s">
        <v>966</v>
      </c>
      <c r="AK240" t="s">
        <v>26</v>
      </c>
      <c r="AL240" t="s">
        <v>69</v>
      </c>
      <c r="AM240" t="s">
        <v>69</v>
      </c>
      <c r="AN240" t="s">
        <v>967</v>
      </c>
      <c r="AO240" t="s">
        <v>968</v>
      </c>
      <c r="AP240">
        <v>1</v>
      </c>
      <c r="AQ240" t="s">
        <v>969</v>
      </c>
      <c r="AR240" t="s">
        <v>970</v>
      </c>
      <c r="AS240" t="s">
        <v>26</v>
      </c>
      <c r="AT240" t="s">
        <v>26</v>
      </c>
      <c r="AU240" t="s">
        <v>131</v>
      </c>
      <c r="AV240" t="s">
        <v>971</v>
      </c>
      <c r="AW240" t="s">
        <v>972</v>
      </c>
      <c r="AX240" t="s">
        <v>973</v>
      </c>
      <c r="AY240">
        <v>1</v>
      </c>
      <c r="AZ240" t="s">
        <v>412</v>
      </c>
      <c r="BA240" t="s">
        <v>409</v>
      </c>
      <c r="BB240" t="s">
        <v>26</v>
      </c>
      <c r="BC240" t="s">
        <v>413</v>
      </c>
      <c r="BD240" t="s">
        <v>414</v>
      </c>
      <c r="BE240" t="s">
        <v>974</v>
      </c>
      <c r="BF240" t="s">
        <v>416</v>
      </c>
      <c r="BG240" s="146">
        <v>1615</v>
      </c>
      <c r="BH240" t="s">
        <v>417</v>
      </c>
      <c r="BI240">
        <v>0.37</v>
      </c>
      <c r="BJ240" t="s">
        <v>975</v>
      </c>
      <c r="BK240" t="s">
        <v>953</v>
      </c>
      <c r="BL240" t="s">
        <v>26</v>
      </c>
      <c r="BM240" t="s">
        <v>26</v>
      </c>
      <c r="BN240" s="146" t="s">
        <v>26</v>
      </c>
      <c r="BO240">
        <v>77005</v>
      </c>
    </row>
    <row r="241" spans="1:67">
      <c r="A241" s="47">
        <v>506</v>
      </c>
      <c r="B241" s="27">
        <v>77006</v>
      </c>
      <c r="C241" s="27" t="s">
        <v>2173</v>
      </c>
      <c r="E241" s="27" t="s">
        <v>2148</v>
      </c>
      <c r="L241" s="27" t="s">
        <v>2149</v>
      </c>
      <c r="M241" s="27" t="s">
        <v>2149</v>
      </c>
      <c r="T241" s="27">
        <v>980018105</v>
      </c>
      <c r="AF241" s="37" t="str">
        <f t="shared" si="8"/>
        <v>KS_CPM_C            KS_CPR_H</v>
      </c>
      <c r="AG241" s="27" t="s">
        <v>2150</v>
      </c>
      <c r="AH241">
        <v>3</v>
      </c>
      <c r="AI241">
        <v>77006</v>
      </c>
      <c r="AJ241" t="s">
        <v>976</v>
      </c>
      <c r="AK241" t="s">
        <v>26</v>
      </c>
      <c r="AL241" t="s">
        <v>69</v>
      </c>
      <c r="AM241" t="s">
        <v>69</v>
      </c>
      <c r="AN241" t="s">
        <v>967</v>
      </c>
      <c r="AO241" t="s">
        <v>968</v>
      </c>
      <c r="AP241">
        <v>2</v>
      </c>
      <c r="AQ241" t="s">
        <v>969</v>
      </c>
      <c r="AR241" t="s">
        <v>59</v>
      </c>
      <c r="AS241" t="s">
        <v>26</v>
      </c>
      <c r="AT241" t="s">
        <v>26</v>
      </c>
      <c r="AU241" t="s">
        <v>131</v>
      </c>
      <c r="AV241" t="s">
        <v>971</v>
      </c>
      <c r="AW241" t="s">
        <v>972</v>
      </c>
      <c r="AX241" t="s">
        <v>973</v>
      </c>
      <c r="AY241">
        <v>2</v>
      </c>
      <c r="AZ241" t="s">
        <v>412</v>
      </c>
      <c r="BA241" t="s">
        <v>59</v>
      </c>
      <c r="BB241" t="s">
        <v>26</v>
      </c>
      <c r="BC241" t="s">
        <v>413</v>
      </c>
      <c r="BD241" t="s">
        <v>59</v>
      </c>
      <c r="BE241" t="s">
        <v>974</v>
      </c>
      <c r="BF241" t="s">
        <v>420</v>
      </c>
      <c r="BG241" s="146">
        <v>1615</v>
      </c>
      <c r="BH241" t="s">
        <v>61</v>
      </c>
      <c r="BI241">
        <v>0.5</v>
      </c>
      <c r="BJ241" t="s">
        <v>977</v>
      </c>
      <c r="BK241" t="s">
        <v>953</v>
      </c>
      <c r="BL241" t="s">
        <v>26</v>
      </c>
      <c r="BM241" t="s">
        <v>26</v>
      </c>
      <c r="BN241" s="146" t="s">
        <v>26</v>
      </c>
      <c r="BO241">
        <v>77006</v>
      </c>
    </row>
    <row r="242" spans="1:67">
      <c r="A242" s="47">
        <v>505.50599999999997</v>
      </c>
      <c r="B242" s="27">
        <v>77007</v>
      </c>
      <c r="C242" s="27" t="s">
        <v>2173</v>
      </c>
      <c r="E242" s="27" t="s">
        <v>2148</v>
      </c>
      <c r="F242" s="27" t="s">
        <v>2152</v>
      </c>
      <c r="G242" s="27" t="s">
        <v>981</v>
      </c>
      <c r="K242" s="27" t="s">
        <v>2153</v>
      </c>
      <c r="L242" s="27" t="s">
        <v>2154</v>
      </c>
      <c r="M242" s="27" t="s">
        <v>2148</v>
      </c>
      <c r="AF242" s="37" t="str">
        <f t="shared" si="8"/>
        <v>SP_30A              KS_CPM_E</v>
      </c>
      <c r="AG242" s="27" t="s">
        <v>2150</v>
      </c>
      <c r="AH242">
        <v>3</v>
      </c>
      <c r="AI242">
        <v>77007</v>
      </c>
      <c r="AJ242" t="s">
        <v>978</v>
      </c>
      <c r="AK242" t="s">
        <v>26</v>
      </c>
      <c r="AL242" t="s">
        <v>26</v>
      </c>
      <c r="AM242" t="s">
        <v>979</v>
      </c>
      <c r="AN242" t="s">
        <v>980</v>
      </c>
      <c r="AO242" t="s">
        <v>981</v>
      </c>
      <c r="AP242">
        <v>1</v>
      </c>
      <c r="AQ242" t="s">
        <v>982</v>
      </c>
      <c r="AR242" t="s">
        <v>26</v>
      </c>
      <c r="AS242" t="s">
        <v>26</v>
      </c>
      <c r="AT242" t="s">
        <v>26</v>
      </c>
      <c r="AU242" t="s">
        <v>69</v>
      </c>
      <c r="AV242" t="s">
        <v>69</v>
      </c>
      <c r="AW242" t="s">
        <v>70</v>
      </c>
      <c r="AX242" t="s">
        <v>71</v>
      </c>
      <c r="AY242">
        <v>3</v>
      </c>
      <c r="AZ242" t="s">
        <v>72</v>
      </c>
      <c r="BA242" t="s">
        <v>68</v>
      </c>
      <c r="BB242" t="s">
        <v>26</v>
      </c>
      <c r="BC242" t="s">
        <v>983</v>
      </c>
      <c r="BD242" t="s">
        <v>75</v>
      </c>
      <c r="BE242" t="s">
        <v>26</v>
      </c>
      <c r="BF242" t="s">
        <v>26</v>
      </c>
      <c r="BG242" s="146">
        <v>1369</v>
      </c>
      <c r="BH242" t="s">
        <v>984</v>
      </c>
      <c r="BI242">
        <v>0.35</v>
      </c>
      <c r="BJ242" t="s">
        <v>985</v>
      </c>
      <c r="BK242" t="s">
        <v>953</v>
      </c>
      <c r="BL242" t="s">
        <v>955</v>
      </c>
      <c r="BM242" t="s">
        <v>959</v>
      </c>
      <c r="BN242" s="146" t="s">
        <v>26</v>
      </c>
      <c r="BO242">
        <v>77007</v>
      </c>
    </row>
    <row r="243" spans="1:67">
      <c r="A243" s="47">
        <v>505.50599999999997</v>
      </c>
      <c r="B243" s="27">
        <v>77008</v>
      </c>
      <c r="C243" s="27" t="s">
        <v>2173</v>
      </c>
      <c r="E243" s="27" t="s">
        <v>2148</v>
      </c>
      <c r="F243" s="27" t="s">
        <v>2152</v>
      </c>
      <c r="G243" s="27" t="s">
        <v>981</v>
      </c>
      <c r="K243" s="27" t="s">
        <v>2153</v>
      </c>
      <c r="L243" s="27" t="s">
        <v>2148</v>
      </c>
      <c r="M243" s="27" t="s">
        <v>2154</v>
      </c>
      <c r="AF243" s="37" t="str">
        <f t="shared" si="8"/>
        <v>STO52A              SP_30A</v>
      </c>
      <c r="AG243" s="27" t="s">
        <v>2150</v>
      </c>
      <c r="AH243">
        <v>3</v>
      </c>
      <c r="AI243">
        <v>77008</v>
      </c>
      <c r="AJ243" t="s">
        <v>986</v>
      </c>
      <c r="AK243" t="s">
        <v>26</v>
      </c>
      <c r="AL243" t="s">
        <v>150</v>
      </c>
      <c r="AM243" t="s">
        <v>150</v>
      </c>
      <c r="AN243" t="s">
        <v>151</v>
      </c>
      <c r="AO243" t="s">
        <v>152</v>
      </c>
      <c r="AP243" t="s">
        <v>618</v>
      </c>
      <c r="AQ243" t="s">
        <v>154</v>
      </c>
      <c r="AR243" t="s">
        <v>304</v>
      </c>
      <c r="AS243" t="s">
        <v>26</v>
      </c>
      <c r="AT243" t="s">
        <v>26</v>
      </c>
      <c r="AU243" t="s">
        <v>26</v>
      </c>
      <c r="AV243" t="s">
        <v>979</v>
      </c>
      <c r="AW243" t="s">
        <v>980</v>
      </c>
      <c r="AX243" t="s">
        <v>981</v>
      </c>
      <c r="AY243">
        <v>1</v>
      </c>
      <c r="AZ243" t="s">
        <v>982</v>
      </c>
      <c r="BA243" t="s">
        <v>26</v>
      </c>
      <c r="BB243" t="s">
        <v>26</v>
      </c>
      <c r="BC243" t="s">
        <v>983</v>
      </c>
      <c r="BD243" t="s">
        <v>75</v>
      </c>
      <c r="BE243" t="s">
        <v>26</v>
      </c>
      <c r="BF243" t="s">
        <v>26</v>
      </c>
      <c r="BG243" s="146">
        <v>2236</v>
      </c>
      <c r="BH243" t="s">
        <v>984</v>
      </c>
      <c r="BI243">
        <v>0.35</v>
      </c>
      <c r="BJ243" t="s">
        <v>985</v>
      </c>
      <c r="BK243" t="s">
        <v>953</v>
      </c>
      <c r="BL243" t="s">
        <v>955</v>
      </c>
      <c r="BM243" t="s">
        <v>959</v>
      </c>
      <c r="BN243" s="146" t="s">
        <v>26</v>
      </c>
      <c r="BO243">
        <v>77008</v>
      </c>
    </row>
    <row r="244" spans="1:67">
      <c r="A244" s="47">
        <v>500</v>
      </c>
      <c r="B244" s="27">
        <v>77009</v>
      </c>
      <c r="C244" s="27" t="s">
        <v>2173</v>
      </c>
      <c r="E244" s="27" t="s">
        <v>2148</v>
      </c>
      <c r="F244" s="27" t="s">
        <v>2152</v>
      </c>
      <c r="G244" s="27" t="s">
        <v>981</v>
      </c>
      <c r="K244" s="27" t="s">
        <v>2153</v>
      </c>
      <c r="L244" s="27" t="s">
        <v>2154</v>
      </c>
      <c r="M244" s="27" t="s">
        <v>2148</v>
      </c>
      <c r="AF244" s="37" t="str">
        <f t="shared" si="8"/>
        <v>SP_30A              KS_CPR_C</v>
      </c>
      <c r="AG244" s="27" t="s">
        <v>2150</v>
      </c>
      <c r="AH244">
        <v>3</v>
      </c>
      <c r="AI244">
        <v>77009</v>
      </c>
      <c r="AJ244" t="s">
        <v>987</v>
      </c>
      <c r="AK244" t="s">
        <v>26</v>
      </c>
      <c r="AL244" t="s">
        <v>26</v>
      </c>
      <c r="AM244" t="s">
        <v>979</v>
      </c>
      <c r="AN244" t="s">
        <v>980</v>
      </c>
      <c r="AO244" t="s">
        <v>981</v>
      </c>
      <c r="AP244">
        <v>1</v>
      </c>
      <c r="AQ244" t="s">
        <v>982</v>
      </c>
      <c r="AR244" t="s">
        <v>26</v>
      </c>
      <c r="AS244" t="s">
        <v>26</v>
      </c>
      <c r="AT244" t="s">
        <v>26</v>
      </c>
      <c r="AU244" t="s">
        <v>131</v>
      </c>
      <c r="AV244" t="s">
        <v>131</v>
      </c>
      <c r="AW244" t="s">
        <v>189</v>
      </c>
      <c r="AX244" t="s">
        <v>190</v>
      </c>
      <c r="AY244">
        <v>11</v>
      </c>
      <c r="AZ244" s="146" t="s">
        <v>121</v>
      </c>
      <c r="BA244" t="s">
        <v>68</v>
      </c>
      <c r="BB244" t="s">
        <v>26</v>
      </c>
      <c r="BC244" t="s">
        <v>983</v>
      </c>
      <c r="BD244" t="s">
        <v>75</v>
      </c>
      <c r="BE244" t="s">
        <v>26</v>
      </c>
      <c r="BF244" t="s">
        <v>26</v>
      </c>
      <c r="BG244" s="146">
        <v>317</v>
      </c>
      <c r="BH244" t="s">
        <v>984</v>
      </c>
      <c r="BI244">
        <v>0.35</v>
      </c>
      <c r="BJ244" t="s">
        <v>985</v>
      </c>
      <c r="BK244" t="s">
        <v>953</v>
      </c>
      <c r="BL244" t="s">
        <v>26</v>
      </c>
      <c r="BM244" t="s">
        <v>26</v>
      </c>
      <c r="BN244" s="146" t="s">
        <v>26</v>
      </c>
      <c r="BO244">
        <v>77009</v>
      </c>
    </row>
    <row r="245" spans="1:67">
      <c r="A245" s="47">
        <v>500.50599999999997</v>
      </c>
      <c r="B245" s="27">
        <v>77010</v>
      </c>
      <c r="C245" s="27" t="s">
        <v>2173</v>
      </c>
      <c r="E245" s="27" t="s">
        <v>2148</v>
      </c>
      <c r="AF245" s="37" t="str">
        <f t="shared" si="8"/>
        <v>KS_CPR_C            MIB_E</v>
      </c>
      <c r="AG245" s="27" t="s">
        <v>2150</v>
      </c>
      <c r="AH245">
        <v>3</v>
      </c>
      <c r="AI245">
        <v>77010</v>
      </c>
      <c r="AJ245" t="s">
        <v>988</v>
      </c>
      <c r="AK245" t="s">
        <v>26</v>
      </c>
      <c r="AL245" t="s">
        <v>131</v>
      </c>
      <c r="AM245" t="s">
        <v>131</v>
      </c>
      <c r="AN245" t="s">
        <v>189</v>
      </c>
      <c r="AO245" t="s">
        <v>190</v>
      </c>
      <c r="AP245">
        <v>6</v>
      </c>
      <c r="AQ245" s="146" t="s">
        <v>121</v>
      </c>
      <c r="AR245" t="s">
        <v>214</v>
      </c>
      <c r="AS245" t="s">
        <v>26</v>
      </c>
      <c r="AT245" t="s">
        <v>26</v>
      </c>
      <c r="AU245" t="s">
        <v>32</v>
      </c>
      <c r="AV245" t="s">
        <v>33</v>
      </c>
      <c r="AW245" t="s">
        <v>240</v>
      </c>
      <c r="AX245" t="s">
        <v>241</v>
      </c>
      <c r="AY245">
        <v>5</v>
      </c>
      <c r="AZ245" t="s">
        <v>242</v>
      </c>
      <c r="BA245" t="s">
        <v>321</v>
      </c>
      <c r="BB245" t="s">
        <v>26</v>
      </c>
      <c r="BC245" t="s">
        <v>989</v>
      </c>
      <c r="BD245" t="s">
        <v>75</v>
      </c>
      <c r="BE245" t="s">
        <v>26</v>
      </c>
      <c r="BF245" t="s">
        <v>26</v>
      </c>
      <c r="BG245" s="146">
        <v>1753</v>
      </c>
      <c r="BH245" t="s">
        <v>335</v>
      </c>
      <c r="BI245">
        <v>0.13</v>
      </c>
      <c r="BJ245" t="s">
        <v>990</v>
      </c>
      <c r="BK245" t="s">
        <v>953</v>
      </c>
      <c r="BL245" t="s">
        <v>26</v>
      </c>
      <c r="BM245" t="s">
        <v>26</v>
      </c>
      <c r="BN245" s="146" t="s">
        <v>26</v>
      </c>
      <c r="BO245">
        <v>77010</v>
      </c>
    </row>
    <row r="246" spans="1:67">
      <c r="A246" s="47"/>
      <c r="B246" s="27">
        <v>77011</v>
      </c>
      <c r="C246" s="27" t="s">
        <v>2173</v>
      </c>
      <c r="E246" s="27" t="s">
        <v>2148</v>
      </c>
      <c r="AF246" s="37" t="str">
        <f t="shared" si="8"/>
        <v>KAL_A               MIB_E</v>
      </c>
      <c r="AG246" s="27" t="s">
        <v>2150</v>
      </c>
      <c r="AH246">
        <v>3</v>
      </c>
      <c r="AI246">
        <v>77011</v>
      </c>
      <c r="AJ246" t="s">
        <v>991</v>
      </c>
      <c r="AK246" t="s">
        <v>26</v>
      </c>
      <c r="AL246" t="s">
        <v>992</v>
      </c>
      <c r="AM246" t="s">
        <v>992</v>
      </c>
      <c r="AN246" t="s">
        <v>993</v>
      </c>
      <c r="AO246" t="s">
        <v>994</v>
      </c>
      <c r="AP246">
        <v>6</v>
      </c>
      <c r="AQ246" t="s">
        <v>995</v>
      </c>
      <c r="AR246" t="s">
        <v>321</v>
      </c>
      <c r="AS246" t="s">
        <v>26</v>
      </c>
      <c r="AT246" t="s">
        <v>26</v>
      </c>
      <c r="AU246" t="s">
        <v>32</v>
      </c>
      <c r="AV246" t="s">
        <v>33</v>
      </c>
      <c r="AW246" t="s">
        <v>240</v>
      </c>
      <c r="AX246" t="s">
        <v>241</v>
      </c>
      <c r="AY246">
        <v>5</v>
      </c>
      <c r="AZ246" t="s">
        <v>242</v>
      </c>
      <c r="BA246" t="s">
        <v>321</v>
      </c>
      <c r="BB246" t="s">
        <v>26</v>
      </c>
      <c r="BC246" t="s">
        <v>989</v>
      </c>
      <c r="BD246" t="s">
        <v>75</v>
      </c>
      <c r="BE246" t="s">
        <v>26</v>
      </c>
      <c r="BF246" t="s">
        <v>26</v>
      </c>
      <c r="BG246">
        <v>1472</v>
      </c>
      <c r="BH246" t="s">
        <v>335</v>
      </c>
      <c r="BI246">
        <v>0.13</v>
      </c>
      <c r="BJ246" t="s">
        <v>990</v>
      </c>
      <c r="BK246" t="s">
        <v>26</v>
      </c>
      <c r="BL246" t="s">
        <v>955</v>
      </c>
      <c r="BM246" t="s">
        <v>26</v>
      </c>
      <c r="BN246" s="146" t="s">
        <v>2326</v>
      </c>
      <c r="BO246">
        <v>77011</v>
      </c>
    </row>
    <row r="247" spans="1:67">
      <c r="A247" s="47"/>
      <c r="B247" s="27">
        <v>77014</v>
      </c>
      <c r="C247" s="27" t="s">
        <v>2173</v>
      </c>
      <c r="E247" s="27" t="s">
        <v>2148</v>
      </c>
      <c r="L247" s="27" t="s">
        <v>2149</v>
      </c>
      <c r="M247" s="27" t="s">
        <v>2149</v>
      </c>
      <c r="T247" s="27">
        <v>980018106</v>
      </c>
      <c r="AF247" s="37" t="str">
        <f t="shared" si="8"/>
        <v>KAL_C               ANT_MAU</v>
      </c>
      <c r="AG247" s="27" t="s">
        <v>2150</v>
      </c>
      <c r="AH247">
        <v>3</v>
      </c>
      <c r="AI247">
        <v>77014</v>
      </c>
      <c r="AJ247" t="s">
        <v>996</v>
      </c>
      <c r="AK247" t="s">
        <v>26</v>
      </c>
      <c r="AL247" t="s">
        <v>992</v>
      </c>
      <c r="AM247" t="s">
        <v>992</v>
      </c>
      <c r="AN247" t="s">
        <v>997</v>
      </c>
      <c r="AO247" t="s">
        <v>998</v>
      </c>
      <c r="AP247">
        <v>1</v>
      </c>
      <c r="AQ247" t="s">
        <v>999</v>
      </c>
      <c r="AR247" t="s">
        <v>409</v>
      </c>
      <c r="AS247" t="s">
        <v>26</v>
      </c>
      <c r="AT247" t="s">
        <v>26</v>
      </c>
      <c r="AU247" t="s">
        <v>1000</v>
      </c>
      <c r="AV247" t="s">
        <v>1000</v>
      </c>
      <c r="AW247" t="s">
        <v>1001</v>
      </c>
      <c r="AX247" t="s">
        <v>1002</v>
      </c>
      <c r="AY247">
        <v>1</v>
      </c>
      <c r="AZ247" t="s">
        <v>1003</v>
      </c>
      <c r="BA247" t="s">
        <v>409</v>
      </c>
      <c r="BB247" t="s">
        <v>26</v>
      </c>
      <c r="BC247" t="s">
        <v>413</v>
      </c>
      <c r="BD247" t="s">
        <v>414</v>
      </c>
      <c r="BE247" t="s">
        <v>1004</v>
      </c>
      <c r="BF247" t="s">
        <v>416</v>
      </c>
      <c r="BG247">
        <v>1343</v>
      </c>
      <c r="BH247" t="s">
        <v>417</v>
      </c>
      <c r="BI247">
        <v>0.37</v>
      </c>
      <c r="BJ247" t="s">
        <v>1005</v>
      </c>
      <c r="BK247" t="s">
        <v>26</v>
      </c>
      <c r="BL247" t="s">
        <v>955</v>
      </c>
      <c r="BM247" t="s">
        <v>26</v>
      </c>
      <c r="BN247" s="146" t="s">
        <v>2326</v>
      </c>
      <c r="BO247">
        <v>77014</v>
      </c>
    </row>
    <row r="248" spans="1:67">
      <c r="A248" s="47"/>
      <c r="B248" s="27">
        <v>77015</v>
      </c>
      <c r="C248" s="27" t="s">
        <v>2173</v>
      </c>
      <c r="E248" s="27" t="s">
        <v>2148</v>
      </c>
      <c r="L248" s="27" t="s">
        <v>2149</v>
      </c>
      <c r="M248" s="27" t="s">
        <v>2149</v>
      </c>
      <c r="T248" s="27">
        <v>980018106</v>
      </c>
      <c r="AF248" s="37" t="str">
        <f t="shared" si="8"/>
        <v>KAL_C               ANT_MAU</v>
      </c>
      <c r="AG248" s="27" t="s">
        <v>2150</v>
      </c>
      <c r="AH248">
        <v>3</v>
      </c>
      <c r="AI248">
        <v>77015</v>
      </c>
      <c r="AJ248" t="s">
        <v>1006</v>
      </c>
      <c r="AK248" t="s">
        <v>26</v>
      </c>
      <c r="AL248" t="s">
        <v>992</v>
      </c>
      <c r="AM248" t="s">
        <v>992</v>
      </c>
      <c r="AN248" t="s">
        <v>997</v>
      </c>
      <c r="AO248" t="s">
        <v>998</v>
      </c>
      <c r="AP248">
        <v>2</v>
      </c>
      <c r="AQ248" t="s">
        <v>999</v>
      </c>
      <c r="AR248" t="s">
        <v>59</v>
      </c>
      <c r="AS248" t="s">
        <v>26</v>
      </c>
      <c r="AT248" t="s">
        <v>26</v>
      </c>
      <c r="AU248" t="s">
        <v>1000</v>
      </c>
      <c r="AV248" t="s">
        <v>1000</v>
      </c>
      <c r="AW248" t="s">
        <v>1001</v>
      </c>
      <c r="AX248" t="s">
        <v>1002</v>
      </c>
      <c r="AY248">
        <v>2</v>
      </c>
      <c r="AZ248" t="s">
        <v>1003</v>
      </c>
      <c r="BA248" t="s">
        <v>59</v>
      </c>
      <c r="BB248" t="s">
        <v>26</v>
      </c>
      <c r="BC248" t="s">
        <v>413</v>
      </c>
      <c r="BD248" t="s">
        <v>59</v>
      </c>
      <c r="BE248" t="s">
        <v>1004</v>
      </c>
      <c r="BF248" t="s">
        <v>420</v>
      </c>
      <c r="BG248">
        <v>1343</v>
      </c>
      <c r="BH248" t="s">
        <v>61</v>
      </c>
      <c r="BI248">
        <v>0.5</v>
      </c>
      <c r="BJ248" t="s">
        <v>1007</v>
      </c>
      <c r="BK248" t="s">
        <v>26</v>
      </c>
      <c r="BL248" t="s">
        <v>955</v>
      </c>
      <c r="BM248" t="s">
        <v>26</v>
      </c>
      <c r="BN248" s="146" t="s">
        <v>2326</v>
      </c>
      <c r="BO248">
        <v>77015</v>
      </c>
    </row>
    <row r="249" spans="1:67">
      <c r="A249" s="47"/>
      <c r="B249" s="27">
        <v>77016</v>
      </c>
      <c r="C249" s="27" t="s">
        <v>2173</v>
      </c>
      <c r="E249" s="27" t="s">
        <v>2148</v>
      </c>
      <c r="L249" s="27" t="s">
        <v>2174</v>
      </c>
      <c r="M249" s="27" t="s">
        <v>2174</v>
      </c>
      <c r="T249" s="27">
        <v>980018107</v>
      </c>
      <c r="AF249" s="37" t="str">
        <f t="shared" si="8"/>
        <v>MIB_L               KAL_B</v>
      </c>
      <c r="AG249" s="27" t="s">
        <v>2150</v>
      </c>
      <c r="AH249">
        <v>3</v>
      </c>
      <c r="AI249">
        <v>77016</v>
      </c>
      <c r="AJ249" t="s">
        <v>1008</v>
      </c>
      <c r="AK249" t="s">
        <v>26</v>
      </c>
      <c r="AL249" t="s">
        <v>32</v>
      </c>
      <c r="AM249" t="s">
        <v>33</v>
      </c>
      <c r="AN249" t="s">
        <v>1009</v>
      </c>
      <c r="AO249" t="s">
        <v>1010</v>
      </c>
      <c r="AP249">
        <v>1</v>
      </c>
      <c r="AQ249" t="s">
        <v>36</v>
      </c>
      <c r="AR249" t="s">
        <v>37</v>
      </c>
      <c r="AS249" t="s">
        <v>26</v>
      </c>
      <c r="AT249" t="s">
        <v>26</v>
      </c>
      <c r="AU249" t="s">
        <v>992</v>
      </c>
      <c r="AV249" t="s">
        <v>992</v>
      </c>
      <c r="AW249" t="s">
        <v>1011</v>
      </c>
      <c r="AX249" t="s">
        <v>1012</v>
      </c>
      <c r="AY249">
        <v>4</v>
      </c>
      <c r="AZ249" t="s">
        <v>999</v>
      </c>
      <c r="BA249" t="s">
        <v>37</v>
      </c>
      <c r="BB249" t="s">
        <v>26</v>
      </c>
      <c r="BC249" t="s">
        <v>38</v>
      </c>
      <c r="BD249" t="s">
        <v>39</v>
      </c>
      <c r="BE249" t="s">
        <v>1013</v>
      </c>
      <c r="BF249" t="s">
        <v>53</v>
      </c>
      <c r="BG249">
        <v>1440</v>
      </c>
      <c r="BH249" t="s">
        <v>54</v>
      </c>
      <c r="BI249">
        <v>0.14000000000000001</v>
      </c>
      <c r="BJ249" t="s">
        <v>1014</v>
      </c>
      <c r="BK249" t="s">
        <v>26</v>
      </c>
      <c r="BL249" t="s">
        <v>955</v>
      </c>
      <c r="BM249" t="s">
        <v>26</v>
      </c>
      <c r="BN249" s="146" t="s">
        <v>2326</v>
      </c>
      <c r="BO249">
        <v>77016</v>
      </c>
    </row>
    <row r="250" spans="1:67">
      <c r="A250" s="47"/>
      <c r="B250" s="27">
        <v>77017</v>
      </c>
      <c r="C250" s="27" t="s">
        <v>2173</v>
      </c>
      <c r="E250" s="27" t="s">
        <v>2148</v>
      </c>
      <c r="L250" s="27" t="s">
        <v>2174</v>
      </c>
      <c r="M250" s="27" t="s">
        <v>2174</v>
      </c>
      <c r="T250" s="27">
        <v>980018107</v>
      </c>
      <c r="AF250" s="37" t="str">
        <f t="shared" si="8"/>
        <v>MIB_L               KAL_B</v>
      </c>
      <c r="AG250" s="27" t="s">
        <v>2150</v>
      </c>
      <c r="AH250">
        <v>3</v>
      </c>
      <c r="AI250">
        <v>77017</v>
      </c>
      <c r="AJ250" t="s">
        <v>1015</v>
      </c>
      <c r="AK250" t="s">
        <v>26</v>
      </c>
      <c r="AL250" t="s">
        <v>32</v>
      </c>
      <c r="AM250" t="s">
        <v>33</v>
      </c>
      <c r="AN250" t="s">
        <v>1009</v>
      </c>
      <c r="AO250" t="s">
        <v>1010</v>
      </c>
      <c r="AP250">
        <v>2</v>
      </c>
      <c r="AQ250" t="s">
        <v>36</v>
      </c>
      <c r="AR250" t="s">
        <v>37</v>
      </c>
      <c r="AS250" t="s">
        <v>26</v>
      </c>
      <c r="AT250" t="s">
        <v>26</v>
      </c>
      <c r="AU250" t="s">
        <v>992</v>
      </c>
      <c r="AV250" t="s">
        <v>992</v>
      </c>
      <c r="AW250" t="s">
        <v>1011</v>
      </c>
      <c r="AX250" t="s">
        <v>1012</v>
      </c>
      <c r="AY250">
        <v>3</v>
      </c>
      <c r="AZ250" t="s">
        <v>999</v>
      </c>
      <c r="BA250" t="s">
        <v>37</v>
      </c>
      <c r="BB250" t="s">
        <v>26</v>
      </c>
      <c r="BC250" t="s">
        <v>38</v>
      </c>
      <c r="BD250" t="s">
        <v>39</v>
      </c>
      <c r="BE250" t="s">
        <v>1013</v>
      </c>
      <c r="BF250" t="s">
        <v>49</v>
      </c>
      <c r="BG250">
        <v>1440</v>
      </c>
      <c r="BH250" t="s">
        <v>50</v>
      </c>
      <c r="BI250">
        <v>0.14000000000000001</v>
      </c>
      <c r="BJ250" t="s">
        <v>1016</v>
      </c>
      <c r="BK250" t="s">
        <v>26</v>
      </c>
      <c r="BL250" t="s">
        <v>955</v>
      </c>
      <c r="BM250" t="s">
        <v>26</v>
      </c>
      <c r="BN250" s="146" t="s">
        <v>2326</v>
      </c>
      <c r="BO250">
        <v>77017</v>
      </c>
    </row>
    <row r="251" spans="1:67">
      <c r="A251" s="47"/>
      <c r="B251" s="27">
        <v>77018</v>
      </c>
      <c r="C251" s="27" t="s">
        <v>2173</v>
      </c>
      <c r="E251" s="27" t="s">
        <v>2148</v>
      </c>
      <c r="L251" s="27" t="s">
        <v>2174</v>
      </c>
      <c r="M251" s="27" t="s">
        <v>2174</v>
      </c>
      <c r="T251" s="27">
        <v>980018107</v>
      </c>
      <c r="AF251" s="37" t="str">
        <f t="shared" si="8"/>
        <v>MIB_L               KAL_B</v>
      </c>
      <c r="AG251" s="27" t="s">
        <v>2150</v>
      </c>
      <c r="AH251">
        <v>3</v>
      </c>
      <c r="AI251">
        <v>77018</v>
      </c>
      <c r="AJ251" t="s">
        <v>1017</v>
      </c>
      <c r="AK251" t="s">
        <v>26</v>
      </c>
      <c r="AL251" t="s">
        <v>32</v>
      </c>
      <c r="AM251" t="s">
        <v>33</v>
      </c>
      <c r="AN251" t="s">
        <v>1009</v>
      </c>
      <c r="AO251" t="s">
        <v>1010</v>
      </c>
      <c r="AP251">
        <v>3</v>
      </c>
      <c r="AQ251" t="s">
        <v>36</v>
      </c>
      <c r="AR251" t="s">
        <v>37</v>
      </c>
      <c r="AS251" t="s">
        <v>26</v>
      </c>
      <c r="AT251" t="s">
        <v>26</v>
      </c>
      <c r="AU251" t="s">
        <v>992</v>
      </c>
      <c r="AV251" t="s">
        <v>992</v>
      </c>
      <c r="AW251" t="s">
        <v>1011</v>
      </c>
      <c r="AX251" t="s">
        <v>1012</v>
      </c>
      <c r="AY251">
        <v>2</v>
      </c>
      <c r="AZ251" t="s">
        <v>999</v>
      </c>
      <c r="BA251" t="s">
        <v>37</v>
      </c>
      <c r="BB251" t="s">
        <v>26</v>
      </c>
      <c r="BC251" t="s">
        <v>38</v>
      </c>
      <c r="BD251" t="s">
        <v>39</v>
      </c>
      <c r="BE251" t="s">
        <v>1013</v>
      </c>
      <c r="BF251" t="s">
        <v>45</v>
      </c>
      <c r="BG251">
        <v>1440</v>
      </c>
      <c r="BH251" t="s">
        <v>46</v>
      </c>
      <c r="BI251">
        <v>0.14000000000000001</v>
      </c>
      <c r="BJ251" t="s">
        <v>1018</v>
      </c>
      <c r="BK251" t="s">
        <v>26</v>
      </c>
      <c r="BL251" t="s">
        <v>955</v>
      </c>
      <c r="BM251" t="s">
        <v>26</v>
      </c>
      <c r="BN251" s="146" t="s">
        <v>2326</v>
      </c>
      <c r="BO251">
        <v>77018</v>
      </c>
    </row>
    <row r="252" spans="1:67">
      <c r="A252" s="47"/>
      <c r="B252" s="27">
        <v>77019</v>
      </c>
      <c r="C252" s="27" t="s">
        <v>2173</v>
      </c>
      <c r="E252" s="27" t="s">
        <v>2148</v>
      </c>
      <c r="L252" s="27" t="s">
        <v>2174</v>
      </c>
      <c r="M252" s="27" t="s">
        <v>2174</v>
      </c>
      <c r="T252" s="27">
        <v>980018107</v>
      </c>
      <c r="AF252" s="37" t="str">
        <f t="shared" si="8"/>
        <v>MIB_L               KAL_B</v>
      </c>
      <c r="AG252" s="27" t="s">
        <v>2150</v>
      </c>
      <c r="AH252">
        <v>3</v>
      </c>
      <c r="AI252">
        <v>77019</v>
      </c>
      <c r="AJ252" t="s">
        <v>1019</v>
      </c>
      <c r="AK252" t="s">
        <v>26</v>
      </c>
      <c r="AL252" t="s">
        <v>32</v>
      </c>
      <c r="AM252" t="s">
        <v>33</v>
      </c>
      <c r="AN252" t="s">
        <v>1009</v>
      </c>
      <c r="AO252" t="s">
        <v>1010</v>
      </c>
      <c r="AP252">
        <v>4</v>
      </c>
      <c r="AQ252" t="s">
        <v>36</v>
      </c>
      <c r="AR252" t="s">
        <v>37</v>
      </c>
      <c r="AS252" t="s">
        <v>26</v>
      </c>
      <c r="AT252" t="s">
        <v>26</v>
      </c>
      <c r="AU252" t="s">
        <v>992</v>
      </c>
      <c r="AV252" t="s">
        <v>992</v>
      </c>
      <c r="AW252" t="s">
        <v>1011</v>
      </c>
      <c r="AX252" t="s">
        <v>1012</v>
      </c>
      <c r="AY252">
        <v>1</v>
      </c>
      <c r="AZ252" t="s">
        <v>999</v>
      </c>
      <c r="BA252" t="s">
        <v>37</v>
      </c>
      <c r="BB252" t="s">
        <v>26</v>
      </c>
      <c r="BC252" t="s">
        <v>38</v>
      </c>
      <c r="BD252" t="s">
        <v>39</v>
      </c>
      <c r="BE252" t="s">
        <v>1013</v>
      </c>
      <c r="BF252" t="s">
        <v>41</v>
      </c>
      <c r="BG252">
        <v>1440</v>
      </c>
      <c r="BH252" t="s">
        <v>42</v>
      </c>
      <c r="BI252">
        <v>0.14000000000000001</v>
      </c>
      <c r="BJ252" t="s">
        <v>1020</v>
      </c>
      <c r="BK252" t="s">
        <v>26</v>
      </c>
      <c r="BL252" t="s">
        <v>955</v>
      </c>
      <c r="BM252" t="s">
        <v>26</v>
      </c>
      <c r="BN252" s="146" t="s">
        <v>2326</v>
      </c>
      <c r="BO252">
        <v>77019</v>
      </c>
    </row>
    <row r="253" spans="1:67">
      <c r="A253" s="47"/>
      <c r="B253" s="27">
        <v>77020</v>
      </c>
      <c r="C253" s="27" t="s">
        <v>2173</v>
      </c>
      <c r="E253" s="27" t="s">
        <v>2148</v>
      </c>
      <c r="L253" s="27" t="s">
        <v>2174</v>
      </c>
      <c r="M253" s="27" t="s">
        <v>2174</v>
      </c>
      <c r="T253" s="27">
        <v>980018107</v>
      </c>
      <c r="AF253" s="37" t="str">
        <f t="shared" si="8"/>
        <v>MIB_L               KAL_B</v>
      </c>
      <c r="AG253" s="27" t="s">
        <v>2150</v>
      </c>
      <c r="AH253">
        <v>3</v>
      </c>
      <c r="AI253">
        <v>77020</v>
      </c>
      <c r="AJ253" t="s">
        <v>1021</v>
      </c>
      <c r="AK253" t="s">
        <v>26</v>
      </c>
      <c r="AL253" t="s">
        <v>32</v>
      </c>
      <c r="AM253" t="s">
        <v>33</v>
      </c>
      <c r="AN253" t="s">
        <v>1009</v>
      </c>
      <c r="AO253" t="s">
        <v>1010</v>
      </c>
      <c r="AP253" t="s">
        <v>57</v>
      </c>
      <c r="AQ253" t="s">
        <v>36</v>
      </c>
      <c r="AR253" t="s">
        <v>58</v>
      </c>
      <c r="AS253" t="s">
        <v>26</v>
      </c>
      <c r="AT253" t="s">
        <v>26</v>
      </c>
      <c r="AU253" t="s">
        <v>992</v>
      </c>
      <c r="AV253" t="s">
        <v>992</v>
      </c>
      <c r="AW253" t="s">
        <v>1011</v>
      </c>
      <c r="AX253" t="s">
        <v>1012</v>
      </c>
      <c r="AY253" t="s">
        <v>57</v>
      </c>
      <c r="AZ253" t="s">
        <v>999</v>
      </c>
      <c r="BA253" t="s">
        <v>58</v>
      </c>
      <c r="BB253" t="s">
        <v>26</v>
      </c>
      <c r="BC253" t="s">
        <v>38</v>
      </c>
      <c r="BD253" t="s">
        <v>59</v>
      </c>
      <c r="BE253" t="s">
        <v>1013</v>
      </c>
      <c r="BF253" t="s">
        <v>60</v>
      </c>
      <c r="BG253">
        <v>1440</v>
      </c>
      <c r="BH253" t="s">
        <v>61</v>
      </c>
      <c r="BI253">
        <v>1</v>
      </c>
      <c r="BJ253" t="s">
        <v>1022</v>
      </c>
      <c r="BK253" t="s">
        <v>26</v>
      </c>
      <c r="BL253" t="s">
        <v>955</v>
      </c>
      <c r="BM253" t="s">
        <v>26</v>
      </c>
      <c r="BN253" s="146" t="s">
        <v>2326</v>
      </c>
      <c r="BO253">
        <v>77020</v>
      </c>
    </row>
    <row r="254" spans="1:67">
      <c r="A254" s="47">
        <v>506</v>
      </c>
      <c r="B254" s="27">
        <v>77021</v>
      </c>
      <c r="C254" s="27" t="s">
        <v>2173</v>
      </c>
      <c r="E254" s="27" t="s">
        <v>2148</v>
      </c>
      <c r="AF254" s="37" t="str">
        <f t="shared" si="8"/>
        <v>STO51A              KAL_A</v>
      </c>
      <c r="AG254" s="27" t="s">
        <v>2150</v>
      </c>
      <c r="AH254">
        <v>3</v>
      </c>
      <c r="AI254">
        <v>77021</v>
      </c>
      <c r="AJ254" t="s">
        <v>1023</v>
      </c>
      <c r="AK254" t="s">
        <v>26</v>
      </c>
      <c r="AL254" t="s">
        <v>219</v>
      </c>
      <c r="AM254" t="s">
        <v>219</v>
      </c>
      <c r="AN254" t="s">
        <v>220</v>
      </c>
      <c r="AO254" t="s">
        <v>221</v>
      </c>
      <c r="AP254" t="s">
        <v>494</v>
      </c>
      <c r="AQ254" t="s">
        <v>223</v>
      </c>
      <c r="AR254" t="s">
        <v>304</v>
      </c>
      <c r="AS254" t="s">
        <v>26</v>
      </c>
      <c r="AT254" t="s">
        <v>26</v>
      </c>
      <c r="AU254" t="s">
        <v>992</v>
      </c>
      <c r="AV254" t="s">
        <v>992</v>
      </c>
      <c r="AW254" t="s">
        <v>993</v>
      </c>
      <c r="AX254" t="s">
        <v>994</v>
      </c>
      <c r="AY254">
        <v>9</v>
      </c>
      <c r="AZ254" t="s">
        <v>995</v>
      </c>
      <c r="BA254" t="s">
        <v>243</v>
      </c>
      <c r="BB254" t="s">
        <v>26</v>
      </c>
      <c r="BC254" t="s">
        <v>1024</v>
      </c>
      <c r="BD254" t="s">
        <v>75</v>
      </c>
      <c r="BE254" t="s">
        <v>26</v>
      </c>
      <c r="BF254" t="s">
        <v>26</v>
      </c>
      <c r="BG254" s="146">
        <v>1902</v>
      </c>
      <c r="BH254" t="s">
        <v>283</v>
      </c>
      <c r="BI254">
        <v>0.35</v>
      </c>
      <c r="BJ254" t="s">
        <v>1025</v>
      </c>
      <c r="BK254" t="s">
        <v>26</v>
      </c>
      <c r="BL254" t="s">
        <v>955</v>
      </c>
      <c r="BM254" t="s">
        <v>26</v>
      </c>
      <c r="BN254" s="146" t="s">
        <v>2326</v>
      </c>
      <c r="BO254">
        <v>77021</v>
      </c>
    </row>
    <row r="255" spans="1:67">
      <c r="A255" s="47"/>
      <c r="B255" s="27">
        <v>77022</v>
      </c>
      <c r="C255" s="27" t="s">
        <v>2173</v>
      </c>
      <c r="E255" s="27" t="s">
        <v>2148</v>
      </c>
      <c r="F255" s="27" t="s">
        <v>2156</v>
      </c>
      <c r="G255" s="27" t="s">
        <v>373</v>
      </c>
      <c r="K255" s="27" t="s">
        <v>2158</v>
      </c>
      <c r="L255" s="27" t="s">
        <v>2154</v>
      </c>
      <c r="M255" s="27" t="s">
        <v>2148</v>
      </c>
      <c r="AF255" s="37" t="str">
        <f t="shared" si="8"/>
        <v>SP_MB31_B3          KAL_A</v>
      </c>
      <c r="AG255" s="27" t="s">
        <v>2150</v>
      </c>
      <c r="AH255">
        <v>3</v>
      </c>
      <c r="AI255">
        <v>77022</v>
      </c>
      <c r="AJ255" t="s">
        <v>1026</v>
      </c>
      <c r="AK255" t="s">
        <v>26</v>
      </c>
      <c r="AL255" t="s">
        <v>26</v>
      </c>
      <c r="AM255" t="s">
        <v>372</v>
      </c>
      <c r="AN255">
        <v>821</v>
      </c>
      <c r="AO255" t="s">
        <v>373</v>
      </c>
      <c r="AP255">
        <v>1</v>
      </c>
      <c r="AQ255" t="s">
        <v>374</v>
      </c>
      <c r="AR255" t="s">
        <v>26</v>
      </c>
      <c r="AS255" t="s">
        <v>26</v>
      </c>
      <c r="AT255" t="s">
        <v>26</v>
      </c>
      <c r="AU255" t="s">
        <v>992</v>
      </c>
      <c r="AV255" t="s">
        <v>992</v>
      </c>
      <c r="AW255" t="s">
        <v>993</v>
      </c>
      <c r="AX255" t="s">
        <v>994</v>
      </c>
      <c r="AY255">
        <v>10</v>
      </c>
      <c r="AZ255" t="s">
        <v>995</v>
      </c>
      <c r="BA255" t="s">
        <v>243</v>
      </c>
      <c r="BB255" t="s">
        <v>26</v>
      </c>
      <c r="BC255" t="s">
        <v>312</v>
      </c>
      <c r="BD255" t="s">
        <v>75</v>
      </c>
      <c r="BE255" t="s">
        <v>26</v>
      </c>
      <c r="BF255" t="s">
        <v>26</v>
      </c>
      <c r="BG255">
        <v>600</v>
      </c>
      <c r="BH255" t="s">
        <v>42</v>
      </c>
      <c r="BI255">
        <v>0.35</v>
      </c>
      <c r="BJ255" t="s">
        <v>264</v>
      </c>
      <c r="BK255" t="s">
        <v>26</v>
      </c>
      <c r="BL255" t="s">
        <v>955</v>
      </c>
      <c r="BM255" t="s">
        <v>26</v>
      </c>
      <c r="BN255" s="146" t="s">
        <v>2326</v>
      </c>
      <c r="BO255">
        <v>77022</v>
      </c>
    </row>
    <row r="256" spans="1:67">
      <c r="A256" s="47"/>
      <c r="C256" s="27" t="s">
        <v>2175</v>
      </c>
      <c r="AF256" s="37" t="str">
        <f t="shared" si="8"/>
        <v xml:space="preserve">                    </v>
      </c>
      <c r="AH256">
        <v>1</v>
      </c>
      <c r="AI256" t="s">
        <v>1027</v>
      </c>
    </row>
    <row r="257" spans="1:65">
      <c r="A257" s="160"/>
      <c r="C257" s="27" t="s">
        <v>2175</v>
      </c>
      <c r="AF257" s="37"/>
      <c r="AH257">
        <v>2</v>
      </c>
      <c r="AI257" t="s">
        <v>1</v>
      </c>
      <c r="AJ257" t="s">
        <v>1028</v>
      </c>
      <c r="AK257" t="s">
        <v>1029</v>
      </c>
      <c r="AL257" t="s">
        <v>1030</v>
      </c>
      <c r="AN257" s="146" t="s">
        <v>2308</v>
      </c>
      <c r="AO257" t="s">
        <v>5</v>
      </c>
    </row>
    <row r="258" spans="1:65">
      <c r="A258" s="47"/>
      <c r="C258" s="27" t="s">
        <v>2175</v>
      </c>
      <c r="AF258" s="37" t="str">
        <f xml:space="preserve"> AO258 &amp; REPT(" ",20-LEN(AO258)) &amp; AX258</f>
        <v>Kurzname            Kurzname</v>
      </c>
      <c r="AH258">
        <v>0</v>
      </c>
      <c r="AI258" t="s">
        <v>6</v>
      </c>
      <c r="AJ258" t="s">
        <v>7</v>
      </c>
      <c r="AK258" t="s">
        <v>8</v>
      </c>
      <c r="AL258" t="s">
        <v>9</v>
      </c>
      <c r="AM258" t="s">
        <v>9</v>
      </c>
      <c r="AN258" t="s">
        <v>10</v>
      </c>
      <c r="AO258" t="s">
        <v>11</v>
      </c>
      <c r="AP258" t="s">
        <v>12</v>
      </c>
      <c r="AQ258" t="s">
        <v>13</v>
      </c>
      <c r="AR258" t="s">
        <v>14</v>
      </c>
      <c r="AS258" t="s">
        <v>15</v>
      </c>
      <c r="AT258" t="s">
        <v>8</v>
      </c>
      <c r="AU258" t="s">
        <v>9</v>
      </c>
      <c r="AV258" t="s">
        <v>9</v>
      </c>
      <c r="AW258" t="s">
        <v>16</v>
      </c>
      <c r="AX258" t="s">
        <v>11</v>
      </c>
      <c r="AY258" t="s">
        <v>12</v>
      </c>
      <c r="AZ258" t="s">
        <v>13</v>
      </c>
      <c r="BA258" t="s">
        <v>14</v>
      </c>
      <c r="BB258" t="s">
        <v>15</v>
      </c>
      <c r="BC258" t="s">
        <v>17</v>
      </c>
      <c r="BD258" t="s">
        <v>18</v>
      </c>
      <c r="BE258" t="s">
        <v>19</v>
      </c>
      <c r="BF258" t="s">
        <v>20</v>
      </c>
      <c r="BG258" t="s">
        <v>21</v>
      </c>
      <c r="BH258" t="s">
        <v>22</v>
      </c>
      <c r="BI258" t="s">
        <v>23</v>
      </c>
      <c r="BJ258" t="s">
        <v>24</v>
      </c>
      <c r="BK258" t="s">
        <v>1</v>
      </c>
      <c r="BL258" t="s">
        <v>6</v>
      </c>
    </row>
    <row r="259" spans="1:65">
      <c r="A259" s="47">
        <v>502</v>
      </c>
      <c r="B259" s="27">
        <v>89001</v>
      </c>
      <c r="C259" s="27" t="s">
        <v>2175</v>
      </c>
      <c r="E259" s="27" t="s">
        <v>2148</v>
      </c>
      <c r="AF259" s="37" t="str">
        <f xml:space="preserve"> AO259 &amp; REPT(" ",20-LEN(AO259)) &amp; AX259</f>
        <v>STO51A              SMLS02P</v>
      </c>
      <c r="AG259" s="27" t="s">
        <v>2150</v>
      </c>
      <c r="AH259">
        <v>3</v>
      </c>
      <c r="AI259">
        <v>89001</v>
      </c>
      <c r="AJ259" t="s">
        <v>1032</v>
      </c>
      <c r="AK259" t="s">
        <v>26</v>
      </c>
      <c r="AL259" t="s">
        <v>219</v>
      </c>
      <c r="AM259" t="s">
        <v>219</v>
      </c>
      <c r="AN259" t="s">
        <v>220</v>
      </c>
      <c r="AO259" t="s">
        <v>221</v>
      </c>
      <c r="AP259" t="s">
        <v>368</v>
      </c>
      <c r="AQ259" t="s">
        <v>223</v>
      </c>
      <c r="AR259" t="s">
        <v>224</v>
      </c>
      <c r="AS259" t="s">
        <v>26</v>
      </c>
      <c r="AT259" t="s">
        <v>26</v>
      </c>
      <c r="AU259" t="s">
        <v>202</v>
      </c>
      <c r="AV259" t="s">
        <v>202</v>
      </c>
      <c r="AW259" t="s">
        <v>203</v>
      </c>
      <c r="AX259" t="s">
        <v>204</v>
      </c>
      <c r="AY259">
        <v>15</v>
      </c>
      <c r="AZ259" t="s">
        <v>205</v>
      </c>
      <c r="BA259" t="s">
        <v>384</v>
      </c>
      <c r="BB259" t="s">
        <v>26</v>
      </c>
      <c r="BC259" t="s">
        <v>1033</v>
      </c>
      <c r="BD259" t="s">
        <v>75</v>
      </c>
      <c r="BE259" t="s">
        <v>26</v>
      </c>
      <c r="BF259" t="s">
        <v>26</v>
      </c>
      <c r="BG259" s="146">
        <v>911</v>
      </c>
      <c r="BH259" t="s">
        <v>306</v>
      </c>
      <c r="BI259">
        <v>0.75</v>
      </c>
      <c r="BJ259" t="s">
        <v>1034</v>
      </c>
      <c r="BK259" t="s">
        <v>1028</v>
      </c>
      <c r="BL259">
        <v>89001</v>
      </c>
    </row>
    <row r="260" spans="1:65">
      <c r="A260" s="47"/>
      <c r="C260" s="27" t="s">
        <v>2176</v>
      </c>
      <c r="AF260" s="37" t="str">
        <f xml:space="preserve"> AO260 &amp; REPT(" ",20-LEN(AO260)) &amp; AX260</f>
        <v xml:space="preserve">                    </v>
      </c>
      <c r="AH260">
        <v>1</v>
      </c>
      <c r="AI260" t="s">
        <v>1035</v>
      </c>
    </row>
    <row r="261" spans="1:65">
      <c r="A261" s="47"/>
      <c r="C261" s="27" t="s">
        <v>2176</v>
      </c>
      <c r="AF261" s="37"/>
      <c r="AH261">
        <v>2</v>
      </c>
      <c r="AI261" t="s">
        <v>1</v>
      </c>
      <c r="AJ261" t="s">
        <v>1036</v>
      </c>
      <c r="AK261" t="s">
        <v>1037</v>
      </c>
      <c r="AL261" t="s">
        <v>1038</v>
      </c>
      <c r="AN261" t="s">
        <v>962</v>
      </c>
      <c r="AO261" t="s">
        <v>5</v>
      </c>
    </row>
    <row r="262" spans="1:65">
      <c r="A262" s="47"/>
      <c r="C262" s="27" t="s">
        <v>2176</v>
      </c>
      <c r="AF262" s="37" t="str">
        <f xml:space="preserve"> AO262 &amp; REPT(" ",20-LEN(AO262)) &amp; AX262</f>
        <v>Kurzname            Kurzname</v>
      </c>
      <c r="AH262">
        <v>0</v>
      </c>
      <c r="AI262" t="s">
        <v>6</v>
      </c>
      <c r="AJ262" t="s">
        <v>7</v>
      </c>
      <c r="AK262" t="s">
        <v>8</v>
      </c>
      <c r="AL262" t="s">
        <v>9</v>
      </c>
      <c r="AM262" t="s">
        <v>9</v>
      </c>
      <c r="AN262" t="s">
        <v>10</v>
      </c>
      <c r="AO262" t="s">
        <v>11</v>
      </c>
      <c r="AP262" t="s">
        <v>12</v>
      </c>
      <c r="AQ262" t="s">
        <v>13</v>
      </c>
      <c r="AR262" t="s">
        <v>14</v>
      </c>
      <c r="AS262" t="s">
        <v>15</v>
      </c>
      <c r="AT262" t="s">
        <v>8</v>
      </c>
      <c r="AU262" t="s">
        <v>9</v>
      </c>
      <c r="AV262" t="s">
        <v>9</v>
      </c>
      <c r="AW262" t="s">
        <v>16</v>
      </c>
      <c r="AX262" t="s">
        <v>11</v>
      </c>
      <c r="AY262" t="s">
        <v>12</v>
      </c>
      <c r="AZ262" t="s">
        <v>13</v>
      </c>
      <c r="BA262" t="s">
        <v>14</v>
      </c>
      <c r="BB262" t="s">
        <v>15</v>
      </c>
      <c r="BC262" t="s">
        <v>17</v>
      </c>
      <c r="BD262" t="s">
        <v>18</v>
      </c>
      <c r="BE262" t="s">
        <v>19</v>
      </c>
      <c r="BF262" t="s">
        <v>20</v>
      </c>
      <c r="BG262" t="s">
        <v>21</v>
      </c>
      <c r="BH262" t="s">
        <v>22</v>
      </c>
      <c r="BI262" t="s">
        <v>23</v>
      </c>
      <c r="BJ262" t="s">
        <v>24</v>
      </c>
      <c r="BK262" t="s">
        <v>1</v>
      </c>
      <c r="BL262" t="s">
        <v>6</v>
      </c>
    </row>
    <row r="263" spans="1:65">
      <c r="A263" s="47">
        <v>506</v>
      </c>
      <c r="B263" s="27">
        <v>128001</v>
      </c>
      <c r="C263" s="27" t="s">
        <v>2176</v>
      </c>
      <c r="E263" s="27" t="s">
        <v>2148</v>
      </c>
      <c r="AF263" s="37" t="str">
        <f xml:space="preserve"> AO263 &amp; REPT(" ",20-LEN(AO263)) &amp; AX263</f>
        <v>LSP21P              KS_CPL_B</v>
      </c>
      <c r="AG263" s="27" t="s">
        <v>2150</v>
      </c>
      <c r="AH263">
        <v>3</v>
      </c>
      <c r="AI263">
        <v>128001</v>
      </c>
      <c r="AJ263" t="s">
        <v>1039</v>
      </c>
      <c r="AK263" t="s">
        <v>26</v>
      </c>
      <c r="AL263" t="s">
        <v>1040</v>
      </c>
      <c r="AM263" t="s">
        <v>1041</v>
      </c>
      <c r="AN263" t="s">
        <v>1042</v>
      </c>
      <c r="AO263" t="s">
        <v>1043</v>
      </c>
      <c r="AP263">
        <v>1</v>
      </c>
      <c r="AQ263" t="s">
        <v>1044</v>
      </c>
      <c r="AR263" t="s">
        <v>73</v>
      </c>
      <c r="AS263" t="s">
        <v>26</v>
      </c>
      <c r="AT263" t="s">
        <v>26</v>
      </c>
      <c r="AU263" t="s">
        <v>64</v>
      </c>
      <c r="AV263" t="s">
        <v>64</v>
      </c>
      <c r="AW263" t="s">
        <v>91</v>
      </c>
      <c r="AX263" t="s">
        <v>92</v>
      </c>
      <c r="AY263">
        <v>13</v>
      </c>
      <c r="AZ263" t="s">
        <v>93</v>
      </c>
      <c r="BA263" t="s">
        <v>68</v>
      </c>
      <c r="BB263" t="s">
        <v>26</v>
      </c>
      <c r="BC263" t="s">
        <v>1045</v>
      </c>
      <c r="BD263" t="s">
        <v>75</v>
      </c>
      <c r="BE263" t="s">
        <v>1046</v>
      </c>
      <c r="BF263" t="s">
        <v>1047</v>
      </c>
      <c r="BG263" s="146">
        <v>2472</v>
      </c>
      <c r="BH263" t="s">
        <v>735</v>
      </c>
      <c r="BI263">
        <v>0.35</v>
      </c>
      <c r="BJ263" t="s">
        <v>1048</v>
      </c>
      <c r="BK263" t="s">
        <v>1036</v>
      </c>
      <c r="BL263">
        <v>128001</v>
      </c>
    </row>
    <row r="264" spans="1:65">
      <c r="A264" s="47">
        <v>506</v>
      </c>
      <c r="B264" s="27">
        <v>128002</v>
      </c>
      <c r="C264" s="27" t="s">
        <v>2176</v>
      </c>
      <c r="E264" s="27" t="s">
        <v>2148</v>
      </c>
      <c r="AF264" s="37" t="str">
        <f xml:space="preserve"> AO264 &amp; REPT(" ",20-LEN(AO264)) &amp; AX264</f>
        <v>LSP21P              KS_CPL_B</v>
      </c>
      <c r="AG264" s="27" t="s">
        <v>2150</v>
      </c>
      <c r="AH264">
        <v>3</v>
      </c>
      <c r="AI264">
        <v>128002</v>
      </c>
      <c r="AJ264" t="s">
        <v>1049</v>
      </c>
      <c r="AK264" t="s">
        <v>26</v>
      </c>
      <c r="AL264" t="s">
        <v>1040</v>
      </c>
      <c r="AM264" t="s">
        <v>1041</v>
      </c>
      <c r="AN264" t="s">
        <v>1042</v>
      </c>
      <c r="AO264" t="s">
        <v>1043</v>
      </c>
      <c r="AP264">
        <v>2</v>
      </c>
      <c r="AQ264" t="s">
        <v>1044</v>
      </c>
      <c r="AR264" t="s">
        <v>73</v>
      </c>
      <c r="AS264" t="s">
        <v>26</v>
      </c>
      <c r="AT264" t="s">
        <v>26</v>
      </c>
      <c r="AU264" t="s">
        <v>64</v>
      </c>
      <c r="AV264" t="s">
        <v>64</v>
      </c>
      <c r="AW264" t="s">
        <v>91</v>
      </c>
      <c r="AX264" t="s">
        <v>92</v>
      </c>
      <c r="AY264">
        <v>14</v>
      </c>
      <c r="AZ264" t="s">
        <v>93</v>
      </c>
      <c r="BA264" t="s">
        <v>68</v>
      </c>
      <c r="BB264" t="s">
        <v>26</v>
      </c>
      <c r="BC264" t="s">
        <v>1045</v>
      </c>
      <c r="BD264" t="s">
        <v>75</v>
      </c>
      <c r="BE264" t="s">
        <v>1046</v>
      </c>
      <c r="BF264" t="s">
        <v>1050</v>
      </c>
      <c r="BG264" s="146">
        <v>2472</v>
      </c>
      <c r="BH264" t="s">
        <v>787</v>
      </c>
      <c r="BI264">
        <v>0.35</v>
      </c>
      <c r="BJ264" t="s">
        <v>1051</v>
      </c>
      <c r="BK264" t="s">
        <v>1036</v>
      </c>
      <c r="BL264">
        <v>128002</v>
      </c>
    </row>
    <row r="265" spans="1:65">
      <c r="A265" s="47"/>
      <c r="C265" s="27" t="s">
        <v>2177</v>
      </c>
      <c r="AF265" s="37" t="str">
        <f xml:space="preserve"> AO265 &amp; REPT(" ",20-LEN(AO265)) &amp; AX265</f>
        <v xml:space="preserve">                    </v>
      </c>
      <c r="AH265">
        <v>1</v>
      </c>
      <c r="AI265" t="s">
        <v>1052</v>
      </c>
    </row>
    <row r="266" spans="1:65">
      <c r="A266" s="47"/>
      <c r="C266" s="27" t="s">
        <v>2177</v>
      </c>
      <c r="AF266" s="37"/>
      <c r="AH266">
        <v>2</v>
      </c>
      <c r="AI266" t="s">
        <v>1</v>
      </c>
      <c r="AJ266" t="s">
        <v>1053</v>
      </c>
      <c r="AK266" t="s">
        <v>1054</v>
      </c>
      <c r="AL266" t="s">
        <v>1038</v>
      </c>
      <c r="AN266" t="s">
        <v>1055</v>
      </c>
      <c r="AO266" t="s">
        <v>5</v>
      </c>
    </row>
    <row r="267" spans="1:65">
      <c r="A267" s="47"/>
      <c r="C267" s="27" t="s">
        <v>2177</v>
      </c>
      <c r="AF267" s="37"/>
      <c r="AH267">
        <v>2</v>
      </c>
      <c r="AI267" t="s">
        <v>509</v>
      </c>
      <c r="AJ267" t="s">
        <v>1056</v>
      </c>
      <c r="AK267" t="s">
        <v>1057</v>
      </c>
      <c r="AL267" t="s">
        <v>1058</v>
      </c>
      <c r="AN267" t="s">
        <v>1059</v>
      </c>
      <c r="AO267" t="s">
        <v>5</v>
      </c>
    </row>
    <row r="268" spans="1:65">
      <c r="A268" s="47"/>
      <c r="C268" s="27" t="s">
        <v>2177</v>
      </c>
      <c r="AF268" s="37" t="str">
        <f t="shared" ref="AF268:AF276" si="9" xml:space="preserve"> AO268 &amp; REPT(" ",20-LEN(AO268)) &amp; AX268</f>
        <v>Kurzname            Kurzname</v>
      </c>
      <c r="AH268">
        <v>0</v>
      </c>
      <c r="AI268" t="s">
        <v>6</v>
      </c>
      <c r="AJ268" t="s">
        <v>7</v>
      </c>
      <c r="AK268" t="s">
        <v>8</v>
      </c>
      <c r="AL268" t="s">
        <v>9</v>
      </c>
      <c r="AM268" t="s">
        <v>9</v>
      </c>
      <c r="AN268" t="s">
        <v>10</v>
      </c>
      <c r="AO268" t="s">
        <v>11</v>
      </c>
      <c r="AP268" t="s">
        <v>12</v>
      </c>
      <c r="AQ268" t="s">
        <v>13</v>
      </c>
      <c r="AR268" t="s">
        <v>14</v>
      </c>
      <c r="AS268" t="s">
        <v>15</v>
      </c>
      <c r="AT268" t="s">
        <v>8</v>
      </c>
      <c r="AU268" t="s">
        <v>9</v>
      </c>
      <c r="AV268" t="s">
        <v>9</v>
      </c>
      <c r="AW268" t="s">
        <v>16</v>
      </c>
      <c r="AX268" t="s">
        <v>11</v>
      </c>
      <c r="AY268" t="s">
        <v>12</v>
      </c>
      <c r="AZ268" t="s">
        <v>13</v>
      </c>
      <c r="BA268" t="s">
        <v>14</v>
      </c>
      <c r="BB268" t="s">
        <v>15</v>
      </c>
      <c r="BC268" t="s">
        <v>17</v>
      </c>
      <c r="BD268" t="s">
        <v>18</v>
      </c>
      <c r="BE268" t="s">
        <v>19</v>
      </c>
      <c r="BF268" t="s">
        <v>20</v>
      </c>
      <c r="BG268" t="s">
        <v>21</v>
      </c>
      <c r="BH268" t="s">
        <v>22</v>
      </c>
      <c r="BI268" t="s">
        <v>23</v>
      </c>
      <c r="BJ268" t="s">
        <v>24</v>
      </c>
      <c r="BK268" t="s">
        <v>1</v>
      </c>
      <c r="BL268" t="s">
        <v>509</v>
      </c>
      <c r="BM268" t="s">
        <v>6</v>
      </c>
    </row>
    <row r="269" spans="1:65">
      <c r="A269" s="47"/>
      <c r="B269" s="27">
        <v>161001</v>
      </c>
      <c r="C269" s="27" t="s">
        <v>2177</v>
      </c>
      <c r="E269" s="27" t="s">
        <v>2148</v>
      </c>
      <c r="L269" s="27" t="s">
        <v>2149</v>
      </c>
      <c r="M269" s="27" t="s">
        <v>2149</v>
      </c>
      <c r="T269" s="27">
        <v>980018108</v>
      </c>
      <c r="AF269" s="37" t="str">
        <f t="shared" si="9"/>
        <v>MIB_O               KS_CPL_H</v>
      </c>
      <c r="AG269" s="27" t="s">
        <v>2150</v>
      </c>
      <c r="AH269">
        <v>3</v>
      </c>
      <c r="AI269">
        <v>161001</v>
      </c>
      <c r="AJ269" t="s">
        <v>1060</v>
      </c>
      <c r="AK269" t="s">
        <v>26</v>
      </c>
      <c r="AL269" t="s">
        <v>32</v>
      </c>
      <c r="AM269" t="s">
        <v>33</v>
      </c>
      <c r="AN269" t="s">
        <v>1061</v>
      </c>
      <c r="AO269" t="s">
        <v>1062</v>
      </c>
      <c r="AP269">
        <v>1</v>
      </c>
      <c r="AQ269" t="s">
        <v>1063</v>
      </c>
      <c r="AR269" t="s">
        <v>1064</v>
      </c>
      <c r="AS269" t="s">
        <v>26</v>
      </c>
      <c r="AT269" t="s">
        <v>26</v>
      </c>
      <c r="AU269" t="s">
        <v>64</v>
      </c>
      <c r="AV269" t="s">
        <v>1065</v>
      </c>
      <c r="AW269" t="s">
        <v>1066</v>
      </c>
      <c r="AX269" t="s">
        <v>1067</v>
      </c>
      <c r="AY269">
        <v>1</v>
      </c>
      <c r="AZ269" t="s">
        <v>1068</v>
      </c>
      <c r="BA269" t="s">
        <v>1064</v>
      </c>
      <c r="BB269" t="s">
        <v>26</v>
      </c>
      <c r="BC269" t="s">
        <v>1069</v>
      </c>
      <c r="BD269" t="s">
        <v>1070</v>
      </c>
      <c r="BE269" t="s">
        <v>1071</v>
      </c>
      <c r="BF269" t="s">
        <v>1072</v>
      </c>
      <c r="BG269">
        <v>1779</v>
      </c>
      <c r="BH269" t="s">
        <v>1073</v>
      </c>
      <c r="BI269">
        <v>0.14000000000000001</v>
      </c>
      <c r="BJ269" t="s">
        <v>1074</v>
      </c>
      <c r="BK269" t="s">
        <v>1053</v>
      </c>
      <c r="BL269" t="s">
        <v>26</v>
      </c>
      <c r="BM269">
        <v>161001</v>
      </c>
    </row>
    <row r="270" spans="1:65">
      <c r="A270" s="47"/>
      <c r="B270" s="27">
        <v>161002</v>
      </c>
      <c r="C270" s="27" t="s">
        <v>2177</v>
      </c>
      <c r="E270" s="27" t="s">
        <v>2148</v>
      </c>
      <c r="L270" s="27" t="s">
        <v>2149</v>
      </c>
      <c r="M270" s="27" t="s">
        <v>2149</v>
      </c>
      <c r="T270" s="27">
        <v>980018108</v>
      </c>
      <c r="AF270" s="37" t="str">
        <f t="shared" si="9"/>
        <v>MIB_O               KS_CPL_H</v>
      </c>
      <c r="AG270" s="27" t="s">
        <v>2150</v>
      </c>
      <c r="AH270">
        <v>3</v>
      </c>
      <c r="AI270">
        <v>161002</v>
      </c>
      <c r="AJ270" t="s">
        <v>1075</v>
      </c>
      <c r="AK270" t="s">
        <v>26</v>
      </c>
      <c r="AL270" t="s">
        <v>32</v>
      </c>
      <c r="AM270" t="s">
        <v>33</v>
      </c>
      <c r="AN270" t="s">
        <v>1061</v>
      </c>
      <c r="AO270" t="s">
        <v>1062</v>
      </c>
      <c r="AP270">
        <v>2</v>
      </c>
      <c r="AQ270" t="s">
        <v>1063</v>
      </c>
      <c r="AR270" t="s">
        <v>59</v>
      </c>
      <c r="AS270" t="s">
        <v>26</v>
      </c>
      <c r="AT270" t="s">
        <v>26</v>
      </c>
      <c r="AU270" t="s">
        <v>64</v>
      </c>
      <c r="AV270" t="s">
        <v>1065</v>
      </c>
      <c r="AW270" t="s">
        <v>1066</v>
      </c>
      <c r="AX270" t="s">
        <v>1067</v>
      </c>
      <c r="AY270">
        <v>2</v>
      </c>
      <c r="AZ270" t="s">
        <v>1068</v>
      </c>
      <c r="BA270" t="s">
        <v>59</v>
      </c>
      <c r="BB270" t="s">
        <v>26</v>
      </c>
      <c r="BC270" t="s">
        <v>1069</v>
      </c>
      <c r="BD270" t="s">
        <v>59</v>
      </c>
      <c r="BE270" t="s">
        <v>1071</v>
      </c>
      <c r="BF270" t="s">
        <v>1076</v>
      </c>
      <c r="BG270">
        <v>1779</v>
      </c>
      <c r="BH270" t="s">
        <v>61</v>
      </c>
      <c r="BI270">
        <v>0.5</v>
      </c>
      <c r="BJ270" t="s">
        <v>1077</v>
      </c>
      <c r="BK270" t="s">
        <v>1053</v>
      </c>
      <c r="BL270" t="s">
        <v>26</v>
      </c>
      <c r="BM270">
        <v>161002</v>
      </c>
    </row>
    <row r="271" spans="1:65">
      <c r="A271" s="47">
        <v>506</v>
      </c>
      <c r="B271" s="27">
        <v>161003</v>
      </c>
      <c r="C271" s="27" t="s">
        <v>2177</v>
      </c>
      <c r="E271" s="27" t="s">
        <v>2148</v>
      </c>
      <c r="L271" s="27" t="s">
        <v>2149</v>
      </c>
      <c r="M271" s="27" t="s">
        <v>2149</v>
      </c>
      <c r="T271" s="27">
        <v>980017363</v>
      </c>
      <c r="AF271" s="37" t="str">
        <f t="shared" si="9"/>
        <v>MIB_M               KS_CPR_D</v>
      </c>
      <c r="AG271" s="27" t="s">
        <v>2150</v>
      </c>
      <c r="AH271">
        <v>3</v>
      </c>
      <c r="AI271">
        <v>161003</v>
      </c>
      <c r="AJ271" t="s">
        <v>1078</v>
      </c>
      <c r="AK271" t="s">
        <v>26</v>
      </c>
      <c r="AL271" t="s">
        <v>32</v>
      </c>
      <c r="AM271" t="s">
        <v>33</v>
      </c>
      <c r="AN271" t="s">
        <v>1079</v>
      </c>
      <c r="AO271" t="s">
        <v>1080</v>
      </c>
      <c r="AP271">
        <v>1</v>
      </c>
      <c r="AQ271" t="s">
        <v>1081</v>
      </c>
      <c r="AR271" t="s">
        <v>37</v>
      </c>
      <c r="AS271" t="s">
        <v>26</v>
      </c>
      <c r="AT271" t="s">
        <v>26</v>
      </c>
      <c r="AU271" t="s">
        <v>131</v>
      </c>
      <c r="AV271" t="s">
        <v>131</v>
      </c>
      <c r="AW271" t="s">
        <v>1082</v>
      </c>
      <c r="AX271" t="s">
        <v>1083</v>
      </c>
      <c r="AY271">
        <v>4</v>
      </c>
      <c r="AZ271" t="s">
        <v>1084</v>
      </c>
      <c r="BA271" t="s">
        <v>37</v>
      </c>
      <c r="BB271" t="s">
        <v>26</v>
      </c>
      <c r="BC271" t="s">
        <v>38</v>
      </c>
      <c r="BD271" t="s">
        <v>39</v>
      </c>
      <c r="BE271" t="s">
        <v>1085</v>
      </c>
      <c r="BF271" t="s">
        <v>41</v>
      </c>
      <c r="BG271" s="146">
        <v>1752</v>
      </c>
      <c r="BH271" t="s">
        <v>42</v>
      </c>
      <c r="BI271">
        <v>0.14000000000000001</v>
      </c>
      <c r="BJ271" t="s">
        <v>1086</v>
      </c>
      <c r="BK271" t="s">
        <v>26</v>
      </c>
      <c r="BL271" t="s">
        <v>1056</v>
      </c>
      <c r="BM271">
        <v>161003</v>
      </c>
    </row>
    <row r="272" spans="1:65">
      <c r="A272" s="47">
        <v>506</v>
      </c>
      <c r="B272" s="27">
        <v>161004</v>
      </c>
      <c r="C272" s="27" t="s">
        <v>2177</v>
      </c>
      <c r="E272" s="27" t="s">
        <v>2148</v>
      </c>
      <c r="L272" s="27" t="s">
        <v>2149</v>
      </c>
      <c r="M272" s="27" t="s">
        <v>2149</v>
      </c>
      <c r="T272" s="27">
        <v>980017363</v>
      </c>
      <c r="AF272" s="37" t="str">
        <f t="shared" si="9"/>
        <v>MIB_M               KS_CPR_D</v>
      </c>
      <c r="AG272" s="27" t="s">
        <v>2150</v>
      </c>
      <c r="AH272">
        <v>3</v>
      </c>
      <c r="AI272">
        <v>161004</v>
      </c>
      <c r="AJ272" t="s">
        <v>1087</v>
      </c>
      <c r="AK272" t="s">
        <v>26</v>
      </c>
      <c r="AL272" t="s">
        <v>32</v>
      </c>
      <c r="AM272" t="s">
        <v>33</v>
      </c>
      <c r="AN272" t="s">
        <v>1079</v>
      </c>
      <c r="AO272" t="s">
        <v>1080</v>
      </c>
      <c r="AP272">
        <v>2</v>
      </c>
      <c r="AQ272" t="s">
        <v>1081</v>
      </c>
      <c r="AR272" t="s">
        <v>37</v>
      </c>
      <c r="AS272" t="s">
        <v>26</v>
      </c>
      <c r="AT272" t="s">
        <v>26</v>
      </c>
      <c r="AU272" t="s">
        <v>131</v>
      </c>
      <c r="AV272" t="s">
        <v>131</v>
      </c>
      <c r="AW272" t="s">
        <v>1082</v>
      </c>
      <c r="AX272" t="s">
        <v>1083</v>
      </c>
      <c r="AY272">
        <v>3</v>
      </c>
      <c r="AZ272" t="s">
        <v>1084</v>
      </c>
      <c r="BA272" t="s">
        <v>37</v>
      </c>
      <c r="BB272" t="s">
        <v>26</v>
      </c>
      <c r="BC272" t="s">
        <v>38</v>
      </c>
      <c r="BD272" t="s">
        <v>39</v>
      </c>
      <c r="BE272" t="s">
        <v>1085</v>
      </c>
      <c r="BF272" t="s">
        <v>45</v>
      </c>
      <c r="BG272" s="146">
        <v>1752</v>
      </c>
      <c r="BH272" t="s">
        <v>46</v>
      </c>
      <c r="BI272">
        <v>0.14000000000000001</v>
      </c>
      <c r="BJ272" t="s">
        <v>1088</v>
      </c>
      <c r="BK272" t="s">
        <v>26</v>
      </c>
      <c r="BL272" t="s">
        <v>1056</v>
      </c>
      <c r="BM272">
        <v>161004</v>
      </c>
    </row>
    <row r="273" spans="1:65">
      <c r="A273" s="47">
        <v>506</v>
      </c>
      <c r="B273" s="27">
        <v>161005</v>
      </c>
      <c r="C273" s="27" t="s">
        <v>2177</v>
      </c>
      <c r="E273" s="27" t="s">
        <v>2148</v>
      </c>
      <c r="L273" s="27" t="s">
        <v>2149</v>
      </c>
      <c r="M273" s="27" t="s">
        <v>2149</v>
      </c>
      <c r="T273" s="27">
        <v>980017363</v>
      </c>
      <c r="AF273" s="37" t="str">
        <f t="shared" si="9"/>
        <v>MIB_M               KS_CPR_D</v>
      </c>
      <c r="AG273" s="27" t="s">
        <v>2150</v>
      </c>
      <c r="AH273">
        <v>3</v>
      </c>
      <c r="AI273">
        <v>161005</v>
      </c>
      <c r="AJ273" t="s">
        <v>1089</v>
      </c>
      <c r="AK273" t="s">
        <v>26</v>
      </c>
      <c r="AL273" t="s">
        <v>32</v>
      </c>
      <c r="AM273" t="s">
        <v>33</v>
      </c>
      <c r="AN273" t="s">
        <v>1079</v>
      </c>
      <c r="AO273" t="s">
        <v>1080</v>
      </c>
      <c r="AP273">
        <v>3</v>
      </c>
      <c r="AQ273" t="s">
        <v>1081</v>
      </c>
      <c r="AR273" t="s">
        <v>37</v>
      </c>
      <c r="AS273" t="s">
        <v>26</v>
      </c>
      <c r="AT273" t="s">
        <v>26</v>
      </c>
      <c r="AU273" t="s">
        <v>131</v>
      </c>
      <c r="AV273" t="s">
        <v>131</v>
      </c>
      <c r="AW273" t="s">
        <v>1082</v>
      </c>
      <c r="AX273" t="s">
        <v>1083</v>
      </c>
      <c r="AY273">
        <v>2</v>
      </c>
      <c r="AZ273" t="s">
        <v>1084</v>
      </c>
      <c r="BA273" t="s">
        <v>37</v>
      </c>
      <c r="BB273" t="s">
        <v>26</v>
      </c>
      <c r="BC273" t="s">
        <v>38</v>
      </c>
      <c r="BD273" t="s">
        <v>39</v>
      </c>
      <c r="BE273" t="s">
        <v>1085</v>
      </c>
      <c r="BF273" t="s">
        <v>49</v>
      </c>
      <c r="BG273" s="146">
        <v>1752</v>
      </c>
      <c r="BH273" t="s">
        <v>50</v>
      </c>
      <c r="BI273">
        <v>0.14000000000000001</v>
      </c>
      <c r="BJ273" t="s">
        <v>1090</v>
      </c>
      <c r="BK273" t="s">
        <v>26</v>
      </c>
      <c r="BL273" t="s">
        <v>1056</v>
      </c>
      <c r="BM273">
        <v>161005</v>
      </c>
    </row>
    <row r="274" spans="1:65">
      <c r="A274" s="47">
        <v>506</v>
      </c>
      <c r="B274" s="27">
        <v>161006</v>
      </c>
      <c r="C274" s="27" t="s">
        <v>2177</v>
      </c>
      <c r="E274" s="27" t="s">
        <v>2148</v>
      </c>
      <c r="L274" s="27" t="s">
        <v>2149</v>
      </c>
      <c r="M274" s="27" t="s">
        <v>2149</v>
      </c>
      <c r="T274" s="27">
        <v>980017363</v>
      </c>
      <c r="AF274" s="37" t="str">
        <f t="shared" si="9"/>
        <v>MIB_M               KS_CPR_D</v>
      </c>
      <c r="AG274" s="27" t="s">
        <v>2150</v>
      </c>
      <c r="AH274">
        <v>3</v>
      </c>
      <c r="AI274">
        <v>161006</v>
      </c>
      <c r="AJ274" t="s">
        <v>1091</v>
      </c>
      <c r="AK274" t="s">
        <v>26</v>
      </c>
      <c r="AL274" t="s">
        <v>32</v>
      </c>
      <c r="AM274" t="s">
        <v>33</v>
      </c>
      <c r="AN274" t="s">
        <v>1079</v>
      </c>
      <c r="AO274" t="s">
        <v>1080</v>
      </c>
      <c r="AP274">
        <v>4</v>
      </c>
      <c r="AQ274" t="s">
        <v>1081</v>
      </c>
      <c r="AR274" t="s">
        <v>37</v>
      </c>
      <c r="AS274" t="s">
        <v>26</v>
      </c>
      <c r="AT274" t="s">
        <v>26</v>
      </c>
      <c r="AU274" t="s">
        <v>131</v>
      </c>
      <c r="AV274" t="s">
        <v>131</v>
      </c>
      <c r="AW274" t="s">
        <v>1082</v>
      </c>
      <c r="AX274" t="s">
        <v>1083</v>
      </c>
      <c r="AY274">
        <v>1</v>
      </c>
      <c r="AZ274" t="s">
        <v>1084</v>
      </c>
      <c r="BA274" t="s">
        <v>37</v>
      </c>
      <c r="BB274" t="s">
        <v>26</v>
      </c>
      <c r="BC274" t="s">
        <v>38</v>
      </c>
      <c r="BD274" t="s">
        <v>39</v>
      </c>
      <c r="BE274" t="s">
        <v>1085</v>
      </c>
      <c r="BF274" t="s">
        <v>53</v>
      </c>
      <c r="BG274" s="146">
        <v>1752</v>
      </c>
      <c r="BH274" t="s">
        <v>54</v>
      </c>
      <c r="BI274">
        <v>0.14000000000000001</v>
      </c>
      <c r="BJ274" t="s">
        <v>1092</v>
      </c>
      <c r="BK274" t="s">
        <v>26</v>
      </c>
      <c r="BL274" t="s">
        <v>1056</v>
      </c>
      <c r="BM274">
        <v>161006</v>
      </c>
    </row>
    <row r="275" spans="1:65">
      <c r="A275" s="47">
        <v>506</v>
      </c>
      <c r="B275" s="27">
        <v>161007</v>
      </c>
      <c r="C275" s="27" t="s">
        <v>2177</v>
      </c>
      <c r="E275" s="27" t="s">
        <v>2148</v>
      </c>
      <c r="L275" s="27" t="s">
        <v>2149</v>
      </c>
      <c r="M275" s="27" t="s">
        <v>2149</v>
      </c>
      <c r="T275" s="27">
        <v>980017363</v>
      </c>
      <c r="AF275" s="37" t="str">
        <f t="shared" si="9"/>
        <v>MIB_M               KS_CPR_D</v>
      </c>
      <c r="AG275" s="27" t="s">
        <v>2150</v>
      </c>
      <c r="AH275">
        <v>3</v>
      </c>
      <c r="AI275">
        <v>161007</v>
      </c>
      <c r="AJ275" t="s">
        <v>1093</v>
      </c>
      <c r="AK275" t="s">
        <v>26</v>
      </c>
      <c r="AL275" t="s">
        <v>32</v>
      </c>
      <c r="AM275" t="s">
        <v>33</v>
      </c>
      <c r="AN275" t="s">
        <v>1079</v>
      </c>
      <c r="AO275" t="s">
        <v>1080</v>
      </c>
      <c r="AP275" t="s">
        <v>57</v>
      </c>
      <c r="AQ275" t="s">
        <v>1081</v>
      </c>
      <c r="AR275" t="s">
        <v>58</v>
      </c>
      <c r="AS275" t="s">
        <v>26</v>
      </c>
      <c r="AT275" t="s">
        <v>26</v>
      </c>
      <c r="AU275" t="s">
        <v>131</v>
      </c>
      <c r="AV275" t="s">
        <v>131</v>
      </c>
      <c r="AW275" t="s">
        <v>1082</v>
      </c>
      <c r="AX275" t="s">
        <v>1083</v>
      </c>
      <c r="AY275" t="s">
        <v>57</v>
      </c>
      <c r="AZ275" t="s">
        <v>1084</v>
      </c>
      <c r="BA275" t="s">
        <v>58</v>
      </c>
      <c r="BB275" t="s">
        <v>26</v>
      </c>
      <c r="BC275" t="s">
        <v>38</v>
      </c>
      <c r="BD275" t="s">
        <v>59</v>
      </c>
      <c r="BE275" t="s">
        <v>1085</v>
      </c>
      <c r="BF275" t="s">
        <v>60</v>
      </c>
      <c r="BG275" s="146">
        <v>1752</v>
      </c>
      <c r="BH275" t="s">
        <v>61</v>
      </c>
      <c r="BI275">
        <v>1</v>
      </c>
      <c r="BJ275" t="s">
        <v>1094</v>
      </c>
      <c r="BK275" t="s">
        <v>26</v>
      </c>
      <c r="BL275" t="s">
        <v>1056</v>
      </c>
      <c r="BM275">
        <v>161007</v>
      </c>
    </row>
    <row r="276" spans="1:65">
      <c r="A276" s="47"/>
      <c r="C276" s="27" t="s">
        <v>2178</v>
      </c>
      <c r="AF276" s="37" t="str">
        <f t="shared" si="9"/>
        <v xml:space="preserve">                    </v>
      </c>
      <c r="AH276">
        <v>1</v>
      </c>
      <c r="AI276" t="s">
        <v>1095</v>
      </c>
    </row>
    <row r="277" spans="1:65">
      <c r="A277" s="47"/>
      <c r="C277" s="27" t="s">
        <v>2178</v>
      </c>
      <c r="AF277" s="37"/>
      <c r="AH277">
        <v>2</v>
      </c>
      <c r="AI277" t="s">
        <v>1</v>
      </c>
      <c r="AJ277" t="s">
        <v>1096</v>
      </c>
      <c r="AK277" t="s">
        <v>1097</v>
      </c>
      <c r="AL277" t="s">
        <v>1098</v>
      </c>
      <c r="AN277" t="s">
        <v>1099</v>
      </c>
      <c r="AO277" t="s">
        <v>5</v>
      </c>
    </row>
    <row r="278" spans="1:65">
      <c r="A278" s="47"/>
      <c r="C278" s="27" t="s">
        <v>2178</v>
      </c>
      <c r="AF278" s="37"/>
      <c r="AH278">
        <v>2</v>
      </c>
      <c r="AI278" t="s">
        <v>509</v>
      </c>
      <c r="AJ278" t="s">
        <v>1100</v>
      </c>
      <c r="AK278" t="s">
        <v>1101</v>
      </c>
      <c r="AL278" t="s">
        <v>1102</v>
      </c>
      <c r="AN278" t="s">
        <v>1103</v>
      </c>
      <c r="AO278" t="s">
        <v>5</v>
      </c>
    </row>
    <row r="279" spans="1:65">
      <c r="A279" s="47"/>
      <c r="C279" s="27" t="s">
        <v>2178</v>
      </c>
      <c r="AF279" s="37" t="str">
        <f t="shared" ref="AF279:AF294" si="10" xml:space="preserve"> AO279 &amp; REPT(" ",20-LEN(AO279)) &amp; AX279</f>
        <v>Kurzname            Kurzname</v>
      </c>
      <c r="AH279">
        <v>0</v>
      </c>
      <c r="AI279" t="s">
        <v>6</v>
      </c>
      <c r="AJ279" t="s">
        <v>7</v>
      </c>
      <c r="AK279" t="s">
        <v>8</v>
      </c>
      <c r="AL279" t="s">
        <v>9</v>
      </c>
      <c r="AM279" t="s">
        <v>9</v>
      </c>
      <c r="AN279" t="s">
        <v>10</v>
      </c>
      <c r="AO279" t="s">
        <v>11</v>
      </c>
      <c r="AP279" t="s">
        <v>12</v>
      </c>
      <c r="AQ279" t="s">
        <v>13</v>
      </c>
      <c r="AR279" t="s">
        <v>14</v>
      </c>
      <c r="AS279" t="s">
        <v>15</v>
      </c>
      <c r="AT279" t="s">
        <v>8</v>
      </c>
      <c r="AU279" t="s">
        <v>9</v>
      </c>
      <c r="AV279" t="s">
        <v>9</v>
      </c>
      <c r="AW279" t="s">
        <v>16</v>
      </c>
      <c r="AX279" t="s">
        <v>11</v>
      </c>
      <c r="AY279" t="s">
        <v>12</v>
      </c>
      <c r="AZ279" t="s">
        <v>13</v>
      </c>
      <c r="BA279" t="s">
        <v>14</v>
      </c>
      <c r="BB279" t="s">
        <v>15</v>
      </c>
      <c r="BC279" t="s">
        <v>17</v>
      </c>
      <c r="BD279" t="s">
        <v>18</v>
      </c>
      <c r="BE279" t="s">
        <v>19</v>
      </c>
      <c r="BF279" t="s">
        <v>20</v>
      </c>
      <c r="BG279" t="s">
        <v>21</v>
      </c>
      <c r="BH279" t="s">
        <v>22</v>
      </c>
      <c r="BI279" t="s">
        <v>23</v>
      </c>
      <c r="BJ279" t="s">
        <v>24</v>
      </c>
      <c r="BK279" t="s">
        <v>1</v>
      </c>
      <c r="BL279" t="s">
        <v>509</v>
      </c>
      <c r="BM279" t="s">
        <v>6</v>
      </c>
    </row>
    <row r="280" spans="1:65">
      <c r="A280" s="47"/>
      <c r="B280" s="27">
        <v>216001</v>
      </c>
      <c r="C280" s="27" t="s">
        <v>2178</v>
      </c>
      <c r="E280" s="27" t="s">
        <v>2148</v>
      </c>
      <c r="AF280" s="37" t="str">
        <f t="shared" si="10"/>
        <v>AMI                 STO52A</v>
      </c>
      <c r="AG280" s="27" t="s">
        <v>2150</v>
      </c>
      <c r="AH280">
        <v>3</v>
      </c>
      <c r="AI280">
        <v>216001</v>
      </c>
      <c r="AJ280" t="s">
        <v>1104</v>
      </c>
      <c r="AK280" t="s">
        <v>26</v>
      </c>
      <c r="AL280" t="s">
        <v>1105</v>
      </c>
      <c r="AM280" t="s">
        <v>1105</v>
      </c>
      <c r="AN280" t="s">
        <v>1106</v>
      </c>
      <c r="AO280" t="s">
        <v>1107</v>
      </c>
      <c r="AP280" t="s">
        <v>1108</v>
      </c>
      <c r="AQ280" t="s">
        <v>1109</v>
      </c>
      <c r="AR280" t="s">
        <v>111</v>
      </c>
      <c r="AS280" t="s">
        <v>26</v>
      </c>
      <c r="AT280" t="s">
        <v>26</v>
      </c>
      <c r="AU280" t="s">
        <v>150</v>
      </c>
      <c r="AV280" t="s">
        <v>150</v>
      </c>
      <c r="AW280" t="s">
        <v>151</v>
      </c>
      <c r="AX280" t="s">
        <v>152</v>
      </c>
      <c r="AY280" t="s">
        <v>637</v>
      </c>
      <c r="AZ280" t="s">
        <v>154</v>
      </c>
      <c r="BA280" t="s">
        <v>224</v>
      </c>
      <c r="BB280" t="s">
        <v>26</v>
      </c>
      <c r="BC280" t="s">
        <v>1110</v>
      </c>
      <c r="BD280" t="s">
        <v>75</v>
      </c>
      <c r="BE280" t="s">
        <v>26</v>
      </c>
      <c r="BF280" t="s">
        <v>26</v>
      </c>
      <c r="BG280">
        <v>1315</v>
      </c>
      <c r="BH280" t="s">
        <v>1111</v>
      </c>
      <c r="BI280">
        <v>0.5</v>
      </c>
      <c r="BJ280" t="s">
        <v>1112</v>
      </c>
      <c r="BK280" t="s">
        <v>1096</v>
      </c>
      <c r="BL280" t="s">
        <v>1100</v>
      </c>
      <c r="BM280">
        <v>216001</v>
      </c>
    </row>
    <row r="281" spans="1:65">
      <c r="A281" s="47"/>
      <c r="B281" s="27">
        <v>216002</v>
      </c>
      <c r="C281" s="27" t="s">
        <v>2178</v>
      </c>
      <c r="E281" s="27" t="s">
        <v>2148</v>
      </c>
      <c r="F281" s="27" t="s">
        <v>2152</v>
      </c>
      <c r="G281" s="27" t="s">
        <v>176</v>
      </c>
      <c r="K281" s="27" t="s">
        <v>2153</v>
      </c>
      <c r="L281" s="27" t="s">
        <v>2148</v>
      </c>
      <c r="M281" s="27" t="s">
        <v>2154</v>
      </c>
      <c r="AF281" s="37" t="str">
        <f t="shared" si="10"/>
        <v>AMI                 SP_MB34_B1</v>
      </c>
      <c r="AG281" s="27" t="s">
        <v>2150</v>
      </c>
      <c r="AH281">
        <v>3</v>
      </c>
      <c r="AI281">
        <v>216002</v>
      </c>
      <c r="AJ281" t="s">
        <v>1113</v>
      </c>
      <c r="AK281" t="s">
        <v>26</v>
      </c>
      <c r="AL281" t="s">
        <v>1105</v>
      </c>
      <c r="AM281" t="s">
        <v>1105</v>
      </c>
      <c r="AN281" t="s">
        <v>1106</v>
      </c>
      <c r="AO281" t="s">
        <v>1107</v>
      </c>
      <c r="AP281" t="s">
        <v>1114</v>
      </c>
      <c r="AQ281" t="s">
        <v>1109</v>
      </c>
      <c r="AR281" t="s">
        <v>111</v>
      </c>
      <c r="AS281" t="s">
        <v>26</v>
      </c>
      <c r="AT281" t="s">
        <v>26</v>
      </c>
      <c r="AU281" t="s">
        <v>26</v>
      </c>
      <c r="AV281" t="s">
        <v>175</v>
      </c>
      <c r="AW281">
        <v>335</v>
      </c>
      <c r="AX281" t="s">
        <v>176</v>
      </c>
      <c r="AY281">
        <v>1</v>
      </c>
      <c r="AZ281" t="s">
        <v>177</v>
      </c>
      <c r="BA281" t="s">
        <v>26</v>
      </c>
      <c r="BB281" t="s">
        <v>26</v>
      </c>
      <c r="BC281" t="s">
        <v>280</v>
      </c>
      <c r="BD281" t="s">
        <v>75</v>
      </c>
      <c r="BE281" t="s">
        <v>26</v>
      </c>
      <c r="BF281" t="s">
        <v>26</v>
      </c>
      <c r="BG281">
        <v>608</v>
      </c>
      <c r="BH281" t="s">
        <v>42</v>
      </c>
      <c r="BI281">
        <v>0.5</v>
      </c>
      <c r="BJ281" t="s">
        <v>179</v>
      </c>
      <c r="BK281" t="s">
        <v>1096</v>
      </c>
      <c r="BL281" t="s">
        <v>1100</v>
      </c>
      <c r="BM281">
        <v>216002</v>
      </c>
    </row>
    <row r="282" spans="1:65">
      <c r="A282" s="47"/>
      <c r="B282" s="27">
        <v>216003</v>
      </c>
      <c r="C282" s="27" t="s">
        <v>2178</v>
      </c>
      <c r="E282" s="27" t="s">
        <v>2148</v>
      </c>
      <c r="AF282" s="37" t="str">
        <f t="shared" si="10"/>
        <v>KS_CPM_E            STO52A</v>
      </c>
      <c r="AG282" s="27" t="s">
        <v>2150</v>
      </c>
      <c r="AH282">
        <v>3</v>
      </c>
      <c r="AI282">
        <v>216003</v>
      </c>
      <c r="AJ282" t="s">
        <v>1115</v>
      </c>
      <c r="AK282" t="s">
        <v>26</v>
      </c>
      <c r="AL282" t="s">
        <v>69</v>
      </c>
      <c r="AM282" t="s">
        <v>69</v>
      </c>
      <c r="AN282" t="s">
        <v>70</v>
      </c>
      <c r="AO282" t="s">
        <v>71</v>
      </c>
      <c r="AP282">
        <v>5</v>
      </c>
      <c r="AQ282" t="s">
        <v>72</v>
      </c>
      <c r="AR282" t="s">
        <v>122</v>
      </c>
      <c r="AS282" t="s">
        <v>26</v>
      </c>
      <c r="AT282" t="s">
        <v>26</v>
      </c>
      <c r="AU282" t="s">
        <v>150</v>
      </c>
      <c r="AV282" t="s">
        <v>150</v>
      </c>
      <c r="AW282" t="s">
        <v>151</v>
      </c>
      <c r="AX282" t="s">
        <v>152</v>
      </c>
      <c r="AY282" t="s">
        <v>637</v>
      </c>
      <c r="AZ282" t="s">
        <v>154</v>
      </c>
      <c r="BA282" t="s">
        <v>1116</v>
      </c>
      <c r="BB282" t="s">
        <v>26</v>
      </c>
      <c r="BC282" t="s">
        <v>1110</v>
      </c>
      <c r="BD282" t="s">
        <v>75</v>
      </c>
      <c r="BE282" t="s">
        <v>26</v>
      </c>
      <c r="BF282" t="s">
        <v>26</v>
      </c>
      <c r="BG282">
        <v>1580</v>
      </c>
      <c r="BH282" t="s">
        <v>1111</v>
      </c>
      <c r="BI282">
        <v>0.5</v>
      </c>
      <c r="BJ282" t="s">
        <v>1112</v>
      </c>
      <c r="BK282" t="s">
        <v>1096</v>
      </c>
      <c r="BL282" t="s">
        <v>1100</v>
      </c>
      <c r="BM282">
        <v>216003</v>
      </c>
    </row>
    <row r="283" spans="1:65">
      <c r="A283" s="47"/>
      <c r="B283" s="27">
        <v>216005</v>
      </c>
      <c r="C283" s="27" t="s">
        <v>2178</v>
      </c>
      <c r="E283" s="27" t="s">
        <v>2162</v>
      </c>
      <c r="F283" s="27" t="s">
        <v>2152</v>
      </c>
      <c r="G283" s="27" t="s">
        <v>400</v>
      </c>
      <c r="K283" s="27" t="s">
        <v>2153</v>
      </c>
      <c r="L283" s="27" t="s">
        <v>2148</v>
      </c>
      <c r="M283" s="27" t="s">
        <v>2154</v>
      </c>
      <c r="AE283" s="27" t="s">
        <v>2155</v>
      </c>
      <c r="AF283" s="37" t="str">
        <f t="shared" si="10"/>
        <v>MIB_E               SP_CANH_MIB</v>
      </c>
      <c r="AG283" s="27" t="s">
        <v>2150</v>
      </c>
      <c r="AH283">
        <v>3</v>
      </c>
      <c r="AI283">
        <v>216005</v>
      </c>
      <c r="AJ283" t="s">
        <v>1117</v>
      </c>
      <c r="AK283" t="s">
        <v>26</v>
      </c>
      <c r="AL283" t="s">
        <v>32</v>
      </c>
      <c r="AM283" t="s">
        <v>33</v>
      </c>
      <c r="AN283" t="s">
        <v>240</v>
      </c>
      <c r="AO283" t="s">
        <v>241</v>
      </c>
      <c r="AP283">
        <v>1</v>
      </c>
      <c r="AQ283" t="s">
        <v>242</v>
      </c>
      <c r="AR283" t="s">
        <v>243</v>
      </c>
      <c r="AS283" t="s">
        <v>26</v>
      </c>
      <c r="AT283" t="s">
        <v>26</v>
      </c>
      <c r="AU283" t="s">
        <v>26</v>
      </c>
      <c r="AV283" t="s">
        <v>398</v>
      </c>
      <c r="AW283" t="s">
        <v>399</v>
      </c>
      <c r="AX283" t="s">
        <v>400</v>
      </c>
      <c r="AY283">
        <v>1</v>
      </c>
      <c r="AZ283" t="s">
        <v>389</v>
      </c>
      <c r="BA283" t="s">
        <v>26</v>
      </c>
      <c r="BB283" t="s">
        <v>26</v>
      </c>
      <c r="BC283" t="s">
        <v>390</v>
      </c>
      <c r="BD283" t="s">
        <v>75</v>
      </c>
      <c r="BE283" t="s">
        <v>1118</v>
      </c>
      <c r="BF283" t="s">
        <v>401</v>
      </c>
      <c r="BG283">
        <v>826</v>
      </c>
      <c r="BH283" t="s">
        <v>50</v>
      </c>
      <c r="BI283">
        <v>0.35</v>
      </c>
      <c r="BJ283" t="s">
        <v>402</v>
      </c>
      <c r="BK283" t="s">
        <v>1096</v>
      </c>
      <c r="BL283" t="s">
        <v>1100</v>
      </c>
      <c r="BM283">
        <v>216005</v>
      </c>
    </row>
    <row r="284" spans="1:65">
      <c r="A284" s="47"/>
      <c r="B284" s="27">
        <v>216006</v>
      </c>
      <c r="C284" s="27" t="s">
        <v>2178</v>
      </c>
      <c r="E284" s="27" t="s">
        <v>2162</v>
      </c>
      <c r="F284" s="27" t="s">
        <v>2152</v>
      </c>
      <c r="G284" s="27" t="s">
        <v>388</v>
      </c>
      <c r="K284" s="27" t="s">
        <v>2153</v>
      </c>
      <c r="L284" s="27" t="s">
        <v>2148</v>
      </c>
      <c r="M284" s="27" t="s">
        <v>2154</v>
      </c>
      <c r="AE284" s="27" t="s">
        <v>2155</v>
      </c>
      <c r="AF284" s="37" t="str">
        <f t="shared" si="10"/>
        <v>MIB_E               SP_CANL_MIB</v>
      </c>
      <c r="AG284" s="27" t="s">
        <v>2150</v>
      </c>
      <c r="AH284">
        <v>3</v>
      </c>
      <c r="AI284">
        <v>216006</v>
      </c>
      <c r="AJ284" t="s">
        <v>1119</v>
      </c>
      <c r="AK284" t="s">
        <v>26</v>
      </c>
      <c r="AL284" t="s">
        <v>32</v>
      </c>
      <c r="AM284" t="s">
        <v>33</v>
      </c>
      <c r="AN284" t="s">
        <v>240</v>
      </c>
      <c r="AO284" t="s">
        <v>241</v>
      </c>
      <c r="AP284">
        <v>7</v>
      </c>
      <c r="AQ284" t="s">
        <v>242</v>
      </c>
      <c r="AR284" t="s">
        <v>243</v>
      </c>
      <c r="AS284" t="s">
        <v>26</v>
      </c>
      <c r="AT284" t="s">
        <v>26</v>
      </c>
      <c r="AU284" t="s">
        <v>26</v>
      </c>
      <c r="AV284" t="s">
        <v>386</v>
      </c>
      <c r="AW284" t="s">
        <v>387</v>
      </c>
      <c r="AX284" t="s">
        <v>388</v>
      </c>
      <c r="AY284">
        <v>1</v>
      </c>
      <c r="AZ284" t="s">
        <v>389</v>
      </c>
      <c r="BA284" t="s">
        <v>26</v>
      </c>
      <c r="BB284" t="s">
        <v>26</v>
      </c>
      <c r="BC284" t="s">
        <v>390</v>
      </c>
      <c r="BD284" t="s">
        <v>75</v>
      </c>
      <c r="BE284" t="s">
        <v>1118</v>
      </c>
      <c r="BF284" t="s">
        <v>96</v>
      </c>
      <c r="BG284">
        <v>826</v>
      </c>
      <c r="BH284" t="s">
        <v>97</v>
      </c>
      <c r="BI284">
        <v>0.35</v>
      </c>
      <c r="BJ284" t="s">
        <v>392</v>
      </c>
      <c r="BK284" t="s">
        <v>1096</v>
      </c>
      <c r="BL284" t="s">
        <v>1100</v>
      </c>
      <c r="BM284">
        <v>216006</v>
      </c>
    </row>
    <row r="285" spans="1:65">
      <c r="A285" s="47"/>
      <c r="B285" s="27">
        <v>216018</v>
      </c>
      <c r="C285" s="27" t="s">
        <v>2178</v>
      </c>
      <c r="E285" s="27" t="s">
        <v>2162</v>
      </c>
      <c r="F285" s="27" t="s">
        <v>2152</v>
      </c>
      <c r="G285" s="27" t="s">
        <v>400</v>
      </c>
      <c r="K285" s="27" t="s">
        <v>2153</v>
      </c>
      <c r="L285" s="27" t="s">
        <v>2148</v>
      </c>
      <c r="M285" s="27" t="s">
        <v>2154</v>
      </c>
      <c r="AE285" s="27" t="s">
        <v>2155</v>
      </c>
      <c r="AF285" s="37" t="str">
        <f t="shared" si="10"/>
        <v>AMI                 SP_CANH_MIB</v>
      </c>
      <c r="AG285" s="27" t="s">
        <v>2150</v>
      </c>
      <c r="AH285">
        <v>3</v>
      </c>
      <c r="AI285">
        <v>216018</v>
      </c>
      <c r="AJ285" t="s">
        <v>1120</v>
      </c>
      <c r="AK285" t="s">
        <v>26</v>
      </c>
      <c r="AL285" t="s">
        <v>1105</v>
      </c>
      <c r="AM285" t="s">
        <v>1105</v>
      </c>
      <c r="AN285" t="s">
        <v>1106</v>
      </c>
      <c r="AO285" t="s">
        <v>1107</v>
      </c>
      <c r="AP285" t="s">
        <v>1121</v>
      </c>
      <c r="AQ285" t="s">
        <v>1109</v>
      </c>
      <c r="AR285" t="s">
        <v>243</v>
      </c>
      <c r="AS285" t="s">
        <v>26</v>
      </c>
      <c r="AT285" t="s">
        <v>26</v>
      </c>
      <c r="AU285" t="s">
        <v>26</v>
      </c>
      <c r="AV285" t="s">
        <v>398</v>
      </c>
      <c r="AW285" t="s">
        <v>399</v>
      </c>
      <c r="AX285" t="s">
        <v>400</v>
      </c>
      <c r="AY285">
        <v>1</v>
      </c>
      <c r="AZ285" t="s">
        <v>389</v>
      </c>
      <c r="BA285" t="s">
        <v>26</v>
      </c>
      <c r="BB285" t="s">
        <v>26</v>
      </c>
      <c r="BC285" t="s">
        <v>390</v>
      </c>
      <c r="BD285" t="s">
        <v>75</v>
      </c>
      <c r="BE285" t="s">
        <v>1122</v>
      </c>
      <c r="BF285" t="s">
        <v>401</v>
      </c>
      <c r="BG285">
        <v>668</v>
      </c>
      <c r="BH285" t="s">
        <v>50</v>
      </c>
      <c r="BI285">
        <v>0.35</v>
      </c>
      <c r="BJ285" t="s">
        <v>402</v>
      </c>
      <c r="BK285" t="s">
        <v>1096</v>
      </c>
      <c r="BL285" t="s">
        <v>1100</v>
      </c>
      <c r="BM285">
        <v>216018</v>
      </c>
    </row>
    <row r="286" spans="1:65">
      <c r="A286" s="47"/>
      <c r="B286" s="27">
        <v>216019</v>
      </c>
      <c r="C286" s="27" t="s">
        <v>2178</v>
      </c>
      <c r="E286" s="27" t="s">
        <v>2162</v>
      </c>
      <c r="F286" s="27" t="s">
        <v>2152</v>
      </c>
      <c r="G286" s="27" t="s">
        <v>388</v>
      </c>
      <c r="K286" s="27" t="s">
        <v>2153</v>
      </c>
      <c r="L286" s="27" t="s">
        <v>2148</v>
      </c>
      <c r="M286" s="27" t="s">
        <v>2154</v>
      </c>
      <c r="AE286" s="27" t="s">
        <v>2155</v>
      </c>
      <c r="AF286" s="37" t="str">
        <f t="shared" si="10"/>
        <v>AMI                 SP_CANL_MIB</v>
      </c>
      <c r="AG286" s="27" t="s">
        <v>2150</v>
      </c>
      <c r="AH286">
        <v>3</v>
      </c>
      <c r="AI286">
        <v>216019</v>
      </c>
      <c r="AJ286" t="s">
        <v>1123</v>
      </c>
      <c r="AK286" t="s">
        <v>26</v>
      </c>
      <c r="AL286" t="s">
        <v>1105</v>
      </c>
      <c r="AM286" t="s">
        <v>1105</v>
      </c>
      <c r="AN286" t="s">
        <v>1106</v>
      </c>
      <c r="AO286" t="s">
        <v>1107</v>
      </c>
      <c r="AP286" t="s">
        <v>1124</v>
      </c>
      <c r="AQ286" t="s">
        <v>1109</v>
      </c>
      <c r="AR286" t="s">
        <v>243</v>
      </c>
      <c r="AS286" t="s">
        <v>26</v>
      </c>
      <c r="AT286" t="s">
        <v>26</v>
      </c>
      <c r="AU286" t="s">
        <v>26</v>
      </c>
      <c r="AV286" t="s">
        <v>386</v>
      </c>
      <c r="AW286" t="s">
        <v>387</v>
      </c>
      <c r="AX286" t="s">
        <v>388</v>
      </c>
      <c r="AY286">
        <v>1</v>
      </c>
      <c r="AZ286" t="s">
        <v>389</v>
      </c>
      <c r="BA286" t="s">
        <v>26</v>
      </c>
      <c r="BB286" t="s">
        <v>26</v>
      </c>
      <c r="BC286" t="s">
        <v>390</v>
      </c>
      <c r="BD286" t="s">
        <v>75</v>
      </c>
      <c r="BE286" t="s">
        <v>1122</v>
      </c>
      <c r="BF286" t="s">
        <v>96</v>
      </c>
      <c r="BG286">
        <v>668</v>
      </c>
      <c r="BH286" t="s">
        <v>97</v>
      </c>
      <c r="BI286">
        <v>0.35</v>
      </c>
      <c r="BJ286" t="s">
        <v>392</v>
      </c>
      <c r="BK286" t="s">
        <v>1096</v>
      </c>
      <c r="BL286" t="s">
        <v>1100</v>
      </c>
      <c r="BM286">
        <v>216019</v>
      </c>
    </row>
    <row r="287" spans="1:65">
      <c r="A287" s="47"/>
      <c r="B287" s="27">
        <v>216024</v>
      </c>
      <c r="C287" s="27" t="s">
        <v>2178</v>
      </c>
      <c r="E287" s="27" t="s">
        <v>2148</v>
      </c>
      <c r="L287" s="27" t="s">
        <v>2149</v>
      </c>
      <c r="M287" s="27" t="s">
        <v>2149</v>
      </c>
      <c r="T287" s="27">
        <v>980018109</v>
      </c>
      <c r="AF287" s="37" t="str">
        <f t="shared" si="10"/>
        <v>MIB_G               AMI</v>
      </c>
      <c r="AG287" s="27" t="s">
        <v>2150</v>
      </c>
      <c r="AH287">
        <v>3</v>
      </c>
      <c r="AI287">
        <v>216024</v>
      </c>
      <c r="AJ287" t="s">
        <v>1125</v>
      </c>
      <c r="AK287" t="s">
        <v>26</v>
      </c>
      <c r="AL287" t="s">
        <v>32</v>
      </c>
      <c r="AM287" t="s">
        <v>33</v>
      </c>
      <c r="AN287" t="s">
        <v>1126</v>
      </c>
      <c r="AO287" t="s">
        <v>1127</v>
      </c>
      <c r="AP287">
        <v>4</v>
      </c>
      <c r="AQ287" t="s">
        <v>1128</v>
      </c>
      <c r="AR287" t="s">
        <v>37</v>
      </c>
      <c r="AS287" t="s">
        <v>26</v>
      </c>
      <c r="AT287" t="s">
        <v>26</v>
      </c>
      <c r="AU287" t="s">
        <v>1105</v>
      </c>
      <c r="AV287" t="s">
        <v>1105</v>
      </c>
      <c r="AW287" t="s">
        <v>1106</v>
      </c>
      <c r="AX287" t="s">
        <v>1107</v>
      </c>
      <c r="AY287">
        <v>1</v>
      </c>
      <c r="AZ287" t="s">
        <v>1109</v>
      </c>
      <c r="BA287" t="s">
        <v>37</v>
      </c>
      <c r="BB287" t="s">
        <v>26</v>
      </c>
      <c r="BC287" t="s">
        <v>1129</v>
      </c>
      <c r="BD287" t="s">
        <v>39</v>
      </c>
      <c r="BE287" t="s">
        <v>1130</v>
      </c>
      <c r="BF287" t="s">
        <v>41</v>
      </c>
      <c r="BG287">
        <v>1154</v>
      </c>
      <c r="BH287" t="s">
        <v>42</v>
      </c>
      <c r="BI287">
        <v>0.14000000000000001</v>
      </c>
      <c r="BJ287" t="s">
        <v>1131</v>
      </c>
      <c r="BK287" t="s">
        <v>1096</v>
      </c>
      <c r="BL287" t="s">
        <v>1100</v>
      </c>
      <c r="BM287">
        <v>216024</v>
      </c>
    </row>
    <row r="288" spans="1:65">
      <c r="A288" s="47"/>
      <c r="B288" s="27">
        <v>216025</v>
      </c>
      <c r="C288" s="27" t="s">
        <v>2178</v>
      </c>
      <c r="E288" s="27" t="s">
        <v>2148</v>
      </c>
      <c r="L288" s="27" t="s">
        <v>2149</v>
      </c>
      <c r="M288" s="27" t="s">
        <v>2149</v>
      </c>
      <c r="T288" s="27">
        <v>980018109</v>
      </c>
      <c r="AF288" s="37" t="str">
        <f t="shared" si="10"/>
        <v>MIB_G               AMI</v>
      </c>
      <c r="AG288" s="27" t="s">
        <v>2150</v>
      </c>
      <c r="AH288">
        <v>3</v>
      </c>
      <c r="AI288">
        <v>216025</v>
      </c>
      <c r="AJ288" t="s">
        <v>1132</v>
      </c>
      <c r="AK288" t="s">
        <v>26</v>
      </c>
      <c r="AL288" t="s">
        <v>32</v>
      </c>
      <c r="AM288" t="s">
        <v>33</v>
      </c>
      <c r="AN288" t="s">
        <v>1126</v>
      </c>
      <c r="AO288" t="s">
        <v>1127</v>
      </c>
      <c r="AP288">
        <v>3</v>
      </c>
      <c r="AQ288" t="s">
        <v>1128</v>
      </c>
      <c r="AR288" t="s">
        <v>37</v>
      </c>
      <c r="AS288" t="s">
        <v>26</v>
      </c>
      <c r="AT288" t="s">
        <v>26</v>
      </c>
      <c r="AU288" t="s">
        <v>1105</v>
      </c>
      <c r="AV288" t="s">
        <v>1105</v>
      </c>
      <c r="AW288" t="s">
        <v>1106</v>
      </c>
      <c r="AX288" t="s">
        <v>1107</v>
      </c>
      <c r="AY288">
        <v>2</v>
      </c>
      <c r="AZ288" t="s">
        <v>1109</v>
      </c>
      <c r="BA288" t="s">
        <v>37</v>
      </c>
      <c r="BB288" t="s">
        <v>26</v>
      </c>
      <c r="BC288" t="s">
        <v>1129</v>
      </c>
      <c r="BD288" t="s">
        <v>39</v>
      </c>
      <c r="BE288" t="s">
        <v>1130</v>
      </c>
      <c r="BF288" t="s">
        <v>45</v>
      </c>
      <c r="BG288">
        <v>1154</v>
      </c>
      <c r="BH288" t="s">
        <v>46</v>
      </c>
      <c r="BI288">
        <v>0.14000000000000001</v>
      </c>
      <c r="BJ288" t="s">
        <v>1133</v>
      </c>
      <c r="BK288" t="s">
        <v>1096</v>
      </c>
      <c r="BL288" t="s">
        <v>1100</v>
      </c>
      <c r="BM288">
        <v>216025</v>
      </c>
    </row>
    <row r="289" spans="1:66">
      <c r="A289" s="47"/>
      <c r="B289" s="27">
        <v>216026</v>
      </c>
      <c r="C289" s="27" t="s">
        <v>2178</v>
      </c>
      <c r="E289" s="27" t="s">
        <v>2148</v>
      </c>
      <c r="L289" s="27" t="s">
        <v>2149</v>
      </c>
      <c r="M289" s="27" t="s">
        <v>2149</v>
      </c>
      <c r="T289" s="27">
        <v>980018109</v>
      </c>
      <c r="AF289" s="37" t="str">
        <f t="shared" si="10"/>
        <v>MIB_G               AMI</v>
      </c>
      <c r="AG289" s="27" t="s">
        <v>2150</v>
      </c>
      <c r="AH289">
        <v>3</v>
      </c>
      <c r="AI289">
        <v>216026</v>
      </c>
      <c r="AJ289" t="s">
        <v>1134</v>
      </c>
      <c r="AK289" t="s">
        <v>26</v>
      </c>
      <c r="AL289" t="s">
        <v>32</v>
      </c>
      <c r="AM289" t="s">
        <v>33</v>
      </c>
      <c r="AN289" t="s">
        <v>1126</v>
      </c>
      <c r="AO289" t="s">
        <v>1127</v>
      </c>
      <c r="AP289">
        <v>2</v>
      </c>
      <c r="AQ289" t="s">
        <v>1128</v>
      </c>
      <c r="AR289" t="s">
        <v>37</v>
      </c>
      <c r="AS289" t="s">
        <v>26</v>
      </c>
      <c r="AT289" t="s">
        <v>26</v>
      </c>
      <c r="AU289" t="s">
        <v>1105</v>
      </c>
      <c r="AV289" t="s">
        <v>1105</v>
      </c>
      <c r="AW289" t="s">
        <v>1106</v>
      </c>
      <c r="AX289" t="s">
        <v>1107</v>
      </c>
      <c r="AY289">
        <v>3</v>
      </c>
      <c r="AZ289" t="s">
        <v>1109</v>
      </c>
      <c r="BA289" t="s">
        <v>37</v>
      </c>
      <c r="BB289" t="s">
        <v>26</v>
      </c>
      <c r="BC289" t="s">
        <v>1129</v>
      </c>
      <c r="BD289" t="s">
        <v>39</v>
      </c>
      <c r="BE289" t="s">
        <v>1130</v>
      </c>
      <c r="BF289" t="s">
        <v>49</v>
      </c>
      <c r="BG289">
        <v>1154</v>
      </c>
      <c r="BH289" t="s">
        <v>50</v>
      </c>
      <c r="BI289">
        <v>0.14000000000000001</v>
      </c>
      <c r="BJ289" t="s">
        <v>1135</v>
      </c>
      <c r="BK289" t="s">
        <v>1096</v>
      </c>
      <c r="BL289" t="s">
        <v>1100</v>
      </c>
      <c r="BM289">
        <v>216026</v>
      </c>
    </row>
    <row r="290" spans="1:66">
      <c r="A290" s="47"/>
      <c r="B290" s="27">
        <v>216027</v>
      </c>
      <c r="C290" s="27" t="s">
        <v>2178</v>
      </c>
      <c r="E290" s="27" t="s">
        <v>2148</v>
      </c>
      <c r="L290" s="27" t="s">
        <v>2149</v>
      </c>
      <c r="M290" s="27" t="s">
        <v>2149</v>
      </c>
      <c r="T290" s="27">
        <v>980018109</v>
      </c>
      <c r="AF290" s="37" t="str">
        <f t="shared" si="10"/>
        <v>MIB_G               AMI</v>
      </c>
      <c r="AG290" s="27" t="s">
        <v>2150</v>
      </c>
      <c r="AH290">
        <v>3</v>
      </c>
      <c r="AI290">
        <v>216027</v>
      </c>
      <c r="AJ290" t="s">
        <v>1136</v>
      </c>
      <c r="AK290" t="s">
        <v>26</v>
      </c>
      <c r="AL290" t="s">
        <v>32</v>
      </c>
      <c r="AM290" t="s">
        <v>33</v>
      </c>
      <c r="AN290" t="s">
        <v>1126</v>
      </c>
      <c r="AO290" t="s">
        <v>1127</v>
      </c>
      <c r="AP290">
        <v>1</v>
      </c>
      <c r="AQ290" t="s">
        <v>1128</v>
      </c>
      <c r="AR290" t="s">
        <v>37</v>
      </c>
      <c r="AS290" t="s">
        <v>26</v>
      </c>
      <c r="AT290" t="s">
        <v>26</v>
      </c>
      <c r="AU290" t="s">
        <v>1105</v>
      </c>
      <c r="AV290" t="s">
        <v>1105</v>
      </c>
      <c r="AW290" t="s">
        <v>1106</v>
      </c>
      <c r="AX290" t="s">
        <v>1107</v>
      </c>
      <c r="AY290">
        <v>4</v>
      </c>
      <c r="AZ290" t="s">
        <v>1109</v>
      </c>
      <c r="BA290" t="s">
        <v>37</v>
      </c>
      <c r="BB290" t="s">
        <v>26</v>
      </c>
      <c r="BC290" t="s">
        <v>1129</v>
      </c>
      <c r="BD290" t="s">
        <v>39</v>
      </c>
      <c r="BE290" t="s">
        <v>1130</v>
      </c>
      <c r="BF290" t="s">
        <v>53</v>
      </c>
      <c r="BG290">
        <v>1154</v>
      </c>
      <c r="BH290" t="s">
        <v>54</v>
      </c>
      <c r="BI290">
        <v>0.14000000000000001</v>
      </c>
      <c r="BJ290" t="s">
        <v>1137</v>
      </c>
      <c r="BK290" t="s">
        <v>1096</v>
      </c>
      <c r="BL290" t="s">
        <v>1100</v>
      </c>
      <c r="BM290">
        <v>216027</v>
      </c>
    </row>
    <row r="291" spans="1:66">
      <c r="A291" s="47"/>
      <c r="B291" s="27">
        <v>216028</v>
      </c>
      <c r="C291" s="27" t="s">
        <v>2178</v>
      </c>
      <c r="E291" s="27" t="s">
        <v>2148</v>
      </c>
      <c r="L291" s="27" t="s">
        <v>2149</v>
      </c>
      <c r="M291" s="27" t="s">
        <v>2149</v>
      </c>
      <c r="T291" s="27">
        <v>980018109</v>
      </c>
      <c r="AF291" s="37" t="str">
        <f t="shared" si="10"/>
        <v>MIB_G               AMI</v>
      </c>
      <c r="AG291" s="27" t="s">
        <v>2150</v>
      </c>
      <c r="AH291">
        <v>3</v>
      </c>
      <c r="AI291">
        <v>216028</v>
      </c>
      <c r="AJ291" t="s">
        <v>1138</v>
      </c>
      <c r="AK291" t="s">
        <v>26</v>
      </c>
      <c r="AL291" t="s">
        <v>32</v>
      </c>
      <c r="AM291" t="s">
        <v>33</v>
      </c>
      <c r="AN291" t="s">
        <v>1126</v>
      </c>
      <c r="AO291" t="s">
        <v>1127</v>
      </c>
      <c r="AP291" t="s">
        <v>57</v>
      </c>
      <c r="AQ291" t="s">
        <v>1128</v>
      </c>
      <c r="AR291" t="s">
        <v>58</v>
      </c>
      <c r="AS291" t="s">
        <v>26</v>
      </c>
      <c r="AT291" t="s">
        <v>26</v>
      </c>
      <c r="AU291" t="s">
        <v>1105</v>
      </c>
      <c r="AV291" t="s">
        <v>1105</v>
      </c>
      <c r="AW291" t="s">
        <v>1106</v>
      </c>
      <c r="AX291" t="s">
        <v>1107</v>
      </c>
      <c r="AY291" t="s">
        <v>57</v>
      </c>
      <c r="AZ291" t="s">
        <v>1109</v>
      </c>
      <c r="BA291" t="s">
        <v>1139</v>
      </c>
      <c r="BB291" t="s">
        <v>26</v>
      </c>
      <c r="BC291" t="s">
        <v>1129</v>
      </c>
      <c r="BD291" t="s">
        <v>59</v>
      </c>
      <c r="BE291" t="s">
        <v>1130</v>
      </c>
      <c r="BF291" t="s">
        <v>1140</v>
      </c>
      <c r="BG291">
        <v>1154</v>
      </c>
      <c r="BH291" t="s">
        <v>1073</v>
      </c>
      <c r="BI291">
        <v>4.8499999999999996</v>
      </c>
      <c r="BJ291" t="s">
        <v>1141</v>
      </c>
      <c r="BK291" t="s">
        <v>1096</v>
      </c>
      <c r="BL291" t="s">
        <v>1100</v>
      </c>
      <c r="BM291">
        <v>216028</v>
      </c>
    </row>
    <row r="292" spans="1:66">
      <c r="A292" s="47"/>
      <c r="B292" s="27">
        <v>216029</v>
      </c>
      <c r="C292" s="27" t="s">
        <v>2178</v>
      </c>
      <c r="E292" s="27" t="s">
        <v>2162</v>
      </c>
      <c r="F292" s="27" t="s">
        <v>2152</v>
      </c>
      <c r="G292" s="27" t="s">
        <v>400</v>
      </c>
      <c r="K292" s="27" t="s">
        <v>2153</v>
      </c>
      <c r="L292" s="27" t="s">
        <v>2154</v>
      </c>
      <c r="M292" s="27" t="s">
        <v>2148</v>
      </c>
      <c r="AE292" s="27" t="s">
        <v>2155</v>
      </c>
      <c r="AF292" s="37" t="str">
        <f t="shared" si="10"/>
        <v>SP_CANH_MIB         MESS_MIB</v>
      </c>
      <c r="AG292" s="27" t="s">
        <v>2150</v>
      </c>
      <c r="AH292">
        <v>3</v>
      </c>
      <c r="AI292">
        <v>216029</v>
      </c>
      <c r="AJ292" t="s">
        <v>1142</v>
      </c>
      <c r="AK292" t="s">
        <v>26</v>
      </c>
      <c r="AL292" t="s">
        <v>26</v>
      </c>
      <c r="AM292" t="s">
        <v>398</v>
      </c>
      <c r="AN292" t="s">
        <v>399</v>
      </c>
      <c r="AO292" t="s">
        <v>400</v>
      </c>
      <c r="AP292">
        <v>1</v>
      </c>
      <c r="AQ292" t="s">
        <v>389</v>
      </c>
      <c r="AR292" t="s">
        <v>26</v>
      </c>
      <c r="AS292" t="s">
        <v>26</v>
      </c>
      <c r="AT292" t="s">
        <v>26</v>
      </c>
      <c r="AU292" t="s">
        <v>1143</v>
      </c>
      <c r="AV292" t="s">
        <v>1144</v>
      </c>
      <c r="AW292" t="s">
        <v>1145</v>
      </c>
      <c r="AX292" t="s">
        <v>1146</v>
      </c>
      <c r="AY292">
        <v>1</v>
      </c>
      <c r="AZ292" t="s">
        <v>1147</v>
      </c>
      <c r="BA292" t="s">
        <v>243</v>
      </c>
      <c r="BB292" t="s">
        <v>26</v>
      </c>
      <c r="BC292" t="s">
        <v>390</v>
      </c>
      <c r="BD292" t="s">
        <v>75</v>
      </c>
      <c r="BE292" t="s">
        <v>1148</v>
      </c>
      <c r="BF292" t="s">
        <v>401</v>
      </c>
      <c r="BG292">
        <v>1456</v>
      </c>
      <c r="BH292" t="s">
        <v>50</v>
      </c>
      <c r="BI292">
        <v>0.35</v>
      </c>
      <c r="BJ292" t="s">
        <v>402</v>
      </c>
      <c r="BK292" t="s">
        <v>1096</v>
      </c>
      <c r="BL292" t="s">
        <v>26</v>
      </c>
      <c r="BM292">
        <v>216029</v>
      </c>
    </row>
    <row r="293" spans="1:66">
      <c r="A293" s="47"/>
      <c r="B293" s="27">
        <v>216030</v>
      </c>
      <c r="C293" s="27" t="s">
        <v>2178</v>
      </c>
      <c r="E293" s="27" t="s">
        <v>2162</v>
      </c>
      <c r="F293" s="27" t="s">
        <v>2152</v>
      </c>
      <c r="G293" s="27" t="s">
        <v>388</v>
      </c>
      <c r="K293" s="27" t="s">
        <v>2153</v>
      </c>
      <c r="L293" s="27" t="s">
        <v>2154</v>
      </c>
      <c r="M293" s="27" t="s">
        <v>2148</v>
      </c>
      <c r="AE293" s="27" t="s">
        <v>2155</v>
      </c>
      <c r="AF293" s="37" t="str">
        <f t="shared" si="10"/>
        <v>SP_CANL_MIB         MESS_MIB</v>
      </c>
      <c r="AG293" s="27" t="s">
        <v>2150</v>
      </c>
      <c r="AH293">
        <v>3</v>
      </c>
      <c r="AI293">
        <v>216030</v>
      </c>
      <c r="AJ293" t="s">
        <v>1149</v>
      </c>
      <c r="AK293" t="s">
        <v>26</v>
      </c>
      <c r="AL293" t="s">
        <v>26</v>
      </c>
      <c r="AM293" t="s">
        <v>386</v>
      </c>
      <c r="AN293" t="s">
        <v>387</v>
      </c>
      <c r="AO293" t="s">
        <v>388</v>
      </c>
      <c r="AP293">
        <v>1</v>
      </c>
      <c r="AQ293" t="s">
        <v>389</v>
      </c>
      <c r="AR293" t="s">
        <v>26</v>
      </c>
      <c r="AS293" t="s">
        <v>26</v>
      </c>
      <c r="AT293" t="s">
        <v>26</v>
      </c>
      <c r="AU293" t="s">
        <v>1143</v>
      </c>
      <c r="AV293" t="s">
        <v>1144</v>
      </c>
      <c r="AW293" t="s">
        <v>1145</v>
      </c>
      <c r="AX293" t="s">
        <v>1146</v>
      </c>
      <c r="AY293">
        <v>2</v>
      </c>
      <c r="AZ293" t="s">
        <v>1147</v>
      </c>
      <c r="BA293" t="s">
        <v>243</v>
      </c>
      <c r="BB293" t="s">
        <v>26</v>
      </c>
      <c r="BC293" t="s">
        <v>390</v>
      </c>
      <c r="BD293" t="s">
        <v>75</v>
      </c>
      <c r="BE293" t="s">
        <v>1148</v>
      </c>
      <c r="BF293" t="s">
        <v>96</v>
      </c>
      <c r="BG293">
        <v>1456</v>
      </c>
      <c r="BH293" t="s">
        <v>97</v>
      </c>
      <c r="BI293">
        <v>0.35</v>
      </c>
      <c r="BJ293" t="s">
        <v>392</v>
      </c>
      <c r="BK293" t="s">
        <v>1096</v>
      </c>
      <c r="BL293" t="s">
        <v>26</v>
      </c>
      <c r="BM293">
        <v>216030</v>
      </c>
    </row>
    <row r="294" spans="1:66">
      <c r="A294" s="47"/>
      <c r="C294" s="27" t="s">
        <v>2179</v>
      </c>
      <c r="AF294" s="37" t="str">
        <f t="shared" si="10"/>
        <v xml:space="preserve">                    </v>
      </c>
      <c r="AH294">
        <v>1</v>
      </c>
      <c r="AI294" t="s">
        <v>1150</v>
      </c>
    </row>
    <row r="295" spans="1:66">
      <c r="A295" s="47"/>
      <c r="C295" s="27" t="s">
        <v>2179</v>
      </c>
      <c r="AF295" s="37"/>
      <c r="AH295">
        <v>2</v>
      </c>
      <c r="AI295" t="s">
        <v>1</v>
      </c>
      <c r="AJ295" t="s">
        <v>1151</v>
      </c>
      <c r="AK295" t="s">
        <v>1152</v>
      </c>
      <c r="AL295" t="s">
        <v>1153</v>
      </c>
      <c r="AM295" t="s">
        <v>4</v>
      </c>
      <c r="AN295" t="s">
        <v>1154</v>
      </c>
      <c r="AO295" t="s">
        <v>5</v>
      </c>
    </row>
    <row r="296" spans="1:66">
      <c r="A296" s="47">
        <v>506</v>
      </c>
      <c r="C296" s="27" t="s">
        <v>2179</v>
      </c>
      <c r="AF296" s="37"/>
      <c r="AH296">
        <v>2</v>
      </c>
      <c r="AI296" t="s">
        <v>509</v>
      </c>
      <c r="AJ296" t="s">
        <v>1155</v>
      </c>
      <c r="AK296" t="s">
        <v>1156</v>
      </c>
      <c r="AL296" s="146" t="s">
        <v>2336</v>
      </c>
      <c r="AM296" t="s">
        <v>4</v>
      </c>
      <c r="AN296" t="s">
        <v>1157</v>
      </c>
      <c r="AO296" t="s">
        <v>5</v>
      </c>
    </row>
    <row r="297" spans="1:66">
      <c r="A297" s="47">
        <v>506</v>
      </c>
      <c r="C297" s="27" t="s">
        <v>2179</v>
      </c>
      <c r="AF297" s="37"/>
      <c r="AH297">
        <v>2</v>
      </c>
      <c r="AI297" t="s">
        <v>512</v>
      </c>
      <c r="AJ297" t="s">
        <v>1158</v>
      </c>
      <c r="AK297" t="s">
        <v>1159</v>
      </c>
      <c r="AL297" s="146" t="s">
        <v>2336</v>
      </c>
      <c r="AM297" t="s">
        <v>4</v>
      </c>
      <c r="AN297" t="s">
        <v>1157</v>
      </c>
      <c r="AO297" t="s">
        <v>5</v>
      </c>
    </row>
    <row r="298" spans="1:66">
      <c r="A298" s="47"/>
      <c r="C298" s="27" t="s">
        <v>2179</v>
      </c>
      <c r="AF298" s="37" t="str">
        <f t="shared" ref="AF298:AF319" si="11" xml:space="preserve"> AO298 &amp; REPT(" ",20-LEN(AO298)) &amp; AX298</f>
        <v>Kurzname            Kurzname</v>
      </c>
      <c r="AH298">
        <v>0</v>
      </c>
      <c r="AI298" t="s">
        <v>6</v>
      </c>
      <c r="AJ298" t="s">
        <v>7</v>
      </c>
      <c r="AK298" t="s">
        <v>8</v>
      </c>
      <c r="AL298" t="s">
        <v>9</v>
      </c>
      <c r="AM298" t="s">
        <v>9</v>
      </c>
      <c r="AN298" t="s">
        <v>10</v>
      </c>
      <c r="AO298" t="s">
        <v>11</v>
      </c>
      <c r="AP298" t="s">
        <v>12</v>
      </c>
      <c r="AQ298" t="s">
        <v>13</v>
      </c>
      <c r="AR298" t="s">
        <v>14</v>
      </c>
      <c r="AS298" t="s">
        <v>15</v>
      </c>
      <c r="AT298" t="s">
        <v>8</v>
      </c>
      <c r="AU298" t="s">
        <v>9</v>
      </c>
      <c r="AV298" t="s">
        <v>9</v>
      </c>
      <c r="AW298" t="s">
        <v>16</v>
      </c>
      <c r="AX298" t="s">
        <v>11</v>
      </c>
      <c r="AY298" t="s">
        <v>12</v>
      </c>
      <c r="AZ298" t="s">
        <v>13</v>
      </c>
      <c r="BA298" t="s">
        <v>14</v>
      </c>
      <c r="BB298" t="s">
        <v>15</v>
      </c>
      <c r="BC298" t="s">
        <v>17</v>
      </c>
      <c r="BD298" t="s">
        <v>18</v>
      </c>
      <c r="BE298" t="s">
        <v>19</v>
      </c>
      <c r="BF298" t="s">
        <v>20</v>
      </c>
      <c r="BG298" t="s">
        <v>21</v>
      </c>
      <c r="BH298" t="s">
        <v>22</v>
      </c>
      <c r="BI298" t="s">
        <v>23</v>
      </c>
      <c r="BJ298" t="s">
        <v>24</v>
      </c>
      <c r="BK298" t="s">
        <v>1</v>
      </c>
      <c r="BL298" t="s">
        <v>509</v>
      </c>
      <c r="BM298" t="s">
        <v>512</v>
      </c>
      <c r="BN298" t="s">
        <v>6</v>
      </c>
    </row>
    <row r="299" spans="1:66">
      <c r="A299" s="47">
        <v>506</v>
      </c>
      <c r="B299" s="27">
        <v>219001</v>
      </c>
      <c r="C299" s="27" t="s">
        <v>2179</v>
      </c>
      <c r="E299" s="27" t="s">
        <v>2159</v>
      </c>
      <c r="L299" s="27" t="s">
        <v>2149</v>
      </c>
      <c r="M299" s="27" t="s">
        <v>2149</v>
      </c>
      <c r="N299" s="27" t="s">
        <v>2160</v>
      </c>
      <c r="T299" s="27">
        <v>980018111</v>
      </c>
      <c r="AF299" s="37" t="str">
        <f t="shared" si="11"/>
        <v>MIB_F               ANTV04P</v>
      </c>
      <c r="AG299" s="27" t="s">
        <v>2161</v>
      </c>
      <c r="AH299">
        <v>3</v>
      </c>
      <c r="AI299">
        <v>219001</v>
      </c>
      <c r="AJ299" t="s">
        <v>1160</v>
      </c>
      <c r="AK299" t="s">
        <v>26</v>
      </c>
      <c r="AL299" t="s">
        <v>32</v>
      </c>
      <c r="AM299" t="s">
        <v>33</v>
      </c>
      <c r="AN299" t="s">
        <v>1161</v>
      </c>
      <c r="AO299" t="s">
        <v>1162</v>
      </c>
      <c r="AP299">
        <v>3</v>
      </c>
      <c r="AQ299" t="s">
        <v>1128</v>
      </c>
      <c r="AR299" t="s">
        <v>1163</v>
      </c>
      <c r="AS299" t="s">
        <v>26</v>
      </c>
      <c r="AT299" t="s">
        <v>26</v>
      </c>
      <c r="AU299" t="s">
        <v>1164</v>
      </c>
      <c r="AV299" t="s">
        <v>1164</v>
      </c>
      <c r="AW299" t="s">
        <v>1165</v>
      </c>
      <c r="AX299" t="s">
        <v>1166</v>
      </c>
      <c r="AY299">
        <v>1</v>
      </c>
      <c r="AZ299" t="s">
        <v>1167</v>
      </c>
      <c r="BA299" t="s">
        <v>409</v>
      </c>
      <c r="BB299" t="s">
        <v>26</v>
      </c>
      <c r="BC299" t="s">
        <v>413</v>
      </c>
      <c r="BD299" t="s">
        <v>414</v>
      </c>
      <c r="BE299" t="s">
        <v>1168</v>
      </c>
      <c r="BF299" t="s">
        <v>416</v>
      </c>
      <c r="BG299" s="146">
        <v>5172</v>
      </c>
      <c r="BH299" t="s">
        <v>417</v>
      </c>
      <c r="BI299">
        <v>0.37</v>
      </c>
      <c r="BJ299" t="s">
        <v>1169</v>
      </c>
      <c r="BK299" t="s">
        <v>1151</v>
      </c>
      <c r="BL299" t="s">
        <v>26</v>
      </c>
      <c r="BM299" t="s">
        <v>26</v>
      </c>
      <c r="BN299">
        <v>219001</v>
      </c>
    </row>
    <row r="300" spans="1:66">
      <c r="A300" s="47">
        <v>506</v>
      </c>
      <c r="B300" s="27">
        <v>219002</v>
      </c>
      <c r="C300" s="27" t="s">
        <v>2179</v>
      </c>
      <c r="E300" s="27" t="s">
        <v>2159</v>
      </c>
      <c r="L300" s="27" t="s">
        <v>2149</v>
      </c>
      <c r="M300" s="27" t="s">
        <v>2149</v>
      </c>
      <c r="N300" s="27" t="s">
        <v>2160</v>
      </c>
      <c r="T300" s="27">
        <v>980018111</v>
      </c>
      <c r="AF300" s="37" t="str">
        <f t="shared" si="11"/>
        <v>MIB_F               ANTV04P</v>
      </c>
      <c r="AG300" s="27" t="s">
        <v>2161</v>
      </c>
      <c r="AH300">
        <v>3</v>
      </c>
      <c r="AI300">
        <v>219002</v>
      </c>
      <c r="AJ300" t="s">
        <v>1170</v>
      </c>
      <c r="AK300" t="s">
        <v>26</v>
      </c>
      <c r="AL300" t="s">
        <v>32</v>
      </c>
      <c r="AM300" t="s">
        <v>33</v>
      </c>
      <c r="AN300" t="s">
        <v>1161</v>
      </c>
      <c r="AO300" t="s">
        <v>1162</v>
      </c>
      <c r="AP300" t="s">
        <v>1171</v>
      </c>
      <c r="AQ300" t="s">
        <v>1128</v>
      </c>
      <c r="AR300" t="s">
        <v>1172</v>
      </c>
      <c r="AS300" t="s">
        <v>26</v>
      </c>
      <c r="AT300" t="s">
        <v>26</v>
      </c>
      <c r="AU300" t="s">
        <v>1164</v>
      </c>
      <c r="AV300" t="s">
        <v>1164</v>
      </c>
      <c r="AW300" t="s">
        <v>1165</v>
      </c>
      <c r="AX300" t="s">
        <v>1166</v>
      </c>
      <c r="AY300">
        <v>2</v>
      </c>
      <c r="AZ300" t="s">
        <v>1167</v>
      </c>
      <c r="BA300" t="s">
        <v>59</v>
      </c>
      <c r="BB300" t="s">
        <v>26</v>
      </c>
      <c r="BC300" t="s">
        <v>413</v>
      </c>
      <c r="BD300" t="s">
        <v>59</v>
      </c>
      <c r="BE300" t="s">
        <v>1168</v>
      </c>
      <c r="BF300" t="s">
        <v>420</v>
      </c>
      <c r="BG300" s="146">
        <v>5172</v>
      </c>
      <c r="BH300" t="s">
        <v>61</v>
      </c>
      <c r="BI300">
        <v>0.5</v>
      </c>
      <c r="BJ300" t="s">
        <v>1173</v>
      </c>
      <c r="BK300" t="s">
        <v>1151</v>
      </c>
      <c r="BL300" t="s">
        <v>26</v>
      </c>
      <c r="BM300" t="s">
        <v>26</v>
      </c>
      <c r="BN300">
        <v>219002</v>
      </c>
    </row>
    <row r="301" spans="1:66">
      <c r="A301" s="47">
        <v>506</v>
      </c>
      <c r="B301" s="27">
        <v>219005</v>
      </c>
      <c r="C301" s="27" t="s">
        <v>2179</v>
      </c>
      <c r="E301" s="27" t="s">
        <v>2159</v>
      </c>
      <c r="L301" s="27" t="s">
        <v>2149</v>
      </c>
      <c r="M301" s="27" t="s">
        <v>2149</v>
      </c>
      <c r="N301" s="27" t="s">
        <v>2160</v>
      </c>
      <c r="T301" s="27">
        <v>980018112</v>
      </c>
      <c r="AF301" s="37" t="str">
        <f t="shared" si="11"/>
        <v>ANTV111P            MIB_F</v>
      </c>
      <c r="AG301" s="27" t="s">
        <v>2161</v>
      </c>
      <c r="AH301">
        <v>3</v>
      </c>
      <c r="AI301">
        <v>219005</v>
      </c>
      <c r="AJ301" t="s">
        <v>1174</v>
      </c>
      <c r="AK301" t="s">
        <v>26</v>
      </c>
      <c r="AL301" t="s">
        <v>1175</v>
      </c>
      <c r="AM301" t="s">
        <v>1176</v>
      </c>
      <c r="AN301" t="s">
        <v>1177</v>
      </c>
      <c r="AO301" t="s">
        <v>1178</v>
      </c>
      <c r="AP301">
        <v>3</v>
      </c>
      <c r="AQ301" t="s">
        <v>1179</v>
      </c>
      <c r="AR301" t="s">
        <v>409</v>
      </c>
      <c r="AS301" t="s">
        <v>26</v>
      </c>
      <c r="AT301" t="s">
        <v>26</v>
      </c>
      <c r="AU301" t="s">
        <v>32</v>
      </c>
      <c r="AV301" t="s">
        <v>33</v>
      </c>
      <c r="AW301" t="s">
        <v>1161</v>
      </c>
      <c r="AX301" t="s">
        <v>1162</v>
      </c>
      <c r="AY301">
        <v>1</v>
      </c>
      <c r="AZ301" t="s">
        <v>1128</v>
      </c>
      <c r="BA301" t="s">
        <v>1163</v>
      </c>
      <c r="BB301" t="s">
        <v>26</v>
      </c>
      <c r="BC301" t="s">
        <v>413</v>
      </c>
      <c r="BD301" t="s">
        <v>414</v>
      </c>
      <c r="BE301" t="s">
        <v>1180</v>
      </c>
      <c r="BF301" t="s">
        <v>416</v>
      </c>
      <c r="BG301" s="146">
        <v>4185</v>
      </c>
      <c r="BH301" t="s">
        <v>417</v>
      </c>
      <c r="BI301">
        <v>0.37</v>
      </c>
      <c r="BJ301" t="s">
        <v>1181</v>
      </c>
      <c r="BK301" t="s">
        <v>26</v>
      </c>
      <c r="BL301" t="s">
        <v>1155</v>
      </c>
      <c r="BM301" t="s">
        <v>26</v>
      </c>
      <c r="BN301">
        <v>219005</v>
      </c>
    </row>
    <row r="302" spans="1:66">
      <c r="A302" s="47">
        <v>506</v>
      </c>
      <c r="B302" s="27">
        <v>219006</v>
      </c>
      <c r="C302" s="27" t="s">
        <v>2179</v>
      </c>
      <c r="E302" s="27" t="s">
        <v>2159</v>
      </c>
      <c r="L302" s="27" t="s">
        <v>2149</v>
      </c>
      <c r="M302" s="27" t="s">
        <v>2149</v>
      </c>
      <c r="N302" s="27" t="s">
        <v>2160</v>
      </c>
      <c r="T302" s="27">
        <v>980018112</v>
      </c>
      <c r="AF302" s="37" t="str">
        <f t="shared" si="11"/>
        <v>MIB_F               ANTV111P</v>
      </c>
      <c r="AG302" s="27" t="s">
        <v>2161</v>
      </c>
      <c r="AH302">
        <v>3</v>
      </c>
      <c r="AI302">
        <v>219006</v>
      </c>
      <c r="AJ302" t="s">
        <v>1182</v>
      </c>
      <c r="AK302" t="s">
        <v>26</v>
      </c>
      <c r="AL302" t="s">
        <v>32</v>
      </c>
      <c r="AM302" t="s">
        <v>33</v>
      </c>
      <c r="AN302" t="s">
        <v>1161</v>
      </c>
      <c r="AO302" t="s">
        <v>1162</v>
      </c>
      <c r="AP302" t="s">
        <v>1183</v>
      </c>
      <c r="AQ302" t="s">
        <v>1128</v>
      </c>
      <c r="AR302" t="s">
        <v>1172</v>
      </c>
      <c r="AS302" t="s">
        <v>26</v>
      </c>
      <c r="AT302" t="s">
        <v>26</v>
      </c>
      <c r="AU302" t="s">
        <v>1175</v>
      </c>
      <c r="AV302" t="s">
        <v>1176</v>
      </c>
      <c r="AW302" t="s">
        <v>1177</v>
      </c>
      <c r="AX302" t="s">
        <v>1178</v>
      </c>
      <c r="AY302">
        <v>4</v>
      </c>
      <c r="AZ302" t="s">
        <v>1179</v>
      </c>
      <c r="BA302" t="s">
        <v>59</v>
      </c>
      <c r="BB302" t="s">
        <v>26</v>
      </c>
      <c r="BC302" t="s">
        <v>413</v>
      </c>
      <c r="BD302" t="s">
        <v>59</v>
      </c>
      <c r="BE302" t="s">
        <v>1180</v>
      </c>
      <c r="BF302" t="s">
        <v>420</v>
      </c>
      <c r="BG302" s="146">
        <v>4185</v>
      </c>
      <c r="BH302" t="s">
        <v>61</v>
      </c>
      <c r="BI302">
        <v>0.5</v>
      </c>
      <c r="BJ302" t="s">
        <v>1184</v>
      </c>
      <c r="BK302" t="s">
        <v>26</v>
      </c>
      <c r="BL302" t="s">
        <v>1155</v>
      </c>
      <c r="BM302" t="s">
        <v>26</v>
      </c>
      <c r="BN302">
        <v>219006</v>
      </c>
    </row>
    <row r="303" spans="1:66">
      <c r="A303" s="47">
        <v>506</v>
      </c>
      <c r="B303" s="27">
        <v>219007</v>
      </c>
      <c r="C303" s="27" t="s">
        <v>2179</v>
      </c>
      <c r="E303" s="27" t="s">
        <v>2159</v>
      </c>
      <c r="L303" s="27" t="s">
        <v>2149</v>
      </c>
      <c r="M303" s="27" t="s">
        <v>2149</v>
      </c>
      <c r="N303" s="27" t="s">
        <v>2160</v>
      </c>
      <c r="T303" s="27">
        <v>980018113</v>
      </c>
      <c r="AF303" s="37" t="str">
        <f t="shared" si="11"/>
        <v>ANTV110P            MIB_F</v>
      </c>
      <c r="AG303" s="27" t="s">
        <v>2161</v>
      </c>
      <c r="AH303">
        <v>3</v>
      </c>
      <c r="AI303">
        <v>219007</v>
      </c>
      <c r="AJ303" t="s">
        <v>1185</v>
      </c>
      <c r="AK303" t="s">
        <v>26</v>
      </c>
      <c r="AL303" t="s">
        <v>1175</v>
      </c>
      <c r="AM303" t="s">
        <v>1186</v>
      </c>
      <c r="AN303" t="s">
        <v>1187</v>
      </c>
      <c r="AO303" t="s">
        <v>1188</v>
      </c>
      <c r="AP303">
        <v>3</v>
      </c>
      <c r="AQ303" t="s">
        <v>1189</v>
      </c>
      <c r="AR303" t="s">
        <v>409</v>
      </c>
      <c r="AS303" t="s">
        <v>26</v>
      </c>
      <c r="AT303" t="s">
        <v>26</v>
      </c>
      <c r="AU303" t="s">
        <v>32</v>
      </c>
      <c r="AV303" t="s">
        <v>33</v>
      </c>
      <c r="AW303" t="s">
        <v>1161</v>
      </c>
      <c r="AX303" t="s">
        <v>1162</v>
      </c>
      <c r="AY303">
        <v>1</v>
      </c>
      <c r="AZ303" t="s">
        <v>1128</v>
      </c>
      <c r="BA303" t="s">
        <v>1163</v>
      </c>
      <c r="BB303" t="s">
        <v>26</v>
      </c>
      <c r="BC303" t="s">
        <v>413</v>
      </c>
      <c r="BD303" t="s">
        <v>414</v>
      </c>
      <c r="BE303" t="s">
        <v>1190</v>
      </c>
      <c r="BF303" t="s">
        <v>416</v>
      </c>
      <c r="BG303" s="146">
        <v>4183</v>
      </c>
      <c r="BH303" t="s">
        <v>417</v>
      </c>
      <c r="BI303">
        <v>0.37</v>
      </c>
      <c r="BJ303" t="s">
        <v>1181</v>
      </c>
      <c r="BK303" t="s">
        <v>26</v>
      </c>
      <c r="BL303" t="s">
        <v>26</v>
      </c>
      <c r="BM303" t="s">
        <v>1158</v>
      </c>
      <c r="BN303">
        <v>219007</v>
      </c>
    </row>
    <row r="304" spans="1:66">
      <c r="A304" s="47">
        <v>506</v>
      </c>
      <c r="B304" s="27">
        <v>219008</v>
      </c>
      <c r="C304" s="27" t="s">
        <v>2179</v>
      </c>
      <c r="E304" s="27" t="s">
        <v>2159</v>
      </c>
      <c r="L304" s="27" t="s">
        <v>2149</v>
      </c>
      <c r="M304" s="27" t="s">
        <v>2149</v>
      </c>
      <c r="N304" s="27" t="s">
        <v>2160</v>
      </c>
      <c r="T304" s="27">
        <v>980018113</v>
      </c>
      <c r="AF304" s="37" t="str">
        <f t="shared" si="11"/>
        <v>ANTV110P            MIB_F</v>
      </c>
      <c r="AG304" s="27" t="s">
        <v>2161</v>
      </c>
      <c r="AH304">
        <v>3</v>
      </c>
      <c r="AI304">
        <v>219008</v>
      </c>
      <c r="AJ304" t="s">
        <v>1191</v>
      </c>
      <c r="AK304" t="s">
        <v>26</v>
      </c>
      <c r="AL304" t="s">
        <v>1175</v>
      </c>
      <c r="AM304" t="s">
        <v>1186</v>
      </c>
      <c r="AN304" t="s">
        <v>1187</v>
      </c>
      <c r="AO304" t="s">
        <v>1188</v>
      </c>
      <c r="AP304">
        <v>4</v>
      </c>
      <c r="AQ304" t="s">
        <v>1189</v>
      </c>
      <c r="AR304" t="s">
        <v>59</v>
      </c>
      <c r="AS304" t="s">
        <v>26</v>
      </c>
      <c r="AT304" t="s">
        <v>26</v>
      </c>
      <c r="AU304" t="s">
        <v>32</v>
      </c>
      <c r="AV304" t="s">
        <v>33</v>
      </c>
      <c r="AW304" t="s">
        <v>1161</v>
      </c>
      <c r="AX304" t="s">
        <v>1162</v>
      </c>
      <c r="AY304" t="s">
        <v>1183</v>
      </c>
      <c r="AZ304" t="s">
        <v>1128</v>
      </c>
      <c r="BA304" t="s">
        <v>1172</v>
      </c>
      <c r="BB304" t="s">
        <v>26</v>
      </c>
      <c r="BC304" t="s">
        <v>413</v>
      </c>
      <c r="BD304" t="s">
        <v>59</v>
      </c>
      <c r="BE304" t="s">
        <v>1190</v>
      </c>
      <c r="BF304" t="s">
        <v>420</v>
      </c>
      <c r="BG304" s="146">
        <v>4183</v>
      </c>
      <c r="BH304" t="s">
        <v>61</v>
      </c>
      <c r="BI304">
        <v>0.5</v>
      </c>
      <c r="BJ304" t="s">
        <v>1184</v>
      </c>
      <c r="BK304" t="s">
        <v>26</v>
      </c>
      <c r="BL304" t="s">
        <v>26</v>
      </c>
      <c r="BM304" t="s">
        <v>1158</v>
      </c>
      <c r="BN304">
        <v>219008</v>
      </c>
    </row>
    <row r="305" spans="1:66">
      <c r="A305" s="47">
        <v>506</v>
      </c>
      <c r="B305" s="27">
        <v>219009</v>
      </c>
      <c r="C305" s="27" t="s">
        <v>2179</v>
      </c>
      <c r="E305" s="27" t="s">
        <v>2159</v>
      </c>
      <c r="L305" s="27" t="s">
        <v>2149</v>
      </c>
      <c r="M305" s="27" t="s">
        <v>2149</v>
      </c>
      <c r="N305" s="27" t="s">
        <v>2160</v>
      </c>
      <c r="T305" s="27">
        <v>980018112</v>
      </c>
      <c r="AF305" s="37" t="str">
        <f t="shared" si="11"/>
        <v>MIB_F               ANTV02P</v>
      </c>
      <c r="AG305" s="27" t="s">
        <v>2161</v>
      </c>
      <c r="AH305">
        <v>3</v>
      </c>
      <c r="AI305">
        <v>219009</v>
      </c>
      <c r="AJ305" t="s">
        <v>1192</v>
      </c>
      <c r="AK305" t="s">
        <v>26</v>
      </c>
      <c r="AL305" t="s">
        <v>32</v>
      </c>
      <c r="AM305" t="s">
        <v>33</v>
      </c>
      <c r="AN305" t="s">
        <v>1161</v>
      </c>
      <c r="AO305" t="s">
        <v>1162</v>
      </c>
      <c r="AP305">
        <v>4</v>
      </c>
      <c r="AQ305" t="s">
        <v>1128</v>
      </c>
      <c r="AR305" t="s">
        <v>1163</v>
      </c>
      <c r="AS305" t="s">
        <v>26</v>
      </c>
      <c r="AT305" t="s">
        <v>26</v>
      </c>
      <c r="AU305" t="s">
        <v>1193</v>
      </c>
      <c r="AV305" t="s">
        <v>1194</v>
      </c>
      <c r="AW305" t="s">
        <v>1195</v>
      </c>
      <c r="AX305" t="s">
        <v>1196</v>
      </c>
      <c r="AY305">
        <v>1</v>
      </c>
      <c r="AZ305" t="s">
        <v>1167</v>
      </c>
      <c r="BA305" t="s">
        <v>409</v>
      </c>
      <c r="BB305" t="s">
        <v>26</v>
      </c>
      <c r="BC305" t="s">
        <v>413</v>
      </c>
      <c r="BD305" t="s">
        <v>414</v>
      </c>
      <c r="BE305" t="s">
        <v>1197</v>
      </c>
      <c r="BF305" t="s">
        <v>416</v>
      </c>
      <c r="BG305" s="146">
        <v>5172</v>
      </c>
      <c r="BH305" t="s">
        <v>417</v>
      </c>
      <c r="BI305">
        <v>0.37</v>
      </c>
      <c r="BJ305" t="s">
        <v>1198</v>
      </c>
      <c r="BK305" t="s">
        <v>26</v>
      </c>
      <c r="BL305" t="s">
        <v>1155</v>
      </c>
      <c r="BM305" t="s">
        <v>26</v>
      </c>
      <c r="BN305">
        <v>219009</v>
      </c>
    </row>
    <row r="306" spans="1:66">
      <c r="A306" s="47">
        <v>506</v>
      </c>
      <c r="B306" s="27">
        <v>219010</v>
      </c>
      <c r="C306" s="27" t="s">
        <v>2179</v>
      </c>
      <c r="E306" s="27" t="s">
        <v>2159</v>
      </c>
      <c r="L306" s="27" t="s">
        <v>2149</v>
      </c>
      <c r="M306" s="27" t="s">
        <v>2149</v>
      </c>
      <c r="N306" s="27" t="s">
        <v>2160</v>
      </c>
      <c r="T306" s="27">
        <v>980018112</v>
      </c>
      <c r="AF306" s="37" t="str">
        <f t="shared" si="11"/>
        <v>ANTV02P             MIB_F</v>
      </c>
      <c r="AG306" s="27" t="s">
        <v>2161</v>
      </c>
      <c r="AH306">
        <v>3</v>
      </c>
      <c r="AI306">
        <v>219010</v>
      </c>
      <c r="AJ306" t="s">
        <v>1199</v>
      </c>
      <c r="AK306" t="s">
        <v>26</v>
      </c>
      <c r="AL306" t="s">
        <v>1193</v>
      </c>
      <c r="AM306" t="s">
        <v>1194</v>
      </c>
      <c r="AN306" t="s">
        <v>1195</v>
      </c>
      <c r="AO306" t="s">
        <v>1196</v>
      </c>
      <c r="AP306">
        <v>2</v>
      </c>
      <c r="AQ306" t="s">
        <v>1167</v>
      </c>
      <c r="AR306" t="s">
        <v>59</v>
      </c>
      <c r="AS306" t="s">
        <v>26</v>
      </c>
      <c r="AT306" t="s">
        <v>26</v>
      </c>
      <c r="AU306" t="s">
        <v>32</v>
      </c>
      <c r="AV306" t="s">
        <v>33</v>
      </c>
      <c r="AW306" t="s">
        <v>1161</v>
      </c>
      <c r="AX306" t="s">
        <v>1162</v>
      </c>
      <c r="AY306" t="s">
        <v>1200</v>
      </c>
      <c r="AZ306" t="s">
        <v>1128</v>
      </c>
      <c r="BA306" t="s">
        <v>1172</v>
      </c>
      <c r="BB306" t="s">
        <v>26</v>
      </c>
      <c r="BC306" t="s">
        <v>413</v>
      </c>
      <c r="BD306" t="s">
        <v>59</v>
      </c>
      <c r="BE306" t="s">
        <v>1197</v>
      </c>
      <c r="BF306" t="s">
        <v>420</v>
      </c>
      <c r="BG306" s="146">
        <v>5172</v>
      </c>
      <c r="BH306" t="s">
        <v>61</v>
      </c>
      <c r="BI306">
        <v>0.5</v>
      </c>
      <c r="BJ306" t="s">
        <v>1201</v>
      </c>
      <c r="BK306" t="s">
        <v>26</v>
      </c>
      <c r="BL306" t="s">
        <v>1155</v>
      </c>
      <c r="BM306" t="s">
        <v>26</v>
      </c>
      <c r="BN306">
        <v>219010</v>
      </c>
    </row>
    <row r="307" spans="1:66">
      <c r="A307" s="47">
        <v>506</v>
      </c>
      <c r="B307" s="27">
        <v>219011</v>
      </c>
      <c r="C307" s="27" t="s">
        <v>2179</v>
      </c>
      <c r="E307" s="27" t="s">
        <v>2159</v>
      </c>
      <c r="L307" s="27" t="s">
        <v>2149</v>
      </c>
      <c r="M307" s="27" t="s">
        <v>2149</v>
      </c>
      <c r="N307" s="27" t="s">
        <v>2160</v>
      </c>
      <c r="T307" s="27">
        <v>980018113</v>
      </c>
      <c r="AF307" s="37" t="str">
        <f t="shared" si="11"/>
        <v>ANTV03P             MIB_F</v>
      </c>
      <c r="AG307" s="27" t="s">
        <v>2161</v>
      </c>
      <c r="AH307">
        <v>3</v>
      </c>
      <c r="AI307">
        <v>219011</v>
      </c>
      <c r="AJ307" t="s">
        <v>1202</v>
      </c>
      <c r="AK307" t="s">
        <v>26</v>
      </c>
      <c r="AL307" t="s">
        <v>1193</v>
      </c>
      <c r="AM307" t="s">
        <v>1203</v>
      </c>
      <c r="AN307" t="s">
        <v>1204</v>
      </c>
      <c r="AO307" t="s">
        <v>1205</v>
      </c>
      <c r="AP307">
        <v>1</v>
      </c>
      <c r="AQ307" t="s">
        <v>1206</v>
      </c>
      <c r="AR307" t="s">
        <v>409</v>
      </c>
      <c r="AS307" t="s">
        <v>26</v>
      </c>
      <c r="AT307" t="s">
        <v>26</v>
      </c>
      <c r="AU307" t="s">
        <v>32</v>
      </c>
      <c r="AV307" t="s">
        <v>33</v>
      </c>
      <c r="AW307" t="s">
        <v>1161</v>
      </c>
      <c r="AX307" t="s">
        <v>1162</v>
      </c>
      <c r="AY307">
        <v>4</v>
      </c>
      <c r="AZ307" t="s">
        <v>1128</v>
      </c>
      <c r="BA307" t="s">
        <v>1163</v>
      </c>
      <c r="BB307" t="s">
        <v>26</v>
      </c>
      <c r="BC307" t="s">
        <v>413</v>
      </c>
      <c r="BD307" t="s">
        <v>414</v>
      </c>
      <c r="BE307" t="s">
        <v>1207</v>
      </c>
      <c r="BF307" t="s">
        <v>416</v>
      </c>
      <c r="BG307" s="146">
        <v>5172</v>
      </c>
      <c r="BH307" t="s">
        <v>417</v>
      </c>
      <c r="BI307">
        <v>0.37</v>
      </c>
      <c r="BJ307" t="s">
        <v>1198</v>
      </c>
      <c r="BK307" t="s">
        <v>26</v>
      </c>
      <c r="BL307" t="s">
        <v>26</v>
      </c>
      <c r="BM307" t="s">
        <v>1158</v>
      </c>
      <c r="BN307">
        <v>219011</v>
      </c>
    </row>
    <row r="308" spans="1:66">
      <c r="A308" s="47">
        <v>506</v>
      </c>
      <c r="B308" s="27">
        <v>219012</v>
      </c>
      <c r="C308" s="27" t="s">
        <v>2179</v>
      </c>
      <c r="E308" s="27" t="s">
        <v>2159</v>
      </c>
      <c r="L308" s="27" t="s">
        <v>2149</v>
      </c>
      <c r="M308" s="27" t="s">
        <v>2149</v>
      </c>
      <c r="N308" s="27" t="s">
        <v>2160</v>
      </c>
      <c r="T308" s="27">
        <v>980018113</v>
      </c>
      <c r="AF308" s="37" t="str">
        <f t="shared" si="11"/>
        <v>ANTV03P             MIB_F</v>
      </c>
      <c r="AG308" s="27" t="s">
        <v>2161</v>
      </c>
      <c r="AH308">
        <v>3</v>
      </c>
      <c r="AI308">
        <v>219012</v>
      </c>
      <c r="AJ308" t="s">
        <v>1208</v>
      </c>
      <c r="AK308" t="s">
        <v>26</v>
      </c>
      <c r="AL308" t="s">
        <v>1193</v>
      </c>
      <c r="AM308" t="s">
        <v>1203</v>
      </c>
      <c r="AN308" t="s">
        <v>1204</v>
      </c>
      <c r="AO308" t="s">
        <v>1205</v>
      </c>
      <c r="AP308">
        <v>2</v>
      </c>
      <c r="AQ308" t="s">
        <v>1206</v>
      </c>
      <c r="AR308" t="s">
        <v>59</v>
      </c>
      <c r="AS308" t="s">
        <v>26</v>
      </c>
      <c r="AT308" t="s">
        <v>26</v>
      </c>
      <c r="AU308" t="s">
        <v>32</v>
      </c>
      <c r="AV308" t="s">
        <v>33</v>
      </c>
      <c r="AW308" t="s">
        <v>1161</v>
      </c>
      <c r="AX308" t="s">
        <v>1162</v>
      </c>
      <c r="AY308" t="s">
        <v>1200</v>
      </c>
      <c r="AZ308" t="s">
        <v>1128</v>
      </c>
      <c r="BA308" t="s">
        <v>1172</v>
      </c>
      <c r="BB308" t="s">
        <v>26</v>
      </c>
      <c r="BC308" t="s">
        <v>413</v>
      </c>
      <c r="BD308" t="s">
        <v>59</v>
      </c>
      <c r="BE308" t="s">
        <v>1207</v>
      </c>
      <c r="BF308" t="s">
        <v>420</v>
      </c>
      <c r="BG308" s="146">
        <v>5172</v>
      </c>
      <c r="BH308" t="s">
        <v>61</v>
      </c>
      <c r="BI308">
        <v>0.5</v>
      </c>
      <c r="BJ308" t="s">
        <v>1201</v>
      </c>
      <c r="BK308" t="s">
        <v>26</v>
      </c>
      <c r="BL308" t="s">
        <v>26</v>
      </c>
      <c r="BM308" t="s">
        <v>1158</v>
      </c>
      <c r="BN308">
        <v>219012</v>
      </c>
    </row>
    <row r="309" spans="1:66">
      <c r="A309" s="47"/>
      <c r="B309" s="27">
        <v>219013</v>
      </c>
      <c r="C309" s="27" t="s">
        <v>2179</v>
      </c>
      <c r="E309" s="27" t="s">
        <v>2159</v>
      </c>
      <c r="L309" s="27" t="s">
        <v>2149</v>
      </c>
      <c r="M309" s="27" t="s">
        <v>2149</v>
      </c>
      <c r="N309" s="27" t="s">
        <v>2160</v>
      </c>
      <c r="T309" s="27">
        <v>980018112</v>
      </c>
      <c r="AF309" s="37" t="str">
        <f t="shared" si="11"/>
        <v>ANTV111P            KS_CR_A</v>
      </c>
      <c r="AG309" s="27" t="s">
        <v>2161</v>
      </c>
      <c r="AH309">
        <v>3</v>
      </c>
      <c r="AI309">
        <v>219013</v>
      </c>
      <c r="AJ309" t="s">
        <v>1209</v>
      </c>
      <c r="AK309" t="s">
        <v>26</v>
      </c>
      <c r="AL309" t="s">
        <v>1175</v>
      </c>
      <c r="AM309" t="s">
        <v>1176</v>
      </c>
      <c r="AN309" t="s">
        <v>1177</v>
      </c>
      <c r="AO309" t="s">
        <v>1178</v>
      </c>
      <c r="AP309">
        <v>1</v>
      </c>
      <c r="AQ309" t="s">
        <v>1179</v>
      </c>
      <c r="AR309" t="s">
        <v>409</v>
      </c>
      <c r="AS309" t="s">
        <v>26</v>
      </c>
      <c r="AT309" t="s">
        <v>26</v>
      </c>
      <c r="AU309" t="s">
        <v>1210</v>
      </c>
      <c r="AV309" t="s">
        <v>1210</v>
      </c>
      <c r="AW309" t="s">
        <v>1211</v>
      </c>
      <c r="AX309" t="s">
        <v>1212</v>
      </c>
      <c r="AY309">
        <v>1</v>
      </c>
      <c r="AZ309" t="s">
        <v>1213</v>
      </c>
      <c r="BA309" t="s">
        <v>409</v>
      </c>
      <c r="BB309" t="s">
        <v>26</v>
      </c>
      <c r="BC309" t="s">
        <v>413</v>
      </c>
      <c r="BD309" t="s">
        <v>414</v>
      </c>
      <c r="BE309" t="s">
        <v>1214</v>
      </c>
      <c r="BF309" t="s">
        <v>416</v>
      </c>
      <c r="BG309">
        <v>301</v>
      </c>
      <c r="BH309" t="s">
        <v>417</v>
      </c>
      <c r="BI309">
        <v>0.37</v>
      </c>
      <c r="BJ309" t="s">
        <v>1215</v>
      </c>
      <c r="BK309" t="s">
        <v>26</v>
      </c>
      <c r="BL309" t="s">
        <v>1155</v>
      </c>
      <c r="BM309" t="s">
        <v>26</v>
      </c>
      <c r="BN309">
        <v>219013</v>
      </c>
    </row>
    <row r="310" spans="1:66">
      <c r="A310" s="47"/>
      <c r="B310" s="27">
        <v>219014</v>
      </c>
      <c r="C310" s="27" t="s">
        <v>2179</v>
      </c>
      <c r="E310" s="27" t="s">
        <v>2159</v>
      </c>
      <c r="L310" s="27" t="s">
        <v>2149</v>
      </c>
      <c r="M310" s="27" t="s">
        <v>2149</v>
      </c>
      <c r="N310" s="27" t="s">
        <v>2160</v>
      </c>
      <c r="T310" s="27">
        <v>980018112</v>
      </c>
      <c r="AF310" s="37" t="str">
        <f t="shared" si="11"/>
        <v>ANTV111P            KS_CR_A</v>
      </c>
      <c r="AG310" s="27" t="s">
        <v>2161</v>
      </c>
      <c r="AH310">
        <v>3</v>
      </c>
      <c r="AI310">
        <v>219014</v>
      </c>
      <c r="AJ310" t="s">
        <v>1216</v>
      </c>
      <c r="AK310" t="s">
        <v>26</v>
      </c>
      <c r="AL310" t="s">
        <v>1175</v>
      </c>
      <c r="AM310" t="s">
        <v>1176</v>
      </c>
      <c r="AN310" t="s">
        <v>1177</v>
      </c>
      <c r="AO310" t="s">
        <v>1178</v>
      </c>
      <c r="AP310">
        <v>2</v>
      </c>
      <c r="AQ310" t="s">
        <v>1179</v>
      </c>
      <c r="AR310" t="s">
        <v>59</v>
      </c>
      <c r="AS310" t="s">
        <v>26</v>
      </c>
      <c r="AT310" t="s">
        <v>26</v>
      </c>
      <c r="AU310" t="s">
        <v>1210</v>
      </c>
      <c r="AV310" t="s">
        <v>1210</v>
      </c>
      <c r="AW310" t="s">
        <v>1211</v>
      </c>
      <c r="AX310" t="s">
        <v>1212</v>
      </c>
      <c r="AY310">
        <v>2</v>
      </c>
      <c r="AZ310" t="s">
        <v>1213</v>
      </c>
      <c r="BA310" t="s">
        <v>59</v>
      </c>
      <c r="BB310" t="s">
        <v>26</v>
      </c>
      <c r="BC310" t="s">
        <v>413</v>
      </c>
      <c r="BD310" t="s">
        <v>59</v>
      </c>
      <c r="BE310" t="s">
        <v>1214</v>
      </c>
      <c r="BF310" t="s">
        <v>420</v>
      </c>
      <c r="BG310">
        <v>301</v>
      </c>
      <c r="BH310" t="s">
        <v>61</v>
      </c>
      <c r="BI310">
        <v>0.5</v>
      </c>
      <c r="BJ310" t="s">
        <v>1217</v>
      </c>
      <c r="BK310" t="s">
        <v>26</v>
      </c>
      <c r="BL310" t="s">
        <v>1155</v>
      </c>
      <c r="BM310" t="s">
        <v>26</v>
      </c>
      <c r="BN310">
        <v>219014</v>
      </c>
    </row>
    <row r="311" spans="1:66">
      <c r="A311" s="47"/>
      <c r="B311" s="27">
        <v>219015</v>
      </c>
      <c r="C311" s="27" t="s">
        <v>2179</v>
      </c>
      <c r="E311" s="27" t="s">
        <v>2159</v>
      </c>
      <c r="L311" s="27" t="s">
        <v>2149</v>
      </c>
      <c r="M311" s="27" t="s">
        <v>2149</v>
      </c>
      <c r="N311" s="27" t="s">
        <v>2160</v>
      </c>
      <c r="T311" s="27">
        <v>980018113</v>
      </c>
      <c r="AF311" s="37" t="str">
        <f t="shared" si="11"/>
        <v>ANTV110P            KS_CR_A</v>
      </c>
      <c r="AG311" s="27" t="s">
        <v>2161</v>
      </c>
      <c r="AH311">
        <v>3</v>
      </c>
      <c r="AI311">
        <v>219015</v>
      </c>
      <c r="AJ311" t="s">
        <v>1218</v>
      </c>
      <c r="AK311" t="s">
        <v>26</v>
      </c>
      <c r="AL311" t="s">
        <v>1175</v>
      </c>
      <c r="AM311" t="s">
        <v>1186</v>
      </c>
      <c r="AN311" t="s">
        <v>1187</v>
      </c>
      <c r="AO311" t="s">
        <v>1188</v>
      </c>
      <c r="AP311">
        <v>1</v>
      </c>
      <c r="AQ311" t="s">
        <v>1189</v>
      </c>
      <c r="AR311" t="s">
        <v>409</v>
      </c>
      <c r="AS311" t="s">
        <v>26</v>
      </c>
      <c r="AT311" t="s">
        <v>26</v>
      </c>
      <c r="AU311" t="s">
        <v>1210</v>
      </c>
      <c r="AV311" t="s">
        <v>1210</v>
      </c>
      <c r="AW311" t="s">
        <v>1211</v>
      </c>
      <c r="AX311" t="s">
        <v>1212</v>
      </c>
      <c r="AY311">
        <v>1</v>
      </c>
      <c r="AZ311" t="s">
        <v>1213</v>
      </c>
      <c r="BA311" t="s">
        <v>409</v>
      </c>
      <c r="BB311" t="s">
        <v>26</v>
      </c>
      <c r="BC311" t="s">
        <v>413</v>
      </c>
      <c r="BD311" t="s">
        <v>414</v>
      </c>
      <c r="BE311" t="s">
        <v>1219</v>
      </c>
      <c r="BF311" t="s">
        <v>416</v>
      </c>
      <c r="BG311">
        <v>299</v>
      </c>
      <c r="BH311" t="s">
        <v>417</v>
      </c>
      <c r="BI311">
        <v>0.37</v>
      </c>
      <c r="BJ311" t="s">
        <v>1215</v>
      </c>
      <c r="BK311" t="s">
        <v>26</v>
      </c>
      <c r="BL311" t="s">
        <v>26</v>
      </c>
      <c r="BM311" t="s">
        <v>1158</v>
      </c>
      <c r="BN311">
        <v>219015</v>
      </c>
    </row>
    <row r="312" spans="1:66">
      <c r="A312" s="47"/>
      <c r="B312" s="27">
        <v>219016</v>
      </c>
      <c r="C312" s="27" t="s">
        <v>2179</v>
      </c>
      <c r="E312" s="27" t="s">
        <v>2159</v>
      </c>
      <c r="L312" s="27" t="s">
        <v>2149</v>
      </c>
      <c r="M312" s="27" t="s">
        <v>2149</v>
      </c>
      <c r="N312" s="27" t="s">
        <v>2160</v>
      </c>
      <c r="T312" s="27">
        <v>980018113</v>
      </c>
      <c r="AF312" s="37" t="str">
        <f t="shared" si="11"/>
        <v>ANTV110P            KS_CR_A</v>
      </c>
      <c r="AG312" s="27" t="s">
        <v>2161</v>
      </c>
      <c r="AH312">
        <v>3</v>
      </c>
      <c r="AI312">
        <v>219016</v>
      </c>
      <c r="AJ312" t="s">
        <v>1220</v>
      </c>
      <c r="AK312" t="s">
        <v>26</v>
      </c>
      <c r="AL312" t="s">
        <v>1175</v>
      </c>
      <c r="AM312" t="s">
        <v>1186</v>
      </c>
      <c r="AN312" t="s">
        <v>1187</v>
      </c>
      <c r="AO312" t="s">
        <v>1188</v>
      </c>
      <c r="AP312">
        <v>2</v>
      </c>
      <c r="AQ312" t="s">
        <v>1189</v>
      </c>
      <c r="AR312" t="s">
        <v>59</v>
      </c>
      <c r="AS312" t="s">
        <v>26</v>
      </c>
      <c r="AT312" t="s">
        <v>26</v>
      </c>
      <c r="AU312" t="s">
        <v>1210</v>
      </c>
      <c r="AV312" t="s">
        <v>1210</v>
      </c>
      <c r="AW312" t="s">
        <v>1211</v>
      </c>
      <c r="AX312" t="s">
        <v>1212</v>
      </c>
      <c r="AY312">
        <v>2</v>
      </c>
      <c r="AZ312" t="s">
        <v>1213</v>
      </c>
      <c r="BA312" t="s">
        <v>59</v>
      </c>
      <c r="BB312" t="s">
        <v>26</v>
      </c>
      <c r="BC312" t="s">
        <v>413</v>
      </c>
      <c r="BD312" t="s">
        <v>59</v>
      </c>
      <c r="BE312" t="s">
        <v>1219</v>
      </c>
      <c r="BF312" t="s">
        <v>420</v>
      </c>
      <c r="BG312">
        <v>299</v>
      </c>
      <c r="BH312" t="s">
        <v>61</v>
      </c>
      <c r="BI312">
        <v>0.5</v>
      </c>
      <c r="BJ312" t="s">
        <v>1217</v>
      </c>
      <c r="BK312" t="s">
        <v>26</v>
      </c>
      <c r="BL312" t="s">
        <v>26</v>
      </c>
      <c r="BM312" t="s">
        <v>1158</v>
      </c>
      <c r="BN312">
        <v>219016</v>
      </c>
    </row>
    <row r="313" spans="1:66">
      <c r="A313" s="47">
        <v>506</v>
      </c>
      <c r="B313" s="27">
        <v>219021</v>
      </c>
      <c r="C313" s="27" t="s">
        <v>2179</v>
      </c>
      <c r="E313" s="27" t="s">
        <v>2159</v>
      </c>
      <c r="L313" s="27" t="s">
        <v>2149</v>
      </c>
      <c r="M313" s="27" t="s">
        <v>2149</v>
      </c>
      <c r="N313" s="27" t="s">
        <v>2160</v>
      </c>
      <c r="T313" s="27">
        <v>980018111</v>
      </c>
      <c r="AF313" s="37" t="str">
        <f t="shared" si="11"/>
        <v>ANTV04P             MIB_F</v>
      </c>
      <c r="AG313" s="27" t="s">
        <v>2161</v>
      </c>
      <c r="AH313">
        <v>3</v>
      </c>
      <c r="AI313">
        <v>219021</v>
      </c>
      <c r="AJ313" t="s">
        <v>1221</v>
      </c>
      <c r="AK313" t="s">
        <v>26</v>
      </c>
      <c r="AL313" t="s">
        <v>1164</v>
      </c>
      <c r="AM313" t="s">
        <v>1164</v>
      </c>
      <c r="AN313" t="s">
        <v>1165</v>
      </c>
      <c r="AO313" t="s">
        <v>1166</v>
      </c>
      <c r="AP313">
        <v>3</v>
      </c>
      <c r="AQ313" t="s">
        <v>1167</v>
      </c>
      <c r="AR313" t="s">
        <v>409</v>
      </c>
      <c r="AS313" t="s">
        <v>26</v>
      </c>
      <c r="AT313" t="s">
        <v>26</v>
      </c>
      <c r="AU313" t="s">
        <v>32</v>
      </c>
      <c r="AV313" t="s">
        <v>33</v>
      </c>
      <c r="AW313" t="s">
        <v>1161</v>
      </c>
      <c r="AX313" t="s">
        <v>1162</v>
      </c>
      <c r="AY313">
        <v>4</v>
      </c>
      <c r="AZ313" t="s">
        <v>1128</v>
      </c>
      <c r="BA313" t="s">
        <v>1163</v>
      </c>
      <c r="BB313" t="s">
        <v>26</v>
      </c>
      <c r="BC313" t="s">
        <v>413</v>
      </c>
      <c r="BD313" t="s">
        <v>414</v>
      </c>
      <c r="BE313" t="s">
        <v>1222</v>
      </c>
      <c r="BF313" t="s">
        <v>416</v>
      </c>
      <c r="BG313" s="146">
        <v>5172</v>
      </c>
      <c r="BH313" t="s">
        <v>417</v>
      </c>
      <c r="BI313">
        <v>0.37</v>
      </c>
      <c r="BJ313" t="s">
        <v>1198</v>
      </c>
      <c r="BK313" t="s">
        <v>1151</v>
      </c>
      <c r="BL313" t="s">
        <v>26</v>
      </c>
      <c r="BM313" t="s">
        <v>26</v>
      </c>
      <c r="BN313">
        <v>219021</v>
      </c>
    </row>
    <row r="314" spans="1:66">
      <c r="A314" s="47">
        <v>506</v>
      </c>
      <c r="B314" s="27">
        <v>219022</v>
      </c>
      <c r="C314" s="27" t="s">
        <v>2179</v>
      </c>
      <c r="E314" s="27" t="s">
        <v>2159</v>
      </c>
      <c r="L314" s="27" t="s">
        <v>2149</v>
      </c>
      <c r="M314" s="27" t="s">
        <v>2149</v>
      </c>
      <c r="N314" s="27" t="s">
        <v>2160</v>
      </c>
      <c r="T314" s="27">
        <v>980018111</v>
      </c>
      <c r="AF314" s="37" t="str">
        <f t="shared" si="11"/>
        <v>ANTV04P             MIB_F</v>
      </c>
      <c r="AG314" s="27" t="s">
        <v>2161</v>
      </c>
      <c r="AH314">
        <v>3</v>
      </c>
      <c r="AI314">
        <v>219022</v>
      </c>
      <c r="AJ314" t="s">
        <v>1223</v>
      </c>
      <c r="AK314" t="s">
        <v>26</v>
      </c>
      <c r="AL314" t="s">
        <v>1164</v>
      </c>
      <c r="AM314" t="s">
        <v>1164</v>
      </c>
      <c r="AN314" t="s">
        <v>1165</v>
      </c>
      <c r="AO314" t="s">
        <v>1166</v>
      </c>
      <c r="AP314">
        <v>4</v>
      </c>
      <c r="AQ314" t="s">
        <v>1167</v>
      </c>
      <c r="AR314" t="s">
        <v>59</v>
      </c>
      <c r="AS314" t="s">
        <v>26</v>
      </c>
      <c r="AT314" t="s">
        <v>26</v>
      </c>
      <c r="AU314" t="s">
        <v>32</v>
      </c>
      <c r="AV314" t="s">
        <v>33</v>
      </c>
      <c r="AW314" t="s">
        <v>1161</v>
      </c>
      <c r="AX314" t="s">
        <v>1162</v>
      </c>
      <c r="AY314" t="s">
        <v>1200</v>
      </c>
      <c r="AZ314" t="s">
        <v>1128</v>
      </c>
      <c r="BA314" t="s">
        <v>1172</v>
      </c>
      <c r="BB314" t="s">
        <v>26</v>
      </c>
      <c r="BC314" t="s">
        <v>413</v>
      </c>
      <c r="BD314" t="s">
        <v>59</v>
      </c>
      <c r="BE314" t="s">
        <v>1222</v>
      </c>
      <c r="BF314" t="s">
        <v>420</v>
      </c>
      <c r="BG314" s="146">
        <v>5172</v>
      </c>
      <c r="BH314" t="s">
        <v>61</v>
      </c>
      <c r="BI314">
        <v>0.5</v>
      </c>
      <c r="BJ314" t="s">
        <v>1201</v>
      </c>
      <c r="BK314" t="s">
        <v>1151</v>
      </c>
      <c r="BL314" t="s">
        <v>26</v>
      </c>
      <c r="BM314" t="s">
        <v>26</v>
      </c>
      <c r="BN314">
        <v>219022</v>
      </c>
    </row>
    <row r="315" spans="1:66">
      <c r="A315" s="47"/>
      <c r="B315" s="27">
        <v>219023</v>
      </c>
      <c r="C315" s="27" t="s">
        <v>2179</v>
      </c>
      <c r="E315" s="27" t="s">
        <v>2159</v>
      </c>
      <c r="L315" s="27" t="s">
        <v>2149</v>
      </c>
      <c r="M315" s="27" t="s">
        <v>2149</v>
      </c>
      <c r="N315" s="27" t="s">
        <v>2160</v>
      </c>
      <c r="T315" s="27">
        <v>980018111</v>
      </c>
      <c r="AF315" s="37" t="str">
        <f t="shared" si="11"/>
        <v>ANTV109P            KS_CR_A</v>
      </c>
      <c r="AG315" s="27" t="s">
        <v>2161</v>
      </c>
      <c r="AH315">
        <v>3</v>
      </c>
      <c r="AI315">
        <v>219023</v>
      </c>
      <c r="AJ315" t="s">
        <v>1224</v>
      </c>
      <c r="AK315" t="s">
        <v>26</v>
      </c>
      <c r="AL315" t="s">
        <v>1175</v>
      </c>
      <c r="AM315" t="s">
        <v>1225</v>
      </c>
      <c r="AN315" t="s">
        <v>1226</v>
      </c>
      <c r="AO315" t="s">
        <v>1227</v>
      </c>
      <c r="AP315">
        <v>1</v>
      </c>
      <c r="AQ315" t="s">
        <v>1228</v>
      </c>
      <c r="AR315" t="s">
        <v>409</v>
      </c>
      <c r="AS315" t="s">
        <v>26</v>
      </c>
      <c r="AT315" t="s">
        <v>26</v>
      </c>
      <c r="AU315" t="s">
        <v>1210</v>
      </c>
      <c r="AV315" t="s">
        <v>1210</v>
      </c>
      <c r="AW315" t="s">
        <v>1211</v>
      </c>
      <c r="AX315" t="s">
        <v>1212</v>
      </c>
      <c r="AY315">
        <v>1</v>
      </c>
      <c r="AZ315" t="s">
        <v>1213</v>
      </c>
      <c r="BA315" t="s">
        <v>409</v>
      </c>
      <c r="BB315" t="s">
        <v>26</v>
      </c>
      <c r="BC315" t="s">
        <v>413</v>
      </c>
      <c r="BD315" t="s">
        <v>414</v>
      </c>
      <c r="BE315" t="s">
        <v>1229</v>
      </c>
      <c r="BF315" t="s">
        <v>416</v>
      </c>
      <c r="BG315">
        <v>300</v>
      </c>
      <c r="BH315" t="s">
        <v>417</v>
      </c>
      <c r="BI315">
        <v>0.37</v>
      </c>
      <c r="BJ315" t="s">
        <v>1215</v>
      </c>
      <c r="BK315" t="s">
        <v>1151</v>
      </c>
      <c r="BL315" t="s">
        <v>26</v>
      </c>
      <c r="BM315" t="s">
        <v>26</v>
      </c>
      <c r="BN315">
        <v>219023</v>
      </c>
    </row>
    <row r="316" spans="1:66">
      <c r="A316" s="47"/>
      <c r="B316" s="27">
        <v>219024</v>
      </c>
      <c r="C316" s="27" t="s">
        <v>2179</v>
      </c>
      <c r="E316" s="27" t="s">
        <v>2159</v>
      </c>
      <c r="L316" s="27" t="s">
        <v>2149</v>
      </c>
      <c r="M316" s="27" t="s">
        <v>2149</v>
      </c>
      <c r="N316" s="27" t="s">
        <v>2160</v>
      </c>
      <c r="T316" s="27">
        <v>980018111</v>
      </c>
      <c r="AF316" s="37" t="str">
        <f t="shared" si="11"/>
        <v>ANTV109P            KS_CR_A</v>
      </c>
      <c r="AG316" s="27" t="s">
        <v>2161</v>
      </c>
      <c r="AH316">
        <v>3</v>
      </c>
      <c r="AI316">
        <v>219024</v>
      </c>
      <c r="AJ316" t="s">
        <v>1230</v>
      </c>
      <c r="AK316" t="s">
        <v>26</v>
      </c>
      <c r="AL316" t="s">
        <v>1175</v>
      </c>
      <c r="AM316" t="s">
        <v>1225</v>
      </c>
      <c r="AN316" t="s">
        <v>1226</v>
      </c>
      <c r="AO316" t="s">
        <v>1227</v>
      </c>
      <c r="AP316">
        <v>2</v>
      </c>
      <c r="AQ316" t="s">
        <v>1228</v>
      </c>
      <c r="AR316" t="s">
        <v>59</v>
      </c>
      <c r="AS316" t="s">
        <v>26</v>
      </c>
      <c r="AT316" t="s">
        <v>26</v>
      </c>
      <c r="AU316" t="s">
        <v>1210</v>
      </c>
      <c r="AV316" t="s">
        <v>1210</v>
      </c>
      <c r="AW316" t="s">
        <v>1211</v>
      </c>
      <c r="AX316" t="s">
        <v>1212</v>
      </c>
      <c r="AY316">
        <v>2</v>
      </c>
      <c r="AZ316" t="s">
        <v>1213</v>
      </c>
      <c r="BA316" t="s">
        <v>59</v>
      </c>
      <c r="BB316" t="s">
        <v>26</v>
      </c>
      <c r="BC316" t="s">
        <v>413</v>
      </c>
      <c r="BD316" t="s">
        <v>59</v>
      </c>
      <c r="BE316" t="s">
        <v>1229</v>
      </c>
      <c r="BF316" t="s">
        <v>420</v>
      </c>
      <c r="BG316">
        <v>300</v>
      </c>
      <c r="BH316" t="s">
        <v>61</v>
      </c>
      <c r="BI316">
        <v>0.5</v>
      </c>
      <c r="BJ316" t="s">
        <v>1217</v>
      </c>
      <c r="BK316" t="s">
        <v>1151</v>
      </c>
      <c r="BL316" t="s">
        <v>26</v>
      </c>
      <c r="BM316" t="s">
        <v>26</v>
      </c>
      <c r="BN316">
        <v>219024</v>
      </c>
    </row>
    <row r="317" spans="1:66">
      <c r="A317" s="47">
        <v>506</v>
      </c>
      <c r="B317" s="27">
        <v>219025</v>
      </c>
      <c r="C317" s="27" t="s">
        <v>2179</v>
      </c>
      <c r="E317" s="27" t="s">
        <v>2159</v>
      </c>
      <c r="L317" s="27" t="s">
        <v>2149</v>
      </c>
      <c r="M317" s="27" t="s">
        <v>2149</v>
      </c>
      <c r="N317" s="27" t="s">
        <v>2160</v>
      </c>
      <c r="T317" s="27">
        <v>980018111</v>
      </c>
      <c r="AF317" s="37" t="str">
        <f t="shared" si="11"/>
        <v>ANTV109P            MIB_F</v>
      </c>
      <c r="AG317" s="27" t="s">
        <v>2161</v>
      </c>
      <c r="AH317">
        <v>3</v>
      </c>
      <c r="AI317">
        <v>219025</v>
      </c>
      <c r="AJ317" t="s">
        <v>1231</v>
      </c>
      <c r="AK317" t="s">
        <v>26</v>
      </c>
      <c r="AL317" t="s">
        <v>1175</v>
      </c>
      <c r="AM317" t="s">
        <v>1225</v>
      </c>
      <c r="AN317" t="s">
        <v>1226</v>
      </c>
      <c r="AO317" t="s">
        <v>1227</v>
      </c>
      <c r="AP317">
        <v>3</v>
      </c>
      <c r="AQ317" t="s">
        <v>1228</v>
      </c>
      <c r="AR317" t="s">
        <v>409</v>
      </c>
      <c r="AS317" t="s">
        <v>26</v>
      </c>
      <c r="AT317" t="s">
        <v>26</v>
      </c>
      <c r="AU317" t="s">
        <v>32</v>
      </c>
      <c r="AV317" t="s">
        <v>33</v>
      </c>
      <c r="AW317" t="s">
        <v>1161</v>
      </c>
      <c r="AX317" t="s">
        <v>1162</v>
      </c>
      <c r="AY317">
        <v>1</v>
      </c>
      <c r="AZ317" t="s">
        <v>1128</v>
      </c>
      <c r="BA317" t="s">
        <v>1163</v>
      </c>
      <c r="BB317" t="s">
        <v>26</v>
      </c>
      <c r="BC317" t="s">
        <v>413</v>
      </c>
      <c r="BD317" t="s">
        <v>414</v>
      </c>
      <c r="BE317" t="s">
        <v>1232</v>
      </c>
      <c r="BF317" t="s">
        <v>416</v>
      </c>
      <c r="BG317" s="146">
        <v>4184</v>
      </c>
      <c r="BH317" t="s">
        <v>417</v>
      </c>
      <c r="BI317">
        <v>0.37</v>
      </c>
      <c r="BJ317" t="s">
        <v>1181</v>
      </c>
      <c r="BK317" t="s">
        <v>1151</v>
      </c>
      <c r="BL317" t="s">
        <v>26</v>
      </c>
      <c r="BM317" t="s">
        <v>26</v>
      </c>
      <c r="BN317">
        <v>219025</v>
      </c>
    </row>
    <row r="318" spans="1:66">
      <c r="A318" s="47">
        <v>506</v>
      </c>
      <c r="B318" s="27">
        <v>219026</v>
      </c>
      <c r="C318" s="27" t="s">
        <v>2179</v>
      </c>
      <c r="E318" s="27" t="s">
        <v>2159</v>
      </c>
      <c r="L318" s="27" t="s">
        <v>2149</v>
      </c>
      <c r="M318" s="27" t="s">
        <v>2149</v>
      </c>
      <c r="N318" s="27" t="s">
        <v>2160</v>
      </c>
      <c r="T318" s="27">
        <v>980018111</v>
      </c>
      <c r="AF318" s="37" t="str">
        <f t="shared" si="11"/>
        <v>ANTV109P            MIB_F</v>
      </c>
      <c r="AG318" s="27" t="s">
        <v>2161</v>
      </c>
      <c r="AH318">
        <v>3</v>
      </c>
      <c r="AI318">
        <v>219026</v>
      </c>
      <c r="AJ318" t="s">
        <v>1233</v>
      </c>
      <c r="AK318" t="s">
        <v>26</v>
      </c>
      <c r="AL318" t="s">
        <v>1175</v>
      </c>
      <c r="AM318" t="s">
        <v>1225</v>
      </c>
      <c r="AN318" t="s">
        <v>1226</v>
      </c>
      <c r="AO318" t="s">
        <v>1227</v>
      </c>
      <c r="AP318">
        <v>4</v>
      </c>
      <c r="AQ318" t="s">
        <v>1228</v>
      </c>
      <c r="AR318" t="s">
        <v>59</v>
      </c>
      <c r="AS318" t="s">
        <v>26</v>
      </c>
      <c r="AT318" t="s">
        <v>26</v>
      </c>
      <c r="AU318" t="s">
        <v>32</v>
      </c>
      <c r="AV318" t="s">
        <v>33</v>
      </c>
      <c r="AW318" t="s">
        <v>1161</v>
      </c>
      <c r="AX318" t="s">
        <v>1162</v>
      </c>
      <c r="AY318" t="s">
        <v>1183</v>
      </c>
      <c r="AZ318" t="s">
        <v>1128</v>
      </c>
      <c r="BA318" t="s">
        <v>1172</v>
      </c>
      <c r="BB318" t="s">
        <v>26</v>
      </c>
      <c r="BC318" t="s">
        <v>413</v>
      </c>
      <c r="BD318" t="s">
        <v>59</v>
      </c>
      <c r="BE318" t="s">
        <v>1232</v>
      </c>
      <c r="BF318" t="s">
        <v>420</v>
      </c>
      <c r="BG318" s="146">
        <v>4184</v>
      </c>
      <c r="BH318" t="s">
        <v>61</v>
      </c>
      <c r="BI318">
        <v>0.5</v>
      </c>
      <c r="BJ318" t="s">
        <v>1184</v>
      </c>
      <c r="BK318" t="s">
        <v>1151</v>
      </c>
      <c r="BL318" t="s">
        <v>26</v>
      </c>
      <c r="BM318" t="s">
        <v>26</v>
      </c>
      <c r="BN318">
        <v>219026</v>
      </c>
    </row>
    <row r="319" spans="1:66">
      <c r="A319" s="47"/>
      <c r="C319" s="27" t="s">
        <v>2180</v>
      </c>
      <c r="AF319" s="37" t="str">
        <f t="shared" si="11"/>
        <v xml:space="preserve">                    </v>
      </c>
      <c r="AH319">
        <v>1</v>
      </c>
      <c r="AI319" t="s">
        <v>1234</v>
      </c>
    </row>
    <row r="320" spans="1:66">
      <c r="A320" s="47"/>
      <c r="C320" s="27" t="s">
        <v>2180</v>
      </c>
      <c r="AF320" s="37"/>
      <c r="AH320">
        <v>2</v>
      </c>
      <c r="AI320" t="s">
        <v>1</v>
      </c>
      <c r="AJ320" t="s">
        <v>1235</v>
      </c>
      <c r="AK320" t="s">
        <v>1097</v>
      </c>
      <c r="AL320" t="s">
        <v>1236</v>
      </c>
      <c r="AN320" t="s">
        <v>1031</v>
      </c>
      <c r="AO320" t="s">
        <v>5</v>
      </c>
    </row>
    <row r="321" spans="1:64">
      <c r="A321" s="47"/>
      <c r="C321" s="27" t="s">
        <v>2180</v>
      </c>
      <c r="AF321" s="37" t="str">
        <f xml:space="preserve"> AO321 &amp; REPT(" ",20-LEN(AO321)) &amp; AX321</f>
        <v>Kurzname            Kurzname</v>
      </c>
      <c r="AH321">
        <v>0</v>
      </c>
      <c r="AI321" t="s">
        <v>6</v>
      </c>
      <c r="AJ321" t="s">
        <v>7</v>
      </c>
      <c r="AK321" t="s">
        <v>8</v>
      </c>
      <c r="AL321" t="s">
        <v>9</v>
      </c>
      <c r="AM321" t="s">
        <v>9</v>
      </c>
      <c r="AN321" t="s">
        <v>10</v>
      </c>
      <c r="AO321" t="s">
        <v>11</v>
      </c>
      <c r="AP321" t="s">
        <v>12</v>
      </c>
      <c r="AQ321" t="s">
        <v>13</v>
      </c>
      <c r="AR321" t="s">
        <v>14</v>
      </c>
      <c r="AS321" t="s">
        <v>15</v>
      </c>
      <c r="AT321" t="s">
        <v>8</v>
      </c>
      <c r="AU321" t="s">
        <v>9</v>
      </c>
      <c r="AV321" t="s">
        <v>9</v>
      </c>
      <c r="AW321" t="s">
        <v>16</v>
      </c>
      <c r="AX321" t="s">
        <v>11</v>
      </c>
      <c r="AY321" t="s">
        <v>12</v>
      </c>
      <c r="AZ321" t="s">
        <v>13</v>
      </c>
      <c r="BA321" t="s">
        <v>14</v>
      </c>
      <c r="BB321" t="s">
        <v>15</v>
      </c>
      <c r="BC321" t="s">
        <v>17</v>
      </c>
      <c r="BD321" t="s">
        <v>18</v>
      </c>
      <c r="BE321" t="s">
        <v>19</v>
      </c>
      <c r="BF321" t="s">
        <v>20</v>
      </c>
      <c r="BG321" t="s">
        <v>21</v>
      </c>
      <c r="BH321" t="s">
        <v>22</v>
      </c>
      <c r="BI321" t="s">
        <v>23</v>
      </c>
      <c r="BJ321" t="s">
        <v>24</v>
      </c>
      <c r="BK321" t="s">
        <v>1</v>
      </c>
      <c r="BL321" t="s">
        <v>6</v>
      </c>
    </row>
    <row r="322" spans="1:64">
      <c r="A322" s="47">
        <v>506</v>
      </c>
      <c r="B322" s="27">
        <v>230001</v>
      </c>
      <c r="C322" s="27" t="s">
        <v>2180</v>
      </c>
      <c r="E322" s="27" t="s">
        <v>2148</v>
      </c>
      <c r="F322" s="27" t="s">
        <v>2156</v>
      </c>
      <c r="G322" s="27" t="s">
        <v>472</v>
      </c>
      <c r="K322" s="27" t="s">
        <v>2153</v>
      </c>
      <c r="L322" s="27" t="s">
        <v>2154</v>
      </c>
      <c r="M322" s="27" t="s">
        <v>2148</v>
      </c>
      <c r="AF322" s="37" t="str">
        <f xml:space="preserve"> AO322 &amp; REPT(" ",20-LEN(AO322)) &amp; AX322</f>
        <v>SP_ACLIN5           KS_CPR_A</v>
      </c>
      <c r="AG322" s="27" t="s">
        <v>2150</v>
      </c>
      <c r="AH322">
        <v>3</v>
      </c>
      <c r="AI322">
        <v>230001</v>
      </c>
      <c r="AJ322" t="s">
        <v>1237</v>
      </c>
      <c r="AK322" t="s">
        <v>26</v>
      </c>
      <c r="AL322" t="s">
        <v>26</v>
      </c>
      <c r="AM322" t="s">
        <v>470</v>
      </c>
      <c r="AN322" t="s">
        <v>471</v>
      </c>
      <c r="AO322" t="s">
        <v>472</v>
      </c>
      <c r="AP322">
        <v>1</v>
      </c>
      <c r="AQ322" t="s">
        <v>473</v>
      </c>
      <c r="AR322" t="s">
        <v>26</v>
      </c>
      <c r="AS322" t="s">
        <v>26</v>
      </c>
      <c r="AT322" t="s">
        <v>26</v>
      </c>
      <c r="AU322" t="s">
        <v>131</v>
      </c>
      <c r="AV322" t="s">
        <v>131</v>
      </c>
      <c r="AW322" t="s">
        <v>164</v>
      </c>
      <c r="AX322" t="s">
        <v>165</v>
      </c>
      <c r="AY322">
        <v>5</v>
      </c>
      <c r="AZ322" t="s">
        <v>166</v>
      </c>
      <c r="BA322" t="s">
        <v>68</v>
      </c>
      <c r="BB322" t="s">
        <v>26</v>
      </c>
      <c r="BC322" t="s">
        <v>1238</v>
      </c>
      <c r="BD322" t="s">
        <v>75</v>
      </c>
      <c r="BE322" t="s">
        <v>26</v>
      </c>
      <c r="BF322" t="s">
        <v>26</v>
      </c>
      <c r="BG322" s="146">
        <v>950</v>
      </c>
      <c r="BH322" t="s">
        <v>323</v>
      </c>
      <c r="BI322">
        <v>0.35</v>
      </c>
      <c r="BJ322" t="s">
        <v>474</v>
      </c>
      <c r="BK322" t="s">
        <v>1235</v>
      </c>
      <c r="BL322">
        <v>230001</v>
      </c>
    </row>
    <row r="323" spans="1:64">
      <c r="A323" s="47">
        <v>506</v>
      </c>
      <c r="B323" s="27">
        <v>230002</v>
      </c>
      <c r="C323" s="27" t="s">
        <v>2180</v>
      </c>
      <c r="E323" s="27" t="s">
        <v>2148</v>
      </c>
      <c r="F323" s="27" t="s">
        <v>2156</v>
      </c>
      <c r="G323" s="27" t="s">
        <v>568</v>
      </c>
      <c r="K323" s="27" t="s">
        <v>2153</v>
      </c>
      <c r="L323" s="27" t="s">
        <v>2154</v>
      </c>
      <c r="M323" s="27" t="s">
        <v>2148</v>
      </c>
      <c r="AF323" s="37" t="str">
        <f xml:space="preserve"> AO323 &amp; REPT(" ",20-LEN(AO323)) &amp; AX323</f>
        <v>SP_ACLIN3           KS_CPR_A</v>
      </c>
      <c r="AG323" s="27" t="s">
        <v>2150</v>
      </c>
      <c r="AH323">
        <v>3</v>
      </c>
      <c r="AI323">
        <v>230002</v>
      </c>
      <c r="AJ323" t="s">
        <v>1239</v>
      </c>
      <c r="AK323" t="s">
        <v>26</v>
      </c>
      <c r="AL323" t="s">
        <v>26</v>
      </c>
      <c r="AM323" t="s">
        <v>566</v>
      </c>
      <c r="AN323" t="s">
        <v>567</v>
      </c>
      <c r="AO323" t="s">
        <v>568</v>
      </c>
      <c r="AP323">
        <v>1</v>
      </c>
      <c r="AQ323" t="s">
        <v>177</v>
      </c>
      <c r="AR323" t="s">
        <v>26</v>
      </c>
      <c r="AS323" t="s">
        <v>26</v>
      </c>
      <c r="AT323" t="s">
        <v>26</v>
      </c>
      <c r="AU323" t="s">
        <v>131</v>
      </c>
      <c r="AV323" t="s">
        <v>131</v>
      </c>
      <c r="AW323" t="s">
        <v>164</v>
      </c>
      <c r="AX323" t="s">
        <v>165</v>
      </c>
      <c r="AY323">
        <v>8</v>
      </c>
      <c r="AZ323" t="s">
        <v>166</v>
      </c>
      <c r="BA323" t="s">
        <v>68</v>
      </c>
      <c r="BB323" t="s">
        <v>26</v>
      </c>
      <c r="BC323" t="s">
        <v>569</v>
      </c>
      <c r="BD323" t="s">
        <v>75</v>
      </c>
      <c r="BE323" t="s">
        <v>26</v>
      </c>
      <c r="BF323" t="s">
        <v>26</v>
      </c>
      <c r="BG323" s="146">
        <v>1397</v>
      </c>
      <c r="BH323" t="s">
        <v>570</v>
      </c>
      <c r="BI323">
        <v>0.35</v>
      </c>
      <c r="BJ323" t="s">
        <v>571</v>
      </c>
      <c r="BK323" t="s">
        <v>1235</v>
      </c>
      <c r="BL323">
        <v>230002</v>
      </c>
    </row>
    <row r="324" spans="1:64">
      <c r="A324" s="47"/>
      <c r="C324" s="27" t="s">
        <v>2181</v>
      </c>
      <c r="AF324" s="37" t="str">
        <f xml:space="preserve"> AO324 &amp; REPT(" ",20-LEN(AO324)) &amp; AX324</f>
        <v xml:space="preserve">                    </v>
      </c>
      <c r="AH324">
        <v>1</v>
      </c>
      <c r="AI324" t="s">
        <v>1240</v>
      </c>
    </row>
    <row r="325" spans="1:64">
      <c r="A325" s="160"/>
      <c r="C325" s="27" t="s">
        <v>2181</v>
      </c>
      <c r="AF325" s="37"/>
      <c r="AH325">
        <v>2</v>
      </c>
      <c r="AI325" t="s">
        <v>1</v>
      </c>
      <c r="AJ325" t="s">
        <v>1241</v>
      </c>
      <c r="AK325" t="s">
        <v>3</v>
      </c>
      <c r="AL325" s="146" t="s">
        <v>1420</v>
      </c>
      <c r="AN325" s="146" t="s">
        <v>2309</v>
      </c>
      <c r="AO325" t="s">
        <v>5</v>
      </c>
    </row>
    <row r="326" spans="1:64">
      <c r="A326" s="47"/>
      <c r="C326" s="27" t="s">
        <v>2181</v>
      </c>
      <c r="AF326" s="37" t="str">
        <f t="shared" ref="AF326:AF332" si="12" xml:space="preserve"> AO326 &amp; REPT(" ",20-LEN(AO326)) &amp; AX326</f>
        <v>Kurzname            Kurzname</v>
      </c>
      <c r="AH326">
        <v>0</v>
      </c>
      <c r="AI326" t="s">
        <v>6</v>
      </c>
      <c r="AJ326" t="s">
        <v>7</v>
      </c>
      <c r="AK326" t="s">
        <v>8</v>
      </c>
      <c r="AL326" t="s">
        <v>9</v>
      </c>
      <c r="AM326" t="s">
        <v>9</v>
      </c>
      <c r="AN326" t="s">
        <v>10</v>
      </c>
      <c r="AO326" t="s">
        <v>11</v>
      </c>
      <c r="AP326" t="s">
        <v>12</v>
      </c>
      <c r="AQ326" t="s">
        <v>13</v>
      </c>
      <c r="AR326" t="s">
        <v>14</v>
      </c>
      <c r="AS326" t="s">
        <v>15</v>
      </c>
      <c r="AT326" t="s">
        <v>8</v>
      </c>
      <c r="AU326" t="s">
        <v>9</v>
      </c>
      <c r="AV326" t="s">
        <v>9</v>
      </c>
      <c r="AW326" t="s">
        <v>16</v>
      </c>
      <c r="AX326" t="s">
        <v>11</v>
      </c>
      <c r="AY326" t="s">
        <v>12</v>
      </c>
      <c r="AZ326" t="s">
        <v>13</v>
      </c>
      <c r="BA326" t="s">
        <v>14</v>
      </c>
      <c r="BB326" t="s">
        <v>15</v>
      </c>
      <c r="BC326" t="s">
        <v>17</v>
      </c>
      <c r="BD326" t="s">
        <v>18</v>
      </c>
      <c r="BE326" t="s">
        <v>19</v>
      </c>
      <c r="BF326" t="s">
        <v>20</v>
      </c>
      <c r="BG326" t="s">
        <v>21</v>
      </c>
      <c r="BH326" t="s">
        <v>22</v>
      </c>
      <c r="BI326" t="s">
        <v>23</v>
      </c>
      <c r="BJ326" t="s">
        <v>24</v>
      </c>
      <c r="BK326" t="s">
        <v>1</v>
      </c>
      <c r="BL326" t="s">
        <v>6</v>
      </c>
    </row>
    <row r="327" spans="1:64">
      <c r="A327" s="170">
        <v>502.50599999999997</v>
      </c>
      <c r="B327" s="101">
        <v>267001</v>
      </c>
      <c r="C327" s="101" t="s">
        <v>2181</v>
      </c>
      <c r="D327" s="101"/>
      <c r="E327" s="101" t="s">
        <v>2148</v>
      </c>
      <c r="F327" s="101"/>
      <c r="G327" s="101"/>
      <c r="H327" s="101"/>
      <c r="I327" s="101"/>
      <c r="J327" s="101"/>
      <c r="K327" s="101"/>
      <c r="L327" s="101" t="s">
        <v>2149</v>
      </c>
      <c r="M327" s="101" t="s">
        <v>2149</v>
      </c>
      <c r="N327" s="101"/>
      <c r="O327" s="101"/>
      <c r="P327" s="101"/>
      <c r="Q327" s="101"/>
      <c r="R327" s="101"/>
      <c r="S327" s="101"/>
      <c r="T327" s="101">
        <v>980018121</v>
      </c>
      <c r="U327" s="101"/>
      <c r="V327" s="101"/>
      <c r="Y327" s="101"/>
      <c r="Z327" s="101"/>
      <c r="AA327" s="101"/>
      <c r="AB327" s="101"/>
      <c r="AC327" s="101"/>
      <c r="AD327" s="101"/>
      <c r="AE327" s="101" t="s">
        <v>1251</v>
      </c>
      <c r="AF327" s="196" t="str">
        <f t="shared" si="12"/>
        <v>KOMBI_B             MIB_P</v>
      </c>
      <c r="AG327" s="101" t="s">
        <v>2150</v>
      </c>
      <c r="AH327" s="102">
        <v>3</v>
      </c>
      <c r="AI327" s="102">
        <v>267001</v>
      </c>
      <c r="AJ327" s="102" t="s">
        <v>1242</v>
      </c>
      <c r="AK327" s="102" t="s">
        <v>26</v>
      </c>
      <c r="AL327" s="102" t="s">
        <v>27</v>
      </c>
      <c r="AM327" s="102" t="s">
        <v>27</v>
      </c>
      <c r="AN327" s="102" t="s">
        <v>1243</v>
      </c>
      <c r="AO327" s="102" t="s">
        <v>1244</v>
      </c>
      <c r="AP327" s="102">
        <v>2</v>
      </c>
      <c r="AQ327" s="165" t="s">
        <v>2310</v>
      </c>
      <c r="AR327" s="102" t="s">
        <v>1246</v>
      </c>
      <c r="AS327" s="102" t="s">
        <v>26</v>
      </c>
      <c r="AT327" s="102" t="s">
        <v>26</v>
      </c>
      <c r="AU327" s="102" t="s">
        <v>32</v>
      </c>
      <c r="AV327" s="102" t="s">
        <v>33</v>
      </c>
      <c r="AW327" s="102" t="s">
        <v>1247</v>
      </c>
      <c r="AX327" s="102" t="s">
        <v>1248</v>
      </c>
      <c r="AY327" s="102">
        <v>1</v>
      </c>
      <c r="AZ327" s="102" t="s">
        <v>1249</v>
      </c>
      <c r="BA327" s="102" t="s">
        <v>1246</v>
      </c>
      <c r="BB327" s="102" t="s">
        <v>26</v>
      </c>
      <c r="BC327" s="102" t="s">
        <v>1250</v>
      </c>
      <c r="BD327" s="102" t="s">
        <v>1251</v>
      </c>
      <c r="BE327" s="102" t="s">
        <v>26</v>
      </c>
      <c r="BF327" s="102" t="s">
        <v>26</v>
      </c>
      <c r="BG327" s="165">
        <v>2096</v>
      </c>
      <c r="BH327" s="102" t="s">
        <v>46</v>
      </c>
      <c r="BI327" s="102">
        <v>0.75</v>
      </c>
      <c r="BJ327" s="102" t="s">
        <v>1252</v>
      </c>
      <c r="BK327" s="102" t="s">
        <v>1241</v>
      </c>
      <c r="BL327" s="102">
        <v>267001</v>
      </c>
    </row>
    <row r="328" spans="1:64">
      <c r="A328" s="160">
        <v>502.50599999999997</v>
      </c>
      <c r="B328" s="27">
        <v>267001</v>
      </c>
      <c r="C328" s="27" t="s">
        <v>2181</v>
      </c>
      <c r="E328" s="27" t="s">
        <v>2148</v>
      </c>
      <c r="L328" s="27" t="s">
        <v>2149</v>
      </c>
      <c r="M328" s="27" t="s">
        <v>2149</v>
      </c>
      <c r="T328" s="146">
        <v>980019249</v>
      </c>
      <c r="AE328" s="27" t="s">
        <v>1251</v>
      </c>
      <c r="AF328" s="37" t="str">
        <f t="shared" si="12"/>
        <v>KOMBI_B             MIB_P</v>
      </c>
      <c r="AG328" s="27" t="s">
        <v>2150</v>
      </c>
      <c r="AH328">
        <v>3</v>
      </c>
      <c r="AI328">
        <v>267001</v>
      </c>
      <c r="AJ328" t="s">
        <v>1242</v>
      </c>
      <c r="AK328" t="s">
        <v>26</v>
      </c>
      <c r="AL328" t="s">
        <v>27</v>
      </c>
      <c r="AM328" t="s">
        <v>27</v>
      </c>
      <c r="AN328" t="s">
        <v>1243</v>
      </c>
      <c r="AO328" t="s">
        <v>1244</v>
      </c>
      <c r="AP328">
        <v>2</v>
      </c>
      <c r="AQ328" s="146" t="s">
        <v>2310</v>
      </c>
      <c r="AR328" t="s">
        <v>1246</v>
      </c>
      <c r="AS328" t="s">
        <v>26</v>
      </c>
      <c r="AT328" t="s">
        <v>26</v>
      </c>
      <c r="AU328" t="s">
        <v>32</v>
      </c>
      <c r="AV328" t="s">
        <v>33</v>
      </c>
      <c r="AW328" t="s">
        <v>1247</v>
      </c>
      <c r="AX328" t="s">
        <v>1248</v>
      </c>
      <c r="AY328">
        <v>1</v>
      </c>
      <c r="AZ328" t="s">
        <v>1249</v>
      </c>
      <c r="BA328" t="s">
        <v>1246</v>
      </c>
      <c r="BB328" t="s">
        <v>26</v>
      </c>
      <c r="BC328" t="s">
        <v>1250</v>
      </c>
      <c r="BD328" t="s">
        <v>1251</v>
      </c>
      <c r="BE328" t="s">
        <v>26</v>
      </c>
      <c r="BF328" t="s">
        <v>26</v>
      </c>
      <c r="BG328" s="146">
        <v>2096</v>
      </c>
      <c r="BH328" t="s">
        <v>46</v>
      </c>
      <c r="BI328">
        <v>0.75</v>
      </c>
      <c r="BJ328" t="s">
        <v>1252</v>
      </c>
      <c r="BK328" t="s">
        <v>1241</v>
      </c>
      <c r="BL328">
        <v>267001</v>
      </c>
    </row>
    <row r="329" spans="1:64">
      <c r="A329" s="170">
        <v>502.50599999999997</v>
      </c>
      <c r="B329" s="101">
        <v>267002</v>
      </c>
      <c r="C329" s="101" t="s">
        <v>2181</v>
      </c>
      <c r="D329" s="101"/>
      <c r="E329" s="101" t="s">
        <v>2148</v>
      </c>
      <c r="F329" s="101"/>
      <c r="G329" s="101"/>
      <c r="H329" s="101"/>
      <c r="I329" s="101"/>
      <c r="J329" s="101"/>
      <c r="K329" s="101"/>
      <c r="L329" s="101" t="s">
        <v>2149</v>
      </c>
      <c r="M329" s="101" t="s">
        <v>2149</v>
      </c>
      <c r="N329" s="101"/>
      <c r="O329" s="101"/>
      <c r="P329" s="101"/>
      <c r="Q329" s="101"/>
      <c r="R329" s="101"/>
      <c r="S329" s="101"/>
      <c r="T329" s="101">
        <v>980018121</v>
      </c>
      <c r="U329" s="101"/>
      <c r="V329" s="101"/>
      <c r="Y329" s="101"/>
      <c r="Z329" s="101"/>
      <c r="AA329" s="101"/>
      <c r="AB329" s="101"/>
      <c r="AC329" s="101"/>
      <c r="AD329" s="101"/>
      <c r="AE329" s="101" t="s">
        <v>1251</v>
      </c>
      <c r="AF329" s="196" t="str">
        <f t="shared" si="12"/>
        <v>KOMBI_B             MIB_P</v>
      </c>
      <c r="AG329" s="101" t="s">
        <v>2150</v>
      </c>
      <c r="AH329" s="102">
        <v>3</v>
      </c>
      <c r="AI329" s="102">
        <v>267002</v>
      </c>
      <c r="AJ329" s="102" t="s">
        <v>1253</v>
      </c>
      <c r="AK329" s="102" t="s">
        <v>26</v>
      </c>
      <c r="AL329" s="102" t="s">
        <v>27</v>
      </c>
      <c r="AM329" s="102" t="s">
        <v>27</v>
      </c>
      <c r="AN329" s="102" t="s">
        <v>1243</v>
      </c>
      <c r="AO329" s="102" t="s">
        <v>1244</v>
      </c>
      <c r="AP329" s="102">
        <v>1</v>
      </c>
      <c r="AQ329" s="165" t="s">
        <v>2310</v>
      </c>
      <c r="AR329" s="102" t="s">
        <v>1246</v>
      </c>
      <c r="AS329" s="102" t="s">
        <v>26</v>
      </c>
      <c r="AT329" s="102" t="s">
        <v>26</v>
      </c>
      <c r="AU329" s="102" t="s">
        <v>32</v>
      </c>
      <c r="AV329" s="102" t="s">
        <v>33</v>
      </c>
      <c r="AW329" s="102" t="s">
        <v>1247</v>
      </c>
      <c r="AX329" s="102" t="s">
        <v>1248</v>
      </c>
      <c r="AY329" s="102">
        <v>2</v>
      </c>
      <c r="AZ329" s="102" t="s">
        <v>1249</v>
      </c>
      <c r="BA329" s="102" t="s">
        <v>1246</v>
      </c>
      <c r="BB329" s="102" t="s">
        <v>26</v>
      </c>
      <c r="BC329" s="102" t="s">
        <v>1250</v>
      </c>
      <c r="BD329" s="102" t="s">
        <v>1251</v>
      </c>
      <c r="BE329" s="102" t="s">
        <v>26</v>
      </c>
      <c r="BF329" s="102" t="s">
        <v>26</v>
      </c>
      <c r="BG329" s="165">
        <v>2096</v>
      </c>
      <c r="BH329" s="102" t="s">
        <v>46</v>
      </c>
      <c r="BI329" s="102">
        <v>0.75</v>
      </c>
      <c r="BJ329" s="102" t="s">
        <v>1254</v>
      </c>
      <c r="BK329" s="102" t="s">
        <v>1241</v>
      </c>
      <c r="BL329" s="102">
        <v>267002</v>
      </c>
    </row>
    <row r="330" spans="1:64">
      <c r="A330" s="160">
        <v>502.50599999999997</v>
      </c>
      <c r="B330" s="27">
        <v>267002</v>
      </c>
      <c r="C330" s="27" t="s">
        <v>2181</v>
      </c>
      <c r="E330" s="27" t="s">
        <v>2148</v>
      </c>
      <c r="L330" s="27" t="s">
        <v>2149</v>
      </c>
      <c r="M330" s="27" t="s">
        <v>2149</v>
      </c>
      <c r="T330" s="146">
        <v>980019249</v>
      </c>
      <c r="AE330" s="27" t="s">
        <v>1251</v>
      </c>
      <c r="AF330" s="37" t="str">
        <f t="shared" si="12"/>
        <v>KOMBI_B             MIB_P</v>
      </c>
      <c r="AG330" s="27" t="s">
        <v>2150</v>
      </c>
      <c r="AH330">
        <v>3</v>
      </c>
      <c r="AI330">
        <v>267002</v>
      </c>
      <c r="AJ330" t="s">
        <v>1253</v>
      </c>
      <c r="AK330" t="s">
        <v>26</v>
      </c>
      <c r="AL330" t="s">
        <v>27</v>
      </c>
      <c r="AM330" t="s">
        <v>27</v>
      </c>
      <c r="AN330" t="s">
        <v>1243</v>
      </c>
      <c r="AO330" t="s">
        <v>1244</v>
      </c>
      <c r="AP330">
        <v>1</v>
      </c>
      <c r="AQ330" s="146" t="s">
        <v>2310</v>
      </c>
      <c r="AR330" t="s">
        <v>1246</v>
      </c>
      <c r="AS330" t="s">
        <v>26</v>
      </c>
      <c r="AT330" t="s">
        <v>26</v>
      </c>
      <c r="AU330" t="s">
        <v>32</v>
      </c>
      <c r="AV330" t="s">
        <v>33</v>
      </c>
      <c r="AW330" t="s">
        <v>1247</v>
      </c>
      <c r="AX330" t="s">
        <v>1248</v>
      </c>
      <c r="AY330">
        <v>2</v>
      </c>
      <c r="AZ330" t="s">
        <v>1249</v>
      </c>
      <c r="BA330" t="s">
        <v>1246</v>
      </c>
      <c r="BB330" t="s">
        <v>26</v>
      </c>
      <c r="BC330" t="s">
        <v>1250</v>
      </c>
      <c r="BD330" t="s">
        <v>1251</v>
      </c>
      <c r="BE330" t="s">
        <v>26</v>
      </c>
      <c r="BF330" t="s">
        <v>26</v>
      </c>
      <c r="BG330" s="146">
        <v>2096</v>
      </c>
      <c r="BH330" t="s">
        <v>46</v>
      </c>
      <c r="BI330">
        <v>0.75</v>
      </c>
      <c r="BJ330" t="s">
        <v>1254</v>
      </c>
      <c r="BK330" t="s">
        <v>1241</v>
      </c>
      <c r="BL330">
        <v>267002</v>
      </c>
    </row>
    <row r="331" spans="1:64">
      <c r="A331" s="160">
        <v>502.50599999999997</v>
      </c>
      <c r="B331" s="27">
        <v>267003</v>
      </c>
      <c r="C331" s="27" t="s">
        <v>2181</v>
      </c>
      <c r="E331" s="27" t="s">
        <v>2148</v>
      </c>
      <c r="AF331" s="37" t="str">
        <f t="shared" si="12"/>
        <v>KOMBI_A             MIB_E</v>
      </c>
      <c r="AG331" s="27" t="s">
        <v>2150</v>
      </c>
      <c r="AH331">
        <v>3</v>
      </c>
      <c r="AI331">
        <v>267003</v>
      </c>
      <c r="AJ331" t="s">
        <v>1255</v>
      </c>
      <c r="AK331" t="s">
        <v>26</v>
      </c>
      <c r="AL331" t="s">
        <v>27</v>
      </c>
      <c r="AM331" t="s">
        <v>27</v>
      </c>
      <c r="AN331" t="s">
        <v>294</v>
      </c>
      <c r="AO331" t="s">
        <v>295</v>
      </c>
      <c r="AP331">
        <v>16</v>
      </c>
      <c r="AQ331" s="146" t="s">
        <v>2307</v>
      </c>
      <c r="AR331" t="s">
        <v>321</v>
      </c>
      <c r="AS331" t="s">
        <v>26</v>
      </c>
      <c r="AT331" t="s">
        <v>26</v>
      </c>
      <c r="AU331" t="s">
        <v>32</v>
      </c>
      <c r="AV331" t="s">
        <v>33</v>
      </c>
      <c r="AW331" t="s">
        <v>240</v>
      </c>
      <c r="AX331" t="s">
        <v>241</v>
      </c>
      <c r="AY331">
        <v>3</v>
      </c>
      <c r="AZ331" t="s">
        <v>242</v>
      </c>
      <c r="BA331" t="s">
        <v>321</v>
      </c>
      <c r="BB331" t="s">
        <v>26</v>
      </c>
      <c r="BC331" t="s">
        <v>1256</v>
      </c>
      <c r="BD331" t="s">
        <v>75</v>
      </c>
      <c r="BE331" t="s">
        <v>26</v>
      </c>
      <c r="BF331" t="s">
        <v>26</v>
      </c>
      <c r="BG331" s="146">
        <v>2185</v>
      </c>
      <c r="BH331" t="s">
        <v>902</v>
      </c>
      <c r="BI331">
        <v>0.13</v>
      </c>
      <c r="BJ331" t="s">
        <v>1257</v>
      </c>
      <c r="BK331" t="s">
        <v>1241</v>
      </c>
      <c r="BL331">
        <v>267003</v>
      </c>
    </row>
    <row r="332" spans="1:64">
      <c r="A332" s="47"/>
      <c r="C332" s="27" t="s">
        <v>2182</v>
      </c>
      <c r="AF332" s="37" t="str">
        <f t="shared" si="12"/>
        <v xml:space="preserve">                    </v>
      </c>
      <c r="AH332">
        <v>1</v>
      </c>
      <c r="AI332" t="s">
        <v>1258</v>
      </c>
    </row>
    <row r="333" spans="1:64">
      <c r="A333" s="47"/>
      <c r="C333" s="27" t="s">
        <v>2182</v>
      </c>
      <c r="AF333" s="37"/>
      <c r="AH333">
        <v>2</v>
      </c>
      <c r="AI333" t="s">
        <v>1</v>
      </c>
      <c r="AJ333" t="s">
        <v>1259</v>
      </c>
      <c r="AK333" t="s">
        <v>3</v>
      </c>
      <c r="AL333" t="s">
        <v>1260</v>
      </c>
      <c r="AN333" t="s">
        <v>1261</v>
      </c>
      <c r="AO333" t="s">
        <v>5</v>
      </c>
    </row>
    <row r="334" spans="1:64">
      <c r="A334" s="47"/>
      <c r="C334" s="27" t="s">
        <v>2182</v>
      </c>
      <c r="AF334" s="37" t="str">
        <f t="shared" ref="AF334:AF340" si="13" xml:space="preserve"> AO334 &amp; REPT(" ",20-LEN(AO334)) &amp; AX334</f>
        <v>Kurzname            Kurzname</v>
      </c>
      <c r="AH334">
        <v>0</v>
      </c>
      <c r="AI334" t="s">
        <v>6</v>
      </c>
      <c r="AJ334" t="s">
        <v>7</v>
      </c>
      <c r="AK334" t="s">
        <v>8</v>
      </c>
      <c r="AL334" t="s">
        <v>9</v>
      </c>
      <c r="AM334" t="s">
        <v>9</v>
      </c>
      <c r="AN334" t="s">
        <v>10</v>
      </c>
      <c r="AO334" t="s">
        <v>11</v>
      </c>
      <c r="AP334" t="s">
        <v>12</v>
      </c>
      <c r="AQ334" t="s">
        <v>13</v>
      </c>
      <c r="AR334" t="s">
        <v>14</v>
      </c>
      <c r="AS334" t="s">
        <v>15</v>
      </c>
      <c r="AT334" t="s">
        <v>8</v>
      </c>
      <c r="AU334" t="s">
        <v>9</v>
      </c>
      <c r="AV334" t="s">
        <v>9</v>
      </c>
      <c r="AW334" t="s">
        <v>16</v>
      </c>
      <c r="AX334" t="s">
        <v>11</v>
      </c>
      <c r="AY334" t="s">
        <v>12</v>
      </c>
      <c r="AZ334" t="s">
        <v>13</v>
      </c>
      <c r="BA334" t="s">
        <v>14</v>
      </c>
      <c r="BB334" t="s">
        <v>15</v>
      </c>
      <c r="BC334" t="s">
        <v>17</v>
      </c>
      <c r="BD334" t="s">
        <v>18</v>
      </c>
      <c r="BE334" t="s">
        <v>19</v>
      </c>
      <c r="BF334" t="s">
        <v>20</v>
      </c>
      <c r="BG334" t="s">
        <v>21</v>
      </c>
      <c r="BH334" t="s">
        <v>22</v>
      </c>
      <c r="BI334" t="s">
        <v>23</v>
      </c>
      <c r="BJ334" t="s">
        <v>24</v>
      </c>
      <c r="BK334" t="s">
        <v>1</v>
      </c>
      <c r="BL334" t="s">
        <v>6</v>
      </c>
    </row>
    <row r="335" spans="1:64">
      <c r="A335" s="47"/>
      <c r="B335" s="27">
        <v>295001</v>
      </c>
      <c r="C335" s="27" t="s">
        <v>2182</v>
      </c>
      <c r="E335" s="27" t="s">
        <v>2148</v>
      </c>
      <c r="L335" s="27" t="s">
        <v>2149</v>
      </c>
      <c r="M335" s="27" t="s">
        <v>2149</v>
      </c>
      <c r="T335" s="27">
        <v>980018114</v>
      </c>
      <c r="AF335" s="37" t="str">
        <f t="shared" si="13"/>
        <v>MIB_H               KS_CPM_B</v>
      </c>
      <c r="AG335" s="27" t="s">
        <v>2150</v>
      </c>
      <c r="AH335">
        <v>3</v>
      </c>
      <c r="AI335">
        <v>295001</v>
      </c>
      <c r="AJ335" t="s">
        <v>1262</v>
      </c>
      <c r="AK335" t="s">
        <v>26</v>
      </c>
      <c r="AL335" t="s">
        <v>32</v>
      </c>
      <c r="AM335" t="s">
        <v>33</v>
      </c>
      <c r="AN335" t="s">
        <v>1263</v>
      </c>
      <c r="AO335" t="s">
        <v>1264</v>
      </c>
      <c r="AP335">
        <v>4</v>
      </c>
      <c r="AQ335" t="s">
        <v>1265</v>
      </c>
      <c r="AR335" t="s">
        <v>37</v>
      </c>
      <c r="AS335" t="s">
        <v>26</v>
      </c>
      <c r="AT335" t="s">
        <v>26</v>
      </c>
      <c r="AU335" t="s">
        <v>69</v>
      </c>
      <c r="AV335" t="s">
        <v>69</v>
      </c>
      <c r="AW335" t="s">
        <v>1266</v>
      </c>
      <c r="AX335" t="s">
        <v>1267</v>
      </c>
      <c r="AY335">
        <v>1</v>
      </c>
      <c r="AZ335" t="s">
        <v>1268</v>
      </c>
      <c r="BA335" t="s">
        <v>37</v>
      </c>
      <c r="BB335" t="s">
        <v>26</v>
      </c>
      <c r="BC335" t="s">
        <v>38</v>
      </c>
      <c r="BD335" t="s">
        <v>39</v>
      </c>
      <c r="BE335" t="s">
        <v>1269</v>
      </c>
      <c r="BF335" t="s">
        <v>53</v>
      </c>
      <c r="BG335">
        <v>936</v>
      </c>
      <c r="BH335" t="s">
        <v>54</v>
      </c>
      <c r="BI335">
        <v>0.14000000000000001</v>
      </c>
      <c r="BJ335" t="s">
        <v>1270</v>
      </c>
      <c r="BK335" t="s">
        <v>1259</v>
      </c>
      <c r="BL335">
        <v>295001</v>
      </c>
    </row>
    <row r="336" spans="1:64">
      <c r="A336" s="47"/>
      <c r="B336" s="27">
        <v>295002</v>
      </c>
      <c r="C336" s="27" t="s">
        <v>2182</v>
      </c>
      <c r="E336" s="27" t="s">
        <v>2148</v>
      </c>
      <c r="L336" s="27" t="s">
        <v>2149</v>
      </c>
      <c r="M336" s="27" t="s">
        <v>2149</v>
      </c>
      <c r="T336" s="27">
        <v>980018114</v>
      </c>
      <c r="AF336" s="37" t="str">
        <f t="shared" si="13"/>
        <v>MIB_H               KS_CPM_B</v>
      </c>
      <c r="AG336" s="27" t="s">
        <v>2150</v>
      </c>
      <c r="AH336">
        <v>3</v>
      </c>
      <c r="AI336">
        <v>295002</v>
      </c>
      <c r="AJ336" t="s">
        <v>1271</v>
      </c>
      <c r="AK336" t="s">
        <v>26</v>
      </c>
      <c r="AL336" t="s">
        <v>32</v>
      </c>
      <c r="AM336" t="s">
        <v>33</v>
      </c>
      <c r="AN336" t="s">
        <v>1263</v>
      </c>
      <c r="AO336" t="s">
        <v>1264</v>
      </c>
      <c r="AP336" t="s">
        <v>57</v>
      </c>
      <c r="AQ336" t="s">
        <v>1265</v>
      </c>
      <c r="AR336" t="s">
        <v>58</v>
      </c>
      <c r="AS336" t="s">
        <v>26</v>
      </c>
      <c r="AT336" t="s">
        <v>26</v>
      </c>
      <c r="AU336" t="s">
        <v>69</v>
      </c>
      <c r="AV336" t="s">
        <v>69</v>
      </c>
      <c r="AW336" t="s">
        <v>1266</v>
      </c>
      <c r="AX336" t="s">
        <v>1267</v>
      </c>
      <c r="AY336" t="s">
        <v>57</v>
      </c>
      <c r="AZ336" t="s">
        <v>1268</v>
      </c>
      <c r="BA336" t="s">
        <v>58</v>
      </c>
      <c r="BB336" t="s">
        <v>26</v>
      </c>
      <c r="BC336" t="s">
        <v>38</v>
      </c>
      <c r="BD336" t="s">
        <v>59</v>
      </c>
      <c r="BE336" t="s">
        <v>1269</v>
      </c>
      <c r="BF336" t="s">
        <v>60</v>
      </c>
      <c r="BG336">
        <v>936</v>
      </c>
      <c r="BH336" t="s">
        <v>61</v>
      </c>
      <c r="BI336">
        <v>1</v>
      </c>
      <c r="BJ336" t="s">
        <v>1272</v>
      </c>
      <c r="BK336" t="s">
        <v>1259</v>
      </c>
      <c r="BL336">
        <v>295002</v>
      </c>
    </row>
    <row r="337" spans="1:64">
      <c r="A337" s="47"/>
      <c r="B337" s="27">
        <v>295003</v>
      </c>
      <c r="C337" s="27" t="s">
        <v>2182</v>
      </c>
      <c r="E337" s="27" t="s">
        <v>2148</v>
      </c>
      <c r="L337" s="27" t="s">
        <v>2149</v>
      </c>
      <c r="M337" s="27" t="s">
        <v>2149</v>
      </c>
      <c r="T337" s="27">
        <v>980018114</v>
      </c>
      <c r="AF337" s="37" t="str">
        <f t="shared" si="13"/>
        <v>MIB_H               KS_CPM_B</v>
      </c>
      <c r="AG337" s="27" t="s">
        <v>2150</v>
      </c>
      <c r="AH337">
        <v>3</v>
      </c>
      <c r="AI337">
        <v>295003</v>
      </c>
      <c r="AJ337" t="s">
        <v>1273</v>
      </c>
      <c r="AK337" t="s">
        <v>26</v>
      </c>
      <c r="AL337" t="s">
        <v>32</v>
      </c>
      <c r="AM337" t="s">
        <v>33</v>
      </c>
      <c r="AN337" t="s">
        <v>1263</v>
      </c>
      <c r="AO337" t="s">
        <v>1264</v>
      </c>
      <c r="AP337">
        <v>3</v>
      </c>
      <c r="AQ337" t="s">
        <v>1265</v>
      </c>
      <c r="AR337" t="s">
        <v>37</v>
      </c>
      <c r="AS337" t="s">
        <v>26</v>
      </c>
      <c r="AT337" t="s">
        <v>26</v>
      </c>
      <c r="AU337" t="s">
        <v>69</v>
      </c>
      <c r="AV337" t="s">
        <v>69</v>
      </c>
      <c r="AW337" t="s">
        <v>1266</v>
      </c>
      <c r="AX337" t="s">
        <v>1267</v>
      </c>
      <c r="AY337">
        <v>2</v>
      </c>
      <c r="AZ337" t="s">
        <v>1268</v>
      </c>
      <c r="BA337" t="s">
        <v>37</v>
      </c>
      <c r="BB337" t="s">
        <v>26</v>
      </c>
      <c r="BC337" t="s">
        <v>38</v>
      </c>
      <c r="BD337" t="s">
        <v>39</v>
      </c>
      <c r="BE337" t="s">
        <v>1269</v>
      </c>
      <c r="BF337" t="s">
        <v>49</v>
      </c>
      <c r="BG337">
        <v>936</v>
      </c>
      <c r="BH337" t="s">
        <v>50</v>
      </c>
      <c r="BI337">
        <v>0.14000000000000001</v>
      </c>
      <c r="BJ337" t="s">
        <v>1274</v>
      </c>
      <c r="BK337" t="s">
        <v>1259</v>
      </c>
      <c r="BL337">
        <v>295003</v>
      </c>
    </row>
    <row r="338" spans="1:64">
      <c r="A338" s="47"/>
      <c r="B338" s="27">
        <v>295004</v>
      </c>
      <c r="C338" s="27" t="s">
        <v>2182</v>
      </c>
      <c r="E338" s="27" t="s">
        <v>2148</v>
      </c>
      <c r="L338" s="27" t="s">
        <v>2149</v>
      </c>
      <c r="M338" s="27" t="s">
        <v>2149</v>
      </c>
      <c r="T338" s="27">
        <v>980018114</v>
      </c>
      <c r="AF338" s="37" t="str">
        <f t="shared" si="13"/>
        <v>MIB_H               KS_CPM_B</v>
      </c>
      <c r="AG338" s="27" t="s">
        <v>2150</v>
      </c>
      <c r="AH338">
        <v>3</v>
      </c>
      <c r="AI338">
        <v>295004</v>
      </c>
      <c r="AJ338" t="s">
        <v>1275</v>
      </c>
      <c r="AK338" t="s">
        <v>26</v>
      </c>
      <c r="AL338" t="s">
        <v>32</v>
      </c>
      <c r="AM338" t="s">
        <v>33</v>
      </c>
      <c r="AN338" t="s">
        <v>1263</v>
      </c>
      <c r="AO338" t="s">
        <v>1264</v>
      </c>
      <c r="AP338">
        <v>1</v>
      </c>
      <c r="AQ338" t="s">
        <v>1265</v>
      </c>
      <c r="AR338" t="s">
        <v>37</v>
      </c>
      <c r="AS338" t="s">
        <v>26</v>
      </c>
      <c r="AT338" t="s">
        <v>26</v>
      </c>
      <c r="AU338" t="s">
        <v>69</v>
      </c>
      <c r="AV338" t="s">
        <v>69</v>
      </c>
      <c r="AW338" t="s">
        <v>1266</v>
      </c>
      <c r="AX338" t="s">
        <v>1267</v>
      </c>
      <c r="AY338">
        <v>4</v>
      </c>
      <c r="AZ338" t="s">
        <v>1268</v>
      </c>
      <c r="BA338" t="s">
        <v>37</v>
      </c>
      <c r="BB338" t="s">
        <v>26</v>
      </c>
      <c r="BC338" t="s">
        <v>38</v>
      </c>
      <c r="BD338" t="s">
        <v>39</v>
      </c>
      <c r="BE338" t="s">
        <v>1269</v>
      </c>
      <c r="BF338" t="s">
        <v>41</v>
      </c>
      <c r="BG338">
        <v>936</v>
      </c>
      <c r="BH338" t="s">
        <v>42</v>
      </c>
      <c r="BI338">
        <v>0.14000000000000001</v>
      </c>
      <c r="BJ338" t="s">
        <v>1276</v>
      </c>
      <c r="BK338" t="s">
        <v>1259</v>
      </c>
      <c r="BL338">
        <v>295004</v>
      </c>
    </row>
    <row r="339" spans="1:64">
      <c r="A339" s="47"/>
      <c r="B339" s="27">
        <v>295005</v>
      </c>
      <c r="C339" s="27" t="s">
        <v>2182</v>
      </c>
      <c r="E339" s="27" t="s">
        <v>2148</v>
      </c>
      <c r="L339" s="27" t="s">
        <v>2149</v>
      </c>
      <c r="M339" s="27" t="s">
        <v>2149</v>
      </c>
      <c r="T339" s="27">
        <v>980018114</v>
      </c>
      <c r="AF339" s="37" t="str">
        <f t="shared" si="13"/>
        <v>MIB_H               KS_CPM_B</v>
      </c>
      <c r="AG339" s="27" t="s">
        <v>2150</v>
      </c>
      <c r="AH339">
        <v>3</v>
      </c>
      <c r="AI339">
        <v>295005</v>
      </c>
      <c r="AJ339" t="s">
        <v>1277</v>
      </c>
      <c r="AK339" t="s">
        <v>26</v>
      </c>
      <c r="AL339" t="s">
        <v>32</v>
      </c>
      <c r="AM339" t="s">
        <v>33</v>
      </c>
      <c r="AN339" t="s">
        <v>1263</v>
      </c>
      <c r="AO339" t="s">
        <v>1264</v>
      </c>
      <c r="AP339">
        <v>2</v>
      </c>
      <c r="AQ339" t="s">
        <v>1265</v>
      </c>
      <c r="AR339" t="s">
        <v>37</v>
      </c>
      <c r="AS339" t="s">
        <v>26</v>
      </c>
      <c r="AT339" t="s">
        <v>26</v>
      </c>
      <c r="AU339" t="s">
        <v>69</v>
      </c>
      <c r="AV339" t="s">
        <v>69</v>
      </c>
      <c r="AW339" t="s">
        <v>1266</v>
      </c>
      <c r="AX339" t="s">
        <v>1267</v>
      </c>
      <c r="AY339">
        <v>3</v>
      </c>
      <c r="AZ339" t="s">
        <v>1268</v>
      </c>
      <c r="BA339" t="s">
        <v>37</v>
      </c>
      <c r="BB339" t="s">
        <v>26</v>
      </c>
      <c r="BC339" t="s">
        <v>38</v>
      </c>
      <c r="BD339" t="s">
        <v>39</v>
      </c>
      <c r="BE339" t="s">
        <v>1269</v>
      </c>
      <c r="BF339" t="s">
        <v>45</v>
      </c>
      <c r="BG339">
        <v>936</v>
      </c>
      <c r="BH339" t="s">
        <v>46</v>
      </c>
      <c r="BI339">
        <v>0.14000000000000001</v>
      </c>
      <c r="BJ339" t="s">
        <v>1278</v>
      </c>
      <c r="BK339" t="s">
        <v>1259</v>
      </c>
      <c r="BL339">
        <v>295005</v>
      </c>
    </row>
    <row r="340" spans="1:64">
      <c r="A340" s="47"/>
      <c r="C340" s="27" t="s">
        <v>2183</v>
      </c>
      <c r="AF340" s="37" t="str">
        <f t="shared" si="13"/>
        <v xml:space="preserve">                    </v>
      </c>
      <c r="AH340">
        <v>1</v>
      </c>
      <c r="AI340" t="s">
        <v>1279</v>
      </c>
    </row>
    <row r="341" spans="1:64">
      <c r="A341" s="160">
        <v>506</v>
      </c>
      <c r="C341" s="27" t="s">
        <v>2183</v>
      </c>
      <c r="AF341" s="37"/>
      <c r="AH341">
        <v>2</v>
      </c>
      <c r="AI341" t="s">
        <v>1</v>
      </c>
      <c r="AJ341" t="s">
        <v>1280</v>
      </c>
      <c r="AK341" t="s">
        <v>1281</v>
      </c>
      <c r="AL341" s="146" t="s">
        <v>744</v>
      </c>
      <c r="AN341" s="146" t="s">
        <v>962</v>
      </c>
      <c r="AO341" t="s">
        <v>5</v>
      </c>
    </row>
    <row r="342" spans="1:64">
      <c r="A342" s="47"/>
      <c r="C342" s="27" t="s">
        <v>2183</v>
      </c>
      <c r="AF342" s="37" t="str">
        <f t="shared" ref="AF342:AF349" si="14" xml:space="preserve"> AO342 &amp; REPT(" ",20-LEN(AO342)) &amp; AX342</f>
        <v>Kurzname            Kurzname</v>
      </c>
      <c r="AH342">
        <v>0</v>
      </c>
      <c r="AI342" t="s">
        <v>6</v>
      </c>
      <c r="AJ342" t="s">
        <v>7</v>
      </c>
      <c r="AK342" t="s">
        <v>8</v>
      </c>
      <c r="AL342" t="s">
        <v>9</v>
      </c>
      <c r="AM342" t="s">
        <v>9</v>
      </c>
      <c r="AN342" t="s">
        <v>10</v>
      </c>
      <c r="AO342" t="s">
        <v>11</v>
      </c>
      <c r="AP342" t="s">
        <v>12</v>
      </c>
      <c r="AQ342" t="s">
        <v>13</v>
      </c>
      <c r="AR342" t="s">
        <v>14</v>
      </c>
      <c r="AS342" t="s">
        <v>15</v>
      </c>
      <c r="AT342" t="s">
        <v>8</v>
      </c>
      <c r="AU342" t="s">
        <v>9</v>
      </c>
      <c r="AV342" t="s">
        <v>9</v>
      </c>
      <c r="AW342" t="s">
        <v>16</v>
      </c>
      <c r="AX342" t="s">
        <v>11</v>
      </c>
      <c r="AY342" t="s">
        <v>12</v>
      </c>
      <c r="AZ342" t="s">
        <v>13</v>
      </c>
      <c r="BA342" t="s">
        <v>14</v>
      </c>
      <c r="BB342" t="s">
        <v>15</v>
      </c>
      <c r="BC342" t="s">
        <v>17</v>
      </c>
      <c r="BD342" t="s">
        <v>18</v>
      </c>
      <c r="BE342" t="s">
        <v>19</v>
      </c>
      <c r="BF342" t="s">
        <v>20</v>
      </c>
      <c r="BG342" t="s">
        <v>21</v>
      </c>
      <c r="BH342" t="s">
        <v>22</v>
      </c>
      <c r="BI342" t="s">
        <v>23</v>
      </c>
      <c r="BJ342" t="s">
        <v>24</v>
      </c>
      <c r="BK342" t="s">
        <v>1</v>
      </c>
      <c r="BL342" t="s">
        <v>6</v>
      </c>
    </row>
    <row r="343" spans="1:64">
      <c r="A343" s="160">
        <v>502.50599999999997</v>
      </c>
      <c r="B343" s="27">
        <v>321001</v>
      </c>
      <c r="C343" s="27" t="s">
        <v>2183</v>
      </c>
      <c r="E343" s="27" t="s">
        <v>2151</v>
      </c>
      <c r="F343" s="27" t="s">
        <v>2152</v>
      </c>
      <c r="G343" s="27" t="s">
        <v>102</v>
      </c>
      <c r="K343" s="27" t="s">
        <v>2153</v>
      </c>
      <c r="L343" s="27" t="s">
        <v>2154</v>
      </c>
      <c r="M343" s="27" t="s">
        <v>2148</v>
      </c>
      <c r="AE343" s="27" t="s">
        <v>2155</v>
      </c>
      <c r="AF343" s="37" t="str">
        <f t="shared" si="14"/>
        <v>SP_CANHK            HUD3P</v>
      </c>
      <c r="AG343" s="27" t="s">
        <v>2150</v>
      </c>
      <c r="AH343">
        <v>3</v>
      </c>
      <c r="AI343">
        <v>321001</v>
      </c>
      <c r="AJ343" t="s">
        <v>1282</v>
      </c>
      <c r="AK343" t="s">
        <v>26</v>
      </c>
      <c r="AL343" t="s">
        <v>26</v>
      </c>
      <c r="AM343" t="s">
        <v>100</v>
      </c>
      <c r="AN343" t="s">
        <v>101</v>
      </c>
      <c r="AO343" t="s">
        <v>102</v>
      </c>
      <c r="AP343">
        <v>1</v>
      </c>
      <c r="AQ343" s="146" t="s">
        <v>2306</v>
      </c>
      <c r="AR343" t="s">
        <v>26</v>
      </c>
      <c r="AS343" t="s">
        <v>26</v>
      </c>
      <c r="AT343" t="s">
        <v>26</v>
      </c>
      <c r="AU343" t="s">
        <v>1283</v>
      </c>
      <c r="AV343" t="s">
        <v>1283</v>
      </c>
      <c r="AW343" t="s">
        <v>1284</v>
      </c>
      <c r="AX343" t="s">
        <v>1285</v>
      </c>
      <c r="AY343">
        <v>1</v>
      </c>
      <c r="AZ343" t="s">
        <v>1286</v>
      </c>
      <c r="BA343" t="s">
        <v>243</v>
      </c>
      <c r="BB343" t="s">
        <v>26</v>
      </c>
      <c r="BC343" t="s">
        <v>94</v>
      </c>
      <c r="BD343" t="s">
        <v>75</v>
      </c>
      <c r="BE343" t="s">
        <v>1287</v>
      </c>
      <c r="BF343" t="s">
        <v>103</v>
      </c>
      <c r="BG343" s="146">
        <v>1113</v>
      </c>
      <c r="BH343" t="s">
        <v>104</v>
      </c>
      <c r="BI343">
        <v>0.35</v>
      </c>
      <c r="BJ343" t="s">
        <v>105</v>
      </c>
      <c r="BK343" t="s">
        <v>1280</v>
      </c>
      <c r="BL343">
        <v>321001</v>
      </c>
    </row>
    <row r="344" spans="1:64">
      <c r="A344" s="160">
        <v>502.50599999999997</v>
      </c>
      <c r="B344" s="27">
        <v>321002</v>
      </c>
      <c r="C344" s="27" t="s">
        <v>2183</v>
      </c>
      <c r="E344" s="27" t="s">
        <v>2151</v>
      </c>
      <c r="F344" s="27" t="s">
        <v>2152</v>
      </c>
      <c r="G344" s="27" t="s">
        <v>89</v>
      </c>
      <c r="K344" s="27" t="s">
        <v>2153</v>
      </c>
      <c r="L344" s="27" t="s">
        <v>2154</v>
      </c>
      <c r="M344" s="27" t="s">
        <v>2148</v>
      </c>
      <c r="AE344" s="27" t="s">
        <v>2155</v>
      </c>
      <c r="AF344" s="37" t="str">
        <f t="shared" si="14"/>
        <v>SP_CANLK            HUD3P</v>
      </c>
      <c r="AG344" s="27" t="s">
        <v>2150</v>
      </c>
      <c r="AH344">
        <v>3</v>
      </c>
      <c r="AI344">
        <v>321002</v>
      </c>
      <c r="AJ344" t="s">
        <v>1288</v>
      </c>
      <c r="AK344" t="s">
        <v>26</v>
      </c>
      <c r="AL344" t="s">
        <v>26</v>
      </c>
      <c r="AM344" t="s">
        <v>87</v>
      </c>
      <c r="AN344" t="s">
        <v>88</v>
      </c>
      <c r="AO344" t="s">
        <v>89</v>
      </c>
      <c r="AP344">
        <v>1</v>
      </c>
      <c r="AQ344" s="146" t="s">
        <v>2306</v>
      </c>
      <c r="AR344" t="s">
        <v>26</v>
      </c>
      <c r="AS344" t="s">
        <v>26</v>
      </c>
      <c r="AT344" t="s">
        <v>26</v>
      </c>
      <c r="AU344" t="s">
        <v>1283</v>
      </c>
      <c r="AV344" t="s">
        <v>1283</v>
      </c>
      <c r="AW344" t="s">
        <v>1284</v>
      </c>
      <c r="AX344" t="s">
        <v>1285</v>
      </c>
      <c r="AY344">
        <v>2</v>
      </c>
      <c r="AZ344" t="s">
        <v>1286</v>
      </c>
      <c r="BA344" t="s">
        <v>243</v>
      </c>
      <c r="BB344" t="s">
        <v>26</v>
      </c>
      <c r="BC344" t="s">
        <v>94</v>
      </c>
      <c r="BD344" t="s">
        <v>75</v>
      </c>
      <c r="BE344" t="s">
        <v>1287</v>
      </c>
      <c r="BF344" t="s">
        <v>96</v>
      </c>
      <c r="BG344" s="146">
        <v>1113</v>
      </c>
      <c r="BH344" t="s">
        <v>97</v>
      </c>
      <c r="BI344">
        <v>0.35</v>
      </c>
      <c r="BJ344" t="s">
        <v>98</v>
      </c>
      <c r="BK344" t="s">
        <v>1280</v>
      </c>
      <c r="BL344">
        <v>321002</v>
      </c>
    </row>
    <row r="345" spans="1:64">
      <c r="A345" s="47">
        <v>506</v>
      </c>
      <c r="B345" s="27">
        <v>321003</v>
      </c>
      <c r="C345" s="27" t="s">
        <v>2183</v>
      </c>
      <c r="E345" s="27" t="s">
        <v>2148</v>
      </c>
      <c r="AF345" s="37" t="str">
        <f t="shared" si="14"/>
        <v>STO51A              HUD3P</v>
      </c>
      <c r="AG345" s="27" t="s">
        <v>2150</v>
      </c>
      <c r="AH345">
        <v>3</v>
      </c>
      <c r="AI345">
        <v>321003</v>
      </c>
      <c r="AJ345" t="s">
        <v>1289</v>
      </c>
      <c r="AK345" t="s">
        <v>26</v>
      </c>
      <c r="AL345" t="s">
        <v>219</v>
      </c>
      <c r="AM345" t="s">
        <v>219</v>
      </c>
      <c r="AN345" t="s">
        <v>220</v>
      </c>
      <c r="AO345" t="s">
        <v>221</v>
      </c>
      <c r="AP345" t="s">
        <v>1290</v>
      </c>
      <c r="AQ345" t="s">
        <v>223</v>
      </c>
      <c r="AR345" t="s">
        <v>304</v>
      </c>
      <c r="AS345" t="s">
        <v>26</v>
      </c>
      <c r="AT345" t="s">
        <v>26</v>
      </c>
      <c r="AU345" t="s">
        <v>1283</v>
      </c>
      <c r="AV345" t="s">
        <v>1283</v>
      </c>
      <c r="AW345" t="s">
        <v>1284</v>
      </c>
      <c r="AX345" t="s">
        <v>1285</v>
      </c>
      <c r="AY345">
        <v>5</v>
      </c>
      <c r="AZ345" t="s">
        <v>1286</v>
      </c>
      <c r="BA345" t="s">
        <v>243</v>
      </c>
      <c r="BB345" t="s">
        <v>26</v>
      </c>
      <c r="BC345" t="s">
        <v>1024</v>
      </c>
      <c r="BD345" t="s">
        <v>75</v>
      </c>
      <c r="BE345" t="s">
        <v>26</v>
      </c>
      <c r="BF345" t="s">
        <v>26</v>
      </c>
      <c r="BG345" s="146">
        <v>941</v>
      </c>
      <c r="BH345" t="s">
        <v>283</v>
      </c>
      <c r="BI345">
        <v>0.35</v>
      </c>
      <c r="BJ345" t="s">
        <v>1291</v>
      </c>
      <c r="BK345" t="s">
        <v>1280</v>
      </c>
      <c r="BL345">
        <v>321003</v>
      </c>
    </row>
    <row r="346" spans="1:64">
      <c r="A346" s="47"/>
      <c r="B346" s="27">
        <v>321004</v>
      </c>
      <c r="C346" s="27" t="s">
        <v>2183</v>
      </c>
      <c r="E346" s="27" t="s">
        <v>2148</v>
      </c>
      <c r="AE346" s="162" t="s">
        <v>2356</v>
      </c>
      <c r="AF346" s="37" t="str">
        <f t="shared" si="14"/>
        <v>HUD3P               KS_CPL_A</v>
      </c>
      <c r="AG346" s="27" t="s">
        <v>2150</v>
      </c>
      <c r="AH346">
        <v>3</v>
      </c>
      <c r="AI346">
        <v>321004</v>
      </c>
      <c r="AJ346" t="s">
        <v>1292</v>
      </c>
      <c r="AK346" t="s">
        <v>26</v>
      </c>
      <c r="AL346" t="s">
        <v>1283</v>
      </c>
      <c r="AM346" t="s">
        <v>1283</v>
      </c>
      <c r="AN346" t="s">
        <v>1284</v>
      </c>
      <c r="AO346" t="s">
        <v>1285</v>
      </c>
      <c r="AP346">
        <v>6</v>
      </c>
      <c r="AQ346" t="s">
        <v>1286</v>
      </c>
      <c r="AR346" t="s">
        <v>321</v>
      </c>
      <c r="AS346" t="s">
        <v>26</v>
      </c>
      <c r="AT346" t="s">
        <v>26</v>
      </c>
      <c r="AU346" t="s">
        <v>64</v>
      </c>
      <c r="AV346" t="s">
        <v>64</v>
      </c>
      <c r="AW346" t="s">
        <v>261</v>
      </c>
      <c r="AX346" t="s">
        <v>262</v>
      </c>
      <c r="AY346">
        <v>10</v>
      </c>
      <c r="AZ346" t="s">
        <v>263</v>
      </c>
      <c r="BA346" t="s">
        <v>214</v>
      </c>
      <c r="BB346" t="s">
        <v>26</v>
      </c>
      <c r="BC346" t="s">
        <v>478</v>
      </c>
      <c r="BD346" t="s">
        <v>75</v>
      </c>
      <c r="BE346" t="s">
        <v>1293</v>
      </c>
      <c r="BF346" t="s">
        <v>480</v>
      </c>
      <c r="BG346">
        <v>1884</v>
      </c>
      <c r="BH346" t="s">
        <v>255</v>
      </c>
      <c r="BI346">
        <v>0.13</v>
      </c>
      <c r="BJ346" t="s">
        <v>1294</v>
      </c>
      <c r="BK346" t="s">
        <v>1280</v>
      </c>
      <c r="BL346">
        <v>321004</v>
      </c>
    </row>
    <row r="347" spans="1:64">
      <c r="A347" s="47"/>
      <c r="B347" s="27">
        <v>321005</v>
      </c>
      <c r="C347" s="27" t="s">
        <v>2183</v>
      </c>
      <c r="E347" s="27" t="s">
        <v>2148</v>
      </c>
      <c r="AE347" s="162" t="s">
        <v>2356</v>
      </c>
      <c r="AF347" s="37" t="str">
        <f t="shared" si="14"/>
        <v>HUD3P               KS_CPL_A</v>
      </c>
      <c r="AG347" s="27" t="s">
        <v>2150</v>
      </c>
      <c r="AH347">
        <v>3</v>
      </c>
      <c r="AI347">
        <v>321005</v>
      </c>
      <c r="AJ347" t="s">
        <v>1295</v>
      </c>
      <c r="AK347" t="s">
        <v>26</v>
      </c>
      <c r="AL347" t="s">
        <v>1283</v>
      </c>
      <c r="AM347" t="s">
        <v>1283</v>
      </c>
      <c r="AN347" t="s">
        <v>1284</v>
      </c>
      <c r="AO347" t="s">
        <v>1285</v>
      </c>
      <c r="AP347">
        <v>7</v>
      </c>
      <c r="AQ347" t="s">
        <v>1286</v>
      </c>
      <c r="AR347" t="s">
        <v>321</v>
      </c>
      <c r="AS347" t="s">
        <v>26</v>
      </c>
      <c r="AT347" t="s">
        <v>26</v>
      </c>
      <c r="AU347" t="s">
        <v>64</v>
      </c>
      <c r="AV347" t="s">
        <v>64</v>
      </c>
      <c r="AW347" t="s">
        <v>261</v>
      </c>
      <c r="AX347" t="s">
        <v>262</v>
      </c>
      <c r="AY347">
        <v>11</v>
      </c>
      <c r="AZ347" t="s">
        <v>263</v>
      </c>
      <c r="BA347" t="s">
        <v>214</v>
      </c>
      <c r="BB347" t="s">
        <v>26</v>
      </c>
      <c r="BC347" t="s">
        <v>478</v>
      </c>
      <c r="BD347" t="s">
        <v>75</v>
      </c>
      <c r="BE347" t="s">
        <v>1293</v>
      </c>
      <c r="BF347" t="s">
        <v>45</v>
      </c>
      <c r="BG347">
        <v>1884</v>
      </c>
      <c r="BH347" t="s">
        <v>46</v>
      </c>
      <c r="BI347">
        <v>0.13</v>
      </c>
      <c r="BJ347" t="s">
        <v>1296</v>
      </c>
      <c r="BK347" t="s">
        <v>1280</v>
      </c>
      <c r="BL347">
        <v>321005</v>
      </c>
    </row>
    <row r="348" spans="1:64">
      <c r="A348" s="47"/>
      <c r="B348" s="27">
        <v>321501</v>
      </c>
      <c r="C348" s="27" t="s">
        <v>2183</v>
      </c>
      <c r="E348" s="27" t="s">
        <v>2148</v>
      </c>
      <c r="F348" s="27" t="s">
        <v>2156</v>
      </c>
      <c r="G348" s="27" t="s">
        <v>381</v>
      </c>
      <c r="K348" s="27" t="s">
        <v>2158</v>
      </c>
      <c r="L348" s="27" t="s">
        <v>2148</v>
      </c>
      <c r="M348" s="27" t="s">
        <v>2154</v>
      </c>
      <c r="AF348" s="37" t="str">
        <f t="shared" si="14"/>
        <v>HUD3P               SP_MB32_B3</v>
      </c>
      <c r="AG348" s="27" t="s">
        <v>2150</v>
      </c>
      <c r="AH348">
        <v>3</v>
      </c>
      <c r="AI348">
        <v>321501</v>
      </c>
      <c r="AJ348" t="s">
        <v>1297</v>
      </c>
      <c r="AK348" t="s">
        <v>26</v>
      </c>
      <c r="AL348" t="s">
        <v>1283</v>
      </c>
      <c r="AM348" t="s">
        <v>1283</v>
      </c>
      <c r="AN348" t="s">
        <v>1284</v>
      </c>
      <c r="AO348" t="s">
        <v>1285</v>
      </c>
      <c r="AP348">
        <v>10</v>
      </c>
      <c r="AQ348" t="s">
        <v>1286</v>
      </c>
      <c r="AR348" t="s">
        <v>243</v>
      </c>
      <c r="AS348" t="s">
        <v>26</v>
      </c>
      <c r="AT348" t="s">
        <v>26</v>
      </c>
      <c r="AU348" t="s">
        <v>26</v>
      </c>
      <c r="AV348" t="s">
        <v>380</v>
      </c>
      <c r="AW348">
        <v>81</v>
      </c>
      <c r="AX348" t="s">
        <v>381</v>
      </c>
      <c r="AY348">
        <v>1</v>
      </c>
      <c r="AZ348" t="s">
        <v>382</v>
      </c>
      <c r="BA348" t="s">
        <v>26</v>
      </c>
      <c r="BB348" t="s">
        <v>26</v>
      </c>
      <c r="BC348" t="s">
        <v>312</v>
      </c>
      <c r="BD348" t="s">
        <v>75</v>
      </c>
      <c r="BE348" t="s">
        <v>26</v>
      </c>
      <c r="BF348" t="s">
        <v>26</v>
      </c>
      <c r="BG348">
        <v>331</v>
      </c>
      <c r="BH348" t="s">
        <v>42</v>
      </c>
      <c r="BI348">
        <v>0.35</v>
      </c>
      <c r="BJ348" t="s">
        <v>200</v>
      </c>
      <c r="BK348" t="s">
        <v>1280</v>
      </c>
      <c r="BL348">
        <v>321501</v>
      </c>
    </row>
    <row r="349" spans="1:64">
      <c r="A349" s="47"/>
      <c r="C349" s="27" t="s">
        <v>2184</v>
      </c>
      <c r="AF349" s="37" t="str">
        <f t="shared" si="14"/>
        <v xml:space="preserve">                    </v>
      </c>
      <c r="AH349">
        <v>1</v>
      </c>
      <c r="AI349" t="s">
        <v>1298</v>
      </c>
    </row>
    <row r="350" spans="1:64">
      <c r="A350" s="160">
        <v>500</v>
      </c>
      <c r="C350" s="27" t="s">
        <v>2184</v>
      </c>
      <c r="AF350" s="37"/>
      <c r="AH350">
        <v>2</v>
      </c>
      <c r="AI350" t="s">
        <v>1</v>
      </c>
      <c r="AJ350" t="s">
        <v>1299</v>
      </c>
      <c r="AK350" t="s">
        <v>1300</v>
      </c>
      <c r="AL350" s="146" t="s">
        <v>2311</v>
      </c>
      <c r="AN350" s="146" t="s">
        <v>2312</v>
      </c>
      <c r="AO350" t="s">
        <v>5</v>
      </c>
    </row>
    <row r="351" spans="1:64">
      <c r="A351" s="47"/>
      <c r="C351" s="27" t="s">
        <v>2184</v>
      </c>
      <c r="AF351" s="37" t="str">
        <f xml:space="preserve"> AO351 &amp; REPT(" ",20-LEN(AO351)) &amp; AX351</f>
        <v>Kurzname            Kurzname</v>
      </c>
      <c r="AH351">
        <v>0</v>
      </c>
      <c r="AI351" t="s">
        <v>6</v>
      </c>
      <c r="AJ351" t="s">
        <v>7</v>
      </c>
      <c r="AK351" t="s">
        <v>8</v>
      </c>
      <c r="AL351" t="s">
        <v>9</v>
      </c>
      <c r="AM351" t="s">
        <v>9</v>
      </c>
      <c r="AN351" t="s">
        <v>10</v>
      </c>
      <c r="AO351" t="s">
        <v>11</v>
      </c>
      <c r="AP351" t="s">
        <v>12</v>
      </c>
      <c r="AQ351" t="s">
        <v>13</v>
      </c>
      <c r="AR351" t="s">
        <v>14</v>
      </c>
      <c r="AS351" t="s">
        <v>15</v>
      </c>
      <c r="AT351" t="s">
        <v>8</v>
      </c>
      <c r="AU351" t="s">
        <v>9</v>
      </c>
      <c r="AV351" t="s">
        <v>9</v>
      </c>
      <c r="AW351" t="s">
        <v>16</v>
      </c>
      <c r="AX351" t="s">
        <v>11</v>
      </c>
      <c r="AY351" t="s">
        <v>12</v>
      </c>
      <c r="AZ351" t="s">
        <v>13</v>
      </c>
      <c r="BA351" t="s">
        <v>14</v>
      </c>
      <c r="BB351" t="s">
        <v>15</v>
      </c>
      <c r="BC351" t="s">
        <v>17</v>
      </c>
      <c r="BD351" t="s">
        <v>18</v>
      </c>
      <c r="BE351" t="s">
        <v>19</v>
      </c>
      <c r="BF351" t="s">
        <v>20</v>
      </c>
      <c r="BG351" t="s">
        <v>21</v>
      </c>
      <c r="BH351" t="s">
        <v>22</v>
      </c>
      <c r="BI351" t="s">
        <v>23</v>
      </c>
      <c r="BJ351" t="s">
        <v>24</v>
      </c>
      <c r="BK351" t="s">
        <v>1</v>
      </c>
      <c r="BL351" t="s">
        <v>6</v>
      </c>
    </row>
    <row r="352" spans="1:64">
      <c r="A352" s="160" t="s">
        <v>2357</v>
      </c>
      <c r="B352" s="27">
        <v>327001</v>
      </c>
      <c r="C352" s="27" t="s">
        <v>2184</v>
      </c>
      <c r="E352" s="27" t="s">
        <v>2148</v>
      </c>
      <c r="AF352" s="37" t="str">
        <f xml:space="preserve"> AO352 &amp; REPT(" ",20-LEN(AO352)) &amp; AX352</f>
        <v>KOMBI_A             KS_CPR_C</v>
      </c>
      <c r="AG352" s="27" t="s">
        <v>2150</v>
      </c>
      <c r="AH352">
        <v>3</v>
      </c>
      <c r="AI352">
        <v>327001</v>
      </c>
      <c r="AJ352" t="s">
        <v>1301</v>
      </c>
      <c r="AK352" t="s">
        <v>26</v>
      </c>
      <c r="AL352" t="s">
        <v>27</v>
      </c>
      <c r="AM352" t="s">
        <v>27</v>
      </c>
      <c r="AN352" t="s">
        <v>294</v>
      </c>
      <c r="AO352" t="s">
        <v>295</v>
      </c>
      <c r="AP352">
        <v>9</v>
      </c>
      <c r="AQ352" s="146" t="s">
        <v>2307</v>
      </c>
      <c r="AR352" t="s">
        <v>243</v>
      </c>
      <c r="AS352" t="s">
        <v>26</v>
      </c>
      <c r="AT352" t="s">
        <v>26</v>
      </c>
      <c r="AU352" t="s">
        <v>131</v>
      </c>
      <c r="AV352" t="s">
        <v>131</v>
      </c>
      <c r="AW352" t="s">
        <v>189</v>
      </c>
      <c r="AX352" t="s">
        <v>190</v>
      </c>
      <c r="AY352">
        <v>1</v>
      </c>
      <c r="AZ352" s="146" t="s">
        <v>121</v>
      </c>
      <c r="BA352" t="s">
        <v>68</v>
      </c>
      <c r="BB352" t="s">
        <v>26</v>
      </c>
      <c r="BC352" t="s">
        <v>206</v>
      </c>
      <c r="BD352" t="s">
        <v>75</v>
      </c>
      <c r="BE352" t="s">
        <v>1302</v>
      </c>
      <c r="BF352" t="s">
        <v>45</v>
      </c>
      <c r="BG352" s="164">
        <v>645</v>
      </c>
      <c r="BH352" t="s">
        <v>46</v>
      </c>
      <c r="BI352">
        <v>0.35</v>
      </c>
      <c r="BJ352" t="s">
        <v>1303</v>
      </c>
      <c r="BK352" t="s">
        <v>1299</v>
      </c>
      <c r="BL352">
        <v>327001</v>
      </c>
    </row>
    <row r="353" spans="1:65">
      <c r="A353" s="160" t="s">
        <v>2357</v>
      </c>
      <c r="B353" s="27">
        <v>327002</v>
      </c>
      <c r="C353" s="27" t="s">
        <v>2184</v>
      </c>
      <c r="E353" s="27" t="s">
        <v>2148</v>
      </c>
      <c r="AF353" s="37" t="str">
        <f xml:space="preserve"> AO353 &amp; REPT(" ",20-LEN(AO353)) &amp; AX353</f>
        <v>KOMBI_A             KS_CPR_C</v>
      </c>
      <c r="AG353" s="27" t="s">
        <v>2150</v>
      </c>
      <c r="AH353">
        <v>3</v>
      </c>
      <c r="AI353">
        <v>327002</v>
      </c>
      <c r="AJ353" t="s">
        <v>1304</v>
      </c>
      <c r="AK353" t="s">
        <v>26</v>
      </c>
      <c r="AL353" t="s">
        <v>27</v>
      </c>
      <c r="AM353" t="s">
        <v>27</v>
      </c>
      <c r="AN353" t="s">
        <v>294</v>
      </c>
      <c r="AO353" t="s">
        <v>295</v>
      </c>
      <c r="AP353">
        <v>8</v>
      </c>
      <c r="AQ353" s="146" t="s">
        <v>2307</v>
      </c>
      <c r="AR353" t="s">
        <v>243</v>
      </c>
      <c r="AS353" t="s">
        <v>26</v>
      </c>
      <c r="AT353" t="s">
        <v>26</v>
      </c>
      <c r="AU353" t="s">
        <v>131</v>
      </c>
      <c r="AV353" t="s">
        <v>131</v>
      </c>
      <c r="AW353" t="s">
        <v>189</v>
      </c>
      <c r="AX353" t="s">
        <v>190</v>
      </c>
      <c r="AY353">
        <v>2</v>
      </c>
      <c r="AZ353" s="146" t="s">
        <v>121</v>
      </c>
      <c r="BA353" t="s">
        <v>68</v>
      </c>
      <c r="BB353" t="s">
        <v>26</v>
      </c>
      <c r="BC353" t="s">
        <v>206</v>
      </c>
      <c r="BD353" t="s">
        <v>75</v>
      </c>
      <c r="BE353" t="s">
        <v>1302</v>
      </c>
      <c r="BF353" t="s">
        <v>208</v>
      </c>
      <c r="BG353" s="164">
        <v>645</v>
      </c>
      <c r="BH353" t="s">
        <v>209</v>
      </c>
      <c r="BI353">
        <v>0.35</v>
      </c>
      <c r="BJ353" t="s">
        <v>1305</v>
      </c>
      <c r="BK353" t="s">
        <v>1299</v>
      </c>
      <c r="BL353">
        <v>327002</v>
      </c>
    </row>
    <row r="354" spans="1:65">
      <c r="A354" s="47"/>
      <c r="C354" s="27" t="s">
        <v>2185</v>
      </c>
      <c r="AF354" s="37" t="str">
        <f xml:space="preserve"> AO354 &amp; REPT(" ",20-LEN(AO354)) &amp; AX354</f>
        <v xml:space="preserve">                    </v>
      </c>
      <c r="AH354">
        <v>1</v>
      </c>
      <c r="AI354" t="s">
        <v>1306</v>
      </c>
    </row>
    <row r="355" spans="1:65">
      <c r="A355" s="47">
        <v>506</v>
      </c>
      <c r="C355" s="27" t="s">
        <v>2185</v>
      </c>
      <c r="AF355" s="37"/>
      <c r="AH355">
        <v>2</v>
      </c>
      <c r="AI355" t="s">
        <v>1</v>
      </c>
      <c r="AJ355" t="s">
        <v>1307</v>
      </c>
      <c r="AK355" t="s">
        <v>3</v>
      </c>
      <c r="AL355" s="146" t="s">
        <v>2337</v>
      </c>
      <c r="AN355" t="s">
        <v>1308</v>
      </c>
      <c r="AO355" t="s">
        <v>5</v>
      </c>
    </row>
    <row r="356" spans="1:65">
      <c r="A356" s="47"/>
      <c r="C356" s="27" t="s">
        <v>2185</v>
      </c>
      <c r="AF356" s="37" t="str">
        <f xml:space="preserve"> AO356 &amp; REPT(" ",20-LEN(AO356)) &amp; AX356</f>
        <v>Kurzname            Kurzname</v>
      </c>
      <c r="AH356">
        <v>0</v>
      </c>
      <c r="AI356" t="s">
        <v>6</v>
      </c>
      <c r="AJ356" t="s">
        <v>7</v>
      </c>
      <c r="AK356" t="s">
        <v>8</v>
      </c>
      <c r="AL356" t="s">
        <v>9</v>
      </c>
      <c r="AM356" t="s">
        <v>9</v>
      </c>
      <c r="AN356" t="s">
        <v>10</v>
      </c>
      <c r="AO356" t="s">
        <v>11</v>
      </c>
      <c r="AP356" t="s">
        <v>12</v>
      </c>
      <c r="AQ356" t="s">
        <v>13</v>
      </c>
      <c r="AR356" t="s">
        <v>14</v>
      </c>
      <c r="AS356" t="s">
        <v>15</v>
      </c>
      <c r="AT356" t="s">
        <v>8</v>
      </c>
      <c r="AU356" t="s">
        <v>9</v>
      </c>
      <c r="AV356" t="s">
        <v>9</v>
      </c>
      <c r="AW356" t="s">
        <v>16</v>
      </c>
      <c r="AX356" t="s">
        <v>11</v>
      </c>
      <c r="AY356" t="s">
        <v>12</v>
      </c>
      <c r="AZ356" t="s">
        <v>13</v>
      </c>
      <c r="BA356" t="s">
        <v>14</v>
      </c>
      <c r="BB356" t="s">
        <v>15</v>
      </c>
      <c r="BC356" t="s">
        <v>17</v>
      </c>
      <c r="BD356" t="s">
        <v>18</v>
      </c>
      <c r="BE356" t="s">
        <v>19</v>
      </c>
      <c r="BF356" t="s">
        <v>20</v>
      </c>
      <c r="BG356" t="s">
        <v>21</v>
      </c>
      <c r="BH356" t="s">
        <v>22</v>
      </c>
      <c r="BI356" t="s">
        <v>23</v>
      </c>
      <c r="BJ356" t="s">
        <v>24</v>
      </c>
      <c r="BK356" t="s">
        <v>1</v>
      </c>
      <c r="BL356" t="s">
        <v>6</v>
      </c>
    </row>
    <row r="357" spans="1:65">
      <c r="A357" s="47">
        <v>506</v>
      </c>
      <c r="B357" s="27">
        <v>329005</v>
      </c>
      <c r="C357" s="27" t="s">
        <v>2185</v>
      </c>
      <c r="E357" s="27" t="s">
        <v>2159</v>
      </c>
      <c r="L357" s="27" t="s">
        <v>2149</v>
      </c>
      <c r="M357" s="27" t="s">
        <v>2149</v>
      </c>
      <c r="N357" s="27" t="s">
        <v>2160</v>
      </c>
      <c r="T357" s="27">
        <v>980018115</v>
      </c>
      <c r="AF357" s="37" t="str">
        <f xml:space="preserve"> AO357 &amp; REPT(" ",20-LEN(AO357)) &amp; AX357</f>
        <v>KOO03A              ANT79P</v>
      </c>
      <c r="AG357" s="27" t="s">
        <v>2161</v>
      </c>
      <c r="AH357">
        <v>3</v>
      </c>
      <c r="AI357">
        <v>329005</v>
      </c>
      <c r="AJ357" t="s">
        <v>1309</v>
      </c>
      <c r="AK357" t="s">
        <v>26</v>
      </c>
      <c r="AL357" t="s">
        <v>1310</v>
      </c>
      <c r="AM357" t="s">
        <v>1310</v>
      </c>
      <c r="AN357" t="s">
        <v>1311</v>
      </c>
      <c r="AO357" t="s">
        <v>1312</v>
      </c>
      <c r="AP357">
        <v>1</v>
      </c>
      <c r="AQ357" t="s">
        <v>1313</v>
      </c>
      <c r="AR357" t="s">
        <v>409</v>
      </c>
      <c r="AS357" t="s">
        <v>26</v>
      </c>
      <c r="AT357" t="s">
        <v>26</v>
      </c>
      <c r="AU357" t="s">
        <v>1314</v>
      </c>
      <c r="AV357" t="s">
        <v>1314</v>
      </c>
      <c r="AW357" t="s">
        <v>1315</v>
      </c>
      <c r="AX357" t="s">
        <v>1316</v>
      </c>
      <c r="AY357">
        <v>1</v>
      </c>
      <c r="AZ357" t="s">
        <v>1317</v>
      </c>
      <c r="BA357" t="s">
        <v>1318</v>
      </c>
      <c r="BB357" t="s">
        <v>26</v>
      </c>
      <c r="BC357" t="s">
        <v>413</v>
      </c>
      <c r="BD357" t="s">
        <v>414</v>
      </c>
      <c r="BE357" t="s">
        <v>1319</v>
      </c>
      <c r="BF357" t="s">
        <v>416</v>
      </c>
      <c r="BG357" s="146">
        <v>3534</v>
      </c>
      <c r="BH357" t="s">
        <v>417</v>
      </c>
      <c r="BI357">
        <v>0.37</v>
      </c>
      <c r="BJ357" t="s">
        <v>1320</v>
      </c>
      <c r="BK357" t="s">
        <v>1307</v>
      </c>
      <c r="BL357">
        <v>329005</v>
      </c>
    </row>
    <row r="358" spans="1:65">
      <c r="A358" s="47">
        <v>506</v>
      </c>
      <c r="B358" s="27">
        <v>329006</v>
      </c>
      <c r="C358" s="27" t="s">
        <v>2185</v>
      </c>
      <c r="E358" s="27" t="s">
        <v>2159</v>
      </c>
      <c r="L358" s="27" t="s">
        <v>2149</v>
      </c>
      <c r="M358" s="27" t="s">
        <v>2149</v>
      </c>
      <c r="N358" s="27" t="s">
        <v>2160</v>
      </c>
      <c r="T358" s="27">
        <v>980018115</v>
      </c>
      <c r="AF358" s="37" t="str">
        <f xml:space="preserve"> AO358 &amp; REPT(" ",20-LEN(AO358)) &amp; AX358</f>
        <v>KOO03A              ANT79P</v>
      </c>
      <c r="AG358" s="27" t="s">
        <v>2161</v>
      </c>
      <c r="AH358">
        <v>3</v>
      </c>
      <c r="AI358">
        <v>329006</v>
      </c>
      <c r="AJ358" t="s">
        <v>1321</v>
      </c>
      <c r="AK358" t="s">
        <v>26</v>
      </c>
      <c r="AL358" t="s">
        <v>1310</v>
      </c>
      <c r="AM358" t="s">
        <v>1310</v>
      </c>
      <c r="AN358" t="s">
        <v>1311</v>
      </c>
      <c r="AO358" t="s">
        <v>1312</v>
      </c>
      <c r="AP358">
        <v>2</v>
      </c>
      <c r="AQ358" t="s">
        <v>1313</v>
      </c>
      <c r="AR358" t="s">
        <v>59</v>
      </c>
      <c r="AS358" t="s">
        <v>26</v>
      </c>
      <c r="AT358" t="s">
        <v>26</v>
      </c>
      <c r="AU358" t="s">
        <v>1314</v>
      </c>
      <c r="AV358" t="s">
        <v>1314</v>
      </c>
      <c r="AW358" t="s">
        <v>1315</v>
      </c>
      <c r="AX358" t="s">
        <v>1316</v>
      </c>
      <c r="AY358">
        <v>2</v>
      </c>
      <c r="AZ358" t="s">
        <v>1317</v>
      </c>
      <c r="BA358" t="s">
        <v>59</v>
      </c>
      <c r="BB358" t="s">
        <v>26</v>
      </c>
      <c r="BC358" t="s">
        <v>413</v>
      </c>
      <c r="BD358" t="s">
        <v>59</v>
      </c>
      <c r="BE358" t="s">
        <v>1319</v>
      </c>
      <c r="BF358" t="s">
        <v>420</v>
      </c>
      <c r="BG358" s="146">
        <v>3534</v>
      </c>
      <c r="BH358" t="s">
        <v>61</v>
      </c>
      <c r="BI358">
        <v>0.5</v>
      </c>
      <c r="BJ358" t="s">
        <v>1322</v>
      </c>
      <c r="BK358" t="s">
        <v>1307</v>
      </c>
      <c r="BL358">
        <v>329006</v>
      </c>
    </row>
    <row r="359" spans="1:65">
      <c r="A359" s="47"/>
      <c r="C359" s="27" t="s">
        <v>2186</v>
      </c>
      <c r="AF359" s="37" t="str">
        <f xml:space="preserve"> AO359 &amp; REPT(" ",20-LEN(AO359)) &amp; AX359</f>
        <v xml:space="preserve">                    </v>
      </c>
      <c r="AH359">
        <v>1</v>
      </c>
      <c r="AI359" t="s">
        <v>1323</v>
      </c>
    </row>
    <row r="360" spans="1:65">
      <c r="A360" s="160" t="s">
        <v>2346</v>
      </c>
      <c r="C360" s="27" t="s">
        <v>2186</v>
      </c>
      <c r="N360" s="27" t="s">
        <v>2187</v>
      </c>
      <c r="AF360" s="37"/>
      <c r="AH360">
        <v>2</v>
      </c>
      <c r="AI360" t="s">
        <v>1</v>
      </c>
      <c r="AJ360" t="s">
        <v>1324</v>
      </c>
      <c r="AK360" t="s">
        <v>1325</v>
      </c>
      <c r="AL360" s="146" t="s">
        <v>2338</v>
      </c>
      <c r="AM360" t="s">
        <v>4</v>
      </c>
      <c r="AN360" s="146" t="s">
        <v>2340</v>
      </c>
      <c r="AO360" t="s">
        <v>5</v>
      </c>
    </row>
    <row r="361" spans="1:65">
      <c r="A361" s="160">
        <v>503.50599999999997</v>
      </c>
      <c r="C361" s="27" t="s">
        <v>2186</v>
      </c>
      <c r="N361" s="27" t="s">
        <v>2187</v>
      </c>
      <c r="AF361" s="37"/>
      <c r="AH361">
        <v>2</v>
      </c>
      <c r="AI361" t="s">
        <v>509</v>
      </c>
      <c r="AJ361" t="s">
        <v>1326</v>
      </c>
      <c r="AK361" t="s">
        <v>1327</v>
      </c>
      <c r="AL361" s="146" t="s">
        <v>2339</v>
      </c>
      <c r="AM361" t="s">
        <v>4</v>
      </c>
      <c r="AN361" s="146" t="s">
        <v>1154</v>
      </c>
      <c r="AO361" t="s">
        <v>5</v>
      </c>
    </row>
    <row r="362" spans="1:65">
      <c r="A362" s="47"/>
      <c r="C362" s="27" t="s">
        <v>2186</v>
      </c>
      <c r="N362" s="27" t="s">
        <v>2187</v>
      </c>
      <c r="AF362" s="37" t="str">
        <f t="shared" ref="AF362:AF386" si="15" xml:space="preserve"> AO362 &amp; REPT(" ",20-LEN(AO362)) &amp; AX362</f>
        <v>Kurzname            Kurzname</v>
      </c>
      <c r="AH362">
        <v>0</v>
      </c>
      <c r="AI362" t="s">
        <v>6</v>
      </c>
      <c r="AJ362" t="s">
        <v>7</v>
      </c>
      <c r="AK362" t="s">
        <v>8</v>
      </c>
      <c r="AL362" t="s">
        <v>9</v>
      </c>
      <c r="AM362" t="s">
        <v>9</v>
      </c>
      <c r="AN362" t="s">
        <v>10</v>
      </c>
      <c r="AO362" t="s">
        <v>11</v>
      </c>
      <c r="AP362" t="s">
        <v>12</v>
      </c>
      <c r="AQ362" t="s">
        <v>13</v>
      </c>
      <c r="AR362" t="s">
        <v>14</v>
      </c>
      <c r="AS362" t="s">
        <v>15</v>
      </c>
      <c r="AT362" t="s">
        <v>8</v>
      </c>
      <c r="AU362" t="s">
        <v>9</v>
      </c>
      <c r="AV362" t="s">
        <v>9</v>
      </c>
      <c r="AW362" t="s">
        <v>16</v>
      </c>
      <c r="AX362" t="s">
        <v>11</v>
      </c>
      <c r="AY362" t="s">
        <v>12</v>
      </c>
      <c r="AZ362" t="s">
        <v>13</v>
      </c>
      <c r="BA362" t="s">
        <v>14</v>
      </c>
      <c r="BB362" t="s">
        <v>15</v>
      </c>
      <c r="BC362" t="s">
        <v>17</v>
      </c>
      <c r="BD362" t="s">
        <v>18</v>
      </c>
      <c r="BE362" t="s">
        <v>19</v>
      </c>
      <c r="BF362" t="s">
        <v>20</v>
      </c>
      <c r="BG362" t="s">
        <v>21</v>
      </c>
      <c r="BH362" t="s">
        <v>22</v>
      </c>
      <c r="BI362" t="s">
        <v>23</v>
      </c>
      <c r="BJ362" t="s">
        <v>24</v>
      </c>
      <c r="BK362" t="s">
        <v>1</v>
      </c>
      <c r="BL362" t="s">
        <v>509</v>
      </c>
      <c r="BM362" t="s">
        <v>6</v>
      </c>
    </row>
    <row r="363" spans="1:65">
      <c r="A363" s="47">
        <v>503.50599999999997</v>
      </c>
      <c r="B363" s="27">
        <v>412022</v>
      </c>
      <c r="C363" s="27" t="s">
        <v>2186</v>
      </c>
      <c r="E363" s="27" t="s">
        <v>2188</v>
      </c>
      <c r="L363" s="27" t="s">
        <v>2149</v>
      </c>
      <c r="M363" s="27" t="s">
        <v>2187</v>
      </c>
      <c r="N363" s="27" t="s">
        <v>2187</v>
      </c>
      <c r="T363" s="27">
        <v>980018116</v>
      </c>
      <c r="X363" s="185" t="s">
        <v>2383</v>
      </c>
      <c r="AD363" s="27" t="s">
        <v>2189</v>
      </c>
      <c r="AE363" s="37"/>
      <c r="AF363" s="37" t="str">
        <f t="shared" si="15"/>
        <v>KNAB55P             SCG11A_RL</v>
      </c>
      <c r="AG363" s="27" t="s">
        <v>2190</v>
      </c>
      <c r="AH363">
        <v>3</v>
      </c>
      <c r="AI363">
        <v>412022</v>
      </c>
      <c r="AJ363" t="s">
        <v>1328</v>
      </c>
      <c r="AK363" t="s">
        <v>26</v>
      </c>
      <c r="AL363" t="s">
        <v>1329</v>
      </c>
      <c r="AM363" t="s">
        <v>1329</v>
      </c>
      <c r="AN363" t="s">
        <v>1330</v>
      </c>
      <c r="AO363" t="s">
        <v>1331</v>
      </c>
      <c r="AP363">
        <v>1</v>
      </c>
      <c r="AQ363" s="146" t="s">
        <v>1383</v>
      </c>
      <c r="AR363" t="s">
        <v>1333</v>
      </c>
      <c r="AS363" t="s">
        <v>26</v>
      </c>
      <c r="AT363" t="s">
        <v>26</v>
      </c>
      <c r="AU363" t="s">
        <v>1334</v>
      </c>
      <c r="AV363" t="s">
        <v>1334</v>
      </c>
      <c r="AW363" t="s">
        <v>1335</v>
      </c>
      <c r="AX363" t="s">
        <v>1336</v>
      </c>
      <c r="AY363">
        <v>2</v>
      </c>
      <c r="AZ363" t="s">
        <v>1337</v>
      </c>
      <c r="BA363" t="s">
        <v>1338</v>
      </c>
      <c r="BB363" t="s">
        <v>1339</v>
      </c>
      <c r="BC363" t="s">
        <v>1340</v>
      </c>
      <c r="BD363" t="s">
        <v>75</v>
      </c>
      <c r="BE363" t="s">
        <v>1341</v>
      </c>
      <c r="BF363" t="s">
        <v>831</v>
      </c>
      <c r="BG363" s="146">
        <v>2402</v>
      </c>
      <c r="BH363" t="s">
        <v>161</v>
      </c>
      <c r="BI363">
        <v>0.35</v>
      </c>
      <c r="BJ363" t="s">
        <v>1342</v>
      </c>
      <c r="BK363" t="s">
        <v>1324</v>
      </c>
      <c r="BL363" t="s">
        <v>1326</v>
      </c>
      <c r="BM363">
        <v>412022</v>
      </c>
    </row>
    <row r="364" spans="1:65">
      <c r="A364" s="47">
        <v>503.50599999999997</v>
      </c>
      <c r="B364" s="27">
        <v>412023</v>
      </c>
      <c r="C364" s="27" t="s">
        <v>2186</v>
      </c>
      <c r="E364" s="27" t="s">
        <v>2188</v>
      </c>
      <c r="L364" s="27" t="s">
        <v>2149</v>
      </c>
      <c r="M364" s="27" t="s">
        <v>2187</v>
      </c>
      <c r="N364" s="27" t="s">
        <v>2187</v>
      </c>
      <c r="T364" s="27">
        <v>980018116</v>
      </c>
      <c r="X364" s="185" t="s">
        <v>2383</v>
      </c>
      <c r="AD364" s="27" t="s">
        <v>2189</v>
      </c>
      <c r="AE364" s="37"/>
      <c r="AF364" s="37" t="str">
        <f t="shared" si="15"/>
        <v>KNAB55P             SCG11A_RL</v>
      </c>
      <c r="AG364" s="27" t="s">
        <v>2190</v>
      </c>
      <c r="AH364">
        <v>3</v>
      </c>
      <c r="AI364">
        <v>412023</v>
      </c>
      <c r="AJ364" t="s">
        <v>1343</v>
      </c>
      <c r="AK364" t="s">
        <v>26</v>
      </c>
      <c r="AL364" t="s">
        <v>1329</v>
      </c>
      <c r="AM364" t="s">
        <v>1329</v>
      </c>
      <c r="AN364" t="s">
        <v>1330</v>
      </c>
      <c r="AO364" t="s">
        <v>1331</v>
      </c>
      <c r="AP364">
        <v>2</v>
      </c>
      <c r="AQ364" s="146" t="s">
        <v>1383</v>
      </c>
      <c r="AR364" t="s">
        <v>1333</v>
      </c>
      <c r="AS364" t="s">
        <v>26</v>
      </c>
      <c r="AT364" t="s">
        <v>26</v>
      </c>
      <c r="AU364" t="s">
        <v>1334</v>
      </c>
      <c r="AV364" t="s">
        <v>1334</v>
      </c>
      <c r="AW364" t="s">
        <v>1335</v>
      </c>
      <c r="AX364" t="s">
        <v>1336</v>
      </c>
      <c r="AY364">
        <v>6</v>
      </c>
      <c r="AZ364" t="s">
        <v>1337</v>
      </c>
      <c r="BA364" t="s">
        <v>1338</v>
      </c>
      <c r="BB364" t="s">
        <v>1339</v>
      </c>
      <c r="BC364" t="s">
        <v>1340</v>
      </c>
      <c r="BD364" t="s">
        <v>75</v>
      </c>
      <c r="BE364" t="s">
        <v>1341</v>
      </c>
      <c r="BF364" t="s">
        <v>1344</v>
      </c>
      <c r="BG364" s="146">
        <v>2402</v>
      </c>
      <c r="BH364" t="s">
        <v>1345</v>
      </c>
      <c r="BI364">
        <v>0.35</v>
      </c>
      <c r="BJ364" t="s">
        <v>1346</v>
      </c>
      <c r="BK364" t="s">
        <v>1324</v>
      </c>
      <c r="BL364" t="s">
        <v>1326</v>
      </c>
      <c r="BM364">
        <v>412023</v>
      </c>
    </row>
    <row r="365" spans="1:65">
      <c r="A365" s="47">
        <v>503.50599999999997</v>
      </c>
      <c r="B365" s="27">
        <v>412024</v>
      </c>
      <c r="C365" s="27" t="s">
        <v>2186</v>
      </c>
      <c r="E365" s="27" t="s">
        <v>2188</v>
      </c>
      <c r="F365" s="27" t="s">
        <v>2156</v>
      </c>
      <c r="G365" s="27" t="s">
        <v>381</v>
      </c>
      <c r="K365" s="27" t="s">
        <v>2158</v>
      </c>
      <c r="L365" s="27" t="s">
        <v>2149</v>
      </c>
      <c r="M365" s="27" t="s">
        <v>2154</v>
      </c>
      <c r="N365" s="27" t="s">
        <v>2187</v>
      </c>
      <c r="T365" s="27">
        <v>980018116</v>
      </c>
      <c r="AF365" s="37" t="str">
        <f t="shared" si="15"/>
        <v>KNAB55P             SP_MB32_B3</v>
      </c>
      <c r="AG365" s="27" t="s">
        <v>2190</v>
      </c>
      <c r="AH365">
        <v>3</v>
      </c>
      <c r="AI365">
        <v>412024</v>
      </c>
      <c r="AJ365" t="s">
        <v>1347</v>
      </c>
      <c r="AK365" t="s">
        <v>26</v>
      </c>
      <c r="AL365" t="s">
        <v>1329</v>
      </c>
      <c r="AM365" t="s">
        <v>1329</v>
      </c>
      <c r="AN365" t="s">
        <v>1330</v>
      </c>
      <c r="AO365" t="s">
        <v>1331</v>
      </c>
      <c r="AP365">
        <v>3</v>
      </c>
      <c r="AQ365" s="146" t="s">
        <v>1383</v>
      </c>
      <c r="AR365" t="s">
        <v>1333</v>
      </c>
      <c r="AS365" t="s">
        <v>26</v>
      </c>
      <c r="AT365" t="s">
        <v>26</v>
      </c>
      <c r="AU365" t="s">
        <v>26</v>
      </c>
      <c r="AV365" t="s">
        <v>380</v>
      </c>
      <c r="AW365">
        <v>81</v>
      </c>
      <c r="AX365" t="s">
        <v>381</v>
      </c>
      <c r="AY365">
        <v>1</v>
      </c>
      <c r="AZ365" t="s">
        <v>382</v>
      </c>
      <c r="BA365" t="s">
        <v>26</v>
      </c>
      <c r="BB365" t="s">
        <v>26</v>
      </c>
      <c r="BC365" t="s">
        <v>312</v>
      </c>
      <c r="BD365" t="s">
        <v>75</v>
      </c>
      <c r="BE365" t="s">
        <v>26</v>
      </c>
      <c r="BF365" t="s">
        <v>26</v>
      </c>
      <c r="BG365" s="146">
        <v>919</v>
      </c>
      <c r="BH365" t="s">
        <v>42</v>
      </c>
      <c r="BI365">
        <v>0.35</v>
      </c>
      <c r="BJ365" t="s">
        <v>200</v>
      </c>
      <c r="BK365" t="s">
        <v>1324</v>
      </c>
      <c r="BL365" t="s">
        <v>1326</v>
      </c>
      <c r="BM365">
        <v>412024</v>
      </c>
    </row>
    <row r="366" spans="1:65">
      <c r="A366" s="47">
        <v>506</v>
      </c>
      <c r="B366" s="27">
        <v>412025</v>
      </c>
      <c r="C366" s="27" t="s">
        <v>2186</v>
      </c>
      <c r="E366" s="27" t="s">
        <v>2188</v>
      </c>
      <c r="L366" s="27" t="s">
        <v>2149</v>
      </c>
      <c r="M366" s="27" t="s">
        <v>2187</v>
      </c>
      <c r="N366" s="27" t="s">
        <v>2187</v>
      </c>
      <c r="T366" s="27">
        <v>980018117</v>
      </c>
      <c r="X366" s="185" t="s">
        <v>2383</v>
      </c>
      <c r="AD366" s="27" t="s">
        <v>2189</v>
      </c>
      <c r="AE366" s="37"/>
      <c r="AF366" s="37" t="str">
        <f t="shared" si="15"/>
        <v>ABB6P_A_RL          SCG11A_RL</v>
      </c>
      <c r="AG366" s="27" t="s">
        <v>2190</v>
      </c>
      <c r="AH366">
        <v>3</v>
      </c>
      <c r="AI366">
        <v>412025</v>
      </c>
      <c r="AJ366" t="s">
        <v>1348</v>
      </c>
      <c r="AK366" t="s">
        <v>26</v>
      </c>
      <c r="AL366" t="s">
        <v>1349</v>
      </c>
      <c r="AM366" t="s">
        <v>1349</v>
      </c>
      <c r="AN366" t="s">
        <v>1350</v>
      </c>
      <c r="AO366" t="s">
        <v>1351</v>
      </c>
      <c r="AP366">
        <v>1</v>
      </c>
      <c r="AQ366" t="s">
        <v>1352</v>
      </c>
      <c r="AR366" t="s">
        <v>1333</v>
      </c>
      <c r="AS366" t="s">
        <v>26</v>
      </c>
      <c r="AT366" t="s">
        <v>26</v>
      </c>
      <c r="AU366" t="s">
        <v>1334</v>
      </c>
      <c r="AV366" t="s">
        <v>1334</v>
      </c>
      <c r="AW366" t="s">
        <v>1335</v>
      </c>
      <c r="AX366" t="s">
        <v>1336</v>
      </c>
      <c r="AY366">
        <v>15</v>
      </c>
      <c r="AZ366" t="s">
        <v>1337</v>
      </c>
      <c r="BA366" t="s">
        <v>1338</v>
      </c>
      <c r="BB366" t="s">
        <v>1339</v>
      </c>
      <c r="BC366" t="s">
        <v>1353</v>
      </c>
      <c r="BD366" t="s">
        <v>75</v>
      </c>
      <c r="BE366" t="s">
        <v>1354</v>
      </c>
      <c r="BF366" t="s">
        <v>1344</v>
      </c>
      <c r="BG366" s="146">
        <v>2401</v>
      </c>
      <c r="BH366" t="s">
        <v>1345</v>
      </c>
      <c r="BI366">
        <v>0.35</v>
      </c>
      <c r="BJ366" t="s">
        <v>1355</v>
      </c>
      <c r="BK366" t="s">
        <v>1324</v>
      </c>
      <c r="BL366" t="s">
        <v>1326</v>
      </c>
      <c r="BM366">
        <v>412025</v>
      </c>
    </row>
    <row r="367" spans="1:65">
      <c r="A367" s="47">
        <v>506</v>
      </c>
      <c r="B367" s="27">
        <v>412026</v>
      </c>
      <c r="C367" s="27" t="s">
        <v>2186</v>
      </c>
      <c r="E367" s="27" t="s">
        <v>2188</v>
      </c>
      <c r="L367" s="27" t="s">
        <v>2149</v>
      </c>
      <c r="M367" s="27" t="s">
        <v>2187</v>
      </c>
      <c r="N367" s="27" t="s">
        <v>2187</v>
      </c>
      <c r="T367" s="27">
        <v>980018117</v>
      </c>
      <c r="X367" s="185" t="s">
        <v>2383</v>
      </c>
      <c r="AD367" s="27" t="s">
        <v>2189</v>
      </c>
      <c r="AE367" s="37"/>
      <c r="AF367" s="37" t="str">
        <f t="shared" si="15"/>
        <v>ABB6P_A_RL          SCG11A_RL</v>
      </c>
      <c r="AG367" s="27" t="s">
        <v>2190</v>
      </c>
      <c r="AH367">
        <v>3</v>
      </c>
      <c r="AI367">
        <v>412026</v>
      </c>
      <c r="AJ367" t="s">
        <v>1356</v>
      </c>
      <c r="AK367" t="s">
        <v>26</v>
      </c>
      <c r="AL367" t="s">
        <v>1349</v>
      </c>
      <c r="AM367" t="s">
        <v>1349</v>
      </c>
      <c r="AN367" t="s">
        <v>1350</v>
      </c>
      <c r="AO367" t="s">
        <v>1351</v>
      </c>
      <c r="AP367">
        <v>2</v>
      </c>
      <c r="AQ367" t="s">
        <v>1352</v>
      </c>
      <c r="AR367" t="s">
        <v>1333</v>
      </c>
      <c r="AS367" t="s">
        <v>26</v>
      </c>
      <c r="AT367" t="s">
        <v>26</v>
      </c>
      <c r="AU367" t="s">
        <v>1334</v>
      </c>
      <c r="AV367" t="s">
        <v>1334</v>
      </c>
      <c r="AW367" t="s">
        <v>1335</v>
      </c>
      <c r="AX367" t="s">
        <v>1336</v>
      </c>
      <c r="AY367">
        <v>11</v>
      </c>
      <c r="AZ367" t="s">
        <v>1337</v>
      </c>
      <c r="BA367" t="s">
        <v>1338</v>
      </c>
      <c r="BB367" t="s">
        <v>1339</v>
      </c>
      <c r="BC367" t="s">
        <v>1353</v>
      </c>
      <c r="BD367" t="s">
        <v>75</v>
      </c>
      <c r="BE367" t="s">
        <v>1354</v>
      </c>
      <c r="BF367" t="s">
        <v>1357</v>
      </c>
      <c r="BG367" s="146">
        <v>2401</v>
      </c>
      <c r="BH367" t="s">
        <v>255</v>
      </c>
      <c r="BI367">
        <v>0.35</v>
      </c>
      <c r="BJ367" t="s">
        <v>1358</v>
      </c>
      <c r="BK367" t="s">
        <v>1324</v>
      </c>
      <c r="BL367" t="s">
        <v>1326</v>
      </c>
      <c r="BM367">
        <v>412026</v>
      </c>
    </row>
    <row r="368" spans="1:65">
      <c r="A368" s="47">
        <v>506</v>
      </c>
      <c r="B368" s="27">
        <v>412027</v>
      </c>
      <c r="C368" s="27" t="s">
        <v>2186</v>
      </c>
      <c r="E368" s="27" t="s">
        <v>2188</v>
      </c>
      <c r="F368" s="27" t="s">
        <v>2156</v>
      </c>
      <c r="G368" s="27" t="s">
        <v>373</v>
      </c>
      <c r="K368" s="27" t="s">
        <v>2158</v>
      </c>
      <c r="L368" s="27" t="s">
        <v>2149</v>
      </c>
      <c r="M368" s="27" t="s">
        <v>2187</v>
      </c>
      <c r="N368" s="27" t="s">
        <v>2187</v>
      </c>
      <c r="T368" s="27">
        <v>980018117</v>
      </c>
      <c r="AF368" s="37" t="str">
        <f t="shared" si="15"/>
        <v>ABB6P_A_RL          SP_MB31_B3</v>
      </c>
      <c r="AG368" s="27" t="s">
        <v>2190</v>
      </c>
      <c r="AH368">
        <v>3</v>
      </c>
      <c r="AI368">
        <v>412027</v>
      </c>
      <c r="AJ368" t="s">
        <v>1359</v>
      </c>
      <c r="AK368" t="s">
        <v>26</v>
      </c>
      <c r="AL368" t="s">
        <v>1349</v>
      </c>
      <c r="AM368" t="s">
        <v>1349</v>
      </c>
      <c r="AN368" t="s">
        <v>1350</v>
      </c>
      <c r="AO368" t="s">
        <v>1351</v>
      </c>
      <c r="AP368">
        <v>3</v>
      </c>
      <c r="AQ368" t="s">
        <v>1352</v>
      </c>
      <c r="AR368" t="s">
        <v>1333</v>
      </c>
      <c r="AS368" t="s">
        <v>26</v>
      </c>
      <c r="AT368" t="s">
        <v>26</v>
      </c>
      <c r="AU368" t="s">
        <v>26</v>
      </c>
      <c r="AV368" t="s">
        <v>372</v>
      </c>
      <c r="AW368">
        <v>821</v>
      </c>
      <c r="AX368" t="s">
        <v>373</v>
      </c>
      <c r="AY368">
        <v>1</v>
      </c>
      <c r="AZ368" t="s">
        <v>374</v>
      </c>
      <c r="BA368" t="s">
        <v>26</v>
      </c>
      <c r="BB368" t="s">
        <v>26</v>
      </c>
      <c r="BC368" t="s">
        <v>312</v>
      </c>
      <c r="BD368" t="s">
        <v>75</v>
      </c>
      <c r="BE368" t="s">
        <v>26</v>
      </c>
      <c r="BF368" t="s">
        <v>26</v>
      </c>
      <c r="BG368" s="146">
        <v>1278</v>
      </c>
      <c r="BH368" t="s">
        <v>42</v>
      </c>
      <c r="BI368">
        <v>0.35</v>
      </c>
      <c r="BJ368" t="s">
        <v>264</v>
      </c>
      <c r="BK368" t="s">
        <v>1324</v>
      </c>
      <c r="BL368" t="s">
        <v>1326</v>
      </c>
      <c r="BM368">
        <v>412027</v>
      </c>
    </row>
    <row r="369" spans="1:65">
      <c r="A369" s="47">
        <v>506</v>
      </c>
      <c r="B369" s="27">
        <v>412028</v>
      </c>
      <c r="C369" s="27" t="s">
        <v>2186</v>
      </c>
      <c r="E369" s="27" t="s">
        <v>2188</v>
      </c>
      <c r="L369" s="27" t="s">
        <v>2149</v>
      </c>
      <c r="M369" s="27" t="s">
        <v>2187</v>
      </c>
      <c r="N369" s="27" t="s">
        <v>2187</v>
      </c>
      <c r="T369" s="38" t="s">
        <v>2191</v>
      </c>
      <c r="X369" s="185" t="s">
        <v>2383</v>
      </c>
      <c r="AD369" s="27" t="s">
        <v>2189</v>
      </c>
      <c r="AE369" s="37"/>
      <c r="AF369" s="37" t="str">
        <f t="shared" si="15"/>
        <v>ABB6P_B_RL          SCG11A_RL</v>
      </c>
      <c r="AG369" s="27" t="s">
        <v>2190</v>
      </c>
      <c r="AH369">
        <v>3</v>
      </c>
      <c r="AI369">
        <v>412028</v>
      </c>
      <c r="AJ369" t="s">
        <v>1360</v>
      </c>
      <c r="AK369" t="s">
        <v>26</v>
      </c>
      <c r="AL369" t="s">
        <v>1349</v>
      </c>
      <c r="AM369" t="s">
        <v>1349</v>
      </c>
      <c r="AN369" t="s">
        <v>1361</v>
      </c>
      <c r="AO369" t="s">
        <v>1362</v>
      </c>
      <c r="AP369">
        <v>1</v>
      </c>
      <c r="AQ369" t="s">
        <v>1352</v>
      </c>
      <c r="AR369" t="s">
        <v>1333</v>
      </c>
      <c r="AS369" t="s">
        <v>26</v>
      </c>
      <c r="AT369" t="s">
        <v>26</v>
      </c>
      <c r="AU369" t="s">
        <v>1334</v>
      </c>
      <c r="AV369" t="s">
        <v>1334</v>
      </c>
      <c r="AW369" t="s">
        <v>1335</v>
      </c>
      <c r="AX369" t="s">
        <v>1336</v>
      </c>
      <c r="AY369">
        <v>14</v>
      </c>
      <c r="AZ369" t="s">
        <v>1337</v>
      </c>
      <c r="BA369" t="s">
        <v>1338</v>
      </c>
      <c r="BB369" t="s">
        <v>1339</v>
      </c>
      <c r="BC369" t="s">
        <v>1363</v>
      </c>
      <c r="BD369" t="s">
        <v>75</v>
      </c>
      <c r="BE369" t="s">
        <v>1364</v>
      </c>
      <c r="BF369" t="s">
        <v>1365</v>
      </c>
      <c r="BG369" s="146">
        <v>2361</v>
      </c>
      <c r="BH369" t="s">
        <v>1345</v>
      </c>
      <c r="BI369">
        <v>0.35</v>
      </c>
      <c r="BJ369" t="s">
        <v>1366</v>
      </c>
      <c r="BK369" t="s">
        <v>1324</v>
      </c>
      <c r="BL369" t="s">
        <v>1326</v>
      </c>
      <c r="BM369">
        <v>412028</v>
      </c>
    </row>
    <row r="370" spans="1:65">
      <c r="A370" s="47">
        <v>506</v>
      </c>
      <c r="B370" s="27">
        <v>412029</v>
      </c>
      <c r="C370" s="27" t="s">
        <v>2186</v>
      </c>
      <c r="E370" s="27" t="s">
        <v>2188</v>
      </c>
      <c r="L370" s="27" t="s">
        <v>2149</v>
      </c>
      <c r="M370" s="27" t="s">
        <v>2187</v>
      </c>
      <c r="N370" s="27" t="s">
        <v>2187</v>
      </c>
      <c r="T370" s="38" t="s">
        <v>2191</v>
      </c>
      <c r="X370" s="185" t="s">
        <v>2383</v>
      </c>
      <c r="AD370" s="27" t="s">
        <v>2189</v>
      </c>
      <c r="AE370" s="37"/>
      <c r="AF370" s="37" t="str">
        <f t="shared" si="15"/>
        <v>ABB6P_B_RL          SCG11A_RL</v>
      </c>
      <c r="AG370" s="27" t="s">
        <v>2190</v>
      </c>
      <c r="AH370">
        <v>3</v>
      </c>
      <c r="AI370">
        <v>412029</v>
      </c>
      <c r="AJ370" t="s">
        <v>1367</v>
      </c>
      <c r="AK370" t="s">
        <v>26</v>
      </c>
      <c r="AL370" t="s">
        <v>1349</v>
      </c>
      <c r="AM370" t="s">
        <v>1349</v>
      </c>
      <c r="AN370" t="s">
        <v>1361</v>
      </c>
      <c r="AO370" t="s">
        <v>1362</v>
      </c>
      <c r="AP370">
        <v>2</v>
      </c>
      <c r="AQ370" t="s">
        <v>1352</v>
      </c>
      <c r="AR370" t="s">
        <v>1333</v>
      </c>
      <c r="AS370" t="s">
        <v>26</v>
      </c>
      <c r="AT370" t="s">
        <v>26</v>
      </c>
      <c r="AU370" t="s">
        <v>1334</v>
      </c>
      <c r="AV370" t="s">
        <v>1334</v>
      </c>
      <c r="AW370" t="s">
        <v>1335</v>
      </c>
      <c r="AX370" t="s">
        <v>1336</v>
      </c>
      <c r="AY370">
        <v>10</v>
      </c>
      <c r="AZ370" t="s">
        <v>1337</v>
      </c>
      <c r="BA370" t="s">
        <v>1338</v>
      </c>
      <c r="BB370" t="s">
        <v>1339</v>
      </c>
      <c r="BC370" t="s">
        <v>1363</v>
      </c>
      <c r="BD370" t="s">
        <v>75</v>
      </c>
      <c r="BE370" t="s">
        <v>1364</v>
      </c>
      <c r="BF370" t="s">
        <v>869</v>
      </c>
      <c r="BG370" s="146">
        <v>2361</v>
      </c>
      <c r="BH370" t="s">
        <v>54</v>
      </c>
      <c r="BI370">
        <v>0.35</v>
      </c>
      <c r="BJ370" t="s">
        <v>1368</v>
      </c>
      <c r="BK370" t="s">
        <v>1324</v>
      </c>
      <c r="BL370" t="s">
        <v>1326</v>
      </c>
      <c r="BM370">
        <v>412029</v>
      </c>
    </row>
    <row r="371" spans="1:65">
      <c r="A371" s="47">
        <v>506</v>
      </c>
      <c r="B371" s="27">
        <v>412030</v>
      </c>
      <c r="C371" s="27" t="s">
        <v>2186</v>
      </c>
      <c r="E371" s="27" t="s">
        <v>2188</v>
      </c>
      <c r="L371" s="27" t="s">
        <v>2149</v>
      </c>
      <c r="M371" s="27" t="s">
        <v>2187</v>
      </c>
      <c r="N371" s="27" t="s">
        <v>2187</v>
      </c>
      <c r="T371" s="38" t="s">
        <v>2192</v>
      </c>
      <c r="X371" s="185" t="s">
        <v>2383</v>
      </c>
      <c r="AD371" s="27" t="s">
        <v>2189</v>
      </c>
      <c r="AE371" s="37"/>
      <c r="AF371" s="37" t="str">
        <f t="shared" si="15"/>
        <v>ABB6P_C_RL          SCG11A_RL</v>
      </c>
      <c r="AG371" s="27" t="s">
        <v>2190</v>
      </c>
      <c r="AH371">
        <v>3</v>
      </c>
      <c r="AI371">
        <v>412030</v>
      </c>
      <c r="AJ371" t="s">
        <v>1369</v>
      </c>
      <c r="AK371" t="s">
        <v>26</v>
      </c>
      <c r="AL371" t="s">
        <v>1349</v>
      </c>
      <c r="AM371" t="s">
        <v>1349</v>
      </c>
      <c r="AN371" t="s">
        <v>1370</v>
      </c>
      <c r="AO371" t="s">
        <v>1371</v>
      </c>
      <c r="AP371">
        <v>1</v>
      </c>
      <c r="AQ371" t="s">
        <v>1372</v>
      </c>
      <c r="AR371" t="s">
        <v>1333</v>
      </c>
      <c r="AS371" t="s">
        <v>26</v>
      </c>
      <c r="AT371" t="s">
        <v>26</v>
      </c>
      <c r="AU371" t="s">
        <v>1334</v>
      </c>
      <c r="AV371" t="s">
        <v>1334</v>
      </c>
      <c r="AW371" t="s">
        <v>1335</v>
      </c>
      <c r="AX371" t="s">
        <v>1336</v>
      </c>
      <c r="AY371">
        <v>3</v>
      </c>
      <c r="AZ371" t="s">
        <v>1337</v>
      </c>
      <c r="BA371" t="s">
        <v>1338</v>
      </c>
      <c r="BB371" t="s">
        <v>1339</v>
      </c>
      <c r="BC371" t="s">
        <v>1373</v>
      </c>
      <c r="BD371" t="s">
        <v>75</v>
      </c>
      <c r="BE371" t="s">
        <v>1374</v>
      </c>
      <c r="BF371" t="s">
        <v>41</v>
      </c>
      <c r="BG371" s="146">
        <v>2286</v>
      </c>
      <c r="BH371" t="s">
        <v>42</v>
      </c>
      <c r="BI371">
        <v>0.35</v>
      </c>
      <c r="BJ371" t="s">
        <v>1375</v>
      </c>
      <c r="BK371" t="s">
        <v>1324</v>
      </c>
      <c r="BL371" t="s">
        <v>1326</v>
      </c>
      <c r="BM371">
        <v>412030</v>
      </c>
    </row>
    <row r="372" spans="1:65">
      <c r="A372" s="47">
        <v>506</v>
      </c>
      <c r="B372" s="27">
        <v>412031</v>
      </c>
      <c r="C372" s="27" t="s">
        <v>2186</v>
      </c>
      <c r="E372" s="27" t="s">
        <v>2188</v>
      </c>
      <c r="L372" s="27" t="s">
        <v>2149</v>
      </c>
      <c r="M372" s="27" t="s">
        <v>2187</v>
      </c>
      <c r="N372" s="27" t="s">
        <v>2187</v>
      </c>
      <c r="T372" s="38" t="s">
        <v>2192</v>
      </c>
      <c r="X372" s="185" t="s">
        <v>2383</v>
      </c>
      <c r="AD372" s="27" t="s">
        <v>2189</v>
      </c>
      <c r="AE372" s="37"/>
      <c r="AF372" s="37" t="str">
        <f t="shared" si="15"/>
        <v>ABB6P_C_RL          SCG11A_RL</v>
      </c>
      <c r="AG372" s="27" t="s">
        <v>2190</v>
      </c>
      <c r="AH372">
        <v>3</v>
      </c>
      <c r="AI372">
        <v>412031</v>
      </c>
      <c r="AJ372" t="s">
        <v>1376</v>
      </c>
      <c r="AK372" t="s">
        <v>26</v>
      </c>
      <c r="AL372" t="s">
        <v>1349</v>
      </c>
      <c r="AM372" t="s">
        <v>1349</v>
      </c>
      <c r="AN372" t="s">
        <v>1370</v>
      </c>
      <c r="AO372" t="s">
        <v>1371</v>
      </c>
      <c r="AP372">
        <v>2</v>
      </c>
      <c r="AQ372" t="s">
        <v>1372</v>
      </c>
      <c r="AR372" t="s">
        <v>1333</v>
      </c>
      <c r="AS372" t="s">
        <v>26</v>
      </c>
      <c r="AT372" t="s">
        <v>26</v>
      </c>
      <c r="AU372" t="s">
        <v>1334</v>
      </c>
      <c r="AV372" t="s">
        <v>1334</v>
      </c>
      <c r="AW372" t="s">
        <v>1335</v>
      </c>
      <c r="AX372" t="s">
        <v>1336</v>
      </c>
      <c r="AY372">
        <v>7</v>
      </c>
      <c r="AZ372" t="s">
        <v>1337</v>
      </c>
      <c r="BA372" t="s">
        <v>1338</v>
      </c>
      <c r="BB372" t="s">
        <v>1339</v>
      </c>
      <c r="BC372" t="s">
        <v>1373</v>
      </c>
      <c r="BD372" t="s">
        <v>75</v>
      </c>
      <c r="BE372" t="s">
        <v>1374</v>
      </c>
      <c r="BF372" t="s">
        <v>1377</v>
      </c>
      <c r="BG372" s="146">
        <v>2286</v>
      </c>
      <c r="BH372" t="s">
        <v>835</v>
      </c>
      <c r="BI372">
        <v>0.35</v>
      </c>
      <c r="BJ372" t="s">
        <v>1378</v>
      </c>
      <c r="BK372" t="s">
        <v>1324</v>
      </c>
      <c r="BL372" t="s">
        <v>1326</v>
      </c>
      <c r="BM372">
        <v>412031</v>
      </c>
    </row>
    <row r="373" spans="1:65">
      <c r="A373" s="47">
        <v>503</v>
      </c>
      <c r="B373" s="27">
        <v>412032</v>
      </c>
      <c r="C373" s="27" t="s">
        <v>2186</v>
      </c>
      <c r="E373" s="27" t="s">
        <v>2188</v>
      </c>
      <c r="L373" s="27" t="s">
        <v>2149</v>
      </c>
      <c r="M373" s="27" t="s">
        <v>2187</v>
      </c>
      <c r="N373" s="27" t="s">
        <v>2187</v>
      </c>
      <c r="T373" s="43">
        <v>980018079</v>
      </c>
      <c r="X373" s="185" t="s">
        <v>2383</v>
      </c>
      <c r="AD373" s="27" t="s">
        <v>2189</v>
      </c>
      <c r="AE373" s="37"/>
      <c r="AF373" s="37" t="str">
        <f t="shared" si="15"/>
        <v>KNAB56P             SCG11A_RL</v>
      </c>
      <c r="AG373" s="27" t="s">
        <v>2190</v>
      </c>
      <c r="AH373">
        <v>3</v>
      </c>
      <c r="AI373">
        <v>412032</v>
      </c>
      <c r="AJ373" t="s">
        <v>1379</v>
      </c>
      <c r="AK373" t="s">
        <v>26</v>
      </c>
      <c r="AL373" t="s">
        <v>1380</v>
      </c>
      <c r="AM373" t="s">
        <v>1380</v>
      </c>
      <c r="AN373" t="s">
        <v>1381</v>
      </c>
      <c r="AO373" t="s">
        <v>1382</v>
      </c>
      <c r="AP373">
        <v>1</v>
      </c>
      <c r="AQ373" s="146" t="s">
        <v>1332</v>
      </c>
      <c r="AR373" t="s">
        <v>1333</v>
      </c>
      <c r="AS373" t="s">
        <v>26</v>
      </c>
      <c r="AT373" t="s">
        <v>26</v>
      </c>
      <c r="AU373" t="s">
        <v>1334</v>
      </c>
      <c r="AV373" t="s">
        <v>1334</v>
      </c>
      <c r="AW373" t="s">
        <v>1335</v>
      </c>
      <c r="AX373" t="s">
        <v>1336</v>
      </c>
      <c r="AY373">
        <v>1</v>
      </c>
      <c r="AZ373" t="s">
        <v>1337</v>
      </c>
      <c r="BA373" t="s">
        <v>1338</v>
      </c>
      <c r="BB373" t="s">
        <v>1339</v>
      </c>
      <c r="BC373" t="s">
        <v>1384</v>
      </c>
      <c r="BD373" t="s">
        <v>75</v>
      </c>
      <c r="BE373" t="s">
        <v>1385</v>
      </c>
      <c r="BF373" t="s">
        <v>1357</v>
      </c>
      <c r="BG373" s="146">
        <v>1768</v>
      </c>
      <c r="BH373" t="s">
        <v>255</v>
      </c>
      <c r="BI373">
        <v>0.35</v>
      </c>
      <c r="BJ373" t="s">
        <v>1386</v>
      </c>
      <c r="BK373" t="s">
        <v>1324</v>
      </c>
      <c r="BL373" t="s">
        <v>1326</v>
      </c>
      <c r="BM373">
        <v>412032</v>
      </c>
    </row>
    <row r="374" spans="1:65">
      <c r="A374" s="47">
        <v>503</v>
      </c>
      <c r="B374" s="27">
        <v>412033</v>
      </c>
      <c r="C374" s="27" t="s">
        <v>2186</v>
      </c>
      <c r="E374" s="27" t="s">
        <v>2188</v>
      </c>
      <c r="L374" s="27" t="s">
        <v>2149</v>
      </c>
      <c r="M374" s="27" t="s">
        <v>2187</v>
      </c>
      <c r="N374" s="27" t="s">
        <v>2187</v>
      </c>
      <c r="T374" s="43">
        <v>980018079</v>
      </c>
      <c r="X374" s="185" t="s">
        <v>2383</v>
      </c>
      <c r="AD374" s="27" t="s">
        <v>2189</v>
      </c>
      <c r="AE374" s="37"/>
      <c r="AF374" s="37" t="str">
        <f t="shared" si="15"/>
        <v>KNAB56P             SCG11A_RL</v>
      </c>
      <c r="AG374" s="27" t="s">
        <v>2190</v>
      </c>
      <c r="AH374">
        <v>3</v>
      </c>
      <c r="AI374">
        <v>412033</v>
      </c>
      <c r="AJ374" t="s">
        <v>1387</v>
      </c>
      <c r="AK374" t="s">
        <v>26</v>
      </c>
      <c r="AL374" t="s">
        <v>1380</v>
      </c>
      <c r="AM374" t="s">
        <v>1380</v>
      </c>
      <c r="AN374" t="s">
        <v>1381</v>
      </c>
      <c r="AO374" t="s">
        <v>1382</v>
      </c>
      <c r="AP374">
        <v>2</v>
      </c>
      <c r="AQ374" s="146" t="s">
        <v>1332</v>
      </c>
      <c r="AR374" t="s">
        <v>1333</v>
      </c>
      <c r="AS374" t="s">
        <v>26</v>
      </c>
      <c r="AT374" t="s">
        <v>26</v>
      </c>
      <c r="AU374" t="s">
        <v>1334</v>
      </c>
      <c r="AV374" t="s">
        <v>1334</v>
      </c>
      <c r="AW374" t="s">
        <v>1335</v>
      </c>
      <c r="AX374" t="s">
        <v>1336</v>
      </c>
      <c r="AY374">
        <v>5</v>
      </c>
      <c r="AZ374" t="s">
        <v>1337</v>
      </c>
      <c r="BA374" t="s">
        <v>1338</v>
      </c>
      <c r="BB374" t="s">
        <v>1339</v>
      </c>
      <c r="BC374" t="s">
        <v>1384</v>
      </c>
      <c r="BD374" t="s">
        <v>75</v>
      </c>
      <c r="BE374" t="s">
        <v>1385</v>
      </c>
      <c r="BF374" t="s">
        <v>1388</v>
      </c>
      <c r="BG374" s="146">
        <v>1768</v>
      </c>
      <c r="BH374" t="s">
        <v>61</v>
      </c>
      <c r="BI374">
        <v>0.35</v>
      </c>
      <c r="BJ374" t="s">
        <v>1389</v>
      </c>
      <c r="BK374" t="s">
        <v>1324</v>
      </c>
      <c r="BL374" t="s">
        <v>1326</v>
      </c>
      <c r="BM374">
        <v>412033</v>
      </c>
    </row>
    <row r="375" spans="1:65">
      <c r="A375" s="47">
        <v>503</v>
      </c>
      <c r="B375" s="27">
        <v>412034</v>
      </c>
      <c r="C375" s="27" t="s">
        <v>2186</v>
      </c>
      <c r="E375" s="27" t="s">
        <v>2188</v>
      </c>
      <c r="F375" s="27" t="s">
        <v>2156</v>
      </c>
      <c r="G375" s="27" t="s">
        <v>373</v>
      </c>
      <c r="K375" s="27" t="s">
        <v>2158</v>
      </c>
      <c r="L375" s="27" t="s">
        <v>2149</v>
      </c>
      <c r="M375" s="27" t="s">
        <v>2154</v>
      </c>
      <c r="N375" s="27" t="s">
        <v>2187</v>
      </c>
      <c r="T375" s="43">
        <v>980018079</v>
      </c>
      <c r="AF375" s="37" t="str">
        <f t="shared" si="15"/>
        <v>KNAB56P             SP_MB31_B3</v>
      </c>
      <c r="AG375" s="27" t="s">
        <v>2190</v>
      </c>
      <c r="AH375">
        <v>3</v>
      </c>
      <c r="AI375">
        <v>412034</v>
      </c>
      <c r="AJ375" t="s">
        <v>1390</v>
      </c>
      <c r="AK375" t="s">
        <v>26</v>
      </c>
      <c r="AL375" t="s">
        <v>1380</v>
      </c>
      <c r="AM375" t="s">
        <v>1380</v>
      </c>
      <c r="AN375" t="s">
        <v>1381</v>
      </c>
      <c r="AO375" t="s">
        <v>1382</v>
      </c>
      <c r="AP375">
        <v>3</v>
      </c>
      <c r="AQ375" s="146" t="s">
        <v>1332</v>
      </c>
      <c r="AR375" t="s">
        <v>1333</v>
      </c>
      <c r="AS375" t="s">
        <v>26</v>
      </c>
      <c r="AT375" t="s">
        <v>26</v>
      </c>
      <c r="AU375" t="s">
        <v>26</v>
      </c>
      <c r="AV375" t="s">
        <v>372</v>
      </c>
      <c r="AW375">
        <v>821</v>
      </c>
      <c r="AX375" t="s">
        <v>373</v>
      </c>
      <c r="AY375">
        <v>1</v>
      </c>
      <c r="AZ375" t="s">
        <v>374</v>
      </c>
      <c r="BA375" t="s">
        <v>26</v>
      </c>
      <c r="BB375" t="s">
        <v>26</v>
      </c>
      <c r="BC375" t="s">
        <v>312</v>
      </c>
      <c r="BD375" t="s">
        <v>75</v>
      </c>
      <c r="BE375" t="s">
        <v>26</v>
      </c>
      <c r="BF375" t="s">
        <v>26</v>
      </c>
      <c r="BG375" s="146">
        <v>705</v>
      </c>
      <c r="BH375" t="s">
        <v>42</v>
      </c>
      <c r="BI375">
        <v>0.35</v>
      </c>
      <c r="BJ375" t="s">
        <v>264</v>
      </c>
      <c r="BK375" t="s">
        <v>1324</v>
      </c>
      <c r="BL375" t="s">
        <v>1326</v>
      </c>
      <c r="BM375">
        <v>412034</v>
      </c>
    </row>
    <row r="376" spans="1:65" s="102" customFormat="1">
      <c r="A376" s="101">
        <v>504</v>
      </c>
      <c r="B376" s="101">
        <v>412036</v>
      </c>
      <c r="C376" s="101" t="s">
        <v>2186</v>
      </c>
      <c r="D376" s="101"/>
      <c r="E376" s="101" t="s">
        <v>2188</v>
      </c>
      <c r="F376" s="101"/>
      <c r="G376" s="101"/>
      <c r="H376" s="101"/>
      <c r="I376" s="101"/>
      <c r="J376" s="101"/>
      <c r="K376" s="101"/>
      <c r="L376" s="101" t="s">
        <v>2187</v>
      </c>
      <c r="M376" s="101" t="s">
        <v>2187</v>
      </c>
      <c r="N376" s="101" t="s">
        <v>2187</v>
      </c>
      <c r="O376" s="101"/>
      <c r="P376" s="101"/>
      <c r="Q376" s="101"/>
      <c r="R376" s="101"/>
      <c r="S376" s="101"/>
      <c r="T376" s="101"/>
      <c r="U376" s="101"/>
      <c r="V376" s="101"/>
      <c r="W376" s="27"/>
      <c r="X376" s="27"/>
      <c r="Y376" s="101"/>
      <c r="Z376" s="101"/>
      <c r="AA376" s="101"/>
      <c r="AB376" s="101"/>
      <c r="AC376" s="101"/>
      <c r="AD376" s="101" t="s">
        <v>2189</v>
      </c>
      <c r="AE376" s="101"/>
      <c r="AF376" s="196" t="str">
        <f t="shared" si="15"/>
        <v>ABD13V_RL           SCG11A_RL</v>
      </c>
      <c r="AG376" s="101" t="s">
        <v>2190</v>
      </c>
      <c r="AH376" s="102">
        <v>3</v>
      </c>
      <c r="AI376" s="102">
        <v>412036</v>
      </c>
      <c r="AJ376" s="102" t="s">
        <v>1391</v>
      </c>
      <c r="AK376" s="102" t="s">
        <v>26</v>
      </c>
      <c r="AL376" s="102" t="s">
        <v>1392</v>
      </c>
      <c r="AM376" s="102" t="s">
        <v>1392</v>
      </c>
      <c r="AN376" s="102" t="s">
        <v>1393</v>
      </c>
      <c r="AO376" s="102" t="s">
        <v>1394</v>
      </c>
      <c r="AP376" s="102">
        <v>1</v>
      </c>
      <c r="AQ376" s="102" t="s">
        <v>1395</v>
      </c>
      <c r="AR376" s="102" t="s">
        <v>1396</v>
      </c>
      <c r="AS376" s="102" t="s">
        <v>26</v>
      </c>
      <c r="AT376" s="102" t="s">
        <v>26</v>
      </c>
      <c r="AU376" s="102" t="s">
        <v>1334</v>
      </c>
      <c r="AV376" s="102" t="s">
        <v>1334</v>
      </c>
      <c r="AW376" s="102" t="s">
        <v>1335</v>
      </c>
      <c r="AX376" s="102" t="s">
        <v>1336</v>
      </c>
      <c r="AY376" s="102">
        <v>18</v>
      </c>
      <c r="AZ376" s="102" t="s">
        <v>1337</v>
      </c>
      <c r="BA376" s="102" t="s">
        <v>1338</v>
      </c>
      <c r="BB376" s="102" t="s">
        <v>1339</v>
      </c>
      <c r="BC376" s="102" t="s">
        <v>530</v>
      </c>
      <c r="BD376" s="102" t="s">
        <v>75</v>
      </c>
      <c r="BE376" s="102" t="s">
        <v>26</v>
      </c>
      <c r="BF376" s="102" t="s">
        <v>26</v>
      </c>
      <c r="BG376" s="102">
        <v>1723</v>
      </c>
      <c r="BH376" s="102" t="s">
        <v>216</v>
      </c>
      <c r="BI376" s="102">
        <v>0.35</v>
      </c>
      <c r="BJ376" s="102" t="s">
        <v>1397</v>
      </c>
      <c r="BK376" s="102" t="s">
        <v>1324</v>
      </c>
      <c r="BL376" s="102" t="s">
        <v>26</v>
      </c>
      <c r="BM376" s="102">
        <v>412036</v>
      </c>
    </row>
    <row r="377" spans="1:65">
      <c r="A377" s="47">
        <v>504</v>
      </c>
      <c r="B377" s="27">
        <v>412036</v>
      </c>
      <c r="C377" s="27" t="s">
        <v>2186</v>
      </c>
      <c r="E377" s="27" t="s">
        <v>2188</v>
      </c>
      <c r="L377" s="27" t="s">
        <v>2187</v>
      </c>
      <c r="M377" s="27" t="s">
        <v>2187</v>
      </c>
      <c r="N377" s="27" t="s">
        <v>2187</v>
      </c>
      <c r="W377" s="185" t="s">
        <v>2383</v>
      </c>
      <c r="X377" s="185" t="s">
        <v>2383</v>
      </c>
      <c r="AD377" s="27" t="s">
        <v>2189</v>
      </c>
      <c r="AE377" s="37"/>
      <c r="AF377" s="37" t="str">
        <f t="shared" si="15"/>
        <v>ABD13V_RL           SCG11A_RL</v>
      </c>
      <c r="AG377" s="27" t="s">
        <v>2190</v>
      </c>
      <c r="AH377">
        <v>3</v>
      </c>
      <c r="AI377">
        <v>412036</v>
      </c>
      <c r="AJ377" t="s">
        <v>1391</v>
      </c>
      <c r="AK377" t="s">
        <v>26</v>
      </c>
      <c r="AL377" t="s">
        <v>1392</v>
      </c>
      <c r="AM377" t="s">
        <v>1392</v>
      </c>
      <c r="AN377" t="s">
        <v>1393</v>
      </c>
      <c r="AO377" t="s">
        <v>1394</v>
      </c>
      <c r="AP377">
        <v>1</v>
      </c>
      <c r="AQ377" t="s">
        <v>1395</v>
      </c>
      <c r="AR377" t="s">
        <v>1396</v>
      </c>
      <c r="AS377" t="s">
        <v>26</v>
      </c>
      <c r="AT377" t="s">
        <v>26</v>
      </c>
      <c r="AU377" t="s">
        <v>1334</v>
      </c>
      <c r="AV377" t="s">
        <v>1334</v>
      </c>
      <c r="AW377" t="s">
        <v>1335</v>
      </c>
      <c r="AX377" t="s">
        <v>1336</v>
      </c>
      <c r="AY377">
        <v>18</v>
      </c>
      <c r="AZ377" t="s">
        <v>1337</v>
      </c>
      <c r="BA377" t="s">
        <v>1338</v>
      </c>
      <c r="BB377" t="s">
        <v>1339</v>
      </c>
      <c r="BC377" s="146" t="s">
        <v>2316</v>
      </c>
      <c r="BD377" t="s">
        <v>75</v>
      </c>
      <c r="BE377" s="146" t="s">
        <v>2317</v>
      </c>
      <c r="BF377" s="146" t="s">
        <v>2318</v>
      </c>
      <c r="BG377">
        <v>1723</v>
      </c>
      <c r="BH377" s="146" t="s">
        <v>2319</v>
      </c>
      <c r="BI377">
        <v>0.35</v>
      </c>
      <c r="BJ377" t="s">
        <v>1397</v>
      </c>
      <c r="BK377" t="s">
        <v>1324</v>
      </c>
      <c r="BL377" t="s">
        <v>26</v>
      </c>
      <c r="BM377">
        <v>412036</v>
      </c>
    </row>
    <row r="378" spans="1:65" s="102" customFormat="1">
      <c r="A378" s="101">
        <v>504</v>
      </c>
      <c r="B378" s="101">
        <v>412037</v>
      </c>
      <c r="C378" s="101" t="s">
        <v>2186</v>
      </c>
      <c r="D378" s="101"/>
      <c r="E378" s="101" t="s">
        <v>2188</v>
      </c>
      <c r="F378" s="101"/>
      <c r="G378" s="101"/>
      <c r="H378" s="101"/>
      <c r="I378" s="101"/>
      <c r="J378" s="101"/>
      <c r="K378" s="101"/>
      <c r="L378" s="101" t="s">
        <v>2187</v>
      </c>
      <c r="M378" s="101" t="s">
        <v>2187</v>
      </c>
      <c r="N378" s="101" t="s">
        <v>2187</v>
      </c>
      <c r="O378" s="101"/>
      <c r="P378" s="101"/>
      <c r="Q378" s="101"/>
      <c r="R378" s="101"/>
      <c r="S378" s="101"/>
      <c r="T378" s="101"/>
      <c r="U378" s="101"/>
      <c r="V378" s="101"/>
      <c r="W378" s="27"/>
      <c r="X378" s="27"/>
      <c r="Y378" s="101"/>
      <c r="Z378" s="101"/>
      <c r="AA378" s="101"/>
      <c r="AB378" s="101"/>
      <c r="AC378" s="101"/>
      <c r="AD378" s="101" t="s">
        <v>2189</v>
      </c>
      <c r="AE378" s="101"/>
      <c r="AF378" s="196" t="str">
        <f t="shared" si="15"/>
        <v>ABD13V_RL           SCG11A_RL</v>
      </c>
      <c r="AG378" s="101" t="s">
        <v>2190</v>
      </c>
      <c r="AH378" s="102">
        <v>3</v>
      </c>
      <c r="AI378" s="102">
        <v>412037</v>
      </c>
      <c r="AJ378" s="102" t="s">
        <v>1398</v>
      </c>
      <c r="AK378" s="102" t="s">
        <v>26</v>
      </c>
      <c r="AL378" s="102" t="s">
        <v>1392</v>
      </c>
      <c r="AM378" s="102" t="s">
        <v>1392</v>
      </c>
      <c r="AN378" s="102" t="s">
        <v>1393</v>
      </c>
      <c r="AO378" s="102" t="s">
        <v>1394</v>
      </c>
      <c r="AP378" s="102">
        <v>2</v>
      </c>
      <c r="AQ378" s="102" t="s">
        <v>1395</v>
      </c>
      <c r="AR378" s="102" t="s">
        <v>1396</v>
      </c>
      <c r="AS378" s="102" t="s">
        <v>26</v>
      </c>
      <c r="AT378" s="102" t="s">
        <v>26</v>
      </c>
      <c r="AU378" s="102" t="s">
        <v>1334</v>
      </c>
      <c r="AV378" s="102" t="s">
        <v>1334</v>
      </c>
      <c r="AW378" s="102" t="s">
        <v>1335</v>
      </c>
      <c r="AX378" s="102" t="s">
        <v>1336</v>
      </c>
      <c r="AY378" s="102">
        <v>19</v>
      </c>
      <c r="AZ378" s="102" t="s">
        <v>1337</v>
      </c>
      <c r="BA378" s="102" t="s">
        <v>1338</v>
      </c>
      <c r="BB378" s="102" t="s">
        <v>1339</v>
      </c>
      <c r="BC378" s="102" t="s">
        <v>1399</v>
      </c>
      <c r="BD378" s="102" t="s">
        <v>75</v>
      </c>
      <c r="BE378" s="102" t="s">
        <v>26</v>
      </c>
      <c r="BF378" s="102" t="s">
        <v>26</v>
      </c>
      <c r="BG378" s="102">
        <v>1723</v>
      </c>
      <c r="BH378" s="102" t="s">
        <v>1400</v>
      </c>
      <c r="BI378" s="102">
        <v>0.35</v>
      </c>
      <c r="BJ378" s="102" t="s">
        <v>1401</v>
      </c>
      <c r="BK378" s="102" t="s">
        <v>1324</v>
      </c>
      <c r="BL378" s="102" t="s">
        <v>26</v>
      </c>
      <c r="BM378" s="102">
        <v>412037</v>
      </c>
    </row>
    <row r="379" spans="1:65">
      <c r="A379" s="47">
        <v>504</v>
      </c>
      <c r="B379" s="27">
        <v>412037</v>
      </c>
      <c r="C379" s="27" t="s">
        <v>2186</v>
      </c>
      <c r="E379" s="27" t="s">
        <v>2188</v>
      </c>
      <c r="L379" s="27" t="s">
        <v>2187</v>
      </c>
      <c r="M379" s="27" t="s">
        <v>2187</v>
      </c>
      <c r="N379" s="27" t="s">
        <v>2187</v>
      </c>
      <c r="W379" s="185" t="s">
        <v>2383</v>
      </c>
      <c r="X379" s="185" t="s">
        <v>2383</v>
      </c>
      <c r="AD379" s="27" t="s">
        <v>2189</v>
      </c>
      <c r="AE379" s="37"/>
      <c r="AF379" s="37" t="str">
        <f t="shared" si="15"/>
        <v>ABD13V_RL           SCG11A_RL</v>
      </c>
      <c r="AG379" s="27" t="s">
        <v>2190</v>
      </c>
      <c r="AH379">
        <v>3</v>
      </c>
      <c r="AI379">
        <v>412037</v>
      </c>
      <c r="AJ379" t="s">
        <v>1398</v>
      </c>
      <c r="AK379" t="s">
        <v>26</v>
      </c>
      <c r="AL379" t="s">
        <v>1392</v>
      </c>
      <c r="AM379" t="s">
        <v>1392</v>
      </c>
      <c r="AN379" t="s">
        <v>1393</v>
      </c>
      <c r="AO379" t="s">
        <v>1394</v>
      </c>
      <c r="AP379">
        <v>2</v>
      </c>
      <c r="AQ379" t="s">
        <v>1395</v>
      </c>
      <c r="AR379" t="s">
        <v>1396</v>
      </c>
      <c r="AS379" t="s">
        <v>26</v>
      </c>
      <c r="AT379" t="s">
        <v>26</v>
      </c>
      <c r="AU379" t="s">
        <v>1334</v>
      </c>
      <c r="AV379" t="s">
        <v>1334</v>
      </c>
      <c r="AW379" t="s">
        <v>1335</v>
      </c>
      <c r="AX379" t="s">
        <v>1336</v>
      </c>
      <c r="AY379">
        <v>19</v>
      </c>
      <c r="AZ379" t="s">
        <v>1337</v>
      </c>
      <c r="BA379" t="s">
        <v>1338</v>
      </c>
      <c r="BB379" t="s">
        <v>1339</v>
      </c>
      <c r="BC379" s="146" t="s">
        <v>2316</v>
      </c>
      <c r="BD379" t="s">
        <v>75</v>
      </c>
      <c r="BE379" s="146" t="s">
        <v>2317</v>
      </c>
      <c r="BF379" s="146" t="s">
        <v>2320</v>
      </c>
      <c r="BG379">
        <v>1723</v>
      </c>
      <c r="BH379" t="s">
        <v>1400</v>
      </c>
      <c r="BI379">
        <v>0.35</v>
      </c>
      <c r="BJ379" t="s">
        <v>1401</v>
      </c>
      <c r="BK379" t="s">
        <v>1324</v>
      </c>
      <c r="BL379" t="s">
        <v>26</v>
      </c>
      <c r="BM379">
        <v>412037</v>
      </c>
    </row>
    <row r="380" spans="1:65" s="102" customFormat="1">
      <c r="A380" s="101">
        <v>504</v>
      </c>
      <c r="B380" s="101">
        <v>412038</v>
      </c>
      <c r="C380" s="101" t="s">
        <v>2186</v>
      </c>
      <c r="D380" s="101"/>
      <c r="E380" s="101" t="s">
        <v>2188</v>
      </c>
      <c r="F380" s="101"/>
      <c r="G380" s="101"/>
      <c r="H380" s="101"/>
      <c r="I380" s="101"/>
      <c r="J380" s="101"/>
      <c r="K380" s="101"/>
      <c r="L380" s="101" t="s">
        <v>2187</v>
      </c>
      <c r="M380" s="101" t="s">
        <v>2187</v>
      </c>
      <c r="N380" s="101" t="s">
        <v>2187</v>
      </c>
      <c r="O380" s="101"/>
      <c r="P380" s="101"/>
      <c r="Q380" s="101"/>
      <c r="R380" s="101"/>
      <c r="S380" s="101"/>
      <c r="T380" s="101"/>
      <c r="U380" s="101"/>
      <c r="V380" s="101"/>
      <c r="W380" s="27"/>
      <c r="X380" s="27"/>
      <c r="Y380" s="101"/>
      <c r="Z380" s="101"/>
      <c r="AA380" s="101"/>
      <c r="AB380" s="101"/>
      <c r="AC380" s="101"/>
      <c r="AD380" s="101" t="s">
        <v>2189</v>
      </c>
      <c r="AE380" s="101"/>
      <c r="AF380" s="196" t="str">
        <f t="shared" si="15"/>
        <v>ABD13V_RL           SCG11A_RL</v>
      </c>
      <c r="AG380" s="101" t="s">
        <v>2190</v>
      </c>
      <c r="AH380" s="102">
        <v>3</v>
      </c>
      <c r="AI380" s="102">
        <v>412038</v>
      </c>
      <c r="AJ380" s="102" t="s">
        <v>1402</v>
      </c>
      <c r="AK380" s="102" t="s">
        <v>26</v>
      </c>
      <c r="AL380" s="102" t="s">
        <v>1392</v>
      </c>
      <c r="AM380" s="102" t="s">
        <v>1392</v>
      </c>
      <c r="AN380" s="102" t="s">
        <v>1393</v>
      </c>
      <c r="AO380" s="102" t="s">
        <v>1394</v>
      </c>
      <c r="AP380" s="102">
        <v>3</v>
      </c>
      <c r="AQ380" s="102" t="s">
        <v>1395</v>
      </c>
      <c r="AR380" s="102" t="s">
        <v>1396</v>
      </c>
      <c r="AS380" s="102" t="s">
        <v>26</v>
      </c>
      <c r="AT380" s="102" t="s">
        <v>26</v>
      </c>
      <c r="AU380" s="102" t="s">
        <v>1334</v>
      </c>
      <c r="AV380" s="102" t="s">
        <v>1334</v>
      </c>
      <c r="AW380" s="102" t="s">
        <v>1335</v>
      </c>
      <c r="AX380" s="102" t="s">
        <v>1336</v>
      </c>
      <c r="AY380" s="102">
        <v>20</v>
      </c>
      <c r="AZ380" s="102" t="s">
        <v>1337</v>
      </c>
      <c r="BA380" s="102" t="s">
        <v>1338</v>
      </c>
      <c r="BB380" s="102" t="s">
        <v>1339</v>
      </c>
      <c r="BC380" s="102" t="s">
        <v>312</v>
      </c>
      <c r="BD380" s="102" t="s">
        <v>75</v>
      </c>
      <c r="BE380" s="102" t="s">
        <v>26</v>
      </c>
      <c r="BF380" s="102" t="s">
        <v>26</v>
      </c>
      <c r="BG380" s="102">
        <v>1723</v>
      </c>
      <c r="BH380" s="102" t="s">
        <v>42</v>
      </c>
      <c r="BI380" s="102">
        <v>0.35</v>
      </c>
      <c r="BJ380" s="102" t="s">
        <v>1403</v>
      </c>
      <c r="BK380" s="102" t="s">
        <v>1324</v>
      </c>
      <c r="BL380" s="102" t="s">
        <v>26</v>
      </c>
      <c r="BM380" s="102">
        <v>412038</v>
      </c>
    </row>
    <row r="381" spans="1:65">
      <c r="A381" s="47">
        <v>504</v>
      </c>
      <c r="B381" s="27">
        <v>412038</v>
      </c>
      <c r="C381" s="27" t="s">
        <v>2186</v>
      </c>
      <c r="E381" s="27" t="s">
        <v>2188</v>
      </c>
      <c r="L381" s="27" t="s">
        <v>2187</v>
      </c>
      <c r="M381" s="27" t="s">
        <v>2187</v>
      </c>
      <c r="N381" s="27" t="s">
        <v>2187</v>
      </c>
      <c r="W381" s="185" t="s">
        <v>2383</v>
      </c>
      <c r="X381" s="185" t="s">
        <v>2383</v>
      </c>
      <c r="AD381" s="27" t="s">
        <v>2189</v>
      </c>
      <c r="AE381" s="37"/>
      <c r="AF381" s="37" t="str">
        <f t="shared" si="15"/>
        <v>ABD13V_RL           SCG11A_RL</v>
      </c>
      <c r="AG381" s="27" t="s">
        <v>2190</v>
      </c>
      <c r="AH381">
        <v>3</v>
      </c>
      <c r="AI381">
        <v>412038</v>
      </c>
      <c r="AJ381" t="s">
        <v>1402</v>
      </c>
      <c r="AK381" t="s">
        <v>26</v>
      </c>
      <c r="AL381" t="s">
        <v>1392</v>
      </c>
      <c r="AM381" t="s">
        <v>1392</v>
      </c>
      <c r="AN381" t="s">
        <v>1393</v>
      </c>
      <c r="AO381" t="s">
        <v>1394</v>
      </c>
      <c r="AP381">
        <v>3</v>
      </c>
      <c r="AQ381" t="s">
        <v>1395</v>
      </c>
      <c r="AR381" t="s">
        <v>1396</v>
      </c>
      <c r="AS381" t="s">
        <v>26</v>
      </c>
      <c r="AT381" t="s">
        <v>26</v>
      </c>
      <c r="AU381" t="s">
        <v>1334</v>
      </c>
      <c r="AV381" t="s">
        <v>1334</v>
      </c>
      <c r="AW381" t="s">
        <v>1335</v>
      </c>
      <c r="AX381" t="s">
        <v>1336</v>
      </c>
      <c r="AY381">
        <v>20</v>
      </c>
      <c r="AZ381" t="s">
        <v>1337</v>
      </c>
      <c r="BA381" t="s">
        <v>1338</v>
      </c>
      <c r="BB381" t="s">
        <v>1339</v>
      </c>
      <c r="BC381" s="146" t="s">
        <v>2316</v>
      </c>
      <c r="BD381" t="s">
        <v>75</v>
      </c>
      <c r="BE381" s="146" t="s">
        <v>2317</v>
      </c>
      <c r="BF381" s="146" t="s">
        <v>2321</v>
      </c>
      <c r="BG381">
        <v>1723</v>
      </c>
      <c r="BH381" t="s">
        <v>42</v>
      </c>
      <c r="BI381">
        <v>0.35</v>
      </c>
      <c r="BJ381" t="s">
        <v>1403</v>
      </c>
      <c r="BK381" t="s">
        <v>1324</v>
      </c>
      <c r="BL381" t="s">
        <v>26</v>
      </c>
      <c r="BM381">
        <v>412038</v>
      </c>
    </row>
    <row r="382" spans="1:65">
      <c r="A382" s="160">
        <v>502.50599999999997</v>
      </c>
      <c r="B382" s="27">
        <v>412039</v>
      </c>
      <c r="C382" s="27" t="s">
        <v>2186</v>
      </c>
      <c r="E382" s="27" t="s">
        <v>2188</v>
      </c>
      <c r="L382" s="27" t="s">
        <v>2187</v>
      </c>
      <c r="M382" s="27" t="s">
        <v>2187</v>
      </c>
      <c r="N382" s="27" t="s">
        <v>2187</v>
      </c>
      <c r="W382" s="185" t="s">
        <v>2383</v>
      </c>
      <c r="X382" s="185" t="s">
        <v>2383</v>
      </c>
      <c r="AD382" s="27" t="s">
        <v>2189</v>
      </c>
      <c r="AE382" s="37"/>
      <c r="AF382" s="37" t="str">
        <f t="shared" si="15"/>
        <v>SCG11A_RL           SMLS02P</v>
      </c>
      <c r="AG382" s="27" t="s">
        <v>2190</v>
      </c>
      <c r="AH382">
        <v>3</v>
      </c>
      <c r="AI382">
        <v>412039</v>
      </c>
      <c r="AJ382" t="s">
        <v>1404</v>
      </c>
      <c r="AK382" t="s">
        <v>26</v>
      </c>
      <c r="AL382" t="s">
        <v>1334</v>
      </c>
      <c r="AM382" t="s">
        <v>1334</v>
      </c>
      <c r="AN382" t="s">
        <v>1335</v>
      </c>
      <c r="AO382" t="s">
        <v>1336</v>
      </c>
      <c r="AP382">
        <v>12</v>
      </c>
      <c r="AQ382" t="s">
        <v>1337</v>
      </c>
      <c r="AR382" t="s">
        <v>1338</v>
      </c>
      <c r="AS382" t="s">
        <v>1339</v>
      </c>
      <c r="AT382" t="s">
        <v>26</v>
      </c>
      <c r="AU382" t="s">
        <v>202</v>
      </c>
      <c r="AV382" t="s">
        <v>202</v>
      </c>
      <c r="AW382" t="s">
        <v>203</v>
      </c>
      <c r="AX382" t="s">
        <v>204</v>
      </c>
      <c r="AY382">
        <v>11</v>
      </c>
      <c r="AZ382" t="s">
        <v>205</v>
      </c>
      <c r="BA382" t="s">
        <v>1405</v>
      </c>
      <c r="BB382" t="s">
        <v>26</v>
      </c>
      <c r="BC382" t="s">
        <v>1406</v>
      </c>
      <c r="BD382" t="s">
        <v>75</v>
      </c>
      <c r="BE382" t="s">
        <v>1407</v>
      </c>
      <c r="BF382" t="s">
        <v>877</v>
      </c>
      <c r="BG382" s="146">
        <v>2852</v>
      </c>
      <c r="BH382" t="s">
        <v>878</v>
      </c>
      <c r="BI382">
        <v>0.35</v>
      </c>
      <c r="BJ382" t="s">
        <v>1408</v>
      </c>
      <c r="BK382" t="s">
        <v>1324</v>
      </c>
      <c r="BL382" t="s">
        <v>1326</v>
      </c>
      <c r="BM382">
        <v>412039</v>
      </c>
    </row>
    <row r="383" spans="1:65">
      <c r="A383" s="160">
        <v>502.50599999999997</v>
      </c>
      <c r="B383" s="27">
        <v>412040</v>
      </c>
      <c r="C383" s="27" t="s">
        <v>2186</v>
      </c>
      <c r="E383" s="27" t="s">
        <v>2188</v>
      </c>
      <c r="L383" s="27" t="s">
        <v>2187</v>
      </c>
      <c r="M383" s="27" t="s">
        <v>2187</v>
      </c>
      <c r="N383" s="27" t="s">
        <v>2187</v>
      </c>
      <c r="W383" s="185" t="s">
        <v>2383</v>
      </c>
      <c r="X383" s="185" t="s">
        <v>2383</v>
      </c>
      <c r="AD383" s="27" t="s">
        <v>2189</v>
      </c>
      <c r="AE383" s="37"/>
      <c r="AF383" s="37" t="str">
        <f t="shared" si="15"/>
        <v>SCG11A_RL           SMLS02P</v>
      </c>
      <c r="AG383" s="27" t="s">
        <v>2190</v>
      </c>
      <c r="AH383">
        <v>3</v>
      </c>
      <c r="AI383">
        <v>412040</v>
      </c>
      <c r="AJ383" t="s">
        <v>1409</v>
      </c>
      <c r="AK383" t="s">
        <v>26</v>
      </c>
      <c r="AL383" t="s">
        <v>1334</v>
      </c>
      <c r="AM383" t="s">
        <v>1334</v>
      </c>
      <c r="AN383" t="s">
        <v>1335</v>
      </c>
      <c r="AO383" t="s">
        <v>1336</v>
      </c>
      <c r="AP383">
        <v>16</v>
      </c>
      <c r="AQ383" t="s">
        <v>1337</v>
      </c>
      <c r="AR383" t="s">
        <v>1338</v>
      </c>
      <c r="AS383" t="s">
        <v>1339</v>
      </c>
      <c r="AT383" t="s">
        <v>26</v>
      </c>
      <c r="AU383" t="s">
        <v>202</v>
      </c>
      <c r="AV383" t="s">
        <v>202</v>
      </c>
      <c r="AW383" t="s">
        <v>203</v>
      </c>
      <c r="AX383" t="s">
        <v>204</v>
      </c>
      <c r="AY383">
        <v>12</v>
      </c>
      <c r="AZ383" t="s">
        <v>205</v>
      </c>
      <c r="BA383" t="s">
        <v>1405</v>
      </c>
      <c r="BB383" t="s">
        <v>26</v>
      </c>
      <c r="BC383" t="s">
        <v>1406</v>
      </c>
      <c r="BD383" t="s">
        <v>75</v>
      </c>
      <c r="BE383" t="s">
        <v>1407</v>
      </c>
      <c r="BF383" t="s">
        <v>480</v>
      </c>
      <c r="BG383" s="146">
        <v>2852</v>
      </c>
      <c r="BH383" t="s">
        <v>255</v>
      </c>
      <c r="BI383">
        <v>0.35</v>
      </c>
      <c r="BJ383" t="s">
        <v>1410</v>
      </c>
      <c r="BK383" t="s">
        <v>1324</v>
      </c>
      <c r="BL383" t="s">
        <v>1326</v>
      </c>
      <c r="BM383">
        <v>412040</v>
      </c>
    </row>
    <row r="384" spans="1:65">
      <c r="A384" s="160">
        <v>502.50599999999997</v>
      </c>
      <c r="B384" s="27">
        <v>412041</v>
      </c>
      <c r="C384" s="27" t="s">
        <v>2186</v>
      </c>
      <c r="E384" s="27" t="s">
        <v>2188</v>
      </c>
      <c r="L384" s="27" t="s">
        <v>2187</v>
      </c>
      <c r="M384" s="27" t="s">
        <v>2187</v>
      </c>
      <c r="N384" s="27" t="s">
        <v>2187</v>
      </c>
      <c r="W384" s="185" t="s">
        <v>2383</v>
      </c>
      <c r="X384" s="185" t="s">
        <v>2383</v>
      </c>
      <c r="AD384" s="27" t="s">
        <v>2189</v>
      </c>
      <c r="AE384" s="37"/>
      <c r="AF384" s="37" t="str">
        <f t="shared" si="15"/>
        <v>SCG11A_RL           SMLS02P</v>
      </c>
      <c r="AG384" s="27" t="s">
        <v>2190</v>
      </c>
      <c r="AH384">
        <v>3</v>
      </c>
      <c r="AI384">
        <v>412041</v>
      </c>
      <c r="AJ384" t="s">
        <v>1411</v>
      </c>
      <c r="AK384" t="s">
        <v>26</v>
      </c>
      <c r="AL384" t="s">
        <v>1334</v>
      </c>
      <c r="AM384" t="s">
        <v>1334</v>
      </c>
      <c r="AN384" t="s">
        <v>1335</v>
      </c>
      <c r="AO384" t="s">
        <v>1336</v>
      </c>
      <c r="AP384">
        <v>13</v>
      </c>
      <c r="AQ384" t="s">
        <v>1337</v>
      </c>
      <c r="AR384" t="s">
        <v>1338</v>
      </c>
      <c r="AS384" t="s">
        <v>1339</v>
      </c>
      <c r="AT384" t="s">
        <v>26</v>
      </c>
      <c r="AU384" t="s">
        <v>202</v>
      </c>
      <c r="AV384" t="s">
        <v>202</v>
      </c>
      <c r="AW384" t="s">
        <v>203</v>
      </c>
      <c r="AX384" t="s">
        <v>204</v>
      </c>
      <c r="AY384">
        <v>13</v>
      </c>
      <c r="AZ384" t="s">
        <v>205</v>
      </c>
      <c r="BA384" t="s">
        <v>1405</v>
      </c>
      <c r="BB384" t="s">
        <v>26</v>
      </c>
      <c r="BC384" t="s">
        <v>1412</v>
      </c>
      <c r="BD384" t="s">
        <v>75</v>
      </c>
      <c r="BE384" t="s">
        <v>1413</v>
      </c>
      <c r="BF384" t="s">
        <v>274</v>
      </c>
      <c r="BG384" s="146">
        <v>2852</v>
      </c>
      <c r="BH384" t="s">
        <v>42</v>
      </c>
      <c r="BI384">
        <v>0.35</v>
      </c>
      <c r="BJ384" t="s">
        <v>1414</v>
      </c>
      <c r="BK384" t="s">
        <v>1324</v>
      </c>
      <c r="BL384" t="s">
        <v>1326</v>
      </c>
      <c r="BM384">
        <v>412041</v>
      </c>
    </row>
    <row r="385" spans="1:65">
      <c r="A385" s="160">
        <v>502.50599999999997</v>
      </c>
      <c r="B385" s="27">
        <v>412042</v>
      </c>
      <c r="C385" s="27" t="s">
        <v>2186</v>
      </c>
      <c r="E385" s="27" t="s">
        <v>2188</v>
      </c>
      <c r="L385" s="27" t="s">
        <v>2187</v>
      </c>
      <c r="M385" s="27" t="s">
        <v>2187</v>
      </c>
      <c r="N385" s="27" t="s">
        <v>2187</v>
      </c>
      <c r="W385" s="185" t="s">
        <v>2383</v>
      </c>
      <c r="X385" s="185" t="s">
        <v>2383</v>
      </c>
      <c r="AD385" s="27" t="s">
        <v>2189</v>
      </c>
      <c r="AE385" s="37"/>
      <c r="AF385" s="37" t="str">
        <f t="shared" si="15"/>
        <v>SCG11A_RL           SMLS02P</v>
      </c>
      <c r="AG385" s="27" t="s">
        <v>2190</v>
      </c>
      <c r="AH385">
        <v>3</v>
      </c>
      <c r="AI385">
        <v>412042</v>
      </c>
      <c r="AJ385" t="s">
        <v>1415</v>
      </c>
      <c r="AK385" t="s">
        <v>26</v>
      </c>
      <c r="AL385" t="s">
        <v>1334</v>
      </c>
      <c r="AM385" t="s">
        <v>1334</v>
      </c>
      <c r="AN385" t="s">
        <v>1335</v>
      </c>
      <c r="AO385" t="s">
        <v>1336</v>
      </c>
      <c r="AP385">
        <v>9</v>
      </c>
      <c r="AQ385" t="s">
        <v>1337</v>
      </c>
      <c r="AR385" t="s">
        <v>1338</v>
      </c>
      <c r="AS385" t="s">
        <v>1339</v>
      </c>
      <c r="AT385" t="s">
        <v>26</v>
      </c>
      <c r="AU385" t="s">
        <v>202</v>
      </c>
      <c r="AV385" t="s">
        <v>202</v>
      </c>
      <c r="AW385" t="s">
        <v>203</v>
      </c>
      <c r="AX385" t="s">
        <v>204</v>
      </c>
      <c r="AY385">
        <v>14</v>
      </c>
      <c r="AZ385" t="s">
        <v>205</v>
      </c>
      <c r="BA385" t="s">
        <v>1405</v>
      </c>
      <c r="BB385" t="s">
        <v>26</v>
      </c>
      <c r="BC385" t="s">
        <v>1412</v>
      </c>
      <c r="BD385" t="s">
        <v>75</v>
      </c>
      <c r="BE385" t="s">
        <v>1413</v>
      </c>
      <c r="BF385" t="s">
        <v>1388</v>
      </c>
      <c r="BG385" s="146">
        <v>2852</v>
      </c>
      <c r="BH385" t="s">
        <v>61</v>
      </c>
      <c r="BI385">
        <v>0.35</v>
      </c>
      <c r="BJ385" t="s">
        <v>1416</v>
      </c>
      <c r="BK385" t="s">
        <v>1324</v>
      </c>
      <c r="BL385" t="s">
        <v>1326</v>
      </c>
      <c r="BM385">
        <v>412042</v>
      </c>
    </row>
    <row r="386" spans="1:65">
      <c r="A386" s="47"/>
      <c r="C386" s="27" t="s">
        <v>2193</v>
      </c>
      <c r="AF386" s="37" t="str">
        <f t="shared" si="15"/>
        <v xml:space="preserve">                    </v>
      </c>
      <c r="AH386">
        <v>1</v>
      </c>
      <c r="AI386" t="s">
        <v>1417</v>
      </c>
    </row>
    <row r="387" spans="1:65">
      <c r="A387" s="47"/>
      <c r="C387" s="27" t="s">
        <v>2193</v>
      </c>
      <c r="AF387" s="37"/>
      <c r="AH387">
        <v>2</v>
      </c>
      <c r="AI387" t="s">
        <v>1</v>
      </c>
      <c r="AJ387" t="s">
        <v>1418</v>
      </c>
      <c r="AK387" t="s">
        <v>1419</v>
      </c>
      <c r="AL387" t="s">
        <v>1420</v>
      </c>
      <c r="AN387" t="s">
        <v>1421</v>
      </c>
      <c r="AO387" t="s">
        <v>5</v>
      </c>
    </row>
    <row r="388" spans="1:65">
      <c r="A388" s="47"/>
      <c r="C388" s="27" t="s">
        <v>2193</v>
      </c>
      <c r="AF388" s="37" t="str">
        <f xml:space="preserve"> AO388 &amp; REPT(" ",20-LEN(AO388)) &amp; AX388</f>
        <v>Kurzname            Kurzname</v>
      </c>
      <c r="AH388">
        <v>0</v>
      </c>
      <c r="AI388" t="s">
        <v>6</v>
      </c>
      <c r="AJ388" t="s">
        <v>7</v>
      </c>
      <c r="AK388" t="s">
        <v>8</v>
      </c>
      <c r="AL388" t="s">
        <v>9</v>
      </c>
      <c r="AM388" t="s">
        <v>9</v>
      </c>
      <c r="AN388" t="s">
        <v>10</v>
      </c>
      <c r="AO388" t="s">
        <v>11</v>
      </c>
      <c r="AP388" t="s">
        <v>12</v>
      </c>
      <c r="AQ388" t="s">
        <v>13</v>
      </c>
      <c r="AR388" t="s">
        <v>14</v>
      </c>
      <c r="AS388" t="s">
        <v>15</v>
      </c>
      <c r="AT388" t="s">
        <v>8</v>
      </c>
      <c r="AU388" t="s">
        <v>9</v>
      </c>
      <c r="AV388" t="s">
        <v>9</v>
      </c>
      <c r="AW388" t="s">
        <v>16</v>
      </c>
      <c r="AX388" t="s">
        <v>11</v>
      </c>
      <c r="AY388" t="s">
        <v>12</v>
      </c>
      <c r="AZ388" t="s">
        <v>13</v>
      </c>
      <c r="BA388" t="s">
        <v>14</v>
      </c>
      <c r="BB388" t="s">
        <v>15</v>
      </c>
      <c r="BC388" t="s">
        <v>17</v>
      </c>
      <c r="BD388" t="s">
        <v>18</v>
      </c>
      <c r="BE388" t="s">
        <v>19</v>
      </c>
      <c r="BF388" t="s">
        <v>20</v>
      </c>
      <c r="BG388" t="s">
        <v>21</v>
      </c>
      <c r="BH388" t="s">
        <v>22</v>
      </c>
      <c r="BI388" t="s">
        <v>23</v>
      </c>
      <c r="BJ388" t="s">
        <v>24</v>
      </c>
      <c r="BK388" t="s">
        <v>1</v>
      </c>
      <c r="BL388" t="s">
        <v>6</v>
      </c>
    </row>
    <row r="389" spans="1:65">
      <c r="A389" s="47"/>
      <c r="B389" s="27">
        <v>656001</v>
      </c>
      <c r="C389" s="27" t="s">
        <v>2193</v>
      </c>
      <c r="E389" s="27" t="s">
        <v>2159</v>
      </c>
      <c r="L389" s="27" t="s">
        <v>2149</v>
      </c>
      <c r="M389" s="27" t="s">
        <v>2149</v>
      </c>
      <c r="N389" s="27" t="s">
        <v>2160</v>
      </c>
      <c r="T389" s="27">
        <v>980016341</v>
      </c>
      <c r="AF389" s="37" t="str">
        <f xml:space="preserve"> AO389 &amp; REPT(" ",20-LEN(AO389)) &amp; AX389</f>
        <v>ANTE17P             KS_CPR_E</v>
      </c>
      <c r="AG389" s="27" t="s">
        <v>2161</v>
      </c>
      <c r="AH389">
        <v>3</v>
      </c>
      <c r="AI389">
        <v>656001</v>
      </c>
      <c r="AJ389" t="s">
        <v>1422</v>
      </c>
      <c r="AK389" t="s">
        <v>26</v>
      </c>
      <c r="AL389" t="s">
        <v>1423</v>
      </c>
      <c r="AM389" t="s">
        <v>1423</v>
      </c>
      <c r="AN389" t="s">
        <v>1424</v>
      </c>
      <c r="AO389" t="s">
        <v>1425</v>
      </c>
      <c r="AP389">
        <v>1</v>
      </c>
      <c r="AQ389" t="s">
        <v>1426</v>
      </c>
      <c r="AR389" t="s">
        <v>1318</v>
      </c>
      <c r="AS389" t="s">
        <v>26</v>
      </c>
      <c r="AT389" t="s">
        <v>26</v>
      </c>
      <c r="AU389" t="s">
        <v>131</v>
      </c>
      <c r="AV389" t="s">
        <v>131</v>
      </c>
      <c r="AW389" t="s">
        <v>1427</v>
      </c>
      <c r="AX389" t="s">
        <v>1428</v>
      </c>
      <c r="AY389">
        <v>1</v>
      </c>
      <c r="AZ389" t="s">
        <v>1429</v>
      </c>
      <c r="BA389" t="s">
        <v>409</v>
      </c>
      <c r="BB389" t="s">
        <v>26</v>
      </c>
      <c r="BC389" t="s">
        <v>413</v>
      </c>
      <c r="BD389" t="s">
        <v>414</v>
      </c>
      <c r="BE389" t="s">
        <v>1430</v>
      </c>
      <c r="BF389" t="s">
        <v>416</v>
      </c>
      <c r="BG389">
        <v>1797</v>
      </c>
      <c r="BH389" t="s">
        <v>417</v>
      </c>
      <c r="BI389">
        <v>0.37</v>
      </c>
      <c r="BJ389" t="s">
        <v>1431</v>
      </c>
      <c r="BK389" t="s">
        <v>1418</v>
      </c>
      <c r="BL389">
        <v>656001</v>
      </c>
    </row>
    <row r="390" spans="1:65">
      <c r="A390" s="47"/>
      <c r="B390" s="27">
        <v>656002</v>
      </c>
      <c r="C390" s="27" t="s">
        <v>2193</v>
      </c>
      <c r="E390" s="27" t="s">
        <v>2159</v>
      </c>
      <c r="L390" s="27" t="s">
        <v>2149</v>
      </c>
      <c r="M390" s="27" t="s">
        <v>2149</v>
      </c>
      <c r="N390" s="27" t="s">
        <v>2160</v>
      </c>
      <c r="T390" s="27">
        <v>980016341</v>
      </c>
      <c r="AF390" s="37" t="str">
        <f xml:space="preserve"> AO390 &amp; REPT(" ",20-LEN(AO390)) &amp; AX390</f>
        <v>ANTE17P             KS_CPR_E</v>
      </c>
      <c r="AG390" s="27" t="s">
        <v>2161</v>
      </c>
      <c r="AH390">
        <v>3</v>
      </c>
      <c r="AI390">
        <v>656002</v>
      </c>
      <c r="AJ390" t="s">
        <v>1432</v>
      </c>
      <c r="AK390" t="s">
        <v>26</v>
      </c>
      <c r="AL390" t="s">
        <v>1423</v>
      </c>
      <c r="AM390" t="s">
        <v>1423</v>
      </c>
      <c r="AN390" t="s">
        <v>1424</v>
      </c>
      <c r="AO390" t="s">
        <v>1425</v>
      </c>
      <c r="AP390">
        <v>2</v>
      </c>
      <c r="AQ390" t="s">
        <v>1426</v>
      </c>
      <c r="AR390" t="s">
        <v>59</v>
      </c>
      <c r="AS390" t="s">
        <v>26</v>
      </c>
      <c r="AT390" t="s">
        <v>26</v>
      </c>
      <c r="AU390" t="s">
        <v>131</v>
      </c>
      <c r="AV390" t="s">
        <v>131</v>
      </c>
      <c r="AW390" t="s">
        <v>1427</v>
      </c>
      <c r="AX390" t="s">
        <v>1428</v>
      </c>
      <c r="AY390">
        <v>2</v>
      </c>
      <c r="AZ390" t="s">
        <v>1429</v>
      </c>
      <c r="BA390" t="s">
        <v>59</v>
      </c>
      <c r="BB390" t="s">
        <v>26</v>
      </c>
      <c r="BC390" t="s">
        <v>413</v>
      </c>
      <c r="BD390" t="s">
        <v>59</v>
      </c>
      <c r="BE390" t="s">
        <v>1430</v>
      </c>
      <c r="BF390" t="s">
        <v>420</v>
      </c>
      <c r="BG390">
        <v>1797</v>
      </c>
      <c r="BH390" t="s">
        <v>61</v>
      </c>
      <c r="BI390">
        <v>0.5</v>
      </c>
      <c r="BJ390" t="s">
        <v>1433</v>
      </c>
      <c r="BK390" t="s">
        <v>1418</v>
      </c>
      <c r="BL390">
        <v>656002</v>
      </c>
    </row>
    <row r="391" spans="1:65">
      <c r="A391" s="47"/>
      <c r="C391" s="27" t="s">
        <v>2194</v>
      </c>
      <c r="AF391" s="37" t="str">
        <f xml:space="preserve"> AO391 &amp; REPT(" ",20-LEN(AO391)) &amp; AX391</f>
        <v xml:space="preserve">                    </v>
      </c>
      <c r="AH391">
        <v>1</v>
      </c>
      <c r="AI391" t="s">
        <v>1434</v>
      </c>
    </row>
    <row r="392" spans="1:65">
      <c r="A392" s="47">
        <v>500</v>
      </c>
      <c r="C392" s="27" t="s">
        <v>2194</v>
      </c>
      <c r="AF392" s="37"/>
      <c r="AH392">
        <v>2</v>
      </c>
      <c r="AI392" t="s">
        <v>1</v>
      </c>
      <c r="AJ392" t="s">
        <v>1435</v>
      </c>
      <c r="AK392" t="s">
        <v>1436</v>
      </c>
      <c r="AL392" s="146" t="s">
        <v>2303</v>
      </c>
      <c r="AN392" s="146" t="s">
        <v>1055</v>
      </c>
      <c r="AO392" t="s">
        <v>5</v>
      </c>
    </row>
    <row r="393" spans="1:65">
      <c r="A393" s="160">
        <v>500.50599999999997</v>
      </c>
      <c r="C393" s="27" t="s">
        <v>2194</v>
      </c>
      <c r="AF393" s="37"/>
      <c r="AH393">
        <v>2</v>
      </c>
      <c r="AI393" t="s">
        <v>509</v>
      </c>
      <c r="AJ393" t="s">
        <v>1437</v>
      </c>
      <c r="AK393" t="s">
        <v>1438</v>
      </c>
      <c r="AL393" s="146" t="s">
        <v>2313</v>
      </c>
      <c r="AN393" s="146" t="s">
        <v>2341</v>
      </c>
      <c r="AO393" t="s">
        <v>5</v>
      </c>
    </row>
    <row r="394" spans="1:65">
      <c r="A394" s="47"/>
      <c r="C394" s="27" t="s">
        <v>2194</v>
      </c>
      <c r="AF394" s="37" t="str">
        <f t="shared" ref="AF394:AF419" si="16" xml:space="preserve"> AO394 &amp; REPT(" ",20-LEN(AO394)) &amp; AX394</f>
        <v>Kurzname            Kurzname</v>
      </c>
      <c r="AH394">
        <v>0</v>
      </c>
      <c r="AI394" t="s">
        <v>6</v>
      </c>
      <c r="AJ394" t="s">
        <v>7</v>
      </c>
      <c r="AK394" t="s">
        <v>8</v>
      </c>
      <c r="AL394" t="s">
        <v>9</v>
      </c>
      <c r="AM394" t="s">
        <v>9</v>
      </c>
      <c r="AN394" t="s">
        <v>10</v>
      </c>
      <c r="AO394" t="s">
        <v>11</v>
      </c>
      <c r="AP394" t="s">
        <v>12</v>
      </c>
      <c r="AQ394" t="s">
        <v>13</v>
      </c>
      <c r="AR394" t="s">
        <v>14</v>
      </c>
      <c r="AS394" t="s">
        <v>15</v>
      </c>
      <c r="AT394" t="s">
        <v>8</v>
      </c>
      <c r="AU394" t="s">
        <v>9</v>
      </c>
      <c r="AV394" t="s">
        <v>9</v>
      </c>
      <c r="AW394" t="s">
        <v>16</v>
      </c>
      <c r="AX394" t="s">
        <v>11</v>
      </c>
      <c r="AY394" t="s">
        <v>12</v>
      </c>
      <c r="AZ394" t="s">
        <v>13</v>
      </c>
      <c r="BA394" t="s">
        <v>14</v>
      </c>
      <c r="BB394" t="s">
        <v>15</v>
      </c>
      <c r="BC394" t="s">
        <v>17</v>
      </c>
      <c r="BD394" t="s">
        <v>18</v>
      </c>
      <c r="BE394" t="s">
        <v>19</v>
      </c>
      <c r="BF394" t="s">
        <v>20</v>
      </c>
      <c r="BG394" t="s">
        <v>21</v>
      </c>
      <c r="BH394" t="s">
        <v>22</v>
      </c>
      <c r="BI394" t="s">
        <v>23</v>
      </c>
      <c r="BJ394" t="s">
        <v>24</v>
      </c>
      <c r="BK394" t="s">
        <v>1</v>
      </c>
      <c r="BL394" t="s">
        <v>509</v>
      </c>
      <c r="BM394" t="s">
        <v>6</v>
      </c>
    </row>
    <row r="395" spans="1:65">
      <c r="A395" s="47">
        <v>506</v>
      </c>
      <c r="B395" s="27">
        <v>901001</v>
      </c>
      <c r="C395" s="27" t="s">
        <v>2194</v>
      </c>
      <c r="E395" s="27" t="s">
        <v>2148</v>
      </c>
      <c r="F395" s="27" t="s">
        <v>2152</v>
      </c>
      <c r="G395" s="27" t="s">
        <v>330</v>
      </c>
      <c r="K395" s="27" t="s">
        <v>2153</v>
      </c>
      <c r="L395" s="27" t="s">
        <v>2148</v>
      </c>
      <c r="M395" s="27" t="s">
        <v>2154</v>
      </c>
      <c r="AF395" s="37" t="str">
        <f t="shared" si="16"/>
        <v>IRL41A_VL           SP_MB33_C</v>
      </c>
      <c r="AG395" s="27" t="s">
        <v>2150</v>
      </c>
      <c r="AH395">
        <v>3</v>
      </c>
      <c r="AI395">
        <v>901001</v>
      </c>
      <c r="AJ395" t="s">
        <v>1439</v>
      </c>
      <c r="AK395" t="s">
        <v>26</v>
      </c>
      <c r="AL395" t="s">
        <v>1440</v>
      </c>
      <c r="AM395" t="s">
        <v>1440</v>
      </c>
      <c r="AN395" t="s">
        <v>1441</v>
      </c>
      <c r="AO395" t="s">
        <v>1442</v>
      </c>
      <c r="AP395">
        <v>1</v>
      </c>
      <c r="AQ395" t="s">
        <v>1443</v>
      </c>
      <c r="AR395" t="s">
        <v>243</v>
      </c>
      <c r="AS395" t="s">
        <v>26</v>
      </c>
      <c r="AT395" t="s">
        <v>26</v>
      </c>
      <c r="AU395" t="s">
        <v>26</v>
      </c>
      <c r="AV395" t="s">
        <v>329</v>
      </c>
      <c r="AW395">
        <v>354</v>
      </c>
      <c r="AX395" t="s">
        <v>330</v>
      </c>
      <c r="AY395">
        <v>1</v>
      </c>
      <c r="AZ395" t="s">
        <v>331</v>
      </c>
      <c r="BA395" t="s">
        <v>26</v>
      </c>
      <c r="BB395" t="s">
        <v>26</v>
      </c>
      <c r="BC395" t="s">
        <v>312</v>
      </c>
      <c r="BD395" t="s">
        <v>75</v>
      </c>
      <c r="BE395" t="s">
        <v>26</v>
      </c>
      <c r="BF395" t="s">
        <v>26</v>
      </c>
      <c r="BG395" s="146">
        <v>1897</v>
      </c>
      <c r="BH395" t="s">
        <v>42</v>
      </c>
      <c r="BI395">
        <v>0.35</v>
      </c>
      <c r="BJ395" t="s">
        <v>332</v>
      </c>
      <c r="BK395" t="s">
        <v>1435</v>
      </c>
      <c r="BL395" t="s">
        <v>26</v>
      </c>
      <c r="BM395">
        <v>901001</v>
      </c>
    </row>
    <row r="396" spans="1:65">
      <c r="A396" s="47">
        <v>500</v>
      </c>
      <c r="B396" s="27">
        <v>901002</v>
      </c>
      <c r="C396" s="27" t="s">
        <v>2194</v>
      </c>
      <c r="E396" s="27" t="s">
        <v>2148</v>
      </c>
      <c r="AF396" s="37" t="str">
        <f t="shared" si="16"/>
        <v>IRL41A_VL           KS_CPL_C</v>
      </c>
      <c r="AG396" s="27" t="s">
        <v>2150</v>
      </c>
      <c r="AH396">
        <v>3</v>
      </c>
      <c r="AI396">
        <v>901002</v>
      </c>
      <c r="AJ396" t="s">
        <v>1444</v>
      </c>
      <c r="AK396" t="s">
        <v>26</v>
      </c>
      <c r="AL396" t="s">
        <v>1440</v>
      </c>
      <c r="AM396" t="s">
        <v>1440</v>
      </c>
      <c r="AN396" t="s">
        <v>1441</v>
      </c>
      <c r="AO396" t="s">
        <v>1442</v>
      </c>
      <c r="AP396">
        <v>2</v>
      </c>
      <c r="AQ396" t="s">
        <v>1443</v>
      </c>
      <c r="AR396" t="s">
        <v>321</v>
      </c>
      <c r="AS396" t="s">
        <v>26</v>
      </c>
      <c r="AT396" t="s">
        <v>26</v>
      </c>
      <c r="AU396" t="s">
        <v>64</v>
      </c>
      <c r="AV396" t="s">
        <v>64</v>
      </c>
      <c r="AW396" t="s">
        <v>119</v>
      </c>
      <c r="AX396" t="s">
        <v>120</v>
      </c>
      <c r="AY396">
        <v>5</v>
      </c>
      <c r="AZ396" s="146" t="s">
        <v>191</v>
      </c>
      <c r="BA396" t="s">
        <v>214</v>
      </c>
      <c r="BB396" t="s">
        <v>26</v>
      </c>
      <c r="BC396" t="s">
        <v>1445</v>
      </c>
      <c r="BD396" t="s">
        <v>75</v>
      </c>
      <c r="BE396" t="s">
        <v>26</v>
      </c>
      <c r="BF396" t="s">
        <v>26</v>
      </c>
      <c r="BG396" s="146">
        <v>1016</v>
      </c>
      <c r="BH396" t="s">
        <v>227</v>
      </c>
      <c r="BI396">
        <v>0.13</v>
      </c>
      <c r="BJ396" t="s">
        <v>1446</v>
      </c>
      <c r="BK396" t="s">
        <v>1435</v>
      </c>
      <c r="BL396" t="s">
        <v>26</v>
      </c>
      <c r="BM396">
        <v>901002</v>
      </c>
    </row>
    <row r="397" spans="1:65">
      <c r="A397" s="47"/>
      <c r="B397" s="27">
        <v>901003</v>
      </c>
      <c r="C397" s="27" t="s">
        <v>2194</v>
      </c>
      <c r="E397" s="27" t="s">
        <v>2148</v>
      </c>
      <c r="AF397" s="37" t="str">
        <f t="shared" si="16"/>
        <v>IRL41A_VR           KS_CPR_A</v>
      </c>
      <c r="AG397" s="27" t="s">
        <v>2150</v>
      </c>
      <c r="AH397">
        <v>3</v>
      </c>
      <c r="AI397">
        <v>901003</v>
      </c>
      <c r="AJ397" t="s">
        <v>1447</v>
      </c>
      <c r="AK397" t="s">
        <v>26</v>
      </c>
      <c r="AL397" t="s">
        <v>1448</v>
      </c>
      <c r="AM397" t="s">
        <v>1448</v>
      </c>
      <c r="AN397" t="s">
        <v>1449</v>
      </c>
      <c r="AO397" t="s">
        <v>1450</v>
      </c>
      <c r="AP397">
        <v>1</v>
      </c>
      <c r="AQ397" t="s">
        <v>1451</v>
      </c>
      <c r="AR397" t="s">
        <v>243</v>
      </c>
      <c r="AS397" t="s">
        <v>26</v>
      </c>
      <c r="AT397" t="s">
        <v>26</v>
      </c>
      <c r="AU397" t="s">
        <v>131</v>
      </c>
      <c r="AV397" t="s">
        <v>131</v>
      </c>
      <c r="AW397" t="s">
        <v>164</v>
      </c>
      <c r="AX397" t="s">
        <v>165</v>
      </c>
      <c r="AY397">
        <v>6</v>
      </c>
      <c r="AZ397" t="s">
        <v>166</v>
      </c>
      <c r="BA397" t="s">
        <v>68</v>
      </c>
      <c r="BB397" t="s">
        <v>26</v>
      </c>
      <c r="BC397" t="s">
        <v>312</v>
      </c>
      <c r="BD397" t="s">
        <v>75</v>
      </c>
      <c r="BE397" t="s">
        <v>26</v>
      </c>
      <c r="BF397" t="s">
        <v>26</v>
      </c>
      <c r="BG397">
        <v>585</v>
      </c>
      <c r="BH397" t="s">
        <v>42</v>
      </c>
      <c r="BI397">
        <v>0.35</v>
      </c>
      <c r="BJ397" t="s">
        <v>1452</v>
      </c>
      <c r="BK397" t="s">
        <v>1435</v>
      </c>
      <c r="BL397" t="s">
        <v>26</v>
      </c>
      <c r="BM397">
        <v>901003</v>
      </c>
    </row>
    <row r="398" spans="1:65">
      <c r="A398" s="47"/>
      <c r="B398" s="27">
        <v>901004</v>
      </c>
      <c r="C398" s="27" t="s">
        <v>2194</v>
      </c>
      <c r="E398" s="27" t="s">
        <v>2148</v>
      </c>
      <c r="AF398" s="37" t="str">
        <f t="shared" si="16"/>
        <v>IRL41A_VR           KS_CPR_A</v>
      </c>
      <c r="AG398" s="27" t="s">
        <v>2150</v>
      </c>
      <c r="AH398">
        <v>3</v>
      </c>
      <c r="AI398">
        <v>901004</v>
      </c>
      <c r="AJ398" t="s">
        <v>1453</v>
      </c>
      <c r="AK398" t="s">
        <v>26</v>
      </c>
      <c r="AL398" t="s">
        <v>1448</v>
      </c>
      <c r="AM398" t="s">
        <v>1448</v>
      </c>
      <c r="AN398" t="s">
        <v>1449</v>
      </c>
      <c r="AO398" t="s">
        <v>1450</v>
      </c>
      <c r="AP398">
        <v>2</v>
      </c>
      <c r="AQ398" t="s">
        <v>1451</v>
      </c>
      <c r="AR398" t="s">
        <v>321</v>
      </c>
      <c r="AS398" t="s">
        <v>26</v>
      </c>
      <c r="AT398" t="s">
        <v>26</v>
      </c>
      <c r="AU398" t="s">
        <v>131</v>
      </c>
      <c r="AV398" t="s">
        <v>131</v>
      </c>
      <c r="AW398" t="s">
        <v>164</v>
      </c>
      <c r="AX398" t="s">
        <v>165</v>
      </c>
      <c r="AY398">
        <v>14</v>
      </c>
      <c r="AZ398" t="s">
        <v>166</v>
      </c>
      <c r="BA398" t="s">
        <v>214</v>
      </c>
      <c r="BB398" t="s">
        <v>26</v>
      </c>
      <c r="BC398" t="s">
        <v>1454</v>
      </c>
      <c r="BD398" t="s">
        <v>75</v>
      </c>
      <c r="BE398" t="s">
        <v>26</v>
      </c>
      <c r="BF398" t="s">
        <v>26</v>
      </c>
      <c r="BG398">
        <v>585</v>
      </c>
      <c r="BH398" t="s">
        <v>735</v>
      </c>
      <c r="BI398">
        <v>0.13</v>
      </c>
      <c r="BJ398" t="s">
        <v>1455</v>
      </c>
      <c r="BK398" t="s">
        <v>1435</v>
      </c>
      <c r="BL398" t="s">
        <v>26</v>
      </c>
      <c r="BM398">
        <v>901004</v>
      </c>
    </row>
    <row r="399" spans="1:65">
      <c r="A399" s="47"/>
      <c r="B399" s="27">
        <v>901005</v>
      </c>
      <c r="C399" s="27" t="s">
        <v>2194</v>
      </c>
      <c r="E399" s="27" t="s">
        <v>2148</v>
      </c>
      <c r="F399" s="27" t="s">
        <v>2152</v>
      </c>
      <c r="G399" s="27" t="s">
        <v>1461</v>
      </c>
      <c r="K399" s="27" t="s">
        <v>2153</v>
      </c>
      <c r="L399" s="27" t="s">
        <v>2148</v>
      </c>
      <c r="M399" s="27" t="s">
        <v>2154</v>
      </c>
      <c r="AF399" s="37" t="str">
        <f t="shared" si="16"/>
        <v>FRL24P              SP_ILM</v>
      </c>
      <c r="AG399" s="27" t="s">
        <v>2150</v>
      </c>
      <c r="AH399">
        <v>3</v>
      </c>
      <c r="AI399">
        <v>901005</v>
      </c>
      <c r="AJ399" t="s">
        <v>1456</v>
      </c>
      <c r="AK399" t="s">
        <v>26</v>
      </c>
      <c r="AL399" t="s">
        <v>1440</v>
      </c>
      <c r="AM399" t="s">
        <v>1440</v>
      </c>
      <c r="AN399" t="s">
        <v>1457</v>
      </c>
      <c r="AO399" t="s">
        <v>1458</v>
      </c>
      <c r="AP399">
        <v>1</v>
      </c>
      <c r="AQ399" t="s">
        <v>1443</v>
      </c>
      <c r="AR399" t="s">
        <v>243</v>
      </c>
      <c r="AS399" t="s">
        <v>26</v>
      </c>
      <c r="AT399" t="s">
        <v>26</v>
      </c>
      <c r="AU399" t="s">
        <v>26</v>
      </c>
      <c r="AV399" t="s">
        <v>1459</v>
      </c>
      <c r="AW399" t="s">
        <v>1460</v>
      </c>
      <c r="AX399" t="s">
        <v>1461</v>
      </c>
      <c r="AY399">
        <v>1</v>
      </c>
      <c r="AZ399" t="s">
        <v>1462</v>
      </c>
      <c r="BA399" t="s">
        <v>26</v>
      </c>
      <c r="BB399" t="s">
        <v>26</v>
      </c>
      <c r="BC399" t="s">
        <v>1463</v>
      </c>
      <c r="BD399" t="s">
        <v>75</v>
      </c>
      <c r="BE399" t="s">
        <v>26</v>
      </c>
      <c r="BF399" t="s">
        <v>26</v>
      </c>
      <c r="BG399">
        <v>759</v>
      </c>
      <c r="BH399" t="s">
        <v>1111</v>
      </c>
      <c r="BI399">
        <v>0.35</v>
      </c>
      <c r="BJ399" t="s">
        <v>1464</v>
      </c>
      <c r="BK399" t="s">
        <v>26</v>
      </c>
      <c r="BL399" t="s">
        <v>1437</v>
      </c>
      <c r="BM399">
        <v>901005</v>
      </c>
    </row>
    <row r="400" spans="1:65">
      <c r="A400" s="47">
        <v>506</v>
      </c>
      <c r="B400" s="27">
        <v>901006</v>
      </c>
      <c r="C400" s="27" t="s">
        <v>2194</v>
      </c>
      <c r="E400" s="27" t="s">
        <v>2148</v>
      </c>
      <c r="F400" s="27" t="s">
        <v>2152</v>
      </c>
      <c r="G400" s="27" t="s">
        <v>1461</v>
      </c>
      <c r="K400" s="27" t="s">
        <v>2153</v>
      </c>
      <c r="L400" s="27" t="s">
        <v>2148</v>
      </c>
      <c r="M400" s="27" t="s">
        <v>2154</v>
      </c>
      <c r="AF400" s="37" t="str">
        <f t="shared" si="16"/>
        <v>FRL25P              SP_ILM</v>
      </c>
      <c r="AG400" s="27" t="s">
        <v>2150</v>
      </c>
      <c r="AH400">
        <v>3</v>
      </c>
      <c r="AI400">
        <v>901006</v>
      </c>
      <c r="AJ400" t="s">
        <v>1465</v>
      </c>
      <c r="AK400" t="s">
        <v>26</v>
      </c>
      <c r="AL400" t="s">
        <v>1448</v>
      </c>
      <c r="AM400" t="s">
        <v>1448</v>
      </c>
      <c r="AN400" t="s">
        <v>1466</v>
      </c>
      <c r="AO400" t="s">
        <v>1467</v>
      </c>
      <c r="AP400">
        <v>1</v>
      </c>
      <c r="AQ400" t="s">
        <v>1451</v>
      </c>
      <c r="AR400" t="s">
        <v>243</v>
      </c>
      <c r="AS400" t="s">
        <v>26</v>
      </c>
      <c r="AT400" t="s">
        <v>26</v>
      </c>
      <c r="AU400" t="s">
        <v>26</v>
      </c>
      <c r="AV400" t="s">
        <v>1459</v>
      </c>
      <c r="AW400" t="s">
        <v>1460</v>
      </c>
      <c r="AX400" t="s">
        <v>1461</v>
      </c>
      <c r="AY400">
        <v>1</v>
      </c>
      <c r="AZ400" t="s">
        <v>1462</v>
      </c>
      <c r="BA400" t="s">
        <v>26</v>
      </c>
      <c r="BB400" t="s">
        <v>26</v>
      </c>
      <c r="BC400" t="s">
        <v>1463</v>
      </c>
      <c r="BD400" t="s">
        <v>75</v>
      </c>
      <c r="BE400" t="s">
        <v>26</v>
      </c>
      <c r="BF400" t="s">
        <v>26</v>
      </c>
      <c r="BG400" s="146">
        <v>1640</v>
      </c>
      <c r="BH400" t="s">
        <v>1111</v>
      </c>
      <c r="BI400">
        <v>0.35</v>
      </c>
      <c r="BJ400" t="s">
        <v>1464</v>
      </c>
      <c r="BK400" t="s">
        <v>26</v>
      </c>
      <c r="BL400" t="s">
        <v>1437</v>
      </c>
      <c r="BM400">
        <v>901006</v>
      </c>
    </row>
    <row r="401" spans="1:65">
      <c r="A401" s="47"/>
      <c r="B401" s="27">
        <v>901008</v>
      </c>
      <c r="C401" s="27" t="s">
        <v>2194</v>
      </c>
      <c r="E401" s="27" t="s">
        <v>2148</v>
      </c>
      <c r="F401" s="27" t="s">
        <v>2152</v>
      </c>
      <c r="G401" s="27" t="s">
        <v>1461</v>
      </c>
      <c r="K401" s="27" t="s">
        <v>2153</v>
      </c>
      <c r="L401" s="27" t="s">
        <v>2154</v>
      </c>
      <c r="M401" s="27" t="s">
        <v>2148</v>
      </c>
      <c r="AF401" s="37" t="str">
        <f t="shared" si="16"/>
        <v>SP_ILM              KS_CPM_D</v>
      </c>
      <c r="AG401" s="27" t="s">
        <v>2150</v>
      </c>
      <c r="AH401">
        <v>3</v>
      </c>
      <c r="AI401">
        <v>901008</v>
      </c>
      <c r="AJ401" t="s">
        <v>1468</v>
      </c>
      <c r="AK401" t="s">
        <v>26</v>
      </c>
      <c r="AL401" t="s">
        <v>26</v>
      </c>
      <c r="AM401" t="s">
        <v>1459</v>
      </c>
      <c r="AN401" t="s">
        <v>1460</v>
      </c>
      <c r="AO401" t="s">
        <v>1461</v>
      </c>
      <c r="AP401">
        <v>1</v>
      </c>
      <c r="AQ401" t="s">
        <v>1462</v>
      </c>
      <c r="AR401" t="s">
        <v>26</v>
      </c>
      <c r="AS401" t="s">
        <v>26</v>
      </c>
      <c r="AT401" t="s">
        <v>26</v>
      </c>
      <c r="AU401" t="s">
        <v>69</v>
      </c>
      <c r="AV401" t="s">
        <v>69</v>
      </c>
      <c r="AW401" t="s">
        <v>231</v>
      </c>
      <c r="AX401" t="s">
        <v>232</v>
      </c>
      <c r="AY401">
        <v>5</v>
      </c>
      <c r="AZ401" t="s">
        <v>233</v>
      </c>
      <c r="BA401" t="s">
        <v>68</v>
      </c>
      <c r="BB401" t="s">
        <v>26</v>
      </c>
      <c r="BC401" t="s">
        <v>1463</v>
      </c>
      <c r="BD401" t="s">
        <v>75</v>
      </c>
      <c r="BE401" t="s">
        <v>26</v>
      </c>
      <c r="BF401" t="s">
        <v>26</v>
      </c>
      <c r="BG401">
        <v>515</v>
      </c>
      <c r="BH401" t="s">
        <v>1111</v>
      </c>
      <c r="BI401">
        <v>0.35</v>
      </c>
      <c r="BJ401" t="s">
        <v>1464</v>
      </c>
      <c r="BK401" t="s">
        <v>26</v>
      </c>
      <c r="BL401" t="s">
        <v>1437</v>
      </c>
      <c r="BM401">
        <v>901008</v>
      </c>
    </row>
    <row r="402" spans="1:65">
      <c r="A402" s="47">
        <v>506</v>
      </c>
      <c r="B402" s="27">
        <v>901009</v>
      </c>
      <c r="C402" s="27" t="s">
        <v>2194</v>
      </c>
      <c r="E402" s="27" t="s">
        <v>2148</v>
      </c>
      <c r="F402" s="27" t="s">
        <v>2152</v>
      </c>
      <c r="G402" s="27" t="s">
        <v>330</v>
      </c>
      <c r="K402" s="27" t="s">
        <v>2153</v>
      </c>
      <c r="L402" s="27" t="s">
        <v>2148</v>
      </c>
      <c r="M402" s="27" t="s">
        <v>2154</v>
      </c>
      <c r="AF402" s="37" t="str">
        <f t="shared" si="16"/>
        <v>FRL24P              SP_MB33_C</v>
      </c>
      <c r="AG402" s="27" t="s">
        <v>2150</v>
      </c>
      <c r="AH402">
        <v>3</v>
      </c>
      <c r="AI402">
        <v>901009</v>
      </c>
      <c r="AJ402" t="s">
        <v>1469</v>
      </c>
      <c r="AK402" t="s">
        <v>26</v>
      </c>
      <c r="AL402" t="s">
        <v>1440</v>
      </c>
      <c r="AM402" t="s">
        <v>1440</v>
      </c>
      <c r="AN402" t="s">
        <v>1457</v>
      </c>
      <c r="AO402" t="s">
        <v>1458</v>
      </c>
      <c r="AP402">
        <v>4</v>
      </c>
      <c r="AQ402" t="s">
        <v>1443</v>
      </c>
      <c r="AR402" t="s">
        <v>243</v>
      </c>
      <c r="AS402" t="s">
        <v>26</v>
      </c>
      <c r="AT402" t="s">
        <v>26</v>
      </c>
      <c r="AU402" t="s">
        <v>26</v>
      </c>
      <c r="AV402" t="s">
        <v>329</v>
      </c>
      <c r="AW402">
        <v>354</v>
      </c>
      <c r="AX402" t="s">
        <v>330</v>
      </c>
      <c r="AY402">
        <v>1</v>
      </c>
      <c r="AZ402" t="s">
        <v>331</v>
      </c>
      <c r="BA402" t="s">
        <v>26</v>
      </c>
      <c r="BB402" t="s">
        <v>26</v>
      </c>
      <c r="BC402" t="s">
        <v>312</v>
      </c>
      <c r="BD402" t="s">
        <v>75</v>
      </c>
      <c r="BE402" t="s">
        <v>26</v>
      </c>
      <c r="BF402" t="s">
        <v>26</v>
      </c>
      <c r="BG402" s="146">
        <v>1899</v>
      </c>
      <c r="BH402" t="s">
        <v>42</v>
      </c>
      <c r="BI402">
        <v>0.35</v>
      </c>
      <c r="BJ402" t="s">
        <v>332</v>
      </c>
      <c r="BK402" t="s">
        <v>26</v>
      </c>
      <c r="BL402" t="s">
        <v>1437</v>
      </c>
      <c r="BM402">
        <v>901009</v>
      </c>
    </row>
    <row r="403" spans="1:65">
      <c r="A403" s="47"/>
      <c r="B403" s="27">
        <v>901010</v>
      </c>
      <c r="C403" s="27" t="s">
        <v>2194</v>
      </c>
      <c r="E403" s="27" t="s">
        <v>2148</v>
      </c>
      <c r="AF403" s="37" t="str">
        <f t="shared" si="16"/>
        <v>FRL25P              KS_CPR_A</v>
      </c>
      <c r="AG403" s="27" t="s">
        <v>2150</v>
      </c>
      <c r="AH403">
        <v>3</v>
      </c>
      <c r="AI403">
        <v>901010</v>
      </c>
      <c r="AJ403" t="s">
        <v>1470</v>
      </c>
      <c r="AK403" t="s">
        <v>26</v>
      </c>
      <c r="AL403" t="s">
        <v>1448</v>
      </c>
      <c r="AM403" t="s">
        <v>1448</v>
      </c>
      <c r="AN403" t="s">
        <v>1466</v>
      </c>
      <c r="AO403" t="s">
        <v>1467</v>
      </c>
      <c r="AP403">
        <v>4</v>
      </c>
      <c r="AQ403" t="s">
        <v>1451</v>
      </c>
      <c r="AR403" t="s">
        <v>243</v>
      </c>
      <c r="AS403" t="s">
        <v>26</v>
      </c>
      <c r="AT403" t="s">
        <v>26</v>
      </c>
      <c r="AU403" t="s">
        <v>131</v>
      </c>
      <c r="AV403" t="s">
        <v>131</v>
      </c>
      <c r="AW403" t="s">
        <v>164</v>
      </c>
      <c r="AX403" t="s">
        <v>165</v>
      </c>
      <c r="AY403">
        <v>6</v>
      </c>
      <c r="AZ403" t="s">
        <v>166</v>
      </c>
      <c r="BA403" t="s">
        <v>68</v>
      </c>
      <c r="BB403" t="s">
        <v>26</v>
      </c>
      <c r="BC403" t="s">
        <v>312</v>
      </c>
      <c r="BD403" t="s">
        <v>75</v>
      </c>
      <c r="BE403" t="s">
        <v>26</v>
      </c>
      <c r="BF403" t="s">
        <v>26</v>
      </c>
      <c r="BG403">
        <v>587</v>
      </c>
      <c r="BH403" t="s">
        <v>42</v>
      </c>
      <c r="BI403">
        <v>0.35</v>
      </c>
      <c r="BJ403" t="s">
        <v>1452</v>
      </c>
      <c r="BK403" t="s">
        <v>26</v>
      </c>
      <c r="BL403" t="s">
        <v>1437</v>
      </c>
      <c r="BM403">
        <v>901010</v>
      </c>
    </row>
    <row r="404" spans="1:65">
      <c r="A404" s="47">
        <v>500</v>
      </c>
      <c r="B404" s="27">
        <v>901011</v>
      </c>
      <c r="C404" s="27" t="s">
        <v>2194</v>
      </c>
      <c r="E404" s="27" t="s">
        <v>2148</v>
      </c>
      <c r="AF404" s="37" t="str">
        <f t="shared" si="16"/>
        <v>FRL24P              KS_CPL_C</v>
      </c>
      <c r="AG404" s="27" t="s">
        <v>2150</v>
      </c>
      <c r="AH404">
        <v>3</v>
      </c>
      <c r="AI404">
        <v>901011</v>
      </c>
      <c r="AJ404" t="s">
        <v>1471</v>
      </c>
      <c r="AK404" t="s">
        <v>26</v>
      </c>
      <c r="AL404" t="s">
        <v>1440</v>
      </c>
      <c r="AM404" t="s">
        <v>1440</v>
      </c>
      <c r="AN404" t="s">
        <v>1457</v>
      </c>
      <c r="AO404" t="s">
        <v>1458</v>
      </c>
      <c r="AP404">
        <v>2</v>
      </c>
      <c r="AQ404" t="s">
        <v>1443</v>
      </c>
      <c r="AR404" t="s">
        <v>321</v>
      </c>
      <c r="AS404" t="s">
        <v>26</v>
      </c>
      <c r="AT404" t="s">
        <v>26</v>
      </c>
      <c r="AU404" t="s">
        <v>64</v>
      </c>
      <c r="AV404" t="s">
        <v>64</v>
      </c>
      <c r="AW404" t="s">
        <v>119</v>
      </c>
      <c r="AX404" t="s">
        <v>120</v>
      </c>
      <c r="AY404">
        <v>12</v>
      </c>
      <c r="AZ404" s="146" t="s">
        <v>191</v>
      </c>
      <c r="BA404" t="s">
        <v>214</v>
      </c>
      <c r="BB404" t="s">
        <v>26</v>
      </c>
      <c r="BC404" t="s">
        <v>490</v>
      </c>
      <c r="BD404" t="s">
        <v>75</v>
      </c>
      <c r="BE404" t="s">
        <v>26</v>
      </c>
      <c r="BF404" t="s">
        <v>26</v>
      </c>
      <c r="BG404" s="146">
        <v>1018</v>
      </c>
      <c r="BH404" t="s">
        <v>491</v>
      </c>
      <c r="BI404">
        <v>0.13</v>
      </c>
      <c r="BJ404" t="s">
        <v>1472</v>
      </c>
      <c r="BK404" t="s">
        <v>26</v>
      </c>
      <c r="BL404" t="s">
        <v>1437</v>
      </c>
      <c r="BM404">
        <v>901011</v>
      </c>
    </row>
    <row r="405" spans="1:65">
      <c r="A405" s="160">
        <v>502.50599999999997</v>
      </c>
      <c r="B405" s="27">
        <v>901012</v>
      </c>
      <c r="C405" s="27" t="s">
        <v>2194</v>
      </c>
      <c r="E405" s="27" t="s">
        <v>2148</v>
      </c>
      <c r="AF405" s="37" t="str">
        <f t="shared" si="16"/>
        <v>FRL24P              AB_SPOT_RE</v>
      </c>
      <c r="AG405" s="27" t="s">
        <v>2150</v>
      </c>
      <c r="AH405">
        <v>3</v>
      </c>
      <c r="AI405">
        <v>901012</v>
      </c>
      <c r="AJ405" t="s">
        <v>1473</v>
      </c>
      <c r="AK405" t="s">
        <v>26</v>
      </c>
      <c r="AL405" t="s">
        <v>1440</v>
      </c>
      <c r="AM405" t="s">
        <v>1440</v>
      </c>
      <c r="AN405" t="s">
        <v>1457</v>
      </c>
      <c r="AO405" t="s">
        <v>1458</v>
      </c>
      <c r="AP405">
        <v>3</v>
      </c>
      <c r="AQ405" t="s">
        <v>1443</v>
      </c>
      <c r="AR405" t="s">
        <v>321</v>
      </c>
      <c r="AS405" t="s">
        <v>26</v>
      </c>
      <c r="AT405" t="s">
        <v>26</v>
      </c>
      <c r="AU405" t="s">
        <v>1474</v>
      </c>
      <c r="AV405" t="s">
        <v>1475</v>
      </c>
      <c r="AW405" t="s">
        <v>1476</v>
      </c>
      <c r="AX405" t="s">
        <v>1477</v>
      </c>
      <c r="AY405">
        <v>2</v>
      </c>
      <c r="AZ405" s="146" t="s">
        <v>2314</v>
      </c>
      <c r="BA405" t="s">
        <v>321</v>
      </c>
      <c r="BB405" t="s">
        <v>26</v>
      </c>
      <c r="BC405" t="s">
        <v>215</v>
      </c>
      <c r="BD405" t="s">
        <v>75</v>
      </c>
      <c r="BE405" t="s">
        <v>26</v>
      </c>
      <c r="BF405" t="s">
        <v>26</v>
      </c>
      <c r="BG405" s="146">
        <v>2384</v>
      </c>
      <c r="BH405" t="s">
        <v>216</v>
      </c>
      <c r="BI405">
        <v>0.13</v>
      </c>
      <c r="BJ405" t="s">
        <v>1479</v>
      </c>
      <c r="BK405" t="s">
        <v>26</v>
      </c>
      <c r="BL405" t="s">
        <v>1437</v>
      </c>
      <c r="BM405">
        <v>901012</v>
      </c>
    </row>
    <row r="406" spans="1:65">
      <c r="A406" s="47">
        <v>500</v>
      </c>
      <c r="B406" s="27">
        <v>901017</v>
      </c>
      <c r="C406" s="27" t="s">
        <v>2194</v>
      </c>
      <c r="E406" s="27" t="s">
        <v>2148</v>
      </c>
      <c r="F406" s="27" t="s">
        <v>2152</v>
      </c>
      <c r="G406" s="27" t="s">
        <v>1461</v>
      </c>
      <c r="K406" s="27" t="s">
        <v>2153</v>
      </c>
      <c r="L406" s="27" t="s">
        <v>2154</v>
      </c>
      <c r="M406" s="27" t="s">
        <v>2148</v>
      </c>
      <c r="AF406" s="37" t="str">
        <f t="shared" si="16"/>
        <v>SP_ILM              KS_CPL_C</v>
      </c>
      <c r="AG406" s="27" t="s">
        <v>2150</v>
      </c>
      <c r="AH406">
        <v>3</v>
      </c>
      <c r="AI406">
        <v>901017</v>
      </c>
      <c r="AJ406" t="s">
        <v>1480</v>
      </c>
      <c r="AK406" t="s">
        <v>26</v>
      </c>
      <c r="AL406" t="s">
        <v>26</v>
      </c>
      <c r="AM406" t="s">
        <v>1459</v>
      </c>
      <c r="AN406" t="s">
        <v>1460</v>
      </c>
      <c r="AO406" t="s">
        <v>1461</v>
      </c>
      <c r="AP406">
        <v>1</v>
      </c>
      <c r="AQ406" t="s">
        <v>1462</v>
      </c>
      <c r="AR406" t="s">
        <v>26</v>
      </c>
      <c r="AS406" t="s">
        <v>26</v>
      </c>
      <c r="AT406" t="s">
        <v>26</v>
      </c>
      <c r="AU406" t="s">
        <v>64</v>
      </c>
      <c r="AV406" t="s">
        <v>64</v>
      </c>
      <c r="AW406" t="s">
        <v>119</v>
      </c>
      <c r="AX406" t="s">
        <v>120</v>
      </c>
      <c r="AY406">
        <v>1</v>
      </c>
      <c r="AZ406" s="146" t="s">
        <v>191</v>
      </c>
      <c r="BA406" t="s">
        <v>68</v>
      </c>
      <c r="BB406" t="s">
        <v>26</v>
      </c>
      <c r="BC406" t="s">
        <v>1463</v>
      </c>
      <c r="BD406" t="s">
        <v>75</v>
      </c>
      <c r="BE406" t="s">
        <v>26</v>
      </c>
      <c r="BF406" t="s">
        <v>26</v>
      </c>
      <c r="BG406" s="146">
        <v>1027</v>
      </c>
      <c r="BH406" t="s">
        <v>1111</v>
      </c>
      <c r="BI406">
        <v>0.35</v>
      </c>
      <c r="BJ406" t="s">
        <v>1464</v>
      </c>
      <c r="BK406" t="s">
        <v>26</v>
      </c>
      <c r="BL406" t="s">
        <v>1437</v>
      </c>
      <c r="BM406">
        <v>901017</v>
      </c>
    </row>
    <row r="407" spans="1:65">
      <c r="A407" s="47"/>
      <c r="B407" s="27">
        <v>901020</v>
      </c>
      <c r="C407" s="27" t="s">
        <v>2194</v>
      </c>
      <c r="E407" s="27" t="s">
        <v>2148</v>
      </c>
      <c r="F407" s="27" t="s">
        <v>2152</v>
      </c>
      <c r="G407" s="27" t="s">
        <v>1461</v>
      </c>
      <c r="K407" s="27" t="s">
        <v>2153</v>
      </c>
      <c r="L407" s="27" t="s">
        <v>2148</v>
      </c>
      <c r="M407" s="27" t="s">
        <v>2154</v>
      </c>
      <c r="AF407" s="37" t="str">
        <f t="shared" si="16"/>
        <v>AB_ST_RE            SP_ILM</v>
      </c>
      <c r="AG407" s="27" t="s">
        <v>2150</v>
      </c>
      <c r="AH407">
        <v>3</v>
      </c>
      <c r="AI407">
        <v>901020</v>
      </c>
      <c r="AJ407" t="s">
        <v>1481</v>
      </c>
      <c r="AK407" t="s">
        <v>26</v>
      </c>
      <c r="AL407" t="s">
        <v>1482</v>
      </c>
      <c r="AM407" t="s">
        <v>1482</v>
      </c>
      <c r="AN407" t="s">
        <v>1483</v>
      </c>
      <c r="AO407" t="s">
        <v>1484</v>
      </c>
      <c r="AP407">
        <v>1</v>
      </c>
      <c r="AQ407" t="s">
        <v>1485</v>
      </c>
      <c r="AR407" t="s">
        <v>243</v>
      </c>
      <c r="AS407" t="s">
        <v>26</v>
      </c>
      <c r="AT407" t="s">
        <v>26</v>
      </c>
      <c r="AU407" t="s">
        <v>26</v>
      </c>
      <c r="AV407" t="s">
        <v>1459</v>
      </c>
      <c r="AW407" t="s">
        <v>1460</v>
      </c>
      <c r="AX407" t="s">
        <v>1461</v>
      </c>
      <c r="AY407">
        <v>1</v>
      </c>
      <c r="AZ407" t="s">
        <v>1462</v>
      </c>
      <c r="BA407" t="s">
        <v>26</v>
      </c>
      <c r="BB407" t="s">
        <v>26</v>
      </c>
      <c r="BC407" t="s">
        <v>1463</v>
      </c>
      <c r="BD407" t="s">
        <v>75</v>
      </c>
      <c r="BE407" t="s">
        <v>26</v>
      </c>
      <c r="BF407" t="s">
        <v>26</v>
      </c>
      <c r="BG407">
        <v>483</v>
      </c>
      <c r="BH407" t="s">
        <v>1111</v>
      </c>
      <c r="BI407">
        <v>0.35</v>
      </c>
      <c r="BJ407" t="s">
        <v>1464</v>
      </c>
      <c r="BK407" t="s">
        <v>26</v>
      </c>
      <c r="BL407" t="s">
        <v>1437</v>
      </c>
      <c r="BM407">
        <v>901020</v>
      </c>
    </row>
    <row r="408" spans="1:65">
      <c r="A408" s="47"/>
      <c r="B408" s="27">
        <v>901026</v>
      </c>
      <c r="C408" s="27" t="s">
        <v>2194</v>
      </c>
      <c r="E408" s="27" t="s">
        <v>2148</v>
      </c>
      <c r="F408" s="27" t="s">
        <v>2152</v>
      </c>
      <c r="G408" s="27" t="s">
        <v>1461</v>
      </c>
      <c r="K408" s="27" t="s">
        <v>2153</v>
      </c>
      <c r="L408" s="27" t="s">
        <v>2148</v>
      </c>
      <c r="M408" s="27" t="s">
        <v>2154</v>
      </c>
      <c r="AF408" s="37" t="str">
        <f t="shared" si="16"/>
        <v>AB_EM_BFS           SP_ILM</v>
      </c>
      <c r="AG408" s="27" t="s">
        <v>2150</v>
      </c>
      <c r="AH408">
        <v>3</v>
      </c>
      <c r="AI408">
        <v>901026</v>
      </c>
      <c r="AJ408" t="s">
        <v>1486</v>
      </c>
      <c r="AK408" t="s">
        <v>26</v>
      </c>
      <c r="AL408" t="s">
        <v>1487</v>
      </c>
      <c r="AM408" t="s">
        <v>1487</v>
      </c>
      <c r="AN408" t="s">
        <v>1488</v>
      </c>
      <c r="AO408" t="s">
        <v>1489</v>
      </c>
      <c r="AP408">
        <v>1</v>
      </c>
      <c r="AQ408" t="s">
        <v>1490</v>
      </c>
      <c r="AR408" t="s">
        <v>243</v>
      </c>
      <c r="AS408" t="s">
        <v>26</v>
      </c>
      <c r="AT408" t="s">
        <v>26</v>
      </c>
      <c r="AU408" t="s">
        <v>26</v>
      </c>
      <c r="AV408" t="s">
        <v>1459</v>
      </c>
      <c r="AW408" t="s">
        <v>1460</v>
      </c>
      <c r="AX408" t="s">
        <v>1461</v>
      </c>
      <c r="AY408">
        <v>1</v>
      </c>
      <c r="AZ408" t="s">
        <v>1462</v>
      </c>
      <c r="BA408" t="s">
        <v>26</v>
      </c>
      <c r="BB408" t="s">
        <v>26</v>
      </c>
      <c r="BC408" t="s">
        <v>1463</v>
      </c>
      <c r="BD408" t="s">
        <v>75</v>
      </c>
      <c r="BE408" t="s">
        <v>26</v>
      </c>
      <c r="BF408" t="s">
        <v>26</v>
      </c>
      <c r="BG408">
        <v>496</v>
      </c>
      <c r="BH408" t="s">
        <v>1111</v>
      </c>
      <c r="BI408">
        <v>0.35</v>
      </c>
      <c r="BJ408" t="s">
        <v>1464</v>
      </c>
      <c r="BK408" t="s">
        <v>26</v>
      </c>
      <c r="BL408" t="s">
        <v>1437</v>
      </c>
      <c r="BM408">
        <v>901026</v>
      </c>
    </row>
    <row r="409" spans="1:65">
      <c r="A409" s="160">
        <v>502.50599999999997</v>
      </c>
      <c r="B409" s="27">
        <v>901030</v>
      </c>
      <c r="C409" s="27" t="s">
        <v>2194</v>
      </c>
      <c r="E409" s="27" t="s">
        <v>2148</v>
      </c>
      <c r="F409" s="27" t="s">
        <v>2152</v>
      </c>
      <c r="G409" s="27" t="s">
        <v>1461</v>
      </c>
      <c r="K409" s="27" t="s">
        <v>2153</v>
      </c>
      <c r="L409" s="27" t="s">
        <v>2148</v>
      </c>
      <c r="M409" s="27" t="s">
        <v>2154</v>
      </c>
      <c r="AF409" s="37" t="str">
        <f t="shared" si="16"/>
        <v>AB_SPOT_RE          SP_ILM</v>
      </c>
      <c r="AG409" s="27" t="s">
        <v>2150</v>
      </c>
      <c r="AH409">
        <v>3</v>
      </c>
      <c r="AI409">
        <v>901030</v>
      </c>
      <c r="AJ409" t="s">
        <v>1491</v>
      </c>
      <c r="AK409" t="s">
        <v>26</v>
      </c>
      <c r="AL409" t="s">
        <v>1474</v>
      </c>
      <c r="AM409" t="s">
        <v>1475</v>
      </c>
      <c r="AN409" t="s">
        <v>1476</v>
      </c>
      <c r="AO409" t="s">
        <v>1477</v>
      </c>
      <c r="AP409">
        <v>1</v>
      </c>
      <c r="AQ409" s="146" t="s">
        <v>2314</v>
      </c>
      <c r="AR409" t="s">
        <v>243</v>
      </c>
      <c r="AS409" t="s">
        <v>26</v>
      </c>
      <c r="AT409" t="s">
        <v>26</v>
      </c>
      <c r="AU409" t="s">
        <v>26</v>
      </c>
      <c r="AV409" t="s">
        <v>1459</v>
      </c>
      <c r="AW409" t="s">
        <v>1460</v>
      </c>
      <c r="AX409" t="s">
        <v>1461</v>
      </c>
      <c r="AY409">
        <v>1</v>
      </c>
      <c r="AZ409" t="s">
        <v>1462</v>
      </c>
      <c r="BA409" t="s">
        <v>26</v>
      </c>
      <c r="BB409" t="s">
        <v>26</v>
      </c>
      <c r="BC409" t="s">
        <v>1463</v>
      </c>
      <c r="BD409" t="s">
        <v>75</v>
      </c>
      <c r="BE409" t="s">
        <v>26</v>
      </c>
      <c r="BF409" t="s">
        <v>26</v>
      </c>
      <c r="BG409" s="146">
        <v>1826</v>
      </c>
      <c r="BH409" t="s">
        <v>1111</v>
      </c>
      <c r="BI409">
        <v>0.35</v>
      </c>
      <c r="BJ409" t="s">
        <v>1464</v>
      </c>
      <c r="BK409" t="s">
        <v>26</v>
      </c>
      <c r="BL409" t="s">
        <v>1437</v>
      </c>
      <c r="BM409">
        <v>901030</v>
      </c>
    </row>
    <row r="410" spans="1:65">
      <c r="A410" s="160">
        <v>502.50599999999997</v>
      </c>
      <c r="B410" s="27">
        <v>901033</v>
      </c>
      <c r="C410" s="27" t="s">
        <v>2194</v>
      </c>
      <c r="E410" s="27" t="s">
        <v>2148</v>
      </c>
      <c r="F410" s="27" t="s">
        <v>2152</v>
      </c>
      <c r="G410" s="27" t="s">
        <v>1461</v>
      </c>
      <c r="K410" s="27" t="s">
        <v>2153</v>
      </c>
      <c r="L410" s="27" t="s">
        <v>2148</v>
      </c>
      <c r="M410" s="27" t="s">
        <v>2154</v>
      </c>
      <c r="AF410" s="37" t="str">
        <f t="shared" si="16"/>
        <v>AB_SPOT_LI          SP_ILM</v>
      </c>
      <c r="AG410" s="27" t="s">
        <v>2150</v>
      </c>
      <c r="AH410">
        <v>3</v>
      </c>
      <c r="AI410">
        <v>901033</v>
      </c>
      <c r="AJ410" t="s">
        <v>1492</v>
      </c>
      <c r="AK410" t="s">
        <v>26</v>
      </c>
      <c r="AL410" t="s">
        <v>1493</v>
      </c>
      <c r="AM410" t="s">
        <v>1494</v>
      </c>
      <c r="AN410" t="s">
        <v>1495</v>
      </c>
      <c r="AO410" t="s">
        <v>1496</v>
      </c>
      <c r="AP410">
        <v>1</v>
      </c>
      <c r="AQ410" s="146" t="s">
        <v>2315</v>
      </c>
      <c r="AR410" t="s">
        <v>243</v>
      </c>
      <c r="AS410" t="s">
        <v>26</v>
      </c>
      <c r="AT410" t="s">
        <v>26</v>
      </c>
      <c r="AU410" t="s">
        <v>26</v>
      </c>
      <c r="AV410" t="s">
        <v>1459</v>
      </c>
      <c r="AW410" t="s">
        <v>1460</v>
      </c>
      <c r="AX410" t="s">
        <v>1461</v>
      </c>
      <c r="AY410">
        <v>1</v>
      </c>
      <c r="AZ410" t="s">
        <v>1462</v>
      </c>
      <c r="BA410" t="s">
        <v>26</v>
      </c>
      <c r="BB410" t="s">
        <v>26</v>
      </c>
      <c r="BC410" t="s">
        <v>1463</v>
      </c>
      <c r="BD410" t="s">
        <v>75</v>
      </c>
      <c r="BE410" t="s">
        <v>26</v>
      </c>
      <c r="BF410" t="s">
        <v>26</v>
      </c>
      <c r="BG410" s="146">
        <v>1825</v>
      </c>
      <c r="BH410" t="s">
        <v>1111</v>
      </c>
      <c r="BI410">
        <v>0.35</v>
      </c>
      <c r="BJ410" t="s">
        <v>1464</v>
      </c>
      <c r="BK410" t="s">
        <v>26</v>
      </c>
      <c r="BL410" t="s">
        <v>1437</v>
      </c>
      <c r="BM410">
        <v>901033</v>
      </c>
    </row>
    <row r="411" spans="1:65">
      <c r="A411" s="47"/>
      <c r="B411" s="27">
        <v>901039</v>
      </c>
      <c r="C411" s="27" t="s">
        <v>2194</v>
      </c>
      <c r="E411" s="27" t="s">
        <v>2148</v>
      </c>
      <c r="AF411" s="37" t="str">
        <f t="shared" si="16"/>
        <v>AB_SPOT_LI          AB_SPOT_RE</v>
      </c>
      <c r="AG411" s="27" t="s">
        <v>2150</v>
      </c>
      <c r="AH411">
        <v>3</v>
      </c>
      <c r="AI411">
        <v>901039</v>
      </c>
      <c r="AJ411" t="s">
        <v>1498</v>
      </c>
      <c r="AK411" t="s">
        <v>26</v>
      </c>
      <c r="AL411" t="s">
        <v>1493</v>
      </c>
      <c r="AM411" t="s">
        <v>1494</v>
      </c>
      <c r="AN411" t="s">
        <v>1495</v>
      </c>
      <c r="AO411" t="s">
        <v>1496</v>
      </c>
      <c r="AP411">
        <v>2</v>
      </c>
      <c r="AQ411" t="s">
        <v>1497</v>
      </c>
      <c r="AR411" t="s">
        <v>321</v>
      </c>
      <c r="AS411" t="s">
        <v>26</v>
      </c>
      <c r="AT411" t="s">
        <v>26</v>
      </c>
      <c r="AU411" t="s">
        <v>1474</v>
      </c>
      <c r="AV411" t="s">
        <v>1475</v>
      </c>
      <c r="AW411" t="s">
        <v>1476</v>
      </c>
      <c r="AX411" t="s">
        <v>1477</v>
      </c>
      <c r="AY411">
        <v>3</v>
      </c>
      <c r="AZ411" t="s">
        <v>1478</v>
      </c>
      <c r="BA411" t="s">
        <v>321</v>
      </c>
      <c r="BB411" t="s">
        <v>26</v>
      </c>
      <c r="BC411" t="s">
        <v>490</v>
      </c>
      <c r="BD411" t="s">
        <v>75</v>
      </c>
      <c r="BE411" t="s">
        <v>26</v>
      </c>
      <c r="BF411" t="s">
        <v>26</v>
      </c>
      <c r="BG411">
        <v>200</v>
      </c>
      <c r="BH411" t="s">
        <v>491</v>
      </c>
      <c r="BI411">
        <v>0.13</v>
      </c>
      <c r="BJ411" t="s">
        <v>1499</v>
      </c>
      <c r="BK411" t="s">
        <v>26</v>
      </c>
      <c r="BL411" t="s">
        <v>1437</v>
      </c>
      <c r="BM411">
        <v>901039</v>
      </c>
    </row>
    <row r="412" spans="1:65">
      <c r="A412" s="160">
        <v>502.50599999999997</v>
      </c>
      <c r="B412" s="27">
        <v>901040</v>
      </c>
      <c r="C412" s="27" t="s">
        <v>2194</v>
      </c>
      <c r="E412" s="27" t="s">
        <v>2148</v>
      </c>
      <c r="AF412" s="37" t="str">
        <f t="shared" si="16"/>
        <v>AB_SPOT_LI          AB_EM_BFS</v>
      </c>
      <c r="AG412" s="27" t="s">
        <v>2150</v>
      </c>
      <c r="AH412">
        <v>3</v>
      </c>
      <c r="AI412">
        <v>901040</v>
      </c>
      <c r="AJ412" t="s">
        <v>1500</v>
      </c>
      <c r="AK412" t="s">
        <v>26</v>
      </c>
      <c r="AL412" t="s">
        <v>1493</v>
      </c>
      <c r="AM412" t="s">
        <v>1494</v>
      </c>
      <c r="AN412" t="s">
        <v>1495</v>
      </c>
      <c r="AO412" t="s">
        <v>1496</v>
      </c>
      <c r="AP412">
        <v>3</v>
      </c>
      <c r="AQ412" s="146" t="s">
        <v>2315</v>
      </c>
      <c r="AR412" t="s">
        <v>321</v>
      </c>
      <c r="AS412" t="s">
        <v>26</v>
      </c>
      <c r="AT412" t="s">
        <v>26</v>
      </c>
      <c r="AU412" t="s">
        <v>1487</v>
      </c>
      <c r="AV412" t="s">
        <v>1487</v>
      </c>
      <c r="AW412" t="s">
        <v>1488</v>
      </c>
      <c r="AX412" t="s">
        <v>1489</v>
      </c>
      <c r="AY412">
        <v>2</v>
      </c>
      <c r="AZ412" t="s">
        <v>1490</v>
      </c>
      <c r="BA412" t="s">
        <v>321</v>
      </c>
      <c r="BB412" t="s">
        <v>26</v>
      </c>
      <c r="BC412" t="s">
        <v>215</v>
      </c>
      <c r="BD412" t="s">
        <v>75</v>
      </c>
      <c r="BE412" t="s">
        <v>26</v>
      </c>
      <c r="BF412" t="s">
        <v>26</v>
      </c>
      <c r="BG412" s="146">
        <v>2122</v>
      </c>
      <c r="BH412" t="s">
        <v>216</v>
      </c>
      <c r="BI412">
        <v>0.13</v>
      </c>
      <c r="BJ412" t="s">
        <v>1501</v>
      </c>
      <c r="BK412" t="s">
        <v>26</v>
      </c>
      <c r="BL412" t="s">
        <v>1437</v>
      </c>
      <c r="BM412">
        <v>901040</v>
      </c>
    </row>
    <row r="413" spans="1:65">
      <c r="A413" s="47"/>
      <c r="B413" s="27">
        <v>901041</v>
      </c>
      <c r="C413" s="27" t="s">
        <v>2194</v>
      </c>
      <c r="E413" s="27" t="s">
        <v>2148</v>
      </c>
      <c r="AF413" s="37" t="str">
        <f t="shared" si="16"/>
        <v>AB_ST_RE            AB_EM_BFS</v>
      </c>
      <c r="AG413" s="27" t="s">
        <v>2150</v>
      </c>
      <c r="AH413">
        <v>3</v>
      </c>
      <c r="AI413">
        <v>901041</v>
      </c>
      <c r="AJ413" t="s">
        <v>1502</v>
      </c>
      <c r="AK413" t="s">
        <v>26</v>
      </c>
      <c r="AL413" t="s">
        <v>1482</v>
      </c>
      <c r="AM413" t="s">
        <v>1482</v>
      </c>
      <c r="AN413" t="s">
        <v>1483</v>
      </c>
      <c r="AO413" t="s">
        <v>1484</v>
      </c>
      <c r="AP413">
        <v>2</v>
      </c>
      <c r="AQ413" t="s">
        <v>1485</v>
      </c>
      <c r="AR413" t="s">
        <v>321</v>
      </c>
      <c r="AS413" t="s">
        <v>26</v>
      </c>
      <c r="AT413" t="s">
        <v>26</v>
      </c>
      <c r="AU413" t="s">
        <v>1487</v>
      </c>
      <c r="AV413" t="s">
        <v>1487</v>
      </c>
      <c r="AW413" t="s">
        <v>1488</v>
      </c>
      <c r="AX413" t="s">
        <v>1489</v>
      </c>
      <c r="AY413">
        <v>3</v>
      </c>
      <c r="AZ413" t="s">
        <v>1490</v>
      </c>
      <c r="BA413" t="s">
        <v>321</v>
      </c>
      <c r="BB413" t="s">
        <v>26</v>
      </c>
      <c r="BC413" t="s">
        <v>490</v>
      </c>
      <c r="BD413" t="s">
        <v>75</v>
      </c>
      <c r="BE413" t="s">
        <v>26</v>
      </c>
      <c r="BF413" t="s">
        <v>26</v>
      </c>
      <c r="BG413">
        <v>246</v>
      </c>
      <c r="BH413" t="s">
        <v>491</v>
      </c>
      <c r="BI413">
        <v>0.13</v>
      </c>
      <c r="BJ413" t="s">
        <v>1503</v>
      </c>
      <c r="BK413" t="s">
        <v>26</v>
      </c>
      <c r="BL413" t="s">
        <v>1437</v>
      </c>
      <c r="BM413">
        <v>901041</v>
      </c>
    </row>
    <row r="414" spans="1:65">
      <c r="A414" s="47">
        <v>506</v>
      </c>
      <c r="B414" s="27">
        <v>901042</v>
      </c>
      <c r="C414" s="27" t="s">
        <v>2194</v>
      </c>
      <c r="E414" s="27" t="s">
        <v>2148</v>
      </c>
      <c r="AF414" s="37" t="str">
        <f t="shared" si="16"/>
        <v>AB_ST_RE            FRL25P</v>
      </c>
      <c r="AG414" s="27" t="s">
        <v>2150</v>
      </c>
      <c r="AH414">
        <v>3</v>
      </c>
      <c r="AI414">
        <v>901042</v>
      </c>
      <c r="AJ414" t="s">
        <v>1504</v>
      </c>
      <c r="AK414" t="s">
        <v>26</v>
      </c>
      <c r="AL414" t="s">
        <v>1482</v>
      </c>
      <c r="AM414" t="s">
        <v>1482</v>
      </c>
      <c r="AN414" t="s">
        <v>1483</v>
      </c>
      <c r="AO414" t="s">
        <v>1484</v>
      </c>
      <c r="AP414">
        <v>3</v>
      </c>
      <c r="AQ414" t="s">
        <v>1485</v>
      </c>
      <c r="AR414" t="s">
        <v>321</v>
      </c>
      <c r="AS414" t="s">
        <v>26</v>
      </c>
      <c r="AT414" t="s">
        <v>26</v>
      </c>
      <c r="AU414" t="s">
        <v>1448</v>
      </c>
      <c r="AV414" t="s">
        <v>1448</v>
      </c>
      <c r="AW414" t="s">
        <v>1466</v>
      </c>
      <c r="AX414" t="s">
        <v>1467</v>
      </c>
      <c r="AY414">
        <v>2</v>
      </c>
      <c r="AZ414" t="s">
        <v>1451</v>
      </c>
      <c r="BA414" t="s">
        <v>321</v>
      </c>
      <c r="BB414" t="s">
        <v>26</v>
      </c>
      <c r="BC414" t="s">
        <v>215</v>
      </c>
      <c r="BD414" t="s">
        <v>75</v>
      </c>
      <c r="BE414" t="s">
        <v>26</v>
      </c>
      <c r="BF414" t="s">
        <v>26</v>
      </c>
      <c r="BG414" s="146">
        <v>1923</v>
      </c>
      <c r="BH414" t="s">
        <v>216</v>
      </c>
      <c r="BI414">
        <v>0.13</v>
      </c>
      <c r="BJ414" t="s">
        <v>1505</v>
      </c>
      <c r="BK414" t="s">
        <v>26</v>
      </c>
      <c r="BL414" t="s">
        <v>1437</v>
      </c>
      <c r="BM414">
        <v>901042</v>
      </c>
    </row>
    <row r="415" spans="1:65">
      <c r="A415" s="47"/>
      <c r="B415" s="27">
        <v>901043</v>
      </c>
      <c r="C415" s="27" t="s">
        <v>2194</v>
      </c>
      <c r="E415" s="27" t="s">
        <v>2148</v>
      </c>
      <c r="AF415" s="37" t="str">
        <f t="shared" si="16"/>
        <v>KS_CPL_D            KS_CPM_D</v>
      </c>
      <c r="AG415" s="27" t="s">
        <v>2150</v>
      </c>
      <c r="AH415">
        <v>3</v>
      </c>
      <c r="AI415">
        <v>901043</v>
      </c>
      <c r="AJ415" t="s">
        <v>1506</v>
      </c>
      <c r="AK415" t="s">
        <v>26</v>
      </c>
      <c r="AL415" t="s">
        <v>64</v>
      </c>
      <c r="AM415" t="s">
        <v>64</v>
      </c>
      <c r="AN415" t="s">
        <v>65</v>
      </c>
      <c r="AO415" t="s">
        <v>66</v>
      </c>
      <c r="AP415">
        <v>10</v>
      </c>
      <c r="AQ415" t="s">
        <v>67</v>
      </c>
      <c r="AR415" t="s">
        <v>68</v>
      </c>
      <c r="AS415" t="s">
        <v>26</v>
      </c>
      <c r="AT415" t="s">
        <v>26</v>
      </c>
      <c r="AU415" t="s">
        <v>69</v>
      </c>
      <c r="AV415" t="s">
        <v>69</v>
      </c>
      <c r="AW415" t="s">
        <v>231</v>
      </c>
      <c r="AX415" t="s">
        <v>232</v>
      </c>
      <c r="AY415">
        <v>4</v>
      </c>
      <c r="AZ415" t="s">
        <v>233</v>
      </c>
      <c r="BA415" t="s">
        <v>68</v>
      </c>
      <c r="BB415" t="s">
        <v>26</v>
      </c>
      <c r="BC415" t="s">
        <v>530</v>
      </c>
      <c r="BD415" t="s">
        <v>75</v>
      </c>
      <c r="BE415" t="s">
        <v>26</v>
      </c>
      <c r="BF415" t="s">
        <v>26</v>
      </c>
      <c r="BG415">
        <v>1342</v>
      </c>
      <c r="BH415" t="s">
        <v>216</v>
      </c>
      <c r="BI415">
        <v>0.35</v>
      </c>
      <c r="BJ415" t="s">
        <v>1507</v>
      </c>
      <c r="BK415" t="s">
        <v>26</v>
      </c>
      <c r="BL415" t="s">
        <v>1437</v>
      </c>
      <c r="BM415">
        <v>901043</v>
      </c>
    </row>
    <row r="416" spans="1:65">
      <c r="A416" s="160">
        <v>502.50599999999997</v>
      </c>
      <c r="B416" s="27">
        <v>901044</v>
      </c>
      <c r="C416" s="27" t="s">
        <v>2194</v>
      </c>
      <c r="E416" s="27" t="s">
        <v>2148</v>
      </c>
      <c r="F416" s="27" t="s">
        <v>2156</v>
      </c>
      <c r="G416" s="27" t="s">
        <v>381</v>
      </c>
      <c r="K416" s="27" t="s">
        <v>2153</v>
      </c>
      <c r="L416" s="27" t="s">
        <v>2154</v>
      </c>
      <c r="M416" s="27" t="s">
        <v>2148</v>
      </c>
      <c r="AF416" s="37" t="str">
        <f t="shared" si="16"/>
        <v>SP_MB32_B3          AB_SPOT_RE</v>
      </c>
      <c r="AG416" s="27" t="s">
        <v>2150</v>
      </c>
      <c r="AH416">
        <v>3</v>
      </c>
      <c r="AI416">
        <v>901044</v>
      </c>
      <c r="AJ416" t="s">
        <v>1508</v>
      </c>
      <c r="AK416" t="s">
        <v>26</v>
      </c>
      <c r="AL416" t="s">
        <v>26</v>
      </c>
      <c r="AM416" t="s">
        <v>380</v>
      </c>
      <c r="AN416">
        <v>81</v>
      </c>
      <c r="AO416" t="s">
        <v>381</v>
      </c>
      <c r="AP416">
        <v>1</v>
      </c>
      <c r="AQ416" t="s">
        <v>382</v>
      </c>
      <c r="AR416" t="s">
        <v>26</v>
      </c>
      <c r="AS416" t="s">
        <v>26</v>
      </c>
      <c r="AT416" t="s">
        <v>26</v>
      </c>
      <c r="AU416" t="s">
        <v>1474</v>
      </c>
      <c r="AV416" t="s">
        <v>1475</v>
      </c>
      <c r="AW416" t="s">
        <v>1476</v>
      </c>
      <c r="AX416" t="s">
        <v>1477</v>
      </c>
      <c r="AY416">
        <v>4</v>
      </c>
      <c r="AZ416" s="146" t="s">
        <v>2314</v>
      </c>
      <c r="BA416" t="s">
        <v>243</v>
      </c>
      <c r="BB416" t="s">
        <v>26</v>
      </c>
      <c r="BC416" t="s">
        <v>312</v>
      </c>
      <c r="BD416" t="s">
        <v>75</v>
      </c>
      <c r="BE416" t="s">
        <v>26</v>
      </c>
      <c r="BF416" t="s">
        <v>26</v>
      </c>
      <c r="BG416" s="146">
        <v>1269</v>
      </c>
      <c r="BH416" t="s">
        <v>42</v>
      </c>
      <c r="BI416">
        <v>0.35</v>
      </c>
      <c r="BJ416" t="s">
        <v>200</v>
      </c>
      <c r="BK416" t="s">
        <v>26</v>
      </c>
      <c r="BL416" t="s">
        <v>1437</v>
      </c>
      <c r="BM416">
        <v>901044</v>
      </c>
    </row>
    <row r="417" spans="1:65">
      <c r="A417" s="160">
        <v>502.50599999999997</v>
      </c>
      <c r="B417" s="27">
        <v>901045</v>
      </c>
      <c r="C417" s="27" t="s">
        <v>2194</v>
      </c>
      <c r="E417" s="27" t="s">
        <v>2148</v>
      </c>
      <c r="F417" s="27" t="s">
        <v>2156</v>
      </c>
      <c r="G417" s="27" t="s">
        <v>381</v>
      </c>
      <c r="K417" s="27" t="s">
        <v>2153</v>
      </c>
      <c r="L417" s="27" t="s">
        <v>2148</v>
      </c>
      <c r="M417" s="27" t="s">
        <v>2154</v>
      </c>
      <c r="AF417" s="37" t="str">
        <f t="shared" si="16"/>
        <v>AB_SPOT_LI          SP_MB32_B3</v>
      </c>
      <c r="AG417" s="27" t="s">
        <v>2150</v>
      </c>
      <c r="AH417">
        <v>3</v>
      </c>
      <c r="AI417">
        <v>901045</v>
      </c>
      <c r="AJ417" t="s">
        <v>1509</v>
      </c>
      <c r="AK417" t="s">
        <v>26</v>
      </c>
      <c r="AL417" t="s">
        <v>1493</v>
      </c>
      <c r="AM417" t="s">
        <v>1494</v>
      </c>
      <c r="AN417" t="s">
        <v>1495</v>
      </c>
      <c r="AO417" t="s">
        <v>1496</v>
      </c>
      <c r="AP417">
        <v>4</v>
      </c>
      <c r="AQ417" s="146" t="s">
        <v>2315</v>
      </c>
      <c r="AR417" t="s">
        <v>243</v>
      </c>
      <c r="AS417" t="s">
        <v>26</v>
      </c>
      <c r="AT417" t="s">
        <v>26</v>
      </c>
      <c r="AU417" t="s">
        <v>26</v>
      </c>
      <c r="AV417" t="s">
        <v>380</v>
      </c>
      <c r="AW417">
        <v>81</v>
      </c>
      <c r="AX417" t="s">
        <v>381</v>
      </c>
      <c r="AY417">
        <v>1</v>
      </c>
      <c r="AZ417" t="s">
        <v>382</v>
      </c>
      <c r="BA417" t="s">
        <v>26</v>
      </c>
      <c r="BB417" t="s">
        <v>26</v>
      </c>
      <c r="BC417" t="s">
        <v>312</v>
      </c>
      <c r="BD417" t="s">
        <v>75</v>
      </c>
      <c r="BE417" t="s">
        <v>26</v>
      </c>
      <c r="BF417" t="s">
        <v>26</v>
      </c>
      <c r="BG417" s="146">
        <v>1269</v>
      </c>
      <c r="BH417" t="s">
        <v>42</v>
      </c>
      <c r="BI417">
        <v>0.35</v>
      </c>
      <c r="BJ417" t="s">
        <v>200</v>
      </c>
      <c r="BK417" t="s">
        <v>26</v>
      </c>
      <c r="BL417" t="s">
        <v>1437</v>
      </c>
      <c r="BM417">
        <v>901045</v>
      </c>
    </row>
    <row r="418" spans="1:65">
      <c r="A418" s="47"/>
      <c r="B418" s="27">
        <v>901046</v>
      </c>
      <c r="C418" s="27" t="s">
        <v>2194</v>
      </c>
      <c r="E418" s="27" t="s">
        <v>2148</v>
      </c>
      <c r="F418" s="27" t="s">
        <v>2156</v>
      </c>
      <c r="G418" s="27" t="s">
        <v>373</v>
      </c>
      <c r="K418" s="27" t="s">
        <v>2153</v>
      </c>
      <c r="L418" s="27" t="s">
        <v>2154</v>
      </c>
      <c r="M418" s="27" t="s">
        <v>2148</v>
      </c>
      <c r="AF418" s="37" t="str">
        <f t="shared" si="16"/>
        <v>SP_MB31_B3          AB_ST_RE</v>
      </c>
      <c r="AG418" s="27" t="s">
        <v>2150</v>
      </c>
      <c r="AH418">
        <v>3</v>
      </c>
      <c r="AI418">
        <v>901046</v>
      </c>
      <c r="AJ418" t="s">
        <v>1510</v>
      </c>
      <c r="AK418" t="s">
        <v>26</v>
      </c>
      <c r="AL418" t="s">
        <v>26</v>
      </c>
      <c r="AM418" t="s">
        <v>372</v>
      </c>
      <c r="AN418">
        <v>821</v>
      </c>
      <c r="AO418" t="s">
        <v>373</v>
      </c>
      <c r="AP418">
        <v>1</v>
      </c>
      <c r="AQ418" t="s">
        <v>374</v>
      </c>
      <c r="AR418" t="s">
        <v>26</v>
      </c>
      <c r="AS418" t="s">
        <v>26</v>
      </c>
      <c r="AT418" t="s">
        <v>26</v>
      </c>
      <c r="AU418" t="s">
        <v>1482</v>
      </c>
      <c r="AV418" t="s">
        <v>1482</v>
      </c>
      <c r="AW418" t="s">
        <v>1483</v>
      </c>
      <c r="AX418" t="s">
        <v>1484</v>
      </c>
      <c r="AY418">
        <v>4</v>
      </c>
      <c r="AZ418" t="s">
        <v>1485</v>
      </c>
      <c r="BA418" t="s">
        <v>243</v>
      </c>
      <c r="BB418" t="s">
        <v>26</v>
      </c>
      <c r="BC418" t="s">
        <v>312</v>
      </c>
      <c r="BD418" t="s">
        <v>75</v>
      </c>
      <c r="BE418" t="s">
        <v>26</v>
      </c>
      <c r="BF418" t="s">
        <v>26</v>
      </c>
      <c r="BG418">
        <v>580</v>
      </c>
      <c r="BH418" t="s">
        <v>42</v>
      </c>
      <c r="BI418">
        <v>0.35</v>
      </c>
      <c r="BJ418" t="s">
        <v>264</v>
      </c>
      <c r="BK418" t="s">
        <v>26</v>
      </c>
      <c r="BL418" t="s">
        <v>1437</v>
      </c>
      <c r="BM418">
        <v>901046</v>
      </c>
    </row>
    <row r="419" spans="1:65">
      <c r="A419" s="47"/>
      <c r="B419" s="27">
        <v>901047</v>
      </c>
      <c r="C419" s="27" t="s">
        <v>2194</v>
      </c>
      <c r="E419" s="27" t="s">
        <v>2148</v>
      </c>
      <c r="F419" s="27" t="s">
        <v>2156</v>
      </c>
      <c r="G419" s="27" t="s">
        <v>373</v>
      </c>
      <c r="K419" s="27" t="s">
        <v>2153</v>
      </c>
      <c r="L419" s="27" t="s">
        <v>2154</v>
      </c>
      <c r="M419" s="27" t="s">
        <v>2148</v>
      </c>
      <c r="AF419" s="37" t="str">
        <f t="shared" si="16"/>
        <v>SP_MB31_B3          AB_EM_BFS</v>
      </c>
      <c r="AG419" s="27" t="s">
        <v>2150</v>
      </c>
      <c r="AH419">
        <v>3</v>
      </c>
      <c r="AI419">
        <v>901047</v>
      </c>
      <c r="AJ419" t="s">
        <v>1511</v>
      </c>
      <c r="AK419" t="s">
        <v>26</v>
      </c>
      <c r="AL419" t="s">
        <v>26</v>
      </c>
      <c r="AM419" t="s">
        <v>372</v>
      </c>
      <c r="AN419">
        <v>821</v>
      </c>
      <c r="AO419" t="s">
        <v>373</v>
      </c>
      <c r="AP419">
        <v>1</v>
      </c>
      <c r="AQ419" t="s">
        <v>374</v>
      </c>
      <c r="AR419" t="s">
        <v>26</v>
      </c>
      <c r="AS419" t="s">
        <v>26</v>
      </c>
      <c r="AT419" t="s">
        <v>26</v>
      </c>
      <c r="AU419" t="s">
        <v>1487</v>
      </c>
      <c r="AV419" t="s">
        <v>1487</v>
      </c>
      <c r="AW419" t="s">
        <v>1488</v>
      </c>
      <c r="AX419" t="s">
        <v>1489</v>
      </c>
      <c r="AY419">
        <v>4</v>
      </c>
      <c r="AZ419" t="s">
        <v>1490</v>
      </c>
      <c r="BA419" t="s">
        <v>243</v>
      </c>
      <c r="BB419" t="s">
        <v>26</v>
      </c>
      <c r="BC419" t="s">
        <v>312</v>
      </c>
      <c r="BD419" t="s">
        <v>75</v>
      </c>
      <c r="BE419" t="s">
        <v>26</v>
      </c>
      <c r="BF419" t="s">
        <v>26</v>
      </c>
      <c r="BG419">
        <v>594</v>
      </c>
      <c r="BH419" t="s">
        <v>42</v>
      </c>
      <c r="BI419">
        <v>0.35</v>
      </c>
      <c r="BJ419" t="s">
        <v>264</v>
      </c>
      <c r="BK419" t="s">
        <v>26</v>
      </c>
      <c r="BL419" t="s">
        <v>1437</v>
      </c>
      <c r="BM419">
        <v>901047</v>
      </c>
    </row>
    <row r="420" spans="1:65">
      <c r="A420" s="160"/>
    </row>
    <row r="421" spans="1:65">
      <c r="A421" s="160"/>
    </row>
    <row r="422" spans="1:65">
      <c r="A422" s="160"/>
    </row>
    <row r="423" spans="1:65">
      <c r="A423" s="160"/>
    </row>
    <row r="424" spans="1:65">
      <c r="A424" s="160"/>
    </row>
    <row r="425" spans="1:65">
      <c r="A425" s="160"/>
    </row>
    <row r="426" spans="1:65">
      <c r="A426" s="160"/>
    </row>
    <row r="427" spans="1:65">
      <c r="A427" s="160"/>
    </row>
    <row r="428" spans="1:65">
      <c r="A428" s="160"/>
    </row>
    <row r="429" spans="1:65">
      <c r="A429" s="160"/>
    </row>
    <row r="430" spans="1:65">
      <c r="A430" s="160"/>
    </row>
    <row r="431" spans="1:65">
      <c r="A431" s="160"/>
    </row>
    <row r="432" spans="1:65">
      <c r="A432" s="160"/>
    </row>
    <row r="433" spans="1:1">
      <c r="A433" s="160"/>
    </row>
    <row r="434" spans="1:1">
      <c r="A434" s="160"/>
    </row>
  </sheetData>
  <autoFilter ref="A2:DP419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locked="0" defaultSize="0" print="0" autoFill="0" autoPict="0">
                <anchor moveWithCells="1" sizeWithCells="1">
                  <from>
                    <xdr:col>0</xdr:col>
                    <xdr:colOff>28575</xdr:colOff>
                    <xdr:row>0</xdr:row>
                    <xdr:rowOff>0</xdr:rowOff>
                  </from>
                  <to>
                    <xdr:col>0</xdr:col>
                    <xdr:colOff>762000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295275</xdr:rowOff>
                  </from>
                  <to>
                    <xdr:col>0</xdr:col>
                    <xdr:colOff>771525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>
                <anchor moveWithCells="1" sizeWithCells="1">
                  <from>
                    <xdr:col>0</xdr:col>
                    <xdr:colOff>990600</xdr:colOff>
                    <xdr:row>0</xdr:row>
                    <xdr:rowOff>28575</xdr:rowOff>
                  </from>
                  <to>
                    <xdr:col>0</xdr:col>
                    <xdr:colOff>1609725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1]!zmena_v_riadku">
                <anchor moveWithCells="1" sizeWithCells="1">
                  <from>
                    <xdr:col>0</xdr:col>
                    <xdr:colOff>381000</xdr:colOff>
                    <xdr:row>0</xdr:row>
                    <xdr:rowOff>923925</xdr:rowOff>
                  </from>
                  <to>
                    <xdr:col>0</xdr:col>
                    <xdr:colOff>1343025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W3:X419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3"/>
  <dimension ref="A1:BQ747"/>
  <sheetViews>
    <sheetView zoomScale="70" zoomScaleNormal="70" workbookViewId="0">
      <pane xSplit="25" ySplit="2" topLeftCell="Z3" activePane="bottomRight" state="frozen"/>
      <selection pane="topRight" activeCell="Z1" sqref="Z1"/>
      <selection pane="bottomLeft" activeCell="A3" sqref="A3"/>
      <selection pane="bottomRight" activeCell="K19" sqref="K19"/>
    </sheetView>
  </sheetViews>
  <sheetFormatPr baseColWidth="10" defaultColWidth="11.42578125" defaultRowHeight="15"/>
  <cols>
    <col min="1" max="1" width="23.7109375" style="44" customWidth="1"/>
    <col min="2" max="2" width="7" customWidth="1"/>
    <col min="3" max="3" width="4.28515625" customWidth="1"/>
    <col min="4" max="4" width="9" customWidth="1"/>
    <col min="5" max="5" width="2" customWidth="1"/>
    <col min="6" max="6" width="3.5703125" customWidth="1"/>
    <col min="7" max="7" width="4.5703125" customWidth="1"/>
    <col min="8" max="8" width="3.85546875" customWidth="1"/>
    <col min="9" max="9" width="4" customWidth="1"/>
    <col min="10" max="10" width="15.140625" customWidth="1"/>
    <col min="11" max="11" width="5.5703125" customWidth="1"/>
    <col min="12" max="12" width="16.7109375" customWidth="1"/>
    <col min="13" max="13" width="13" customWidth="1"/>
    <col min="14" max="14" width="7.28515625" customWidth="1"/>
    <col min="15" max="15" width="6.140625" customWidth="1"/>
    <col min="16" max="19" width="2.42578125" customWidth="1"/>
    <col min="21" max="25" width="2.42578125" customWidth="1"/>
    <col min="26" max="26" width="5.5703125" customWidth="1"/>
    <col min="27" max="27" width="37.7109375" customWidth="1"/>
    <col min="28" max="28" width="14.42578125" customWidth="1"/>
    <col min="29" max="29" width="7.7109375" customWidth="1"/>
    <col min="30" max="30" width="6.140625" customWidth="1"/>
    <col min="31" max="31" width="18.85546875" customWidth="1"/>
    <col min="32" max="32" width="15.7109375" customWidth="1"/>
    <col min="33" max="33" width="6.28515625" customWidth="1"/>
    <col min="34" max="34" width="21.28515625" customWidth="1"/>
    <col min="35" max="35" width="17" customWidth="1"/>
    <col min="36" max="38" width="11.42578125" customWidth="1"/>
    <col min="39" max="39" width="15.85546875" customWidth="1"/>
    <col min="40" max="40" width="3.85546875" style="44" customWidth="1"/>
    <col min="41" max="41" width="14.42578125" customWidth="1"/>
    <col min="42" max="42" width="14.7109375" customWidth="1"/>
    <col min="43" max="43" width="14.140625" customWidth="1"/>
  </cols>
  <sheetData>
    <row r="1" spans="1:69" s="25" customFormat="1" ht="93.6" customHeight="1">
      <c r="A1" s="15" t="s">
        <v>2055</v>
      </c>
      <c r="B1" s="16" t="s">
        <v>2057</v>
      </c>
      <c r="C1" s="17" t="s">
        <v>2135</v>
      </c>
      <c r="D1" s="17" t="s">
        <v>2059</v>
      </c>
      <c r="E1" s="17" t="s">
        <v>2136</v>
      </c>
      <c r="F1" s="17" t="s">
        <v>2137</v>
      </c>
      <c r="G1" s="17" t="s">
        <v>2138</v>
      </c>
      <c r="H1" s="17" t="s">
        <v>2139</v>
      </c>
      <c r="I1" s="17" t="s">
        <v>2140</v>
      </c>
      <c r="J1" s="17" t="s">
        <v>2141</v>
      </c>
      <c r="K1" s="18" t="s">
        <v>2142</v>
      </c>
      <c r="L1" s="19" t="s">
        <v>2143</v>
      </c>
      <c r="M1" s="20" t="s">
        <v>2074</v>
      </c>
      <c r="N1" s="18" t="s">
        <v>2144</v>
      </c>
      <c r="O1" s="21" t="s">
        <v>2145</v>
      </c>
      <c r="P1" s="22" t="s">
        <v>2079</v>
      </c>
      <c r="Q1" s="23" t="s">
        <v>2080</v>
      </c>
      <c r="R1" s="23" t="s">
        <v>2081</v>
      </c>
      <c r="S1" s="23" t="s">
        <v>2082</v>
      </c>
      <c r="T1" s="23" t="s">
        <v>2146</v>
      </c>
      <c r="U1" s="23" t="s">
        <v>2083</v>
      </c>
      <c r="V1" s="23" t="s">
        <v>2084</v>
      </c>
      <c r="W1" s="23" t="s">
        <v>2085</v>
      </c>
      <c r="X1" s="23" t="s">
        <v>2086</v>
      </c>
      <c r="Y1" s="45" t="s">
        <v>2087</v>
      </c>
      <c r="Z1" s="24"/>
      <c r="AA1" t="s">
        <v>1512</v>
      </c>
      <c r="AB1" t="s">
        <v>1513</v>
      </c>
      <c r="AC1" t="s">
        <v>1514</v>
      </c>
      <c r="AD1" t="s">
        <v>9</v>
      </c>
      <c r="AE1" t="s">
        <v>9</v>
      </c>
      <c r="AF1" t="s">
        <v>11</v>
      </c>
      <c r="AG1" t="s">
        <v>13</v>
      </c>
      <c r="AH1" t="s">
        <v>1515</v>
      </c>
      <c r="AI1" t="s">
        <v>1516</v>
      </c>
      <c r="AJ1" t="s">
        <v>1517</v>
      </c>
      <c r="AK1" t="s">
        <v>22</v>
      </c>
      <c r="AL1" t="s">
        <v>1518</v>
      </c>
      <c r="AM1" t="s">
        <v>1519</v>
      </c>
      <c r="AN1" s="44" t="s">
        <v>1520</v>
      </c>
      <c r="AO1" t="s">
        <v>1</v>
      </c>
      <c r="AP1" t="s">
        <v>509</v>
      </c>
      <c r="AQ1" t="s">
        <v>512</v>
      </c>
      <c r="AR1" t="s">
        <v>2088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</row>
    <row r="2" spans="1:69">
      <c r="A2" s="40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40"/>
      <c r="AO2" s="26"/>
      <c r="AP2" s="26"/>
      <c r="AQ2" s="26"/>
      <c r="AR2" s="26"/>
      <c r="AS2" s="26"/>
      <c r="AT2" s="26"/>
      <c r="AU2" s="26"/>
      <c r="AV2" s="26"/>
      <c r="AW2" s="26"/>
    </row>
    <row r="3" spans="1:69">
      <c r="A3" s="47"/>
      <c r="B3" s="26" t="s">
        <v>2147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>
        <v>1</v>
      </c>
      <c r="AA3" t="s">
        <v>0</v>
      </c>
    </row>
    <row r="4" spans="1:69">
      <c r="A4" s="47" t="s">
        <v>2343</v>
      </c>
      <c r="B4" s="26" t="s">
        <v>2147</v>
      </c>
      <c r="C4" s="26"/>
      <c r="D4" s="26"/>
      <c r="E4" s="26"/>
      <c r="F4" s="26"/>
      <c r="G4" s="27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7">
        <v>2</v>
      </c>
      <c r="AA4" t="s">
        <v>1</v>
      </c>
      <c r="AB4" t="s">
        <v>2</v>
      </c>
      <c r="AC4" t="s">
        <v>3</v>
      </c>
      <c r="AD4" s="146" t="s">
        <v>2351</v>
      </c>
      <c r="AE4" t="s">
        <v>4</v>
      </c>
    </row>
    <row r="5" spans="1:69">
      <c r="A5" s="47"/>
      <c r="B5" s="26" t="s">
        <v>2147</v>
      </c>
      <c r="C5" s="26"/>
      <c r="D5" s="26"/>
      <c r="E5" s="26"/>
      <c r="F5" s="26"/>
      <c r="G5" s="27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39"/>
      <c r="Z5" s="27">
        <v>0</v>
      </c>
      <c r="AA5" t="s">
        <v>1512</v>
      </c>
      <c r="AB5" t="s">
        <v>1513</v>
      </c>
      <c r="AC5" t="s">
        <v>1514</v>
      </c>
      <c r="AD5" t="s">
        <v>9</v>
      </c>
      <c r="AE5" t="s">
        <v>9</v>
      </c>
      <c r="AF5" t="s">
        <v>11</v>
      </c>
      <c r="AG5" t="s">
        <v>13</v>
      </c>
      <c r="AH5" t="s">
        <v>1515</v>
      </c>
      <c r="AI5" t="s">
        <v>1516</v>
      </c>
      <c r="AJ5" t="s">
        <v>1517</v>
      </c>
      <c r="AK5" t="s">
        <v>22</v>
      </c>
      <c r="AL5" t="s">
        <v>1518</v>
      </c>
      <c r="AM5" t="s">
        <v>1519</v>
      </c>
      <c r="AN5" s="44" t="s">
        <v>1520</v>
      </c>
      <c r="AO5" t="s">
        <v>1</v>
      </c>
    </row>
    <row r="6" spans="1:69">
      <c r="A6" s="47" t="s">
        <v>2358</v>
      </c>
      <c r="B6" s="26" t="s">
        <v>2147</v>
      </c>
      <c r="C6" s="26"/>
      <c r="D6" s="26"/>
      <c r="E6" s="26"/>
      <c r="F6" s="26"/>
      <c r="G6" s="27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39"/>
      <c r="Z6" s="27">
        <v>4</v>
      </c>
      <c r="AA6" t="s">
        <v>1521</v>
      </c>
      <c r="AB6" t="s">
        <v>26</v>
      </c>
      <c r="AC6" t="s">
        <v>26</v>
      </c>
      <c r="AD6" t="s">
        <v>26</v>
      </c>
      <c r="AE6" t="s">
        <v>26</v>
      </c>
      <c r="AF6" t="s">
        <v>26</v>
      </c>
      <c r="AG6" t="s">
        <v>26</v>
      </c>
      <c r="AH6" t="s">
        <v>1522</v>
      </c>
      <c r="AI6" t="s">
        <v>26</v>
      </c>
      <c r="AJ6" t="s">
        <v>26</v>
      </c>
      <c r="AK6" t="s">
        <v>26</v>
      </c>
      <c r="AL6" t="s">
        <v>26</v>
      </c>
      <c r="AM6" t="s">
        <v>26</v>
      </c>
      <c r="AN6" s="44" t="s">
        <v>1523</v>
      </c>
      <c r="AO6" s="146">
        <v>13291</v>
      </c>
    </row>
    <row r="7" spans="1:69">
      <c r="A7" s="47" t="s">
        <v>2358</v>
      </c>
      <c r="B7" s="26" t="s">
        <v>2147</v>
      </c>
      <c r="C7" s="26"/>
      <c r="D7" s="26"/>
      <c r="E7" s="26"/>
      <c r="F7" s="26"/>
      <c r="G7" s="27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39"/>
      <c r="Z7" s="27">
        <v>4</v>
      </c>
      <c r="AA7" t="s">
        <v>1524</v>
      </c>
      <c r="AB7" t="s">
        <v>26</v>
      </c>
      <c r="AC7" t="s">
        <v>26</v>
      </c>
      <c r="AD7" t="s">
        <v>26</v>
      </c>
      <c r="AE7" t="s">
        <v>26</v>
      </c>
      <c r="AF7" t="s">
        <v>26</v>
      </c>
      <c r="AG7" t="s">
        <v>26</v>
      </c>
      <c r="AH7" t="s">
        <v>1525</v>
      </c>
      <c r="AI7" t="s">
        <v>26</v>
      </c>
      <c r="AJ7" t="s">
        <v>26</v>
      </c>
      <c r="AK7" t="s">
        <v>26</v>
      </c>
      <c r="AL7" t="s">
        <v>26</v>
      </c>
      <c r="AM7" t="s">
        <v>26</v>
      </c>
      <c r="AN7" s="44" t="s">
        <v>1523</v>
      </c>
      <c r="AO7" s="146">
        <v>29394</v>
      </c>
    </row>
    <row r="8" spans="1:69">
      <c r="A8" s="47"/>
      <c r="B8" s="26" t="s">
        <v>2147</v>
      </c>
      <c r="C8" s="26"/>
      <c r="D8" s="26"/>
      <c r="E8" s="26"/>
      <c r="F8" s="26"/>
      <c r="G8" s="27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39"/>
      <c r="Z8" s="27">
        <v>4</v>
      </c>
      <c r="AA8" t="s">
        <v>1524</v>
      </c>
      <c r="AB8" t="s">
        <v>26</v>
      </c>
      <c r="AC8" t="s">
        <v>26</v>
      </c>
      <c r="AD8" t="s">
        <v>26</v>
      </c>
      <c r="AE8" t="s">
        <v>26</v>
      </c>
      <c r="AF8" t="s">
        <v>26</v>
      </c>
      <c r="AG8" t="s">
        <v>26</v>
      </c>
      <c r="AH8" t="s">
        <v>1526</v>
      </c>
      <c r="AI8" t="s">
        <v>26</v>
      </c>
      <c r="AJ8" t="s">
        <v>26</v>
      </c>
      <c r="AK8" t="s">
        <v>26</v>
      </c>
      <c r="AL8" t="s">
        <v>26</v>
      </c>
      <c r="AM8" t="s">
        <v>26</v>
      </c>
      <c r="AN8" s="44" t="s">
        <v>1523</v>
      </c>
      <c r="AO8">
        <v>332</v>
      </c>
    </row>
    <row r="9" spans="1:69">
      <c r="A9" s="47" t="s">
        <v>2359</v>
      </c>
      <c r="B9" s="26" t="s">
        <v>2147</v>
      </c>
      <c r="C9" s="26"/>
      <c r="D9" s="26"/>
      <c r="E9" s="26"/>
      <c r="F9" s="26"/>
      <c r="G9" s="27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39"/>
      <c r="Z9" s="27">
        <v>4</v>
      </c>
      <c r="AA9" t="s">
        <v>1524</v>
      </c>
      <c r="AB9" t="s">
        <v>26</v>
      </c>
      <c r="AC9" t="s">
        <v>26</v>
      </c>
      <c r="AD9" t="s">
        <v>26</v>
      </c>
      <c r="AE9" t="s">
        <v>26</v>
      </c>
      <c r="AF9" t="s">
        <v>26</v>
      </c>
      <c r="AG9" t="s">
        <v>26</v>
      </c>
      <c r="AH9" t="s">
        <v>1527</v>
      </c>
      <c r="AI9" t="s">
        <v>26</v>
      </c>
      <c r="AJ9" t="s">
        <v>26</v>
      </c>
      <c r="AK9" t="s">
        <v>26</v>
      </c>
      <c r="AL9" t="s">
        <v>26</v>
      </c>
      <c r="AM9" t="s">
        <v>26</v>
      </c>
      <c r="AN9" s="44" t="s">
        <v>1523</v>
      </c>
      <c r="AO9" s="146">
        <v>14937</v>
      </c>
    </row>
    <row r="10" spans="1:69">
      <c r="A10" s="146">
        <v>508</v>
      </c>
      <c r="B10" s="149" t="s">
        <v>2147</v>
      </c>
      <c r="C10" s="149"/>
      <c r="D10" s="149"/>
      <c r="E10" s="149"/>
      <c r="F10" s="149"/>
      <c r="G10" s="146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  <c r="Y10" s="163"/>
      <c r="Z10" s="146">
        <v>4</v>
      </c>
      <c r="AA10" s="146" t="s">
        <v>1528</v>
      </c>
      <c r="AB10" s="146" t="s">
        <v>26</v>
      </c>
      <c r="AC10" s="146" t="s">
        <v>26</v>
      </c>
      <c r="AD10" s="146" t="s">
        <v>26</v>
      </c>
      <c r="AE10" s="146" t="s">
        <v>26</v>
      </c>
      <c r="AF10" s="146" t="s">
        <v>26</v>
      </c>
      <c r="AG10" s="146" t="s">
        <v>26</v>
      </c>
      <c r="AH10" s="146" t="s">
        <v>1978</v>
      </c>
      <c r="AI10" s="146" t="s">
        <v>26</v>
      </c>
      <c r="AJ10" s="146" t="s">
        <v>26</v>
      </c>
      <c r="AK10" s="146" t="s">
        <v>26</v>
      </c>
      <c r="AL10" s="146" t="s">
        <v>26</v>
      </c>
      <c r="AM10" s="146" t="s">
        <v>26</v>
      </c>
      <c r="AN10" s="150" t="s">
        <v>1530</v>
      </c>
      <c r="AO10" s="146">
        <v>1586</v>
      </c>
    </row>
    <row r="11" spans="1:69">
      <c r="A11" s="47"/>
      <c r="B11" s="26" t="s">
        <v>2147</v>
      </c>
      <c r="C11" s="26"/>
      <c r="D11" s="26"/>
      <c r="E11" s="26"/>
      <c r="F11" s="26"/>
      <c r="G11" s="27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39"/>
      <c r="Z11" s="27">
        <v>4</v>
      </c>
      <c r="AA11" t="s">
        <v>1528</v>
      </c>
      <c r="AB11" t="s">
        <v>26</v>
      </c>
      <c r="AC11" t="s">
        <v>26</v>
      </c>
      <c r="AD11" t="s">
        <v>26</v>
      </c>
      <c r="AE11" t="s">
        <v>26</v>
      </c>
      <c r="AF11" t="s">
        <v>26</v>
      </c>
      <c r="AG11" t="s">
        <v>26</v>
      </c>
      <c r="AH11" t="s">
        <v>1529</v>
      </c>
      <c r="AI11" t="s">
        <v>26</v>
      </c>
      <c r="AJ11" t="s">
        <v>26</v>
      </c>
      <c r="AK11" t="s">
        <v>26</v>
      </c>
      <c r="AL11" t="s">
        <v>26</v>
      </c>
      <c r="AM11" t="s">
        <v>26</v>
      </c>
      <c r="AN11" s="44" t="s">
        <v>1523</v>
      </c>
      <c r="AO11">
        <v>883</v>
      </c>
    </row>
    <row r="12" spans="1:69">
      <c r="A12" s="101">
        <v>502.50799999999998</v>
      </c>
      <c r="B12" s="147" t="s">
        <v>2147</v>
      </c>
      <c r="C12" s="147"/>
      <c r="D12" s="147"/>
      <c r="E12" s="147"/>
      <c r="F12" s="147"/>
      <c r="G12" s="101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73"/>
      <c r="Z12" s="101">
        <v>4</v>
      </c>
      <c r="AA12" s="101" t="s">
        <v>2362</v>
      </c>
      <c r="AB12" s="101" t="s">
        <v>26</v>
      </c>
      <c r="AC12" s="101" t="s">
        <v>26</v>
      </c>
      <c r="AD12" s="101" t="s">
        <v>26</v>
      </c>
      <c r="AE12" s="101" t="s">
        <v>26</v>
      </c>
      <c r="AF12" s="101" t="s">
        <v>26</v>
      </c>
      <c r="AG12" s="101" t="s">
        <v>26</v>
      </c>
      <c r="AH12" s="101" t="s">
        <v>2361</v>
      </c>
      <c r="AI12" s="101" t="s">
        <v>26</v>
      </c>
      <c r="AJ12" s="101" t="s">
        <v>26</v>
      </c>
      <c r="AK12" s="101" t="s">
        <v>26</v>
      </c>
      <c r="AL12" s="101" t="s">
        <v>26</v>
      </c>
      <c r="AM12" s="101" t="s">
        <v>26</v>
      </c>
      <c r="AN12" s="166" t="s">
        <v>1523</v>
      </c>
      <c r="AO12" s="101">
        <v>1593</v>
      </c>
    </row>
    <row r="13" spans="1:69">
      <c r="A13" s="47"/>
      <c r="B13" s="26" t="s">
        <v>2147</v>
      </c>
      <c r="C13" s="26"/>
      <c r="D13" s="26"/>
      <c r="E13" s="26"/>
      <c r="F13" s="26"/>
      <c r="G13" s="27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39"/>
      <c r="Z13" s="27">
        <v>4</v>
      </c>
      <c r="AA13" t="s">
        <v>14</v>
      </c>
      <c r="AB13" t="s">
        <v>26</v>
      </c>
      <c r="AC13" t="s">
        <v>26</v>
      </c>
      <c r="AD13" t="s">
        <v>26</v>
      </c>
      <c r="AE13" t="s">
        <v>26</v>
      </c>
      <c r="AF13" t="s">
        <v>26</v>
      </c>
      <c r="AG13" t="s">
        <v>26</v>
      </c>
      <c r="AH13" t="s">
        <v>73</v>
      </c>
      <c r="AI13" t="s">
        <v>26</v>
      </c>
      <c r="AJ13" t="s">
        <v>26</v>
      </c>
      <c r="AK13" t="s">
        <v>26</v>
      </c>
      <c r="AL13" t="s">
        <v>26</v>
      </c>
      <c r="AM13" t="s">
        <v>26</v>
      </c>
      <c r="AN13" s="44" t="s">
        <v>1530</v>
      </c>
      <c r="AO13">
        <v>5</v>
      </c>
    </row>
    <row r="14" spans="1:69">
      <c r="A14" s="47"/>
      <c r="B14" s="26" t="s">
        <v>2147</v>
      </c>
      <c r="C14" s="26"/>
      <c r="D14" s="26"/>
      <c r="E14" s="26"/>
      <c r="F14" s="26"/>
      <c r="G14" s="27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39"/>
      <c r="Z14" s="27">
        <v>4</v>
      </c>
      <c r="AA14" t="s">
        <v>14</v>
      </c>
      <c r="AB14" t="s">
        <v>26</v>
      </c>
      <c r="AC14" t="s">
        <v>26</v>
      </c>
      <c r="AD14" t="s">
        <v>26</v>
      </c>
      <c r="AE14" t="s">
        <v>26</v>
      </c>
      <c r="AF14" t="s">
        <v>26</v>
      </c>
      <c r="AG14" t="s">
        <v>26</v>
      </c>
      <c r="AH14" t="s">
        <v>384</v>
      </c>
      <c r="AI14" t="s">
        <v>26</v>
      </c>
      <c r="AJ14" t="s">
        <v>26</v>
      </c>
      <c r="AK14" t="s">
        <v>26</v>
      </c>
      <c r="AL14" t="s">
        <v>26</v>
      </c>
      <c r="AM14" t="s">
        <v>26</v>
      </c>
      <c r="AN14" s="44" t="s">
        <v>1530</v>
      </c>
      <c r="AO14" t="s">
        <v>2</v>
      </c>
    </row>
    <row r="15" spans="1:69">
      <c r="A15" s="47"/>
      <c r="B15" s="26" t="s">
        <v>2147</v>
      </c>
      <c r="C15" s="26"/>
      <c r="D15" s="26"/>
      <c r="E15" s="26"/>
      <c r="F15" s="26"/>
      <c r="G15" s="27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39"/>
      <c r="Z15" s="27">
        <v>4</v>
      </c>
      <c r="AA15" t="s">
        <v>14</v>
      </c>
      <c r="AB15" t="s">
        <v>26</v>
      </c>
      <c r="AC15" t="s">
        <v>26</v>
      </c>
      <c r="AD15" t="s">
        <v>26</v>
      </c>
      <c r="AE15" t="s">
        <v>26</v>
      </c>
      <c r="AF15" t="s">
        <v>26</v>
      </c>
      <c r="AG15" t="s">
        <v>26</v>
      </c>
      <c r="AH15" t="s">
        <v>230</v>
      </c>
      <c r="AI15" t="s">
        <v>26</v>
      </c>
      <c r="AJ15" t="s">
        <v>26</v>
      </c>
      <c r="AK15" t="s">
        <v>26</v>
      </c>
      <c r="AL15" t="s">
        <v>26</v>
      </c>
      <c r="AM15" t="s">
        <v>26</v>
      </c>
      <c r="AN15" s="44" t="s">
        <v>1530</v>
      </c>
      <c r="AO15">
        <v>7</v>
      </c>
    </row>
    <row r="16" spans="1:69">
      <c r="A16" s="47"/>
      <c r="B16" s="26" t="s">
        <v>2147</v>
      </c>
      <c r="C16" s="26"/>
      <c r="D16" s="26"/>
      <c r="E16" s="26"/>
      <c r="F16" s="26"/>
      <c r="G16" s="27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39"/>
      <c r="Z16" s="27">
        <v>4</v>
      </c>
      <c r="AA16" t="s">
        <v>14</v>
      </c>
      <c r="AB16" t="s">
        <v>26</v>
      </c>
      <c r="AC16" t="s">
        <v>26</v>
      </c>
      <c r="AD16" t="s">
        <v>26</v>
      </c>
      <c r="AE16" t="s">
        <v>26</v>
      </c>
      <c r="AF16" t="s">
        <v>26</v>
      </c>
      <c r="AG16" t="s">
        <v>26</v>
      </c>
      <c r="AH16" t="s">
        <v>431</v>
      </c>
      <c r="AI16" t="s">
        <v>26</v>
      </c>
      <c r="AJ16" t="s">
        <v>26</v>
      </c>
      <c r="AK16" t="s">
        <v>26</v>
      </c>
      <c r="AL16" t="s">
        <v>26</v>
      </c>
      <c r="AM16" t="s">
        <v>26</v>
      </c>
      <c r="AN16" s="44" t="s">
        <v>1530</v>
      </c>
      <c r="AO16">
        <v>2</v>
      </c>
    </row>
    <row r="17" spans="1:41">
      <c r="A17" s="47"/>
      <c r="B17" s="26" t="s">
        <v>2147</v>
      </c>
      <c r="C17" s="26"/>
      <c r="D17" s="26"/>
      <c r="E17" s="26"/>
      <c r="F17" s="26"/>
      <c r="G17" s="27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39"/>
      <c r="Z17" s="27">
        <v>4</v>
      </c>
      <c r="AA17" t="s">
        <v>14</v>
      </c>
      <c r="AB17" t="s">
        <v>26</v>
      </c>
      <c r="AC17" t="s">
        <v>26</v>
      </c>
      <c r="AD17" t="s">
        <v>26</v>
      </c>
      <c r="AE17" t="s">
        <v>26</v>
      </c>
      <c r="AF17" t="s">
        <v>26</v>
      </c>
      <c r="AG17" t="s">
        <v>26</v>
      </c>
      <c r="AH17" t="s">
        <v>159</v>
      </c>
      <c r="AI17" t="s">
        <v>26</v>
      </c>
      <c r="AJ17" t="s">
        <v>26</v>
      </c>
      <c r="AK17" t="s">
        <v>26</v>
      </c>
      <c r="AL17" t="s">
        <v>26</v>
      </c>
      <c r="AM17" t="s">
        <v>26</v>
      </c>
      <c r="AN17" s="44" t="s">
        <v>1530</v>
      </c>
      <c r="AO17">
        <v>2</v>
      </c>
    </row>
    <row r="18" spans="1:41">
      <c r="A18" s="47"/>
      <c r="B18" s="26" t="s">
        <v>2147</v>
      </c>
      <c r="C18" s="41"/>
      <c r="D18" s="41"/>
      <c r="E18" s="41"/>
      <c r="F18" s="41"/>
      <c r="G18" s="27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2"/>
      <c r="Z18" s="27">
        <v>4</v>
      </c>
      <c r="AA18" t="s">
        <v>14</v>
      </c>
      <c r="AB18" t="s">
        <v>26</v>
      </c>
      <c r="AC18" t="s">
        <v>26</v>
      </c>
      <c r="AD18" t="s">
        <v>26</v>
      </c>
      <c r="AE18" t="s">
        <v>26</v>
      </c>
      <c r="AF18" t="s">
        <v>26</v>
      </c>
      <c r="AG18" t="s">
        <v>26</v>
      </c>
      <c r="AH18" t="s">
        <v>269</v>
      </c>
      <c r="AI18" t="s">
        <v>26</v>
      </c>
      <c r="AJ18" t="s">
        <v>26</v>
      </c>
      <c r="AK18" t="s">
        <v>26</v>
      </c>
      <c r="AL18" t="s">
        <v>26</v>
      </c>
      <c r="AM18" t="s">
        <v>26</v>
      </c>
      <c r="AN18" s="44" t="s">
        <v>1530</v>
      </c>
      <c r="AO18" t="s">
        <v>2</v>
      </c>
    </row>
    <row r="19" spans="1:41">
      <c r="A19" s="47"/>
      <c r="B19" s="26" t="s">
        <v>2147</v>
      </c>
      <c r="C19" s="26"/>
      <c r="D19" s="26"/>
      <c r="E19" s="26"/>
      <c r="F19" s="26"/>
      <c r="G19" s="27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39"/>
      <c r="Z19" s="27">
        <v>4</v>
      </c>
      <c r="AA19" t="s">
        <v>14</v>
      </c>
      <c r="AB19" t="s">
        <v>26</v>
      </c>
      <c r="AC19" t="s">
        <v>26</v>
      </c>
      <c r="AD19" t="s">
        <v>26</v>
      </c>
      <c r="AE19" t="s">
        <v>26</v>
      </c>
      <c r="AF19" t="s">
        <v>26</v>
      </c>
      <c r="AG19" t="s">
        <v>26</v>
      </c>
      <c r="AH19" t="s">
        <v>287</v>
      </c>
      <c r="AI19" t="s">
        <v>26</v>
      </c>
      <c r="AJ19" t="s">
        <v>26</v>
      </c>
      <c r="AK19" t="s">
        <v>26</v>
      </c>
      <c r="AL19" t="s">
        <v>26</v>
      </c>
      <c r="AM19" t="s">
        <v>26</v>
      </c>
      <c r="AN19" s="44" t="s">
        <v>1530</v>
      </c>
      <c r="AO19">
        <v>2</v>
      </c>
    </row>
    <row r="20" spans="1:41">
      <c r="A20" s="47"/>
      <c r="B20" s="26" t="s">
        <v>2147</v>
      </c>
      <c r="C20" s="26"/>
      <c r="D20" s="26"/>
      <c r="E20" s="26"/>
      <c r="F20" s="26"/>
      <c r="G20" s="27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39"/>
      <c r="Z20" s="27">
        <v>4</v>
      </c>
      <c r="AA20" t="s">
        <v>14</v>
      </c>
      <c r="AB20" t="s">
        <v>26</v>
      </c>
      <c r="AC20" t="s">
        <v>26</v>
      </c>
      <c r="AD20" t="s">
        <v>26</v>
      </c>
      <c r="AE20" t="s">
        <v>26</v>
      </c>
      <c r="AF20" t="s">
        <v>26</v>
      </c>
      <c r="AG20" t="s">
        <v>26</v>
      </c>
      <c r="AH20" t="s">
        <v>68</v>
      </c>
      <c r="AI20" t="s">
        <v>26</v>
      </c>
      <c r="AJ20" t="s">
        <v>26</v>
      </c>
      <c r="AK20" t="s">
        <v>26</v>
      </c>
      <c r="AL20" t="s">
        <v>26</v>
      </c>
      <c r="AM20" t="s">
        <v>26</v>
      </c>
      <c r="AN20" s="44" t="s">
        <v>1530</v>
      </c>
      <c r="AO20">
        <v>43</v>
      </c>
    </row>
    <row r="21" spans="1:41">
      <c r="A21" s="47"/>
      <c r="B21" s="26" t="s">
        <v>2147</v>
      </c>
      <c r="C21" s="26"/>
      <c r="D21" s="26"/>
      <c r="E21" s="26"/>
      <c r="F21" s="26"/>
      <c r="G21" s="27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39"/>
      <c r="Z21" s="27">
        <v>4</v>
      </c>
      <c r="AA21" t="s">
        <v>14</v>
      </c>
      <c r="AB21" t="s">
        <v>26</v>
      </c>
      <c r="AC21" t="s">
        <v>26</v>
      </c>
      <c r="AD21" t="s">
        <v>26</v>
      </c>
      <c r="AE21" t="s">
        <v>26</v>
      </c>
      <c r="AF21" t="s">
        <v>26</v>
      </c>
      <c r="AG21" t="s">
        <v>26</v>
      </c>
      <c r="AH21" t="s">
        <v>122</v>
      </c>
      <c r="AI21" t="s">
        <v>26</v>
      </c>
      <c r="AJ21" t="s">
        <v>26</v>
      </c>
      <c r="AK21" t="s">
        <v>26</v>
      </c>
      <c r="AL21" t="s">
        <v>26</v>
      </c>
      <c r="AM21" t="s">
        <v>26</v>
      </c>
      <c r="AN21" s="44" t="s">
        <v>1530</v>
      </c>
      <c r="AO21">
        <v>20</v>
      </c>
    </row>
    <row r="22" spans="1:41">
      <c r="A22" s="47"/>
      <c r="B22" s="26" t="s">
        <v>2147</v>
      </c>
      <c r="C22" s="26"/>
      <c r="D22" s="26"/>
      <c r="E22" s="26"/>
      <c r="F22" s="26"/>
      <c r="G22" s="27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39"/>
      <c r="Z22" s="27">
        <v>4</v>
      </c>
      <c r="AA22" t="s">
        <v>14</v>
      </c>
      <c r="AB22" t="s">
        <v>26</v>
      </c>
      <c r="AC22" t="s">
        <v>26</v>
      </c>
      <c r="AD22" t="s">
        <v>26</v>
      </c>
      <c r="AE22" t="s">
        <v>26</v>
      </c>
      <c r="AF22" t="s">
        <v>26</v>
      </c>
      <c r="AG22" t="s">
        <v>26</v>
      </c>
      <c r="AH22" t="s">
        <v>409</v>
      </c>
      <c r="AI22" t="s">
        <v>26</v>
      </c>
      <c r="AJ22" t="s">
        <v>26</v>
      </c>
      <c r="AK22" t="s">
        <v>26</v>
      </c>
      <c r="AL22" t="s">
        <v>26</v>
      </c>
      <c r="AM22" t="s">
        <v>26</v>
      </c>
      <c r="AN22" s="44" t="s">
        <v>1530</v>
      </c>
      <c r="AO22">
        <v>2</v>
      </c>
    </row>
    <row r="23" spans="1:41">
      <c r="A23" s="47"/>
      <c r="B23" s="26" t="s">
        <v>2147</v>
      </c>
      <c r="C23" s="26"/>
      <c r="D23" s="26"/>
      <c r="E23" s="26"/>
      <c r="F23" s="26"/>
      <c r="G23" s="27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39"/>
      <c r="Z23" s="27">
        <v>4</v>
      </c>
      <c r="AA23" t="s">
        <v>14</v>
      </c>
      <c r="AB23" t="s">
        <v>26</v>
      </c>
      <c r="AC23" t="s">
        <v>26</v>
      </c>
      <c r="AD23" t="s">
        <v>26</v>
      </c>
      <c r="AE23" t="s">
        <v>26</v>
      </c>
      <c r="AF23" t="s">
        <v>26</v>
      </c>
      <c r="AG23" t="s">
        <v>26</v>
      </c>
      <c r="AH23" t="s">
        <v>58</v>
      </c>
      <c r="AI23" t="s">
        <v>26</v>
      </c>
      <c r="AJ23" t="s">
        <v>26</v>
      </c>
      <c r="AK23" t="s">
        <v>26</v>
      </c>
      <c r="AL23" t="s">
        <v>26</v>
      </c>
      <c r="AM23" t="s">
        <v>26</v>
      </c>
      <c r="AN23" s="44" t="s">
        <v>1530</v>
      </c>
      <c r="AO23">
        <v>2</v>
      </c>
    </row>
    <row r="24" spans="1:41">
      <c r="A24" s="47"/>
      <c r="B24" s="26" t="s">
        <v>2147</v>
      </c>
      <c r="C24" s="26"/>
      <c r="D24" s="26"/>
      <c r="E24" s="26"/>
      <c r="F24" s="26"/>
      <c r="G24" s="27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39"/>
      <c r="Z24" s="27">
        <v>4</v>
      </c>
      <c r="AA24" t="s">
        <v>14</v>
      </c>
      <c r="AB24" t="s">
        <v>26</v>
      </c>
      <c r="AC24" t="s">
        <v>26</v>
      </c>
      <c r="AD24" t="s">
        <v>26</v>
      </c>
      <c r="AE24" t="s">
        <v>26</v>
      </c>
      <c r="AF24" t="s">
        <v>26</v>
      </c>
      <c r="AG24" t="s">
        <v>26</v>
      </c>
      <c r="AH24" t="s">
        <v>225</v>
      </c>
      <c r="AI24" t="s">
        <v>26</v>
      </c>
      <c r="AJ24" t="s">
        <v>26</v>
      </c>
      <c r="AK24" t="s">
        <v>26</v>
      </c>
      <c r="AL24" t="s">
        <v>26</v>
      </c>
      <c r="AM24" t="s">
        <v>26</v>
      </c>
      <c r="AN24" s="44" t="s">
        <v>1530</v>
      </c>
      <c r="AO24" t="s">
        <v>2</v>
      </c>
    </row>
    <row r="25" spans="1:41">
      <c r="A25" s="47"/>
      <c r="B25" s="26" t="s">
        <v>2147</v>
      </c>
      <c r="C25" s="26"/>
      <c r="D25" s="26"/>
      <c r="E25" s="26"/>
      <c r="F25" s="26"/>
      <c r="G25" s="27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39"/>
      <c r="Z25" s="27">
        <v>4</v>
      </c>
      <c r="AA25" t="s">
        <v>14</v>
      </c>
      <c r="AB25" t="s">
        <v>26</v>
      </c>
      <c r="AC25" t="s">
        <v>26</v>
      </c>
      <c r="AD25" t="s">
        <v>26</v>
      </c>
      <c r="AE25" t="s">
        <v>26</v>
      </c>
      <c r="AF25" t="s">
        <v>26</v>
      </c>
      <c r="AG25" t="s">
        <v>26</v>
      </c>
      <c r="AH25" t="s">
        <v>214</v>
      </c>
      <c r="AI25" t="s">
        <v>26</v>
      </c>
      <c r="AJ25" t="s">
        <v>26</v>
      </c>
      <c r="AK25" t="s">
        <v>26</v>
      </c>
      <c r="AL25" t="s">
        <v>26</v>
      </c>
      <c r="AM25" t="s">
        <v>26</v>
      </c>
      <c r="AN25" s="44" t="s">
        <v>1530</v>
      </c>
      <c r="AO25">
        <v>8</v>
      </c>
    </row>
    <row r="26" spans="1:41">
      <c r="A26" s="47"/>
      <c r="B26" s="26" t="s">
        <v>2147</v>
      </c>
      <c r="C26" s="26"/>
      <c r="D26" s="26"/>
      <c r="E26" s="26"/>
      <c r="F26" s="26"/>
      <c r="G26" s="27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39"/>
      <c r="Z26" s="27">
        <v>4</v>
      </c>
      <c r="AA26" t="s">
        <v>14</v>
      </c>
      <c r="AB26" t="s">
        <v>26</v>
      </c>
      <c r="AC26" t="s">
        <v>26</v>
      </c>
      <c r="AD26" t="s">
        <v>26</v>
      </c>
      <c r="AE26" t="s">
        <v>26</v>
      </c>
      <c r="AF26" t="s">
        <v>26</v>
      </c>
      <c r="AG26" t="s">
        <v>26</v>
      </c>
      <c r="AH26" t="s">
        <v>321</v>
      </c>
      <c r="AI26" t="s">
        <v>26</v>
      </c>
      <c r="AJ26" t="s">
        <v>26</v>
      </c>
      <c r="AK26" t="s">
        <v>26</v>
      </c>
      <c r="AL26" t="s">
        <v>26</v>
      </c>
      <c r="AM26" t="s">
        <v>26</v>
      </c>
      <c r="AN26" s="44" t="s">
        <v>1530</v>
      </c>
      <c r="AO26">
        <v>6</v>
      </c>
    </row>
    <row r="27" spans="1:41">
      <c r="A27" s="47"/>
      <c r="B27" s="26" t="s">
        <v>2147</v>
      </c>
      <c r="C27" s="26"/>
      <c r="D27" s="26"/>
      <c r="E27" s="26"/>
      <c r="F27" s="26"/>
      <c r="G27" s="27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39"/>
      <c r="Z27" s="27">
        <v>4</v>
      </c>
      <c r="AA27" t="s">
        <v>14</v>
      </c>
      <c r="AB27" t="s">
        <v>26</v>
      </c>
      <c r="AC27" t="s">
        <v>26</v>
      </c>
      <c r="AD27" t="s">
        <v>26</v>
      </c>
      <c r="AE27" t="s">
        <v>26</v>
      </c>
      <c r="AF27" t="s">
        <v>26</v>
      </c>
      <c r="AG27" t="s">
        <v>26</v>
      </c>
      <c r="AH27" t="s">
        <v>304</v>
      </c>
      <c r="AI27" t="s">
        <v>26</v>
      </c>
      <c r="AJ27" t="s">
        <v>26</v>
      </c>
      <c r="AK27" t="s">
        <v>26</v>
      </c>
      <c r="AL27" t="s">
        <v>26</v>
      </c>
      <c r="AM27" t="s">
        <v>26</v>
      </c>
      <c r="AN27" s="44" t="s">
        <v>1530</v>
      </c>
      <c r="AO27">
        <v>3</v>
      </c>
    </row>
    <row r="28" spans="1:41">
      <c r="A28" s="47"/>
      <c r="B28" s="26" t="s">
        <v>2147</v>
      </c>
      <c r="C28" s="26"/>
      <c r="D28" s="26"/>
      <c r="E28" s="26"/>
      <c r="F28" s="26"/>
      <c r="G28" s="27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39"/>
      <c r="Z28" s="27">
        <v>4</v>
      </c>
      <c r="AA28" t="s">
        <v>14</v>
      </c>
      <c r="AB28" t="s">
        <v>26</v>
      </c>
      <c r="AC28" t="s">
        <v>26</v>
      </c>
      <c r="AD28" t="s">
        <v>26</v>
      </c>
      <c r="AE28" t="s">
        <v>26</v>
      </c>
      <c r="AF28" t="s">
        <v>26</v>
      </c>
      <c r="AG28" t="s">
        <v>26</v>
      </c>
      <c r="AH28" t="s">
        <v>224</v>
      </c>
      <c r="AI28" t="s">
        <v>26</v>
      </c>
      <c r="AJ28" t="s">
        <v>26</v>
      </c>
      <c r="AK28" t="s">
        <v>26</v>
      </c>
      <c r="AL28" t="s">
        <v>26</v>
      </c>
      <c r="AM28" t="s">
        <v>26</v>
      </c>
      <c r="AN28" s="44" t="s">
        <v>1530</v>
      </c>
      <c r="AO28">
        <v>4</v>
      </c>
    </row>
    <row r="29" spans="1:41">
      <c r="A29" s="47"/>
      <c r="B29" s="26" t="s">
        <v>2147</v>
      </c>
      <c r="C29" s="26"/>
      <c r="D29" s="26"/>
      <c r="E29" s="26"/>
      <c r="F29" s="26"/>
      <c r="G29" s="27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39"/>
      <c r="Z29" s="27">
        <v>4</v>
      </c>
      <c r="AA29" t="s">
        <v>14</v>
      </c>
      <c r="AB29" t="s">
        <v>26</v>
      </c>
      <c r="AC29" t="s">
        <v>26</v>
      </c>
      <c r="AD29" t="s">
        <v>26</v>
      </c>
      <c r="AE29" t="s">
        <v>26</v>
      </c>
      <c r="AF29" t="s">
        <v>26</v>
      </c>
      <c r="AG29" t="s">
        <v>26</v>
      </c>
      <c r="AH29" t="s">
        <v>155</v>
      </c>
      <c r="AI29" t="s">
        <v>26</v>
      </c>
      <c r="AJ29" t="s">
        <v>26</v>
      </c>
      <c r="AK29" t="s">
        <v>26</v>
      </c>
      <c r="AL29" t="s">
        <v>26</v>
      </c>
      <c r="AM29" t="s">
        <v>26</v>
      </c>
      <c r="AN29" s="44" t="s">
        <v>1530</v>
      </c>
      <c r="AO29" t="s">
        <v>2</v>
      </c>
    </row>
    <row r="30" spans="1:41">
      <c r="A30" s="47"/>
      <c r="B30" s="26" t="s">
        <v>2147</v>
      </c>
      <c r="C30" s="26"/>
      <c r="D30" s="26"/>
      <c r="E30" s="26"/>
      <c r="F30" s="26"/>
      <c r="G30" s="27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39"/>
      <c r="Z30" s="27">
        <v>4</v>
      </c>
      <c r="AA30" t="s">
        <v>14</v>
      </c>
      <c r="AB30" t="s">
        <v>26</v>
      </c>
      <c r="AC30" t="s">
        <v>26</v>
      </c>
      <c r="AD30" t="s">
        <v>26</v>
      </c>
      <c r="AE30" t="s">
        <v>26</v>
      </c>
      <c r="AF30" t="s">
        <v>26</v>
      </c>
      <c r="AG30" t="s">
        <v>26</v>
      </c>
      <c r="AH30" t="s">
        <v>342</v>
      </c>
      <c r="AI30" t="s">
        <v>26</v>
      </c>
      <c r="AJ30" t="s">
        <v>26</v>
      </c>
      <c r="AK30" t="s">
        <v>26</v>
      </c>
      <c r="AL30" t="s">
        <v>26</v>
      </c>
      <c r="AM30" t="s">
        <v>26</v>
      </c>
      <c r="AN30" s="44" t="s">
        <v>1530</v>
      </c>
      <c r="AO30">
        <v>11</v>
      </c>
    </row>
    <row r="31" spans="1:41">
      <c r="A31" s="47"/>
      <c r="B31" s="26" t="s">
        <v>2147</v>
      </c>
      <c r="C31" s="26"/>
      <c r="D31" s="26"/>
      <c r="E31" s="26"/>
      <c r="F31" s="26"/>
      <c r="G31" s="27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39"/>
      <c r="Z31" s="27">
        <v>4</v>
      </c>
      <c r="AA31" t="s">
        <v>14</v>
      </c>
      <c r="AB31" t="s">
        <v>26</v>
      </c>
      <c r="AC31" t="s">
        <v>26</v>
      </c>
      <c r="AD31" t="s">
        <v>26</v>
      </c>
      <c r="AE31" t="s">
        <v>26</v>
      </c>
      <c r="AF31" t="s">
        <v>26</v>
      </c>
      <c r="AG31" t="s">
        <v>26</v>
      </c>
      <c r="AH31" t="s">
        <v>243</v>
      </c>
      <c r="AI31" t="s">
        <v>26</v>
      </c>
      <c r="AJ31" t="s">
        <v>26</v>
      </c>
      <c r="AK31" t="s">
        <v>26</v>
      </c>
      <c r="AL31" t="s">
        <v>26</v>
      </c>
      <c r="AM31" t="s">
        <v>26</v>
      </c>
      <c r="AN31" s="44" t="s">
        <v>1530</v>
      </c>
      <c r="AO31">
        <v>14</v>
      </c>
    </row>
    <row r="32" spans="1:41">
      <c r="A32" s="47"/>
      <c r="B32" s="26" t="s">
        <v>2147</v>
      </c>
      <c r="C32" s="26"/>
      <c r="D32" s="26"/>
      <c r="E32" s="26"/>
      <c r="F32" s="26"/>
      <c r="G32" s="27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39"/>
      <c r="Z32" s="27">
        <v>4</v>
      </c>
      <c r="AA32" t="s">
        <v>14</v>
      </c>
      <c r="AB32" t="s">
        <v>26</v>
      </c>
      <c r="AC32" t="s">
        <v>26</v>
      </c>
      <c r="AD32" t="s">
        <v>26</v>
      </c>
      <c r="AE32" t="s">
        <v>26</v>
      </c>
      <c r="AF32" t="s">
        <v>26</v>
      </c>
      <c r="AG32" t="s">
        <v>26</v>
      </c>
      <c r="AH32" t="s">
        <v>111</v>
      </c>
      <c r="AI32" t="s">
        <v>26</v>
      </c>
      <c r="AJ32" t="s">
        <v>26</v>
      </c>
      <c r="AK32" t="s">
        <v>26</v>
      </c>
      <c r="AL32" t="s">
        <v>26</v>
      </c>
      <c r="AM32" t="s">
        <v>26</v>
      </c>
      <c r="AN32" s="44" t="s">
        <v>1530</v>
      </c>
      <c r="AO32">
        <v>12</v>
      </c>
    </row>
    <row r="33" spans="1:41">
      <c r="A33" s="47"/>
      <c r="B33" s="26" t="s">
        <v>2147</v>
      </c>
      <c r="C33" s="26"/>
      <c r="D33" s="26"/>
      <c r="E33" s="26"/>
      <c r="F33" s="26"/>
      <c r="G33" s="27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39"/>
      <c r="Z33" s="27">
        <v>4</v>
      </c>
      <c r="AA33" t="s">
        <v>14</v>
      </c>
      <c r="AB33" t="s">
        <v>26</v>
      </c>
      <c r="AC33" t="s">
        <v>26</v>
      </c>
      <c r="AD33" t="s">
        <v>26</v>
      </c>
      <c r="AE33" t="s">
        <v>26</v>
      </c>
      <c r="AF33" t="s">
        <v>26</v>
      </c>
      <c r="AG33" t="s">
        <v>26</v>
      </c>
      <c r="AH33" t="s">
        <v>364</v>
      </c>
      <c r="AI33" t="s">
        <v>26</v>
      </c>
      <c r="AJ33" t="s">
        <v>26</v>
      </c>
      <c r="AK33" t="s">
        <v>26</v>
      </c>
      <c r="AL33" t="s">
        <v>26</v>
      </c>
      <c r="AM33" t="s">
        <v>26</v>
      </c>
      <c r="AN33" s="44" t="s">
        <v>1530</v>
      </c>
      <c r="AO33" t="s">
        <v>2</v>
      </c>
    </row>
    <row r="34" spans="1:41">
      <c r="A34" s="47"/>
      <c r="B34" s="26" t="s">
        <v>2147</v>
      </c>
      <c r="C34" s="26"/>
      <c r="D34" s="26"/>
      <c r="E34" s="26"/>
      <c r="F34" s="26"/>
      <c r="G34" s="27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39"/>
      <c r="Z34" s="27">
        <v>4</v>
      </c>
      <c r="AA34" t="s">
        <v>14</v>
      </c>
      <c r="AB34" t="s">
        <v>26</v>
      </c>
      <c r="AC34" t="s">
        <v>26</v>
      </c>
      <c r="AD34" t="s">
        <v>26</v>
      </c>
      <c r="AE34" t="s">
        <v>26</v>
      </c>
      <c r="AF34" t="s">
        <v>26</v>
      </c>
      <c r="AG34" t="s">
        <v>26</v>
      </c>
      <c r="AH34" t="s">
        <v>59</v>
      </c>
      <c r="AI34" t="s">
        <v>26</v>
      </c>
      <c r="AJ34" t="s">
        <v>26</v>
      </c>
      <c r="AK34" t="s">
        <v>26</v>
      </c>
      <c r="AL34" t="s">
        <v>26</v>
      </c>
      <c r="AM34" t="s">
        <v>26</v>
      </c>
      <c r="AN34" s="44" t="s">
        <v>1530</v>
      </c>
      <c r="AO34">
        <v>2</v>
      </c>
    </row>
    <row r="35" spans="1:41">
      <c r="A35" s="47"/>
      <c r="B35" s="26" t="s">
        <v>2147</v>
      </c>
      <c r="C35" s="26"/>
      <c r="D35" s="26"/>
      <c r="E35" s="26"/>
      <c r="F35" s="26"/>
      <c r="G35" s="27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39"/>
      <c r="Z35" s="27">
        <v>4</v>
      </c>
      <c r="AA35" t="s">
        <v>14</v>
      </c>
      <c r="AB35" t="s">
        <v>26</v>
      </c>
      <c r="AC35" t="s">
        <v>26</v>
      </c>
      <c r="AD35" t="s">
        <v>26</v>
      </c>
      <c r="AE35" t="s">
        <v>26</v>
      </c>
      <c r="AF35" t="s">
        <v>26</v>
      </c>
      <c r="AG35" t="s">
        <v>26</v>
      </c>
      <c r="AH35" t="s">
        <v>37</v>
      </c>
      <c r="AI35" t="s">
        <v>26</v>
      </c>
      <c r="AJ35" t="s">
        <v>26</v>
      </c>
      <c r="AK35" t="s">
        <v>26</v>
      </c>
      <c r="AL35" t="s">
        <v>26</v>
      </c>
      <c r="AM35" t="s">
        <v>26</v>
      </c>
      <c r="AN35" s="44" t="s">
        <v>1530</v>
      </c>
      <c r="AO35">
        <v>4</v>
      </c>
    </row>
    <row r="36" spans="1:41">
      <c r="A36" s="47"/>
      <c r="B36" s="26" t="s">
        <v>2147</v>
      </c>
      <c r="C36" s="26"/>
      <c r="D36" s="26"/>
      <c r="E36" s="26"/>
      <c r="F36" s="26"/>
      <c r="G36" s="27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39"/>
      <c r="Z36" s="27">
        <v>4</v>
      </c>
      <c r="AA36" t="s">
        <v>14</v>
      </c>
      <c r="AB36" t="s">
        <v>26</v>
      </c>
      <c r="AC36" t="s">
        <v>26</v>
      </c>
      <c r="AD36" t="s">
        <v>26</v>
      </c>
      <c r="AE36" t="s">
        <v>26</v>
      </c>
      <c r="AF36" t="s">
        <v>26</v>
      </c>
      <c r="AG36" t="s">
        <v>26</v>
      </c>
      <c r="AH36" t="s">
        <v>31</v>
      </c>
      <c r="AI36" t="s">
        <v>26</v>
      </c>
      <c r="AJ36" t="s">
        <v>26</v>
      </c>
      <c r="AK36" t="s">
        <v>26</v>
      </c>
      <c r="AL36" t="s">
        <v>26</v>
      </c>
      <c r="AM36" t="s">
        <v>26</v>
      </c>
      <c r="AN36" s="44" t="s">
        <v>1530</v>
      </c>
      <c r="AO36">
        <v>4</v>
      </c>
    </row>
    <row r="37" spans="1:41">
      <c r="A37" s="47"/>
      <c r="B37" s="26" t="s">
        <v>2147</v>
      </c>
      <c r="C37" s="26"/>
      <c r="D37" s="26"/>
      <c r="E37" s="26"/>
      <c r="F37" s="26"/>
      <c r="G37" s="27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39"/>
      <c r="Z37" s="27">
        <v>4</v>
      </c>
      <c r="AA37" t="s">
        <v>14</v>
      </c>
      <c r="AB37" t="s">
        <v>26</v>
      </c>
      <c r="AC37" t="s">
        <v>26</v>
      </c>
      <c r="AD37" t="s">
        <v>26</v>
      </c>
      <c r="AE37" t="s">
        <v>26</v>
      </c>
      <c r="AF37" t="s">
        <v>26</v>
      </c>
      <c r="AG37" t="s">
        <v>26</v>
      </c>
      <c r="AH37" t="s">
        <v>286</v>
      </c>
      <c r="AI37" t="s">
        <v>26</v>
      </c>
      <c r="AJ37" t="s">
        <v>26</v>
      </c>
      <c r="AK37" t="s">
        <v>26</v>
      </c>
      <c r="AL37" t="s">
        <v>26</v>
      </c>
      <c r="AM37" t="s">
        <v>26</v>
      </c>
      <c r="AN37" s="44" t="s">
        <v>1530</v>
      </c>
      <c r="AO37">
        <v>2</v>
      </c>
    </row>
    <row r="38" spans="1:41">
      <c r="A38" s="47"/>
      <c r="B38" s="26" t="s">
        <v>2147</v>
      </c>
      <c r="C38" s="26"/>
      <c r="D38" s="26" t="s">
        <v>2148</v>
      </c>
      <c r="E38" s="26"/>
      <c r="F38" s="26"/>
      <c r="G38" s="27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 t="s">
        <v>2150</v>
      </c>
      <c r="Z38" s="27">
        <v>3</v>
      </c>
      <c r="AA38" t="s">
        <v>1531</v>
      </c>
      <c r="AB38" t="s">
        <v>261</v>
      </c>
      <c r="AC38" t="s">
        <v>26</v>
      </c>
      <c r="AD38" t="s">
        <v>64</v>
      </c>
      <c r="AE38" t="s">
        <v>64</v>
      </c>
      <c r="AF38" t="s">
        <v>262</v>
      </c>
      <c r="AG38" t="s">
        <v>263</v>
      </c>
      <c r="AH38" t="s">
        <v>1532</v>
      </c>
      <c r="AI38" t="s">
        <v>1533</v>
      </c>
      <c r="AJ38" t="s">
        <v>26</v>
      </c>
      <c r="AK38" t="s">
        <v>1534</v>
      </c>
      <c r="AL38" t="s">
        <v>1535</v>
      </c>
      <c r="AM38" t="s">
        <v>26</v>
      </c>
      <c r="AN38" s="44" t="s">
        <v>1530</v>
      </c>
      <c r="AO38" t="s">
        <v>2</v>
      </c>
    </row>
    <row r="39" spans="1:41">
      <c r="A39" s="47"/>
      <c r="B39" s="26" t="s">
        <v>2147</v>
      </c>
      <c r="C39" s="26"/>
      <c r="D39" s="26" t="s">
        <v>2148</v>
      </c>
      <c r="E39" s="26"/>
      <c r="F39" s="26"/>
      <c r="G39" s="27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 t="s">
        <v>2150</v>
      </c>
      <c r="Z39" s="27">
        <v>3</v>
      </c>
      <c r="AA39" t="s">
        <v>1536</v>
      </c>
      <c r="AB39" t="s">
        <v>91</v>
      </c>
      <c r="AC39" t="s">
        <v>26</v>
      </c>
      <c r="AD39" t="s">
        <v>64</v>
      </c>
      <c r="AE39" t="s">
        <v>64</v>
      </c>
      <c r="AF39" t="s">
        <v>92</v>
      </c>
      <c r="AG39" t="s">
        <v>93</v>
      </c>
      <c r="AH39" t="s">
        <v>1537</v>
      </c>
      <c r="AI39" t="s">
        <v>1533</v>
      </c>
      <c r="AJ39" t="s">
        <v>26</v>
      </c>
      <c r="AK39" t="s">
        <v>1538</v>
      </c>
      <c r="AL39" t="s">
        <v>1535</v>
      </c>
      <c r="AM39" t="s">
        <v>26</v>
      </c>
      <c r="AN39" s="44" t="s">
        <v>1530</v>
      </c>
      <c r="AO39" t="s">
        <v>2</v>
      </c>
    </row>
    <row r="40" spans="1:41">
      <c r="A40" s="47"/>
      <c r="B40" s="26" t="s">
        <v>2147</v>
      </c>
      <c r="C40" s="26"/>
      <c r="D40" s="26" t="s">
        <v>2148</v>
      </c>
      <c r="E40" s="26"/>
      <c r="F40" s="26"/>
      <c r="G40" s="27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 t="s">
        <v>2150</v>
      </c>
      <c r="Z40" s="27">
        <v>3</v>
      </c>
      <c r="AA40" t="s">
        <v>1539</v>
      </c>
      <c r="AB40" t="s">
        <v>119</v>
      </c>
      <c r="AC40" t="s">
        <v>26</v>
      </c>
      <c r="AD40" t="s">
        <v>64</v>
      </c>
      <c r="AE40" t="s">
        <v>64</v>
      </c>
      <c r="AF40" t="s">
        <v>120</v>
      </c>
      <c r="AG40" t="s">
        <v>121</v>
      </c>
      <c r="AH40" t="s">
        <v>1540</v>
      </c>
      <c r="AI40" t="s">
        <v>1533</v>
      </c>
      <c r="AJ40" t="s">
        <v>26</v>
      </c>
      <c r="AK40" t="s">
        <v>1541</v>
      </c>
      <c r="AL40" t="s">
        <v>1535</v>
      </c>
      <c r="AM40" t="s">
        <v>26</v>
      </c>
      <c r="AN40" s="44" t="s">
        <v>1530</v>
      </c>
      <c r="AO40" t="s">
        <v>2</v>
      </c>
    </row>
    <row r="41" spans="1:41">
      <c r="A41" s="47"/>
      <c r="B41" s="26" t="s">
        <v>2147</v>
      </c>
      <c r="C41" s="26"/>
      <c r="D41" s="26" t="s">
        <v>2148</v>
      </c>
      <c r="E41" s="26"/>
      <c r="F41" s="26"/>
      <c r="G41" s="27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 t="s">
        <v>2150</v>
      </c>
      <c r="Z41" s="27">
        <v>3</v>
      </c>
      <c r="AA41" t="s">
        <v>1542</v>
      </c>
      <c r="AB41" t="s">
        <v>65</v>
      </c>
      <c r="AC41" t="s">
        <v>26</v>
      </c>
      <c r="AD41" t="s">
        <v>64</v>
      </c>
      <c r="AE41" t="s">
        <v>64</v>
      </c>
      <c r="AF41" t="s">
        <v>66</v>
      </c>
      <c r="AG41" t="s">
        <v>67</v>
      </c>
      <c r="AH41" t="s">
        <v>1543</v>
      </c>
      <c r="AI41" t="s">
        <v>1533</v>
      </c>
      <c r="AJ41" t="s">
        <v>26</v>
      </c>
      <c r="AK41" t="s">
        <v>1544</v>
      </c>
      <c r="AL41" t="s">
        <v>1535</v>
      </c>
      <c r="AM41" t="s">
        <v>26</v>
      </c>
      <c r="AN41" s="44" t="s">
        <v>1530</v>
      </c>
      <c r="AO41" t="s">
        <v>2</v>
      </c>
    </row>
    <row r="42" spans="1:41">
      <c r="A42" s="47"/>
      <c r="B42" s="26" t="s">
        <v>2147</v>
      </c>
      <c r="C42" s="26"/>
      <c r="D42" s="26" t="s">
        <v>2148</v>
      </c>
      <c r="E42" s="26"/>
      <c r="F42" s="26"/>
      <c r="G42" s="27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 t="s">
        <v>2150</v>
      </c>
      <c r="Z42" s="27">
        <v>3</v>
      </c>
      <c r="AA42" t="s">
        <v>1531</v>
      </c>
      <c r="AB42" t="s">
        <v>143</v>
      </c>
      <c r="AC42" t="s">
        <v>26</v>
      </c>
      <c r="AD42" t="s">
        <v>69</v>
      </c>
      <c r="AE42" t="s">
        <v>69</v>
      </c>
      <c r="AF42" t="s">
        <v>144</v>
      </c>
      <c r="AG42" t="s">
        <v>145</v>
      </c>
      <c r="AH42" t="s">
        <v>1532</v>
      </c>
      <c r="AI42" t="s">
        <v>1533</v>
      </c>
      <c r="AJ42" t="s">
        <v>26</v>
      </c>
      <c r="AK42" t="s">
        <v>1534</v>
      </c>
      <c r="AL42" t="s">
        <v>1545</v>
      </c>
      <c r="AM42" t="s">
        <v>26</v>
      </c>
      <c r="AN42" s="44" t="s">
        <v>1530</v>
      </c>
      <c r="AO42" t="s">
        <v>2</v>
      </c>
    </row>
    <row r="43" spans="1:41">
      <c r="A43" s="47"/>
      <c r="B43" s="26" t="s">
        <v>2147</v>
      </c>
      <c r="C43" s="26"/>
      <c r="D43" s="26" t="s">
        <v>2148</v>
      </c>
      <c r="E43" s="26"/>
      <c r="F43" s="26"/>
      <c r="G43" s="27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 t="s">
        <v>2150</v>
      </c>
      <c r="Z43" s="27">
        <v>3</v>
      </c>
      <c r="AA43" t="s">
        <v>1536</v>
      </c>
      <c r="AB43" t="s">
        <v>231</v>
      </c>
      <c r="AC43" t="s">
        <v>26</v>
      </c>
      <c r="AD43" t="s">
        <v>69</v>
      </c>
      <c r="AE43" t="s">
        <v>69</v>
      </c>
      <c r="AF43" t="s">
        <v>232</v>
      </c>
      <c r="AG43" t="s">
        <v>233</v>
      </c>
      <c r="AH43" t="s">
        <v>1537</v>
      </c>
      <c r="AI43" t="s">
        <v>1533</v>
      </c>
      <c r="AJ43" t="s">
        <v>26</v>
      </c>
      <c r="AK43" t="s">
        <v>1538</v>
      </c>
      <c r="AL43" t="s">
        <v>1545</v>
      </c>
      <c r="AM43" t="s">
        <v>26</v>
      </c>
      <c r="AN43" s="44" t="s">
        <v>1530</v>
      </c>
      <c r="AO43" t="s">
        <v>2</v>
      </c>
    </row>
    <row r="44" spans="1:41">
      <c r="A44" s="47"/>
      <c r="B44" s="26" t="s">
        <v>2147</v>
      </c>
      <c r="C44" s="26"/>
      <c r="D44" s="26" t="s">
        <v>2148</v>
      </c>
      <c r="E44" s="26"/>
      <c r="F44" s="26"/>
      <c r="G44" s="27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 t="s">
        <v>2150</v>
      </c>
      <c r="Z44" s="27">
        <v>3</v>
      </c>
      <c r="AA44" t="s">
        <v>1542</v>
      </c>
      <c r="AB44" t="s">
        <v>70</v>
      </c>
      <c r="AC44" t="s">
        <v>26</v>
      </c>
      <c r="AD44" t="s">
        <v>69</v>
      </c>
      <c r="AE44" t="s">
        <v>69</v>
      </c>
      <c r="AF44" t="s">
        <v>71</v>
      </c>
      <c r="AG44" t="s">
        <v>72</v>
      </c>
      <c r="AH44" t="s">
        <v>1543</v>
      </c>
      <c r="AI44" t="s">
        <v>1533</v>
      </c>
      <c r="AJ44" t="s">
        <v>26</v>
      </c>
      <c r="AK44" t="s">
        <v>1544</v>
      </c>
      <c r="AL44" t="s">
        <v>1545</v>
      </c>
      <c r="AM44" t="s">
        <v>26</v>
      </c>
      <c r="AN44" s="44" t="s">
        <v>1530</v>
      </c>
      <c r="AO44" t="s">
        <v>2</v>
      </c>
    </row>
    <row r="45" spans="1:41">
      <c r="A45" s="47"/>
      <c r="B45" s="26" t="s">
        <v>2147</v>
      </c>
      <c r="C45" s="26"/>
      <c r="D45" s="26" t="s">
        <v>2148</v>
      </c>
      <c r="E45" s="26"/>
      <c r="F45" s="26"/>
      <c r="G45" s="27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 t="s">
        <v>2150</v>
      </c>
      <c r="Z45" s="27">
        <v>3</v>
      </c>
      <c r="AA45" t="s">
        <v>1539</v>
      </c>
      <c r="AB45" t="s">
        <v>128</v>
      </c>
      <c r="AC45" t="s">
        <v>26</v>
      </c>
      <c r="AD45" t="s">
        <v>69</v>
      </c>
      <c r="AE45" t="s">
        <v>127</v>
      </c>
      <c r="AF45" t="s">
        <v>129</v>
      </c>
      <c r="AG45" t="s">
        <v>130</v>
      </c>
      <c r="AH45" t="s">
        <v>1540</v>
      </c>
      <c r="AI45" t="s">
        <v>1533</v>
      </c>
      <c r="AJ45" t="s">
        <v>26</v>
      </c>
      <c r="AK45" t="s">
        <v>1541</v>
      </c>
      <c r="AL45" t="s">
        <v>1545</v>
      </c>
      <c r="AM45" t="s">
        <v>26</v>
      </c>
      <c r="AN45" s="44" t="s">
        <v>1530</v>
      </c>
      <c r="AO45" t="s">
        <v>2</v>
      </c>
    </row>
    <row r="46" spans="1:41">
      <c r="A46" s="47"/>
      <c r="B46" s="26" t="s">
        <v>2147</v>
      </c>
      <c r="C46" s="26"/>
      <c r="D46" s="26" t="s">
        <v>2148</v>
      </c>
      <c r="E46" s="26"/>
      <c r="F46" s="26"/>
      <c r="G46" s="27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 t="s">
        <v>2150</v>
      </c>
      <c r="Z46" s="27">
        <v>3</v>
      </c>
      <c r="AA46" t="s">
        <v>1531</v>
      </c>
      <c r="AB46" t="s">
        <v>164</v>
      </c>
      <c r="AC46" t="s">
        <v>26</v>
      </c>
      <c r="AD46" t="s">
        <v>131</v>
      </c>
      <c r="AE46" t="s">
        <v>131</v>
      </c>
      <c r="AF46" t="s">
        <v>165</v>
      </c>
      <c r="AG46" t="s">
        <v>166</v>
      </c>
      <c r="AH46" t="s">
        <v>1532</v>
      </c>
      <c r="AI46" t="s">
        <v>1533</v>
      </c>
      <c r="AJ46" t="s">
        <v>26</v>
      </c>
      <c r="AK46" t="s">
        <v>1534</v>
      </c>
      <c r="AL46" t="s">
        <v>1546</v>
      </c>
      <c r="AM46" t="s">
        <v>26</v>
      </c>
      <c r="AN46" s="44" t="s">
        <v>1530</v>
      </c>
      <c r="AO46" t="s">
        <v>2</v>
      </c>
    </row>
    <row r="47" spans="1:41">
      <c r="A47" s="47"/>
      <c r="B47" s="26" t="s">
        <v>2147</v>
      </c>
      <c r="C47" s="26"/>
      <c r="D47" s="26" t="s">
        <v>2148</v>
      </c>
      <c r="E47" s="26"/>
      <c r="F47" s="26"/>
      <c r="G47" s="27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 t="s">
        <v>2150</v>
      </c>
      <c r="Z47" s="27">
        <v>3</v>
      </c>
      <c r="AA47" t="s">
        <v>1542</v>
      </c>
      <c r="AB47" t="s">
        <v>132</v>
      </c>
      <c r="AC47" t="s">
        <v>26</v>
      </c>
      <c r="AD47" t="s">
        <v>131</v>
      </c>
      <c r="AE47" t="s">
        <v>131</v>
      </c>
      <c r="AF47" t="s">
        <v>133</v>
      </c>
      <c r="AG47" t="s">
        <v>134</v>
      </c>
      <c r="AH47" t="s">
        <v>1543</v>
      </c>
      <c r="AI47" t="s">
        <v>1533</v>
      </c>
      <c r="AJ47" t="s">
        <v>26</v>
      </c>
      <c r="AK47" t="s">
        <v>1544</v>
      </c>
      <c r="AL47" t="s">
        <v>1546</v>
      </c>
      <c r="AM47" t="s">
        <v>26</v>
      </c>
      <c r="AN47" s="44" t="s">
        <v>1530</v>
      </c>
      <c r="AO47" t="s">
        <v>2</v>
      </c>
    </row>
    <row r="48" spans="1:41">
      <c r="A48" s="47"/>
      <c r="B48" s="26" t="s">
        <v>2147</v>
      </c>
      <c r="C48" s="26"/>
      <c r="D48" s="26" t="s">
        <v>2148</v>
      </c>
      <c r="E48" s="26"/>
      <c r="F48" s="26"/>
      <c r="G48" s="27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 t="s">
        <v>2150</v>
      </c>
      <c r="Z48" s="27">
        <v>3</v>
      </c>
      <c r="AA48" t="s">
        <v>1539</v>
      </c>
      <c r="AB48" t="s">
        <v>189</v>
      </c>
      <c r="AC48" t="s">
        <v>26</v>
      </c>
      <c r="AD48" t="s">
        <v>131</v>
      </c>
      <c r="AE48" t="s">
        <v>131</v>
      </c>
      <c r="AF48" t="s">
        <v>190</v>
      </c>
      <c r="AG48" t="s">
        <v>191</v>
      </c>
      <c r="AH48" t="s">
        <v>1540</v>
      </c>
      <c r="AI48" t="s">
        <v>1533</v>
      </c>
      <c r="AJ48" t="s">
        <v>26</v>
      </c>
      <c r="AK48" t="s">
        <v>1541</v>
      </c>
      <c r="AL48" t="s">
        <v>1546</v>
      </c>
      <c r="AM48" t="s">
        <v>26</v>
      </c>
      <c r="AN48" s="44" t="s">
        <v>1530</v>
      </c>
      <c r="AO48" t="s">
        <v>2</v>
      </c>
    </row>
    <row r="49" spans="1:41">
      <c r="A49" s="47"/>
      <c r="B49" s="26" t="s">
        <v>2147</v>
      </c>
      <c r="C49" s="26"/>
      <c r="D49" s="26" t="s">
        <v>2159</v>
      </c>
      <c r="E49" s="26" t="s">
        <v>2195</v>
      </c>
      <c r="F49" s="26"/>
      <c r="G49" s="27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 t="s">
        <v>2161</v>
      </c>
      <c r="Z49" s="27">
        <v>3</v>
      </c>
      <c r="AA49" t="s">
        <v>1547</v>
      </c>
      <c r="AB49" t="s">
        <v>410</v>
      </c>
      <c r="AC49" t="s">
        <v>26</v>
      </c>
      <c r="AD49" t="s">
        <v>131</v>
      </c>
      <c r="AE49" t="s">
        <v>131</v>
      </c>
      <c r="AF49" t="s">
        <v>411</v>
      </c>
      <c r="AG49" t="s">
        <v>412</v>
      </c>
      <c r="AH49" t="s">
        <v>1548</v>
      </c>
      <c r="AI49" t="s">
        <v>1549</v>
      </c>
      <c r="AJ49" t="s">
        <v>26</v>
      </c>
      <c r="AK49" t="s">
        <v>1550</v>
      </c>
      <c r="AL49" t="s">
        <v>1546</v>
      </c>
      <c r="AM49" t="s">
        <v>26</v>
      </c>
      <c r="AN49" s="44" t="s">
        <v>1530</v>
      </c>
      <c r="AO49" t="s">
        <v>2</v>
      </c>
    </row>
    <row r="50" spans="1:41">
      <c r="A50" s="47"/>
      <c r="B50" s="26" t="s">
        <v>2147</v>
      </c>
      <c r="C50" s="26"/>
      <c r="D50" s="26" t="s">
        <v>2148</v>
      </c>
      <c r="E50" s="26"/>
      <c r="F50" s="26"/>
      <c r="G50" s="27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 t="s">
        <v>2150</v>
      </c>
      <c r="Z50" s="27">
        <v>3</v>
      </c>
      <c r="AA50" t="s">
        <v>1551</v>
      </c>
      <c r="AB50" t="s">
        <v>318</v>
      </c>
      <c r="AC50" t="s">
        <v>26</v>
      </c>
      <c r="AD50" t="s">
        <v>317</v>
      </c>
      <c r="AE50" t="s">
        <v>317</v>
      </c>
      <c r="AF50" t="s">
        <v>319</v>
      </c>
      <c r="AG50" t="s">
        <v>320</v>
      </c>
      <c r="AH50" t="s">
        <v>1552</v>
      </c>
      <c r="AI50" t="s">
        <v>1553</v>
      </c>
      <c r="AJ50" t="s">
        <v>26</v>
      </c>
      <c r="AK50" t="s">
        <v>1538</v>
      </c>
      <c r="AL50" t="s">
        <v>1554</v>
      </c>
      <c r="AM50" t="s">
        <v>1555</v>
      </c>
      <c r="AN50" s="44" t="s">
        <v>1530</v>
      </c>
      <c r="AO50" t="s">
        <v>2</v>
      </c>
    </row>
    <row r="51" spans="1:41">
      <c r="A51" s="47"/>
      <c r="B51" s="26" t="s">
        <v>2147</v>
      </c>
      <c r="C51" s="26"/>
      <c r="D51" s="26" t="s">
        <v>2148</v>
      </c>
      <c r="E51" s="26"/>
      <c r="F51" s="26"/>
      <c r="G51" s="27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 t="s">
        <v>2150</v>
      </c>
      <c r="Z51" s="27">
        <v>3</v>
      </c>
      <c r="AA51" t="s">
        <v>1556</v>
      </c>
      <c r="AB51" t="s">
        <v>108</v>
      </c>
      <c r="AC51" t="s">
        <v>26</v>
      </c>
      <c r="AD51" t="s">
        <v>107</v>
      </c>
      <c r="AE51" t="s">
        <v>107</v>
      </c>
      <c r="AF51" t="s">
        <v>109</v>
      </c>
      <c r="AG51" t="s">
        <v>110</v>
      </c>
      <c r="AH51" t="s">
        <v>1557</v>
      </c>
      <c r="AI51" t="s">
        <v>26</v>
      </c>
      <c r="AJ51" t="s">
        <v>26</v>
      </c>
      <c r="AK51" t="s">
        <v>1544</v>
      </c>
      <c r="AL51" t="s">
        <v>1558</v>
      </c>
      <c r="AM51" t="s">
        <v>1559</v>
      </c>
      <c r="AN51" s="44" t="s">
        <v>1530</v>
      </c>
      <c r="AO51" t="s">
        <v>2</v>
      </c>
    </row>
    <row r="52" spans="1:41">
      <c r="A52" s="47"/>
      <c r="B52" s="26" t="s">
        <v>2147</v>
      </c>
      <c r="C52" s="26"/>
      <c r="D52" s="26" t="s">
        <v>2148</v>
      </c>
      <c r="E52" s="26"/>
      <c r="F52" s="26"/>
      <c r="G52" s="27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 t="s">
        <v>2150</v>
      </c>
      <c r="Z52" s="27">
        <v>3</v>
      </c>
      <c r="AA52" t="s">
        <v>1560</v>
      </c>
      <c r="AB52" t="s">
        <v>424</v>
      </c>
      <c r="AC52" t="s">
        <v>26</v>
      </c>
      <c r="AD52" t="s">
        <v>423</v>
      </c>
      <c r="AE52" t="s">
        <v>423</v>
      </c>
      <c r="AF52" t="s">
        <v>425</v>
      </c>
      <c r="AG52" t="s">
        <v>426</v>
      </c>
      <c r="AH52" t="s">
        <v>1561</v>
      </c>
      <c r="AI52" t="s">
        <v>26</v>
      </c>
      <c r="AJ52" t="s">
        <v>26</v>
      </c>
      <c r="AK52" t="s">
        <v>1544</v>
      </c>
      <c r="AL52" t="s">
        <v>1562</v>
      </c>
      <c r="AM52" t="s">
        <v>1563</v>
      </c>
      <c r="AN52" s="44" t="s">
        <v>1530</v>
      </c>
      <c r="AO52" t="s">
        <v>2</v>
      </c>
    </row>
    <row r="53" spans="1:41">
      <c r="A53" s="47"/>
      <c r="B53" s="26" t="s">
        <v>2147</v>
      </c>
      <c r="C53" s="26"/>
      <c r="D53" s="26" t="s">
        <v>2188</v>
      </c>
      <c r="E53" s="26"/>
      <c r="F53" s="26"/>
      <c r="G53" s="27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 t="s">
        <v>2150</v>
      </c>
      <c r="Z53" s="27">
        <v>3</v>
      </c>
      <c r="AA53" t="s">
        <v>1564</v>
      </c>
      <c r="AB53" t="s">
        <v>203</v>
      </c>
      <c r="AC53" t="s">
        <v>26</v>
      </c>
      <c r="AD53" t="s">
        <v>202</v>
      </c>
      <c r="AE53" t="s">
        <v>202</v>
      </c>
      <c r="AF53" t="s">
        <v>204</v>
      </c>
      <c r="AG53" t="s">
        <v>205</v>
      </c>
      <c r="AH53" t="s">
        <v>1565</v>
      </c>
      <c r="AI53" t="s">
        <v>1533</v>
      </c>
      <c r="AJ53" t="s">
        <v>26</v>
      </c>
      <c r="AK53" t="s">
        <v>1566</v>
      </c>
      <c r="AL53" t="s">
        <v>1567</v>
      </c>
      <c r="AM53" t="s">
        <v>1568</v>
      </c>
      <c r="AN53" s="44" t="s">
        <v>1530</v>
      </c>
      <c r="AO53" t="s">
        <v>2</v>
      </c>
    </row>
    <row r="54" spans="1:41" s="104" customFormat="1">
      <c r="A54" s="27"/>
      <c r="B54" s="26" t="s">
        <v>2147</v>
      </c>
      <c r="C54" s="26"/>
      <c r="D54" s="26" t="s">
        <v>2148</v>
      </c>
      <c r="E54" s="26"/>
      <c r="F54" s="26"/>
      <c r="G54" s="27"/>
      <c r="H54" s="26"/>
      <c r="I54" s="26"/>
      <c r="J54" s="26"/>
      <c r="K54" s="26"/>
      <c r="L54" s="26"/>
      <c r="M54" s="26">
        <v>920004990</v>
      </c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 t="s">
        <v>2150</v>
      </c>
      <c r="Z54" s="27">
        <v>3</v>
      </c>
      <c r="AA54" s="104" t="s">
        <v>2375</v>
      </c>
      <c r="AB54" s="104" t="s">
        <v>294</v>
      </c>
      <c r="AC54" s="104" t="s">
        <v>26</v>
      </c>
      <c r="AD54" s="104" t="s">
        <v>27</v>
      </c>
      <c r="AE54" s="104" t="s">
        <v>27</v>
      </c>
      <c r="AF54" s="104" t="s">
        <v>295</v>
      </c>
      <c r="AG54" s="104" t="s">
        <v>296</v>
      </c>
      <c r="AH54" s="104" t="s">
        <v>1569</v>
      </c>
      <c r="AI54" s="104" t="s">
        <v>1570</v>
      </c>
      <c r="AJ54" s="104" t="s">
        <v>26</v>
      </c>
      <c r="AK54" s="104" t="s">
        <v>1544</v>
      </c>
      <c r="AL54" s="104" t="s">
        <v>1571</v>
      </c>
      <c r="AM54" s="104" t="s">
        <v>1572</v>
      </c>
      <c r="AN54" s="157" t="s">
        <v>1530</v>
      </c>
      <c r="AO54" s="104" t="s">
        <v>2</v>
      </c>
    </row>
    <row r="55" spans="1:41">
      <c r="A55" s="178"/>
      <c r="B55" s="179" t="s">
        <v>2147</v>
      </c>
      <c r="C55" s="179"/>
      <c r="D55" s="179" t="s">
        <v>2148</v>
      </c>
      <c r="E55" s="179"/>
      <c r="F55" s="179"/>
      <c r="G55" s="178"/>
      <c r="H55" s="179"/>
      <c r="I55" s="179"/>
      <c r="J55" s="179"/>
      <c r="K55" s="179"/>
      <c r="L55" s="179"/>
      <c r="M55" s="179">
        <v>920005213</v>
      </c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 t="s">
        <v>2150</v>
      </c>
      <c r="Z55" s="178">
        <v>3</v>
      </c>
      <c r="AA55" s="181" t="s">
        <v>2374</v>
      </c>
      <c r="AB55" s="181" t="s">
        <v>294</v>
      </c>
      <c r="AC55" s="181" t="s">
        <v>26</v>
      </c>
      <c r="AD55" s="181" t="s">
        <v>27</v>
      </c>
      <c r="AE55" s="181" t="s">
        <v>27</v>
      </c>
      <c r="AF55" s="181" t="s">
        <v>295</v>
      </c>
      <c r="AG55" s="181" t="s">
        <v>296</v>
      </c>
      <c r="AH55" s="181" t="s">
        <v>1569</v>
      </c>
      <c r="AI55" s="181" t="s">
        <v>1570</v>
      </c>
      <c r="AJ55" s="181" t="s">
        <v>26</v>
      </c>
      <c r="AK55" s="181" t="s">
        <v>1544</v>
      </c>
      <c r="AL55" s="181" t="s">
        <v>1571</v>
      </c>
      <c r="AM55" s="181" t="s">
        <v>1572</v>
      </c>
      <c r="AN55" s="182" t="s">
        <v>1530</v>
      </c>
      <c r="AO55" s="181">
        <v>0</v>
      </c>
    </row>
    <row r="56" spans="1:41">
      <c r="A56" s="47"/>
      <c r="B56" s="26" t="s">
        <v>2147</v>
      </c>
      <c r="C56" s="26"/>
      <c r="D56" s="26" t="s">
        <v>2148</v>
      </c>
      <c r="E56" s="26"/>
      <c r="F56" s="26"/>
      <c r="G56" s="27"/>
      <c r="H56" s="26"/>
      <c r="I56" s="26"/>
      <c r="J56" s="26"/>
      <c r="K56" s="26"/>
      <c r="L56" s="156" t="s">
        <v>2342</v>
      </c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 t="s">
        <v>2150</v>
      </c>
      <c r="Z56" s="27">
        <v>3</v>
      </c>
      <c r="AA56" t="s">
        <v>1573</v>
      </c>
      <c r="AB56" t="s">
        <v>1574</v>
      </c>
      <c r="AC56" t="s">
        <v>26</v>
      </c>
      <c r="AD56" t="s">
        <v>26</v>
      </c>
      <c r="AE56" t="s">
        <v>26</v>
      </c>
      <c r="AF56" t="s">
        <v>1574</v>
      </c>
      <c r="AG56" t="s">
        <v>296</v>
      </c>
      <c r="AH56" t="s">
        <v>1575</v>
      </c>
      <c r="AI56" t="s">
        <v>26</v>
      </c>
      <c r="AJ56" t="s">
        <v>295</v>
      </c>
      <c r="AK56" t="s">
        <v>26</v>
      </c>
      <c r="AL56" t="s">
        <v>26</v>
      </c>
      <c r="AM56" t="s">
        <v>26</v>
      </c>
      <c r="AN56" s="44" t="s">
        <v>1530</v>
      </c>
      <c r="AO56" t="s">
        <v>2</v>
      </c>
    </row>
    <row r="57" spans="1:41">
      <c r="A57" s="47"/>
      <c r="B57" s="26" t="s">
        <v>2147</v>
      </c>
      <c r="C57" s="26"/>
      <c r="D57" s="26" t="s">
        <v>2148</v>
      </c>
      <c r="E57" s="26"/>
      <c r="F57" s="26"/>
      <c r="G57" s="27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 t="s">
        <v>2150</v>
      </c>
      <c r="Z57" s="27">
        <v>3</v>
      </c>
      <c r="AA57" t="s">
        <v>1576</v>
      </c>
      <c r="AB57" t="s">
        <v>406</v>
      </c>
      <c r="AC57" t="s">
        <v>26</v>
      </c>
      <c r="AD57" t="s">
        <v>404</v>
      </c>
      <c r="AE57" t="s">
        <v>405</v>
      </c>
      <c r="AF57" t="s">
        <v>407</v>
      </c>
      <c r="AG57" t="s">
        <v>408</v>
      </c>
      <c r="AH57" t="s">
        <v>1577</v>
      </c>
      <c r="AI57" t="s">
        <v>1549</v>
      </c>
      <c r="AJ57" t="s">
        <v>26</v>
      </c>
      <c r="AK57" t="s">
        <v>1578</v>
      </c>
      <c r="AL57" t="s">
        <v>1579</v>
      </c>
      <c r="AM57" t="s">
        <v>1580</v>
      </c>
      <c r="AN57" s="44" t="s">
        <v>1530</v>
      </c>
      <c r="AO57" t="s">
        <v>2</v>
      </c>
    </row>
    <row r="58" spans="1:41" s="104" customFormat="1">
      <c r="A58" s="27"/>
      <c r="B58" s="26" t="s">
        <v>2147</v>
      </c>
      <c r="C58" s="26"/>
      <c r="D58" s="26" t="s">
        <v>2148</v>
      </c>
      <c r="E58" s="26"/>
      <c r="F58" s="26"/>
      <c r="G58" s="27"/>
      <c r="H58" s="26"/>
      <c r="I58" s="26"/>
      <c r="J58" s="172" t="s">
        <v>2322</v>
      </c>
      <c r="K58" s="26"/>
      <c r="M58" s="26">
        <v>920007290</v>
      </c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 t="s">
        <v>2150</v>
      </c>
      <c r="Z58" s="27">
        <v>3</v>
      </c>
      <c r="AA58" s="104" t="s">
        <v>1581</v>
      </c>
      <c r="AB58" s="104" t="s">
        <v>220</v>
      </c>
      <c r="AC58" s="104" t="s">
        <v>26</v>
      </c>
      <c r="AD58" s="104" t="s">
        <v>219</v>
      </c>
      <c r="AE58" s="104" t="s">
        <v>219</v>
      </c>
      <c r="AF58" s="104" t="s">
        <v>221</v>
      </c>
      <c r="AG58" s="104" t="s">
        <v>223</v>
      </c>
      <c r="AH58" s="104" t="s">
        <v>1582</v>
      </c>
      <c r="AI58" s="104" t="s">
        <v>1583</v>
      </c>
      <c r="AJ58" s="104" t="s">
        <v>26</v>
      </c>
      <c r="AK58" s="104" t="s">
        <v>1544</v>
      </c>
      <c r="AL58" s="104" t="s">
        <v>1584</v>
      </c>
      <c r="AM58" s="104" t="s">
        <v>1582</v>
      </c>
      <c r="AN58" s="157" t="s">
        <v>1530</v>
      </c>
      <c r="AO58" s="104" t="s">
        <v>2</v>
      </c>
    </row>
    <row r="59" spans="1:41">
      <c r="A59" s="178"/>
      <c r="B59" s="179" t="s">
        <v>2147</v>
      </c>
      <c r="C59" s="179"/>
      <c r="D59" s="179" t="s">
        <v>2148</v>
      </c>
      <c r="E59" s="179"/>
      <c r="F59" s="179"/>
      <c r="G59" s="178"/>
      <c r="H59" s="179"/>
      <c r="I59" s="179"/>
      <c r="J59" s="26"/>
      <c r="K59" s="179"/>
      <c r="L59" s="179"/>
      <c r="M59" s="179">
        <v>920003759</v>
      </c>
      <c r="N59" s="179"/>
      <c r="O59" s="179"/>
      <c r="P59" s="179"/>
      <c r="Q59" s="179"/>
      <c r="R59" s="179"/>
      <c r="S59" s="179"/>
      <c r="T59" s="186" t="s">
        <v>2220</v>
      </c>
      <c r="U59" s="179"/>
      <c r="V59" s="179"/>
      <c r="W59" s="179"/>
      <c r="X59" s="179"/>
      <c r="Y59" s="179" t="s">
        <v>2150</v>
      </c>
      <c r="Z59" s="179">
        <v>3</v>
      </c>
      <c r="AA59" s="179" t="s">
        <v>2380</v>
      </c>
      <c r="AB59" s="181" t="s">
        <v>220</v>
      </c>
      <c r="AC59" s="181" t="s">
        <v>26</v>
      </c>
      <c r="AD59" s="181" t="s">
        <v>219</v>
      </c>
      <c r="AE59" s="181" t="s">
        <v>219</v>
      </c>
      <c r="AF59" s="179" t="s">
        <v>221</v>
      </c>
      <c r="AG59" s="179" t="s">
        <v>223</v>
      </c>
      <c r="AH59" s="179" t="s">
        <v>1582</v>
      </c>
      <c r="AI59" s="179" t="s">
        <v>1583</v>
      </c>
      <c r="AJ59" s="179" t="s">
        <v>26</v>
      </c>
      <c r="AK59" s="179" t="s">
        <v>1544</v>
      </c>
      <c r="AL59" s="179" t="s">
        <v>1584</v>
      </c>
      <c r="AM59" s="179" t="s">
        <v>1582</v>
      </c>
      <c r="AN59" s="187" t="s">
        <v>1530</v>
      </c>
      <c r="AO59" s="179">
        <v>0</v>
      </c>
    </row>
    <row r="60" spans="1:41" s="194" customFormat="1">
      <c r="A60" s="191" t="s">
        <v>2381</v>
      </c>
      <c r="B60" s="192" t="s">
        <v>2147</v>
      </c>
      <c r="C60" s="192"/>
      <c r="D60" s="192" t="s">
        <v>2148</v>
      </c>
      <c r="E60" s="192"/>
      <c r="F60" s="192"/>
      <c r="G60" s="191"/>
      <c r="H60" s="192"/>
      <c r="I60" s="192"/>
      <c r="J60" s="193" t="s">
        <v>2323</v>
      </c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92"/>
      <c r="W60" s="192"/>
      <c r="X60" s="192"/>
      <c r="Y60" s="192" t="s">
        <v>2150</v>
      </c>
      <c r="Z60" s="191">
        <v>3</v>
      </c>
      <c r="AA60" s="194" t="s">
        <v>1585</v>
      </c>
      <c r="AB60" s="194" t="s">
        <v>1586</v>
      </c>
      <c r="AC60" s="194" t="s">
        <v>26</v>
      </c>
      <c r="AD60" s="194" t="s">
        <v>26</v>
      </c>
      <c r="AE60" s="194" t="s">
        <v>26</v>
      </c>
      <c r="AF60" s="194" t="s">
        <v>1586</v>
      </c>
      <c r="AG60" s="194" t="s">
        <v>223</v>
      </c>
      <c r="AH60" s="194" t="s">
        <v>1587</v>
      </c>
      <c r="AI60" s="194" t="s">
        <v>26</v>
      </c>
      <c r="AJ60" s="194" t="s">
        <v>221</v>
      </c>
      <c r="AK60" s="194" t="s">
        <v>26</v>
      </c>
      <c r="AL60" s="194" t="s">
        <v>26</v>
      </c>
      <c r="AM60" s="194" t="s">
        <v>26</v>
      </c>
      <c r="AN60" s="195" t="s">
        <v>1530</v>
      </c>
      <c r="AO60" s="194" t="s">
        <v>2</v>
      </c>
    </row>
    <row r="61" spans="1:41" s="103" customFormat="1">
      <c r="A61" s="47" t="s">
        <v>2381</v>
      </c>
      <c r="B61" s="189" t="s">
        <v>2147</v>
      </c>
      <c r="C61" s="189"/>
      <c r="D61" s="189" t="s">
        <v>2148</v>
      </c>
      <c r="E61" s="189"/>
      <c r="F61" s="189"/>
      <c r="G61" s="47"/>
      <c r="H61" s="189"/>
      <c r="I61" s="189"/>
      <c r="J61" s="149" t="s">
        <v>2325</v>
      </c>
      <c r="K61" s="189"/>
      <c r="L61" s="189"/>
      <c r="M61" s="189"/>
      <c r="N61" s="189"/>
      <c r="O61" s="189"/>
      <c r="P61" s="189"/>
      <c r="Q61" s="189"/>
      <c r="R61" s="189"/>
      <c r="S61" s="189"/>
      <c r="T61" s="189"/>
      <c r="U61" s="189"/>
      <c r="V61" s="189"/>
      <c r="W61" s="189"/>
      <c r="X61" s="189"/>
      <c r="Y61" s="189" t="s">
        <v>2150</v>
      </c>
      <c r="Z61" s="47">
        <v>3</v>
      </c>
      <c r="AA61" s="103" t="s">
        <v>1585</v>
      </c>
      <c r="AB61" s="103" t="s">
        <v>1586</v>
      </c>
      <c r="AC61" s="103" t="s">
        <v>26</v>
      </c>
      <c r="AD61" s="103" t="s">
        <v>26</v>
      </c>
      <c r="AE61" s="103" t="s">
        <v>26</v>
      </c>
      <c r="AF61" s="103" t="s">
        <v>1586</v>
      </c>
      <c r="AG61" s="103" t="s">
        <v>223</v>
      </c>
      <c r="AH61" s="103" t="s">
        <v>1587</v>
      </c>
      <c r="AI61" s="103" t="s">
        <v>26</v>
      </c>
      <c r="AJ61" s="103" t="s">
        <v>221</v>
      </c>
      <c r="AK61" s="103" t="s">
        <v>26</v>
      </c>
      <c r="AL61" s="103" t="s">
        <v>26</v>
      </c>
      <c r="AM61" s="103" t="s">
        <v>26</v>
      </c>
      <c r="AN61" s="190" t="s">
        <v>1530</v>
      </c>
      <c r="AO61" s="103" t="s">
        <v>2</v>
      </c>
    </row>
    <row r="62" spans="1:41">
      <c r="A62" s="47"/>
      <c r="B62" s="26" t="s">
        <v>2147</v>
      </c>
      <c r="C62" s="26"/>
      <c r="D62" s="26" t="s">
        <v>2148</v>
      </c>
      <c r="E62" s="26"/>
      <c r="F62" s="26"/>
      <c r="G62" s="27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 t="s">
        <v>2150</v>
      </c>
      <c r="Z62" s="27">
        <v>3</v>
      </c>
      <c r="AA62" t="s">
        <v>1588</v>
      </c>
      <c r="AB62" t="s">
        <v>1589</v>
      </c>
      <c r="AC62" t="s">
        <v>26</v>
      </c>
      <c r="AD62" t="s">
        <v>26</v>
      </c>
      <c r="AE62" t="s">
        <v>26</v>
      </c>
      <c r="AF62" t="s">
        <v>1589</v>
      </c>
      <c r="AG62" t="s">
        <v>223</v>
      </c>
      <c r="AH62" t="s">
        <v>1590</v>
      </c>
      <c r="AI62" t="s">
        <v>26</v>
      </c>
      <c r="AJ62" t="s">
        <v>221</v>
      </c>
      <c r="AK62" t="s">
        <v>26</v>
      </c>
      <c r="AL62" t="s">
        <v>26</v>
      </c>
      <c r="AM62" t="s">
        <v>26</v>
      </c>
      <c r="AN62" s="44" t="s">
        <v>1530</v>
      </c>
      <c r="AO62" t="s">
        <v>2</v>
      </c>
    </row>
    <row r="63" spans="1:41">
      <c r="A63" s="47"/>
      <c r="B63" s="26" t="s">
        <v>2147</v>
      </c>
      <c r="C63" s="26"/>
      <c r="D63" s="26" t="s">
        <v>2196</v>
      </c>
      <c r="E63" s="26"/>
      <c r="F63" s="26"/>
      <c r="G63" s="27"/>
      <c r="H63" s="26"/>
      <c r="I63" s="26"/>
      <c r="J63" s="26" t="s">
        <v>2197</v>
      </c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 t="s">
        <v>2150</v>
      </c>
      <c r="Z63" s="27">
        <v>3</v>
      </c>
      <c r="AA63" t="s">
        <v>1591</v>
      </c>
      <c r="AB63" t="s">
        <v>1592</v>
      </c>
      <c r="AC63" t="s">
        <v>26</v>
      </c>
      <c r="AD63" t="s">
        <v>26</v>
      </c>
      <c r="AE63" t="s">
        <v>1593</v>
      </c>
      <c r="AF63" t="s">
        <v>1592</v>
      </c>
      <c r="AG63" t="s">
        <v>1594</v>
      </c>
      <c r="AH63" t="s">
        <v>1595</v>
      </c>
      <c r="AI63" t="s">
        <v>26</v>
      </c>
      <c r="AJ63" t="s">
        <v>221</v>
      </c>
      <c r="AK63" t="s">
        <v>1596</v>
      </c>
      <c r="AL63" t="s">
        <v>26</v>
      </c>
      <c r="AM63" t="s">
        <v>26</v>
      </c>
      <c r="AN63" s="44" t="s">
        <v>1530</v>
      </c>
      <c r="AO63" t="s">
        <v>2</v>
      </c>
    </row>
    <row r="64" spans="1:41">
      <c r="A64" s="47"/>
      <c r="B64" s="26" t="s">
        <v>2147</v>
      </c>
      <c r="C64" s="26"/>
      <c r="D64" s="26" t="s">
        <v>2196</v>
      </c>
      <c r="E64" s="26"/>
      <c r="F64" s="26"/>
      <c r="G64" s="27"/>
      <c r="H64" s="26"/>
      <c r="I64" s="26"/>
      <c r="J64" s="26" t="s">
        <v>2198</v>
      </c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2150</v>
      </c>
      <c r="Z64" s="27">
        <v>3</v>
      </c>
      <c r="AA64" t="s">
        <v>1597</v>
      </c>
      <c r="AB64" t="s">
        <v>1598</v>
      </c>
      <c r="AC64" t="s">
        <v>26</v>
      </c>
      <c r="AD64" t="s">
        <v>26</v>
      </c>
      <c r="AE64" t="s">
        <v>1599</v>
      </c>
      <c r="AF64" t="s">
        <v>1598</v>
      </c>
      <c r="AG64" t="s">
        <v>1594</v>
      </c>
      <c r="AH64" t="s">
        <v>1600</v>
      </c>
      <c r="AI64" t="s">
        <v>26</v>
      </c>
      <c r="AJ64" t="s">
        <v>221</v>
      </c>
      <c r="AK64" t="s">
        <v>1601</v>
      </c>
      <c r="AL64" t="s">
        <v>26</v>
      </c>
      <c r="AM64" t="s">
        <v>26</v>
      </c>
      <c r="AN64" s="44" t="s">
        <v>1530</v>
      </c>
      <c r="AO64" t="s">
        <v>2</v>
      </c>
    </row>
    <row r="65" spans="1:41">
      <c r="A65" s="47"/>
      <c r="B65" s="26" t="s">
        <v>2147</v>
      </c>
      <c r="C65" s="26"/>
      <c r="D65" s="26" t="s">
        <v>2196</v>
      </c>
      <c r="E65" s="26"/>
      <c r="F65" s="26"/>
      <c r="G65" s="27"/>
      <c r="H65" s="26"/>
      <c r="I65" s="26"/>
      <c r="J65" s="26" t="s">
        <v>2199</v>
      </c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 t="s">
        <v>2150</v>
      </c>
      <c r="Z65" s="27">
        <v>3</v>
      </c>
      <c r="AA65" t="s">
        <v>1602</v>
      </c>
      <c r="AB65" t="s">
        <v>1603</v>
      </c>
      <c r="AC65" t="s">
        <v>26</v>
      </c>
      <c r="AD65" t="s">
        <v>26</v>
      </c>
      <c r="AE65" t="s">
        <v>27</v>
      </c>
      <c r="AF65" t="s">
        <v>1603</v>
      </c>
      <c r="AG65" t="s">
        <v>1594</v>
      </c>
      <c r="AH65" t="s">
        <v>1604</v>
      </c>
      <c r="AI65" t="s">
        <v>26</v>
      </c>
      <c r="AJ65" t="s">
        <v>221</v>
      </c>
      <c r="AK65" t="s">
        <v>1538</v>
      </c>
      <c r="AL65" t="s">
        <v>26</v>
      </c>
      <c r="AM65" t="s">
        <v>26</v>
      </c>
      <c r="AN65" s="44" t="s">
        <v>1530</v>
      </c>
      <c r="AO65" t="s">
        <v>2</v>
      </c>
    </row>
    <row r="66" spans="1:41">
      <c r="A66" s="47"/>
      <c r="B66" s="26" t="s">
        <v>2147</v>
      </c>
      <c r="C66" s="26"/>
      <c r="D66" s="26" t="s">
        <v>2148</v>
      </c>
      <c r="E66" s="26"/>
      <c r="F66" s="26"/>
      <c r="G66" s="27"/>
      <c r="H66" s="26"/>
      <c r="I66" s="26"/>
      <c r="J66" s="149" t="s">
        <v>2324</v>
      </c>
      <c r="K66" s="26"/>
      <c r="L66" s="26"/>
      <c r="M66" s="26">
        <v>920008352</v>
      </c>
      <c r="N66" s="26"/>
      <c r="O66" s="26"/>
      <c r="P66" s="26"/>
      <c r="Q66" s="26"/>
      <c r="R66" s="26"/>
      <c r="S66" s="26"/>
      <c r="T66" s="26">
        <v>920007427</v>
      </c>
      <c r="U66" s="26"/>
      <c r="V66" s="26"/>
      <c r="W66" s="26"/>
      <c r="X66" s="26"/>
      <c r="Y66" s="26" t="s">
        <v>2150</v>
      </c>
      <c r="Z66" s="27">
        <v>3</v>
      </c>
      <c r="AA66" t="s">
        <v>1605</v>
      </c>
      <c r="AB66" t="s">
        <v>151</v>
      </c>
      <c r="AC66" t="s">
        <v>26</v>
      </c>
      <c r="AD66" t="s">
        <v>150</v>
      </c>
      <c r="AE66" t="s">
        <v>150</v>
      </c>
      <c r="AF66" t="s">
        <v>152</v>
      </c>
      <c r="AG66" t="s">
        <v>154</v>
      </c>
      <c r="AH66" t="s">
        <v>1606</v>
      </c>
      <c r="AI66" t="s">
        <v>1583</v>
      </c>
      <c r="AJ66" t="s">
        <v>26</v>
      </c>
      <c r="AK66" t="s">
        <v>1534</v>
      </c>
      <c r="AL66" t="s">
        <v>1607</v>
      </c>
      <c r="AM66" t="s">
        <v>1606</v>
      </c>
      <c r="AN66" s="44" t="s">
        <v>1530</v>
      </c>
      <c r="AO66" t="s">
        <v>2</v>
      </c>
    </row>
    <row r="67" spans="1:41">
      <c r="A67" s="178"/>
      <c r="B67" s="179" t="s">
        <v>2147</v>
      </c>
      <c r="C67" s="179"/>
      <c r="D67" s="179" t="s">
        <v>2148</v>
      </c>
      <c r="E67" s="179"/>
      <c r="F67" s="179"/>
      <c r="G67" s="178"/>
      <c r="H67" s="179"/>
      <c r="I67" s="179"/>
      <c r="J67" s="179"/>
      <c r="K67" s="179"/>
      <c r="M67" s="179">
        <v>920003759</v>
      </c>
      <c r="N67" s="179"/>
      <c r="O67" s="179"/>
      <c r="P67" s="179"/>
      <c r="Q67" s="179"/>
      <c r="R67" s="179"/>
      <c r="S67" s="179"/>
      <c r="T67" s="186" t="s">
        <v>2220</v>
      </c>
      <c r="U67" s="179"/>
      <c r="V67" s="179"/>
      <c r="W67" s="179"/>
      <c r="X67" s="179"/>
      <c r="Y67" s="179" t="s">
        <v>2150</v>
      </c>
      <c r="Z67" s="179">
        <v>3</v>
      </c>
      <c r="AA67" s="179" t="s">
        <v>2380</v>
      </c>
      <c r="AB67" s="179" t="s">
        <v>151</v>
      </c>
      <c r="AC67" s="179" t="s">
        <v>26</v>
      </c>
      <c r="AD67" s="179" t="s">
        <v>150</v>
      </c>
      <c r="AE67" s="179" t="s">
        <v>150</v>
      </c>
      <c r="AF67" s="179" t="s">
        <v>152</v>
      </c>
      <c r="AG67" s="179" t="s">
        <v>154</v>
      </c>
      <c r="AH67" s="179" t="s">
        <v>1606</v>
      </c>
      <c r="AI67" s="179" t="s">
        <v>1583</v>
      </c>
      <c r="AJ67" s="179" t="s">
        <v>26</v>
      </c>
      <c r="AK67" s="179" t="s">
        <v>1534</v>
      </c>
      <c r="AL67" s="179" t="s">
        <v>1607</v>
      </c>
      <c r="AM67" s="179" t="s">
        <v>1606</v>
      </c>
      <c r="AN67" s="187" t="s">
        <v>1530</v>
      </c>
      <c r="AO67" s="179">
        <v>0</v>
      </c>
    </row>
    <row r="68" spans="1:41" s="194" customFormat="1">
      <c r="A68" s="191" t="s">
        <v>2381</v>
      </c>
      <c r="B68" s="192" t="s">
        <v>2147</v>
      </c>
      <c r="C68" s="192"/>
      <c r="D68" s="192" t="s">
        <v>2148</v>
      </c>
      <c r="E68" s="192"/>
      <c r="F68" s="192"/>
      <c r="G68" s="191"/>
      <c r="H68" s="192"/>
      <c r="I68" s="192"/>
      <c r="J68" s="193" t="s">
        <v>2325</v>
      </c>
      <c r="K68" s="192"/>
      <c r="L68" s="192"/>
      <c r="M68" s="192"/>
      <c r="N68" s="192"/>
      <c r="O68" s="192"/>
      <c r="P68" s="192"/>
      <c r="Q68" s="192"/>
      <c r="R68" s="192"/>
      <c r="S68" s="192"/>
      <c r="T68" s="192"/>
      <c r="U68" s="192"/>
      <c r="V68" s="192"/>
      <c r="W68" s="192"/>
      <c r="X68" s="192"/>
      <c r="Y68" s="192" t="s">
        <v>2150</v>
      </c>
      <c r="Z68" s="191">
        <v>3</v>
      </c>
      <c r="AA68" s="194" t="s">
        <v>1585</v>
      </c>
      <c r="AB68" s="194" t="s">
        <v>1608</v>
      </c>
      <c r="AC68" s="194" t="s">
        <v>26</v>
      </c>
      <c r="AD68" s="194" t="s">
        <v>26</v>
      </c>
      <c r="AE68" s="194" t="s">
        <v>26</v>
      </c>
      <c r="AF68" s="194" t="s">
        <v>1608</v>
      </c>
      <c r="AG68" s="194" t="s">
        <v>154</v>
      </c>
      <c r="AH68" s="194" t="s">
        <v>1587</v>
      </c>
      <c r="AI68" s="194" t="s">
        <v>26</v>
      </c>
      <c r="AJ68" s="194" t="s">
        <v>152</v>
      </c>
      <c r="AK68" s="194" t="s">
        <v>26</v>
      </c>
      <c r="AL68" s="194" t="s">
        <v>26</v>
      </c>
      <c r="AM68" s="194" t="s">
        <v>26</v>
      </c>
      <c r="AN68" s="195" t="s">
        <v>1530</v>
      </c>
      <c r="AO68" s="194" t="s">
        <v>2</v>
      </c>
    </row>
    <row r="69" spans="1:41" s="103" customFormat="1">
      <c r="A69" s="47" t="s">
        <v>2381</v>
      </c>
      <c r="B69" s="189" t="s">
        <v>2147</v>
      </c>
      <c r="C69" s="189"/>
      <c r="D69" s="189" t="s">
        <v>2148</v>
      </c>
      <c r="E69" s="189"/>
      <c r="F69" s="189"/>
      <c r="G69" s="47"/>
      <c r="H69" s="189"/>
      <c r="I69" s="189"/>
      <c r="J69" s="149" t="s">
        <v>2323</v>
      </c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 t="s">
        <v>2150</v>
      </c>
      <c r="Z69" s="47">
        <v>3</v>
      </c>
      <c r="AA69" s="103" t="s">
        <v>1585</v>
      </c>
      <c r="AB69" s="103" t="s">
        <v>1608</v>
      </c>
      <c r="AC69" s="103" t="s">
        <v>26</v>
      </c>
      <c r="AD69" s="103" t="s">
        <v>26</v>
      </c>
      <c r="AE69" s="103" t="s">
        <v>26</v>
      </c>
      <c r="AF69" s="103" t="s">
        <v>1608</v>
      </c>
      <c r="AG69" s="103" t="s">
        <v>154</v>
      </c>
      <c r="AH69" s="103" t="s">
        <v>1587</v>
      </c>
      <c r="AI69" s="103" t="s">
        <v>26</v>
      </c>
      <c r="AJ69" s="103" t="s">
        <v>152</v>
      </c>
      <c r="AK69" s="103" t="s">
        <v>26</v>
      </c>
      <c r="AL69" s="103" t="s">
        <v>26</v>
      </c>
      <c r="AM69" s="103" t="s">
        <v>26</v>
      </c>
      <c r="AN69" s="190" t="s">
        <v>1530</v>
      </c>
      <c r="AO69" s="103" t="s">
        <v>2</v>
      </c>
    </row>
    <row r="70" spans="1:41">
      <c r="A70" s="47"/>
      <c r="B70" s="26" t="s">
        <v>2147</v>
      </c>
      <c r="C70" s="26"/>
      <c r="D70" s="26" t="s">
        <v>2148</v>
      </c>
      <c r="E70" s="26"/>
      <c r="F70" s="26"/>
      <c r="G70" s="27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 t="s">
        <v>2150</v>
      </c>
      <c r="Z70" s="27">
        <v>3</v>
      </c>
      <c r="AA70" t="s">
        <v>1609</v>
      </c>
      <c r="AB70" t="s">
        <v>1610</v>
      </c>
      <c r="AC70" t="s">
        <v>26</v>
      </c>
      <c r="AD70" t="s">
        <v>26</v>
      </c>
      <c r="AE70" t="s">
        <v>26</v>
      </c>
      <c r="AF70" t="s">
        <v>1610</v>
      </c>
      <c r="AG70" t="s">
        <v>154</v>
      </c>
      <c r="AH70" t="s">
        <v>1611</v>
      </c>
      <c r="AI70" t="s">
        <v>26</v>
      </c>
      <c r="AJ70" t="s">
        <v>152</v>
      </c>
      <c r="AK70" t="s">
        <v>26</v>
      </c>
      <c r="AL70" t="s">
        <v>26</v>
      </c>
      <c r="AM70" t="s">
        <v>26</v>
      </c>
      <c r="AN70" s="44" t="s">
        <v>1530</v>
      </c>
      <c r="AO70" t="s">
        <v>2</v>
      </c>
    </row>
    <row r="71" spans="1:41">
      <c r="A71" s="47"/>
      <c r="B71" s="26" t="s">
        <v>2147</v>
      </c>
      <c r="C71" s="26"/>
      <c r="D71" s="26" t="s">
        <v>2196</v>
      </c>
      <c r="E71" s="26"/>
      <c r="F71" s="26"/>
      <c r="G71" s="27"/>
      <c r="H71" s="26"/>
      <c r="I71" s="26"/>
      <c r="J71" s="26" t="s">
        <v>2200</v>
      </c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 t="s">
        <v>2150</v>
      </c>
      <c r="Z71" s="27">
        <v>3</v>
      </c>
      <c r="AA71" t="s">
        <v>1612</v>
      </c>
      <c r="AB71" t="s">
        <v>1613</v>
      </c>
      <c r="AC71" t="s">
        <v>26</v>
      </c>
      <c r="AD71" t="s">
        <v>26</v>
      </c>
      <c r="AE71" t="s">
        <v>1614</v>
      </c>
      <c r="AF71" t="s">
        <v>1613</v>
      </c>
      <c r="AG71" t="s">
        <v>1615</v>
      </c>
      <c r="AH71" t="s">
        <v>1616</v>
      </c>
      <c r="AI71" t="s">
        <v>26</v>
      </c>
      <c r="AJ71" t="s">
        <v>152</v>
      </c>
      <c r="AK71" t="s">
        <v>1617</v>
      </c>
      <c r="AL71" t="s">
        <v>26</v>
      </c>
      <c r="AM71" t="s">
        <v>26</v>
      </c>
      <c r="AN71" s="44" t="s">
        <v>1530</v>
      </c>
      <c r="AO71" t="s">
        <v>2</v>
      </c>
    </row>
    <row r="72" spans="1:41">
      <c r="A72" s="47"/>
      <c r="B72" s="26" t="s">
        <v>2147</v>
      </c>
      <c r="C72" s="26"/>
      <c r="D72" s="26" t="s">
        <v>2196</v>
      </c>
      <c r="E72" s="26"/>
      <c r="F72" s="26"/>
      <c r="G72" s="27"/>
      <c r="H72" s="26"/>
      <c r="I72" s="26"/>
      <c r="J72" s="26" t="s">
        <v>2201</v>
      </c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 t="s">
        <v>2150</v>
      </c>
      <c r="Z72" s="27">
        <v>3</v>
      </c>
      <c r="AA72" t="s">
        <v>1591</v>
      </c>
      <c r="AB72" t="s">
        <v>1618</v>
      </c>
      <c r="AC72" t="s">
        <v>26</v>
      </c>
      <c r="AD72" t="s">
        <v>26</v>
      </c>
      <c r="AE72" t="s">
        <v>1619</v>
      </c>
      <c r="AF72" t="s">
        <v>1618</v>
      </c>
      <c r="AG72" t="s">
        <v>1620</v>
      </c>
      <c r="AH72" t="s">
        <v>1595</v>
      </c>
      <c r="AI72" t="s">
        <v>26</v>
      </c>
      <c r="AJ72" t="s">
        <v>152</v>
      </c>
      <c r="AK72" t="s">
        <v>1596</v>
      </c>
      <c r="AL72" t="s">
        <v>26</v>
      </c>
      <c r="AM72" t="s">
        <v>26</v>
      </c>
      <c r="AN72" s="44" t="s">
        <v>1530</v>
      </c>
      <c r="AO72" t="s">
        <v>2</v>
      </c>
    </row>
    <row r="73" spans="1:41">
      <c r="A73" s="47"/>
      <c r="B73" s="26" t="s">
        <v>2147</v>
      </c>
      <c r="C73" s="26"/>
      <c r="D73" s="26" t="s">
        <v>2196</v>
      </c>
      <c r="E73" s="26"/>
      <c r="F73" s="26"/>
      <c r="G73" s="27"/>
      <c r="H73" s="26"/>
      <c r="I73" s="26"/>
      <c r="J73" s="26" t="s">
        <v>2202</v>
      </c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 t="s">
        <v>2150</v>
      </c>
      <c r="Z73" s="27">
        <v>3</v>
      </c>
      <c r="AA73" t="s">
        <v>1591</v>
      </c>
      <c r="AB73" t="s">
        <v>1621</v>
      </c>
      <c r="AC73" t="s">
        <v>26</v>
      </c>
      <c r="AD73" t="s">
        <v>26</v>
      </c>
      <c r="AE73" t="s">
        <v>1622</v>
      </c>
      <c r="AF73" t="s">
        <v>1621</v>
      </c>
      <c r="AG73" t="s">
        <v>1620</v>
      </c>
      <c r="AH73" t="s">
        <v>1595</v>
      </c>
      <c r="AI73" t="s">
        <v>26</v>
      </c>
      <c r="AJ73" t="s">
        <v>152</v>
      </c>
      <c r="AK73" t="s">
        <v>1596</v>
      </c>
      <c r="AL73" t="s">
        <v>26</v>
      </c>
      <c r="AM73" t="s">
        <v>26</v>
      </c>
      <c r="AN73" s="44" t="s">
        <v>1530</v>
      </c>
      <c r="AO73" t="s">
        <v>2</v>
      </c>
    </row>
    <row r="74" spans="1:41">
      <c r="A74" s="47"/>
      <c r="B74" s="26" t="s">
        <v>2147</v>
      </c>
      <c r="C74" s="26"/>
      <c r="D74" s="26" t="s">
        <v>2196</v>
      </c>
      <c r="E74" s="26"/>
      <c r="F74" s="26"/>
      <c r="G74" s="27"/>
      <c r="H74" s="26"/>
      <c r="I74" s="26"/>
      <c r="J74" s="26" t="s">
        <v>2203</v>
      </c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 t="s">
        <v>2150</v>
      </c>
      <c r="Z74" s="27">
        <v>3</v>
      </c>
      <c r="AA74" t="s">
        <v>1591</v>
      </c>
      <c r="AB74" t="s">
        <v>1623</v>
      </c>
      <c r="AC74" t="s">
        <v>26</v>
      </c>
      <c r="AD74" t="s">
        <v>26</v>
      </c>
      <c r="AE74" t="s">
        <v>1624</v>
      </c>
      <c r="AF74" t="s">
        <v>1623</v>
      </c>
      <c r="AG74" t="s">
        <v>1615</v>
      </c>
      <c r="AH74" t="s">
        <v>1595</v>
      </c>
      <c r="AI74" t="s">
        <v>26</v>
      </c>
      <c r="AJ74" t="s">
        <v>152</v>
      </c>
      <c r="AK74" t="s">
        <v>1596</v>
      </c>
      <c r="AL74" t="s">
        <v>26</v>
      </c>
      <c r="AM74" t="s">
        <v>26</v>
      </c>
      <c r="AN74" s="44" t="s">
        <v>1530</v>
      </c>
      <c r="AO74" t="s">
        <v>2</v>
      </c>
    </row>
    <row r="75" spans="1:41">
      <c r="A75" s="47"/>
      <c r="B75" s="26" t="s">
        <v>2147</v>
      </c>
      <c r="C75" s="26"/>
      <c r="D75" s="26" t="s">
        <v>2196</v>
      </c>
      <c r="E75" s="26"/>
      <c r="F75" s="26"/>
      <c r="G75" s="27"/>
      <c r="H75" s="26"/>
      <c r="I75" s="26"/>
      <c r="J75" s="26" t="s">
        <v>2204</v>
      </c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 t="s">
        <v>2150</v>
      </c>
      <c r="Z75" s="27">
        <v>3</v>
      </c>
      <c r="AA75" t="s">
        <v>1602</v>
      </c>
      <c r="AB75" t="s">
        <v>1625</v>
      </c>
      <c r="AC75" t="s">
        <v>26</v>
      </c>
      <c r="AD75" t="s">
        <v>26</v>
      </c>
      <c r="AE75" t="s">
        <v>1626</v>
      </c>
      <c r="AF75" t="s">
        <v>1625</v>
      </c>
      <c r="AG75" t="s">
        <v>1615</v>
      </c>
      <c r="AH75" t="s">
        <v>1604</v>
      </c>
      <c r="AI75" t="s">
        <v>26</v>
      </c>
      <c r="AJ75" t="s">
        <v>152</v>
      </c>
      <c r="AK75" t="s">
        <v>1538</v>
      </c>
      <c r="AL75" t="s">
        <v>26</v>
      </c>
      <c r="AM75" t="s">
        <v>26</v>
      </c>
      <c r="AN75" s="44" t="s">
        <v>1530</v>
      </c>
      <c r="AO75" t="s">
        <v>2</v>
      </c>
    </row>
    <row r="76" spans="1:41">
      <c r="A76" s="47"/>
      <c r="B76" s="26" t="s">
        <v>2147</v>
      </c>
      <c r="C76" s="26"/>
      <c r="D76" s="26" t="s">
        <v>2148</v>
      </c>
      <c r="E76" s="26"/>
      <c r="F76" s="26"/>
      <c r="G76" s="27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 t="s">
        <v>2150</v>
      </c>
      <c r="Z76" s="27">
        <v>3</v>
      </c>
      <c r="AA76" t="s">
        <v>1627</v>
      </c>
      <c r="AB76" t="s">
        <v>339</v>
      </c>
      <c r="AC76" t="s">
        <v>26</v>
      </c>
      <c r="AD76" t="s">
        <v>338</v>
      </c>
      <c r="AE76" t="s">
        <v>338</v>
      </c>
      <c r="AF76" t="s">
        <v>340</v>
      </c>
      <c r="AG76" t="s">
        <v>341</v>
      </c>
      <c r="AH76" t="s">
        <v>1628</v>
      </c>
      <c r="AI76" t="s">
        <v>26</v>
      </c>
      <c r="AJ76" t="s">
        <v>26</v>
      </c>
      <c r="AK76" t="s">
        <v>1544</v>
      </c>
      <c r="AL76" t="s">
        <v>1629</v>
      </c>
      <c r="AM76" t="s">
        <v>1630</v>
      </c>
      <c r="AN76" s="44" t="s">
        <v>1530</v>
      </c>
      <c r="AO76" t="s">
        <v>2</v>
      </c>
    </row>
    <row r="77" spans="1:41">
      <c r="A77" s="47"/>
      <c r="B77" s="26" t="s">
        <v>2147</v>
      </c>
      <c r="C77" s="26"/>
      <c r="D77" s="26" t="s">
        <v>2148</v>
      </c>
      <c r="E77" s="26"/>
      <c r="F77" s="26"/>
      <c r="G77" s="27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 t="s">
        <v>2150</v>
      </c>
      <c r="Z77" s="27">
        <v>3</v>
      </c>
      <c r="AA77" t="s">
        <v>1631</v>
      </c>
      <c r="AB77" t="s">
        <v>113</v>
      </c>
      <c r="AC77" t="s">
        <v>26</v>
      </c>
      <c r="AD77" t="s">
        <v>112</v>
      </c>
      <c r="AE77" t="s">
        <v>112</v>
      </c>
      <c r="AF77" t="s">
        <v>114</v>
      </c>
      <c r="AG77" t="s">
        <v>115</v>
      </c>
      <c r="AH77" t="s">
        <v>1632</v>
      </c>
      <c r="AI77" t="s">
        <v>1633</v>
      </c>
      <c r="AJ77" t="s">
        <v>26</v>
      </c>
      <c r="AK77" t="s">
        <v>1544</v>
      </c>
      <c r="AL77" t="s">
        <v>1634</v>
      </c>
      <c r="AM77" t="s">
        <v>1635</v>
      </c>
      <c r="AN77" s="44" t="s">
        <v>1530</v>
      </c>
      <c r="AO77" t="s">
        <v>2</v>
      </c>
    </row>
    <row r="78" spans="1:41" s="104" customFormat="1">
      <c r="A78" s="27"/>
      <c r="B78" s="26" t="s">
        <v>2147</v>
      </c>
      <c r="C78" s="26"/>
      <c r="D78" s="26" t="s">
        <v>2148</v>
      </c>
      <c r="E78" s="26"/>
      <c r="F78" s="26"/>
      <c r="G78" s="27"/>
      <c r="H78" s="26"/>
      <c r="I78" s="26"/>
      <c r="J78" s="26"/>
      <c r="K78" s="26"/>
      <c r="L78" s="26"/>
      <c r="M78" s="26">
        <v>920004162</v>
      </c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 t="s">
        <v>2150</v>
      </c>
      <c r="Z78" s="27">
        <v>3</v>
      </c>
      <c r="AA78" t="s">
        <v>1636</v>
      </c>
      <c r="AB78" s="104" t="s">
        <v>467</v>
      </c>
      <c r="AC78" s="104" t="s">
        <v>26</v>
      </c>
      <c r="AD78" s="104" t="s">
        <v>466</v>
      </c>
      <c r="AE78" s="104" t="s">
        <v>466</v>
      </c>
      <c r="AF78" s="104" t="s">
        <v>468</v>
      </c>
      <c r="AG78" s="104" t="s">
        <v>469</v>
      </c>
      <c r="AH78" s="104" t="s">
        <v>1637</v>
      </c>
      <c r="AI78" s="104" t="s">
        <v>26</v>
      </c>
      <c r="AJ78" s="104" t="s">
        <v>26</v>
      </c>
      <c r="AK78" s="104" t="s">
        <v>1544</v>
      </c>
      <c r="AL78" s="104" t="s">
        <v>1638</v>
      </c>
      <c r="AM78" s="104" t="s">
        <v>1639</v>
      </c>
      <c r="AN78" s="157" t="s">
        <v>1530</v>
      </c>
      <c r="AO78" t="s">
        <v>2</v>
      </c>
    </row>
    <row r="79" spans="1:41">
      <c r="A79" s="178"/>
      <c r="B79" s="179" t="s">
        <v>2147</v>
      </c>
      <c r="C79" s="179"/>
      <c r="D79" s="179" t="s">
        <v>2148</v>
      </c>
      <c r="E79" s="179"/>
      <c r="F79" s="179"/>
      <c r="G79" s="178"/>
      <c r="H79" s="179"/>
      <c r="I79" s="179"/>
      <c r="J79" s="179"/>
      <c r="K79" s="179"/>
      <c r="L79" s="179"/>
      <c r="M79" s="179">
        <v>920004245</v>
      </c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 t="s">
        <v>2150</v>
      </c>
      <c r="Z79" s="178">
        <v>3</v>
      </c>
      <c r="AA79" s="181" t="s">
        <v>2372</v>
      </c>
      <c r="AB79" s="181" t="s">
        <v>467</v>
      </c>
      <c r="AC79" s="181" t="s">
        <v>26</v>
      </c>
      <c r="AD79" s="181" t="s">
        <v>466</v>
      </c>
      <c r="AE79" s="181" t="s">
        <v>466</v>
      </c>
      <c r="AF79" s="181" t="s">
        <v>468</v>
      </c>
      <c r="AG79" s="181" t="s">
        <v>469</v>
      </c>
      <c r="AH79" s="181" t="s">
        <v>1637</v>
      </c>
      <c r="AI79" s="181" t="s">
        <v>26</v>
      </c>
      <c r="AJ79" s="181" t="s">
        <v>26</v>
      </c>
      <c r="AK79" s="181" t="s">
        <v>1544</v>
      </c>
      <c r="AL79" s="181" t="s">
        <v>1638</v>
      </c>
      <c r="AM79" s="181" t="s">
        <v>1639</v>
      </c>
      <c r="AN79" s="182" t="s">
        <v>1530</v>
      </c>
      <c r="AO79" s="181">
        <v>0</v>
      </c>
    </row>
    <row r="80" spans="1:41">
      <c r="A80" s="178"/>
      <c r="B80" s="179" t="s">
        <v>2147</v>
      </c>
      <c r="C80" s="179"/>
      <c r="D80" s="179" t="s">
        <v>2148</v>
      </c>
      <c r="E80" s="179"/>
      <c r="F80" s="179"/>
      <c r="G80" s="178"/>
      <c r="H80" s="179"/>
      <c r="I80" s="179"/>
      <c r="J80" s="179"/>
      <c r="K80" s="179"/>
      <c r="L80" s="179"/>
      <c r="M80" s="179">
        <v>920004246</v>
      </c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 t="s">
        <v>2150</v>
      </c>
      <c r="Z80" s="178">
        <v>3</v>
      </c>
      <c r="AA80" s="181" t="s">
        <v>2373</v>
      </c>
      <c r="AB80" s="181" t="s">
        <v>467</v>
      </c>
      <c r="AC80" s="181" t="s">
        <v>26</v>
      </c>
      <c r="AD80" s="181" t="s">
        <v>466</v>
      </c>
      <c r="AE80" s="181" t="s">
        <v>466</v>
      </c>
      <c r="AF80" s="181" t="s">
        <v>468</v>
      </c>
      <c r="AG80" s="181" t="s">
        <v>469</v>
      </c>
      <c r="AH80" s="181" t="s">
        <v>1637</v>
      </c>
      <c r="AI80" s="181" t="s">
        <v>26</v>
      </c>
      <c r="AJ80" s="181" t="s">
        <v>26</v>
      </c>
      <c r="AK80" s="181" t="s">
        <v>1544</v>
      </c>
      <c r="AL80" s="181" t="s">
        <v>1638</v>
      </c>
      <c r="AM80" s="181" t="s">
        <v>1639</v>
      </c>
      <c r="AN80" s="182" t="s">
        <v>1530</v>
      </c>
      <c r="AO80" s="181">
        <v>0</v>
      </c>
    </row>
    <row r="81" spans="1:41">
      <c r="A81" s="47"/>
      <c r="B81" s="26" t="s">
        <v>2147</v>
      </c>
      <c r="C81" s="26"/>
      <c r="D81" s="26" t="s">
        <v>2148</v>
      </c>
      <c r="E81" s="26"/>
      <c r="F81" s="26"/>
      <c r="G81" s="27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 t="s">
        <v>2150</v>
      </c>
      <c r="Z81" s="27">
        <v>3</v>
      </c>
      <c r="AA81" t="s">
        <v>1640</v>
      </c>
      <c r="AB81" t="s">
        <v>487</v>
      </c>
      <c r="AC81" t="s">
        <v>26</v>
      </c>
      <c r="AD81" t="s">
        <v>32</v>
      </c>
      <c r="AE81" t="s">
        <v>33</v>
      </c>
      <c r="AF81" t="s">
        <v>488</v>
      </c>
      <c r="AG81" t="s">
        <v>489</v>
      </c>
      <c r="AH81" t="s">
        <v>1641</v>
      </c>
      <c r="AI81" t="s">
        <v>26</v>
      </c>
      <c r="AJ81" t="s">
        <v>26</v>
      </c>
      <c r="AK81" t="s">
        <v>1541</v>
      </c>
      <c r="AL81" t="s">
        <v>1642</v>
      </c>
      <c r="AM81" t="s">
        <v>1643</v>
      </c>
      <c r="AN81" s="44" t="s">
        <v>1530</v>
      </c>
      <c r="AO81" t="s">
        <v>2</v>
      </c>
    </row>
    <row r="82" spans="1:41">
      <c r="A82" s="47"/>
      <c r="B82" s="26" t="s">
        <v>2147</v>
      </c>
      <c r="C82" s="26"/>
      <c r="D82" s="26" t="s">
        <v>2148</v>
      </c>
      <c r="E82" s="26"/>
      <c r="F82" s="26"/>
      <c r="G82" s="27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 t="s">
        <v>2150</v>
      </c>
      <c r="Z82" s="27">
        <v>3</v>
      </c>
      <c r="AA82" t="s">
        <v>1644</v>
      </c>
      <c r="AB82" t="s">
        <v>28</v>
      </c>
      <c r="AC82" t="s">
        <v>26</v>
      </c>
      <c r="AD82" t="s">
        <v>27</v>
      </c>
      <c r="AE82" t="s">
        <v>27</v>
      </c>
      <c r="AF82" t="s">
        <v>29</v>
      </c>
      <c r="AG82" t="s">
        <v>30</v>
      </c>
      <c r="AH82" t="s">
        <v>1645</v>
      </c>
      <c r="AI82" t="s">
        <v>1646</v>
      </c>
      <c r="AJ82" t="s">
        <v>26</v>
      </c>
      <c r="AK82" t="s">
        <v>1544</v>
      </c>
      <c r="AL82" t="s">
        <v>1571</v>
      </c>
      <c r="AM82" t="s">
        <v>1572</v>
      </c>
      <c r="AN82" s="44" t="s">
        <v>1530</v>
      </c>
      <c r="AO82" t="s">
        <v>2</v>
      </c>
    </row>
    <row r="83" spans="1:41">
      <c r="A83" s="47"/>
      <c r="B83" s="26" t="s">
        <v>2147</v>
      </c>
      <c r="C83" s="26"/>
      <c r="D83" s="26" t="s">
        <v>2148</v>
      </c>
      <c r="E83" s="26"/>
      <c r="F83" s="26"/>
      <c r="G83" s="27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2150</v>
      </c>
      <c r="Z83" s="27">
        <v>3</v>
      </c>
      <c r="AA83" t="s">
        <v>1640</v>
      </c>
      <c r="AB83" t="s">
        <v>476</v>
      </c>
      <c r="AC83" t="s">
        <v>26</v>
      </c>
      <c r="AD83" t="s">
        <v>32</v>
      </c>
      <c r="AE83" t="s">
        <v>33</v>
      </c>
      <c r="AF83" t="s">
        <v>477</v>
      </c>
      <c r="AG83" t="s">
        <v>158</v>
      </c>
      <c r="AH83" t="s">
        <v>1647</v>
      </c>
      <c r="AI83" t="s">
        <v>26</v>
      </c>
      <c r="AJ83" t="s">
        <v>26</v>
      </c>
      <c r="AK83" t="s">
        <v>1648</v>
      </c>
      <c r="AL83" t="s">
        <v>1642</v>
      </c>
      <c r="AM83" t="s">
        <v>1643</v>
      </c>
      <c r="AN83" s="44" t="s">
        <v>1530</v>
      </c>
      <c r="AO83" t="s">
        <v>2</v>
      </c>
    </row>
    <row r="84" spans="1:41" s="104" customFormat="1">
      <c r="A84" s="27"/>
      <c r="B84" s="26" t="s">
        <v>2147</v>
      </c>
      <c r="C84" s="26"/>
      <c r="D84" s="26" t="s">
        <v>2148</v>
      </c>
      <c r="E84" s="26"/>
      <c r="F84" s="26"/>
      <c r="G84" s="27"/>
      <c r="H84" s="26"/>
      <c r="I84" s="26"/>
      <c r="J84" s="26"/>
      <c r="K84" s="26"/>
      <c r="L84" s="26"/>
      <c r="M84" s="26">
        <v>920004663</v>
      </c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2150</v>
      </c>
      <c r="Z84" s="27">
        <v>3</v>
      </c>
      <c r="AA84" s="104" t="s">
        <v>1649</v>
      </c>
      <c r="AB84" s="104" t="s">
        <v>156</v>
      </c>
      <c r="AC84" s="104" t="s">
        <v>26</v>
      </c>
      <c r="AD84" s="104" t="s">
        <v>32</v>
      </c>
      <c r="AE84" s="104" t="s">
        <v>33</v>
      </c>
      <c r="AF84" s="104" t="s">
        <v>157</v>
      </c>
      <c r="AG84" s="104" t="s">
        <v>158</v>
      </c>
      <c r="AH84" s="104" t="s">
        <v>1650</v>
      </c>
      <c r="AI84" s="104" t="s">
        <v>26</v>
      </c>
      <c r="AJ84" s="104" t="s">
        <v>26</v>
      </c>
      <c r="AK84" s="104" t="s">
        <v>1544</v>
      </c>
      <c r="AL84" s="104" t="s">
        <v>1642</v>
      </c>
      <c r="AM84" s="104" t="s">
        <v>1643</v>
      </c>
      <c r="AN84" s="157" t="s">
        <v>1530</v>
      </c>
      <c r="AO84" s="104" t="s">
        <v>2</v>
      </c>
    </row>
    <row r="85" spans="1:41">
      <c r="A85" s="178"/>
      <c r="B85" s="179" t="s">
        <v>2147</v>
      </c>
      <c r="C85" s="179"/>
      <c r="D85" s="179" t="s">
        <v>2148</v>
      </c>
      <c r="E85" s="179"/>
      <c r="F85" s="179"/>
      <c r="G85" s="178"/>
      <c r="H85" s="179"/>
      <c r="I85" s="179"/>
      <c r="J85" s="179"/>
      <c r="K85" s="179"/>
      <c r="L85" s="179"/>
      <c r="M85" s="179">
        <v>920002309</v>
      </c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179" t="s">
        <v>2150</v>
      </c>
      <c r="Z85" s="178">
        <v>3</v>
      </c>
      <c r="AA85" s="181" t="s">
        <v>1649</v>
      </c>
      <c r="AB85" s="181" t="s">
        <v>156</v>
      </c>
      <c r="AC85" s="181" t="s">
        <v>26</v>
      </c>
      <c r="AD85" s="181" t="s">
        <v>32</v>
      </c>
      <c r="AE85" s="181" t="s">
        <v>33</v>
      </c>
      <c r="AF85" s="181" t="s">
        <v>157</v>
      </c>
      <c r="AG85" s="181" t="s">
        <v>158</v>
      </c>
      <c r="AH85" s="181" t="s">
        <v>1650</v>
      </c>
      <c r="AI85" s="181" t="s">
        <v>26</v>
      </c>
      <c r="AJ85" s="181" t="s">
        <v>26</v>
      </c>
      <c r="AK85" s="181" t="s">
        <v>1544</v>
      </c>
      <c r="AL85" s="181" t="s">
        <v>1642</v>
      </c>
      <c r="AM85" s="181" t="s">
        <v>1643</v>
      </c>
      <c r="AN85" s="182" t="s">
        <v>1530</v>
      </c>
      <c r="AO85" s="181">
        <v>0</v>
      </c>
    </row>
    <row r="86" spans="1:41">
      <c r="A86" s="47"/>
      <c r="B86" s="26" t="s">
        <v>2147</v>
      </c>
      <c r="C86" s="26"/>
      <c r="D86" s="26" t="s">
        <v>2148</v>
      </c>
      <c r="E86" s="26"/>
      <c r="F86" s="26"/>
      <c r="G86" s="27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 t="s">
        <v>2150</v>
      </c>
      <c r="Z86" s="27">
        <v>3</v>
      </c>
      <c r="AA86" t="s">
        <v>1640</v>
      </c>
      <c r="AB86" t="s">
        <v>240</v>
      </c>
      <c r="AC86" t="s">
        <v>26</v>
      </c>
      <c r="AD86" t="s">
        <v>32</v>
      </c>
      <c r="AE86" t="s">
        <v>33</v>
      </c>
      <c r="AF86" t="s">
        <v>241</v>
      </c>
      <c r="AG86" t="s">
        <v>242</v>
      </c>
      <c r="AH86" t="s">
        <v>1651</v>
      </c>
      <c r="AI86" t="s">
        <v>26</v>
      </c>
      <c r="AJ86" t="s">
        <v>26</v>
      </c>
      <c r="AK86" t="s">
        <v>1652</v>
      </c>
      <c r="AL86" t="s">
        <v>1642</v>
      </c>
      <c r="AM86" t="s">
        <v>1643</v>
      </c>
      <c r="AN86" s="44" t="s">
        <v>1530</v>
      </c>
      <c r="AO86" t="s">
        <v>2</v>
      </c>
    </row>
    <row r="87" spans="1:41">
      <c r="A87" s="47"/>
      <c r="B87" s="26" t="s">
        <v>2147</v>
      </c>
      <c r="C87" s="26"/>
      <c r="D87" s="26" t="s">
        <v>2148</v>
      </c>
      <c r="E87" s="26"/>
      <c r="F87" s="26"/>
      <c r="G87" s="27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2150</v>
      </c>
      <c r="Z87" s="27">
        <v>3</v>
      </c>
      <c r="AA87" t="s">
        <v>1653</v>
      </c>
      <c r="AB87" t="s">
        <v>34</v>
      </c>
      <c r="AC87" t="s">
        <v>26</v>
      </c>
      <c r="AD87" t="s">
        <v>32</v>
      </c>
      <c r="AE87" t="s">
        <v>33</v>
      </c>
      <c r="AF87" t="s">
        <v>35</v>
      </c>
      <c r="AG87" t="s">
        <v>36</v>
      </c>
      <c r="AH87" t="s">
        <v>1654</v>
      </c>
      <c r="AI87" t="s">
        <v>1646</v>
      </c>
      <c r="AJ87" t="s">
        <v>26</v>
      </c>
      <c r="AK87" t="s">
        <v>1617</v>
      </c>
      <c r="AL87" t="s">
        <v>1642</v>
      </c>
      <c r="AM87" t="s">
        <v>1643</v>
      </c>
      <c r="AN87" s="44" t="s">
        <v>1530</v>
      </c>
      <c r="AO87" t="s">
        <v>2</v>
      </c>
    </row>
    <row r="88" spans="1:41" s="102" customFormat="1">
      <c r="A88" s="101">
        <v>506</v>
      </c>
      <c r="B88" s="147" t="s">
        <v>2147</v>
      </c>
      <c r="C88" s="147"/>
      <c r="D88" s="147" t="s">
        <v>2148</v>
      </c>
      <c r="E88" s="147"/>
      <c r="F88" s="147"/>
      <c r="G88" s="101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 t="s">
        <v>2150</v>
      </c>
      <c r="Z88" s="101">
        <v>3</v>
      </c>
      <c r="AA88" s="102" t="s">
        <v>1655</v>
      </c>
      <c r="AB88" s="102" t="s">
        <v>1656</v>
      </c>
      <c r="AC88" s="102" t="s">
        <v>26</v>
      </c>
      <c r="AD88" s="102" t="s">
        <v>26</v>
      </c>
      <c r="AE88" s="102" t="s">
        <v>26</v>
      </c>
      <c r="AF88" s="102" t="s">
        <v>1656</v>
      </c>
      <c r="AG88" s="102" t="s">
        <v>382</v>
      </c>
      <c r="AH88" s="102" t="s">
        <v>1657</v>
      </c>
      <c r="AI88" s="102" t="s">
        <v>26</v>
      </c>
      <c r="AJ88" s="102" t="s">
        <v>26</v>
      </c>
      <c r="AK88" s="102" t="s">
        <v>26</v>
      </c>
      <c r="AL88" s="102" t="s">
        <v>26</v>
      </c>
      <c r="AM88" s="102" t="s">
        <v>26</v>
      </c>
      <c r="AN88" s="148" t="s">
        <v>1530</v>
      </c>
      <c r="AO88" s="102" t="s">
        <v>2</v>
      </c>
    </row>
    <row r="89" spans="1:41" s="102" customFormat="1">
      <c r="A89" s="101">
        <v>506</v>
      </c>
      <c r="B89" s="147" t="s">
        <v>2147</v>
      </c>
      <c r="C89" s="147"/>
      <c r="D89" s="147" t="s">
        <v>2148</v>
      </c>
      <c r="E89" s="147"/>
      <c r="F89" s="147"/>
      <c r="G89" s="101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 t="s">
        <v>2150</v>
      </c>
      <c r="Z89" s="101">
        <v>3</v>
      </c>
      <c r="AA89" s="102" t="s">
        <v>1658</v>
      </c>
      <c r="AB89" s="102" t="s">
        <v>1659</v>
      </c>
      <c r="AC89" s="102" t="s">
        <v>26</v>
      </c>
      <c r="AD89" s="102" t="s">
        <v>26</v>
      </c>
      <c r="AE89" s="102" t="s">
        <v>26</v>
      </c>
      <c r="AF89" s="102" t="s">
        <v>1659</v>
      </c>
      <c r="AG89" s="102" t="s">
        <v>669</v>
      </c>
      <c r="AH89" s="102" t="s">
        <v>1660</v>
      </c>
      <c r="AI89" s="102" t="s">
        <v>26</v>
      </c>
      <c r="AJ89" s="102" t="s">
        <v>26</v>
      </c>
      <c r="AK89" s="102" t="s">
        <v>26</v>
      </c>
      <c r="AL89" s="102" t="s">
        <v>26</v>
      </c>
      <c r="AM89" s="102" t="s">
        <v>26</v>
      </c>
      <c r="AN89" s="148" t="s">
        <v>1530</v>
      </c>
      <c r="AO89" s="102" t="s">
        <v>2</v>
      </c>
    </row>
    <row r="90" spans="1:41">
      <c r="A90" s="47">
        <v>506</v>
      </c>
      <c r="B90" s="26" t="s">
        <v>2147</v>
      </c>
      <c r="C90" s="26"/>
      <c r="D90" s="26" t="s">
        <v>2148</v>
      </c>
      <c r="E90" s="26"/>
      <c r="F90" s="26"/>
      <c r="G90" s="27"/>
      <c r="H90" s="26"/>
      <c r="I90" s="26"/>
      <c r="J90" s="26"/>
      <c r="K90" s="26"/>
      <c r="L90" s="40" t="s">
        <v>2206</v>
      </c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 t="s">
        <v>2150</v>
      </c>
      <c r="Z90" s="27">
        <v>3</v>
      </c>
      <c r="AA90" s="146" t="s">
        <v>1710</v>
      </c>
      <c r="AB90" t="s">
        <v>1659</v>
      </c>
      <c r="AC90" t="s">
        <v>26</v>
      </c>
      <c r="AD90" t="s">
        <v>26</v>
      </c>
      <c r="AE90" t="s">
        <v>26</v>
      </c>
      <c r="AF90" t="s">
        <v>1659</v>
      </c>
      <c r="AG90" t="s">
        <v>669</v>
      </c>
      <c r="AH90" s="146" t="s">
        <v>1715</v>
      </c>
      <c r="AI90" t="s">
        <v>26</v>
      </c>
      <c r="AJ90" t="s">
        <v>26</v>
      </c>
      <c r="AK90" t="s">
        <v>26</v>
      </c>
      <c r="AL90" t="s">
        <v>26</v>
      </c>
      <c r="AM90" t="s">
        <v>26</v>
      </c>
      <c r="AN90" s="44" t="s">
        <v>1530</v>
      </c>
      <c r="AO90" t="s">
        <v>2</v>
      </c>
    </row>
    <row r="91" spans="1:41">
      <c r="A91" s="47"/>
      <c r="B91" s="26" t="s">
        <v>2147</v>
      </c>
      <c r="C91" s="26"/>
      <c r="D91" s="26" t="s">
        <v>2148</v>
      </c>
      <c r="E91" s="26"/>
      <c r="F91" s="26"/>
      <c r="G91" s="27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2150</v>
      </c>
      <c r="Z91" s="27">
        <v>3</v>
      </c>
      <c r="AA91" t="s">
        <v>1661</v>
      </c>
      <c r="AB91" t="s">
        <v>1662</v>
      </c>
      <c r="AC91" t="s">
        <v>26</v>
      </c>
      <c r="AD91" t="s">
        <v>26</v>
      </c>
      <c r="AE91" t="s">
        <v>26</v>
      </c>
      <c r="AF91" t="s">
        <v>1662</v>
      </c>
      <c r="AG91" t="s">
        <v>90</v>
      </c>
      <c r="AH91" t="s">
        <v>1663</v>
      </c>
      <c r="AI91" t="s">
        <v>26</v>
      </c>
      <c r="AJ91" t="s">
        <v>26</v>
      </c>
      <c r="AK91" t="s">
        <v>26</v>
      </c>
      <c r="AL91" t="s">
        <v>26</v>
      </c>
      <c r="AM91" t="s">
        <v>26</v>
      </c>
      <c r="AN91" s="44" t="s">
        <v>1530</v>
      </c>
      <c r="AO91" t="s">
        <v>2</v>
      </c>
    </row>
    <row r="92" spans="1:41">
      <c r="A92" s="47"/>
      <c r="B92" s="26" t="s">
        <v>2147</v>
      </c>
      <c r="C92" s="26"/>
      <c r="D92" s="26" t="s">
        <v>2148</v>
      </c>
      <c r="E92" s="26"/>
      <c r="F92" s="26"/>
      <c r="G92" s="27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 t="s">
        <v>2150</v>
      </c>
      <c r="Z92" s="27">
        <v>3</v>
      </c>
      <c r="AA92" t="s">
        <v>1661</v>
      </c>
      <c r="AB92" t="s">
        <v>1664</v>
      </c>
      <c r="AC92" t="s">
        <v>26</v>
      </c>
      <c r="AD92" t="s">
        <v>26</v>
      </c>
      <c r="AE92" t="s">
        <v>26</v>
      </c>
      <c r="AF92" t="s">
        <v>1664</v>
      </c>
      <c r="AG92" t="s">
        <v>1665</v>
      </c>
      <c r="AH92" t="s">
        <v>1666</v>
      </c>
      <c r="AI92" t="s">
        <v>26</v>
      </c>
      <c r="AJ92" t="s">
        <v>26</v>
      </c>
      <c r="AK92" t="s">
        <v>26</v>
      </c>
      <c r="AL92" t="s">
        <v>26</v>
      </c>
      <c r="AM92" t="s">
        <v>26</v>
      </c>
      <c r="AN92" s="44" t="s">
        <v>1530</v>
      </c>
      <c r="AO92" t="s">
        <v>2</v>
      </c>
    </row>
    <row r="93" spans="1:41">
      <c r="A93" s="47"/>
      <c r="B93" s="26" t="s">
        <v>2147</v>
      </c>
      <c r="C93" s="26"/>
      <c r="D93" s="26" t="s">
        <v>2148</v>
      </c>
      <c r="E93" s="26"/>
      <c r="F93" s="26"/>
      <c r="G93" s="27"/>
      <c r="H93" s="26"/>
      <c r="I93" s="26"/>
      <c r="J93" s="26"/>
      <c r="K93" s="26"/>
      <c r="L93" s="151" t="s">
        <v>2206</v>
      </c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 t="s">
        <v>2150</v>
      </c>
      <c r="Z93" s="27">
        <v>3</v>
      </c>
      <c r="AA93" t="s">
        <v>1667</v>
      </c>
      <c r="AB93" t="s">
        <v>1668</v>
      </c>
      <c r="AC93" t="s">
        <v>26</v>
      </c>
      <c r="AD93" t="s">
        <v>26</v>
      </c>
      <c r="AE93" t="s">
        <v>26</v>
      </c>
      <c r="AF93" t="s">
        <v>1668</v>
      </c>
      <c r="AG93" t="s">
        <v>1669</v>
      </c>
      <c r="AH93" t="s">
        <v>1670</v>
      </c>
      <c r="AI93" t="s">
        <v>26</v>
      </c>
      <c r="AJ93" t="s">
        <v>26</v>
      </c>
      <c r="AK93" t="s">
        <v>26</v>
      </c>
      <c r="AL93" t="s">
        <v>26</v>
      </c>
      <c r="AM93" t="s">
        <v>26</v>
      </c>
      <c r="AN93" s="44" t="s">
        <v>1530</v>
      </c>
      <c r="AO93" t="s">
        <v>2</v>
      </c>
    </row>
    <row r="94" spans="1:41">
      <c r="A94" s="47"/>
      <c r="B94" s="26" t="s">
        <v>2147</v>
      </c>
      <c r="C94" s="26"/>
      <c r="D94" s="26" t="s">
        <v>2148</v>
      </c>
      <c r="E94" s="26"/>
      <c r="F94" s="26"/>
      <c r="G94" s="27"/>
      <c r="H94" s="26"/>
      <c r="I94" s="26"/>
      <c r="J94" s="26"/>
      <c r="K94" s="26"/>
      <c r="L94" s="151" t="s">
        <v>2206</v>
      </c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2150</v>
      </c>
      <c r="Z94" s="27">
        <v>3</v>
      </c>
      <c r="AA94" t="s">
        <v>1667</v>
      </c>
      <c r="AB94" t="s">
        <v>1671</v>
      </c>
      <c r="AC94" t="s">
        <v>26</v>
      </c>
      <c r="AD94" t="s">
        <v>26</v>
      </c>
      <c r="AE94" t="s">
        <v>26</v>
      </c>
      <c r="AF94" t="s">
        <v>1671</v>
      </c>
      <c r="AG94" t="s">
        <v>1672</v>
      </c>
      <c r="AH94" t="s">
        <v>1670</v>
      </c>
      <c r="AI94" t="s">
        <v>26</v>
      </c>
      <c r="AJ94" t="s">
        <v>26</v>
      </c>
      <c r="AK94" t="s">
        <v>26</v>
      </c>
      <c r="AL94" t="s">
        <v>26</v>
      </c>
      <c r="AM94" t="s">
        <v>26</v>
      </c>
      <c r="AN94" s="44" t="s">
        <v>1530</v>
      </c>
      <c r="AO94" t="s">
        <v>2</v>
      </c>
    </row>
    <row r="95" spans="1:41">
      <c r="A95" s="47"/>
      <c r="B95" s="26" t="s">
        <v>2147</v>
      </c>
      <c r="C95" s="26"/>
      <c r="D95" s="26" t="s">
        <v>2148</v>
      </c>
      <c r="E95" s="26"/>
      <c r="F95" s="26"/>
      <c r="G95" s="27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 t="s">
        <v>2150</v>
      </c>
      <c r="Z95" s="27">
        <v>3</v>
      </c>
      <c r="AA95" t="s">
        <v>1673</v>
      </c>
      <c r="AB95" t="s">
        <v>1674</v>
      </c>
      <c r="AC95" t="s">
        <v>26</v>
      </c>
      <c r="AD95" t="s">
        <v>26</v>
      </c>
      <c r="AE95" t="s">
        <v>26</v>
      </c>
      <c r="AF95" t="s">
        <v>1674</v>
      </c>
      <c r="AG95" t="s">
        <v>1675</v>
      </c>
      <c r="AH95" t="s">
        <v>1676</v>
      </c>
      <c r="AI95" t="s">
        <v>26</v>
      </c>
      <c r="AJ95" t="s">
        <v>26</v>
      </c>
      <c r="AK95" t="s">
        <v>26</v>
      </c>
      <c r="AL95" t="s">
        <v>26</v>
      </c>
      <c r="AM95" t="s">
        <v>26</v>
      </c>
      <c r="AN95" s="44" t="s">
        <v>1530</v>
      </c>
      <c r="AO95" t="s">
        <v>2</v>
      </c>
    </row>
    <row r="96" spans="1:41">
      <c r="A96" s="47"/>
      <c r="B96" s="26" t="s">
        <v>2147</v>
      </c>
      <c r="C96" s="26"/>
      <c r="D96" s="26" t="s">
        <v>2148</v>
      </c>
      <c r="E96" s="26"/>
      <c r="F96" s="26"/>
      <c r="G96" s="27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 t="s">
        <v>2150</v>
      </c>
      <c r="Z96" s="27">
        <v>3</v>
      </c>
      <c r="AA96" t="s">
        <v>1658</v>
      </c>
      <c r="AB96" t="s">
        <v>1677</v>
      </c>
      <c r="AC96" t="s">
        <v>26</v>
      </c>
      <c r="AD96" t="s">
        <v>26</v>
      </c>
      <c r="AE96" t="s">
        <v>26</v>
      </c>
      <c r="AF96" t="s">
        <v>1677</v>
      </c>
      <c r="AG96" t="s">
        <v>1678</v>
      </c>
      <c r="AH96" t="s">
        <v>1660</v>
      </c>
      <c r="AI96" t="s">
        <v>26</v>
      </c>
      <c r="AJ96" t="s">
        <v>26</v>
      </c>
      <c r="AK96" t="s">
        <v>26</v>
      </c>
      <c r="AL96" t="s">
        <v>26</v>
      </c>
      <c r="AM96" t="s">
        <v>26</v>
      </c>
      <c r="AN96" s="44" t="s">
        <v>1530</v>
      </c>
      <c r="AO96" t="s">
        <v>2</v>
      </c>
    </row>
    <row r="97" spans="1:41">
      <c r="A97" s="101">
        <v>508</v>
      </c>
      <c r="B97" s="147" t="s">
        <v>2147</v>
      </c>
      <c r="C97" s="147"/>
      <c r="D97" s="147" t="s">
        <v>2148</v>
      </c>
      <c r="E97" s="147"/>
      <c r="F97" s="147"/>
      <c r="G97" s="101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 t="s">
        <v>2150</v>
      </c>
      <c r="Z97" s="101">
        <v>3</v>
      </c>
      <c r="AA97" s="102" t="s">
        <v>1661</v>
      </c>
      <c r="AB97" s="102" t="s">
        <v>1679</v>
      </c>
      <c r="AC97" s="102" t="s">
        <v>26</v>
      </c>
      <c r="AD97" s="102" t="s">
        <v>26</v>
      </c>
      <c r="AE97" s="102" t="s">
        <v>26</v>
      </c>
      <c r="AF97" s="102" t="s">
        <v>1679</v>
      </c>
      <c r="AG97" s="102" t="s">
        <v>1680</v>
      </c>
      <c r="AH97" s="102" t="s">
        <v>1681</v>
      </c>
      <c r="AI97" s="102" t="s">
        <v>26</v>
      </c>
      <c r="AJ97" s="102" t="s">
        <v>26</v>
      </c>
      <c r="AK97" s="102" t="s">
        <v>26</v>
      </c>
      <c r="AL97" s="102" t="s">
        <v>26</v>
      </c>
      <c r="AM97" s="102" t="s">
        <v>26</v>
      </c>
      <c r="AN97" s="148" t="s">
        <v>1530</v>
      </c>
      <c r="AO97" s="102" t="s">
        <v>2</v>
      </c>
    </row>
    <row r="98" spans="1:41">
      <c r="A98" s="47">
        <v>508</v>
      </c>
      <c r="B98" s="26" t="s">
        <v>2147</v>
      </c>
      <c r="C98" s="26"/>
      <c r="D98" s="26" t="s">
        <v>2148</v>
      </c>
      <c r="E98" s="26"/>
      <c r="F98" s="26"/>
      <c r="G98" s="27"/>
      <c r="H98" s="26"/>
      <c r="I98" s="26"/>
      <c r="J98" s="26"/>
      <c r="K98" s="26"/>
      <c r="L98" s="151" t="s">
        <v>2206</v>
      </c>
      <c r="M98" s="149">
        <v>990001620</v>
      </c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 t="s">
        <v>2150</v>
      </c>
      <c r="Z98" s="27">
        <v>3</v>
      </c>
      <c r="AA98" t="s">
        <v>1658</v>
      </c>
      <c r="AB98" t="s">
        <v>1679</v>
      </c>
      <c r="AC98" t="s">
        <v>26</v>
      </c>
      <c r="AD98" t="s">
        <v>26</v>
      </c>
      <c r="AE98" t="s">
        <v>26</v>
      </c>
      <c r="AF98" t="s">
        <v>1679</v>
      </c>
      <c r="AG98" t="s">
        <v>1680</v>
      </c>
      <c r="AH98" s="146" t="s">
        <v>1660</v>
      </c>
      <c r="AI98" t="s">
        <v>26</v>
      </c>
      <c r="AJ98" t="s">
        <v>26</v>
      </c>
      <c r="AK98" t="s">
        <v>26</v>
      </c>
      <c r="AL98" t="s">
        <v>26</v>
      </c>
      <c r="AM98" t="s">
        <v>26</v>
      </c>
      <c r="AN98" s="44" t="s">
        <v>1530</v>
      </c>
      <c r="AO98" t="s">
        <v>2</v>
      </c>
    </row>
    <row r="99" spans="1:41">
      <c r="A99" s="47"/>
      <c r="B99" s="26" t="s">
        <v>2147</v>
      </c>
      <c r="C99" s="26"/>
      <c r="D99" s="26" t="s">
        <v>2148</v>
      </c>
      <c r="E99" s="26"/>
      <c r="F99" s="26"/>
      <c r="G99" s="27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 t="s">
        <v>2150</v>
      </c>
      <c r="Z99" s="27">
        <v>3</v>
      </c>
      <c r="AA99" t="s">
        <v>1661</v>
      </c>
      <c r="AB99" t="s">
        <v>1682</v>
      </c>
      <c r="AC99" t="s">
        <v>26</v>
      </c>
      <c r="AD99" t="s">
        <v>26</v>
      </c>
      <c r="AE99" t="s">
        <v>26</v>
      </c>
      <c r="AF99" t="s">
        <v>1682</v>
      </c>
      <c r="AG99" t="s">
        <v>1683</v>
      </c>
      <c r="AH99" t="s">
        <v>1684</v>
      </c>
      <c r="AI99" t="s">
        <v>26</v>
      </c>
      <c r="AJ99" t="s">
        <v>26</v>
      </c>
      <c r="AK99" t="s">
        <v>26</v>
      </c>
      <c r="AL99" t="s">
        <v>26</v>
      </c>
      <c r="AM99" t="s">
        <v>26</v>
      </c>
      <c r="AN99" s="44" t="s">
        <v>1530</v>
      </c>
      <c r="AO99" t="s">
        <v>2</v>
      </c>
    </row>
    <row r="100" spans="1:41">
      <c r="A100" s="47"/>
      <c r="B100" s="26" t="s">
        <v>2147</v>
      </c>
      <c r="C100" s="26"/>
      <c r="D100" s="26" t="s">
        <v>2148</v>
      </c>
      <c r="E100" s="26"/>
      <c r="F100" s="26"/>
      <c r="G100" s="27"/>
      <c r="H100" s="26"/>
      <c r="I100" s="26"/>
      <c r="J100" s="26"/>
      <c r="K100" s="26"/>
      <c r="L100" s="40" t="s">
        <v>2206</v>
      </c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 t="s">
        <v>2150</v>
      </c>
      <c r="Z100" s="27">
        <v>3</v>
      </c>
      <c r="AA100" t="s">
        <v>1658</v>
      </c>
      <c r="AB100" t="s">
        <v>1685</v>
      </c>
      <c r="AC100" t="s">
        <v>26</v>
      </c>
      <c r="AD100" t="s">
        <v>26</v>
      </c>
      <c r="AE100" t="s">
        <v>26</v>
      </c>
      <c r="AF100" t="s">
        <v>1685</v>
      </c>
      <c r="AG100" t="s">
        <v>110</v>
      </c>
      <c r="AH100" t="s">
        <v>1660</v>
      </c>
      <c r="AI100" t="s">
        <v>26</v>
      </c>
      <c r="AJ100" t="s">
        <v>26</v>
      </c>
      <c r="AK100" t="s">
        <v>26</v>
      </c>
      <c r="AL100" t="s">
        <v>26</v>
      </c>
      <c r="AM100" t="s">
        <v>26</v>
      </c>
      <c r="AN100" s="44" t="s">
        <v>1530</v>
      </c>
      <c r="AO100" t="s">
        <v>2</v>
      </c>
    </row>
    <row r="101" spans="1:41">
      <c r="A101" s="47"/>
      <c r="B101" s="26" t="s">
        <v>2147</v>
      </c>
      <c r="C101" s="26"/>
      <c r="D101" s="26" t="s">
        <v>2148</v>
      </c>
      <c r="E101" s="26"/>
      <c r="F101" s="26"/>
      <c r="G101" s="27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 t="s">
        <v>2150</v>
      </c>
      <c r="Z101" s="27">
        <v>3</v>
      </c>
      <c r="AA101" t="s">
        <v>1686</v>
      </c>
      <c r="AB101" t="s">
        <v>1687</v>
      </c>
      <c r="AC101" t="s">
        <v>26</v>
      </c>
      <c r="AD101" t="s">
        <v>26</v>
      </c>
      <c r="AE101" t="s">
        <v>26</v>
      </c>
      <c r="AF101" t="s">
        <v>1687</v>
      </c>
      <c r="AG101" t="s">
        <v>1688</v>
      </c>
      <c r="AH101" t="s">
        <v>1689</v>
      </c>
      <c r="AI101" t="s">
        <v>26</v>
      </c>
      <c r="AJ101" t="s">
        <v>26</v>
      </c>
      <c r="AK101" t="s">
        <v>26</v>
      </c>
      <c r="AL101" t="s">
        <v>26</v>
      </c>
      <c r="AM101" t="s">
        <v>26</v>
      </c>
      <c r="AN101" s="44" t="s">
        <v>1530</v>
      </c>
      <c r="AO101" t="s">
        <v>2</v>
      </c>
    </row>
    <row r="102" spans="1:41">
      <c r="A102" s="47"/>
      <c r="B102" s="26" t="s">
        <v>2147</v>
      </c>
      <c r="C102" s="26"/>
      <c r="D102" s="26" t="s">
        <v>2148</v>
      </c>
      <c r="E102" s="26"/>
      <c r="F102" s="26"/>
      <c r="G102" s="27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 t="s">
        <v>2150</v>
      </c>
      <c r="Z102" s="27">
        <v>3</v>
      </c>
      <c r="AA102" t="s">
        <v>1655</v>
      </c>
      <c r="AB102" t="s">
        <v>1690</v>
      </c>
      <c r="AC102" t="s">
        <v>26</v>
      </c>
      <c r="AD102" t="s">
        <v>26</v>
      </c>
      <c r="AE102" t="s">
        <v>26</v>
      </c>
      <c r="AF102" t="s">
        <v>1690</v>
      </c>
      <c r="AG102" t="s">
        <v>1688</v>
      </c>
      <c r="AH102" t="s">
        <v>1691</v>
      </c>
      <c r="AI102" t="s">
        <v>26</v>
      </c>
      <c r="AJ102" t="s">
        <v>26</v>
      </c>
      <c r="AK102" t="s">
        <v>26</v>
      </c>
      <c r="AL102" t="s">
        <v>26</v>
      </c>
      <c r="AM102" t="s">
        <v>26</v>
      </c>
      <c r="AN102" s="44" t="s">
        <v>1530</v>
      </c>
      <c r="AO102" t="s">
        <v>2</v>
      </c>
    </row>
    <row r="103" spans="1:41">
      <c r="A103" s="47"/>
      <c r="B103" s="26" t="s">
        <v>2147</v>
      </c>
      <c r="C103" s="26"/>
      <c r="D103" s="26" t="s">
        <v>2159</v>
      </c>
      <c r="E103" s="26"/>
      <c r="F103" s="26"/>
      <c r="G103" s="27"/>
      <c r="H103" s="26" t="s">
        <v>2160</v>
      </c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2161</v>
      </c>
      <c r="Z103" s="27">
        <v>3</v>
      </c>
      <c r="AA103" t="s">
        <v>1692</v>
      </c>
      <c r="AB103" t="s">
        <v>1693</v>
      </c>
      <c r="AC103" t="s">
        <v>26</v>
      </c>
      <c r="AD103" t="s">
        <v>26</v>
      </c>
      <c r="AE103" t="s">
        <v>26</v>
      </c>
      <c r="AF103" t="s">
        <v>1693</v>
      </c>
      <c r="AG103" t="s">
        <v>1694</v>
      </c>
      <c r="AH103" t="s">
        <v>1695</v>
      </c>
      <c r="AI103" t="s">
        <v>26</v>
      </c>
      <c r="AJ103" t="s">
        <v>26</v>
      </c>
      <c r="AK103" t="s">
        <v>26</v>
      </c>
      <c r="AL103" t="s">
        <v>26</v>
      </c>
      <c r="AM103" t="s">
        <v>26</v>
      </c>
      <c r="AN103" s="44" t="s">
        <v>1530</v>
      </c>
      <c r="AO103" t="s">
        <v>2</v>
      </c>
    </row>
    <row r="104" spans="1:41">
      <c r="A104" s="47"/>
      <c r="B104" s="26" t="s">
        <v>2147</v>
      </c>
      <c r="C104" s="26"/>
      <c r="D104" s="26" t="s">
        <v>2159</v>
      </c>
      <c r="E104" s="26"/>
      <c r="F104" s="26"/>
      <c r="G104" s="27"/>
      <c r="H104" s="26" t="s">
        <v>2160</v>
      </c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 t="s">
        <v>2161</v>
      </c>
      <c r="Z104" s="27">
        <v>3</v>
      </c>
      <c r="AA104" t="s">
        <v>1686</v>
      </c>
      <c r="AB104" t="s">
        <v>1696</v>
      </c>
      <c r="AC104" t="s">
        <v>26</v>
      </c>
      <c r="AD104" t="s">
        <v>26</v>
      </c>
      <c r="AE104" t="s">
        <v>26</v>
      </c>
      <c r="AF104" t="s">
        <v>1696</v>
      </c>
      <c r="AG104" t="s">
        <v>1697</v>
      </c>
      <c r="AH104" t="s">
        <v>1689</v>
      </c>
      <c r="AI104" t="s">
        <v>26</v>
      </c>
      <c r="AJ104" t="s">
        <v>26</v>
      </c>
      <c r="AK104" t="s">
        <v>26</v>
      </c>
      <c r="AL104" t="s">
        <v>26</v>
      </c>
      <c r="AM104" t="s">
        <v>26</v>
      </c>
      <c r="AN104" s="44" t="s">
        <v>1530</v>
      </c>
      <c r="AO104" t="s">
        <v>2</v>
      </c>
    </row>
    <row r="105" spans="1:41">
      <c r="A105" s="47"/>
      <c r="B105" s="26" t="s">
        <v>2147</v>
      </c>
      <c r="C105" s="26"/>
      <c r="D105" s="26" t="s">
        <v>2159</v>
      </c>
      <c r="E105" s="26"/>
      <c r="F105" s="26"/>
      <c r="G105" s="27"/>
      <c r="H105" s="26" t="s">
        <v>2160</v>
      </c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 t="s">
        <v>2161</v>
      </c>
      <c r="Z105" s="27">
        <v>3</v>
      </c>
      <c r="AA105" t="s">
        <v>1686</v>
      </c>
      <c r="AB105" t="s">
        <v>1698</v>
      </c>
      <c r="AC105" t="s">
        <v>26</v>
      </c>
      <c r="AD105" t="s">
        <v>26</v>
      </c>
      <c r="AE105" t="s">
        <v>26</v>
      </c>
      <c r="AF105" t="s">
        <v>1698</v>
      </c>
      <c r="AG105" t="s">
        <v>1699</v>
      </c>
      <c r="AH105" t="s">
        <v>1689</v>
      </c>
      <c r="AI105" t="s">
        <v>26</v>
      </c>
      <c r="AJ105" t="s">
        <v>26</v>
      </c>
      <c r="AK105" t="s">
        <v>26</v>
      </c>
      <c r="AL105" t="s">
        <v>26</v>
      </c>
      <c r="AM105" t="s">
        <v>26</v>
      </c>
      <c r="AN105" s="44" t="s">
        <v>1530</v>
      </c>
      <c r="AO105" t="s">
        <v>2</v>
      </c>
    </row>
    <row r="106" spans="1:41">
      <c r="A106" s="47"/>
      <c r="B106" s="26" t="s">
        <v>2147</v>
      </c>
      <c r="C106" s="26"/>
      <c r="D106" s="26" t="s">
        <v>2159</v>
      </c>
      <c r="E106" s="26"/>
      <c r="F106" s="26"/>
      <c r="G106" s="27"/>
      <c r="H106" s="26" t="s">
        <v>2160</v>
      </c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 t="s">
        <v>2161</v>
      </c>
      <c r="Z106" s="27">
        <v>3</v>
      </c>
      <c r="AA106" t="s">
        <v>1686</v>
      </c>
      <c r="AB106" t="s">
        <v>1700</v>
      </c>
      <c r="AC106" t="s">
        <v>26</v>
      </c>
      <c r="AD106" t="s">
        <v>26</v>
      </c>
      <c r="AE106" t="s">
        <v>26</v>
      </c>
      <c r="AF106" t="s">
        <v>1700</v>
      </c>
      <c r="AG106" t="s">
        <v>1701</v>
      </c>
      <c r="AH106" t="s">
        <v>1689</v>
      </c>
      <c r="AI106" t="s">
        <v>26</v>
      </c>
      <c r="AJ106" t="s">
        <v>26</v>
      </c>
      <c r="AK106" t="s">
        <v>26</v>
      </c>
      <c r="AL106" t="s">
        <v>26</v>
      </c>
      <c r="AM106" t="s">
        <v>26</v>
      </c>
      <c r="AN106" s="44" t="s">
        <v>1530</v>
      </c>
      <c r="AO106" t="s">
        <v>2</v>
      </c>
    </row>
    <row r="107" spans="1:41">
      <c r="A107" s="47"/>
      <c r="B107" s="26" t="s">
        <v>2147</v>
      </c>
      <c r="C107" s="26"/>
      <c r="D107" s="26" t="s">
        <v>2148</v>
      </c>
      <c r="E107" s="26"/>
      <c r="F107" s="26"/>
      <c r="G107" s="27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 t="s">
        <v>2150</v>
      </c>
      <c r="Z107" s="27">
        <v>3</v>
      </c>
      <c r="AA107" t="s">
        <v>1661</v>
      </c>
      <c r="AB107" t="s">
        <v>1702</v>
      </c>
      <c r="AC107" t="s">
        <v>26</v>
      </c>
      <c r="AD107" t="s">
        <v>26</v>
      </c>
      <c r="AE107" t="s">
        <v>26</v>
      </c>
      <c r="AF107" t="s">
        <v>1702</v>
      </c>
      <c r="AG107" t="s">
        <v>1703</v>
      </c>
      <c r="AH107" t="s">
        <v>1704</v>
      </c>
      <c r="AI107" t="s">
        <v>26</v>
      </c>
      <c r="AJ107" t="s">
        <v>26</v>
      </c>
      <c r="AK107" t="s">
        <v>26</v>
      </c>
      <c r="AL107" t="s">
        <v>26</v>
      </c>
      <c r="AM107" t="s">
        <v>26</v>
      </c>
      <c r="AN107" s="44" t="s">
        <v>1530</v>
      </c>
      <c r="AO107" t="s">
        <v>2</v>
      </c>
    </row>
    <row r="108" spans="1:41">
      <c r="A108" s="47"/>
      <c r="B108" s="26" t="s">
        <v>2147</v>
      </c>
      <c r="C108" s="26"/>
      <c r="D108" s="26" t="s">
        <v>2159</v>
      </c>
      <c r="E108" s="26"/>
      <c r="F108" s="26"/>
      <c r="G108" s="27"/>
      <c r="H108" s="26" t="s">
        <v>2160</v>
      </c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 t="s">
        <v>2161</v>
      </c>
      <c r="Z108" s="27">
        <v>3</v>
      </c>
      <c r="AA108" t="s">
        <v>1655</v>
      </c>
      <c r="AB108" t="s">
        <v>1705</v>
      </c>
      <c r="AC108" t="s">
        <v>26</v>
      </c>
      <c r="AD108" t="s">
        <v>26</v>
      </c>
      <c r="AE108" t="s">
        <v>26</v>
      </c>
      <c r="AF108" t="s">
        <v>1705</v>
      </c>
      <c r="AG108" t="s">
        <v>1706</v>
      </c>
      <c r="AH108" t="s">
        <v>1691</v>
      </c>
      <c r="AI108" t="s">
        <v>26</v>
      </c>
      <c r="AJ108" t="s">
        <v>26</v>
      </c>
      <c r="AK108" t="s">
        <v>26</v>
      </c>
      <c r="AL108" t="s">
        <v>26</v>
      </c>
      <c r="AM108" t="s">
        <v>26</v>
      </c>
      <c r="AN108" s="44" t="s">
        <v>1530</v>
      </c>
      <c r="AO108" t="s">
        <v>2</v>
      </c>
    </row>
    <row r="109" spans="1:41">
      <c r="A109" s="47"/>
      <c r="B109" s="26" t="s">
        <v>2147</v>
      </c>
      <c r="C109" s="26"/>
      <c r="D109" s="26" t="s">
        <v>2148</v>
      </c>
      <c r="E109" s="26"/>
      <c r="F109" s="26"/>
      <c r="G109" s="27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 t="s">
        <v>2150</v>
      </c>
      <c r="Z109" s="27">
        <v>3</v>
      </c>
      <c r="AA109" t="s">
        <v>1661</v>
      </c>
      <c r="AB109" t="s">
        <v>1707</v>
      </c>
      <c r="AC109" t="s">
        <v>26</v>
      </c>
      <c r="AD109" t="s">
        <v>26</v>
      </c>
      <c r="AE109" t="s">
        <v>26</v>
      </c>
      <c r="AF109" t="s">
        <v>1707</v>
      </c>
      <c r="AG109" t="s">
        <v>1708</v>
      </c>
      <c r="AH109" t="s">
        <v>1684</v>
      </c>
      <c r="AI109" t="s">
        <v>26</v>
      </c>
      <c r="AJ109" t="s">
        <v>26</v>
      </c>
      <c r="AK109" t="s">
        <v>26</v>
      </c>
      <c r="AL109" t="s">
        <v>26</v>
      </c>
      <c r="AM109" t="s">
        <v>26</v>
      </c>
      <c r="AN109" s="44" t="s">
        <v>1530</v>
      </c>
      <c r="AO109" t="s">
        <v>2</v>
      </c>
    </row>
    <row r="110" spans="1:41">
      <c r="A110" s="47"/>
      <c r="B110" s="26" t="s">
        <v>2147</v>
      </c>
      <c r="C110" s="26"/>
      <c r="D110" s="26" t="s">
        <v>2148</v>
      </c>
      <c r="E110" s="26"/>
      <c r="F110" s="26"/>
      <c r="G110" s="27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 t="s">
        <v>2150</v>
      </c>
      <c r="Z110" s="27">
        <v>3</v>
      </c>
      <c r="AA110" t="s">
        <v>1661</v>
      </c>
      <c r="AB110" t="s">
        <v>1709</v>
      </c>
      <c r="AC110" t="s">
        <v>26</v>
      </c>
      <c r="AD110" t="s">
        <v>26</v>
      </c>
      <c r="AE110" t="s">
        <v>26</v>
      </c>
      <c r="AF110" t="s">
        <v>1709</v>
      </c>
      <c r="AG110" t="s">
        <v>1708</v>
      </c>
      <c r="AH110" t="s">
        <v>1684</v>
      </c>
      <c r="AI110" t="s">
        <v>26</v>
      </c>
      <c r="AJ110" t="s">
        <v>26</v>
      </c>
      <c r="AK110" t="s">
        <v>26</v>
      </c>
      <c r="AL110" t="s">
        <v>26</v>
      </c>
      <c r="AM110" t="s">
        <v>26</v>
      </c>
      <c r="AN110" s="44" t="s">
        <v>1530</v>
      </c>
      <c r="AO110" t="s">
        <v>2</v>
      </c>
    </row>
    <row r="111" spans="1:41">
      <c r="A111" s="47"/>
      <c r="B111" s="26" t="s">
        <v>2147</v>
      </c>
      <c r="C111" s="26"/>
      <c r="D111" s="26" t="s">
        <v>2148</v>
      </c>
      <c r="E111" s="26"/>
      <c r="F111" s="26"/>
      <c r="G111" s="27"/>
      <c r="H111" s="26"/>
      <c r="I111" s="26"/>
      <c r="J111" s="26"/>
      <c r="K111" s="26"/>
      <c r="L111" s="40" t="s">
        <v>2206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 t="s">
        <v>2150</v>
      </c>
      <c r="Z111" s="27">
        <v>3</v>
      </c>
      <c r="AA111" t="s">
        <v>1710</v>
      </c>
      <c r="AB111" t="s">
        <v>1711</v>
      </c>
      <c r="AC111" t="s">
        <v>26</v>
      </c>
      <c r="AD111" t="s">
        <v>26</v>
      </c>
      <c r="AE111" t="s">
        <v>26</v>
      </c>
      <c r="AF111" t="s">
        <v>1711</v>
      </c>
      <c r="AG111" t="s">
        <v>1712</v>
      </c>
      <c r="AH111" t="s">
        <v>1713</v>
      </c>
      <c r="AI111" t="s">
        <v>26</v>
      </c>
      <c r="AJ111" t="s">
        <v>26</v>
      </c>
      <c r="AK111" t="s">
        <v>26</v>
      </c>
      <c r="AL111" t="s">
        <v>26</v>
      </c>
      <c r="AM111" t="s">
        <v>26</v>
      </c>
      <c r="AN111" s="44" t="s">
        <v>1530</v>
      </c>
      <c r="AO111" t="s">
        <v>2</v>
      </c>
    </row>
    <row r="112" spans="1:41">
      <c r="A112" s="47"/>
      <c r="B112" s="26" t="s">
        <v>2147</v>
      </c>
      <c r="C112" s="26"/>
      <c r="D112" s="26" t="s">
        <v>2148</v>
      </c>
      <c r="E112" s="26"/>
      <c r="F112" s="26"/>
      <c r="G112" s="27"/>
      <c r="H112" s="26"/>
      <c r="I112" s="26"/>
      <c r="J112" s="26"/>
      <c r="K112" s="26"/>
      <c r="L112" s="40" t="s">
        <v>2206</v>
      </c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 t="s">
        <v>2150</v>
      </c>
      <c r="Z112" s="27">
        <v>3</v>
      </c>
      <c r="AA112" t="s">
        <v>1710</v>
      </c>
      <c r="AB112" t="s">
        <v>1714</v>
      </c>
      <c r="AC112" t="s">
        <v>26</v>
      </c>
      <c r="AD112" t="s">
        <v>26</v>
      </c>
      <c r="AE112" t="s">
        <v>26</v>
      </c>
      <c r="AF112" t="s">
        <v>1714</v>
      </c>
      <c r="AG112" t="s">
        <v>268</v>
      </c>
      <c r="AH112" t="s">
        <v>1715</v>
      </c>
      <c r="AI112" t="s">
        <v>26</v>
      </c>
      <c r="AJ112" t="s">
        <v>26</v>
      </c>
      <c r="AK112" t="s">
        <v>26</v>
      </c>
      <c r="AL112" t="s">
        <v>26</v>
      </c>
      <c r="AM112" t="s">
        <v>26</v>
      </c>
      <c r="AN112" s="44" t="s">
        <v>1530</v>
      </c>
      <c r="AO112" t="s">
        <v>2</v>
      </c>
    </row>
    <row r="113" spans="1:43">
      <c r="A113" s="47"/>
      <c r="B113" s="26" t="s">
        <v>2147</v>
      </c>
      <c r="C113" s="26"/>
      <c r="D113" s="26" t="s">
        <v>2148</v>
      </c>
      <c r="E113" s="26"/>
      <c r="F113" s="26"/>
      <c r="G113" s="27"/>
      <c r="H113" s="26"/>
      <c r="I113" s="26"/>
      <c r="J113" s="26"/>
      <c r="K113" s="26"/>
      <c r="L113" s="40" t="s">
        <v>2206</v>
      </c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 t="s">
        <v>2150</v>
      </c>
      <c r="Z113" s="27">
        <v>3</v>
      </c>
      <c r="AA113" t="s">
        <v>1710</v>
      </c>
      <c r="AB113" t="s">
        <v>1716</v>
      </c>
      <c r="AC113" t="s">
        <v>26</v>
      </c>
      <c r="AD113" t="s">
        <v>26</v>
      </c>
      <c r="AE113" t="s">
        <v>26</v>
      </c>
      <c r="AF113" t="s">
        <v>1716</v>
      </c>
      <c r="AG113" t="s">
        <v>1717</v>
      </c>
      <c r="AH113" t="s">
        <v>1715</v>
      </c>
      <c r="AI113" t="s">
        <v>26</v>
      </c>
      <c r="AJ113" t="s">
        <v>26</v>
      </c>
      <c r="AK113" t="s">
        <v>26</v>
      </c>
      <c r="AL113" t="s">
        <v>26</v>
      </c>
      <c r="AM113" t="s">
        <v>26</v>
      </c>
      <c r="AN113" s="44" t="s">
        <v>1530</v>
      </c>
      <c r="AO113" t="s">
        <v>2</v>
      </c>
    </row>
    <row r="114" spans="1:43">
      <c r="A114" s="146">
        <v>502</v>
      </c>
      <c r="B114" s="149" t="s">
        <v>2147</v>
      </c>
      <c r="C114" s="149"/>
      <c r="D114" s="149" t="s">
        <v>2148</v>
      </c>
      <c r="E114" s="149"/>
      <c r="F114" s="149"/>
      <c r="G114" s="146"/>
      <c r="H114" s="149"/>
      <c r="I114" s="149"/>
      <c r="J114" s="149"/>
      <c r="K114" s="149"/>
      <c r="L114" s="151" t="s">
        <v>2206</v>
      </c>
      <c r="M114" s="149"/>
      <c r="N114" s="149"/>
      <c r="O114" s="149"/>
      <c r="P114" s="149"/>
      <c r="Q114" s="149"/>
      <c r="R114" s="149"/>
      <c r="S114" s="149"/>
      <c r="T114" s="149"/>
      <c r="U114" s="149"/>
      <c r="V114" s="149"/>
      <c r="W114" s="149"/>
      <c r="X114" s="149"/>
      <c r="Y114" s="149" t="s">
        <v>2150</v>
      </c>
      <c r="Z114" s="146">
        <v>3</v>
      </c>
      <c r="AA114" s="146" t="s">
        <v>1667</v>
      </c>
      <c r="AB114" s="146" t="s">
        <v>2363</v>
      </c>
      <c r="AC114" s="146" t="s">
        <v>26</v>
      </c>
      <c r="AD114" s="146" t="s">
        <v>26</v>
      </c>
      <c r="AE114" s="146" t="s">
        <v>26</v>
      </c>
      <c r="AF114" s="146" t="s">
        <v>2363</v>
      </c>
      <c r="AG114" s="146" t="s">
        <v>714</v>
      </c>
      <c r="AH114" s="146" t="s">
        <v>1670</v>
      </c>
      <c r="AI114" s="146" t="s">
        <v>26</v>
      </c>
      <c r="AJ114" s="146" t="s">
        <v>26</v>
      </c>
      <c r="AK114" s="146" t="s">
        <v>26</v>
      </c>
      <c r="AL114" s="146" t="s">
        <v>26</v>
      </c>
      <c r="AM114" s="146" t="s">
        <v>26</v>
      </c>
      <c r="AN114" s="150" t="s">
        <v>1530</v>
      </c>
      <c r="AO114" s="146" t="s">
        <v>2</v>
      </c>
    </row>
    <row r="115" spans="1:43">
      <c r="A115" s="47"/>
      <c r="B115" s="26" t="s">
        <v>2147</v>
      </c>
      <c r="C115" s="26"/>
      <c r="D115" s="26" t="s">
        <v>2148</v>
      </c>
      <c r="E115" s="26"/>
      <c r="F115" s="26"/>
      <c r="G115" s="27"/>
      <c r="H115" s="26"/>
      <c r="I115" s="26"/>
      <c r="J115" s="26"/>
      <c r="K115" s="26"/>
      <c r="L115" s="40" t="s">
        <v>2206</v>
      </c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 t="s">
        <v>2150</v>
      </c>
      <c r="Z115" s="27">
        <v>3</v>
      </c>
      <c r="AA115" t="s">
        <v>1667</v>
      </c>
      <c r="AB115" t="s">
        <v>1718</v>
      </c>
      <c r="AC115" t="s">
        <v>26</v>
      </c>
      <c r="AD115" t="s">
        <v>26</v>
      </c>
      <c r="AE115" t="s">
        <v>26</v>
      </c>
      <c r="AF115" t="s">
        <v>1718</v>
      </c>
      <c r="AG115" t="s">
        <v>389</v>
      </c>
      <c r="AH115" t="s">
        <v>1670</v>
      </c>
      <c r="AI115" t="s">
        <v>26</v>
      </c>
      <c r="AJ115" t="s">
        <v>26</v>
      </c>
      <c r="AK115" t="s">
        <v>26</v>
      </c>
      <c r="AL115" t="s">
        <v>26</v>
      </c>
      <c r="AM115" t="s">
        <v>26</v>
      </c>
      <c r="AN115" s="44" t="s">
        <v>1530</v>
      </c>
      <c r="AO115" t="s">
        <v>2</v>
      </c>
    </row>
    <row r="116" spans="1:43">
      <c r="A116" s="47"/>
      <c r="B116" s="26" t="s">
        <v>2147</v>
      </c>
      <c r="C116" s="26"/>
      <c r="D116" s="26" t="s">
        <v>2148</v>
      </c>
      <c r="E116" s="26"/>
      <c r="F116" s="26"/>
      <c r="G116" s="27"/>
      <c r="H116" s="26"/>
      <c r="I116" s="26"/>
      <c r="J116" s="26"/>
      <c r="K116" s="26"/>
      <c r="L116" s="40" t="s">
        <v>2206</v>
      </c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 t="s">
        <v>2150</v>
      </c>
      <c r="Z116" s="27">
        <v>3</v>
      </c>
      <c r="AA116" t="s">
        <v>1658</v>
      </c>
      <c r="AB116" t="s">
        <v>1719</v>
      </c>
      <c r="AC116" t="s">
        <v>26</v>
      </c>
      <c r="AD116" t="s">
        <v>26</v>
      </c>
      <c r="AE116" t="s">
        <v>26</v>
      </c>
      <c r="AF116" t="s">
        <v>1719</v>
      </c>
      <c r="AG116" t="s">
        <v>1720</v>
      </c>
      <c r="AH116" t="s">
        <v>1660</v>
      </c>
      <c r="AI116" t="s">
        <v>26</v>
      </c>
      <c r="AJ116" t="s">
        <v>26</v>
      </c>
      <c r="AK116" t="s">
        <v>26</v>
      </c>
      <c r="AL116" t="s">
        <v>26</v>
      </c>
      <c r="AM116" t="s">
        <v>26</v>
      </c>
      <c r="AN116" s="44" t="s">
        <v>1530</v>
      </c>
      <c r="AO116" t="s">
        <v>2</v>
      </c>
    </row>
    <row r="117" spans="1:43">
      <c r="A117" s="47"/>
      <c r="B117" s="26" t="s">
        <v>2147</v>
      </c>
      <c r="C117" s="26"/>
      <c r="D117" s="26" t="s">
        <v>2148</v>
      </c>
      <c r="E117" s="26"/>
      <c r="F117" s="26"/>
      <c r="G117" s="27"/>
      <c r="H117" s="26"/>
      <c r="I117" s="26"/>
      <c r="J117" s="26"/>
      <c r="K117" s="26"/>
      <c r="L117" s="151" t="s">
        <v>2206</v>
      </c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 t="s">
        <v>2150</v>
      </c>
      <c r="Z117" s="27">
        <v>3</v>
      </c>
      <c r="AA117" t="s">
        <v>1658</v>
      </c>
      <c r="AB117" t="s">
        <v>1721</v>
      </c>
      <c r="AC117" t="s">
        <v>26</v>
      </c>
      <c r="AD117" t="s">
        <v>26</v>
      </c>
      <c r="AE117" t="s">
        <v>26</v>
      </c>
      <c r="AF117" t="s">
        <v>1721</v>
      </c>
      <c r="AG117" t="s">
        <v>1722</v>
      </c>
      <c r="AH117" t="s">
        <v>1660</v>
      </c>
      <c r="AI117" t="s">
        <v>26</v>
      </c>
      <c r="AJ117" t="s">
        <v>26</v>
      </c>
      <c r="AK117" t="s">
        <v>26</v>
      </c>
      <c r="AL117" t="s">
        <v>26</v>
      </c>
      <c r="AM117" t="s">
        <v>26</v>
      </c>
      <c r="AN117" s="44" t="s">
        <v>1530</v>
      </c>
      <c r="AO117" t="s">
        <v>2</v>
      </c>
    </row>
    <row r="118" spans="1:43">
      <c r="A118" s="47"/>
      <c r="B118" s="26" t="s">
        <v>2147</v>
      </c>
      <c r="C118" s="26"/>
      <c r="D118" s="26" t="s">
        <v>2148</v>
      </c>
      <c r="E118" s="26"/>
      <c r="F118" s="26"/>
      <c r="G118" s="27"/>
      <c r="H118" s="26"/>
      <c r="I118" s="26"/>
      <c r="J118" s="26"/>
      <c r="K118" s="26"/>
      <c r="L118" s="40" t="s">
        <v>2206</v>
      </c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2150</v>
      </c>
      <c r="Z118" s="27">
        <v>3</v>
      </c>
      <c r="AA118" t="s">
        <v>1667</v>
      </c>
      <c r="AB118" t="s">
        <v>1723</v>
      </c>
      <c r="AC118" t="s">
        <v>26</v>
      </c>
      <c r="AD118" t="s">
        <v>26</v>
      </c>
      <c r="AE118" t="s">
        <v>26</v>
      </c>
      <c r="AF118" t="s">
        <v>1723</v>
      </c>
      <c r="AG118" t="s">
        <v>473</v>
      </c>
      <c r="AH118" t="s">
        <v>1670</v>
      </c>
      <c r="AI118" t="s">
        <v>26</v>
      </c>
      <c r="AJ118" t="s">
        <v>26</v>
      </c>
      <c r="AK118" t="s">
        <v>26</v>
      </c>
      <c r="AL118" t="s">
        <v>26</v>
      </c>
      <c r="AM118" t="s">
        <v>26</v>
      </c>
      <c r="AN118" s="44" t="s">
        <v>1530</v>
      </c>
      <c r="AO118" t="s">
        <v>2</v>
      </c>
    </row>
    <row r="119" spans="1:43" s="104" customFormat="1">
      <c r="A119" s="101">
        <v>502</v>
      </c>
      <c r="B119" s="147" t="s">
        <v>2147</v>
      </c>
      <c r="C119" s="147"/>
      <c r="D119" s="147" t="s">
        <v>2148</v>
      </c>
      <c r="E119" s="147"/>
      <c r="F119" s="147"/>
      <c r="G119" s="101"/>
      <c r="H119" s="147"/>
      <c r="I119" s="147"/>
      <c r="J119" s="147"/>
      <c r="K119" s="147"/>
      <c r="L119" s="171" t="s">
        <v>2205</v>
      </c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 t="s">
        <v>2150</v>
      </c>
      <c r="Z119" s="101">
        <v>3</v>
      </c>
      <c r="AA119" s="102" t="s">
        <v>1667</v>
      </c>
      <c r="AB119" s="102" t="s">
        <v>1724</v>
      </c>
      <c r="AC119" s="102" t="s">
        <v>26</v>
      </c>
      <c r="AD119" s="102" t="s">
        <v>26</v>
      </c>
      <c r="AE119" s="102" t="s">
        <v>26</v>
      </c>
      <c r="AF119" s="102" t="s">
        <v>1724</v>
      </c>
      <c r="AG119" s="102" t="s">
        <v>1725</v>
      </c>
      <c r="AH119" s="102" t="s">
        <v>1670</v>
      </c>
      <c r="AI119" s="102" t="s">
        <v>26</v>
      </c>
      <c r="AJ119" s="102" t="s">
        <v>26</v>
      </c>
      <c r="AK119" s="102" t="s">
        <v>26</v>
      </c>
      <c r="AL119" s="102" t="s">
        <v>26</v>
      </c>
      <c r="AM119" s="102" t="s">
        <v>26</v>
      </c>
      <c r="AN119" s="148" t="s">
        <v>1530</v>
      </c>
      <c r="AO119" s="102" t="s">
        <v>2</v>
      </c>
      <c r="AP119" s="102"/>
      <c r="AQ119" s="102"/>
    </row>
    <row r="120" spans="1:43" s="104" customFormat="1">
      <c r="A120" s="146">
        <v>502</v>
      </c>
      <c r="B120" s="149" t="s">
        <v>2147</v>
      </c>
      <c r="C120" s="149"/>
      <c r="D120" s="149" t="s">
        <v>2148</v>
      </c>
      <c r="E120" s="149"/>
      <c r="F120" s="149"/>
      <c r="G120" s="146"/>
      <c r="H120" s="149"/>
      <c r="I120" s="149"/>
      <c r="J120" s="149"/>
      <c r="K120" s="149"/>
      <c r="L120" s="151"/>
      <c r="M120" s="149"/>
      <c r="N120" s="149"/>
      <c r="O120" s="149"/>
      <c r="P120" s="149"/>
      <c r="Q120" s="149"/>
      <c r="R120" s="149"/>
      <c r="S120" s="149"/>
      <c r="T120" s="149"/>
      <c r="U120" s="149"/>
      <c r="V120" s="149"/>
      <c r="W120" s="149"/>
      <c r="X120" s="149"/>
      <c r="Y120" s="149" t="s">
        <v>2150</v>
      </c>
      <c r="Z120" s="146">
        <v>3</v>
      </c>
      <c r="AA120" s="146" t="s">
        <v>1692</v>
      </c>
      <c r="AB120" s="146" t="s">
        <v>1724</v>
      </c>
      <c r="AC120" s="146" t="s">
        <v>26</v>
      </c>
      <c r="AD120" s="146" t="s">
        <v>26</v>
      </c>
      <c r="AE120" s="146" t="s">
        <v>26</v>
      </c>
      <c r="AF120" s="146" t="s">
        <v>1724</v>
      </c>
      <c r="AG120" s="146" t="s">
        <v>1044</v>
      </c>
      <c r="AH120" s="146" t="s">
        <v>2364</v>
      </c>
      <c r="AI120" s="146" t="s">
        <v>26</v>
      </c>
      <c r="AJ120" s="146" t="s">
        <v>26</v>
      </c>
      <c r="AK120" s="146" t="s">
        <v>26</v>
      </c>
      <c r="AL120" s="146" t="s">
        <v>26</v>
      </c>
      <c r="AM120" s="146" t="s">
        <v>26</v>
      </c>
      <c r="AN120" s="150" t="s">
        <v>1530</v>
      </c>
      <c r="AO120" s="146" t="s">
        <v>2</v>
      </c>
      <c r="AP120" s="102"/>
      <c r="AQ120" s="102"/>
    </row>
    <row r="121" spans="1:43" s="104" customFormat="1">
      <c r="A121" s="101">
        <v>502</v>
      </c>
      <c r="B121" s="147" t="s">
        <v>2147</v>
      </c>
      <c r="C121" s="147"/>
      <c r="D121" s="147" t="s">
        <v>2148</v>
      </c>
      <c r="E121" s="147"/>
      <c r="F121" s="147"/>
      <c r="G121" s="101"/>
      <c r="H121" s="147"/>
      <c r="I121" s="147"/>
      <c r="J121" s="147"/>
      <c r="K121" s="147"/>
      <c r="L121" s="171" t="s">
        <v>2206</v>
      </c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 t="s">
        <v>2150</v>
      </c>
      <c r="Z121" s="101">
        <v>3</v>
      </c>
      <c r="AA121" s="102" t="s">
        <v>1655</v>
      </c>
      <c r="AB121" s="102" t="s">
        <v>1726</v>
      </c>
      <c r="AC121" s="102" t="s">
        <v>26</v>
      </c>
      <c r="AD121" s="102" t="s">
        <v>26</v>
      </c>
      <c r="AE121" s="102" t="s">
        <v>26</v>
      </c>
      <c r="AF121" s="102" t="s">
        <v>1726</v>
      </c>
      <c r="AG121" s="102" t="s">
        <v>1727</v>
      </c>
      <c r="AH121" s="102" t="s">
        <v>1657</v>
      </c>
      <c r="AI121" s="102" t="s">
        <v>26</v>
      </c>
      <c r="AJ121" s="102" t="s">
        <v>26</v>
      </c>
      <c r="AK121" s="102" t="s">
        <v>26</v>
      </c>
      <c r="AL121" s="102" t="s">
        <v>26</v>
      </c>
      <c r="AM121" s="102" t="s">
        <v>26</v>
      </c>
      <c r="AN121" s="148" t="s">
        <v>1530</v>
      </c>
      <c r="AO121" s="102" t="s">
        <v>2</v>
      </c>
    </row>
    <row r="122" spans="1:43" s="104" customFormat="1">
      <c r="A122" s="27">
        <v>502</v>
      </c>
      <c r="B122" s="26" t="s">
        <v>2147</v>
      </c>
      <c r="C122" s="26"/>
      <c r="D122" s="26" t="s">
        <v>2148</v>
      </c>
      <c r="E122" s="26"/>
      <c r="F122" s="26"/>
      <c r="G122" s="27"/>
      <c r="H122" s="26"/>
      <c r="I122" s="26"/>
      <c r="J122" s="26"/>
      <c r="K122" s="26"/>
      <c r="L122" s="156" t="s">
        <v>2206</v>
      </c>
      <c r="M122" s="172">
        <v>990002585</v>
      </c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 t="s">
        <v>2150</v>
      </c>
      <c r="Z122" s="27">
        <v>3</v>
      </c>
      <c r="AA122" s="104" t="s">
        <v>1805</v>
      </c>
      <c r="AB122" s="104" t="s">
        <v>1726</v>
      </c>
      <c r="AC122" s="104" t="s">
        <v>26</v>
      </c>
      <c r="AD122" s="104" t="s">
        <v>26</v>
      </c>
      <c r="AE122" s="104" t="s">
        <v>26</v>
      </c>
      <c r="AF122" s="104" t="s">
        <v>1726</v>
      </c>
      <c r="AG122" s="104" t="s">
        <v>1725</v>
      </c>
      <c r="AH122" s="146" t="s">
        <v>2360</v>
      </c>
      <c r="AI122" s="104" t="s">
        <v>26</v>
      </c>
      <c r="AJ122" s="104" t="s">
        <v>26</v>
      </c>
      <c r="AK122" s="104" t="s">
        <v>26</v>
      </c>
      <c r="AL122" s="104" t="s">
        <v>26</v>
      </c>
      <c r="AM122" s="104" t="s">
        <v>26</v>
      </c>
      <c r="AN122" s="157" t="s">
        <v>1530</v>
      </c>
      <c r="AO122" s="104" t="s">
        <v>2</v>
      </c>
    </row>
    <row r="123" spans="1:43">
      <c r="A123" s="47"/>
      <c r="B123" s="26" t="s">
        <v>2147</v>
      </c>
      <c r="C123" s="26"/>
      <c r="D123" s="26" t="s">
        <v>2148</v>
      </c>
      <c r="E123" s="26"/>
      <c r="F123" s="26"/>
      <c r="G123" s="27"/>
      <c r="H123" s="26"/>
      <c r="I123" s="26"/>
      <c r="J123" s="26"/>
      <c r="K123" s="26"/>
      <c r="L123" s="40" t="s">
        <v>2206</v>
      </c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 t="s">
        <v>2150</v>
      </c>
      <c r="Z123" s="27">
        <v>3</v>
      </c>
      <c r="AA123" t="s">
        <v>1658</v>
      </c>
      <c r="AB123" t="s">
        <v>1728</v>
      </c>
      <c r="AC123" t="s">
        <v>26</v>
      </c>
      <c r="AD123" t="s">
        <v>26</v>
      </c>
      <c r="AE123" t="s">
        <v>26</v>
      </c>
      <c r="AF123" t="s">
        <v>1728</v>
      </c>
      <c r="AG123" t="s">
        <v>1672</v>
      </c>
      <c r="AH123" t="s">
        <v>1660</v>
      </c>
      <c r="AI123" t="s">
        <v>26</v>
      </c>
      <c r="AJ123" t="s">
        <v>26</v>
      </c>
      <c r="AK123" t="s">
        <v>26</v>
      </c>
      <c r="AL123" t="s">
        <v>26</v>
      </c>
      <c r="AM123" t="s">
        <v>26</v>
      </c>
      <c r="AN123" s="44" t="s">
        <v>1530</v>
      </c>
      <c r="AO123" t="s">
        <v>2</v>
      </c>
    </row>
    <row r="124" spans="1:43">
      <c r="A124" s="47"/>
      <c r="B124" s="26" t="s">
        <v>2147</v>
      </c>
      <c r="C124" s="26"/>
      <c r="D124" s="26" t="s">
        <v>2148</v>
      </c>
      <c r="E124" s="26"/>
      <c r="F124" s="26"/>
      <c r="G124" s="27"/>
      <c r="H124" s="26"/>
      <c r="I124" s="26"/>
      <c r="J124" s="26"/>
      <c r="K124" s="26"/>
      <c r="L124" s="40" t="s">
        <v>2206</v>
      </c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 t="s">
        <v>2150</v>
      </c>
      <c r="Z124" s="27">
        <v>3</v>
      </c>
      <c r="AA124" t="s">
        <v>1658</v>
      </c>
      <c r="AB124" t="s">
        <v>1729</v>
      </c>
      <c r="AC124" t="s">
        <v>26</v>
      </c>
      <c r="AD124" t="s">
        <v>26</v>
      </c>
      <c r="AE124" t="s">
        <v>26</v>
      </c>
      <c r="AF124" t="s">
        <v>1729</v>
      </c>
      <c r="AG124" t="s">
        <v>1730</v>
      </c>
      <c r="AH124" t="s">
        <v>1660</v>
      </c>
      <c r="AI124" t="s">
        <v>26</v>
      </c>
      <c r="AJ124" t="s">
        <v>26</v>
      </c>
      <c r="AK124" t="s">
        <v>26</v>
      </c>
      <c r="AL124" t="s">
        <v>26</v>
      </c>
      <c r="AM124" t="s">
        <v>26</v>
      </c>
      <c r="AN124" s="44" t="s">
        <v>1530</v>
      </c>
      <c r="AO124" t="s">
        <v>2</v>
      </c>
    </row>
    <row r="125" spans="1:43">
      <c r="A125" s="47"/>
      <c r="B125" s="26" t="s">
        <v>2147</v>
      </c>
      <c r="C125" s="26"/>
      <c r="D125" s="26" t="s">
        <v>2148</v>
      </c>
      <c r="E125" s="26"/>
      <c r="F125" s="26"/>
      <c r="G125" s="27"/>
      <c r="H125" s="26"/>
      <c r="I125" s="26"/>
      <c r="J125" s="26"/>
      <c r="K125" s="26"/>
      <c r="L125" s="40" t="s">
        <v>2206</v>
      </c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 t="s">
        <v>2150</v>
      </c>
      <c r="Z125" s="27">
        <v>3</v>
      </c>
      <c r="AA125" t="s">
        <v>1731</v>
      </c>
      <c r="AB125" t="s">
        <v>1732</v>
      </c>
      <c r="AC125" t="s">
        <v>26</v>
      </c>
      <c r="AD125" t="s">
        <v>26</v>
      </c>
      <c r="AE125" t="s">
        <v>26</v>
      </c>
      <c r="AF125" t="s">
        <v>1732</v>
      </c>
      <c r="AG125" t="s">
        <v>154</v>
      </c>
      <c r="AH125" t="s">
        <v>1733</v>
      </c>
      <c r="AI125" t="s">
        <v>26</v>
      </c>
      <c r="AJ125" t="s">
        <v>26</v>
      </c>
      <c r="AK125" t="s">
        <v>26</v>
      </c>
      <c r="AL125" t="s">
        <v>26</v>
      </c>
      <c r="AM125" t="s">
        <v>26</v>
      </c>
      <c r="AN125" s="44" t="s">
        <v>1530</v>
      </c>
      <c r="AO125" t="s">
        <v>2</v>
      </c>
    </row>
    <row r="126" spans="1:43">
      <c r="A126" s="47"/>
      <c r="B126" s="26" t="s">
        <v>2147</v>
      </c>
      <c r="C126" s="26"/>
      <c r="D126" s="26" t="s">
        <v>2148</v>
      </c>
      <c r="E126" s="26"/>
      <c r="F126" s="26"/>
      <c r="G126" s="27"/>
      <c r="H126" s="26"/>
      <c r="I126" s="26"/>
      <c r="J126" s="26"/>
      <c r="K126" s="26"/>
      <c r="L126" s="40" t="s">
        <v>2205</v>
      </c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 t="s">
        <v>2150</v>
      </c>
      <c r="Z126" s="27">
        <v>3</v>
      </c>
      <c r="AA126" t="s">
        <v>1731</v>
      </c>
      <c r="AB126" t="s">
        <v>1734</v>
      </c>
      <c r="AC126" t="s">
        <v>26</v>
      </c>
      <c r="AD126" t="s">
        <v>26</v>
      </c>
      <c r="AE126" t="s">
        <v>26</v>
      </c>
      <c r="AF126" t="s">
        <v>1734</v>
      </c>
      <c r="AG126" t="s">
        <v>311</v>
      </c>
      <c r="AH126" t="s">
        <v>1733</v>
      </c>
      <c r="AI126" t="s">
        <v>26</v>
      </c>
      <c r="AJ126" t="s">
        <v>26</v>
      </c>
      <c r="AK126" t="s">
        <v>26</v>
      </c>
      <c r="AL126" t="s">
        <v>26</v>
      </c>
      <c r="AM126" t="s">
        <v>26</v>
      </c>
      <c r="AN126" s="44" t="s">
        <v>1530</v>
      </c>
      <c r="AO126" t="s">
        <v>2</v>
      </c>
    </row>
    <row r="127" spans="1:43">
      <c r="A127" s="47"/>
      <c r="B127" s="26" t="s">
        <v>2147</v>
      </c>
      <c r="C127" s="26"/>
      <c r="D127" s="26" t="s">
        <v>2148</v>
      </c>
      <c r="E127" s="26"/>
      <c r="F127" s="26"/>
      <c r="G127" s="27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 t="s">
        <v>2150</v>
      </c>
      <c r="Z127" s="27">
        <v>3</v>
      </c>
      <c r="AA127" t="s">
        <v>1692</v>
      </c>
      <c r="AB127" t="s">
        <v>1735</v>
      </c>
      <c r="AC127" t="s">
        <v>26</v>
      </c>
      <c r="AD127" t="s">
        <v>26</v>
      </c>
      <c r="AE127" t="s">
        <v>26</v>
      </c>
      <c r="AF127" t="s">
        <v>1735</v>
      </c>
      <c r="AG127" t="s">
        <v>1736</v>
      </c>
      <c r="AH127" t="s">
        <v>1695</v>
      </c>
      <c r="AI127" t="s">
        <v>26</v>
      </c>
      <c r="AJ127" t="s">
        <v>26</v>
      </c>
      <c r="AK127" t="s">
        <v>26</v>
      </c>
      <c r="AL127" t="s">
        <v>26</v>
      </c>
      <c r="AM127" t="s">
        <v>26</v>
      </c>
      <c r="AN127" s="44" t="s">
        <v>1530</v>
      </c>
      <c r="AO127" t="s">
        <v>2</v>
      </c>
    </row>
    <row r="128" spans="1:43">
      <c r="A128" s="47"/>
      <c r="B128" s="26" t="s">
        <v>2147</v>
      </c>
      <c r="C128" s="26"/>
      <c r="D128" s="26" t="s">
        <v>2159</v>
      </c>
      <c r="E128" s="26"/>
      <c r="F128" s="26"/>
      <c r="G128" s="27"/>
      <c r="H128" s="26" t="s">
        <v>2160</v>
      </c>
      <c r="I128" s="26"/>
      <c r="J128" s="26"/>
      <c r="K128" s="26"/>
      <c r="L128" s="40" t="s">
        <v>2206</v>
      </c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 t="s">
        <v>2161</v>
      </c>
      <c r="Z128" s="27">
        <v>3</v>
      </c>
      <c r="AA128" t="s">
        <v>1737</v>
      </c>
      <c r="AB128" t="s">
        <v>1738</v>
      </c>
      <c r="AC128" t="s">
        <v>26</v>
      </c>
      <c r="AD128" t="s">
        <v>26</v>
      </c>
      <c r="AE128" t="s">
        <v>26</v>
      </c>
      <c r="AF128" t="s">
        <v>1738</v>
      </c>
      <c r="AG128" t="s">
        <v>1694</v>
      </c>
      <c r="AH128" t="s">
        <v>1739</v>
      </c>
      <c r="AI128" t="s">
        <v>26</v>
      </c>
      <c r="AJ128" t="s">
        <v>26</v>
      </c>
      <c r="AK128" t="s">
        <v>26</v>
      </c>
      <c r="AL128" t="s">
        <v>26</v>
      </c>
      <c r="AM128" t="s">
        <v>26</v>
      </c>
      <c r="AN128" s="44" t="s">
        <v>1530</v>
      </c>
      <c r="AO128" t="s">
        <v>2</v>
      </c>
    </row>
    <row r="129" spans="1:43">
      <c r="A129" s="47"/>
      <c r="B129" s="26" t="s">
        <v>2147</v>
      </c>
      <c r="C129" s="26"/>
      <c r="D129" s="26" t="s">
        <v>2148</v>
      </c>
      <c r="E129" s="26"/>
      <c r="F129" s="26"/>
      <c r="G129" s="27"/>
      <c r="H129" s="26"/>
      <c r="I129" s="26"/>
      <c r="J129" s="26"/>
      <c r="K129" s="26"/>
      <c r="L129" s="151" t="s">
        <v>2206</v>
      </c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 t="s">
        <v>2150</v>
      </c>
      <c r="Z129" s="27">
        <v>3</v>
      </c>
      <c r="AA129" t="s">
        <v>1731</v>
      </c>
      <c r="AB129" t="s">
        <v>1740</v>
      </c>
      <c r="AC129" t="s">
        <v>26</v>
      </c>
      <c r="AD129" t="s">
        <v>26</v>
      </c>
      <c r="AE129" t="s">
        <v>26</v>
      </c>
      <c r="AF129" t="s">
        <v>1740</v>
      </c>
      <c r="AG129" t="s">
        <v>1741</v>
      </c>
      <c r="AH129" t="s">
        <v>1733</v>
      </c>
      <c r="AI129" t="s">
        <v>26</v>
      </c>
      <c r="AJ129" t="s">
        <v>26</v>
      </c>
      <c r="AK129" t="s">
        <v>26</v>
      </c>
      <c r="AL129" t="s">
        <v>26</v>
      </c>
      <c r="AM129" t="s">
        <v>26</v>
      </c>
      <c r="AN129" s="44" t="s">
        <v>1530</v>
      </c>
      <c r="AO129" t="s">
        <v>2</v>
      </c>
    </row>
    <row r="130" spans="1:43">
      <c r="A130" s="47"/>
      <c r="B130" s="26" t="s">
        <v>2147</v>
      </c>
      <c r="C130" s="26"/>
      <c r="D130" s="26" t="s">
        <v>2148</v>
      </c>
      <c r="E130" s="26"/>
      <c r="F130" s="26"/>
      <c r="G130" s="27"/>
      <c r="H130" s="26"/>
      <c r="I130" s="26"/>
      <c r="J130" s="26"/>
      <c r="K130" s="26"/>
      <c r="L130" s="40" t="s">
        <v>2206</v>
      </c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 t="s">
        <v>2150</v>
      </c>
      <c r="Z130" s="27">
        <v>3</v>
      </c>
      <c r="AA130" t="s">
        <v>1658</v>
      </c>
      <c r="AB130" t="s">
        <v>1742</v>
      </c>
      <c r="AC130" t="s">
        <v>26</v>
      </c>
      <c r="AD130" t="s">
        <v>26</v>
      </c>
      <c r="AE130" t="s">
        <v>26</v>
      </c>
      <c r="AF130" t="s">
        <v>1742</v>
      </c>
      <c r="AG130" t="s">
        <v>1743</v>
      </c>
      <c r="AH130" t="s">
        <v>1660</v>
      </c>
      <c r="AI130" t="s">
        <v>26</v>
      </c>
      <c r="AJ130" t="s">
        <v>26</v>
      </c>
      <c r="AK130" t="s">
        <v>26</v>
      </c>
      <c r="AL130" t="s">
        <v>26</v>
      </c>
      <c r="AM130" t="s">
        <v>26</v>
      </c>
      <c r="AN130" s="44" t="s">
        <v>1530</v>
      </c>
      <c r="AO130" t="s">
        <v>2</v>
      </c>
    </row>
    <row r="131" spans="1:43">
      <c r="A131" s="47"/>
      <c r="B131" s="26" t="s">
        <v>2147</v>
      </c>
      <c r="C131" s="26"/>
      <c r="D131" s="26" t="s">
        <v>2148</v>
      </c>
      <c r="E131" s="26"/>
      <c r="F131" s="26"/>
      <c r="G131" s="27"/>
      <c r="H131" s="26"/>
      <c r="I131" s="26"/>
      <c r="J131" s="26"/>
      <c r="K131" s="26"/>
      <c r="L131" s="40" t="s">
        <v>2206</v>
      </c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 t="s">
        <v>2150</v>
      </c>
      <c r="Z131" s="27">
        <v>3</v>
      </c>
      <c r="AA131" t="s">
        <v>1731</v>
      </c>
      <c r="AB131" t="s">
        <v>1744</v>
      </c>
      <c r="AC131" t="s">
        <v>26</v>
      </c>
      <c r="AD131" t="s">
        <v>26</v>
      </c>
      <c r="AE131" t="s">
        <v>26</v>
      </c>
      <c r="AF131" t="s">
        <v>1744</v>
      </c>
      <c r="AG131" t="s">
        <v>331</v>
      </c>
      <c r="AH131" t="s">
        <v>1733</v>
      </c>
      <c r="AI131" t="s">
        <v>26</v>
      </c>
      <c r="AJ131" t="s">
        <v>26</v>
      </c>
      <c r="AK131" t="s">
        <v>26</v>
      </c>
      <c r="AL131" t="s">
        <v>26</v>
      </c>
      <c r="AM131" t="s">
        <v>26</v>
      </c>
      <c r="AN131" s="44" t="s">
        <v>1530</v>
      </c>
      <c r="AO131" t="s">
        <v>2</v>
      </c>
    </row>
    <row r="132" spans="1:43">
      <c r="A132" s="47"/>
      <c r="B132" s="26" t="s">
        <v>2147</v>
      </c>
      <c r="C132" s="26"/>
      <c r="D132" s="26" t="s">
        <v>2148</v>
      </c>
      <c r="E132" s="26"/>
      <c r="F132" s="26"/>
      <c r="G132" s="27"/>
      <c r="H132" s="26"/>
      <c r="I132" s="26"/>
      <c r="J132" s="26"/>
      <c r="K132" s="26"/>
      <c r="L132" s="40" t="s">
        <v>2206</v>
      </c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 t="s">
        <v>2150</v>
      </c>
      <c r="Z132" s="27">
        <v>3</v>
      </c>
      <c r="AA132" t="s">
        <v>1745</v>
      </c>
      <c r="AB132" t="s">
        <v>1746</v>
      </c>
      <c r="AC132" t="s">
        <v>26</v>
      </c>
      <c r="AD132" t="s">
        <v>26</v>
      </c>
      <c r="AE132" t="s">
        <v>26</v>
      </c>
      <c r="AF132" t="s">
        <v>1746</v>
      </c>
      <c r="AG132" t="s">
        <v>1747</v>
      </c>
      <c r="AH132" t="s">
        <v>1748</v>
      </c>
      <c r="AI132" t="s">
        <v>26</v>
      </c>
      <c r="AJ132" t="s">
        <v>26</v>
      </c>
      <c r="AK132" t="s">
        <v>26</v>
      </c>
      <c r="AL132" t="s">
        <v>26</v>
      </c>
      <c r="AM132" t="s">
        <v>26</v>
      </c>
      <c r="AN132" s="44" t="s">
        <v>1530</v>
      </c>
      <c r="AO132" t="s">
        <v>2</v>
      </c>
    </row>
    <row r="133" spans="1:43">
      <c r="A133" s="47"/>
      <c r="B133" s="26" t="s">
        <v>2147</v>
      </c>
      <c r="C133" s="26"/>
      <c r="D133" s="26" t="s">
        <v>2148</v>
      </c>
      <c r="E133" s="26"/>
      <c r="F133" s="26"/>
      <c r="G133" s="27"/>
      <c r="H133" s="26"/>
      <c r="I133" s="26"/>
      <c r="J133" s="26"/>
      <c r="K133" s="26"/>
      <c r="L133" s="40" t="s">
        <v>2206</v>
      </c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 t="s">
        <v>2150</v>
      </c>
      <c r="Z133" s="27">
        <v>3</v>
      </c>
      <c r="AA133" t="s">
        <v>1731</v>
      </c>
      <c r="AB133" t="s">
        <v>1749</v>
      </c>
      <c r="AC133" t="s">
        <v>26</v>
      </c>
      <c r="AD133" t="s">
        <v>26</v>
      </c>
      <c r="AE133" t="s">
        <v>26</v>
      </c>
      <c r="AF133" t="s">
        <v>1749</v>
      </c>
      <c r="AG133" t="s">
        <v>1750</v>
      </c>
      <c r="AH133" t="s">
        <v>1733</v>
      </c>
      <c r="AI133" t="s">
        <v>26</v>
      </c>
      <c r="AJ133" t="s">
        <v>26</v>
      </c>
      <c r="AK133" t="s">
        <v>26</v>
      </c>
      <c r="AL133" t="s">
        <v>26</v>
      </c>
      <c r="AM133" t="s">
        <v>26</v>
      </c>
      <c r="AN133" s="44" t="s">
        <v>1530</v>
      </c>
      <c r="AO133" t="s">
        <v>2</v>
      </c>
    </row>
    <row r="134" spans="1:43">
      <c r="A134" s="47"/>
      <c r="B134" s="26" t="s">
        <v>2147</v>
      </c>
      <c r="C134" s="26"/>
      <c r="D134" s="26" t="s">
        <v>2148</v>
      </c>
      <c r="E134" s="26"/>
      <c r="F134" s="26"/>
      <c r="G134" s="27"/>
      <c r="H134" s="26"/>
      <c r="I134" s="26"/>
      <c r="J134" s="26"/>
      <c r="K134" s="26"/>
      <c r="L134" s="40" t="s">
        <v>2206</v>
      </c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 t="s">
        <v>2150</v>
      </c>
      <c r="Z134" s="27">
        <v>3</v>
      </c>
      <c r="AA134" t="s">
        <v>1667</v>
      </c>
      <c r="AB134" t="s">
        <v>1751</v>
      </c>
      <c r="AC134" t="s">
        <v>26</v>
      </c>
      <c r="AD134" t="s">
        <v>26</v>
      </c>
      <c r="AE134" t="s">
        <v>26</v>
      </c>
      <c r="AF134" t="s">
        <v>1751</v>
      </c>
      <c r="AG134" t="s">
        <v>177</v>
      </c>
      <c r="AH134" t="s">
        <v>1670</v>
      </c>
      <c r="AI134" t="s">
        <v>26</v>
      </c>
      <c r="AJ134" t="s">
        <v>26</v>
      </c>
      <c r="AK134" t="s">
        <v>26</v>
      </c>
      <c r="AL134" t="s">
        <v>26</v>
      </c>
      <c r="AM134" t="s">
        <v>26</v>
      </c>
      <c r="AN134" s="44" t="s">
        <v>1530</v>
      </c>
      <c r="AO134" t="s">
        <v>2</v>
      </c>
    </row>
    <row r="135" spans="1:43">
      <c r="A135" s="47"/>
      <c r="B135" s="26" t="s">
        <v>2147</v>
      </c>
      <c r="C135" s="26"/>
      <c r="D135" s="26" t="s">
        <v>2148</v>
      </c>
      <c r="E135" s="26"/>
      <c r="F135" s="26"/>
      <c r="G135" s="27"/>
      <c r="H135" s="26"/>
      <c r="I135" s="26"/>
      <c r="J135" s="26"/>
      <c r="K135" s="26"/>
      <c r="L135" s="40" t="s">
        <v>2206</v>
      </c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 t="s">
        <v>2150</v>
      </c>
      <c r="Z135" s="27">
        <v>3</v>
      </c>
      <c r="AA135" t="s">
        <v>1658</v>
      </c>
      <c r="AB135" t="s">
        <v>1752</v>
      </c>
      <c r="AC135" t="s">
        <v>26</v>
      </c>
      <c r="AD135" t="s">
        <v>26</v>
      </c>
      <c r="AE135" t="s">
        <v>26</v>
      </c>
      <c r="AF135" t="s">
        <v>1752</v>
      </c>
      <c r="AG135" t="s">
        <v>1753</v>
      </c>
      <c r="AH135" t="s">
        <v>1660</v>
      </c>
      <c r="AI135" t="s">
        <v>26</v>
      </c>
      <c r="AJ135" t="s">
        <v>26</v>
      </c>
      <c r="AK135" t="s">
        <v>26</v>
      </c>
      <c r="AL135" t="s">
        <v>26</v>
      </c>
      <c r="AM135" t="s">
        <v>26</v>
      </c>
      <c r="AN135" s="44" t="s">
        <v>1530</v>
      </c>
      <c r="AO135" t="s">
        <v>2</v>
      </c>
    </row>
    <row r="136" spans="1:43">
      <c r="A136" s="47"/>
      <c r="B136" s="26" t="s">
        <v>2168</v>
      </c>
      <c r="C136" s="26"/>
      <c r="D136" s="26"/>
      <c r="E136" s="26"/>
      <c r="F136" s="26"/>
      <c r="G136" s="27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39"/>
      <c r="Z136" s="27">
        <v>1</v>
      </c>
      <c r="AA136" t="s">
        <v>506</v>
      </c>
    </row>
    <row r="137" spans="1:43">
      <c r="A137" s="47">
        <v>500.50599999999997</v>
      </c>
      <c r="B137" s="26" t="s">
        <v>2168</v>
      </c>
      <c r="C137" s="26"/>
      <c r="D137" s="26"/>
      <c r="E137" s="26"/>
      <c r="F137" s="26"/>
      <c r="G137" s="27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39"/>
      <c r="Z137" s="27">
        <v>2</v>
      </c>
      <c r="AA137" t="s">
        <v>1</v>
      </c>
      <c r="AB137" t="s">
        <v>507</v>
      </c>
      <c r="AC137" t="s">
        <v>508</v>
      </c>
      <c r="AD137" s="146" t="s">
        <v>2349</v>
      </c>
    </row>
    <row r="138" spans="1:43">
      <c r="A138" s="47">
        <v>500.50599999999997</v>
      </c>
      <c r="B138" s="26" t="s">
        <v>2168</v>
      </c>
      <c r="C138" s="26"/>
      <c r="D138" s="26"/>
      <c r="E138" s="26"/>
      <c r="F138" s="26"/>
      <c r="G138" s="27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39"/>
      <c r="Z138" s="27">
        <v>2</v>
      </c>
      <c r="AA138" t="s">
        <v>509</v>
      </c>
      <c r="AB138" t="s">
        <v>510</v>
      </c>
      <c r="AC138" t="s">
        <v>511</v>
      </c>
      <c r="AD138" s="146" t="s">
        <v>2330</v>
      </c>
    </row>
    <row r="139" spans="1:43">
      <c r="A139" s="47">
        <v>500.50599999999997</v>
      </c>
      <c r="B139" s="26" t="s">
        <v>2168</v>
      </c>
      <c r="C139" s="26"/>
      <c r="D139" s="26"/>
      <c r="E139" s="26"/>
      <c r="F139" s="26"/>
      <c r="G139" s="27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39"/>
      <c r="Z139" s="27">
        <v>2</v>
      </c>
      <c r="AA139" t="s">
        <v>512</v>
      </c>
      <c r="AB139" t="s">
        <v>513</v>
      </c>
      <c r="AC139" t="s">
        <v>514</v>
      </c>
      <c r="AD139" s="146" t="s">
        <v>2350</v>
      </c>
    </row>
    <row r="140" spans="1:43">
      <c r="A140" s="47"/>
      <c r="B140" s="26" t="s">
        <v>2168</v>
      </c>
      <c r="C140" s="26"/>
      <c r="D140" s="26"/>
      <c r="E140" s="26"/>
      <c r="F140" s="26"/>
      <c r="G140" s="27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39"/>
      <c r="Z140" s="27">
        <v>0</v>
      </c>
      <c r="AA140" t="s">
        <v>1512</v>
      </c>
      <c r="AB140" t="s">
        <v>1513</v>
      </c>
      <c r="AC140" t="s">
        <v>1514</v>
      </c>
      <c r="AD140" t="s">
        <v>9</v>
      </c>
      <c r="AE140" t="s">
        <v>9</v>
      </c>
      <c r="AF140" t="s">
        <v>11</v>
      </c>
      <c r="AG140" t="s">
        <v>13</v>
      </c>
      <c r="AH140" t="s">
        <v>1515</v>
      </c>
      <c r="AI140" t="s">
        <v>1516</v>
      </c>
      <c r="AJ140" t="s">
        <v>1517</v>
      </c>
      <c r="AK140" t="s">
        <v>22</v>
      </c>
      <c r="AL140" t="s">
        <v>1518</v>
      </c>
      <c r="AM140" t="s">
        <v>1519</v>
      </c>
      <c r="AN140" s="44" t="s">
        <v>1520</v>
      </c>
      <c r="AO140" t="s">
        <v>1</v>
      </c>
      <c r="AP140" t="s">
        <v>509</v>
      </c>
      <c r="AQ140" t="s">
        <v>512</v>
      </c>
    </row>
    <row r="141" spans="1:43">
      <c r="A141" s="47"/>
      <c r="B141" s="26" t="s">
        <v>2168</v>
      </c>
      <c r="C141" s="26"/>
      <c r="D141" s="26"/>
      <c r="E141" s="26"/>
      <c r="F141" s="26"/>
      <c r="G141" s="27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39"/>
      <c r="Z141" s="27">
        <v>4</v>
      </c>
      <c r="AA141" t="s">
        <v>1754</v>
      </c>
      <c r="AB141" t="s">
        <v>26</v>
      </c>
      <c r="AC141" t="s">
        <v>26</v>
      </c>
      <c r="AD141" t="s">
        <v>26</v>
      </c>
      <c r="AE141" t="s">
        <v>26</v>
      </c>
      <c r="AF141" t="s">
        <v>26</v>
      </c>
      <c r="AG141" t="s">
        <v>26</v>
      </c>
      <c r="AH141" t="s">
        <v>1755</v>
      </c>
      <c r="AI141" t="s">
        <v>26</v>
      </c>
      <c r="AJ141" t="s">
        <v>26</v>
      </c>
      <c r="AK141" t="s">
        <v>26</v>
      </c>
      <c r="AL141" t="s">
        <v>26</v>
      </c>
      <c r="AM141" t="s">
        <v>26</v>
      </c>
      <c r="AN141" s="44" t="s">
        <v>1530</v>
      </c>
      <c r="AO141" t="s">
        <v>507</v>
      </c>
      <c r="AP141" t="s">
        <v>26</v>
      </c>
      <c r="AQ141" t="s">
        <v>26</v>
      </c>
    </row>
    <row r="142" spans="1:43">
      <c r="A142" s="47"/>
      <c r="B142" s="26" t="s">
        <v>2168</v>
      </c>
      <c r="C142" s="26"/>
      <c r="D142" s="26"/>
      <c r="E142" s="26"/>
      <c r="F142" s="26"/>
      <c r="G142" s="27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39"/>
      <c r="Z142" s="27">
        <v>4</v>
      </c>
      <c r="AA142" t="s">
        <v>1524</v>
      </c>
      <c r="AB142" t="s">
        <v>26</v>
      </c>
      <c r="AC142" t="s">
        <v>26</v>
      </c>
      <c r="AD142" t="s">
        <v>26</v>
      </c>
      <c r="AE142" t="s">
        <v>26</v>
      </c>
      <c r="AF142" t="s">
        <v>26</v>
      </c>
      <c r="AG142" t="s">
        <v>26</v>
      </c>
      <c r="AH142" t="s">
        <v>1525</v>
      </c>
      <c r="AI142" t="s">
        <v>26</v>
      </c>
      <c r="AJ142" t="s">
        <v>26</v>
      </c>
      <c r="AK142" t="s">
        <v>26</v>
      </c>
      <c r="AL142" t="s">
        <v>26</v>
      </c>
      <c r="AM142" t="s">
        <v>26</v>
      </c>
      <c r="AN142" s="44" t="s">
        <v>1523</v>
      </c>
      <c r="AO142">
        <v>760</v>
      </c>
      <c r="AP142">
        <v>0</v>
      </c>
      <c r="AQ142">
        <v>760</v>
      </c>
    </row>
    <row r="143" spans="1:43">
      <c r="A143" s="47">
        <v>502.50599999999997</v>
      </c>
      <c r="B143" s="26" t="s">
        <v>2168</v>
      </c>
      <c r="C143" s="26"/>
      <c r="D143" s="26"/>
      <c r="E143" s="26"/>
      <c r="F143" s="26"/>
      <c r="G143" s="27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39"/>
      <c r="Z143" s="27">
        <v>4</v>
      </c>
      <c r="AA143" t="s">
        <v>1524</v>
      </c>
      <c r="AB143" t="s">
        <v>26</v>
      </c>
      <c r="AC143" t="s">
        <v>26</v>
      </c>
      <c r="AD143" t="s">
        <v>26</v>
      </c>
      <c r="AE143" t="s">
        <v>26</v>
      </c>
      <c r="AF143" t="s">
        <v>26</v>
      </c>
      <c r="AG143" t="s">
        <v>26</v>
      </c>
      <c r="AH143" t="s">
        <v>1527</v>
      </c>
      <c r="AI143" t="s">
        <v>26</v>
      </c>
      <c r="AJ143" t="s">
        <v>26</v>
      </c>
      <c r="AK143" t="s">
        <v>26</v>
      </c>
      <c r="AL143" t="s">
        <v>26</v>
      </c>
      <c r="AM143" t="s">
        <v>26</v>
      </c>
      <c r="AN143" s="44" t="s">
        <v>1523</v>
      </c>
      <c r="AO143" s="146">
        <v>3868</v>
      </c>
      <c r="AP143" s="146">
        <v>3252</v>
      </c>
      <c r="AQ143" s="146">
        <v>3396</v>
      </c>
    </row>
    <row r="144" spans="1:43">
      <c r="A144" s="47"/>
      <c r="B144" s="26" t="s">
        <v>2168</v>
      </c>
      <c r="C144" s="26"/>
      <c r="D144" s="26"/>
      <c r="E144" s="26"/>
      <c r="F144" s="26"/>
      <c r="G144" s="27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39"/>
      <c r="Z144" s="27">
        <v>4</v>
      </c>
      <c r="AA144" t="s">
        <v>14</v>
      </c>
      <c r="AB144" t="s">
        <v>26</v>
      </c>
      <c r="AC144" t="s">
        <v>26</v>
      </c>
      <c r="AD144" t="s">
        <v>26</v>
      </c>
      <c r="AE144" t="s">
        <v>26</v>
      </c>
      <c r="AF144" t="s">
        <v>26</v>
      </c>
      <c r="AG144" t="s">
        <v>26</v>
      </c>
      <c r="AH144" t="s">
        <v>73</v>
      </c>
      <c r="AI144" t="s">
        <v>26</v>
      </c>
      <c r="AJ144" t="s">
        <v>26</v>
      </c>
      <c r="AK144" t="s">
        <v>26</v>
      </c>
      <c r="AL144" t="s">
        <v>26</v>
      </c>
      <c r="AM144" t="s">
        <v>26</v>
      </c>
      <c r="AN144" s="44" t="s">
        <v>1530</v>
      </c>
      <c r="AO144" t="s">
        <v>507</v>
      </c>
      <c r="AP144" t="s">
        <v>510</v>
      </c>
      <c r="AQ144" t="s">
        <v>513</v>
      </c>
    </row>
    <row r="145" spans="1:43">
      <c r="A145" s="47"/>
      <c r="B145" s="26" t="s">
        <v>2168</v>
      </c>
      <c r="C145" s="26"/>
      <c r="D145" s="26"/>
      <c r="E145" s="26"/>
      <c r="F145" s="26"/>
      <c r="G145" s="27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39"/>
      <c r="Z145" s="27">
        <v>4</v>
      </c>
      <c r="AA145" t="s">
        <v>14</v>
      </c>
      <c r="AB145" t="s">
        <v>26</v>
      </c>
      <c r="AC145" t="s">
        <v>26</v>
      </c>
      <c r="AD145" t="s">
        <v>26</v>
      </c>
      <c r="AE145" t="s">
        <v>26</v>
      </c>
      <c r="AF145" t="s">
        <v>26</v>
      </c>
      <c r="AG145" t="s">
        <v>26</v>
      </c>
      <c r="AH145" t="s">
        <v>230</v>
      </c>
      <c r="AI145" t="s">
        <v>26</v>
      </c>
      <c r="AJ145" t="s">
        <v>26</v>
      </c>
      <c r="AK145" t="s">
        <v>26</v>
      </c>
      <c r="AL145" t="s">
        <v>26</v>
      </c>
      <c r="AM145" t="s">
        <v>26</v>
      </c>
      <c r="AN145" s="44" t="s">
        <v>1530</v>
      </c>
      <c r="AO145">
        <v>5</v>
      </c>
      <c r="AP145">
        <v>5</v>
      </c>
      <c r="AQ145">
        <v>5</v>
      </c>
    </row>
    <row r="146" spans="1:43">
      <c r="A146" s="47"/>
      <c r="B146" s="26" t="s">
        <v>2168</v>
      </c>
      <c r="C146" s="26"/>
      <c r="D146" s="26"/>
      <c r="E146" s="26"/>
      <c r="F146" s="26"/>
      <c r="G146" s="27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39"/>
      <c r="Z146" s="27">
        <v>4</v>
      </c>
      <c r="AA146" t="s">
        <v>14</v>
      </c>
      <c r="AB146" t="s">
        <v>26</v>
      </c>
      <c r="AC146" t="s">
        <v>26</v>
      </c>
      <c r="AD146" t="s">
        <v>26</v>
      </c>
      <c r="AE146" t="s">
        <v>26</v>
      </c>
      <c r="AF146" t="s">
        <v>26</v>
      </c>
      <c r="AG146" t="s">
        <v>26</v>
      </c>
      <c r="AH146" t="s">
        <v>159</v>
      </c>
      <c r="AI146" t="s">
        <v>26</v>
      </c>
      <c r="AJ146" t="s">
        <v>26</v>
      </c>
      <c r="AK146" t="s">
        <v>26</v>
      </c>
      <c r="AL146" t="s">
        <v>26</v>
      </c>
      <c r="AM146" t="s">
        <v>26</v>
      </c>
      <c r="AN146" s="44" t="s">
        <v>1530</v>
      </c>
      <c r="AO146">
        <v>4</v>
      </c>
      <c r="AP146">
        <v>4</v>
      </c>
      <c r="AQ146">
        <v>4</v>
      </c>
    </row>
    <row r="147" spans="1:43">
      <c r="A147" s="47"/>
      <c r="B147" s="26" t="s">
        <v>2168</v>
      </c>
      <c r="C147" s="26"/>
      <c r="D147" s="26"/>
      <c r="E147" s="26"/>
      <c r="F147" s="26"/>
      <c r="G147" s="27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39"/>
      <c r="Z147" s="27">
        <v>4</v>
      </c>
      <c r="AA147" t="s">
        <v>14</v>
      </c>
      <c r="AB147" t="s">
        <v>26</v>
      </c>
      <c r="AC147" t="s">
        <v>26</v>
      </c>
      <c r="AD147" t="s">
        <v>26</v>
      </c>
      <c r="AE147" t="s">
        <v>26</v>
      </c>
      <c r="AF147" t="s">
        <v>26</v>
      </c>
      <c r="AG147" t="s">
        <v>26</v>
      </c>
      <c r="AH147" t="s">
        <v>68</v>
      </c>
      <c r="AI147" t="s">
        <v>26</v>
      </c>
      <c r="AJ147" t="s">
        <v>26</v>
      </c>
      <c r="AK147" t="s">
        <v>26</v>
      </c>
      <c r="AL147" t="s">
        <v>26</v>
      </c>
      <c r="AM147" t="s">
        <v>26</v>
      </c>
      <c r="AN147" s="44" t="s">
        <v>1530</v>
      </c>
      <c r="AO147">
        <v>11</v>
      </c>
      <c r="AP147">
        <v>10</v>
      </c>
      <c r="AQ147">
        <v>11</v>
      </c>
    </row>
    <row r="148" spans="1:43">
      <c r="A148" s="47"/>
      <c r="B148" s="26" t="s">
        <v>2168</v>
      </c>
      <c r="C148" s="26"/>
      <c r="D148" s="26"/>
      <c r="E148" s="26"/>
      <c r="F148" s="26"/>
      <c r="G148" s="27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39"/>
      <c r="Z148" s="27">
        <v>4</v>
      </c>
      <c r="AA148" t="s">
        <v>14</v>
      </c>
      <c r="AB148" t="s">
        <v>26</v>
      </c>
      <c r="AC148" t="s">
        <v>26</v>
      </c>
      <c r="AD148" t="s">
        <v>26</v>
      </c>
      <c r="AE148" t="s">
        <v>26</v>
      </c>
      <c r="AF148" t="s">
        <v>26</v>
      </c>
      <c r="AG148" t="s">
        <v>26</v>
      </c>
      <c r="AH148" t="s">
        <v>122</v>
      </c>
      <c r="AI148" t="s">
        <v>26</v>
      </c>
      <c r="AJ148" t="s">
        <v>26</v>
      </c>
      <c r="AK148" t="s">
        <v>26</v>
      </c>
      <c r="AL148" t="s">
        <v>26</v>
      </c>
      <c r="AM148" t="s">
        <v>26</v>
      </c>
      <c r="AN148" s="44" t="s">
        <v>1530</v>
      </c>
      <c r="AO148">
        <v>6</v>
      </c>
      <c r="AP148">
        <v>6</v>
      </c>
      <c r="AQ148">
        <v>6</v>
      </c>
    </row>
    <row r="149" spans="1:43">
      <c r="A149" s="47"/>
      <c r="B149" s="26" t="s">
        <v>2168</v>
      </c>
      <c r="C149" s="26"/>
      <c r="D149" s="26"/>
      <c r="E149" s="26"/>
      <c r="F149" s="26"/>
      <c r="G149" s="27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39"/>
      <c r="Z149" s="27">
        <v>4</v>
      </c>
      <c r="AA149" t="s">
        <v>14</v>
      </c>
      <c r="AB149" t="s">
        <v>26</v>
      </c>
      <c r="AC149" t="s">
        <v>26</v>
      </c>
      <c r="AD149" t="s">
        <v>26</v>
      </c>
      <c r="AE149" t="s">
        <v>26</v>
      </c>
      <c r="AF149" t="s">
        <v>26</v>
      </c>
      <c r="AG149" t="s">
        <v>26</v>
      </c>
      <c r="AH149" t="s">
        <v>321</v>
      </c>
      <c r="AI149" t="s">
        <v>26</v>
      </c>
      <c r="AJ149" t="s">
        <v>26</v>
      </c>
      <c r="AK149" t="s">
        <v>26</v>
      </c>
      <c r="AL149" t="s">
        <v>26</v>
      </c>
      <c r="AM149" t="s">
        <v>26</v>
      </c>
      <c r="AN149" s="44" t="s">
        <v>1530</v>
      </c>
      <c r="AO149">
        <v>10</v>
      </c>
      <c r="AP149">
        <v>9</v>
      </c>
      <c r="AQ149">
        <v>9</v>
      </c>
    </row>
    <row r="150" spans="1:43">
      <c r="A150" s="47"/>
      <c r="B150" s="26" t="s">
        <v>2168</v>
      </c>
      <c r="C150" s="26"/>
      <c r="D150" s="26"/>
      <c r="E150" s="26"/>
      <c r="F150" s="26"/>
      <c r="G150" s="27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39"/>
      <c r="Z150" s="27">
        <v>4</v>
      </c>
      <c r="AA150" t="s">
        <v>14</v>
      </c>
      <c r="AB150" t="s">
        <v>26</v>
      </c>
      <c r="AC150" t="s">
        <v>26</v>
      </c>
      <c r="AD150" t="s">
        <v>26</v>
      </c>
      <c r="AE150" t="s">
        <v>26</v>
      </c>
      <c r="AF150" t="s">
        <v>26</v>
      </c>
      <c r="AG150" t="s">
        <v>26</v>
      </c>
      <c r="AH150" t="s">
        <v>546</v>
      </c>
      <c r="AI150" t="s">
        <v>26</v>
      </c>
      <c r="AJ150" t="s">
        <v>26</v>
      </c>
      <c r="AK150" t="s">
        <v>26</v>
      </c>
      <c r="AL150" t="s">
        <v>26</v>
      </c>
      <c r="AM150" t="s">
        <v>26</v>
      </c>
      <c r="AN150" s="44" t="s">
        <v>1530</v>
      </c>
      <c r="AO150">
        <v>5</v>
      </c>
      <c r="AP150">
        <v>4</v>
      </c>
      <c r="AQ150">
        <v>5</v>
      </c>
    </row>
    <row r="151" spans="1:43">
      <c r="A151" s="47"/>
      <c r="B151" s="26" t="s">
        <v>2168</v>
      </c>
      <c r="C151" s="26"/>
      <c r="D151" s="26"/>
      <c r="E151" s="26"/>
      <c r="F151" s="26"/>
      <c r="G151" s="27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39"/>
      <c r="Z151" s="27">
        <v>4</v>
      </c>
      <c r="AA151" t="s">
        <v>14</v>
      </c>
      <c r="AB151" t="s">
        <v>26</v>
      </c>
      <c r="AC151" t="s">
        <v>26</v>
      </c>
      <c r="AD151" t="s">
        <v>26</v>
      </c>
      <c r="AE151" t="s">
        <v>26</v>
      </c>
      <c r="AF151" t="s">
        <v>26</v>
      </c>
      <c r="AG151" t="s">
        <v>26</v>
      </c>
      <c r="AH151" t="s">
        <v>655</v>
      </c>
      <c r="AI151" t="s">
        <v>26</v>
      </c>
      <c r="AJ151" t="s">
        <v>26</v>
      </c>
      <c r="AK151" t="s">
        <v>26</v>
      </c>
      <c r="AL151" t="s">
        <v>26</v>
      </c>
      <c r="AM151" t="s">
        <v>26</v>
      </c>
      <c r="AN151" s="44" t="s">
        <v>1530</v>
      </c>
      <c r="AO151">
        <v>4</v>
      </c>
      <c r="AP151">
        <v>4</v>
      </c>
      <c r="AQ151">
        <v>4</v>
      </c>
    </row>
    <row r="152" spans="1:43">
      <c r="A152" s="47"/>
      <c r="B152" s="26" t="s">
        <v>2168</v>
      </c>
      <c r="C152" s="26"/>
      <c r="D152" s="26"/>
      <c r="E152" s="26"/>
      <c r="F152" s="26"/>
      <c r="G152" s="27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39"/>
      <c r="Z152" s="27">
        <v>4</v>
      </c>
      <c r="AA152" t="s">
        <v>14</v>
      </c>
      <c r="AB152" t="s">
        <v>26</v>
      </c>
      <c r="AC152" t="s">
        <v>26</v>
      </c>
      <c r="AD152" t="s">
        <v>26</v>
      </c>
      <c r="AE152" t="s">
        <v>26</v>
      </c>
      <c r="AF152" t="s">
        <v>26</v>
      </c>
      <c r="AG152" t="s">
        <v>26</v>
      </c>
      <c r="AH152" t="s">
        <v>304</v>
      </c>
      <c r="AI152" t="s">
        <v>26</v>
      </c>
      <c r="AJ152" t="s">
        <v>26</v>
      </c>
      <c r="AK152" t="s">
        <v>26</v>
      </c>
      <c r="AL152" t="s">
        <v>26</v>
      </c>
      <c r="AM152" t="s">
        <v>26</v>
      </c>
      <c r="AN152" s="44" t="s">
        <v>1530</v>
      </c>
      <c r="AO152" t="s">
        <v>507</v>
      </c>
      <c r="AP152" t="s">
        <v>510</v>
      </c>
      <c r="AQ152" t="s">
        <v>513</v>
      </c>
    </row>
    <row r="153" spans="1:43">
      <c r="A153" s="47"/>
      <c r="B153" s="26" t="s">
        <v>2168</v>
      </c>
      <c r="C153" s="26"/>
      <c r="D153" s="26"/>
      <c r="E153" s="26"/>
      <c r="F153" s="26"/>
      <c r="G153" s="27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39"/>
      <c r="Z153" s="27">
        <v>4</v>
      </c>
      <c r="AA153" t="s">
        <v>14</v>
      </c>
      <c r="AB153" t="s">
        <v>26</v>
      </c>
      <c r="AC153" t="s">
        <v>26</v>
      </c>
      <c r="AD153" t="s">
        <v>26</v>
      </c>
      <c r="AE153" t="s">
        <v>26</v>
      </c>
      <c r="AF153" t="s">
        <v>26</v>
      </c>
      <c r="AG153" t="s">
        <v>26</v>
      </c>
      <c r="AH153" t="s">
        <v>155</v>
      </c>
      <c r="AI153" t="s">
        <v>26</v>
      </c>
      <c r="AJ153" t="s">
        <v>26</v>
      </c>
      <c r="AK153" t="s">
        <v>26</v>
      </c>
      <c r="AL153" t="s">
        <v>26</v>
      </c>
      <c r="AM153" t="s">
        <v>26</v>
      </c>
      <c r="AN153" s="44" t="s">
        <v>1530</v>
      </c>
      <c r="AO153">
        <v>3</v>
      </c>
      <c r="AP153">
        <v>3</v>
      </c>
      <c r="AQ153">
        <v>3</v>
      </c>
    </row>
    <row r="154" spans="1:43">
      <c r="A154" s="47"/>
      <c r="B154" s="26" t="s">
        <v>2168</v>
      </c>
      <c r="C154" s="26"/>
      <c r="D154" s="26"/>
      <c r="E154" s="26"/>
      <c r="F154" s="26"/>
      <c r="G154" s="27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39"/>
      <c r="Z154" s="27">
        <v>4</v>
      </c>
      <c r="AA154" t="s">
        <v>14</v>
      </c>
      <c r="AB154" t="s">
        <v>26</v>
      </c>
      <c r="AC154" t="s">
        <v>26</v>
      </c>
      <c r="AD154" t="s">
        <v>26</v>
      </c>
      <c r="AE154" t="s">
        <v>26</v>
      </c>
      <c r="AF154" t="s">
        <v>26</v>
      </c>
      <c r="AG154" t="s">
        <v>26</v>
      </c>
      <c r="AH154" t="s">
        <v>243</v>
      </c>
      <c r="AI154" t="s">
        <v>26</v>
      </c>
      <c r="AJ154" t="s">
        <v>26</v>
      </c>
      <c r="AK154" t="s">
        <v>26</v>
      </c>
      <c r="AL154" t="s">
        <v>26</v>
      </c>
      <c r="AM154" t="s">
        <v>26</v>
      </c>
      <c r="AN154" s="44" t="s">
        <v>1530</v>
      </c>
      <c r="AO154">
        <v>28</v>
      </c>
      <c r="AP154">
        <v>26</v>
      </c>
      <c r="AQ154">
        <v>26</v>
      </c>
    </row>
    <row r="155" spans="1:43">
      <c r="A155" s="47"/>
      <c r="B155" s="26" t="s">
        <v>2168</v>
      </c>
      <c r="C155" s="26"/>
      <c r="D155" s="26"/>
      <c r="E155" s="26"/>
      <c r="F155" s="26"/>
      <c r="G155" s="27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39"/>
      <c r="Z155" s="27">
        <v>4</v>
      </c>
      <c r="AA155" t="s">
        <v>14</v>
      </c>
      <c r="AB155" t="s">
        <v>26</v>
      </c>
      <c r="AC155" t="s">
        <v>26</v>
      </c>
      <c r="AD155" t="s">
        <v>26</v>
      </c>
      <c r="AE155" t="s">
        <v>26</v>
      </c>
      <c r="AF155" t="s">
        <v>26</v>
      </c>
      <c r="AG155" t="s">
        <v>26</v>
      </c>
      <c r="AH155" t="s">
        <v>643</v>
      </c>
      <c r="AI155" t="s">
        <v>26</v>
      </c>
      <c r="AJ155" t="s">
        <v>26</v>
      </c>
      <c r="AK155" t="s">
        <v>26</v>
      </c>
      <c r="AL155" t="s">
        <v>26</v>
      </c>
      <c r="AM155" t="s">
        <v>26</v>
      </c>
      <c r="AN155" s="44" t="s">
        <v>1530</v>
      </c>
      <c r="AO155">
        <v>2</v>
      </c>
      <c r="AP155" t="s">
        <v>26</v>
      </c>
      <c r="AQ155">
        <v>2</v>
      </c>
    </row>
    <row r="156" spans="1:43">
      <c r="A156" s="47"/>
      <c r="B156" s="26" t="s">
        <v>2168</v>
      </c>
      <c r="C156" s="26"/>
      <c r="D156" s="26"/>
      <c r="E156" s="26"/>
      <c r="F156" s="26"/>
      <c r="G156" s="27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39"/>
      <c r="Z156" s="27">
        <v>4</v>
      </c>
      <c r="AA156" t="s">
        <v>14</v>
      </c>
      <c r="AB156" t="s">
        <v>26</v>
      </c>
      <c r="AC156" t="s">
        <v>26</v>
      </c>
      <c r="AD156" t="s">
        <v>26</v>
      </c>
      <c r="AE156" t="s">
        <v>26</v>
      </c>
      <c r="AF156" t="s">
        <v>26</v>
      </c>
      <c r="AG156" t="s">
        <v>26</v>
      </c>
      <c r="AH156" t="s">
        <v>111</v>
      </c>
      <c r="AI156" t="s">
        <v>26</v>
      </c>
      <c r="AJ156" t="s">
        <v>26</v>
      </c>
      <c r="AK156" t="s">
        <v>26</v>
      </c>
      <c r="AL156" t="s">
        <v>26</v>
      </c>
      <c r="AM156" t="s">
        <v>26</v>
      </c>
      <c r="AN156" s="44" t="s">
        <v>1530</v>
      </c>
      <c r="AO156">
        <v>2</v>
      </c>
      <c r="AP156">
        <v>2</v>
      </c>
      <c r="AQ156">
        <v>2</v>
      </c>
    </row>
    <row r="157" spans="1:43" s="104" customFormat="1">
      <c r="A157" s="27"/>
      <c r="B157" s="26" t="s">
        <v>2168</v>
      </c>
      <c r="C157" s="26"/>
      <c r="D157" s="26" t="s">
        <v>2148</v>
      </c>
      <c r="E157" s="26"/>
      <c r="F157" s="26"/>
      <c r="G157" s="27"/>
      <c r="H157" s="26"/>
      <c r="I157" s="26"/>
      <c r="J157" s="26"/>
      <c r="K157" s="26"/>
      <c r="L157" s="26"/>
      <c r="M157" s="26">
        <v>920003331</v>
      </c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 t="s">
        <v>2150</v>
      </c>
      <c r="Z157" s="27">
        <v>3</v>
      </c>
      <c r="AA157" s="104" t="s">
        <v>1756</v>
      </c>
      <c r="AB157" s="104" t="s">
        <v>614</v>
      </c>
      <c r="AC157" s="104" t="s">
        <v>26</v>
      </c>
      <c r="AD157" s="104" t="s">
        <v>613</v>
      </c>
      <c r="AE157" s="104" t="s">
        <v>613</v>
      </c>
      <c r="AF157" s="104" t="s">
        <v>615</v>
      </c>
      <c r="AG157" s="104" t="s">
        <v>616</v>
      </c>
      <c r="AH157" s="104" t="s">
        <v>1757</v>
      </c>
      <c r="AI157" s="104" t="s">
        <v>26</v>
      </c>
      <c r="AJ157" s="104" t="s">
        <v>26</v>
      </c>
      <c r="AK157" s="104" t="s">
        <v>1544</v>
      </c>
      <c r="AL157" s="104" t="s">
        <v>1758</v>
      </c>
      <c r="AM157" s="104" t="s">
        <v>1759</v>
      </c>
      <c r="AN157" s="157" t="s">
        <v>1530</v>
      </c>
      <c r="AO157" s="104" t="s">
        <v>507</v>
      </c>
      <c r="AP157" s="104" t="s">
        <v>510</v>
      </c>
      <c r="AQ157" s="104" t="s">
        <v>513</v>
      </c>
    </row>
    <row r="158" spans="1:43">
      <c r="A158" s="178"/>
      <c r="B158" s="179" t="s">
        <v>2168</v>
      </c>
      <c r="C158" s="179"/>
      <c r="D158" s="179" t="s">
        <v>2148</v>
      </c>
      <c r="E158" s="179"/>
      <c r="F158" s="179"/>
      <c r="G158" s="178"/>
      <c r="H158" s="179"/>
      <c r="I158" s="179"/>
      <c r="J158" s="179"/>
      <c r="K158" s="179"/>
      <c r="L158" s="179"/>
      <c r="M158" s="179">
        <v>920003334</v>
      </c>
      <c r="N158" s="179"/>
      <c r="O158" s="179"/>
      <c r="P158" s="179"/>
      <c r="Q158" s="179"/>
      <c r="R158" s="179"/>
      <c r="S158" s="179"/>
      <c r="T158" s="179"/>
      <c r="U158" s="179"/>
      <c r="V158" s="179"/>
      <c r="W158" s="179"/>
      <c r="X158" s="179"/>
      <c r="Y158" s="179" t="s">
        <v>2150</v>
      </c>
      <c r="Z158" s="178">
        <v>3</v>
      </c>
      <c r="AA158" s="181" t="s">
        <v>2376</v>
      </c>
      <c r="AB158" s="181" t="s">
        <v>614</v>
      </c>
      <c r="AC158" s="181" t="s">
        <v>26</v>
      </c>
      <c r="AD158" s="181" t="s">
        <v>613</v>
      </c>
      <c r="AE158" s="181" t="s">
        <v>613</v>
      </c>
      <c r="AF158" s="181" t="s">
        <v>615</v>
      </c>
      <c r="AG158" s="181" t="s">
        <v>616</v>
      </c>
      <c r="AH158" s="181" t="s">
        <v>1757</v>
      </c>
      <c r="AI158" s="181" t="s">
        <v>26</v>
      </c>
      <c r="AJ158" s="181" t="s">
        <v>26</v>
      </c>
      <c r="AK158" s="181" t="s">
        <v>1544</v>
      </c>
      <c r="AL158" s="181" t="s">
        <v>1758</v>
      </c>
      <c r="AM158" s="181" t="s">
        <v>1759</v>
      </c>
      <c r="AN158" s="182" t="s">
        <v>1530</v>
      </c>
      <c r="AO158" s="181">
        <v>0</v>
      </c>
      <c r="AP158" s="181">
        <v>0</v>
      </c>
      <c r="AQ158" s="181">
        <v>0</v>
      </c>
    </row>
    <row r="159" spans="1:43">
      <c r="A159" s="47"/>
      <c r="B159" s="26" t="s">
        <v>2168</v>
      </c>
      <c r="C159" s="26"/>
      <c r="D159" s="26" t="s">
        <v>2148</v>
      </c>
      <c r="E159" s="26"/>
      <c r="F159" s="26"/>
      <c r="G159" s="27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 t="s">
        <v>2150</v>
      </c>
      <c r="Z159" s="27">
        <v>3</v>
      </c>
      <c r="AA159" t="s">
        <v>1760</v>
      </c>
      <c r="AB159" t="s">
        <v>606</v>
      </c>
      <c r="AC159" t="s">
        <v>26</v>
      </c>
      <c r="AD159" t="s">
        <v>605</v>
      </c>
      <c r="AE159" t="s">
        <v>605</v>
      </c>
      <c r="AF159" t="s">
        <v>607</v>
      </c>
      <c r="AG159" t="s">
        <v>608</v>
      </c>
      <c r="AH159" t="s">
        <v>1761</v>
      </c>
      <c r="AI159" t="s">
        <v>26</v>
      </c>
      <c r="AJ159" t="s">
        <v>26</v>
      </c>
      <c r="AK159" t="s">
        <v>1544</v>
      </c>
      <c r="AL159" t="s">
        <v>1762</v>
      </c>
      <c r="AM159" t="s">
        <v>1763</v>
      </c>
      <c r="AN159" s="44" t="s">
        <v>1530</v>
      </c>
      <c r="AO159" t="s">
        <v>507</v>
      </c>
      <c r="AP159" t="s">
        <v>510</v>
      </c>
      <c r="AQ159" t="s">
        <v>513</v>
      </c>
    </row>
    <row r="160" spans="1:43">
      <c r="A160" s="47"/>
      <c r="B160" s="26" t="s">
        <v>2168</v>
      </c>
      <c r="C160" s="26"/>
      <c r="D160" s="26" t="s">
        <v>2148</v>
      </c>
      <c r="E160" s="26"/>
      <c r="F160" s="26"/>
      <c r="G160" s="27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 t="s">
        <v>2150</v>
      </c>
      <c r="Z160" s="27">
        <v>3</v>
      </c>
      <c r="AA160" t="s">
        <v>1764</v>
      </c>
      <c r="AB160" t="s">
        <v>660</v>
      </c>
      <c r="AC160" t="s">
        <v>26</v>
      </c>
      <c r="AD160" t="s">
        <v>659</v>
      </c>
      <c r="AE160" t="s">
        <v>659</v>
      </c>
      <c r="AF160" t="s">
        <v>661</v>
      </c>
      <c r="AG160" t="s">
        <v>662</v>
      </c>
      <c r="AH160" t="s">
        <v>1765</v>
      </c>
      <c r="AI160" t="s">
        <v>1766</v>
      </c>
      <c r="AJ160" t="s">
        <v>26</v>
      </c>
      <c r="AK160" t="s">
        <v>1544</v>
      </c>
      <c r="AL160" t="s">
        <v>1767</v>
      </c>
      <c r="AM160" t="s">
        <v>1768</v>
      </c>
      <c r="AN160" s="44" t="s">
        <v>1530</v>
      </c>
      <c r="AO160" t="s">
        <v>507</v>
      </c>
      <c r="AP160" t="s">
        <v>510</v>
      </c>
      <c r="AQ160" t="s">
        <v>513</v>
      </c>
    </row>
    <row r="161" spans="1:43">
      <c r="A161" s="47"/>
      <c r="B161" s="26" t="s">
        <v>2168</v>
      </c>
      <c r="C161" s="26"/>
      <c r="D161" s="26" t="s">
        <v>2148</v>
      </c>
      <c r="E161" s="26"/>
      <c r="F161" s="26"/>
      <c r="G161" s="27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 t="s">
        <v>2150</v>
      </c>
      <c r="Z161" s="27">
        <v>3</v>
      </c>
      <c r="AA161" t="s">
        <v>1764</v>
      </c>
      <c r="AB161" t="s">
        <v>652</v>
      </c>
      <c r="AC161" t="s">
        <v>26</v>
      </c>
      <c r="AD161" t="s">
        <v>651</v>
      </c>
      <c r="AE161" t="s">
        <v>651</v>
      </c>
      <c r="AF161" t="s">
        <v>653</v>
      </c>
      <c r="AG161" t="s">
        <v>654</v>
      </c>
      <c r="AH161" t="s">
        <v>1765</v>
      </c>
      <c r="AI161" t="s">
        <v>1766</v>
      </c>
      <c r="AJ161" t="s">
        <v>26</v>
      </c>
      <c r="AK161" t="s">
        <v>1544</v>
      </c>
      <c r="AL161" t="s">
        <v>1769</v>
      </c>
      <c r="AM161" t="s">
        <v>1768</v>
      </c>
      <c r="AN161" s="44" t="s">
        <v>1530</v>
      </c>
      <c r="AO161" t="s">
        <v>507</v>
      </c>
      <c r="AP161" t="s">
        <v>510</v>
      </c>
      <c r="AQ161" t="s">
        <v>513</v>
      </c>
    </row>
    <row r="162" spans="1:43">
      <c r="A162" s="47"/>
      <c r="B162" s="26" t="s">
        <v>2168</v>
      </c>
      <c r="C162" s="26"/>
      <c r="D162" s="26" t="s">
        <v>2148</v>
      </c>
      <c r="E162" s="26"/>
      <c r="F162" s="26"/>
      <c r="G162" s="27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2150</v>
      </c>
      <c r="Z162" s="27">
        <v>3</v>
      </c>
      <c r="AA162" t="s">
        <v>1556</v>
      </c>
      <c r="AB162" t="s">
        <v>693</v>
      </c>
      <c r="AC162" t="s">
        <v>26</v>
      </c>
      <c r="AD162" t="s">
        <v>692</v>
      </c>
      <c r="AE162" t="s">
        <v>692</v>
      </c>
      <c r="AF162" t="s">
        <v>694</v>
      </c>
      <c r="AG162" t="s">
        <v>695</v>
      </c>
      <c r="AH162" t="s">
        <v>1770</v>
      </c>
      <c r="AI162" t="s">
        <v>26</v>
      </c>
      <c r="AJ162" t="s">
        <v>26</v>
      </c>
      <c r="AK162" t="s">
        <v>1541</v>
      </c>
      <c r="AL162" t="s">
        <v>1771</v>
      </c>
      <c r="AM162" t="s">
        <v>1772</v>
      </c>
      <c r="AN162" s="44" t="s">
        <v>1530</v>
      </c>
      <c r="AO162" t="s">
        <v>507</v>
      </c>
      <c r="AP162" t="s">
        <v>26</v>
      </c>
      <c r="AQ162" t="s">
        <v>26</v>
      </c>
    </row>
    <row r="163" spans="1:43">
      <c r="A163" s="47"/>
      <c r="B163" s="26" t="s">
        <v>2168</v>
      </c>
      <c r="C163" s="26"/>
      <c r="D163" s="26" t="s">
        <v>2148</v>
      </c>
      <c r="E163" s="26"/>
      <c r="F163" s="26"/>
      <c r="G163" s="27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 t="s">
        <v>2150</v>
      </c>
      <c r="Z163" s="27">
        <v>3</v>
      </c>
      <c r="AA163" t="s">
        <v>1773</v>
      </c>
      <c r="AB163" t="s">
        <v>576</v>
      </c>
      <c r="AC163" t="s">
        <v>26</v>
      </c>
      <c r="AD163" t="s">
        <v>575</v>
      </c>
      <c r="AE163" t="s">
        <v>575</v>
      </c>
      <c r="AF163" t="s">
        <v>577</v>
      </c>
      <c r="AG163" t="s">
        <v>578</v>
      </c>
      <c r="AH163" t="s">
        <v>1774</v>
      </c>
      <c r="AI163" t="s">
        <v>1553</v>
      </c>
      <c r="AJ163" t="s">
        <v>26</v>
      </c>
      <c r="AK163" t="s">
        <v>1544</v>
      </c>
      <c r="AL163" t="s">
        <v>1775</v>
      </c>
      <c r="AM163" t="s">
        <v>1776</v>
      </c>
      <c r="AN163" s="44" t="s">
        <v>1530</v>
      </c>
      <c r="AO163" t="s">
        <v>507</v>
      </c>
      <c r="AP163" t="s">
        <v>26</v>
      </c>
      <c r="AQ163" t="s">
        <v>513</v>
      </c>
    </row>
    <row r="164" spans="1:43">
      <c r="A164" s="47"/>
      <c r="B164" s="26" t="s">
        <v>2168</v>
      </c>
      <c r="C164" s="26"/>
      <c r="D164" s="26" t="s">
        <v>2148</v>
      </c>
      <c r="E164" s="26"/>
      <c r="F164" s="26"/>
      <c r="G164" s="27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 t="s">
        <v>2150</v>
      </c>
      <c r="Z164" s="27">
        <v>3</v>
      </c>
      <c r="AA164" t="s">
        <v>1777</v>
      </c>
      <c r="AB164" t="s">
        <v>543</v>
      </c>
      <c r="AC164" t="s">
        <v>26</v>
      </c>
      <c r="AD164" t="s">
        <v>542</v>
      </c>
      <c r="AE164" t="s">
        <v>542</v>
      </c>
      <c r="AF164" t="s">
        <v>544</v>
      </c>
      <c r="AG164" t="s">
        <v>545</v>
      </c>
      <c r="AH164" t="s">
        <v>1778</v>
      </c>
      <c r="AI164" t="s">
        <v>26</v>
      </c>
      <c r="AJ164" t="s">
        <v>26</v>
      </c>
      <c r="AK164" t="s">
        <v>1544</v>
      </c>
      <c r="AL164" t="s">
        <v>1779</v>
      </c>
      <c r="AM164" t="s">
        <v>1780</v>
      </c>
      <c r="AN164" s="44" t="s">
        <v>1530</v>
      </c>
      <c r="AO164" t="s">
        <v>507</v>
      </c>
      <c r="AP164" t="s">
        <v>510</v>
      </c>
      <c r="AQ164" t="s">
        <v>513</v>
      </c>
    </row>
    <row r="165" spans="1:43">
      <c r="A165" s="47"/>
      <c r="B165" s="26" t="s">
        <v>2168</v>
      </c>
      <c r="C165" s="26"/>
      <c r="D165" s="26" t="s">
        <v>2196</v>
      </c>
      <c r="E165" s="26"/>
      <c r="F165" s="26"/>
      <c r="G165" s="27"/>
      <c r="H165" s="26"/>
      <c r="I165" s="26"/>
      <c r="J165" s="26" t="s">
        <v>2207</v>
      </c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 t="s">
        <v>2150</v>
      </c>
      <c r="Z165" s="27">
        <v>3</v>
      </c>
      <c r="AA165" t="s">
        <v>1591</v>
      </c>
      <c r="AB165" t="s">
        <v>1781</v>
      </c>
      <c r="AC165" t="s">
        <v>26</v>
      </c>
      <c r="AD165" t="s">
        <v>26</v>
      </c>
      <c r="AE165" t="s">
        <v>1782</v>
      </c>
      <c r="AF165" t="s">
        <v>1781</v>
      </c>
      <c r="AG165" t="s">
        <v>1594</v>
      </c>
      <c r="AH165" t="s">
        <v>1595</v>
      </c>
      <c r="AI165" t="s">
        <v>26</v>
      </c>
      <c r="AJ165" t="s">
        <v>221</v>
      </c>
      <c r="AK165" t="s">
        <v>1596</v>
      </c>
      <c r="AL165" t="s">
        <v>26</v>
      </c>
      <c r="AM165" t="s">
        <v>26</v>
      </c>
      <c r="AN165" s="44" t="s">
        <v>1530</v>
      </c>
      <c r="AO165" t="s">
        <v>507</v>
      </c>
      <c r="AP165" t="s">
        <v>510</v>
      </c>
      <c r="AQ165" t="s">
        <v>513</v>
      </c>
    </row>
    <row r="166" spans="1:43">
      <c r="A166" s="47"/>
      <c r="B166" s="26" t="s">
        <v>2168</v>
      </c>
      <c r="C166" s="26"/>
      <c r="D166" s="26" t="s">
        <v>2196</v>
      </c>
      <c r="E166" s="26"/>
      <c r="F166" s="26"/>
      <c r="G166" s="27"/>
      <c r="H166" s="26"/>
      <c r="I166" s="26"/>
      <c r="J166" s="26" t="s">
        <v>2208</v>
      </c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 t="s">
        <v>2150</v>
      </c>
      <c r="Z166" s="27">
        <v>3</v>
      </c>
      <c r="AA166" t="s">
        <v>1612</v>
      </c>
      <c r="AB166" t="s">
        <v>1783</v>
      </c>
      <c r="AC166" t="s">
        <v>26</v>
      </c>
      <c r="AD166" t="s">
        <v>26</v>
      </c>
      <c r="AE166" t="s">
        <v>1784</v>
      </c>
      <c r="AF166" t="s">
        <v>1783</v>
      </c>
      <c r="AG166" t="s">
        <v>1594</v>
      </c>
      <c r="AH166" t="s">
        <v>1616</v>
      </c>
      <c r="AI166" t="s">
        <v>26</v>
      </c>
      <c r="AJ166" t="s">
        <v>221</v>
      </c>
      <c r="AK166" t="s">
        <v>1617</v>
      </c>
      <c r="AL166" t="s">
        <v>26</v>
      </c>
      <c r="AM166" t="s">
        <v>26</v>
      </c>
      <c r="AN166" s="44" t="s">
        <v>1530</v>
      </c>
      <c r="AO166" t="s">
        <v>507</v>
      </c>
      <c r="AP166" t="s">
        <v>510</v>
      </c>
      <c r="AQ166" t="s">
        <v>513</v>
      </c>
    </row>
    <row r="167" spans="1:43">
      <c r="A167" s="47"/>
      <c r="B167" s="26" t="s">
        <v>2168</v>
      </c>
      <c r="C167" s="26"/>
      <c r="D167" s="26" t="s">
        <v>2196</v>
      </c>
      <c r="E167" s="26"/>
      <c r="F167" s="26"/>
      <c r="G167" s="27"/>
      <c r="H167" s="26"/>
      <c r="I167" s="26"/>
      <c r="J167" s="26" t="s">
        <v>2209</v>
      </c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 t="s">
        <v>2150</v>
      </c>
      <c r="Z167" s="27">
        <v>3</v>
      </c>
      <c r="AA167" t="s">
        <v>1785</v>
      </c>
      <c r="AB167" t="s">
        <v>1786</v>
      </c>
      <c r="AC167" t="s">
        <v>26</v>
      </c>
      <c r="AD167" t="s">
        <v>26</v>
      </c>
      <c r="AE167" t="s">
        <v>1787</v>
      </c>
      <c r="AF167" t="s">
        <v>1786</v>
      </c>
      <c r="AG167" t="s">
        <v>1594</v>
      </c>
      <c r="AH167" t="s">
        <v>1788</v>
      </c>
      <c r="AI167" t="s">
        <v>26</v>
      </c>
      <c r="AJ167" t="s">
        <v>221</v>
      </c>
      <c r="AK167" t="s">
        <v>1789</v>
      </c>
      <c r="AL167" t="s">
        <v>26</v>
      </c>
      <c r="AM167" t="s">
        <v>26</v>
      </c>
      <c r="AN167" s="44" t="s">
        <v>1530</v>
      </c>
      <c r="AO167" t="s">
        <v>507</v>
      </c>
      <c r="AP167" t="s">
        <v>510</v>
      </c>
      <c r="AQ167" t="s">
        <v>513</v>
      </c>
    </row>
    <row r="168" spans="1:43">
      <c r="A168" s="47"/>
      <c r="B168" s="26" t="s">
        <v>2168</v>
      </c>
      <c r="C168" s="26"/>
      <c r="D168" s="26" t="s">
        <v>2196</v>
      </c>
      <c r="E168" s="26"/>
      <c r="F168" s="26"/>
      <c r="G168" s="27"/>
      <c r="H168" s="26"/>
      <c r="I168" s="26"/>
      <c r="J168" s="26" t="s">
        <v>2210</v>
      </c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 t="s">
        <v>2150</v>
      </c>
      <c r="Z168" s="27">
        <v>3</v>
      </c>
      <c r="AA168" t="s">
        <v>1785</v>
      </c>
      <c r="AB168" t="s">
        <v>1790</v>
      </c>
      <c r="AC168" t="s">
        <v>26</v>
      </c>
      <c r="AD168" t="s">
        <v>26</v>
      </c>
      <c r="AE168" t="s">
        <v>582</v>
      </c>
      <c r="AF168" t="s">
        <v>1790</v>
      </c>
      <c r="AG168" t="s">
        <v>1615</v>
      </c>
      <c r="AH168" t="s">
        <v>1788</v>
      </c>
      <c r="AI168" t="s">
        <v>26</v>
      </c>
      <c r="AJ168" t="s">
        <v>152</v>
      </c>
      <c r="AK168" t="s">
        <v>1789</v>
      </c>
      <c r="AL168" t="s">
        <v>26</v>
      </c>
      <c r="AM168" t="s">
        <v>26</v>
      </c>
      <c r="AN168" s="44" t="s">
        <v>1530</v>
      </c>
      <c r="AO168" t="s">
        <v>507</v>
      </c>
      <c r="AP168" t="s">
        <v>510</v>
      </c>
      <c r="AQ168" t="s">
        <v>513</v>
      </c>
    </row>
    <row r="169" spans="1:43" ht="30">
      <c r="A169" s="47"/>
      <c r="B169" s="26" t="s">
        <v>2168</v>
      </c>
      <c r="C169" s="26"/>
      <c r="D169" s="26" t="s">
        <v>2148</v>
      </c>
      <c r="E169" s="26"/>
      <c r="F169" s="26"/>
      <c r="G169" s="27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 t="s">
        <v>2150</v>
      </c>
      <c r="Z169" s="27">
        <v>3</v>
      </c>
      <c r="AA169" t="s">
        <v>1791</v>
      </c>
      <c r="AB169" t="s">
        <v>583</v>
      </c>
      <c r="AC169" t="s">
        <v>26</v>
      </c>
      <c r="AD169" t="s">
        <v>582</v>
      </c>
      <c r="AE169" t="s">
        <v>582</v>
      </c>
      <c r="AF169" t="s">
        <v>584</v>
      </c>
      <c r="AG169" t="s">
        <v>585</v>
      </c>
      <c r="AH169" t="s">
        <v>1792</v>
      </c>
      <c r="AI169" t="s">
        <v>26</v>
      </c>
      <c r="AJ169" t="s">
        <v>26</v>
      </c>
      <c r="AK169" t="s">
        <v>1544</v>
      </c>
      <c r="AL169" t="s">
        <v>1793</v>
      </c>
      <c r="AM169" s="1" t="s">
        <v>1794</v>
      </c>
      <c r="AN169" s="44" t="s">
        <v>1530</v>
      </c>
      <c r="AO169" t="s">
        <v>507</v>
      </c>
      <c r="AP169" t="s">
        <v>510</v>
      </c>
      <c r="AQ169" t="s">
        <v>513</v>
      </c>
    </row>
    <row r="170" spans="1:43">
      <c r="A170" s="47"/>
      <c r="B170" s="26" t="s">
        <v>2168</v>
      </c>
      <c r="C170" s="26"/>
      <c r="D170" s="26" t="s">
        <v>2148</v>
      </c>
      <c r="E170" s="26"/>
      <c r="F170" s="26"/>
      <c r="G170" s="27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 t="s">
        <v>2150</v>
      </c>
      <c r="Z170" s="27">
        <v>3</v>
      </c>
      <c r="AA170" t="s">
        <v>1795</v>
      </c>
      <c r="AB170" t="s">
        <v>701</v>
      </c>
      <c r="AC170" t="s">
        <v>26</v>
      </c>
      <c r="AD170" t="s">
        <v>700</v>
      </c>
      <c r="AE170" t="s">
        <v>700</v>
      </c>
      <c r="AF170" t="s">
        <v>702</v>
      </c>
      <c r="AG170" t="s">
        <v>703</v>
      </c>
      <c r="AH170" t="s">
        <v>1796</v>
      </c>
      <c r="AI170" t="s">
        <v>26</v>
      </c>
      <c r="AJ170" t="s">
        <v>26</v>
      </c>
      <c r="AK170" t="s">
        <v>1544</v>
      </c>
      <c r="AL170" t="s">
        <v>1797</v>
      </c>
      <c r="AM170" t="s">
        <v>1798</v>
      </c>
      <c r="AN170" s="44" t="s">
        <v>1530</v>
      </c>
      <c r="AO170" t="s">
        <v>507</v>
      </c>
      <c r="AP170" t="s">
        <v>510</v>
      </c>
      <c r="AQ170" t="s">
        <v>513</v>
      </c>
    </row>
    <row r="171" spans="1:43">
      <c r="A171" s="47"/>
      <c r="B171" s="26" t="s">
        <v>2168</v>
      </c>
      <c r="C171" s="26"/>
      <c r="D171" s="26" t="s">
        <v>2148</v>
      </c>
      <c r="E171" s="26"/>
      <c r="F171" s="26"/>
      <c r="G171" s="27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 t="s">
        <v>2150</v>
      </c>
      <c r="Z171" s="27">
        <v>3</v>
      </c>
      <c r="AA171" t="s">
        <v>1795</v>
      </c>
      <c r="AB171" t="s">
        <v>707</v>
      </c>
      <c r="AC171" t="s">
        <v>26</v>
      </c>
      <c r="AD171" t="s">
        <v>706</v>
      </c>
      <c r="AE171" t="s">
        <v>706</v>
      </c>
      <c r="AF171" t="s">
        <v>708</v>
      </c>
      <c r="AG171" t="s">
        <v>709</v>
      </c>
      <c r="AH171" t="s">
        <v>1796</v>
      </c>
      <c r="AI171" t="s">
        <v>26</v>
      </c>
      <c r="AJ171" t="s">
        <v>26</v>
      </c>
      <c r="AK171" t="s">
        <v>1544</v>
      </c>
      <c r="AL171" t="s">
        <v>1799</v>
      </c>
      <c r="AM171" t="s">
        <v>1800</v>
      </c>
      <c r="AN171" s="44" t="s">
        <v>1530</v>
      </c>
      <c r="AO171" t="s">
        <v>507</v>
      </c>
      <c r="AP171" t="s">
        <v>510</v>
      </c>
      <c r="AQ171" t="s">
        <v>513</v>
      </c>
    </row>
    <row r="172" spans="1:43" ht="30">
      <c r="A172" s="47"/>
      <c r="B172" s="26" t="s">
        <v>2168</v>
      </c>
      <c r="C172" s="26"/>
      <c r="D172" s="26" t="s">
        <v>2148</v>
      </c>
      <c r="E172" s="26"/>
      <c r="F172" s="26"/>
      <c r="G172" s="27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 t="s">
        <v>2150</v>
      </c>
      <c r="Z172" s="27">
        <v>3</v>
      </c>
      <c r="AA172" t="s">
        <v>1795</v>
      </c>
      <c r="AB172" t="s">
        <v>712</v>
      </c>
      <c r="AC172" t="s">
        <v>26</v>
      </c>
      <c r="AD172" t="s">
        <v>711</v>
      </c>
      <c r="AE172" t="s">
        <v>711</v>
      </c>
      <c r="AF172" t="s">
        <v>713</v>
      </c>
      <c r="AG172" t="s">
        <v>714</v>
      </c>
      <c r="AH172" t="s">
        <v>1796</v>
      </c>
      <c r="AI172" t="s">
        <v>26</v>
      </c>
      <c r="AJ172" t="s">
        <v>26</v>
      </c>
      <c r="AK172" t="s">
        <v>1544</v>
      </c>
      <c r="AL172" t="s">
        <v>1801</v>
      </c>
      <c r="AM172" s="1" t="s">
        <v>1802</v>
      </c>
      <c r="AN172" s="44" t="s">
        <v>1530</v>
      </c>
      <c r="AO172" t="s">
        <v>507</v>
      </c>
      <c r="AP172" t="s">
        <v>510</v>
      </c>
      <c r="AQ172" t="s">
        <v>513</v>
      </c>
    </row>
    <row r="173" spans="1:43" s="104" customFormat="1">
      <c r="A173" s="27"/>
      <c r="B173" s="26" t="s">
        <v>2168</v>
      </c>
      <c r="C173" s="26"/>
      <c r="D173" s="26" t="s">
        <v>2148</v>
      </c>
      <c r="E173" s="26"/>
      <c r="F173" s="26"/>
      <c r="G173" s="27"/>
      <c r="H173" s="26"/>
      <c r="I173" s="26"/>
      <c r="J173" s="26"/>
      <c r="K173" s="26"/>
      <c r="L173" s="177"/>
      <c r="M173" s="177">
        <v>920002369</v>
      </c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 t="s">
        <v>2150</v>
      </c>
      <c r="Z173" s="27">
        <v>3</v>
      </c>
      <c r="AA173" s="104" t="s">
        <v>1803</v>
      </c>
      <c r="AB173" s="104" t="s">
        <v>638</v>
      </c>
      <c r="AC173" s="104" t="s">
        <v>26</v>
      </c>
      <c r="AD173" s="104" t="s">
        <v>466</v>
      </c>
      <c r="AE173" s="104" t="s">
        <v>466</v>
      </c>
      <c r="AF173" s="104" t="s">
        <v>639</v>
      </c>
      <c r="AG173" s="104" t="s">
        <v>640</v>
      </c>
      <c r="AH173" s="104" t="s">
        <v>1804</v>
      </c>
      <c r="AI173" s="104" t="s">
        <v>26</v>
      </c>
      <c r="AJ173" s="104" t="s">
        <v>26</v>
      </c>
      <c r="AK173" s="104" t="s">
        <v>1544</v>
      </c>
      <c r="AL173" s="104" t="s">
        <v>1638</v>
      </c>
      <c r="AM173" s="104" t="s">
        <v>1639</v>
      </c>
      <c r="AN173" s="157" t="s">
        <v>1530</v>
      </c>
      <c r="AO173" s="104" t="s">
        <v>507</v>
      </c>
      <c r="AP173" s="104" t="s">
        <v>510</v>
      </c>
      <c r="AQ173" s="104" t="s">
        <v>513</v>
      </c>
    </row>
    <row r="174" spans="1:43">
      <c r="A174" s="178"/>
      <c r="B174" s="179" t="s">
        <v>2168</v>
      </c>
      <c r="C174" s="179"/>
      <c r="D174" s="179" t="s">
        <v>2148</v>
      </c>
      <c r="E174" s="179"/>
      <c r="F174" s="179"/>
      <c r="G174" s="178"/>
      <c r="H174" s="179"/>
      <c r="I174" s="179"/>
      <c r="J174" s="179"/>
      <c r="K174" s="179"/>
      <c r="L174" s="179"/>
      <c r="M174" s="180">
        <v>920002644</v>
      </c>
      <c r="N174" s="179"/>
      <c r="O174" s="179"/>
      <c r="P174" s="179"/>
      <c r="Q174" s="179"/>
      <c r="R174" s="179"/>
      <c r="S174" s="179"/>
      <c r="T174" s="179"/>
      <c r="U174" s="179"/>
      <c r="V174" s="179"/>
      <c r="W174" s="179"/>
      <c r="X174" s="179"/>
      <c r="Y174" s="179" t="s">
        <v>2150</v>
      </c>
      <c r="Z174" s="178">
        <v>3</v>
      </c>
      <c r="AA174" s="181" t="s">
        <v>2369</v>
      </c>
      <c r="AB174" s="181" t="s">
        <v>638</v>
      </c>
      <c r="AC174" s="181" t="s">
        <v>26</v>
      </c>
      <c r="AD174" s="181" t="s">
        <v>466</v>
      </c>
      <c r="AE174" s="181" t="s">
        <v>466</v>
      </c>
      <c r="AF174" s="181" t="s">
        <v>639</v>
      </c>
      <c r="AG174" s="181" t="s">
        <v>640</v>
      </c>
      <c r="AH174" s="181" t="s">
        <v>1804</v>
      </c>
      <c r="AI174" s="181" t="s">
        <v>26</v>
      </c>
      <c r="AJ174" s="181" t="s">
        <v>26</v>
      </c>
      <c r="AK174" s="181" t="s">
        <v>1544</v>
      </c>
      <c r="AL174" s="181" t="s">
        <v>1638</v>
      </c>
      <c r="AM174" s="181" t="s">
        <v>1639</v>
      </c>
      <c r="AN174" s="182" t="s">
        <v>1530</v>
      </c>
      <c r="AO174" s="181">
        <v>0</v>
      </c>
      <c r="AP174" s="181">
        <v>0</v>
      </c>
      <c r="AQ174" s="181">
        <v>0</v>
      </c>
    </row>
    <row r="175" spans="1:43">
      <c r="A175" s="47"/>
      <c r="B175" s="26" t="s">
        <v>2168</v>
      </c>
      <c r="C175" s="26"/>
      <c r="D175" s="26" t="s">
        <v>2148</v>
      </c>
      <c r="E175" s="26"/>
      <c r="F175" s="26"/>
      <c r="G175" s="27"/>
      <c r="H175" s="26"/>
      <c r="I175" s="26"/>
      <c r="J175" s="26"/>
      <c r="K175" s="26"/>
      <c r="L175" s="40" t="s">
        <v>2206</v>
      </c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 t="s">
        <v>2150</v>
      </c>
      <c r="Z175" s="27">
        <v>3</v>
      </c>
      <c r="AA175" t="s">
        <v>1805</v>
      </c>
      <c r="AB175" t="s">
        <v>1806</v>
      </c>
      <c r="AC175" t="s">
        <v>26</v>
      </c>
      <c r="AD175" t="s">
        <v>26</v>
      </c>
      <c r="AE175" t="s">
        <v>26</v>
      </c>
      <c r="AF175" t="s">
        <v>1806</v>
      </c>
      <c r="AG175" t="s">
        <v>1717</v>
      </c>
      <c r="AH175" t="s">
        <v>1807</v>
      </c>
      <c r="AI175" t="s">
        <v>26</v>
      </c>
      <c r="AJ175" t="s">
        <v>26</v>
      </c>
      <c r="AK175" t="s">
        <v>26</v>
      </c>
      <c r="AL175" t="s">
        <v>26</v>
      </c>
      <c r="AM175" t="s">
        <v>26</v>
      </c>
      <c r="AN175" s="44" t="s">
        <v>1530</v>
      </c>
      <c r="AO175" t="s">
        <v>507</v>
      </c>
      <c r="AP175" t="s">
        <v>510</v>
      </c>
      <c r="AQ175" t="s">
        <v>513</v>
      </c>
    </row>
    <row r="176" spans="1:43">
      <c r="A176" s="47"/>
      <c r="B176" s="26" t="s">
        <v>2168</v>
      </c>
      <c r="C176" s="26"/>
      <c r="D176" s="26" t="s">
        <v>2148</v>
      </c>
      <c r="E176" s="26"/>
      <c r="F176" s="26"/>
      <c r="G176" s="27"/>
      <c r="H176" s="26"/>
      <c r="I176" s="26"/>
      <c r="J176" s="26"/>
      <c r="K176" s="26"/>
      <c r="L176" s="40" t="s">
        <v>2205</v>
      </c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 t="s">
        <v>2150</v>
      </c>
      <c r="Z176" s="27">
        <v>3</v>
      </c>
      <c r="AA176" t="s">
        <v>1710</v>
      </c>
      <c r="AB176" t="s">
        <v>1808</v>
      </c>
      <c r="AC176" t="s">
        <v>26</v>
      </c>
      <c r="AD176" t="s">
        <v>26</v>
      </c>
      <c r="AE176" t="s">
        <v>26</v>
      </c>
      <c r="AF176" t="s">
        <v>1808</v>
      </c>
      <c r="AG176" t="s">
        <v>1809</v>
      </c>
      <c r="AH176" t="s">
        <v>1810</v>
      </c>
      <c r="AI176" t="s">
        <v>26</v>
      </c>
      <c r="AJ176" t="s">
        <v>26</v>
      </c>
      <c r="AK176" t="s">
        <v>26</v>
      </c>
      <c r="AL176" t="s">
        <v>26</v>
      </c>
      <c r="AM176" t="s">
        <v>26</v>
      </c>
      <c r="AN176" s="44" t="s">
        <v>1530</v>
      </c>
      <c r="AO176" t="s">
        <v>507</v>
      </c>
      <c r="AP176" t="s">
        <v>26</v>
      </c>
      <c r="AQ176" t="s">
        <v>26</v>
      </c>
    </row>
    <row r="177" spans="1:43">
      <c r="A177" s="47"/>
      <c r="B177" s="26" t="s">
        <v>2168</v>
      </c>
      <c r="C177" s="26"/>
      <c r="D177" s="26" t="s">
        <v>2148</v>
      </c>
      <c r="E177" s="26"/>
      <c r="F177" s="26"/>
      <c r="G177" s="27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 t="s">
        <v>2150</v>
      </c>
      <c r="Z177" s="27">
        <v>3</v>
      </c>
      <c r="AA177" t="s">
        <v>1661</v>
      </c>
      <c r="AB177" t="s">
        <v>1811</v>
      </c>
      <c r="AC177" t="s">
        <v>26</v>
      </c>
      <c r="AD177" t="s">
        <v>26</v>
      </c>
      <c r="AE177" t="s">
        <v>26</v>
      </c>
      <c r="AF177" t="s">
        <v>1811</v>
      </c>
      <c r="AG177" t="s">
        <v>1812</v>
      </c>
      <c r="AH177" t="s">
        <v>1663</v>
      </c>
      <c r="AI177" t="s">
        <v>26</v>
      </c>
      <c r="AJ177" t="s">
        <v>26</v>
      </c>
      <c r="AK177" t="s">
        <v>26</v>
      </c>
      <c r="AL177" t="s">
        <v>26</v>
      </c>
      <c r="AM177" t="s">
        <v>26</v>
      </c>
      <c r="AN177" s="44" t="s">
        <v>1530</v>
      </c>
      <c r="AO177" t="s">
        <v>507</v>
      </c>
      <c r="AP177" t="s">
        <v>510</v>
      </c>
      <c r="AQ177" t="s">
        <v>513</v>
      </c>
    </row>
    <row r="178" spans="1:43">
      <c r="A178" s="47"/>
      <c r="B178" s="26" t="s">
        <v>2168</v>
      </c>
      <c r="C178" s="26"/>
      <c r="D178" s="26" t="s">
        <v>2148</v>
      </c>
      <c r="E178" s="26"/>
      <c r="F178" s="26"/>
      <c r="G178" s="27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 t="s">
        <v>2150</v>
      </c>
      <c r="Z178" s="27">
        <v>3</v>
      </c>
      <c r="AA178" t="s">
        <v>1661</v>
      </c>
      <c r="AB178" t="s">
        <v>1813</v>
      </c>
      <c r="AC178" t="s">
        <v>26</v>
      </c>
      <c r="AD178" t="s">
        <v>26</v>
      </c>
      <c r="AE178" t="s">
        <v>26</v>
      </c>
      <c r="AF178" t="s">
        <v>1813</v>
      </c>
      <c r="AG178" t="s">
        <v>1812</v>
      </c>
      <c r="AH178" t="s">
        <v>1663</v>
      </c>
      <c r="AI178" t="s">
        <v>26</v>
      </c>
      <c r="AJ178" t="s">
        <v>26</v>
      </c>
      <c r="AK178" t="s">
        <v>26</v>
      </c>
      <c r="AL178" t="s">
        <v>26</v>
      </c>
      <c r="AM178" t="s">
        <v>26</v>
      </c>
      <c r="AN178" s="44" t="s">
        <v>1530</v>
      </c>
      <c r="AO178" t="s">
        <v>507</v>
      </c>
      <c r="AP178" t="s">
        <v>510</v>
      </c>
      <c r="AQ178" t="s">
        <v>513</v>
      </c>
    </row>
    <row r="179" spans="1:43">
      <c r="A179" s="47"/>
      <c r="B179" s="26" t="s">
        <v>2168</v>
      </c>
      <c r="C179" s="26"/>
      <c r="D179" s="26" t="s">
        <v>2148</v>
      </c>
      <c r="E179" s="26"/>
      <c r="F179" s="26"/>
      <c r="G179" s="27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 t="s">
        <v>2150</v>
      </c>
      <c r="Z179" s="27">
        <v>3</v>
      </c>
      <c r="AA179" t="s">
        <v>1814</v>
      </c>
      <c r="AB179" t="s">
        <v>1815</v>
      </c>
      <c r="AC179" t="s">
        <v>26</v>
      </c>
      <c r="AD179" t="s">
        <v>26</v>
      </c>
      <c r="AE179" t="s">
        <v>26</v>
      </c>
      <c r="AF179" t="s">
        <v>1816</v>
      </c>
      <c r="AG179" t="s">
        <v>676</v>
      </c>
      <c r="AH179" t="s">
        <v>1817</v>
      </c>
      <c r="AI179" t="s">
        <v>26</v>
      </c>
      <c r="AJ179" t="s">
        <v>26</v>
      </c>
      <c r="AK179" t="s">
        <v>26</v>
      </c>
      <c r="AL179" t="s">
        <v>26</v>
      </c>
      <c r="AM179" t="s">
        <v>26</v>
      </c>
      <c r="AN179" s="44" t="s">
        <v>1530</v>
      </c>
      <c r="AO179" t="s">
        <v>507</v>
      </c>
      <c r="AP179" t="s">
        <v>26</v>
      </c>
      <c r="AQ179" t="s">
        <v>513</v>
      </c>
    </row>
    <row r="180" spans="1:43">
      <c r="A180" s="47"/>
      <c r="B180" s="26" t="s">
        <v>2171</v>
      </c>
      <c r="C180" s="26"/>
      <c r="D180" s="26"/>
      <c r="E180" s="26"/>
      <c r="F180" s="26"/>
      <c r="G180" s="27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7">
        <v>1</v>
      </c>
      <c r="AA180" t="s">
        <v>741</v>
      </c>
    </row>
    <row r="181" spans="1:43">
      <c r="A181" s="47">
        <v>500.50599999999997</v>
      </c>
      <c r="B181" s="26" t="s">
        <v>2171</v>
      </c>
      <c r="C181" s="26"/>
      <c r="D181" s="26"/>
      <c r="E181" s="26"/>
      <c r="F181" s="26"/>
      <c r="G181" s="27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7">
        <v>2</v>
      </c>
      <c r="AA181" t="s">
        <v>1</v>
      </c>
      <c r="AB181" t="s">
        <v>742</v>
      </c>
      <c r="AC181" t="s">
        <v>743</v>
      </c>
      <c r="AD181" s="146" t="s">
        <v>2334</v>
      </c>
    </row>
    <row r="182" spans="1:43">
      <c r="A182" s="47"/>
      <c r="B182" s="26" t="s">
        <v>2171</v>
      </c>
      <c r="C182" s="26"/>
      <c r="D182" s="26"/>
      <c r="E182" s="26"/>
      <c r="F182" s="26"/>
      <c r="G182" s="27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7">
        <v>0</v>
      </c>
      <c r="AA182" t="s">
        <v>1512</v>
      </c>
      <c r="AB182" t="s">
        <v>1513</v>
      </c>
      <c r="AC182" t="s">
        <v>1514</v>
      </c>
      <c r="AD182" t="s">
        <v>9</v>
      </c>
      <c r="AE182" t="s">
        <v>9</v>
      </c>
      <c r="AF182" t="s">
        <v>11</v>
      </c>
      <c r="AG182" t="s">
        <v>13</v>
      </c>
      <c r="AH182" t="s">
        <v>1515</v>
      </c>
      <c r="AI182" t="s">
        <v>1516</v>
      </c>
      <c r="AJ182" t="s">
        <v>1517</v>
      </c>
      <c r="AK182" t="s">
        <v>22</v>
      </c>
      <c r="AL182" t="s">
        <v>1518</v>
      </c>
      <c r="AM182" t="s">
        <v>1519</v>
      </c>
      <c r="AN182" s="44" t="s">
        <v>1520</v>
      </c>
      <c r="AO182" t="s">
        <v>1</v>
      </c>
    </row>
    <row r="183" spans="1:43">
      <c r="A183" s="47"/>
      <c r="B183" s="26" t="s">
        <v>2171</v>
      </c>
      <c r="C183" s="26"/>
      <c r="D183" s="26"/>
      <c r="E183" s="26"/>
      <c r="F183" s="26"/>
      <c r="G183" s="27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7">
        <v>4</v>
      </c>
      <c r="AA183" t="s">
        <v>1524</v>
      </c>
      <c r="AB183" t="s">
        <v>26</v>
      </c>
      <c r="AC183" t="s">
        <v>26</v>
      </c>
      <c r="AD183" t="s">
        <v>26</v>
      </c>
      <c r="AE183" t="s">
        <v>26</v>
      </c>
      <c r="AF183" t="s">
        <v>26</v>
      </c>
      <c r="AG183" t="s">
        <v>26</v>
      </c>
      <c r="AH183" t="s">
        <v>1527</v>
      </c>
      <c r="AI183" t="s">
        <v>26</v>
      </c>
      <c r="AJ183" t="s">
        <v>26</v>
      </c>
      <c r="AK183" t="s">
        <v>26</v>
      </c>
      <c r="AL183" t="s">
        <v>26</v>
      </c>
      <c r="AM183" t="s">
        <v>26</v>
      </c>
      <c r="AN183" s="44" t="s">
        <v>1523</v>
      </c>
      <c r="AO183">
        <v>469</v>
      </c>
    </row>
    <row r="184" spans="1:43">
      <c r="A184" s="47"/>
      <c r="B184" s="26" t="s">
        <v>2171</v>
      </c>
      <c r="C184" s="26"/>
      <c r="D184" s="26"/>
      <c r="E184" s="26"/>
      <c r="F184" s="26"/>
      <c r="G184" s="27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7">
        <v>4</v>
      </c>
      <c r="AA184" t="s">
        <v>14</v>
      </c>
      <c r="AB184" t="s">
        <v>26</v>
      </c>
      <c r="AC184" t="s">
        <v>26</v>
      </c>
      <c r="AD184" t="s">
        <v>26</v>
      </c>
      <c r="AE184" t="s">
        <v>26</v>
      </c>
      <c r="AF184" t="s">
        <v>26</v>
      </c>
      <c r="AG184" t="s">
        <v>26</v>
      </c>
      <c r="AH184" t="s">
        <v>384</v>
      </c>
      <c r="AI184" t="s">
        <v>26</v>
      </c>
      <c r="AJ184" t="s">
        <v>26</v>
      </c>
      <c r="AK184" t="s">
        <v>26</v>
      </c>
      <c r="AL184" t="s">
        <v>26</v>
      </c>
      <c r="AM184" t="s">
        <v>26</v>
      </c>
      <c r="AN184" s="44" t="s">
        <v>1530</v>
      </c>
      <c r="AO184">
        <v>2</v>
      </c>
    </row>
    <row r="185" spans="1:43">
      <c r="A185" s="47"/>
      <c r="B185" s="26" t="s">
        <v>2171</v>
      </c>
      <c r="C185" s="26"/>
      <c r="D185" s="26"/>
      <c r="E185" s="26"/>
      <c r="F185" s="26"/>
      <c r="G185" s="27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7">
        <v>4</v>
      </c>
      <c r="AA185" t="s">
        <v>14</v>
      </c>
      <c r="AB185" t="s">
        <v>26</v>
      </c>
      <c r="AC185" t="s">
        <v>26</v>
      </c>
      <c r="AD185" t="s">
        <v>26</v>
      </c>
      <c r="AE185" t="s">
        <v>26</v>
      </c>
      <c r="AF185" t="s">
        <v>26</v>
      </c>
      <c r="AG185" t="s">
        <v>26</v>
      </c>
      <c r="AH185" t="s">
        <v>214</v>
      </c>
      <c r="AI185" t="s">
        <v>26</v>
      </c>
      <c r="AJ185" t="s">
        <v>26</v>
      </c>
      <c r="AK185" t="s">
        <v>26</v>
      </c>
      <c r="AL185" t="s">
        <v>26</v>
      </c>
      <c r="AM185" t="s">
        <v>26</v>
      </c>
      <c r="AN185" s="44" t="s">
        <v>1530</v>
      </c>
      <c r="AO185" t="s">
        <v>742</v>
      </c>
    </row>
    <row r="186" spans="1:43">
      <c r="A186" s="47"/>
      <c r="B186" s="26" t="s">
        <v>2171</v>
      </c>
      <c r="C186" s="26"/>
      <c r="D186" s="26"/>
      <c r="E186" s="26"/>
      <c r="F186" s="26"/>
      <c r="G186" s="27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7">
        <v>4</v>
      </c>
      <c r="AA186" t="s">
        <v>14</v>
      </c>
      <c r="AB186" t="s">
        <v>26</v>
      </c>
      <c r="AC186" t="s">
        <v>26</v>
      </c>
      <c r="AD186" t="s">
        <v>26</v>
      </c>
      <c r="AE186" t="s">
        <v>26</v>
      </c>
      <c r="AF186" t="s">
        <v>26</v>
      </c>
      <c r="AG186" t="s">
        <v>26</v>
      </c>
      <c r="AH186" t="s">
        <v>321</v>
      </c>
      <c r="AI186" t="s">
        <v>26</v>
      </c>
      <c r="AJ186" t="s">
        <v>26</v>
      </c>
      <c r="AK186" t="s">
        <v>26</v>
      </c>
      <c r="AL186" t="s">
        <v>26</v>
      </c>
      <c r="AM186" t="s">
        <v>26</v>
      </c>
      <c r="AN186" s="44" t="s">
        <v>1530</v>
      </c>
      <c r="AO186" t="s">
        <v>742</v>
      </c>
    </row>
    <row r="187" spans="1:43">
      <c r="A187" s="47"/>
      <c r="B187" s="26" t="s">
        <v>2171</v>
      </c>
      <c r="C187" s="26"/>
      <c r="D187" s="26"/>
      <c r="E187" s="26"/>
      <c r="F187" s="26"/>
      <c r="G187" s="27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7">
        <v>4</v>
      </c>
      <c r="AA187" t="s">
        <v>14</v>
      </c>
      <c r="AB187" t="s">
        <v>26</v>
      </c>
      <c r="AC187" t="s">
        <v>26</v>
      </c>
      <c r="AD187" t="s">
        <v>26</v>
      </c>
      <c r="AE187" t="s">
        <v>26</v>
      </c>
      <c r="AF187" t="s">
        <v>26</v>
      </c>
      <c r="AG187" t="s">
        <v>26</v>
      </c>
      <c r="AH187" t="s">
        <v>224</v>
      </c>
      <c r="AI187" t="s">
        <v>26</v>
      </c>
      <c r="AJ187" t="s">
        <v>26</v>
      </c>
      <c r="AK187" t="s">
        <v>26</v>
      </c>
      <c r="AL187" t="s">
        <v>26</v>
      </c>
      <c r="AM187" t="s">
        <v>26</v>
      </c>
      <c r="AN187" s="44" t="s">
        <v>1530</v>
      </c>
      <c r="AO187" t="s">
        <v>742</v>
      </c>
    </row>
    <row r="188" spans="1:43">
      <c r="A188" s="47"/>
      <c r="B188" s="26" t="s">
        <v>2171</v>
      </c>
      <c r="C188" s="26"/>
      <c r="D188" s="26"/>
      <c r="E188" s="26"/>
      <c r="F188" s="26"/>
      <c r="G188" s="27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7">
        <v>4</v>
      </c>
      <c r="AA188" t="s">
        <v>14</v>
      </c>
      <c r="AB188" t="s">
        <v>26</v>
      </c>
      <c r="AC188" t="s">
        <v>26</v>
      </c>
      <c r="AD188" t="s">
        <v>26</v>
      </c>
      <c r="AE188" t="s">
        <v>26</v>
      </c>
      <c r="AF188" t="s">
        <v>26</v>
      </c>
      <c r="AG188" t="s">
        <v>26</v>
      </c>
      <c r="AH188" t="s">
        <v>111</v>
      </c>
      <c r="AI188" t="s">
        <v>26</v>
      </c>
      <c r="AJ188" t="s">
        <v>26</v>
      </c>
      <c r="AK188" t="s">
        <v>26</v>
      </c>
      <c r="AL188" t="s">
        <v>26</v>
      </c>
      <c r="AM188" t="s">
        <v>26</v>
      </c>
      <c r="AN188" s="44" t="s">
        <v>1530</v>
      </c>
      <c r="AO188">
        <v>4</v>
      </c>
    </row>
    <row r="189" spans="1:43">
      <c r="A189" s="47"/>
      <c r="B189" s="26" t="s">
        <v>2171</v>
      </c>
      <c r="C189" s="26"/>
      <c r="D189" s="26" t="s">
        <v>2148</v>
      </c>
      <c r="E189" s="26"/>
      <c r="F189" s="26"/>
      <c r="G189" s="27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 t="s">
        <v>2150</v>
      </c>
      <c r="Z189" s="27">
        <v>3</v>
      </c>
      <c r="AA189" t="s">
        <v>1556</v>
      </c>
      <c r="AB189" t="s">
        <v>751</v>
      </c>
      <c r="AC189" t="s">
        <v>26</v>
      </c>
      <c r="AD189" t="s">
        <v>750</v>
      </c>
      <c r="AE189" t="s">
        <v>750</v>
      </c>
      <c r="AF189" t="s">
        <v>752</v>
      </c>
      <c r="AG189" t="s">
        <v>753</v>
      </c>
      <c r="AH189" t="s">
        <v>1557</v>
      </c>
      <c r="AI189" t="s">
        <v>26</v>
      </c>
      <c r="AJ189" t="s">
        <v>26</v>
      </c>
      <c r="AK189" t="s">
        <v>1544</v>
      </c>
      <c r="AL189" t="s">
        <v>1818</v>
      </c>
      <c r="AM189" t="s">
        <v>1819</v>
      </c>
      <c r="AN189" s="44" t="s">
        <v>1530</v>
      </c>
      <c r="AO189" t="s">
        <v>742</v>
      </c>
    </row>
    <row r="190" spans="1:43" s="104" customFormat="1">
      <c r="A190" s="27"/>
      <c r="B190" s="26" t="s">
        <v>2171</v>
      </c>
      <c r="C190" s="26"/>
      <c r="D190" s="26" t="s">
        <v>2148</v>
      </c>
      <c r="E190" s="26"/>
      <c r="F190" s="26"/>
      <c r="G190" s="27"/>
      <c r="H190" s="26"/>
      <c r="I190" s="26"/>
      <c r="J190" s="26"/>
      <c r="K190" s="26"/>
      <c r="L190" s="26"/>
      <c r="M190" s="177">
        <v>920002369</v>
      </c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 t="s">
        <v>2150</v>
      </c>
      <c r="Z190" s="27">
        <v>3</v>
      </c>
      <c r="AA190" s="104" t="s">
        <v>1820</v>
      </c>
      <c r="AB190" s="104" t="s">
        <v>747</v>
      </c>
      <c r="AC190" s="104" t="s">
        <v>26</v>
      </c>
      <c r="AD190" s="104" t="s">
        <v>746</v>
      </c>
      <c r="AE190" s="104" t="s">
        <v>746</v>
      </c>
      <c r="AF190" s="104" t="s">
        <v>748</v>
      </c>
      <c r="AG190" s="104" t="s">
        <v>749</v>
      </c>
      <c r="AH190" s="104" t="s">
        <v>1821</v>
      </c>
      <c r="AI190" s="104" t="s">
        <v>26</v>
      </c>
      <c r="AJ190" s="104" t="s">
        <v>26</v>
      </c>
      <c r="AK190" s="104" t="s">
        <v>1534</v>
      </c>
      <c r="AL190" s="104" t="s">
        <v>1822</v>
      </c>
      <c r="AM190" s="104" t="s">
        <v>1823</v>
      </c>
      <c r="AN190" s="157" t="s">
        <v>1530</v>
      </c>
      <c r="AO190" s="104" t="s">
        <v>742</v>
      </c>
    </row>
    <row r="191" spans="1:43">
      <c r="A191" s="178"/>
      <c r="B191" s="179" t="s">
        <v>2171</v>
      </c>
      <c r="C191" s="179"/>
      <c r="D191" s="179" t="s">
        <v>2148</v>
      </c>
      <c r="E191" s="179"/>
      <c r="F191" s="179"/>
      <c r="G191" s="178"/>
      <c r="H191" s="179"/>
      <c r="I191" s="179"/>
      <c r="J191" s="179"/>
      <c r="K191" s="179"/>
      <c r="L191" s="179"/>
      <c r="M191" s="180">
        <v>920002370</v>
      </c>
      <c r="N191" s="179"/>
      <c r="O191" s="179"/>
      <c r="P191" s="179"/>
      <c r="Q191" s="179"/>
      <c r="R191" s="179"/>
      <c r="S191" s="179"/>
      <c r="T191" s="179"/>
      <c r="U191" s="179"/>
      <c r="V191" s="179"/>
      <c r="W191" s="179"/>
      <c r="X191" s="179"/>
      <c r="Y191" s="179" t="s">
        <v>2150</v>
      </c>
      <c r="Z191" s="178">
        <v>3</v>
      </c>
      <c r="AA191" s="181" t="s">
        <v>2370</v>
      </c>
      <c r="AB191" s="181" t="s">
        <v>747</v>
      </c>
      <c r="AC191" s="181" t="s">
        <v>26</v>
      </c>
      <c r="AD191" s="181" t="s">
        <v>746</v>
      </c>
      <c r="AE191" s="181" t="s">
        <v>746</v>
      </c>
      <c r="AF191" s="181" t="s">
        <v>748</v>
      </c>
      <c r="AG191" s="181" t="s">
        <v>749</v>
      </c>
      <c r="AH191" s="181" t="s">
        <v>1821</v>
      </c>
      <c r="AI191" s="181" t="s">
        <v>26</v>
      </c>
      <c r="AJ191" s="181" t="s">
        <v>26</v>
      </c>
      <c r="AK191" s="181" t="s">
        <v>1534</v>
      </c>
      <c r="AL191" s="181" t="s">
        <v>1822</v>
      </c>
      <c r="AM191" s="181" t="s">
        <v>1823</v>
      </c>
      <c r="AN191" s="182" t="s">
        <v>1530</v>
      </c>
      <c r="AO191" s="181">
        <v>0</v>
      </c>
      <c r="AP191" s="181"/>
      <c r="AQ191" s="181"/>
    </row>
    <row r="192" spans="1:43">
      <c r="A192" s="47"/>
      <c r="B192" s="26" t="s">
        <v>2171</v>
      </c>
      <c r="C192" s="26"/>
      <c r="D192" s="26" t="s">
        <v>2196</v>
      </c>
      <c r="E192" s="26"/>
      <c r="F192" s="26"/>
      <c r="G192" s="27"/>
      <c r="H192" s="26"/>
      <c r="I192" s="26"/>
      <c r="J192" s="26" t="s">
        <v>2211</v>
      </c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 t="s">
        <v>2150</v>
      </c>
      <c r="Z192" s="27">
        <v>3</v>
      </c>
      <c r="AA192" t="s">
        <v>1597</v>
      </c>
      <c r="AB192" t="s">
        <v>1824</v>
      </c>
      <c r="AC192" t="s">
        <v>26</v>
      </c>
      <c r="AD192" t="s">
        <v>26</v>
      </c>
      <c r="AE192" t="s">
        <v>1825</v>
      </c>
      <c r="AF192" t="s">
        <v>1824</v>
      </c>
      <c r="AG192" t="s">
        <v>1594</v>
      </c>
      <c r="AH192" t="s">
        <v>1600</v>
      </c>
      <c r="AI192" t="s">
        <v>26</v>
      </c>
      <c r="AJ192" t="s">
        <v>221</v>
      </c>
      <c r="AK192" t="s">
        <v>1601</v>
      </c>
      <c r="AL192" t="s">
        <v>26</v>
      </c>
      <c r="AM192" t="s">
        <v>26</v>
      </c>
      <c r="AN192" s="44" t="s">
        <v>1530</v>
      </c>
      <c r="AO192" t="s">
        <v>742</v>
      </c>
    </row>
    <row r="193" spans="1:42">
      <c r="A193" s="47"/>
      <c r="B193" s="26" t="s">
        <v>2172</v>
      </c>
      <c r="C193" s="26"/>
      <c r="D193" s="26"/>
      <c r="E193" s="26"/>
      <c r="F193" s="26"/>
      <c r="G193" s="27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7">
        <v>1</v>
      </c>
      <c r="AA193" t="s">
        <v>763</v>
      </c>
    </row>
    <row r="194" spans="1:42">
      <c r="A194" s="47">
        <v>500.50099999999998</v>
      </c>
      <c r="B194" s="26" t="s">
        <v>2172</v>
      </c>
      <c r="C194" s="26"/>
      <c r="D194" s="26"/>
      <c r="E194" s="26"/>
      <c r="F194" s="26"/>
      <c r="G194" s="27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7">
        <v>2</v>
      </c>
      <c r="AA194" t="s">
        <v>1</v>
      </c>
      <c r="AB194" t="s">
        <v>764</v>
      </c>
      <c r="AC194" t="s">
        <v>765</v>
      </c>
      <c r="AD194" s="146" t="s">
        <v>2304</v>
      </c>
    </row>
    <row r="195" spans="1:42">
      <c r="A195" s="47">
        <v>500.50599999999997</v>
      </c>
      <c r="B195" s="26" t="s">
        <v>2172</v>
      </c>
      <c r="C195" s="26"/>
      <c r="D195" s="26"/>
      <c r="E195" s="26"/>
      <c r="F195" s="26"/>
      <c r="G195" s="27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7">
        <v>2</v>
      </c>
      <c r="AA195" t="s">
        <v>509</v>
      </c>
      <c r="AB195" t="s">
        <v>767</v>
      </c>
      <c r="AC195" t="s">
        <v>768</v>
      </c>
      <c r="AD195" s="146" t="s">
        <v>2335</v>
      </c>
    </row>
    <row r="196" spans="1:42">
      <c r="A196" s="47"/>
      <c r="B196" s="26" t="s">
        <v>2172</v>
      </c>
      <c r="C196" s="26"/>
      <c r="D196" s="26"/>
      <c r="E196" s="26"/>
      <c r="F196" s="26"/>
      <c r="G196" s="27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7">
        <v>0</v>
      </c>
      <c r="AA196" t="s">
        <v>1512</v>
      </c>
      <c r="AB196" t="s">
        <v>1513</v>
      </c>
      <c r="AC196" t="s">
        <v>1514</v>
      </c>
      <c r="AD196" t="s">
        <v>9</v>
      </c>
      <c r="AE196" t="s">
        <v>9</v>
      </c>
      <c r="AF196" t="s">
        <v>11</v>
      </c>
      <c r="AG196" t="s">
        <v>13</v>
      </c>
      <c r="AH196" t="s">
        <v>1515</v>
      </c>
      <c r="AI196" t="s">
        <v>1516</v>
      </c>
      <c r="AJ196" t="s">
        <v>1517</v>
      </c>
      <c r="AK196" t="s">
        <v>22</v>
      </c>
      <c r="AL196" t="s">
        <v>1518</v>
      </c>
      <c r="AM196" t="s">
        <v>1519</v>
      </c>
      <c r="AN196" s="44" t="s">
        <v>1520</v>
      </c>
      <c r="AO196" t="s">
        <v>1</v>
      </c>
      <c r="AP196" t="s">
        <v>509</v>
      </c>
    </row>
    <row r="197" spans="1:42">
      <c r="A197" s="47">
        <v>501</v>
      </c>
      <c r="B197" s="26" t="s">
        <v>2172</v>
      </c>
      <c r="C197" s="26"/>
      <c r="D197" s="26"/>
      <c r="E197" s="26"/>
      <c r="F197" s="26"/>
      <c r="G197" s="27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7">
        <v>4</v>
      </c>
      <c r="AA197" t="s">
        <v>1524</v>
      </c>
      <c r="AB197" t="s">
        <v>26</v>
      </c>
      <c r="AC197" t="s">
        <v>26</v>
      </c>
      <c r="AD197" t="s">
        <v>26</v>
      </c>
      <c r="AE197" t="s">
        <v>26</v>
      </c>
      <c r="AF197" t="s">
        <v>26</v>
      </c>
      <c r="AG197" t="s">
        <v>26</v>
      </c>
      <c r="AH197" t="s">
        <v>1525</v>
      </c>
      <c r="AI197" t="s">
        <v>26</v>
      </c>
      <c r="AJ197" t="s">
        <v>26</v>
      </c>
      <c r="AK197" t="s">
        <v>26</v>
      </c>
      <c r="AL197" t="s">
        <v>26</v>
      </c>
      <c r="AM197" t="s">
        <v>26</v>
      </c>
      <c r="AN197" s="44" t="s">
        <v>1523</v>
      </c>
      <c r="AO197" s="146">
        <v>1131</v>
      </c>
      <c r="AP197" s="146">
        <v>1131</v>
      </c>
    </row>
    <row r="198" spans="1:42">
      <c r="A198" s="47"/>
      <c r="B198" s="26" t="s">
        <v>2172</v>
      </c>
      <c r="C198" s="26"/>
      <c r="D198" s="26"/>
      <c r="E198" s="26"/>
      <c r="F198" s="26"/>
      <c r="G198" s="27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7">
        <v>4</v>
      </c>
      <c r="AA198" t="s">
        <v>1524</v>
      </c>
      <c r="AB198" t="s">
        <v>26</v>
      </c>
      <c r="AC198" t="s">
        <v>26</v>
      </c>
      <c r="AD198" t="s">
        <v>26</v>
      </c>
      <c r="AE198" t="s">
        <v>26</v>
      </c>
      <c r="AF198" t="s">
        <v>26</v>
      </c>
      <c r="AG198" t="s">
        <v>26</v>
      </c>
      <c r="AH198" t="s">
        <v>1527</v>
      </c>
      <c r="AI198" t="s">
        <v>26</v>
      </c>
      <c r="AJ198" t="s">
        <v>26</v>
      </c>
      <c r="AK198" t="s">
        <v>26</v>
      </c>
      <c r="AL198" t="s">
        <v>26</v>
      </c>
      <c r="AM198" t="s">
        <v>26</v>
      </c>
      <c r="AN198" s="44" t="s">
        <v>1523</v>
      </c>
      <c r="AO198">
        <v>541</v>
      </c>
      <c r="AP198">
        <v>895</v>
      </c>
    </row>
    <row r="199" spans="1:42">
      <c r="A199" s="47"/>
      <c r="B199" s="26" t="s">
        <v>2172</v>
      </c>
      <c r="C199" s="26"/>
      <c r="D199" s="26"/>
      <c r="E199" s="26"/>
      <c r="F199" s="26"/>
      <c r="G199" s="27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7">
        <v>4</v>
      </c>
      <c r="AA199" t="s">
        <v>14</v>
      </c>
      <c r="AB199" t="s">
        <v>26</v>
      </c>
      <c r="AC199" t="s">
        <v>26</v>
      </c>
      <c r="AD199" t="s">
        <v>26</v>
      </c>
      <c r="AE199" t="s">
        <v>26</v>
      </c>
      <c r="AF199" t="s">
        <v>26</v>
      </c>
      <c r="AG199" t="s">
        <v>26</v>
      </c>
      <c r="AH199" t="s">
        <v>866</v>
      </c>
      <c r="AI199" t="s">
        <v>26</v>
      </c>
      <c r="AJ199" t="s">
        <v>26</v>
      </c>
      <c r="AK199" t="s">
        <v>26</v>
      </c>
      <c r="AL199" t="s">
        <v>26</v>
      </c>
      <c r="AM199" t="s">
        <v>26</v>
      </c>
      <c r="AN199" s="44" t="s">
        <v>1530</v>
      </c>
      <c r="AO199" t="s">
        <v>26</v>
      </c>
      <c r="AP199">
        <v>2</v>
      </c>
    </row>
    <row r="200" spans="1:42">
      <c r="A200" s="47"/>
      <c r="B200" s="26" t="s">
        <v>2172</v>
      </c>
      <c r="C200" s="26"/>
      <c r="D200" s="26"/>
      <c r="E200" s="26"/>
      <c r="F200" s="26"/>
      <c r="G200" s="27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7">
        <v>4</v>
      </c>
      <c r="AA200" t="s">
        <v>14</v>
      </c>
      <c r="AB200" t="s">
        <v>26</v>
      </c>
      <c r="AC200" t="s">
        <v>26</v>
      </c>
      <c r="AD200" t="s">
        <v>26</v>
      </c>
      <c r="AE200" t="s">
        <v>26</v>
      </c>
      <c r="AF200" t="s">
        <v>26</v>
      </c>
      <c r="AG200" t="s">
        <v>26</v>
      </c>
      <c r="AH200" t="s">
        <v>384</v>
      </c>
      <c r="AI200" t="s">
        <v>26</v>
      </c>
      <c r="AJ200" t="s">
        <v>26</v>
      </c>
      <c r="AK200" t="s">
        <v>26</v>
      </c>
      <c r="AL200" t="s">
        <v>26</v>
      </c>
      <c r="AM200" t="s">
        <v>26</v>
      </c>
      <c r="AN200" s="44" t="s">
        <v>1530</v>
      </c>
      <c r="AO200">
        <v>2</v>
      </c>
      <c r="AP200" t="s">
        <v>26</v>
      </c>
    </row>
    <row r="201" spans="1:42">
      <c r="A201" s="47"/>
      <c r="B201" s="26" t="s">
        <v>2172</v>
      </c>
      <c r="C201" s="26"/>
      <c r="D201" s="26"/>
      <c r="E201" s="26"/>
      <c r="F201" s="26"/>
      <c r="G201" s="27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7">
        <v>4</v>
      </c>
      <c r="AA201" t="s">
        <v>14</v>
      </c>
      <c r="AB201" t="s">
        <v>26</v>
      </c>
      <c r="AC201" t="s">
        <v>26</v>
      </c>
      <c r="AD201" t="s">
        <v>26</v>
      </c>
      <c r="AE201" t="s">
        <v>26</v>
      </c>
      <c r="AF201" t="s">
        <v>26</v>
      </c>
      <c r="AG201" t="s">
        <v>26</v>
      </c>
      <c r="AH201" t="s">
        <v>68</v>
      </c>
      <c r="AI201" t="s">
        <v>26</v>
      </c>
      <c r="AJ201" t="s">
        <v>26</v>
      </c>
      <c r="AK201" t="s">
        <v>26</v>
      </c>
      <c r="AL201" t="s">
        <v>26</v>
      </c>
      <c r="AM201" t="s">
        <v>26</v>
      </c>
      <c r="AN201" s="44" t="s">
        <v>1530</v>
      </c>
      <c r="AO201">
        <v>6</v>
      </c>
      <c r="AP201">
        <v>6</v>
      </c>
    </row>
    <row r="202" spans="1:42">
      <c r="A202" s="47"/>
      <c r="B202" s="26" t="s">
        <v>2172</v>
      </c>
      <c r="C202" s="26"/>
      <c r="D202" s="26"/>
      <c r="E202" s="26"/>
      <c r="F202" s="26"/>
      <c r="G202" s="27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7">
        <v>4</v>
      </c>
      <c r="AA202" t="s">
        <v>14</v>
      </c>
      <c r="AB202" t="s">
        <v>26</v>
      </c>
      <c r="AC202" t="s">
        <v>26</v>
      </c>
      <c r="AD202" t="s">
        <v>26</v>
      </c>
      <c r="AE202" t="s">
        <v>26</v>
      </c>
      <c r="AF202" t="s">
        <v>26</v>
      </c>
      <c r="AG202" t="s">
        <v>26</v>
      </c>
      <c r="AH202" t="s">
        <v>122</v>
      </c>
      <c r="AI202" t="s">
        <v>26</v>
      </c>
      <c r="AJ202" t="s">
        <v>26</v>
      </c>
      <c r="AK202" t="s">
        <v>26</v>
      </c>
      <c r="AL202" t="s">
        <v>26</v>
      </c>
      <c r="AM202" t="s">
        <v>26</v>
      </c>
      <c r="AN202" s="44" t="s">
        <v>1530</v>
      </c>
      <c r="AO202">
        <v>6</v>
      </c>
      <c r="AP202">
        <v>2</v>
      </c>
    </row>
    <row r="203" spans="1:42">
      <c r="A203" s="47"/>
      <c r="B203" s="26" t="s">
        <v>2172</v>
      </c>
      <c r="C203" s="26"/>
      <c r="D203" s="26"/>
      <c r="E203" s="26"/>
      <c r="F203" s="26"/>
      <c r="G203" s="27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7">
        <v>4</v>
      </c>
      <c r="AA203" t="s">
        <v>14</v>
      </c>
      <c r="AB203" t="s">
        <v>26</v>
      </c>
      <c r="AC203" t="s">
        <v>26</v>
      </c>
      <c r="AD203" t="s">
        <v>26</v>
      </c>
      <c r="AE203" t="s">
        <v>26</v>
      </c>
      <c r="AF203" t="s">
        <v>26</v>
      </c>
      <c r="AG203" t="s">
        <v>26</v>
      </c>
      <c r="AH203" t="s">
        <v>805</v>
      </c>
      <c r="AI203" t="s">
        <v>26</v>
      </c>
      <c r="AJ203" t="s">
        <v>26</v>
      </c>
      <c r="AK203" t="s">
        <v>26</v>
      </c>
      <c r="AL203" t="s">
        <v>26</v>
      </c>
      <c r="AM203" t="s">
        <v>26</v>
      </c>
      <c r="AN203" s="44" t="s">
        <v>1530</v>
      </c>
      <c r="AO203">
        <v>4</v>
      </c>
      <c r="AP203">
        <v>4</v>
      </c>
    </row>
    <row r="204" spans="1:42">
      <c r="A204" s="47"/>
      <c r="B204" s="26" t="s">
        <v>2172</v>
      </c>
      <c r="C204" s="26"/>
      <c r="D204" s="26"/>
      <c r="E204" s="26"/>
      <c r="F204" s="26"/>
      <c r="G204" s="27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7">
        <v>4</v>
      </c>
      <c r="AA204" t="s">
        <v>14</v>
      </c>
      <c r="AB204" t="s">
        <v>26</v>
      </c>
      <c r="AC204" t="s">
        <v>26</v>
      </c>
      <c r="AD204" t="s">
        <v>26</v>
      </c>
      <c r="AE204" t="s">
        <v>26</v>
      </c>
      <c r="AF204" t="s">
        <v>26</v>
      </c>
      <c r="AG204" t="s">
        <v>26</v>
      </c>
      <c r="AH204" t="s">
        <v>777</v>
      </c>
      <c r="AI204" t="s">
        <v>26</v>
      </c>
      <c r="AJ204" t="s">
        <v>26</v>
      </c>
      <c r="AK204" t="s">
        <v>26</v>
      </c>
      <c r="AL204" t="s">
        <v>26</v>
      </c>
      <c r="AM204" t="s">
        <v>26</v>
      </c>
      <c r="AN204" s="44" t="s">
        <v>1530</v>
      </c>
      <c r="AO204">
        <v>8</v>
      </c>
      <c r="AP204">
        <v>10</v>
      </c>
    </row>
    <row r="205" spans="1:42">
      <c r="A205" s="47"/>
      <c r="B205" s="26" t="s">
        <v>2172</v>
      </c>
      <c r="C205" s="26"/>
      <c r="D205" s="26"/>
      <c r="E205" s="26"/>
      <c r="F205" s="26"/>
      <c r="G205" s="27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7">
        <v>4</v>
      </c>
      <c r="AA205" t="s">
        <v>14</v>
      </c>
      <c r="AB205" t="s">
        <v>26</v>
      </c>
      <c r="AC205" t="s">
        <v>26</v>
      </c>
      <c r="AD205" t="s">
        <v>26</v>
      </c>
      <c r="AE205" t="s">
        <v>26</v>
      </c>
      <c r="AF205" t="s">
        <v>26</v>
      </c>
      <c r="AG205" t="s">
        <v>26</v>
      </c>
      <c r="AH205" t="s">
        <v>806</v>
      </c>
      <c r="AI205" t="s">
        <v>26</v>
      </c>
      <c r="AJ205" t="s">
        <v>26</v>
      </c>
      <c r="AK205" t="s">
        <v>26</v>
      </c>
      <c r="AL205" t="s">
        <v>26</v>
      </c>
      <c r="AM205" t="s">
        <v>26</v>
      </c>
      <c r="AN205" s="44" t="s">
        <v>1530</v>
      </c>
      <c r="AO205">
        <v>4</v>
      </c>
      <c r="AP205">
        <v>4</v>
      </c>
    </row>
    <row r="206" spans="1:42">
      <c r="A206" s="47"/>
      <c r="B206" s="26" t="s">
        <v>2172</v>
      </c>
      <c r="C206" s="26"/>
      <c r="D206" s="26"/>
      <c r="E206" s="26"/>
      <c r="F206" s="26"/>
      <c r="G206" s="27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7">
        <v>4</v>
      </c>
      <c r="AA206" t="s">
        <v>14</v>
      </c>
      <c r="AB206" t="s">
        <v>26</v>
      </c>
      <c r="AC206" t="s">
        <v>26</v>
      </c>
      <c r="AD206" t="s">
        <v>26</v>
      </c>
      <c r="AE206" t="s">
        <v>26</v>
      </c>
      <c r="AF206" t="s">
        <v>26</v>
      </c>
      <c r="AG206" t="s">
        <v>26</v>
      </c>
      <c r="AH206" t="s">
        <v>243</v>
      </c>
      <c r="AI206" t="s">
        <v>26</v>
      </c>
      <c r="AJ206" t="s">
        <v>26</v>
      </c>
      <c r="AK206" t="s">
        <v>26</v>
      </c>
      <c r="AL206" t="s">
        <v>26</v>
      </c>
      <c r="AM206" t="s">
        <v>26</v>
      </c>
      <c r="AN206" s="44" t="s">
        <v>1530</v>
      </c>
      <c r="AO206">
        <v>6</v>
      </c>
      <c r="AP206">
        <v>6</v>
      </c>
    </row>
    <row r="207" spans="1:42">
      <c r="A207" s="47"/>
      <c r="B207" s="26" t="s">
        <v>2172</v>
      </c>
      <c r="C207" s="26"/>
      <c r="D207" s="26"/>
      <c r="E207" s="26"/>
      <c r="F207" s="26"/>
      <c r="G207" s="27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7">
        <v>4</v>
      </c>
      <c r="AA207" t="s">
        <v>14</v>
      </c>
      <c r="AB207" t="s">
        <v>26</v>
      </c>
      <c r="AC207" t="s">
        <v>26</v>
      </c>
      <c r="AD207" t="s">
        <v>26</v>
      </c>
      <c r="AE207" t="s">
        <v>26</v>
      </c>
      <c r="AF207" t="s">
        <v>26</v>
      </c>
      <c r="AG207" t="s">
        <v>26</v>
      </c>
      <c r="AH207" t="s">
        <v>111</v>
      </c>
      <c r="AI207" t="s">
        <v>26</v>
      </c>
      <c r="AJ207" t="s">
        <v>26</v>
      </c>
      <c r="AK207" t="s">
        <v>26</v>
      </c>
      <c r="AL207" t="s">
        <v>26</v>
      </c>
      <c r="AM207" t="s">
        <v>26</v>
      </c>
      <c r="AN207" s="44" t="s">
        <v>1530</v>
      </c>
      <c r="AO207">
        <v>4</v>
      </c>
      <c r="AP207">
        <v>6</v>
      </c>
    </row>
    <row r="208" spans="1:42">
      <c r="A208" s="47"/>
      <c r="B208" s="26" t="s">
        <v>2172</v>
      </c>
      <c r="C208" s="26"/>
      <c r="D208" s="26" t="s">
        <v>2148</v>
      </c>
      <c r="E208" s="26"/>
      <c r="F208" s="26"/>
      <c r="G208" s="27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 t="s">
        <v>2150</v>
      </c>
      <c r="Z208" s="27">
        <v>3</v>
      </c>
      <c r="AA208" t="s">
        <v>1826</v>
      </c>
      <c r="AB208" t="s">
        <v>931</v>
      </c>
      <c r="AC208" t="s">
        <v>26</v>
      </c>
      <c r="AD208" t="s">
        <v>824</v>
      </c>
      <c r="AE208" t="s">
        <v>825</v>
      </c>
      <c r="AF208" t="s">
        <v>932</v>
      </c>
      <c r="AG208" t="s">
        <v>933</v>
      </c>
      <c r="AH208" t="s">
        <v>1827</v>
      </c>
      <c r="AI208" t="s">
        <v>1828</v>
      </c>
      <c r="AJ208" t="s">
        <v>26</v>
      </c>
      <c r="AK208" t="s">
        <v>1829</v>
      </c>
      <c r="AL208" t="s">
        <v>1830</v>
      </c>
      <c r="AM208" t="s">
        <v>1831</v>
      </c>
      <c r="AN208" s="44" t="s">
        <v>1530</v>
      </c>
      <c r="AO208" t="s">
        <v>764</v>
      </c>
      <c r="AP208" t="s">
        <v>26</v>
      </c>
    </row>
    <row r="209" spans="1:44">
      <c r="A209" s="47"/>
      <c r="B209" s="26" t="s">
        <v>2172</v>
      </c>
      <c r="C209" s="26"/>
      <c r="D209" s="26" t="s">
        <v>2148</v>
      </c>
      <c r="E209" s="26"/>
      <c r="F209" s="26"/>
      <c r="G209" s="27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 t="s">
        <v>2150</v>
      </c>
      <c r="Z209" s="27">
        <v>3</v>
      </c>
      <c r="AA209" t="s">
        <v>1832</v>
      </c>
      <c r="AB209" t="s">
        <v>826</v>
      </c>
      <c r="AC209" t="s">
        <v>26</v>
      </c>
      <c r="AD209" t="s">
        <v>824</v>
      </c>
      <c r="AE209" t="s">
        <v>825</v>
      </c>
      <c r="AF209" t="s">
        <v>827</v>
      </c>
      <c r="AG209" t="s">
        <v>828</v>
      </c>
      <c r="AH209" t="s">
        <v>1833</v>
      </c>
      <c r="AI209" t="s">
        <v>1828</v>
      </c>
      <c r="AJ209" t="s">
        <v>26</v>
      </c>
      <c r="AK209" t="s">
        <v>1541</v>
      </c>
      <c r="AL209" t="s">
        <v>1834</v>
      </c>
      <c r="AM209" t="s">
        <v>1835</v>
      </c>
      <c r="AN209" s="44" t="s">
        <v>1530</v>
      </c>
      <c r="AO209" t="s">
        <v>26</v>
      </c>
      <c r="AP209" t="s">
        <v>767</v>
      </c>
    </row>
    <row r="210" spans="1:44">
      <c r="A210" s="47"/>
      <c r="B210" s="26" t="s">
        <v>2172</v>
      </c>
      <c r="C210" s="26"/>
      <c r="D210" s="26" t="s">
        <v>2148</v>
      </c>
      <c r="E210" s="26"/>
      <c r="F210" s="26"/>
      <c r="G210" s="27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 t="s">
        <v>2150</v>
      </c>
      <c r="Z210" s="27">
        <v>3</v>
      </c>
      <c r="AA210" t="s">
        <v>1826</v>
      </c>
      <c r="AB210" t="s">
        <v>923</v>
      </c>
      <c r="AC210" t="s">
        <v>26</v>
      </c>
      <c r="AD210" t="s">
        <v>838</v>
      </c>
      <c r="AE210" t="s">
        <v>839</v>
      </c>
      <c r="AF210" t="s">
        <v>924</v>
      </c>
      <c r="AG210" t="s">
        <v>320</v>
      </c>
      <c r="AH210" t="s">
        <v>1827</v>
      </c>
      <c r="AI210" t="s">
        <v>1828</v>
      </c>
      <c r="AJ210" t="s">
        <v>26</v>
      </c>
      <c r="AK210" t="s">
        <v>1829</v>
      </c>
      <c r="AL210" t="s">
        <v>1836</v>
      </c>
      <c r="AM210" t="s">
        <v>1831</v>
      </c>
      <c r="AN210" s="44" t="s">
        <v>1530</v>
      </c>
      <c r="AO210" t="s">
        <v>764</v>
      </c>
      <c r="AP210" t="s">
        <v>26</v>
      </c>
    </row>
    <row r="211" spans="1:44">
      <c r="A211" s="47"/>
      <c r="B211" s="26" t="s">
        <v>2172</v>
      </c>
      <c r="C211" s="26"/>
      <c r="D211" s="26" t="s">
        <v>2148</v>
      </c>
      <c r="E211" s="26"/>
      <c r="F211" s="26"/>
      <c r="G211" s="27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 t="s">
        <v>2150</v>
      </c>
      <c r="Z211" s="27">
        <v>3</v>
      </c>
      <c r="AA211" t="s">
        <v>1832</v>
      </c>
      <c r="AB211" t="s">
        <v>840</v>
      </c>
      <c r="AC211" t="s">
        <v>26</v>
      </c>
      <c r="AD211" t="s">
        <v>838</v>
      </c>
      <c r="AE211" t="s">
        <v>839</v>
      </c>
      <c r="AF211" t="s">
        <v>841</v>
      </c>
      <c r="AG211" t="s">
        <v>842</v>
      </c>
      <c r="AH211" t="s">
        <v>1833</v>
      </c>
      <c r="AI211" t="s">
        <v>1828</v>
      </c>
      <c r="AJ211" t="s">
        <v>26</v>
      </c>
      <c r="AK211" t="s">
        <v>1541</v>
      </c>
      <c r="AL211" t="s">
        <v>1837</v>
      </c>
      <c r="AM211" t="s">
        <v>1835</v>
      </c>
      <c r="AN211" s="44" t="s">
        <v>1530</v>
      </c>
      <c r="AO211" t="s">
        <v>26</v>
      </c>
      <c r="AP211" t="s">
        <v>767</v>
      </c>
    </row>
    <row r="212" spans="1:44">
      <c r="A212" s="47"/>
      <c r="B212" s="26" t="s">
        <v>2172</v>
      </c>
      <c r="C212" s="26"/>
      <c r="D212" s="26" t="s">
        <v>2148</v>
      </c>
      <c r="E212" s="26"/>
      <c r="F212" s="26"/>
      <c r="G212" s="27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2150</v>
      </c>
      <c r="Z212" s="27">
        <v>3</v>
      </c>
      <c r="AA212" t="s">
        <v>1832</v>
      </c>
      <c r="AB212" t="s">
        <v>893</v>
      </c>
      <c r="AC212" t="s">
        <v>26</v>
      </c>
      <c r="AD212" t="s">
        <v>891</v>
      </c>
      <c r="AE212" t="s">
        <v>892</v>
      </c>
      <c r="AF212" t="s">
        <v>894</v>
      </c>
      <c r="AG212" t="s">
        <v>895</v>
      </c>
      <c r="AH212" t="s">
        <v>1833</v>
      </c>
      <c r="AI212" t="s">
        <v>1828</v>
      </c>
      <c r="AJ212" t="s">
        <v>26</v>
      </c>
      <c r="AK212" t="s">
        <v>1541</v>
      </c>
      <c r="AL212" t="s">
        <v>1838</v>
      </c>
      <c r="AM212" t="s">
        <v>1839</v>
      </c>
      <c r="AN212" s="44" t="s">
        <v>1530</v>
      </c>
      <c r="AO212" t="s">
        <v>26</v>
      </c>
      <c r="AP212" t="s">
        <v>767</v>
      </c>
    </row>
    <row r="213" spans="1:44" s="104" customFormat="1">
      <c r="A213" s="27"/>
      <c r="B213" s="26" t="s">
        <v>2172</v>
      </c>
      <c r="C213" s="26"/>
      <c r="D213" s="26" t="s">
        <v>2148</v>
      </c>
      <c r="E213" s="26"/>
      <c r="F213" s="26"/>
      <c r="G213" s="27"/>
      <c r="H213" s="26"/>
      <c r="I213" s="26"/>
      <c r="J213" s="26"/>
      <c r="K213" s="26"/>
      <c r="L213" s="26"/>
      <c r="M213" s="145">
        <v>920002481</v>
      </c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2150</v>
      </c>
      <c r="Z213" s="27">
        <v>3</v>
      </c>
      <c r="AA213" s="104" t="s">
        <v>1840</v>
      </c>
      <c r="AB213" s="104" t="s">
        <v>942</v>
      </c>
      <c r="AC213" s="104" t="s">
        <v>26</v>
      </c>
      <c r="AD213" s="104" t="s">
        <v>940</v>
      </c>
      <c r="AE213" s="104" t="s">
        <v>941</v>
      </c>
      <c r="AF213" s="104" t="s">
        <v>943</v>
      </c>
      <c r="AG213" s="104" t="s">
        <v>320</v>
      </c>
      <c r="AH213" s="104" t="s">
        <v>1841</v>
      </c>
      <c r="AI213" s="104" t="s">
        <v>1842</v>
      </c>
      <c r="AJ213" s="104" t="s">
        <v>26</v>
      </c>
      <c r="AK213" s="104" t="s">
        <v>1544</v>
      </c>
      <c r="AL213" s="104" t="s">
        <v>1843</v>
      </c>
      <c r="AM213" s="104" t="s">
        <v>1844</v>
      </c>
      <c r="AN213" s="157" t="s">
        <v>1530</v>
      </c>
      <c r="AO213" s="104" t="s">
        <v>764</v>
      </c>
      <c r="AP213" s="104" t="s">
        <v>767</v>
      </c>
    </row>
    <row r="214" spans="1:44">
      <c r="A214" s="178"/>
      <c r="B214" s="179" t="s">
        <v>2172</v>
      </c>
      <c r="C214" s="179"/>
      <c r="D214" s="179" t="s">
        <v>2148</v>
      </c>
      <c r="E214" s="179"/>
      <c r="F214" s="179"/>
      <c r="G214" s="178"/>
      <c r="H214" s="179"/>
      <c r="I214" s="179"/>
      <c r="J214" s="179"/>
      <c r="K214" s="179"/>
      <c r="L214" s="179"/>
      <c r="M214" s="183">
        <v>920002482</v>
      </c>
      <c r="N214" s="179"/>
      <c r="O214" s="179"/>
      <c r="P214" s="179"/>
      <c r="Q214" s="179"/>
      <c r="R214" s="179"/>
      <c r="S214" s="179"/>
      <c r="T214" s="179"/>
      <c r="U214" s="179"/>
      <c r="V214" s="179"/>
      <c r="W214" s="179"/>
      <c r="X214" s="179"/>
      <c r="Y214" s="179" t="s">
        <v>2150</v>
      </c>
      <c r="Z214" s="178">
        <v>3</v>
      </c>
      <c r="AA214" s="181" t="s">
        <v>2371</v>
      </c>
      <c r="AB214" s="181" t="s">
        <v>942</v>
      </c>
      <c r="AC214" s="181" t="s">
        <v>26</v>
      </c>
      <c r="AD214" s="181" t="s">
        <v>940</v>
      </c>
      <c r="AE214" s="181" t="s">
        <v>941</v>
      </c>
      <c r="AF214" s="181" t="s">
        <v>943</v>
      </c>
      <c r="AG214" s="181" t="s">
        <v>320</v>
      </c>
      <c r="AH214" s="181" t="s">
        <v>1841</v>
      </c>
      <c r="AI214" s="181" t="s">
        <v>1842</v>
      </c>
      <c r="AJ214" s="181" t="s">
        <v>26</v>
      </c>
      <c r="AK214" s="181" t="s">
        <v>1544</v>
      </c>
      <c r="AL214" s="181" t="s">
        <v>1843</v>
      </c>
      <c r="AM214" s="181" t="s">
        <v>1844</v>
      </c>
      <c r="AN214" s="182" t="s">
        <v>1530</v>
      </c>
      <c r="AO214" s="181">
        <v>0</v>
      </c>
      <c r="AP214" s="181">
        <v>0</v>
      </c>
    </row>
    <row r="215" spans="1:44">
      <c r="A215" s="47"/>
      <c r="B215" s="26" t="s">
        <v>2172</v>
      </c>
      <c r="C215" s="26"/>
      <c r="D215" s="26" t="s">
        <v>2148</v>
      </c>
      <c r="E215" s="26"/>
      <c r="F215" s="26"/>
      <c r="G215" s="27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2150</v>
      </c>
      <c r="Z215" s="27">
        <v>3</v>
      </c>
      <c r="AA215" t="s">
        <v>1845</v>
      </c>
      <c r="AB215" t="s">
        <v>863</v>
      </c>
      <c r="AC215" t="s">
        <v>26</v>
      </c>
      <c r="AD215" t="s">
        <v>861</v>
      </c>
      <c r="AE215" t="s">
        <v>862</v>
      </c>
      <c r="AF215" t="s">
        <v>864</v>
      </c>
      <c r="AG215" t="s">
        <v>865</v>
      </c>
      <c r="AH215" t="s">
        <v>1846</v>
      </c>
      <c r="AI215" t="s">
        <v>1847</v>
      </c>
      <c r="AJ215" t="s">
        <v>26</v>
      </c>
      <c r="AK215" t="s">
        <v>1544</v>
      </c>
      <c r="AL215" t="s">
        <v>1848</v>
      </c>
      <c r="AM215" t="s">
        <v>1849</v>
      </c>
      <c r="AN215" s="44" t="s">
        <v>1530</v>
      </c>
      <c r="AO215" t="s">
        <v>26</v>
      </c>
      <c r="AP215" t="s">
        <v>767</v>
      </c>
    </row>
    <row r="216" spans="1:44" s="104" customFormat="1">
      <c r="A216" s="27"/>
      <c r="B216" s="26" t="s">
        <v>2172</v>
      </c>
      <c r="C216" s="26"/>
      <c r="D216" s="26" t="s">
        <v>2148</v>
      </c>
      <c r="E216" s="26"/>
      <c r="F216" s="26"/>
      <c r="G216" s="27"/>
      <c r="H216" s="26"/>
      <c r="I216" s="26"/>
      <c r="J216" s="26"/>
      <c r="K216" s="26"/>
      <c r="L216" s="26"/>
      <c r="M216" s="188">
        <v>920002309</v>
      </c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2150</v>
      </c>
      <c r="Z216" s="27">
        <v>3</v>
      </c>
      <c r="AA216" t="s">
        <v>1850</v>
      </c>
      <c r="AB216" s="104" t="s">
        <v>774</v>
      </c>
      <c r="AC216" s="104" t="s">
        <v>26</v>
      </c>
      <c r="AD216" s="104" t="s">
        <v>32</v>
      </c>
      <c r="AE216" s="104" t="s">
        <v>33</v>
      </c>
      <c r="AF216" s="104" t="s">
        <v>775</v>
      </c>
      <c r="AG216" s="104" t="s">
        <v>776</v>
      </c>
      <c r="AH216" s="104" t="s">
        <v>1851</v>
      </c>
      <c r="AI216" s="104" t="s">
        <v>26</v>
      </c>
      <c r="AJ216" s="104" t="s">
        <v>26</v>
      </c>
      <c r="AK216" s="104" t="s">
        <v>1534</v>
      </c>
      <c r="AL216" s="104" t="s">
        <v>1642</v>
      </c>
      <c r="AM216" s="104" t="s">
        <v>1643</v>
      </c>
      <c r="AN216" s="157" t="s">
        <v>1530</v>
      </c>
      <c r="AO216" t="s">
        <v>764</v>
      </c>
      <c r="AP216" t="s">
        <v>767</v>
      </c>
    </row>
    <row r="217" spans="1:44">
      <c r="A217" s="178"/>
      <c r="B217" s="179" t="s">
        <v>2172</v>
      </c>
      <c r="C217" s="179"/>
      <c r="D217" s="179" t="s">
        <v>2148</v>
      </c>
      <c r="E217" s="179"/>
      <c r="F217" s="179"/>
      <c r="G217" s="178"/>
      <c r="H217" s="179"/>
      <c r="I217" s="179"/>
      <c r="J217" s="179"/>
      <c r="K217" s="179"/>
      <c r="L217" s="181"/>
      <c r="M217" s="184">
        <v>920002165</v>
      </c>
      <c r="N217" s="179"/>
      <c r="O217" s="179"/>
      <c r="P217" s="179"/>
      <c r="Q217" s="179"/>
      <c r="R217" s="179"/>
      <c r="S217" s="179"/>
      <c r="T217" s="179"/>
      <c r="U217" s="179"/>
      <c r="V217" s="179"/>
      <c r="W217" s="179"/>
      <c r="X217" s="179"/>
      <c r="Y217" s="179" t="s">
        <v>2150</v>
      </c>
      <c r="Z217" s="178">
        <v>3</v>
      </c>
      <c r="AA217" s="181" t="s">
        <v>2382</v>
      </c>
      <c r="AB217" s="181" t="s">
        <v>774</v>
      </c>
      <c r="AC217" s="181" t="s">
        <v>26</v>
      </c>
      <c r="AD217" s="181" t="s">
        <v>32</v>
      </c>
      <c r="AE217" s="181" t="s">
        <v>33</v>
      </c>
      <c r="AF217" s="181" t="s">
        <v>775</v>
      </c>
      <c r="AG217" s="181" t="s">
        <v>776</v>
      </c>
      <c r="AH217" s="181" t="s">
        <v>1851</v>
      </c>
      <c r="AI217" s="181" t="s">
        <v>26</v>
      </c>
      <c r="AJ217" s="181" t="s">
        <v>26</v>
      </c>
      <c r="AK217" s="181" t="s">
        <v>1534</v>
      </c>
      <c r="AL217" s="181" t="s">
        <v>1642</v>
      </c>
      <c r="AM217" s="181" t="s">
        <v>1643</v>
      </c>
      <c r="AN217" s="182" t="s">
        <v>1530</v>
      </c>
      <c r="AO217" s="181">
        <v>0</v>
      </c>
      <c r="AP217" s="181">
        <v>0</v>
      </c>
    </row>
    <row r="218" spans="1:44">
      <c r="A218" s="47"/>
      <c r="B218" s="26" t="s">
        <v>2173</v>
      </c>
      <c r="C218" s="26"/>
      <c r="D218" s="26"/>
      <c r="E218" s="26"/>
      <c r="F218" s="26"/>
      <c r="G218" s="27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7">
        <v>1</v>
      </c>
      <c r="AA218" t="s">
        <v>952</v>
      </c>
    </row>
    <row r="219" spans="1:44">
      <c r="A219" s="47">
        <v>500</v>
      </c>
      <c r="B219" s="26" t="s">
        <v>2173</v>
      </c>
      <c r="C219" s="26"/>
      <c r="D219" s="26"/>
      <c r="E219" s="26"/>
      <c r="F219" s="26"/>
      <c r="G219" s="27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7">
        <v>2</v>
      </c>
      <c r="AA219" t="s">
        <v>1</v>
      </c>
      <c r="AB219" t="s">
        <v>953</v>
      </c>
      <c r="AC219" t="s">
        <v>954</v>
      </c>
      <c r="AD219" s="146" t="s">
        <v>2301</v>
      </c>
      <c r="AE219" t="s">
        <v>4</v>
      </c>
    </row>
    <row r="220" spans="1:44">
      <c r="A220" s="47"/>
      <c r="B220" s="26" t="s">
        <v>2173</v>
      </c>
      <c r="C220" s="26"/>
      <c r="D220" s="26"/>
      <c r="E220" s="26"/>
      <c r="F220" s="26"/>
      <c r="G220" s="27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7">
        <v>2</v>
      </c>
      <c r="AA220" t="s">
        <v>509</v>
      </c>
      <c r="AB220" t="s">
        <v>955</v>
      </c>
      <c r="AC220" t="s">
        <v>956</v>
      </c>
      <c r="AD220" t="s">
        <v>957</v>
      </c>
    </row>
    <row r="221" spans="1:44">
      <c r="A221" s="47"/>
      <c r="B221" s="26" t="s">
        <v>2173</v>
      </c>
      <c r="C221" s="26"/>
      <c r="D221" s="26"/>
      <c r="E221" s="26"/>
      <c r="F221" s="26"/>
      <c r="G221" s="27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7">
        <v>2</v>
      </c>
      <c r="AA221" t="s">
        <v>512</v>
      </c>
      <c r="AB221" t="s">
        <v>959</v>
      </c>
      <c r="AC221" t="s">
        <v>960</v>
      </c>
      <c r="AD221" t="s">
        <v>961</v>
      </c>
    </row>
    <row r="222" spans="1:44">
      <c r="A222" s="47">
        <v>505</v>
      </c>
      <c r="B222" s="26" t="s">
        <v>2173</v>
      </c>
      <c r="C222" s="26"/>
      <c r="D222" s="26"/>
      <c r="E222" s="26"/>
      <c r="F222" s="26"/>
      <c r="G222" s="27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146">
        <v>2</v>
      </c>
      <c r="AA222" s="146" t="s">
        <v>2088</v>
      </c>
      <c r="AB222" s="146" t="s">
        <v>2326</v>
      </c>
      <c r="AC222" s="146" t="s">
        <v>2327</v>
      </c>
      <c r="AD222" s="146" t="s">
        <v>1098</v>
      </c>
    </row>
    <row r="223" spans="1:44">
      <c r="A223" s="47"/>
      <c r="B223" s="26" t="s">
        <v>2173</v>
      </c>
      <c r="C223" s="26"/>
      <c r="D223" s="26"/>
      <c r="E223" s="26"/>
      <c r="F223" s="26"/>
      <c r="G223" s="27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7">
        <v>0</v>
      </c>
      <c r="AA223" t="s">
        <v>1512</v>
      </c>
      <c r="AB223" t="s">
        <v>1513</v>
      </c>
      <c r="AC223" t="s">
        <v>1514</v>
      </c>
      <c r="AD223" t="s">
        <v>9</v>
      </c>
      <c r="AE223" t="s">
        <v>9</v>
      </c>
      <c r="AF223" t="s">
        <v>11</v>
      </c>
      <c r="AG223" t="s">
        <v>13</v>
      </c>
      <c r="AH223" t="s">
        <v>1515</v>
      </c>
      <c r="AI223" t="s">
        <v>1516</v>
      </c>
      <c r="AJ223" t="s">
        <v>1517</v>
      </c>
      <c r="AK223" t="s">
        <v>22</v>
      </c>
      <c r="AL223" t="s">
        <v>1518</v>
      </c>
      <c r="AM223" t="s">
        <v>1519</v>
      </c>
      <c r="AN223" s="44" t="s">
        <v>1520</v>
      </c>
      <c r="AO223" t="s">
        <v>1</v>
      </c>
      <c r="AP223" t="s">
        <v>509</v>
      </c>
      <c r="AQ223" t="s">
        <v>512</v>
      </c>
      <c r="AR223" s="146" t="s">
        <v>2088</v>
      </c>
    </row>
    <row r="224" spans="1:44">
      <c r="A224" s="47"/>
      <c r="B224" s="26" t="s">
        <v>2173</v>
      </c>
      <c r="C224" s="26"/>
      <c r="D224" s="26"/>
      <c r="E224" s="26"/>
      <c r="F224" s="26"/>
      <c r="G224" s="27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7">
        <v>4</v>
      </c>
      <c r="AA224" t="s">
        <v>1524</v>
      </c>
      <c r="AB224" t="s">
        <v>26</v>
      </c>
      <c r="AC224" t="s">
        <v>26</v>
      </c>
      <c r="AD224" t="s">
        <v>26</v>
      </c>
      <c r="AE224" t="s">
        <v>26</v>
      </c>
      <c r="AF224" t="s">
        <v>26</v>
      </c>
      <c r="AG224" t="s">
        <v>26</v>
      </c>
      <c r="AH224" t="s">
        <v>1527</v>
      </c>
      <c r="AI224" t="s">
        <v>26</v>
      </c>
      <c r="AJ224" t="s">
        <v>26</v>
      </c>
      <c r="AK224" t="s">
        <v>26</v>
      </c>
      <c r="AL224" t="s">
        <v>26</v>
      </c>
      <c r="AM224" t="s">
        <v>26</v>
      </c>
      <c r="AN224" s="44" t="s">
        <v>1523</v>
      </c>
      <c r="AO224">
        <v>0</v>
      </c>
      <c r="AP224">
        <v>226</v>
      </c>
      <c r="AQ224">
        <v>0</v>
      </c>
      <c r="AR224" s="146">
        <v>226</v>
      </c>
    </row>
    <row r="225" spans="1:44">
      <c r="A225" s="47">
        <v>505</v>
      </c>
      <c r="B225" s="26" t="s">
        <v>2173</v>
      </c>
      <c r="C225" s="26"/>
      <c r="D225" s="26"/>
      <c r="E225" s="26"/>
      <c r="F225" s="26"/>
      <c r="G225" s="27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7">
        <v>4</v>
      </c>
      <c r="AA225" t="s">
        <v>14</v>
      </c>
      <c r="AB225" t="s">
        <v>26</v>
      </c>
      <c r="AC225" t="s">
        <v>26</v>
      </c>
      <c r="AD225" t="s">
        <v>26</v>
      </c>
      <c r="AE225" t="s">
        <v>26</v>
      </c>
      <c r="AF225" t="s">
        <v>26</v>
      </c>
      <c r="AG225" t="s">
        <v>26</v>
      </c>
      <c r="AH225" t="s">
        <v>68</v>
      </c>
      <c r="AI225" t="s">
        <v>26</v>
      </c>
      <c r="AJ225" t="s">
        <v>26</v>
      </c>
      <c r="AK225" t="s">
        <v>26</v>
      </c>
      <c r="AL225" t="s">
        <v>26</v>
      </c>
      <c r="AM225" t="s">
        <v>26</v>
      </c>
      <c r="AN225" s="44" t="s">
        <v>1530</v>
      </c>
      <c r="AO225">
        <v>4</v>
      </c>
      <c r="AP225">
        <v>3</v>
      </c>
      <c r="AQ225">
        <v>3</v>
      </c>
      <c r="AR225" s="146" t="s">
        <v>26</v>
      </c>
    </row>
    <row r="226" spans="1:44">
      <c r="A226" s="47"/>
      <c r="B226" s="26" t="s">
        <v>2173</v>
      </c>
      <c r="C226" s="26"/>
      <c r="D226" s="26"/>
      <c r="E226" s="26"/>
      <c r="F226" s="26"/>
      <c r="G226" s="27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7">
        <v>4</v>
      </c>
      <c r="AA226" t="s">
        <v>14</v>
      </c>
      <c r="AB226" t="s">
        <v>26</v>
      </c>
      <c r="AC226" t="s">
        <v>26</v>
      </c>
      <c r="AD226" t="s">
        <v>26</v>
      </c>
      <c r="AE226" t="s">
        <v>26</v>
      </c>
      <c r="AF226" t="s">
        <v>26</v>
      </c>
      <c r="AG226" t="s">
        <v>26</v>
      </c>
      <c r="AH226" t="s">
        <v>409</v>
      </c>
      <c r="AI226" t="s">
        <v>26</v>
      </c>
      <c r="AJ226" t="s">
        <v>26</v>
      </c>
      <c r="AK226" t="s">
        <v>26</v>
      </c>
      <c r="AL226" t="s">
        <v>26</v>
      </c>
      <c r="AM226" t="s">
        <v>26</v>
      </c>
      <c r="AN226" s="44" t="s">
        <v>1530</v>
      </c>
      <c r="AO226">
        <v>1</v>
      </c>
      <c r="AP226">
        <v>2</v>
      </c>
      <c r="AQ226" t="s">
        <v>26</v>
      </c>
      <c r="AR226" s="146">
        <v>2</v>
      </c>
    </row>
    <row r="227" spans="1:44">
      <c r="A227" s="47"/>
      <c r="B227" s="26" t="s">
        <v>2173</v>
      </c>
      <c r="C227" s="26"/>
      <c r="D227" s="26"/>
      <c r="E227" s="26"/>
      <c r="F227" s="26"/>
      <c r="G227" s="27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7">
        <v>4</v>
      </c>
      <c r="AA227" t="s">
        <v>14</v>
      </c>
      <c r="AB227" t="s">
        <v>26</v>
      </c>
      <c r="AC227" t="s">
        <v>26</v>
      </c>
      <c r="AD227" t="s">
        <v>26</v>
      </c>
      <c r="AE227" t="s">
        <v>26</v>
      </c>
      <c r="AF227" t="s">
        <v>26</v>
      </c>
      <c r="AG227" t="s">
        <v>26</v>
      </c>
      <c r="AH227" t="s">
        <v>970</v>
      </c>
      <c r="AI227" t="s">
        <v>26</v>
      </c>
      <c r="AJ227" t="s">
        <v>26</v>
      </c>
      <c r="AK227" t="s">
        <v>26</v>
      </c>
      <c r="AL227" t="s">
        <v>26</v>
      </c>
      <c r="AM227" t="s">
        <v>26</v>
      </c>
      <c r="AN227" s="44" t="s">
        <v>1530</v>
      </c>
      <c r="AO227">
        <v>1</v>
      </c>
      <c r="AP227" t="s">
        <v>26</v>
      </c>
      <c r="AQ227" t="s">
        <v>26</v>
      </c>
      <c r="AR227" s="146" t="s">
        <v>26</v>
      </c>
    </row>
    <row r="228" spans="1:44">
      <c r="A228" s="47"/>
      <c r="B228" s="26" t="s">
        <v>2173</v>
      </c>
      <c r="C228" s="26"/>
      <c r="D228" s="26"/>
      <c r="E228" s="26"/>
      <c r="F228" s="26"/>
      <c r="G228" s="27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7">
        <v>4</v>
      </c>
      <c r="AA228" t="s">
        <v>14</v>
      </c>
      <c r="AB228" t="s">
        <v>26</v>
      </c>
      <c r="AC228" t="s">
        <v>26</v>
      </c>
      <c r="AD228" t="s">
        <v>26</v>
      </c>
      <c r="AE228" t="s">
        <v>26</v>
      </c>
      <c r="AF228" t="s">
        <v>26</v>
      </c>
      <c r="AG228" t="s">
        <v>26</v>
      </c>
      <c r="AH228" t="s">
        <v>58</v>
      </c>
      <c r="AI228" t="s">
        <v>26</v>
      </c>
      <c r="AJ228" t="s">
        <v>26</v>
      </c>
      <c r="AK228" t="s">
        <v>26</v>
      </c>
      <c r="AL228" t="s">
        <v>26</v>
      </c>
      <c r="AM228" t="s">
        <v>26</v>
      </c>
      <c r="AN228" s="44" t="s">
        <v>1530</v>
      </c>
      <c r="AO228" t="s">
        <v>26</v>
      </c>
      <c r="AP228">
        <v>2</v>
      </c>
      <c r="AQ228" t="s">
        <v>26</v>
      </c>
      <c r="AR228" s="146">
        <v>2</v>
      </c>
    </row>
    <row r="229" spans="1:44">
      <c r="A229" s="47"/>
      <c r="B229" s="26" t="s">
        <v>2173</v>
      </c>
      <c r="C229" s="27"/>
      <c r="D229" s="26"/>
      <c r="E229" s="27"/>
      <c r="F229" s="27"/>
      <c r="G229" s="27"/>
      <c r="H229" s="27"/>
      <c r="I229" s="27"/>
      <c r="J229" s="27"/>
      <c r="K229" s="27"/>
      <c r="L229" s="26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>
        <v>4</v>
      </c>
      <c r="AA229" t="s">
        <v>14</v>
      </c>
      <c r="AB229" t="s">
        <v>26</v>
      </c>
      <c r="AC229" t="s">
        <v>26</v>
      </c>
      <c r="AD229" t="s">
        <v>26</v>
      </c>
      <c r="AE229" t="s">
        <v>26</v>
      </c>
      <c r="AF229" t="s">
        <v>26</v>
      </c>
      <c r="AG229" t="s">
        <v>26</v>
      </c>
      <c r="AH229" t="s">
        <v>214</v>
      </c>
      <c r="AI229" t="s">
        <v>26</v>
      </c>
      <c r="AJ229" t="s">
        <v>26</v>
      </c>
      <c r="AK229" t="s">
        <v>26</v>
      </c>
      <c r="AL229" t="s">
        <v>26</v>
      </c>
      <c r="AM229" t="s">
        <v>26</v>
      </c>
      <c r="AN229" s="44" t="s">
        <v>1530</v>
      </c>
      <c r="AO229">
        <v>1</v>
      </c>
      <c r="AP229" t="s">
        <v>26</v>
      </c>
      <c r="AQ229" t="s">
        <v>26</v>
      </c>
      <c r="AR229" s="146" t="s">
        <v>26</v>
      </c>
    </row>
    <row r="230" spans="1:44">
      <c r="A230" s="47"/>
      <c r="B230" s="26" t="s">
        <v>2173</v>
      </c>
      <c r="C230" s="26"/>
      <c r="D230" s="26"/>
      <c r="E230" s="26"/>
      <c r="F230" s="26"/>
      <c r="G230" s="27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7">
        <v>4</v>
      </c>
      <c r="AA230" t="s">
        <v>14</v>
      </c>
      <c r="AB230" t="s">
        <v>26</v>
      </c>
      <c r="AC230" t="s">
        <v>26</v>
      </c>
      <c r="AD230" t="s">
        <v>26</v>
      </c>
      <c r="AE230" t="s">
        <v>26</v>
      </c>
      <c r="AF230" t="s">
        <v>26</v>
      </c>
      <c r="AG230" t="s">
        <v>26</v>
      </c>
      <c r="AH230" t="s">
        <v>321</v>
      </c>
      <c r="AI230" t="s">
        <v>26</v>
      </c>
      <c r="AJ230" t="s">
        <v>26</v>
      </c>
      <c r="AK230" t="s">
        <v>26</v>
      </c>
      <c r="AL230" t="s">
        <v>26</v>
      </c>
      <c r="AM230" t="s">
        <v>26</v>
      </c>
      <c r="AN230" s="44" t="s">
        <v>1530</v>
      </c>
      <c r="AO230">
        <v>1</v>
      </c>
      <c r="AP230">
        <v>2</v>
      </c>
      <c r="AQ230" t="s">
        <v>26</v>
      </c>
      <c r="AR230" s="146">
        <v>2</v>
      </c>
    </row>
    <row r="231" spans="1:44">
      <c r="A231" s="47">
        <v>505</v>
      </c>
      <c r="B231" s="26" t="s">
        <v>2173</v>
      </c>
      <c r="C231" s="26"/>
      <c r="D231" s="26"/>
      <c r="E231" s="26"/>
      <c r="F231" s="26"/>
      <c r="G231" s="27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7">
        <v>4</v>
      </c>
      <c r="AA231" t="s">
        <v>14</v>
      </c>
      <c r="AB231" t="s">
        <v>26</v>
      </c>
      <c r="AC231" t="s">
        <v>26</v>
      </c>
      <c r="AD231" t="s">
        <v>26</v>
      </c>
      <c r="AE231" t="s">
        <v>26</v>
      </c>
      <c r="AF231" t="s">
        <v>26</v>
      </c>
      <c r="AG231" t="s">
        <v>26</v>
      </c>
      <c r="AH231" t="s">
        <v>304</v>
      </c>
      <c r="AI231" t="s">
        <v>26</v>
      </c>
      <c r="AJ231" t="s">
        <v>26</v>
      </c>
      <c r="AK231" t="s">
        <v>26</v>
      </c>
      <c r="AL231" t="s">
        <v>26</v>
      </c>
      <c r="AM231" t="s">
        <v>26</v>
      </c>
      <c r="AN231" s="44" t="s">
        <v>1530</v>
      </c>
      <c r="AO231">
        <v>1</v>
      </c>
      <c r="AP231">
        <v>2</v>
      </c>
      <c r="AQ231">
        <v>1</v>
      </c>
      <c r="AR231" s="146">
        <v>1</v>
      </c>
    </row>
    <row r="232" spans="1:44">
      <c r="A232" s="47"/>
      <c r="B232" s="26" t="s">
        <v>2173</v>
      </c>
      <c r="C232" s="26"/>
      <c r="D232" s="26"/>
      <c r="E232" s="26"/>
      <c r="F232" s="26"/>
      <c r="G232" s="27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7">
        <v>4</v>
      </c>
      <c r="AA232" t="s">
        <v>14</v>
      </c>
      <c r="AB232" t="s">
        <v>26</v>
      </c>
      <c r="AC232" t="s">
        <v>26</v>
      </c>
      <c r="AD232" t="s">
        <v>26</v>
      </c>
      <c r="AE232" t="s">
        <v>26</v>
      </c>
      <c r="AF232" t="s">
        <v>26</v>
      </c>
      <c r="AG232" t="s">
        <v>26</v>
      </c>
      <c r="AH232" t="s">
        <v>243</v>
      </c>
      <c r="AI232" t="s">
        <v>26</v>
      </c>
      <c r="AJ232" t="s">
        <v>26</v>
      </c>
      <c r="AK232" t="s">
        <v>26</v>
      </c>
      <c r="AL232" t="s">
        <v>26</v>
      </c>
      <c r="AM232" t="s">
        <v>26</v>
      </c>
      <c r="AN232" s="44" t="s">
        <v>1530</v>
      </c>
      <c r="AO232" t="s">
        <v>26</v>
      </c>
      <c r="AP232">
        <v>2</v>
      </c>
      <c r="AQ232" t="s">
        <v>26</v>
      </c>
      <c r="AR232" s="146">
        <v>2</v>
      </c>
    </row>
    <row r="233" spans="1:44">
      <c r="A233" s="47"/>
      <c r="B233" s="26" t="s">
        <v>2173</v>
      </c>
      <c r="C233" s="26"/>
      <c r="D233" s="26"/>
      <c r="E233" s="26"/>
      <c r="F233" s="26"/>
      <c r="G233" s="27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7">
        <v>4</v>
      </c>
      <c r="AA233" t="s">
        <v>14</v>
      </c>
      <c r="AB233" t="s">
        <v>26</v>
      </c>
      <c r="AC233" t="s">
        <v>26</v>
      </c>
      <c r="AD233" t="s">
        <v>26</v>
      </c>
      <c r="AE233" t="s">
        <v>26</v>
      </c>
      <c r="AF233" t="s">
        <v>26</v>
      </c>
      <c r="AG233" t="s">
        <v>26</v>
      </c>
      <c r="AH233" t="s">
        <v>59</v>
      </c>
      <c r="AI233" t="s">
        <v>26</v>
      </c>
      <c r="AJ233" t="s">
        <v>26</v>
      </c>
      <c r="AK233" t="s">
        <v>26</v>
      </c>
      <c r="AL233" t="s">
        <v>26</v>
      </c>
      <c r="AM233" t="s">
        <v>26</v>
      </c>
      <c r="AN233" s="44" t="s">
        <v>1530</v>
      </c>
      <c r="AO233">
        <v>2</v>
      </c>
      <c r="AP233">
        <v>2</v>
      </c>
      <c r="AQ233" t="s">
        <v>26</v>
      </c>
      <c r="AR233" s="146">
        <v>2</v>
      </c>
    </row>
    <row r="234" spans="1:44">
      <c r="A234" s="47"/>
      <c r="B234" s="26" t="s">
        <v>2173</v>
      </c>
      <c r="C234" s="26"/>
      <c r="D234" s="26"/>
      <c r="E234" s="26"/>
      <c r="F234" s="26"/>
      <c r="G234" s="27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7">
        <v>4</v>
      </c>
      <c r="AA234" t="s">
        <v>14</v>
      </c>
      <c r="AB234" t="s">
        <v>26</v>
      </c>
      <c r="AC234" t="s">
        <v>26</v>
      </c>
      <c r="AD234" t="s">
        <v>26</v>
      </c>
      <c r="AE234" t="s">
        <v>26</v>
      </c>
      <c r="AF234" t="s">
        <v>26</v>
      </c>
      <c r="AG234" t="s">
        <v>26</v>
      </c>
      <c r="AH234" t="s">
        <v>37</v>
      </c>
      <c r="AI234" t="s">
        <v>26</v>
      </c>
      <c r="AJ234" t="s">
        <v>26</v>
      </c>
      <c r="AK234" t="s">
        <v>26</v>
      </c>
      <c r="AL234" t="s">
        <v>26</v>
      </c>
      <c r="AM234" t="s">
        <v>26</v>
      </c>
      <c r="AN234" s="44" t="s">
        <v>1530</v>
      </c>
      <c r="AO234" t="s">
        <v>26</v>
      </c>
      <c r="AP234">
        <v>8</v>
      </c>
      <c r="AQ234" t="s">
        <v>26</v>
      </c>
      <c r="AR234" s="146">
        <v>8</v>
      </c>
    </row>
    <row r="235" spans="1:44">
      <c r="A235" s="47"/>
      <c r="B235" s="26" t="s">
        <v>2173</v>
      </c>
      <c r="C235" s="26"/>
      <c r="D235" s="26" t="s">
        <v>2148</v>
      </c>
      <c r="E235" s="26"/>
      <c r="F235" s="26"/>
      <c r="G235" s="27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 t="s">
        <v>2150</v>
      </c>
      <c r="Z235" s="27">
        <v>3</v>
      </c>
      <c r="AA235" t="s">
        <v>1852</v>
      </c>
      <c r="AB235" t="s">
        <v>967</v>
      </c>
      <c r="AC235" t="s">
        <v>26</v>
      </c>
      <c r="AD235" t="s">
        <v>69</v>
      </c>
      <c r="AE235" t="s">
        <v>69</v>
      </c>
      <c r="AF235" t="s">
        <v>968</v>
      </c>
      <c r="AG235" t="s">
        <v>969</v>
      </c>
      <c r="AH235" t="s">
        <v>1853</v>
      </c>
      <c r="AI235" t="s">
        <v>1854</v>
      </c>
      <c r="AJ235" t="s">
        <v>26</v>
      </c>
      <c r="AK235" t="s">
        <v>1550</v>
      </c>
      <c r="AL235" t="s">
        <v>1545</v>
      </c>
      <c r="AM235" t="s">
        <v>26</v>
      </c>
      <c r="AN235" s="44" t="s">
        <v>1530</v>
      </c>
      <c r="AO235" t="s">
        <v>953</v>
      </c>
      <c r="AP235" t="s">
        <v>26</v>
      </c>
      <c r="AQ235" t="s">
        <v>26</v>
      </c>
      <c r="AR235" s="146" t="s">
        <v>26</v>
      </c>
    </row>
    <row r="236" spans="1:44">
      <c r="A236" s="47"/>
      <c r="B236" s="26" t="s">
        <v>2173</v>
      </c>
      <c r="C236" s="26"/>
      <c r="D236" s="26" t="s">
        <v>2148</v>
      </c>
      <c r="E236" s="26"/>
      <c r="F236" s="26"/>
      <c r="G236" s="27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 t="s">
        <v>2150</v>
      </c>
      <c r="Z236" s="27">
        <v>3</v>
      </c>
      <c r="AA236" t="s">
        <v>1855</v>
      </c>
      <c r="AB236" t="s">
        <v>972</v>
      </c>
      <c r="AC236" t="s">
        <v>26</v>
      </c>
      <c r="AD236" t="s">
        <v>131</v>
      </c>
      <c r="AE236" t="s">
        <v>971</v>
      </c>
      <c r="AF236" t="s">
        <v>973</v>
      </c>
      <c r="AG236" t="s">
        <v>412</v>
      </c>
      <c r="AH236" t="s">
        <v>1856</v>
      </c>
      <c r="AI236" t="s">
        <v>1549</v>
      </c>
      <c r="AJ236" t="s">
        <v>26</v>
      </c>
      <c r="AK236" t="s">
        <v>1857</v>
      </c>
      <c r="AL236" t="s">
        <v>1546</v>
      </c>
      <c r="AM236" t="s">
        <v>26</v>
      </c>
      <c r="AN236" s="44" t="s">
        <v>1530</v>
      </c>
      <c r="AO236" t="s">
        <v>953</v>
      </c>
      <c r="AP236" t="s">
        <v>26</v>
      </c>
      <c r="AQ236" t="s">
        <v>26</v>
      </c>
      <c r="AR236" s="146" t="s">
        <v>26</v>
      </c>
    </row>
    <row r="237" spans="1:44">
      <c r="A237" s="47"/>
      <c r="B237" s="26" t="s">
        <v>2173</v>
      </c>
      <c r="C237" s="26"/>
      <c r="D237" s="26" t="s">
        <v>2148</v>
      </c>
      <c r="E237" s="26"/>
      <c r="F237" s="26"/>
      <c r="G237" s="27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 t="s">
        <v>2150</v>
      </c>
      <c r="Z237" s="27">
        <v>3</v>
      </c>
      <c r="AA237" t="s">
        <v>1858</v>
      </c>
      <c r="AB237" t="s">
        <v>993</v>
      </c>
      <c r="AC237" t="s">
        <v>26</v>
      </c>
      <c r="AD237" t="s">
        <v>992</v>
      </c>
      <c r="AE237" t="s">
        <v>992</v>
      </c>
      <c r="AF237" t="s">
        <v>994</v>
      </c>
      <c r="AG237" t="s">
        <v>995</v>
      </c>
      <c r="AH237" t="s">
        <v>1859</v>
      </c>
      <c r="AI237" t="s">
        <v>26</v>
      </c>
      <c r="AJ237" t="s">
        <v>26</v>
      </c>
      <c r="AK237" t="s">
        <v>1544</v>
      </c>
      <c r="AL237" t="s">
        <v>1860</v>
      </c>
      <c r="AM237" t="s">
        <v>1861</v>
      </c>
      <c r="AN237" s="44" t="s">
        <v>1530</v>
      </c>
      <c r="AO237" t="s">
        <v>26</v>
      </c>
      <c r="AP237" t="s">
        <v>955</v>
      </c>
      <c r="AQ237" t="s">
        <v>26</v>
      </c>
      <c r="AR237" s="146" t="s">
        <v>2326</v>
      </c>
    </row>
    <row r="238" spans="1:44">
      <c r="A238" s="47"/>
      <c r="B238" s="26" t="s">
        <v>2173</v>
      </c>
      <c r="C238" s="26"/>
      <c r="D238" s="26" t="s">
        <v>2148</v>
      </c>
      <c r="E238" s="26"/>
      <c r="F238" s="26"/>
      <c r="G238" s="27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 t="s">
        <v>2150</v>
      </c>
      <c r="Z238" s="27">
        <v>3</v>
      </c>
      <c r="AA238" t="s">
        <v>1862</v>
      </c>
      <c r="AB238" t="s">
        <v>1001</v>
      </c>
      <c r="AC238" t="s">
        <v>26</v>
      </c>
      <c r="AD238" t="s">
        <v>1000</v>
      </c>
      <c r="AE238" t="s">
        <v>1000</v>
      </c>
      <c r="AF238" t="s">
        <v>1002</v>
      </c>
      <c r="AG238" t="s">
        <v>1003</v>
      </c>
      <c r="AH238" t="s">
        <v>1863</v>
      </c>
      <c r="AI238" t="s">
        <v>1549</v>
      </c>
      <c r="AJ238" t="s">
        <v>26</v>
      </c>
      <c r="AK238" t="s">
        <v>1864</v>
      </c>
      <c r="AL238" t="s">
        <v>1865</v>
      </c>
      <c r="AM238" t="s">
        <v>1866</v>
      </c>
      <c r="AN238" s="44" t="s">
        <v>1530</v>
      </c>
      <c r="AO238" t="s">
        <v>26</v>
      </c>
      <c r="AP238" t="s">
        <v>955</v>
      </c>
      <c r="AQ238" t="s">
        <v>26</v>
      </c>
      <c r="AR238" s="146" t="s">
        <v>2326</v>
      </c>
    </row>
    <row r="239" spans="1:44">
      <c r="A239" s="166" t="s">
        <v>2352</v>
      </c>
      <c r="B239" s="147" t="s">
        <v>2173</v>
      </c>
      <c r="C239" s="147"/>
      <c r="D239" s="147" t="s">
        <v>2148</v>
      </c>
      <c r="E239" s="147"/>
      <c r="F239" s="147"/>
      <c r="G239" s="101"/>
      <c r="H239" s="147"/>
      <c r="I239" s="147"/>
      <c r="J239" s="147" t="s">
        <v>2353</v>
      </c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 t="s">
        <v>2150</v>
      </c>
      <c r="Z239" s="101">
        <v>3</v>
      </c>
      <c r="AA239" s="102" t="s">
        <v>1591</v>
      </c>
      <c r="AB239" s="102" t="s">
        <v>1867</v>
      </c>
      <c r="AC239" s="102" t="s">
        <v>26</v>
      </c>
      <c r="AD239" s="102" t="s">
        <v>26</v>
      </c>
      <c r="AE239" s="102" t="s">
        <v>1868</v>
      </c>
      <c r="AF239" s="102" t="s">
        <v>1867</v>
      </c>
      <c r="AG239" s="102" t="s">
        <v>1594</v>
      </c>
      <c r="AH239" s="102" t="s">
        <v>1595</v>
      </c>
      <c r="AI239" s="102" t="s">
        <v>26</v>
      </c>
      <c r="AJ239" s="102" t="s">
        <v>221</v>
      </c>
      <c r="AK239" s="102" t="s">
        <v>1596</v>
      </c>
      <c r="AL239" s="102" t="s">
        <v>26</v>
      </c>
      <c r="AM239" s="102" t="s">
        <v>26</v>
      </c>
      <c r="AN239" s="148" t="s">
        <v>1530</v>
      </c>
      <c r="AO239" s="102" t="s">
        <v>26</v>
      </c>
      <c r="AP239" s="102" t="s">
        <v>955</v>
      </c>
      <c r="AQ239" s="102" t="s">
        <v>26</v>
      </c>
      <c r="AR239" s="165" t="s">
        <v>26</v>
      </c>
    </row>
    <row r="240" spans="1:44">
      <c r="A240" s="167" t="s">
        <v>2352</v>
      </c>
      <c r="B240" s="26" t="s">
        <v>2173</v>
      </c>
      <c r="C240" s="26"/>
      <c r="D240" s="26" t="s">
        <v>2148</v>
      </c>
      <c r="E240" s="26"/>
      <c r="F240" s="26"/>
      <c r="G240" s="27"/>
      <c r="H240" s="26"/>
      <c r="I240" s="26"/>
      <c r="J240" s="26" t="s">
        <v>2215</v>
      </c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 t="s">
        <v>2150</v>
      </c>
      <c r="Z240" s="27">
        <v>3</v>
      </c>
      <c r="AA240" t="s">
        <v>1591</v>
      </c>
      <c r="AB240" t="s">
        <v>1867</v>
      </c>
      <c r="AC240" t="s">
        <v>26</v>
      </c>
      <c r="AD240" t="s">
        <v>26</v>
      </c>
      <c r="AE240" t="s">
        <v>1868</v>
      </c>
      <c r="AF240" t="s">
        <v>1867</v>
      </c>
      <c r="AG240" t="s">
        <v>1594</v>
      </c>
      <c r="AH240" t="s">
        <v>1595</v>
      </c>
      <c r="AI240" t="s">
        <v>26</v>
      </c>
      <c r="AJ240" t="s">
        <v>221</v>
      </c>
      <c r="AK240" t="s">
        <v>1596</v>
      </c>
      <c r="AL240" t="s">
        <v>26</v>
      </c>
      <c r="AM240" t="s">
        <v>26</v>
      </c>
      <c r="AN240" s="44" t="s">
        <v>1530</v>
      </c>
      <c r="AO240" t="s">
        <v>26</v>
      </c>
      <c r="AP240" t="s">
        <v>955</v>
      </c>
      <c r="AQ240" t="s">
        <v>26</v>
      </c>
      <c r="AR240" s="146" t="s">
        <v>2326</v>
      </c>
    </row>
    <row r="241" spans="1:44">
      <c r="A241" s="166">
        <v>510</v>
      </c>
      <c r="B241" s="147" t="s">
        <v>2173</v>
      </c>
      <c r="C241" s="147"/>
      <c r="D241" s="147" t="s">
        <v>2196</v>
      </c>
      <c r="E241" s="147"/>
      <c r="F241" s="147"/>
      <c r="G241" s="101"/>
      <c r="H241" s="147"/>
      <c r="I241" s="147"/>
      <c r="J241" s="147" t="s">
        <v>2354</v>
      </c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 t="s">
        <v>2150</v>
      </c>
      <c r="Z241" s="101">
        <v>3</v>
      </c>
      <c r="AA241" s="102" t="s">
        <v>1591</v>
      </c>
      <c r="AB241" s="102" t="s">
        <v>1869</v>
      </c>
      <c r="AC241" s="102" t="s">
        <v>26</v>
      </c>
      <c r="AD241" s="102" t="s">
        <v>26</v>
      </c>
      <c r="AE241" s="102" t="s">
        <v>1870</v>
      </c>
      <c r="AF241" s="102" t="s">
        <v>1869</v>
      </c>
      <c r="AG241" s="102" t="s">
        <v>1620</v>
      </c>
      <c r="AH241" s="102" t="s">
        <v>1595</v>
      </c>
      <c r="AI241" s="102" t="s">
        <v>26</v>
      </c>
      <c r="AJ241" s="102" t="s">
        <v>152</v>
      </c>
      <c r="AK241" s="102" t="s">
        <v>1596</v>
      </c>
      <c r="AL241" s="102" t="s">
        <v>26</v>
      </c>
      <c r="AM241" s="102" t="s">
        <v>26</v>
      </c>
      <c r="AN241" s="148" t="s">
        <v>1530</v>
      </c>
      <c r="AO241" s="102" t="s">
        <v>953</v>
      </c>
      <c r="AP241" s="102" t="s">
        <v>955</v>
      </c>
      <c r="AQ241" s="102" t="s">
        <v>959</v>
      </c>
      <c r="AR241" s="165" t="s">
        <v>2326</v>
      </c>
    </row>
    <row r="242" spans="1:44">
      <c r="A242" s="167">
        <v>510</v>
      </c>
      <c r="B242" s="26" t="s">
        <v>2173</v>
      </c>
      <c r="C242" s="26"/>
      <c r="D242" s="26" t="s">
        <v>2196</v>
      </c>
      <c r="E242" s="26"/>
      <c r="F242" s="26"/>
      <c r="G242" s="27"/>
      <c r="H242" s="26"/>
      <c r="I242" s="26"/>
      <c r="J242" s="26" t="s">
        <v>2212</v>
      </c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 t="s">
        <v>2150</v>
      </c>
      <c r="Z242" s="27">
        <v>3</v>
      </c>
      <c r="AA242" t="s">
        <v>1591</v>
      </c>
      <c r="AB242" t="s">
        <v>1869</v>
      </c>
      <c r="AC242" t="s">
        <v>26</v>
      </c>
      <c r="AD242" t="s">
        <v>26</v>
      </c>
      <c r="AE242" t="s">
        <v>1870</v>
      </c>
      <c r="AF242" t="s">
        <v>1869</v>
      </c>
      <c r="AG242" t="s">
        <v>1620</v>
      </c>
      <c r="AH242" t="s">
        <v>1595</v>
      </c>
      <c r="AI242" t="s">
        <v>26</v>
      </c>
      <c r="AJ242" t="s">
        <v>152</v>
      </c>
      <c r="AK242" t="s">
        <v>1596</v>
      </c>
      <c r="AL242" t="s">
        <v>26</v>
      </c>
      <c r="AM242" t="s">
        <v>26</v>
      </c>
      <c r="AN242" s="44" t="s">
        <v>1530</v>
      </c>
      <c r="AO242" t="s">
        <v>953</v>
      </c>
      <c r="AP242" t="s">
        <v>955</v>
      </c>
      <c r="AQ242" t="s">
        <v>959</v>
      </c>
      <c r="AR242" s="146" t="s">
        <v>26</v>
      </c>
    </row>
    <row r="243" spans="1:44">
      <c r="A243" s="47"/>
      <c r="B243" s="26" t="s">
        <v>2173</v>
      </c>
      <c r="C243" s="26"/>
      <c r="D243" s="26" t="s">
        <v>2148</v>
      </c>
      <c r="E243" s="26"/>
      <c r="F243" s="26"/>
      <c r="G243" s="27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2150</v>
      </c>
      <c r="Z243" s="27">
        <v>3</v>
      </c>
      <c r="AA243" t="s">
        <v>1871</v>
      </c>
      <c r="AB243" t="s">
        <v>1011</v>
      </c>
      <c r="AC243" t="s">
        <v>26</v>
      </c>
      <c r="AD243" t="s">
        <v>992</v>
      </c>
      <c r="AE243" t="s">
        <v>992</v>
      </c>
      <c r="AF243" t="s">
        <v>1012</v>
      </c>
      <c r="AG243" t="s">
        <v>999</v>
      </c>
      <c r="AH243" t="s">
        <v>1872</v>
      </c>
      <c r="AI243" t="s">
        <v>1646</v>
      </c>
      <c r="AJ243" t="s">
        <v>26</v>
      </c>
      <c r="AK243" t="s">
        <v>1873</v>
      </c>
      <c r="AL243" t="s">
        <v>1860</v>
      </c>
      <c r="AM243" t="s">
        <v>1861</v>
      </c>
      <c r="AN243" s="44" t="s">
        <v>1530</v>
      </c>
      <c r="AO243" t="s">
        <v>26</v>
      </c>
      <c r="AP243" t="s">
        <v>955</v>
      </c>
      <c r="AQ243" t="s">
        <v>26</v>
      </c>
      <c r="AR243" s="146" t="s">
        <v>2326</v>
      </c>
    </row>
    <row r="244" spans="1:44">
      <c r="A244" s="47"/>
      <c r="B244" s="26" t="s">
        <v>2173</v>
      </c>
      <c r="C244" s="26"/>
      <c r="D244" s="26" t="s">
        <v>2148</v>
      </c>
      <c r="E244" s="26"/>
      <c r="F244" s="26"/>
      <c r="G244" s="27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 t="s">
        <v>2150</v>
      </c>
      <c r="Z244" s="27">
        <v>3</v>
      </c>
      <c r="AA244" t="s">
        <v>1862</v>
      </c>
      <c r="AB244" t="s">
        <v>997</v>
      </c>
      <c r="AC244" t="s">
        <v>26</v>
      </c>
      <c r="AD244" t="s">
        <v>992</v>
      </c>
      <c r="AE244" t="s">
        <v>992</v>
      </c>
      <c r="AF244" t="s">
        <v>998</v>
      </c>
      <c r="AG244" t="s">
        <v>999</v>
      </c>
      <c r="AH244" t="s">
        <v>1863</v>
      </c>
      <c r="AI244" t="s">
        <v>1549</v>
      </c>
      <c r="AJ244" t="s">
        <v>26</v>
      </c>
      <c r="AK244" t="s">
        <v>1864</v>
      </c>
      <c r="AL244" t="s">
        <v>1860</v>
      </c>
      <c r="AM244" t="s">
        <v>1861</v>
      </c>
      <c r="AN244" s="44" t="s">
        <v>1530</v>
      </c>
      <c r="AO244" t="s">
        <v>26</v>
      </c>
      <c r="AP244" t="s">
        <v>955</v>
      </c>
      <c r="AQ244" t="s">
        <v>26</v>
      </c>
      <c r="AR244" s="146" t="s">
        <v>2326</v>
      </c>
    </row>
    <row r="245" spans="1:44">
      <c r="A245" s="47"/>
      <c r="B245" s="26" t="s">
        <v>2173</v>
      </c>
      <c r="C245" s="26"/>
      <c r="D245" s="26" t="s">
        <v>2148</v>
      </c>
      <c r="E245" s="26"/>
      <c r="F245" s="26"/>
      <c r="G245" s="27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 t="s">
        <v>2150</v>
      </c>
      <c r="Z245" s="27">
        <v>3</v>
      </c>
      <c r="AA245" t="s">
        <v>1874</v>
      </c>
      <c r="AB245" t="s">
        <v>1009</v>
      </c>
      <c r="AC245" t="s">
        <v>26</v>
      </c>
      <c r="AD245" t="s">
        <v>32</v>
      </c>
      <c r="AE245" t="s">
        <v>33</v>
      </c>
      <c r="AF245" t="s">
        <v>1010</v>
      </c>
      <c r="AG245" t="s">
        <v>36</v>
      </c>
      <c r="AH245" t="s">
        <v>1875</v>
      </c>
      <c r="AI245" t="s">
        <v>1646</v>
      </c>
      <c r="AJ245" t="s">
        <v>26</v>
      </c>
      <c r="AK245" t="s">
        <v>1876</v>
      </c>
      <c r="AL245" t="s">
        <v>1642</v>
      </c>
      <c r="AM245" t="s">
        <v>1643</v>
      </c>
      <c r="AN245" s="44" t="s">
        <v>1530</v>
      </c>
      <c r="AO245" t="s">
        <v>26</v>
      </c>
      <c r="AP245" t="s">
        <v>955</v>
      </c>
      <c r="AQ245" t="s">
        <v>26</v>
      </c>
      <c r="AR245" s="146" t="s">
        <v>2326</v>
      </c>
    </row>
    <row r="246" spans="1:44">
      <c r="A246" s="47"/>
      <c r="B246" s="26" t="s">
        <v>2175</v>
      </c>
      <c r="C246" s="26"/>
      <c r="D246" s="26"/>
      <c r="E246" s="26"/>
      <c r="F246" s="26"/>
      <c r="G246" s="27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7">
        <v>1</v>
      </c>
      <c r="AA246" t="s">
        <v>1027</v>
      </c>
    </row>
    <row r="247" spans="1:44">
      <c r="A247" s="47"/>
      <c r="B247" s="26" t="s">
        <v>2175</v>
      </c>
      <c r="C247" s="26"/>
      <c r="D247" s="26"/>
      <c r="E247" s="26"/>
      <c r="F247" s="26"/>
      <c r="G247" s="27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7">
        <v>2</v>
      </c>
      <c r="AA247" t="s">
        <v>1</v>
      </c>
      <c r="AB247" t="s">
        <v>1028</v>
      </c>
      <c r="AC247" t="s">
        <v>1029</v>
      </c>
      <c r="AD247" t="s">
        <v>1030</v>
      </c>
    </row>
    <row r="248" spans="1:44">
      <c r="A248" s="47"/>
      <c r="B248" s="26" t="s">
        <v>2175</v>
      </c>
      <c r="C248" s="26"/>
      <c r="D248" s="26"/>
      <c r="E248" s="26"/>
      <c r="F248" s="26"/>
      <c r="G248" s="27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7">
        <v>0</v>
      </c>
      <c r="AA248" t="s">
        <v>1512</v>
      </c>
      <c r="AB248" t="s">
        <v>1513</v>
      </c>
      <c r="AC248" t="s">
        <v>1514</v>
      </c>
      <c r="AD248" t="s">
        <v>9</v>
      </c>
      <c r="AE248" t="s">
        <v>9</v>
      </c>
      <c r="AF248" t="s">
        <v>11</v>
      </c>
      <c r="AG248" t="s">
        <v>13</v>
      </c>
      <c r="AH248" t="s">
        <v>1515</v>
      </c>
      <c r="AI248" t="s">
        <v>1516</v>
      </c>
      <c r="AJ248" t="s">
        <v>1517</v>
      </c>
      <c r="AK248" t="s">
        <v>22</v>
      </c>
      <c r="AL248" t="s">
        <v>1518</v>
      </c>
      <c r="AM248" t="s">
        <v>1519</v>
      </c>
      <c r="AN248" s="44" t="s">
        <v>1520</v>
      </c>
      <c r="AO248" t="s">
        <v>1</v>
      </c>
    </row>
    <row r="249" spans="1:44">
      <c r="A249" s="47"/>
      <c r="B249" s="26" t="s">
        <v>2175</v>
      </c>
      <c r="C249" s="26"/>
      <c r="D249" s="26"/>
      <c r="E249" s="26"/>
      <c r="F249" s="26"/>
      <c r="G249" s="27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7">
        <v>4</v>
      </c>
      <c r="AA249" t="s">
        <v>14</v>
      </c>
      <c r="AB249" t="s">
        <v>26</v>
      </c>
      <c r="AC249" t="s">
        <v>26</v>
      </c>
      <c r="AD249" t="s">
        <v>26</v>
      </c>
      <c r="AE249" t="s">
        <v>26</v>
      </c>
      <c r="AF249" t="s">
        <v>26</v>
      </c>
      <c r="AG249" t="s">
        <v>26</v>
      </c>
      <c r="AH249" t="s">
        <v>384</v>
      </c>
      <c r="AI249" t="s">
        <v>26</v>
      </c>
      <c r="AJ249" t="s">
        <v>26</v>
      </c>
      <c r="AK249" t="s">
        <v>26</v>
      </c>
      <c r="AL249" t="s">
        <v>26</v>
      </c>
      <c r="AM249" t="s">
        <v>26</v>
      </c>
      <c r="AN249" s="44" t="s">
        <v>1530</v>
      </c>
      <c r="AO249" t="s">
        <v>1028</v>
      </c>
    </row>
    <row r="250" spans="1:44">
      <c r="A250" s="47"/>
      <c r="B250" s="26" t="s">
        <v>2175</v>
      </c>
      <c r="C250" s="26"/>
      <c r="D250" s="26"/>
      <c r="E250" s="26"/>
      <c r="F250" s="26"/>
      <c r="G250" s="27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7">
        <v>4</v>
      </c>
      <c r="AA250" t="s">
        <v>14</v>
      </c>
      <c r="AB250" t="s">
        <v>26</v>
      </c>
      <c r="AC250" t="s">
        <v>26</v>
      </c>
      <c r="AD250" t="s">
        <v>26</v>
      </c>
      <c r="AE250" t="s">
        <v>26</v>
      </c>
      <c r="AF250" t="s">
        <v>26</v>
      </c>
      <c r="AG250" t="s">
        <v>26</v>
      </c>
      <c r="AH250" t="s">
        <v>224</v>
      </c>
      <c r="AI250" t="s">
        <v>26</v>
      </c>
      <c r="AJ250" t="s">
        <v>26</v>
      </c>
      <c r="AK250" t="s">
        <v>26</v>
      </c>
      <c r="AL250" t="s">
        <v>26</v>
      </c>
      <c r="AM250" t="s">
        <v>26</v>
      </c>
      <c r="AN250" s="44" t="s">
        <v>1530</v>
      </c>
      <c r="AO250" t="s">
        <v>1028</v>
      </c>
    </row>
    <row r="251" spans="1:44">
      <c r="A251" s="47"/>
      <c r="B251" s="26" t="s">
        <v>2175</v>
      </c>
      <c r="C251" s="26"/>
      <c r="D251" s="26" t="s">
        <v>2196</v>
      </c>
      <c r="E251" s="26"/>
      <c r="F251" s="26"/>
      <c r="G251" s="27"/>
      <c r="H251" s="26"/>
      <c r="I251" s="26"/>
      <c r="J251" s="26" t="s">
        <v>2213</v>
      </c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 t="s">
        <v>2150</v>
      </c>
      <c r="Z251" s="27">
        <v>3</v>
      </c>
      <c r="AA251" t="s">
        <v>1602</v>
      </c>
      <c r="AB251" t="s">
        <v>1877</v>
      </c>
      <c r="AC251" t="s">
        <v>26</v>
      </c>
      <c r="AD251" t="s">
        <v>26</v>
      </c>
      <c r="AE251" t="s">
        <v>1878</v>
      </c>
      <c r="AF251" t="s">
        <v>1877</v>
      </c>
      <c r="AG251" t="s">
        <v>1594</v>
      </c>
      <c r="AH251" t="s">
        <v>1604</v>
      </c>
      <c r="AI251" t="s">
        <v>26</v>
      </c>
      <c r="AJ251" t="s">
        <v>221</v>
      </c>
      <c r="AK251" t="s">
        <v>1538</v>
      </c>
      <c r="AL251" t="s">
        <v>26</v>
      </c>
      <c r="AM251" t="s">
        <v>26</v>
      </c>
      <c r="AN251" s="44" t="s">
        <v>1530</v>
      </c>
      <c r="AO251" t="s">
        <v>1028</v>
      </c>
    </row>
    <row r="252" spans="1:44">
      <c r="A252" s="47"/>
      <c r="B252" s="26" t="s">
        <v>2176</v>
      </c>
      <c r="C252" s="26"/>
      <c r="D252" s="26"/>
      <c r="E252" s="26"/>
      <c r="F252" s="26"/>
      <c r="G252" s="27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7">
        <v>1</v>
      </c>
      <c r="AA252" t="s">
        <v>1035</v>
      </c>
    </row>
    <row r="253" spans="1:44">
      <c r="A253" s="47"/>
      <c r="B253" s="26" t="s">
        <v>2176</v>
      </c>
      <c r="C253" s="26"/>
      <c r="D253" s="26"/>
      <c r="E253" s="26"/>
      <c r="F253" s="26"/>
      <c r="G253" s="27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7">
        <v>2</v>
      </c>
      <c r="AA253" t="s">
        <v>1</v>
      </c>
      <c r="AB253" t="s">
        <v>1036</v>
      </c>
      <c r="AC253" t="s">
        <v>1037</v>
      </c>
      <c r="AD253" t="s">
        <v>1038</v>
      </c>
    </row>
    <row r="254" spans="1:44">
      <c r="A254" s="47"/>
      <c r="B254" s="26" t="s">
        <v>2176</v>
      </c>
      <c r="C254" s="26"/>
      <c r="D254" s="26"/>
      <c r="E254" s="26"/>
      <c r="F254" s="26"/>
      <c r="G254" s="27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7">
        <v>0</v>
      </c>
      <c r="AA254" t="s">
        <v>1512</v>
      </c>
      <c r="AB254" t="s">
        <v>1513</v>
      </c>
      <c r="AC254" t="s">
        <v>1514</v>
      </c>
      <c r="AD254" t="s">
        <v>9</v>
      </c>
      <c r="AE254" t="s">
        <v>9</v>
      </c>
      <c r="AF254" t="s">
        <v>11</v>
      </c>
      <c r="AG254" t="s">
        <v>13</v>
      </c>
      <c r="AH254" t="s">
        <v>1515</v>
      </c>
      <c r="AI254" t="s">
        <v>1516</v>
      </c>
      <c r="AJ254" t="s">
        <v>1517</v>
      </c>
      <c r="AK254" t="s">
        <v>22</v>
      </c>
      <c r="AL254" t="s">
        <v>1518</v>
      </c>
      <c r="AM254" t="s">
        <v>1519</v>
      </c>
      <c r="AN254" s="44" t="s">
        <v>1520</v>
      </c>
      <c r="AO254" t="s">
        <v>1</v>
      </c>
    </row>
    <row r="255" spans="1:44">
      <c r="A255" s="47"/>
      <c r="B255" s="26" t="s">
        <v>2176</v>
      </c>
      <c r="C255" s="26"/>
      <c r="D255" s="26"/>
      <c r="E255" s="26"/>
      <c r="F255" s="26"/>
      <c r="G255" s="27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7">
        <v>4</v>
      </c>
      <c r="AA255" t="s">
        <v>1524</v>
      </c>
      <c r="AB255" t="s">
        <v>26</v>
      </c>
      <c r="AC255" t="s">
        <v>26</v>
      </c>
      <c r="AD255" t="s">
        <v>26</v>
      </c>
      <c r="AE255" t="s">
        <v>26</v>
      </c>
      <c r="AF255" t="s">
        <v>26</v>
      </c>
      <c r="AG255" t="s">
        <v>26</v>
      </c>
      <c r="AH255" t="s">
        <v>1527</v>
      </c>
      <c r="AI255" t="s">
        <v>26</v>
      </c>
      <c r="AJ255" t="s">
        <v>26</v>
      </c>
      <c r="AK255" t="s">
        <v>26</v>
      </c>
      <c r="AL255" t="s">
        <v>26</v>
      </c>
      <c r="AM255" t="s">
        <v>26</v>
      </c>
      <c r="AN255" s="44" t="s">
        <v>1523</v>
      </c>
      <c r="AO255">
        <v>166</v>
      </c>
    </row>
    <row r="256" spans="1:44">
      <c r="A256" s="47"/>
      <c r="B256" s="26" t="s">
        <v>2176</v>
      </c>
      <c r="C256" s="26"/>
      <c r="D256" s="26"/>
      <c r="E256" s="26"/>
      <c r="F256" s="26"/>
      <c r="G256" s="27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7">
        <v>4</v>
      </c>
      <c r="AA256" t="s">
        <v>14</v>
      </c>
      <c r="AB256" t="s">
        <v>26</v>
      </c>
      <c r="AC256" t="s">
        <v>26</v>
      </c>
      <c r="AD256" t="s">
        <v>26</v>
      </c>
      <c r="AE256" t="s">
        <v>26</v>
      </c>
      <c r="AF256" t="s">
        <v>26</v>
      </c>
      <c r="AG256" t="s">
        <v>26</v>
      </c>
      <c r="AH256" t="s">
        <v>73</v>
      </c>
      <c r="AI256" t="s">
        <v>26</v>
      </c>
      <c r="AJ256" t="s">
        <v>26</v>
      </c>
      <c r="AK256" t="s">
        <v>26</v>
      </c>
      <c r="AL256" t="s">
        <v>26</v>
      </c>
      <c r="AM256" t="s">
        <v>26</v>
      </c>
      <c r="AN256" s="44" t="s">
        <v>1530</v>
      </c>
      <c r="AO256">
        <v>2</v>
      </c>
    </row>
    <row r="257" spans="1:42">
      <c r="A257" s="47"/>
      <c r="B257" s="26" t="s">
        <v>2176</v>
      </c>
      <c r="C257" s="26"/>
      <c r="D257" s="26"/>
      <c r="E257" s="26"/>
      <c r="F257" s="26"/>
      <c r="G257" s="27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7">
        <v>4</v>
      </c>
      <c r="AA257" t="s">
        <v>14</v>
      </c>
      <c r="AB257" t="s">
        <v>26</v>
      </c>
      <c r="AC257" t="s">
        <v>26</v>
      </c>
      <c r="AD257" t="s">
        <v>26</v>
      </c>
      <c r="AE257" t="s">
        <v>26</v>
      </c>
      <c r="AF257" t="s">
        <v>26</v>
      </c>
      <c r="AG257" t="s">
        <v>26</v>
      </c>
      <c r="AH257" t="s">
        <v>68</v>
      </c>
      <c r="AI257" t="s">
        <v>26</v>
      </c>
      <c r="AJ257" t="s">
        <v>26</v>
      </c>
      <c r="AK257" t="s">
        <v>26</v>
      </c>
      <c r="AL257" t="s">
        <v>26</v>
      </c>
      <c r="AM257" t="s">
        <v>26</v>
      </c>
      <c r="AN257" s="44" t="s">
        <v>1530</v>
      </c>
      <c r="AO257">
        <v>2</v>
      </c>
    </row>
    <row r="258" spans="1:42">
      <c r="A258" s="47"/>
      <c r="B258" s="26" t="s">
        <v>2176</v>
      </c>
      <c r="C258" s="26"/>
      <c r="D258" s="26" t="s">
        <v>2148</v>
      </c>
      <c r="E258" s="26"/>
      <c r="F258" s="26"/>
      <c r="G258" s="27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 t="s">
        <v>2150</v>
      </c>
      <c r="Z258" s="27">
        <v>3</v>
      </c>
      <c r="AA258" t="s">
        <v>1879</v>
      </c>
      <c r="AB258" t="s">
        <v>1042</v>
      </c>
      <c r="AC258" t="s">
        <v>26</v>
      </c>
      <c r="AD258" t="s">
        <v>1040</v>
      </c>
      <c r="AE258" t="s">
        <v>1041</v>
      </c>
      <c r="AF258" t="s">
        <v>1043</v>
      </c>
      <c r="AG258" t="s">
        <v>1044</v>
      </c>
      <c r="AH258" t="s">
        <v>1880</v>
      </c>
      <c r="AI258" t="s">
        <v>26</v>
      </c>
      <c r="AJ258" t="s">
        <v>26</v>
      </c>
      <c r="AK258" t="s">
        <v>1534</v>
      </c>
      <c r="AL258" t="s">
        <v>1881</v>
      </c>
      <c r="AM258" t="s">
        <v>1882</v>
      </c>
      <c r="AN258" s="44" t="s">
        <v>1530</v>
      </c>
      <c r="AO258" t="s">
        <v>1036</v>
      </c>
    </row>
    <row r="259" spans="1:42">
      <c r="A259" s="47"/>
      <c r="B259" s="26" t="s">
        <v>2177</v>
      </c>
      <c r="C259" s="26"/>
      <c r="D259" s="26"/>
      <c r="E259" s="26"/>
      <c r="F259" s="26"/>
      <c r="G259" s="27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7">
        <v>1</v>
      </c>
      <c r="AA259" t="s">
        <v>1052</v>
      </c>
    </row>
    <row r="260" spans="1:42">
      <c r="A260" s="47"/>
      <c r="B260" s="26" t="s">
        <v>2177</v>
      </c>
      <c r="C260" s="26"/>
      <c r="D260" s="26"/>
      <c r="E260" s="26"/>
      <c r="F260" s="26"/>
      <c r="G260" s="27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7">
        <v>2</v>
      </c>
      <c r="AA260" t="s">
        <v>1</v>
      </c>
      <c r="AB260" t="s">
        <v>1053</v>
      </c>
      <c r="AC260" t="s">
        <v>1054</v>
      </c>
      <c r="AD260" t="s">
        <v>1038</v>
      </c>
    </row>
    <row r="261" spans="1:42">
      <c r="A261" s="47"/>
      <c r="B261" s="26" t="s">
        <v>2177</v>
      </c>
      <c r="C261" s="26"/>
      <c r="D261" s="26"/>
      <c r="E261" s="26"/>
      <c r="F261" s="26"/>
      <c r="G261" s="27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7">
        <v>2</v>
      </c>
      <c r="AA261" t="s">
        <v>509</v>
      </c>
      <c r="AB261" t="s">
        <v>1056</v>
      </c>
      <c r="AC261" t="s">
        <v>1057</v>
      </c>
      <c r="AD261" t="s">
        <v>1058</v>
      </c>
    </row>
    <row r="262" spans="1:42">
      <c r="A262" s="47"/>
      <c r="B262" s="26" t="s">
        <v>2177</v>
      </c>
      <c r="C262" s="26"/>
      <c r="D262" s="26"/>
      <c r="E262" s="26"/>
      <c r="F262" s="26"/>
      <c r="G262" s="27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7">
        <v>0</v>
      </c>
      <c r="AA262" t="s">
        <v>1512</v>
      </c>
      <c r="AB262" t="s">
        <v>1513</v>
      </c>
      <c r="AC262" t="s">
        <v>1514</v>
      </c>
      <c r="AD262" t="s">
        <v>9</v>
      </c>
      <c r="AE262" t="s">
        <v>9</v>
      </c>
      <c r="AF262" t="s">
        <v>11</v>
      </c>
      <c r="AG262" t="s">
        <v>13</v>
      </c>
      <c r="AH262" t="s">
        <v>1515</v>
      </c>
      <c r="AI262" t="s">
        <v>1516</v>
      </c>
      <c r="AJ262" t="s">
        <v>1517</v>
      </c>
      <c r="AK262" t="s">
        <v>22</v>
      </c>
      <c r="AL262" t="s">
        <v>1518</v>
      </c>
      <c r="AM262" t="s">
        <v>1519</v>
      </c>
      <c r="AN262" s="44" t="s">
        <v>1520</v>
      </c>
      <c r="AO262" t="s">
        <v>1</v>
      </c>
      <c r="AP262" t="s">
        <v>509</v>
      </c>
    </row>
    <row r="263" spans="1:42">
      <c r="A263" s="47"/>
      <c r="B263" s="26" t="s">
        <v>2177</v>
      </c>
      <c r="C263" s="26"/>
      <c r="D263" s="26"/>
      <c r="E263" s="26"/>
      <c r="F263" s="26"/>
      <c r="G263" s="27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7">
        <v>4</v>
      </c>
      <c r="AA263" t="s">
        <v>14</v>
      </c>
      <c r="AB263" t="s">
        <v>26</v>
      </c>
      <c r="AC263" t="s">
        <v>26</v>
      </c>
      <c r="AD263" t="s">
        <v>26</v>
      </c>
      <c r="AE263" t="s">
        <v>26</v>
      </c>
      <c r="AF263" t="s">
        <v>26</v>
      </c>
      <c r="AG263" t="s">
        <v>26</v>
      </c>
      <c r="AH263" t="s">
        <v>1064</v>
      </c>
      <c r="AI263" t="s">
        <v>26</v>
      </c>
      <c r="AJ263" t="s">
        <v>26</v>
      </c>
      <c r="AK263" t="s">
        <v>26</v>
      </c>
      <c r="AL263" t="s">
        <v>26</v>
      </c>
      <c r="AM263" t="s">
        <v>26</v>
      </c>
      <c r="AN263" s="44" t="s">
        <v>1530</v>
      </c>
      <c r="AO263">
        <v>2</v>
      </c>
      <c r="AP263" t="s">
        <v>26</v>
      </c>
    </row>
    <row r="264" spans="1:42">
      <c r="A264" s="47"/>
      <c r="B264" s="26" t="s">
        <v>2177</v>
      </c>
      <c r="C264" s="26"/>
      <c r="D264" s="26"/>
      <c r="E264" s="26"/>
      <c r="F264" s="26"/>
      <c r="G264" s="27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7">
        <v>4</v>
      </c>
      <c r="AA264" t="s">
        <v>14</v>
      </c>
      <c r="AB264" t="s">
        <v>26</v>
      </c>
      <c r="AC264" t="s">
        <v>26</v>
      </c>
      <c r="AD264" t="s">
        <v>26</v>
      </c>
      <c r="AE264" t="s">
        <v>26</v>
      </c>
      <c r="AF264" t="s">
        <v>26</v>
      </c>
      <c r="AG264" t="s">
        <v>26</v>
      </c>
      <c r="AH264" t="s">
        <v>58</v>
      </c>
      <c r="AI264" t="s">
        <v>26</v>
      </c>
      <c r="AJ264" t="s">
        <v>26</v>
      </c>
      <c r="AK264" t="s">
        <v>26</v>
      </c>
      <c r="AL264" t="s">
        <v>26</v>
      </c>
      <c r="AM264" t="s">
        <v>26</v>
      </c>
      <c r="AN264" s="44" t="s">
        <v>1530</v>
      </c>
      <c r="AO264" t="s">
        <v>26</v>
      </c>
      <c r="AP264">
        <v>2</v>
      </c>
    </row>
    <row r="265" spans="1:42">
      <c r="A265" s="47"/>
      <c r="B265" s="26" t="s">
        <v>2177</v>
      </c>
      <c r="C265" s="26"/>
      <c r="D265" s="26"/>
      <c r="E265" s="26"/>
      <c r="F265" s="26"/>
      <c r="G265" s="27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7">
        <v>4</v>
      </c>
      <c r="AA265" t="s">
        <v>14</v>
      </c>
      <c r="AB265" t="s">
        <v>26</v>
      </c>
      <c r="AC265" t="s">
        <v>26</v>
      </c>
      <c r="AD265" t="s">
        <v>26</v>
      </c>
      <c r="AE265" t="s">
        <v>26</v>
      </c>
      <c r="AF265" t="s">
        <v>26</v>
      </c>
      <c r="AG265" t="s">
        <v>26</v>
      </c>
      <c r="AH265" t="s">
        <v>59</v>
      </c>
      <c r="AI265" t="s">
        <v>26</v>
      </c>
      <c r="AJ265" t="s">
        <v>26</v>
      </c>
      <c r="AK265" t="s">
        <v>26</v>
      </c>
      <c r="AL265" t="s">
        <v>26</v>
      </c>
      <c r="AM265" t="s">
        <v>26</v>
      </c>
      <c r="AN265" s="44" t="s">
        <v>1530</v>
      </c>
      <c r="AO265">
        <v>2</v>
      </c>
      <c r="AP265" t="s">
        <v>26</v>
      </c>
    </row>
    <row r="266" spans="1:42">
      <c r="A266" s="47"/>
      <c r="B266" s="26" t="s">
        <v>2177</v>
      </c>
      <c r="C266" s="26"/>
      <c r="D266" s="26"/>
      <c r="E266" s="26"/>
      <c r="F266" s="26"/>
      <c r="G266" s="27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7">
        <v>4</v>
      </c>
      <c r="AA266" t="s">
        <v>14</v>
      </c>
      <c r="AB266" t="s">
        <v>26</v>
      </c>
      <c r="AC266" t="s">
        <v>26</v>
      </c>
      <c r="AD266" t="s">
        <v>26</v>
      </c>
      <c r="AE266" t="s">
        <v>26</v>
      </c>
      <c r="AF266" t="s">
        <v>26</v>
      </c>
      <c r="AG266" t="s">
        <v>26</v>
      </c>
      <c r="AH266" t="s">
        <v>37</v>
      </c>
      <c r="AI266" t="s">
        <v>26</v>
      </c>
      <c r="AJ266" t="s">
        <v>26</v>
      </c>
      <c r="AK266" t="s">
        <v>26</v>
      </c>
      <c r="AL266" t="s">
        <v>26</v>
      </c>
      <c r="AM266" t="s">
        <v>26</v>
      </c>
      <c r="AN266" s="44" t="s">
        <v>1530</v>
      </c>
      <c r="AO266" t="s">
        <v>26</v>
      </c>
      <c r="AP266">
        <v>8</v>
      </c>
    </row>
    <row r="267" spans="1:42">
      <c r="A267" s="47"/>
      <c r="B267" s="26" t="s">
        <v>2177</v>
      </c>
      <c r="C267" s="26"/>
      <c r="D267" s="26" t="s">
        <v>2148</v>
      </c>
      <c r="E267" s="26"/>
      <c r="F267" s="26"/>
      <c r="G267" s="27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 t="s">
        <v>2150</v>
      </c>
      <c r="Z267" s="27">
        <v>3</v>
      </c>
      <c r="AA267" t="s">
        <v>1883</v>
      </c>
      <c r="AB267" t="s">
        <v>1066</v>
      </c>
      <c r="AC267" t="s">
        <v>26</v>
      </c>
      <c r="AD267" t="s">
        <v>64</v>
      </c>
      <c r="AE267" t="s">
        <v>1065</v>
      </c>
      <c r="AF267" t="s">
        <v>1067</v>
      </c>
      <c r="AG267" t="s">
        <v>1068</v>
      </c>
      <c r="AH267" t="s">
        <v>1884</v>
      </c>
      <c r="AI267" t="s">
        <v>1549</v>
      </c>
      <c r="AJ267" t="s">
        <v>26</v>
      </c>
      <c r="AK267" t="s">
        <v>1885</v>
      </c>
      <c r="AL267" t="s">
        <v>1535</v>
      </c>
      <c r="AM267" t="s">
        <v>26</v>
      </c>
      <c r="AN267" s="44" t="s">
        <v>1530</v>
      </c>
      <c r="AO267" t="s">
        <v>1053</v>
      </c>
      <c r="AP267" t="s">
        <v>26</v>
      </c>
    </row>
    <row r="268" spans="1:42">
      <c r="A268" s="47"/>
      <c r="B268" s="26" t="s">
        <v>2177</v>
      </c>
      <c r="C268" s="26"/>
      <c r="D268" s="26" t="s">
        <v>2148</v>
      </c>
      <c r="E268" s="26"/>
      <c r="F268" s="26"/>
      <c r="G268" s="27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 t="s">
        <v>2150</v>
      </c>
      <c r="Z268" s="27">
        <v>3</v>
      </c>
      <c r="AA268" t="s">
        <v>1874</v>
      </c>
      <c r="AB268" t="s">
        <v>1082</v>
      </c>
      <c r="AC268" t="s">
        <v>26</v>
      </c>
      <c r="AD268" t="s">
        <v>131</v>
      </c>
      <c r="AE268" t="s">
        <v>131</v>
      </c>
      <c r="AF268" t="s">
        <v>1083</v>
      </c>
      <c r="AG268" t="s">
        <v>1084</v>
      </c>
      <c r="AH268" t="s">
        <v>1875</v>
      </c>
      <c r="AI268" t="s">
        <v>1646</v>
      </c>
      <c r="AJ268" t="s">
        <v>26</v>
      </c>
      <c r="AK268" t="s">
        <v>1876</v>
      </c>
      <c r="AL268" t="s">
        <v>1546</v>
      </c>
      <c r="AM268" t="s">
        <v>26</v>
      </c>
      <c r="AN268" s="44" t="s">
        <v>1530</v>
      </c>
      <c r="AO268" t="s">
        <v>26</v>
      </c>
      <c r="AP268" t="s">
        <v>1056</v>
      </c>
    </row>
    <row r="269" spans="1:42">
      <c r="A269" s="47"/>
      <c r="B269" s="26" t="s">
        <v>2177</v>
      </c>
      <c r="C269" s="26"/>
      <c r="D269" s="26" t="s">
        <v>2148</v>
      </c>
      <c r="E269" s="26"/>
      <c r="F269" s="26"/>
      <c r="G269" s="27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 t="s">
        <v>2150</v>
      </c>
      <c r="Z269" s="27">
        <v>3</v>
      </c>
      <c r="AA269" t="s">
        <v>1886</v>
      </c>
      <c r="AB269" t="s">
        <v>1079</v>
      </c>
      <c r="AC269" t="s">
        <v>26</v>
      </c>
      <c r="AD269" t="s">
        <v>32</v>
      </c>
      <c r="AE269" t="s">
        <v>33</v>
      </c>
      <c r="AF269" t="s">
        <v>1080</v>
      </c>
      <c r="AG269" t="s">
        <v>1081</v>
      </c>
      <c r="AH269" t="s">
        <v>1887</v>
      </c>
      <c r="AI269" t="s">
        <v>1646</v>
      </c>
      <c r="AJ269" t="s">
        <v>26</v>
      </c>
      <c r="AK269" t="s">
        <v>1857</v>
      </c>
      <c r="AL269" t="s">
        <v>1642</v>
      </c>
      <c r="AM269" t="s">
        <v>1643</v>
      </c>
      <c r="AN269" s="44" t="s">
        <v>1530</v>
      </c>
      <c r="AO269" t="s">
        <v>26</v>
      </c>
      <c r="AP269" t="s">
        <v>1056</v>
      </c>
    </row>
    <row r="270" spans="1:42">
      <c r="A270" s="47"/>
      <c r="B270" s="26" t="s">
        <v>2177</v>
      </c>
      <c r="C270" s="26"/>
      <c r="D270" s="26" t="s">
        <v>2148</v>
      </c>
      <c r="E270" s="26"/>
      <c r="F270" s="26"/>
      <c r="G270" s="27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 t="s">
        <v>2150</v>
      </c>
      <c r="Z270" s="27">
        <v>3</v>
      </c>
      <c r="AA270" t="s">
        <v>1855</v>
      </c>
      <c r="AB270" t="s">
        <v>1061</v>
      </c>
      <c r="AC270" t="s">
        <v>26</v>
      </c>
      <c r="AD270" t="s">
        <v>32</v>
      </c>
      <c r="AE270" t="s">
        <v>33</v>
      </c>
      <c r="AF270" t="s">
        <v>1062</v>
      </c>
      <c r="AG270" t="s">
        <v>1063</v>
      </c>
      <c r="AH270" t="s">
        <v>1856</v>
      </c>
      <c r="AI270" t="s">
        <v>1549</v>
      </c>
      <c r="AJ270" t="s">
        <v>26</v>
      </c>
      <c r="AK270" t="s">
        <v>1857</v>
      </c>
      <c r="AL270" t="s">
        <v>1642</v>
      </c>
      <c r="AM270" t="s">
        <v>1643</v>
      </c>
      <c r="AN270" s="44" t="s">
        <v>1530</v>
      </c>
      <c r="AO270" t="s">
        <v>1053</v>
      </c>
      <c r="AP270" t="s">
        <v>26</v>
      </c>
    </row>
    <row r="271" spans="1:42">
      <c r="A271" s="47"/>
      <c r="B271" s="26" t="s">
        <v>2178</v>
      </c>
      <c r="C271" s="26"/>
      <c r="D271" s="26"/>
      <c r="E271" s="26"/>
      <c r="F271" s="26"/>
      <c r="G271" s="27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7">
        <v>1</v>
      </c>
      <c r="AA271" t="s">
        <v>1095</v>
      </c>
    </row>
    <row r="272" spans="1:42">
      <c r="A272" s="47"/>
      <c r="B272" s="26" t="s">
        <v>2178</v>
      </c>
      <c r="C272" s="26"/>
      <c r="D272" s="26"/>
      <c r="E272" s="26"/>
      <c r="F272" s="26"/>
      <c r="G272" s="27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7">
        <v>2</v>
      </c>
      <c r="AA272" t="s">
        <v>1</v>
      </c>
      <c r="AB272" t="s">
        <v>1096</v>
      </c>
      <c r="AC272" t="s">
        <v>1097</v>
      </c>
      <c r="AD272" t="s">
        <v>1098</v>
      </c>
    </row>
    <row r="273" spans="1:42">
      <c r="A273" s="47"/>
      <c r="B273" s="26" t="s">
        <v>2178</v>
      </c>
      <c r="C273" s="26"/>
      <c r="D273" s="26"/>
      <c r="E273" s="26"/>
      <c r="F273" s="26"/>
      <c r="G273" s="27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7">
        <v>2</v>
      </c>
      <c r="AA273" t="s">
        <v>509</v>
      </c>
      <c r="AB273" t="s">
        <v>1100</v>
      </c>
      <c r="AC273" t="s">
        <v>1101</v>
      </c>
      <c r="AD273" t="s">
        <v>1102</v>
      </c>
    </row>
    <row r="274" spans="1:42">
      <c r="A274" s="47"/>
      <c r="B274" s="26" t="s">
        <v>2178</v>
      </c>
      <c r="C274" s="26"/>
      <c r="D274" s="26"/>
      <c r="E274" s="26"/>
      <c r="F274" s="26"/>
      <c r="G274" s="27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7">
        <v>0</v>
      </c>
      <c r="AA274" t="s">
        <v>1512</v>
      </c>
      <c r="AB274" t="s">
        <v>1513</v>
      </c>
      <c r="AC274" t="s">
        <v>1514</v>
      </c>
      <c r="AD274" t="s">
        <v>9</v>
      </c>
      <c r="AE274" t="s">
        <v>9</v>
      </c>
      <c r="AF274" t="s">
        <v>11</v>
      </c>
      <c r="AG274" t="s">
        <v>13</v>
      </c>
      <c r="AH274" t="s">
        <v>1515</v>
      </c>
      <c r="AI274" t="s">
        <v>1516</v>
      </c>
      <c r="AJ274" t="s">
        <v>1517</v>
      </c>
      <c r="AK274" t="s">
        <v>22</v>
      </c>
      <c r="AL274" t="s">
        <v>1518</v>
      </c>
      <c r="AM274" t="s">
        <v>1519</v>
      </c>
      <c r="AN274" s="44" t="s">
        <v>1520</v>
      </c>
      <c r="AO274" t="s">
        <v>1</v>
      </c>
      <c r="AP274" t="s">
        <v>509</v>
      </c>
    </row>
    <row r="275" spans="1:42">
      <c r="A275" s="47"/>
      <c r="B275" s="26" t="s">
        <v>2178</v>
      </c>
      <c r="C275" s="26"/>
      <c r="D275" s="26"/>
      <c r="E275" s="26"/>
      <c r="F275" s="26"/>
      <c r="G275" s="27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7">
        <v>4</v>
      </c>
      <c r="AA275" t="s">
        <v>1524</v>
      </c>
      <c r="AB275" t="s">
        <v>26</v>
      </c>
      <c r="AC275" t="s">
        <v>26</v>
      </c>
      <c r="AD275" t="s">
        <v>26</v>
      </c>
      <c r="AE275" t="s">
        <v>26</v>
      </c>
      <c r="AF275" t="s">
        <v>26</v>
      </c>
      <c r="AG275" t="s">
        <v>26</v>
      </c>
      <c r="AH275" t="s">
        <v>1527</v>
      </c>
      <c r="AI275" t="s">
        <v>26</v>
      </c>
      <c r="AJ275" t="s">
        <v>26</v>
      </c>
      <c r="AK275" t="s">
        <v>26</v>
      </c>
      <c r="AL275" t="s">
        <v>26</v>
      </c>
      <c r="AM275" t="s">
        <v>26</v>
      </c>
      <c r="AN275" s="44" t="s">
        <v>1523</v>
      </c>
      <c r="AO275">
        <v>1261</v>
      </c>
      <c r="AP275">
        <v>1001</v>
      </c>
    </row>
    <row r="276" spans="1:42">
      <c r="A276" s="47"/>
      <c r="B276" s="26" t="s">
        <v>2178</v>
      </c>
      <c r="C276" s="26"/>
      <c r="D276" s="26"/>
      <c r="E276" s="26"/>
      <c r="F276" s="26"/>
      <c r="G276" s="27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7">
        <v>4</v>
      </c>
      <c r="AA276" t="s">
        <v>14</v>
      </c>
      <c r="AB276" t="s">
        <v>26</v>
      </c>
      <c r="AC276" t="s">
        <v>26</v>
      </c>
      <c r="AD276" t="s">
        <v>26</v>
      </c>
      <c r="AE276" t="s">
        <v>26</v>
      </c>
      <c r="AF276" t="s">
        <v>26</v>
      </c>
      <c r="AG276" t="s">
        <v>26</v>
      </c>
      <c r="AH276" t="s">
        <v>122</v>
      </c>
      <c r="AI276" t="s">
        <v>26</v>
      </c>
      <c r="AJ276" t="s">
        <v>26</v>
      </c>
      <c r="AK276" t="s">
        <v>26</v>
      </c>
      <c r="AL276" t="s">
        <v>26</v>
      </c>
      <c r="AM276" t="s">
        <v>26</v>
      </c>
      <c r="AN276" s="44" t="s">
        <v>1530</v>
      </c>
      <c r="AO276" t="s">
        <v>1096</v>
      </c>
      <c r="AP276" t="s">
        <v>1100</v>
      </c>
    </row>
    <row r="277" spans="1:42">
      <c r="A277" s="47"/>
      <c r="B277" s="26" t="s">
        <v>2178</v>
      </c>
      <c r="C277" s="26"/>
      <c r="D277" s="26"/>
      <c r="E277" s="26"/>
      <c r="F277" s="26"/>
      <c r="G277" s="27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7">
        <v>4</v>
      </c>
      <c r="AA277" t="s">
        <v>14</v>
      </c>
      <c r="AB277" t="s">
        <v>26</v>
      </c>
      <c r="AC277" t="s">
        <v>26</v>
      </c>
      <c r="AD277" t="s">
        <v>26</v>
      </c>
      <c r="AE277" t="s">
        <v>26</v>
      </c>
      <c r="AF277" t="s">
        <v>26</v>
      </c>
      <c r="AG277" t="s">
        <v>26</v>
      </c>
      <c r="AH277" t="s">
        <v>58</v>
      </c>
      <c r="AI277" t="s">
        <v>26</v>
      </c>
      <c r="AJ277" t="s">
        <v>26</v>
      </c>
      <c r="AK277" t="s">
        <v>26</v>
      </c>
      <c r="AL277" t="s">
        <v>26</v>
      </c>
      <c r="AM277" t="s">
        <v>26</v>
      </c>
      <c r="AN277" s="44" t="s">
        <v>1530</v>
      </c>
      <c r="AO277" t="s">
        <v>1096</v>
      </c>
      <c r="AP277" t="s">
        <v>1100</v>
      </c>
    </row>
    <row r="278" spans="1:42">
      <c r="A278" s="47"/>
      <c r="B278" s="26" t="s">
        <v>2178</v>
      </c>
      <c r="C278" s="26"/>
      <c r="D278" s="26"/>
      <c r="E278" s="26"/>
      <c r="F278" s="26"/>
      <c r="G278" s="27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7">
        <v>4</v>
      </c>
      <c r="AA278" t="s">
        <v>14</v>
      </c>
      <c r="AB278" t="s">
        <v>26</v>
      </c>
      <c r="AC278" t="s">
        <v>26</v>
      </c>
      <c r="AD278" t="s">
        <v>26</v>
      </c>
      <c r="AE278" t="s">
        <v>26</v>
      </c>
      <c r="AF278" t="s">
        <v>26</v>
      </c>
      <c r="AG278" t="s">
        <v>26</v>
      </c>
      <c r="AH278" t="s">
        <v>1139</v>
      </c>
      <c r="AI278" t="s">
        <v>26</v>
      </c>
      <c r="AJ278" t="s">
        <v>26</v>
      </c>
      <c r="AK278" t="s">
        <v>26</v>
      </c>
      <c r="AL278" t="s">
        <v>26</v>
      </c>
      <c r="AM278" t="s">
        <v>26</v>
      </c>
      <c r="AN278" s="44" t="s">
        <v>1530</v>
      </c>
      <c r="AO278" t="s">
        <v>1096</v>
      </c>
      <c r="AP278" t="s">
        <v>1100</v>
      </c>
    </row>
    <row r="279" spans="1:42">
      <c r="A279" s="47"/>
      <c r="B279" s="26" t="s">
        <v>2178</v>
      </c>
      <c r="C279" s="26"/>
      <c r="D279" s="26"/>
      <c r="E279" s="26"/>
      <c r="F279" s="26"/>
      <c r="G279" s="27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7">
        <v>4</v>
      </c>
      <c r="AA279" t="s">
        <v>14</v>
      </c>
      <c r="AB279" t="s">
        <v>26</v>
      </c>
      <c r="AC279" t="s">
        <v>26</v>
      </c>
      <c r="AD279" t="s">
        <v>26</v>
      </c>
      <c r="AE279" t="s">
        <v>26</v>
      </c>
      <c r="AF279" t="s">
        <v>26</v>
      </c>
      <c r="AG279" t="s">
        <v>26</v>
      </c>
      <c r="AH279" t="s">
        <v>224</v>
      </c>
      <c r="AI279" t="s">
        <v>26</v>
      </c>
      <c r="AJ279" t="s">
        <v>26</v>
      </c>
      <c r="AK279" t="s">
        <v>26</v>
      </c>
      <c r="AL279" t="s">
        <v>26</v>
      </c>
      <c r="AM279" t="s">
        <v>26</v>
      </c>
      <c r="AN279" s="44" t="s">
        <v>1530</v>
      </c>
      <c r="AO279" t="s">
        <v>1096</v>
      </c>
      <c r="AP279" t="s">
        <v>1100</v>
      </c>
    </row>
    <row r="280" spans="1:42">
      <c r="A280" s="47"/>
      <c r="B280" s="26" t="s">
        <v>2178</v>
      </c>
      <c r="C280" s="26"/>
      <c r="D280" s="26"/>
      <c r="E280" s="26"/>
      <c r="F280" s="26"/>
      <c r="G280" s="27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7">
        <v>4</v>
      </c>
      <c r="AA280" t="s">
        <v>14</v>
      </c>
      <c r="AB280" t="s">
        <v>26</v>
      </c>
      <c r="AC280" t="s">
        <v>26</v>
      </c>
      <c r="AD280" t="s">
        <v>26</v>
      </c>
      <c r="AE280" t="s">
        <v>26</v>
      </c>
      <c r="AF280" t="s">
        <v>26</v>
      </c>
      <c r="AG280" t="s">
        <v>26</v>
      </c>
      <c r="AH280" t="s">
        <v>243</v>
      </c>
      <c r="AI280" t="s">
        <v>26</v>
      </c>
      <c r="AJ280" t="s">
        <v>26</v>
      </c>
      <c r="AK280" t="s">
        <v>26</v>
      </c>
      <c r="AL280" t="s">
        <v>26</v>
      </c>
      <c r="AM280" t="s">
        <v>26</v>
      </c>
      <c r="AN280" s="44" t="s">
        <v>1530</v>
      </c>
      <c r="AO280">
        <v>6</v>
      </c>
      <c r="AP280">
        <v>4</v>
      </c>
    </row>
    <row r="281" spans="1:42">
      <c r="A281" s="47"/>
      <c r="B281" s="26" t="s">
        <v>2178</v>
      </c>
      <c r="C281" s="27"/>
      <c r="D281" s="26"/>
      <c r="E281" s="27"/>
      <c r="F281" s="27"/>
      <c r="G281" s="27"/>
      <c r="H281" s="27"/>
      <c r="I281" s="27"/>
      <c r="J281" s="27"/>
      <c r="K281" s="27"/>
      <c r="L281" s="26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>
        <v>4</v>
      </c>
      <c r="AA281" t="s">
        <v>14</v>
      </c>
      <c r="AB281" t="s">
        <v>26</v>
      </c>
      <c r="AC281" t="s">
        <v>26</v>
      </c>
      <c r="AD281" t="s">
        <v>26</v>
      </c>
      <c r="AE281" t="s">
        <v>26</v>
      </c>
      <c r="AF281" t="s">
        <v>26</v>
      </c>
      <c r="AG281" t="s">
        <v>26</v>
      </c>
      <c r="AH281" t="s">
        <v>111</v>
      </c>
      <c r="AI281" t="s">
        <v>26</v>
      </c>
      <c r="AJ281" t="s">
        <v>26</v>
      </c>
      <c r="AK281" t="s">
        <v>26</v>
      </c>
      <c r="AL281" t="s">
        <v>26</v>
      </c>
      <c r="AM281" t="s">
        <v>26</v>
      </c>
      <c r="AN281" s="44" t="s">
        <v>1530</v>
      </c>
      <c r="AO281">
        <v>2</v>
      </c>
      <c r="AP281">
        <v>2</v>
      </c>
    </row>
    <row r="282" spans="1:42">
      <c r="A282" s="47"/>
      <c r="B282" s="26" t="s">
        <v>2178</v>
      </c>
      <c r="C282" s="27"/>
      <c r="D282" s="26"/>
      <c r="E282" s="27"/>
      <c r="F282" s="27"/>
      <c r="G282" s="27"/>
      <c r="H282" s="27"/>
      <c r="I282" s="27"/>
      <c r="J282" s="27"/>
      <c r="K282" s="27"/>
      <c r="L282" s="26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>
        <v>4</v>
      </c>
      <c r="AA282" t="s">
        <v>14</v>
      </c>
      <c r="AB282" t="s">
        <v>26</v>
      </c>
      <c r="AC282" t="s">
        <v>26</v>
      </c>
      <c r="AD282" t="s">
        <v>26</v>
      </c>
      <c r="AE282" t="s">
        <v>26</v>
      </c>
      <c r="AF282" t="s">
        <v>26</v>
      </c>
      <c r="AG282" t="s">
        <v>26</v>
      </c>
      <c r="AH282" t="s">
        <v>37</v>
      </c>
      <c r="AI282" t="s">
        <v>26</v>
      </c>
      <c r="AJ282" t="s">
        <v>26</v>
      </c>
      <c r="AK282" t="s">
        <v>26</v>
      </c>
      <c r="AL282" t="s">
        <v>26</v>
      </c>
      <c r="AM282" t="s">
        <v>26</v>
      </c>
      <c r="AN282" s="44" t="s">
        <v>1530</v>
      </c>
      <c r="AO282">
        <v>8</v>
      </c>
      <c r="AP282">
        <v>8</v>
      </c>
    </row>
    <row r="283" spans="1:42" s="104" customFormat="1">
      <c r="A283" s="27"/>
      <c r="B283" s="26" t="s">
        <v>2178</v>
      </c>
      <c r="C283" s="26"/>
      <c r="D283" s="26" t="s">
        <v>2148</v>
      </c>
      <c r="E283" s="26"/>
      <c r="F283" s="26"/>
      <c r="G283" s="27"/>
      <c r="H283" s="26"/>
      <c r="I283" s="26"/>
      <c r="J283" s="26"/>
      <c r="K283" s="26"/>
      <c r="L283" s="26"/>
      <c r="M283" s="26">
        <v>920002481</v>
      </c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 t="s">
        <v>2150</v>
      </c>
      <c r="Z283" s="27">
        <v>3</v>
      </c>
      <c r="AA283" t="s">
        <v>1840</v>
      </c>
      <c r="AB283" s="104" t="s">
        <v>1145</v>
      </c>
      <c r="AC283" s="104" t="s">
        <v>26</v>
      </c>
      <c r="AD283" s="104" t="s">
        <v>1143</v>
      </c>
      <c r="AE283" s="104" t="s">
        <v>1144</v>
      </c>
      <c r="AF283" s="104" t="s">
        <v>1146</v>
      </c>
      <c r="AG283" s="104" t="s">
        <v>1147</v>
      </c>
      <c r="AH283" s="104" t="s">
        <v>1841</v>
      </c>
      <c r="AI283" s="104" t="s">
        <v>1842</v>
      </c>
      <c r="AJ283" s="104" t="s">
        <v>26</v>
      </c>
      <c r="AK283" s="104" t="s">
        <v>1544</v>
      </c>
      <c r="AL283" s="104" t="s">
        <v>1888</v>
      </c>
      <c r="AM283" s="104" t="s">
        <v>1889</v>
      </c>
      <c r="AN283" s="157" t="s">
        <v>1530</v>
      </c>
      <c r="AO283" t="s">
        <v>1096</v>
      </c>
      <c r="AP283" t="s">
        <v>26</v>
      </c>
    </row>
    <row r="284" spans="1:42">
      <c r="A284" s="178"/>
      <c r="B284" s="179" t="s">
        <v>2178</v>
      </c>
      <c r="C284" s="179"/>
      <c r="D284" s="179" t="s">
        <v>2148</v>
      </c>
      <c r="E284" s="179"/>
      <c r="F284" s="179"/>
      <c r="G284" s="178"/>
      <c r="H284" s="179"/>
      <c r="I284" s="179"/>
      <c r="J284" s="179"/>
      <c r="K284" s="179"/>
      <c r="L284" s="179"/>
      <c r="M284" s="183">
        <v>920002482</v>
      </c>
      <c r="N284" s="179"/>
      <c r="O284" s="179"/>
      <c r="P284" s="179"/>
      <c r="Q284" s="179"/>
      <c r="R284" s="179"/>
      <c r="S284" s="179"/>
      <c r="T284" s="179"/>
      <c r="U284" s="179"/>
      <c r="V284" s="179"/>
      <c r="W284" s="179"/>
      <c r="X284" s="179"/>
      <c r="Y284" s="179" t="s">
        <v>2150</v>
      </c>
      <c r="Z284" s="178">
        <v>3</v>
      </c>
      <c r="AA284" s="181" t="s">
        <v>2371</v>
      </c>
      <c r="AB284" s="181" t="s">
        <v>1145</v>
      </c>
      <c r="AC284" s="181" t="s">
        <v>26</v>
      </c>
      <c r="AD284" s="181" t="s">
        <v>1143</v>
      </c>
      <c r="AE284" s="181" t="s">
        <v>1144</v>
      </c>
      <c r="AF284" s="181" t="s">
        <v>1146</v>
      </c>
      <c r="AG284" s="181" t="s">
        <v>1147</v>
      </c>
      <c r="AH284" s="181" t="s">
        <v>1841</v>
      </c>
      <c r="AI284" s="181" t="s">
        <v>1842</v>
      </c>
      <c r="AJ284" s="181" t="s">
        <v>26</v>
      </c>
      <c r="AK284" s="181" t="s">
        <v>1544</v>
      </c>
      <c r="AL284" s="181" t="s">
        <v>1888</v>
      </c>
      <c r="AM284" s="181" t="s">
        <v>1889</v>
      </c>
      <c r="AN284" s="182" t="s">
        <v>1530</v>
      </c>
      <c r="AO284" s="181">
        <v>0</v>
      </c>
      <c r="AP284" s="181" t="s">
        <v>26</v>
      </c>
    </row>
    <row r="285" spans="1:42">
      <c r="A285" s="47"/>
      <c r="B285" s="26" t="s">
        <v>2178</v>
      </c>
      <c r="C285" s="26"/>
      <c r="D285" s="26" t="s">
        <v>2148</v>
      </c>
      <c r="E285" s="26"/>
      <c r="F285" s="26"/>
      <c r="G285" s="27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 t="s">
        <v>2150</v>
      </c>
      <c r="Z285" s="27">
        <v>3</v>
      </c>
      <c r="AA285" t="s">
        <v>1890</v>
      </c>
      <c r="AB285" t="s">
        <v>1106</v>
      </c>
      <c r="AC285" t="s">
        <v>26</v>
      </c>
      <c r="AD285" t="s">
        <v>1105</v>
      </c>
      <c r="AE285" t="s">
        <v>1105</v>
      </c>
      <c r="AF285" t="s">
        <v>1107</v>
      </c>
      <c r="AG285" t="s">
        <v>1109</v>
      </c>
      <c r="AH285" t="s">
        <v>1891</v>
      </c>
      <c r="AI285" t="s">
        <v>1892</v>
      </c>
      <c r="AJ285" t="s">
        <v>26</v>
      </c>
      <c r="AK285" t="s">
        <v>1544</v>
      </c>
      <c r="AL285" t="s">
        <v>1893</v>
      </c>
      <c r="AM285" t="s">
        <v>1894</v>
      </c>
      <c r="AN285" s="44" t="s">
        <v>1530</v>
      </c>
      <c r="AO285" t="s">
        <v>1096</v>
      </c>
      <c r="AP285" t="s">
        <v>1100</v>
      </c>
    </row>
    <row r="286" spans="1:42">
      <c r="A286" s="47"/>
      <c r="B286" s="26" t="s">
        <v>2178</v>
      </c>
      <c r="C286" s="26"/>
      <c r="D286" s="26" t="s">
        <v>2196</v>
      </c>
      <c r="E286" s="26"/>
      <c r="F286" s="26"/>
      <c r="G286" s="27"/>
      <c r="H286" s="26"/>
      <c r="I286" s="26"/>
      <c r="J286" s="26" t="s">
        <v>2216</v>
      </c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 t="s">
        <v>2150</v>
      </c>
      <c r="Z286" s="27">
        <v>3</v>
      </c>
      <c r="AA286" t="s">
        <v>1591</v>
      </c>
      <c r="AB286" t="s">
        <v>1895</v>
      </c>
      <c r="AC286" t="s">
        <v>26</v>
      </c>
      <c r="AD286" t="s">
        <v>26</v>
      </c>
      <c r="AE286" t="s">
        <v>1896</v>
      </c>
      <c r="AF286" t="s">
        <v>1895</v>
      </c>
      <c r="AG286" t="s">
        <v>1615</v>
      </c>
      <c r="AH286" t="s">
        <v>1595</v>
      </c>
      <c r="AI286" t="s">
        <v>26</v>
      </c>
      <c r="AJ286" t="s">
        <v>152</v>
      </c>
      <c r="AK286" t="s">
        <v>1596</v>
      </c>
      <c r="AL286" t="s">
        <v>26</v>
      </c>
      <c r="AM286" t="s">
        <v>26</v>
      </c>
      <c r="AN286" s="44" t="s">
        <v>1530</v>
      </c>
      <c r="AO286" t="s">
        <v>1096</v>
      </c>
      <c r="AP286" t="s">
        <v>1100</v>
      </c>
    </row>
    <row r="287" spans="1:42">
      <c r="A287" s="47"/>
      <c r="B287" s="26" t="s">
        <v>2178</v>
      </c>
      <c r="C287" s="26"/>
      <c r="D287" s="26" t="s">
        <v>2148</v>
      </c>
      <c r="E287" s="26"/>
      <c r="F287" s="26"/>
      <c r="G287" s="27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 t="s">
        <v>2150</v>
      </c>
      <c r="Z287" s="27">
        <v>3</v>
      </c>
      <c r="AA287" t="s">
        <v>1644</v>
      </c>
      <c r="AB287" t="s">
        <v>1126</v>
      </c>
      <c r="AC287" t="s">
        <v>26</v>
      </c>
      <c r="AD287" t="s">
        <v>32</v>
      </c>
      <c r="AE287" t="s">
        <v>33</v>
      </c>
      <c r="AF287" t="s">
        <v>1127</v>
      </c>
      <c r="AG287" t="s">
        <v>1128</v>
      </c>
      <c r="AH287" t="s">
        <v>1645</v>
      </c>
      <c r="AI287" t="s">
        <v>1646</v>
      </c>
      <c r="AJ287" t="s">
        <v>26</v>
      </c>
      <c r="AK287" t="s">
        <v>1544</v>
      </c>
      <c r="AL287" t="s">
        <v>1642</v>
      </c>
      <c r="AM287" t="s">
        <v>1643</v>
      </c>
      <c r="AN287" s="44" t="s">
        <v>1530</v>
      </c>
      <c r="AO287" t="s">
        <v>1096</v>
      </c>
      <c r="AP287" t="s">
        <v>1100</v>
      </c>
    </row>
    <row r="288" spans="1:42">
      <c r="A288" s="47"/>
      <c r="B288" s="26" t="s">
        <v>2178</v>
      </c>
      <c r="C288" s="26"/>
      <c r="D288" s="26" t="s">
        <v>2148</v>
      </c>
      <c r="E288" s="26"/>
      <c r="F288" s="26"/>
      <c r="G288" s="27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 t="s">
        <v>2150</v>
      </c>
      <c r="Z288" s="27">
        <v>3</v>
      </c>
      <c r="AA288" t="s">
        <v>1897</v>
      </c>
      <c r="AB288" t="s">
        <v>1898</v>
      </c>
      <c r="AC288" t="s">
        <v>26</v>
      </c>
      <c r="AD288" t="s">
        <v>26</v>
      </c>
      <c r="AE288" t="s">
        <v>26</v>
      </c>
      <c r="AF288" t="s">
        <v>1898</v>
      </c>
      <c r="AG288" t="s">
        <v>1899</v>
      </c>
      <c r="AH288" t="s">
        <v>1900</v>
      </c>
      <c r="AI288" t="s">
        <v>26</v>
      </c>
      <c r="AJ288" t="s">
        <v>26</v>
      </c>
      <c r="AK288" t="s">
        <v>26</v>
      </c>
      <c r="AL288" t="s">
        <v>26</v>
      </c>
      <c r="AM288" t="s">
        <v>26</v>
      </c>
      <c r="AN288" s="44" t="s">
        <v>1530</v>
      </c>
      <c r="AO288" t="s">
        <v>1096</v>
      </c>
      <c r="AP288" t="s">
        <v>1100</v>
      </c>
    </row>
    <row r="289" spans="1:43">
      <c r="A289" s="47"/>
      <c r="B289" s="26" t="s">
        <v>2179</v>
      </c>
      <c r="C289" s="26"/>
      <c r="D289" s="26"/>
      <c r="E289" s="26"/>
      <c r="F289" s="26"/>
      <c r="G289" s="27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7">
        <v>1</v>
      </c>
      <c r="AA289" t="s">
        <v>1150</v>
      </c>
    </row>
    <row r="290" spans="1:43">
      <c r="A290" s="47"/>
      <c r="B290" s="26" t="s">
        <v>2179</v>
      </c>
      <c r="C290" s="26"/>
      <c r="D290" s="26"/>
      <c r="E290" s="26"/>
      <c r="F290" s="26"/>
      <c r="G290" s="27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7">
        <v>2</v>
      </c>
      <c r="AA290" t="s">
        <v>1</v>
      </c>
      <c r="AB290" t="s">
        <v>1151</v>
      </c>
      <c r="AC290" t="s">
        <v>1152</v>
      </c>
      <c r="AD290" t="s">
        <v>1153</v>
      </c>
      <c r="AE290" t="s">
        <v>4</v>
      </c>
    </row>
    <row r="291" spans="1:43">
      <c r="A291" s="47">
        <v>506</v>
      </c>
      <c r="B291" s="26" t="s">
        <v>2179</v>
      </c>
      <c r="C291" s="26"/>
      <c r="D291" s="26"/>
      <c r="E291" s="26"/>
      <c r="F291" s="26"/>
      <c r="G291" s="27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7">
        <v>2</v>
      </c>
      <c r="AA291" t="s">
        <v>509</v>
      </c>
      <c r="AB291" t="s">
        <v>1155</v>
      </c>
      <c r="AC291" t="s">
        <v>1156</v>
      </c>
      <c r="AD291" s="146" t="s">
        <v>2336</v>
      </c>
      <c r="AE291" t="s">
        <v>4</v>
      </c>
    </row>
    <row r="292" spans="1:43">
      <c r="A292" s="47">
        <v>506</v>
      </c>
      <c r="B292" s="26" t="s">
        <v>2179</v>
      </c>
      <c r="C292" s="26"/>
      <c r="D292" s="26"/>
      <c r="E292" s="26"/>
      <c r="F292" s="26"/>
      <c r="G292" s="27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7">
        <v>2</v>
      </c>
      <c r="AA292" t="s">
        <v>512</v>
      </c>
      <c r="AB292" t="s">
        <v>1158</v>
      </c>
      <c r="AC292" t="s">
        <v>1159</v>
      </c>
      <c r="AD292" s="146" t="s">
        <v>2336</v>
      </c>
      <c r="AE292" t="s">
        <v>4</v>
      </c>
    </row>
    <row r="293" spans="1:43">
      <c r="A293" s="47"/>
      <c r="B293" s="26" t="s">
        <v>2179</v>
      </c>
      <c r="C293" s="26"/>
      <c r="D293" s="26"/>
      <c r="E293" s="26"/>
      <c r="F293" s="26"/>
      <c r="G293" s="27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7">
        <v>0</v>
      </c>
      <c r="AA293" t="s">
        <v>1512</v>
      </c>
      <c r="AB293" t="s">
        <v>1513</v>
      </c>
      <c r="AC293" t="s">
        <v>1514</v>
      </c>
      <c r="AD293" t="s">
        <v>9</v>
      </c>
      <c r="AE293" t="s">
        <v>9</v>
      </c>
      <c r="AF293" t="s">
        <v>11</v>
      </c>
      <c r="AG293" t="s">
        <v>13</v>
      </c>
      <c r="AH293" t="s">
        <v>1515</v>
      </c>
      <c r="AI293" t="s">
        <v>1516</v>
      </c>
      <c r="AJ293" t="s">
        <v>1517</v>
      </c>
      <c r="AK293" t="s">
        <v>22</v>
      </c>
      <c r="AL293" t="s">
        <v>1518</v>
      </c>
      <c r="AM293" t="s">
        <v>1519</v>
      </c>
      <c r="AN293" s="44" t="s">
        <v>1520</v>
      </c>
      <c r="AO293" t="s">
        <v>1</v>
      </c>
      <c r="AP293" t="s">
        <v>509</v>
      </c>
      <c r="AQ293" t="s">
        <v>512</v>
      </c>
    </row>
    <row r="294" spans="1:43">
      <c r="A294" s="47"/>
      <c r="B294" s="26" t="s">
        <v>2179</v>
      </c>
      <c r="C294" s="26"/>
      <c r="D294" s="26"/>
      <c r="E294" s="26"/>
      <c r="F294" s="26"/>
      <c r="G294" s="27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7">
        <v>4</v>
      </c>
      <c r="AA294" t="s">
        <v>1524</v>
      </c>
      <c r="AB294" t="s">
        <v>26</v>
      </c>
      <c r="AC294" t="s">
        <v>26</v>
      </c>
      <c r="AD294" t="s">
        <v>26</v>
      </c>
      <c r="AE294" t="s">
        <v>26</v>
      </c>
      <c r="AF294" t="s">
        <v>26</v>
      </c>
      <c r="AG294" t="s">
        <v>26</v>
      </c>
      <c r="AH294" t="s">
        <v>1525</v>
      </c>
      <c r="AI294" t="s">
        <v>26</v>
      </c>
      <c r="AJ294" t="s">
        <v>26</v>
      </c>
      <c r="AK294" t="s">
        <v>26</v>
      </c>
      <c r="AL294" t="s">
        <v>26</v>
      </c>
      <c r="AM294" t="s">
        <v>26</v>
      </c>
      <c r="AN294" s="44" t="s">
        <v>1523</v>
      </c>
      <c r="AO294">
        <v>705</v>
      </c>
      <c r="AP294">
        <v>705</v>
      </c>
      <c r="AQ294">
        <v>705</v>
      </c>
    </row>
    <row r="295" spans="1:43">
      <c r="A295" s="47"/>
      <c r="B295" s="26" t="s">
        <v>2179</v>
      </c>
      <c r="C295" s="26"/>
      <c r="D295" s="26"/>
      <c r="E295" s="26"/>
      <c r="F295" s="26"/>
      <c r="G295" s="27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7">
        <v>4</v>
      </c>
      <c r="AA295" t="s">
        <v>1524</v>
      </c>
      <c r="AB295" t="s">
        <v>26</v>
      </c>
      <c r="AC295" t="s">
        <v>26</v>
      </c>
      <c r="AD295" t="s">
        <v>26</v>
      </c>
      <c r="AE295" t="s">
        <v>26</v>
      </c>
      <c r="AF295" t="s">
        <v>26</v>
      </c>
      <c r="AG295" t="s">
        <v>26</v>
      </c>
      <c r="AH295" t="s">
        <v>1527</v>
      </c>
      <c r="AI295" t="s">
        <v>26</v>
      </c>
      <c r="AJ295" t="s">
        <v>26</v>
      </c>
      <c r="AK295" t="s">
        <v>26</v>
      </c>
      <c r="AL295" t="s">
        <v>26</v>
      </c>
      <c r="AM295" t="s">
        <v>26</v>
      </c>
      <c r="AN295" s="44" t="s">
        <v>1523</v>
      </c>
      <c r="AO295">
        <v>4722</v>
      </c>
      <c r="AP295">
        <v>4722</v>
      </c>
      <c r="AQ295">
        <v>4722</v>
      </c>
    </row>
    <row r="296" spans="1:43">
      <c r="A296" s="47"/>
      <c r="B296" s="26" t="s">
        <v>2179</v>
      </c>
      <c r="C296" s="26"/>
      <c r="D296" s="26"/>
      <c r="E296" s="26"/>
      <c r="F296" s="26"/>
      <c r="G296" s="27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7">
        <v>4</v>
      </c>
      <c r="AA296" t="s">
        <v>14</v>
      </c>
      <c r="AB296" t="s">
        <v>26</v>
      </c>
      <c r="AC296" t="s">
        <v>26</v>
      </c>
      <c r="AD296" t="s">
        <v>26</v>
      </c>
      <c r="AE296" t="s">
        <v>26</v>
      </c>
      <c r="AF296" t="s">
        <v>26</v>
      </c>
      <c r="AG296" t="s">
        <v>26</v>
      </c>
      <c r="AH296" t="s">
        <v>409</v>
      </c>
      <c r="AI296" t="s">
        <v>26</v>
      </c>
      <c r="AJ296" t="s">
        <v>26</v>
      </c>
      <c r="AK296" t="s">
        <v>26</v>
      </c>
      <c r="AL296" t="s">
        <v>26</v>
      </c>
      <c r="AM296" t="s">
        <v>26</v>
      </c>
      <c r="AN296" s="44" t="s">
        <v>1530</v>
      </c>
      <c r="AO296">
        <v>5</v>
      </c>
      <c r="AP296">
        <v>4</v>
      </c>
      <c r="AQ296">
        <v>4</v>
      </c>
    </row>
    <row r="297" spans="1:43">
      <c r="A297" s="47"/>
      <c r="B297" s="26" t="s">
        <v>2179</v>
      </c>
      <c r="C297" s="26"/>
      <c r="D297" s="26"/>
      <c r="E297" s="26"/>
      <c r="F297" s="26"/>
      <c r="G297" s="27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7">
        <v>4</v>
      </c>
      <c r="AA297" t="s">
        <v>14</v>
      </c>
      <c r="AB297" t="s">
        <v>26</v>
      </c>
      <c r="AC297" t="s">
        <v>26</v>
      </c>
      <c r="AD297" t="s">
        <v>26</v>
      </c>
      <c r="AE297" t="s">
        <v>26</v>
      </c>
      <c r="AF297" t="s">
        <v>26</v>
      </c>
      <c r="AG297" t="s">
        <v>26</v>
      </c>
      <c r="AH297" t="s">
        <v>1163</v>
      </c>
      <c r="AI297" t="s">
        <v>26</v>
      </c>
      <c r="AJ297" t="s">
        <v>26</v>
      </c>
      <c r="AK297" t="s">
        <v>26</v>
      </c>
      <c r="AL297" t="s">
        <v>26</v>
      </c>
      <c r="AM297" t="s">
        <v>26</v>
      </c>
      <c r="AN297" s="44" t="s">
        <v>1530</v>
      </c>
      <c r="AO297">
        <v>3</v>
      </c>
      <c r="AP297">
        <v>2</v>
      </c>
      <c r="AQ297">
        <v>2</v>
      </c>
    </row>
    <row r="298" spans="1:43">
      <c r="A298" s="47"/>
      <c r="B298" s="26" t="s">
        <v>2179</v>
      </c>
      <c r="C298" s="26"/>
      <c r="D298" s="26"/>
      <c r="E298" s="26"/>
      <c r="F298" s="26"/>
      <c r="G298" s="27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7">
        <v>4</v>
      </c>
      <c r="AA298" t="s">
        <v>14</v>
      </c>
      <c r="AB298" t="s">
        <v>26</v>
      </c>
      <c r="AC298" t="s">
        <v>26</v>
      </c>
      <c r="AD298" t="s">
        <v>26</v>
      </c>
      <c r="AE298" t="s">
        <v>26</v>
      </c>
      <c r="AF298" t="s">
        <v>26</v>
      </c>
      <c r="AG298" t="s">
        <v>26</v>
      </c>
      <c r="AH298" t="s">
        <v>59</v>
      </c>
      <c r="AI298" t="s">
        <v>26</v>
      </c>
      <c r="AJ298" t="s">
        <v>26</v>
      </c>
      <c r="AK298" t="s">
        <v>26</v>
      </c>
      <c r="AL298" t="s">
        <v>26</v>
      </c>
      <c r="AM298" t="s">
        <v>26</v>
      </c>
      <c r="AN298" s="44" t="s">
        <v>1530</v>
      </c>
      <c r="AO298">
        <v>5</v>
      </c>
      <c r="AP298">
        <v>4</v>
      </c>
      <c r="AQ298">
        <v>4</v>
      </c>
    </row>
    <row r="299" spans="1:43">
      <c r="A299" s="47"/>
      <c r="B299" s="26" t="s">
        <v>2179</v>
      </c>
      <c r="C299" s="26"/>
      <c r="D299" s="26"/>
      <c r="E299" s="26"/>
      <c r="F299" s="26"/>
      <c r="G299" s="27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7">
        <v>4</v>
      </c>
      <c r="AA299" t="s">
        <v>14</v>
      </c>
      <c r="AB299" t="s">
        <v>26</v>
      </c>
      <c r="AC299" t="s">
        <v>26</v>
      </c>
      <c r="AD299" t="s">
        <v>26</v>
      </c>
      <c r="AE299" t="s">
        <v>26</v>
      </c>
      <c r="AF299" t="s">
        <v>26</v>
      </c>
      <c r="AG299" t="s">
        <v>26</v>
      </c>
      <c r="AH299" t="s">
        <v>1172</v>
      </c>
      <c r="AI299" t="s">
        <v>26</v>
      </c>
      <c r="AJ299" t="s">
        <v>26</v>
      </c>
      <c r="AK299" t="s">
        <v>26</v>
      </c>
      <c r="AL299" t="s">
        <v>26</v>
      </c>
      <c r="AM299" t="s">
        <v>26</v>
      </c>
      <c r="AN299" s="44" t="s">
        <v>1530</v>
      </c>
      <c r="AO299">
        <v>3</v>
      </c>
      <c r="AP299">
        <v>2</v>
      </c>
      <c r="AQ299">
        <v>2</v>
      </c>
    </row>
    <row r="300" spans="1:43">
      <c r="A300" s="47"/>
      <c r="B300" s="26" t="s">
        <v>2179</v>
      </c>
      <c r="C300" s="26"/>
      <c r="D300" s="26" t="s">
        <v>2159</v>
      </c>
      <c r="E300" s="26" t="s">
        <v>2195</v>
      </c>
      <c r="F300" s="26"/>
      <c r="G300" s="27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 t="s">
        <v>2161</v>
      </c>
      <c r="Z300" s="27">
        <v>3</v>
      </c>
      <c r="AA300" t="s">
        <v>1855</v>
      </c>
      <c r="AB300" t="s">
        <v>1211</v>
      </c>
      <c r="AC300" t="s">
        <v>26</v>
      </c>
      <c r="AD300" t="s">
        <v>1210</v>
      </c>
      <c r="AE300" t="s">
        <v>1210</v>
      </c>
      <c r="AF300" t="s">
        <v>1212</v>
      </c>
      <c r="AG300" t="s">
        <v>1213</v>
      </c>
      <c r="AH300" t="s">
        <v>1856</v>
      </c>
      <c r="AI300" t="s">
        <v>1549</v>
      </c>
      <c r="AJ300" t="s">
        <v>26</v>
      </c>
      <c r="AK300" t="s">
        <v>1857</v>
      </c>
      <c r="AL300" t="s">
        <v>1901</v>
      </c>
      <c r="AM300" t="s">
        <v>26</v>
      </c>
      <c r="AN300" s="44" t="s">
        <v>1530</v>
      </c>
      <c r="AO300" t="s">
        <v>1151</v>
      </c>
      <c r="AP300" t="s">
        <v>1155</v>
      </c>
      <c r="AQ300" t="s">
        <v>1158</v>
      </c>
    </row>
    <row r="301" spans="1:43">
      <c r="A301" s="47"/>
      <c r="B301" s="26" t="s">
        <v>2179</v>
      </c>
      <c r="C301" s="26"/>
      <c r="D301" s="26" t="s">
        <v>2159</v>
      </c>
      <c r="E301" s="26" t="s">
        <v>2195</v>
      </c>
      <c r="F301" s="26"/>
      <c r="G301" s="27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 t="s">
        <v>2161</v>
      </c>
      <c r="Z301" s="27">
        <v>3</v>
      </c>
      <c r="AA301" t="s">
        <v>1902</v>
      </c>
      <c r="AB301" t="s">
        <v>1187</v>
      </c>
      <c r="AC301" t="s">
        <v>26</v>
      </c>
      <c r="AD301" t="s">
        <v>1175</v>
      </c>
      <c r="AE301" t="s">
        <v>1186</v>
      </c>
      <c r="AF301" t="s">
        <v>1188</v>
      </c>
      <c r="AG301" t="s">
        <v>1189</v>
      </c>
      <c r="AH301" t="s">
        <v>1903</v>
      </c>
      <c r="AI301" t="s">
        <v>1904</v>
      </c>
      <c r="AJ301" t="s">
        <v>26</v>
      </c>
      <c r="AK301" t="s">
        <v>1885</v>
      </c>
      <c r="AL301" t="s">
        <v>1905</v>
      </c>
      <c r="AM301" t="s">
        <v>1906</v>
      </c>
      <c r="AN301" s="44" t="s">
        <v>1530</v>
      </c>
      <c r="AO301" t="s">
        <v>26</v>
      </c>
      <c r="AP301" t="s">
        <v>26</v>
      </c>
      <c r="AQ301" t="s">
        <v>1158</v>
      </c>
    </row>
    <row r="302" spans="1:43" ht="30" customHeight="1">
      <c r="A302" s="47"/>
      <c r="B302" s="26" t="s">
        <v>2179</v>
      </c>
      <c r="C302" s="26"/>
      <c r="D302" s="26" t="s">
        <v>2159</v>
      </c>
      <c r="E302" s="26" t="s">
        <v>2195</v>
      </c>
      <c r="F302" s="26"/>
      <c r="G302" s="27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 t="s">
        <v>2161</v>
      </c>
      <c r="Z302" s="27">
        <v>3</v>
      </c>
      <c r="AA302" t="s">
        <v>1907</v>
      </c>
      <c r="AB302" t="s">
        <v>1226</v>
      </c>
      <c r="AC302" t="s">
        <v>26</v>
      </c>
      <c r="AD302" t="s">
        <v>1175</v>
      </c>
      <c r="AE302" t="s">
        <v>1225</v>
      </c>
      <c r="AF302" t="s">
        <v>1227</v>
      </c>
      <c r="AG302" t="s">
        <v>1228</v>
      </c>
      <c r="AH302" t="s">
        <v>1908</v>
      </c>
      <c r="AI302" t="s">
        <v>1904</v>
      </c>
      <c r="AJ302" t="s">
        <v>26</v>
      </c>
      <c r="AK302" t="s">
        <v>1873</v>
      </c>
      <c r="AL302" t="s">
        <v>1909</v>
      </c>
      <c r="AM302" s="1" t="s">
        <v>1910</v>
      </c>
      <c r="AN302" s="44" t="s">
        <v>1530</v>
      </c>
      <c r="AO302" t="s">
        <v>1151</v>
      </c>
      <c r="AP302" t="s">
        <v>26</v>
      </c>
      <c r="AQ302" t="s">
        <v>26</v>
      </c>
    </row>
    <row r="303" spans="1:43" ht="30">
      <c r="A303" s="47"/>
      <c r="B303" s="26" t="s">
        <v>2179</v>
      </c>
      <c r="C303" s="26"/>
      <c r="D303" s="26" t="s">
        <v>2159</v>
      </c>
      <c r="E303" s="26" t="s">
        <v>2195</v>
      </c>
      <c r="F303" s="26"/>
      <c r="G303" s="27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 t="s">
        <v>2161</v>
      </c>
      <c r="Z303" s="27">
        <v>3</v>
      </c>
      <c r="AA303" t="s">
        <v>1911</v>
      </c>
      <c r="AB303" t="s">
        <v>1177</v>
      </c>
      <c r="AC303" t="s">
        <v>26</v>
      </c>
      <c r="AD303" t="s">
        <v>1175</v>
      </c>
      <c r="AE303" t="s">
        <v>1176</v>
      </c>
      <c r="AF303" t="s">
        <v>1178</v>
      </c>
      <c r="AG303" t="s">
        <v>1179</v>
      </c>
      <c r="AH303" t="s">
        <v>1912</v>
      </c>
      <c r="AI303" t="s">
        <v>1904</v>
      </c>
      <c r="AJ303" t="s">
        <v>26</v>
      </c>
      <c r="AK303" t="s">
        <v>1864</v>
      </c>
      <c r="AL303" t="s">
        <v>1913</v>
      </c>
      <c r="AM303" s="1" t="s">
        <v>1914</v>
      </c>
      <c r="AN303" s="44" t="s">
        <v>1530</v>
      </c>
      <c r="AO303" t="s">
        <v>26</v>
      </c>
      <c r="AP303" t="s">
        <v>1155</v>
      </c>
      <c r="AQ303" t="s">
        <v>26</v>
      </c>
    </row>
    <row r="304" spans="1:43">
      <c r="A304" s="47"/>
      <c r="B304" s="26" t="s">
        <v>2179</v>
      </c>
      <c r="C304" s="26"/>
      <c r="D304" s="26" t="s">
        <v>2159</v>
      </c>
      <c r="E304" s="26" t="s">
        <v>2195</v>
      </c>
      <c r="F304" s="26"/>
      <c r="G304" s="27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 t="s">
        <v>2161</v>
      </c>
      <c r="Z304" s="27">
        <v>3</v>
      </c>
      <c r="AA304" t="s">
        <v>1915</v>
      </c>
      <c r="AB304" t="s">
        <v>1204</v>
      </c>
      <c r="AC304" t="s">
        <v>26</v>
      </c>
      <c r="AD304" t="s">
        <v>1193</v>
      </c>
      <c r="AE304" t="s">
        <v>1203</v>
      </c>
      <c r="AF304" t="s">
        <v>1205</v>
      </c>
      <c r="AG304" t="s">
        <v>1206</v>
      </c>
      <c r="AH304" t="s">
        <v>1916</v>
      </c>
      <c r="AI304" t="s">
        <v>1549</v>
      </c>
      <c r="AJ304" t="s">
        <v>26</v>
      </c>
      <c r="AK304" t="s">
        <v>1876</v>
      </c>
      <c r="AL304" t="s">
        <v>1917</v>
      </c>
      <c r="AM304" t="s">
        <v>1918</v>
      </c>
      <c r="AN304" s="44" t="s">
        <v>1530</v>
      </c>
      <c r="AO304" t="s">
        <v>26</v>
      </c>
      <c r="AP304" t="s">
        <v>26</v>
      </c>
      <c r="AQ304" t="s">
        <v>1158</v>
      </c>
    </row>
    <row r="305" spans="1:43" ht="28.5" customHeight="1">
      <c r="A305" s="47"/>
      <c r="B305" s="26" t="s">
        <v>2179</v>
      </c>
      <c r="C305" s="26"/>
      <c r="D305" s="26" t="s">
        <v>2159</v>
      </c>
      <c r="E305" s="26" t="s">
        <v>2195</v>
      </c>
      <c r="F305" s="26"/>
      <c r="G305" s="27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 t="s">
        <v>2161</v>
      </c>
      <c r="Z305" s="27">
        <v>3</v>
      </c>
      <c r="AA305" t="s">
        <v>1919</v>
      </c>
      <c r="AB305" t="s">
        <v>1195</v>
      </c>
      <c r="AC305" t="s">
        <v>26</v>
      </c>
      <c r="AD305" t="s">
        <v>1193</v>
      </c>
      <c r="AE305" t="s">
        <v>1194</v>
      </c>
      <c r="AF305" t="s">
        <v>1196</v>
      </c>
      <c r="AG305" t="s">
        <v>1167</v>
      </c>
      <c r="AH305" t="s">
        <v>1920</v>
      </c>
      <c r="AI305" t="s">
        <v>1549</v>
      </c>
      <c r="AJ305" t="s">
        <v>26</v>
      </c>
      <c r="AK305" t="s">
        <v>1921</v>
      </c>
      <c r="AL305" t="s">
        <v>1922</v>
      </c>
      <c r="AM305" s="1" t="s">
        <v>1923</v>
      </c>
      <c r="AN305" s="44" t="s">
        <v>1530</v>
      </c>
      <c r="AO305" t="s">
        <v>26</v>
      </c>
      <c r="AP305" t="s">
        <v>1155</v>
      </c>
      <c r="AQ305" t="s">
        <v>26</v>
      </c>
    </row>
    <row r="306" spans="1:43" ht="29.25" customHeight="1">
      <c r="A306" s="47"/>
      <c r="B306" s="26" t="s">
        <v>2179</v>
      </c>
      <c r="C306" s="26"/>
      <c r="D306" s="26" t="s">
        <v>2159</v>
      </c>
      <c r="E306" s="26" t="s">
        <v>2195</v>
      </c>
      <c r="F306" s="26"/>
      <c r="G306" s="27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 t="s">
        <v>2161</v>
      </c>
      <c r="Z306" s="27">
        <v>3</v>
      </c>
      <c r="AA306" t="s">
        <v>1924</v>
      </c>
      <c r="AB306" t="s">
        <v>1165</v>
      </c>
      <c r="AC306" t="s">
        <v>26</v>
      </c>
      <c r="AD306" t="s">
        <v>1164</v>
      </c>
      <c r="AE306" t="s">
        <v>1164</v>
      </c>
      <c r="AF306" t="s">
        <v>1166</v>
      </c>
      <c r="AG306" t="s">
        <v>1167</v>
      </c>
      <c r="AH306" t="s">
        <v>1925</v>
      </c>
      <c r="AI306" t="s">
        <v>1904</v>
      </c>
      <c r="AJ306" t="s">
        <v>26</v>
      </c>
      <c r="AK306" t="s">
        <v>1544</v>
      </c>
      <c r="AL306" t="s">
        <v>1926</v>
      </c>
      <c r="AM306" s="1" t="s">
        <v>1927</v>
      </c>
      <c r="AN306" s="44" t="s">
        <v>1530</v>
      </c>
      <c r="AO306" t="s">
        <v>1151</v>
      </c>
      <c r="AP306" t="s">
        <v>26</v>
      </c>
      <c r="AQ306" t="s">
        <v>26</v>
      </c>
    </row>
    <row r="307" spans="1:43">
      <c r="A307" s="47"/>
      <c r="B307" s="26" t="s">
        <v>2179</v>
      </c>
      <c r="C307" s="26"/>
      <c r="D307" s="26" t="s">
        <v>2159</v>
      </c>
      <c r="E307" s="26" t="s">
        <v>2195</v>
      </c>
      <c r="F307" s="26"/>
      <c r="G307" s="27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 t="s">
        <v>2161</v>
      </c>
      <c r="Z307" s="27">
        <v>3</v>
      </c>
      <c r="AA307" t="s">
        <v>1928</v>
      </c>
      <c r="AB307" t="s">
        <v>1161</v>
      </c>
      <c r="AC307" t="s">
        <v>26</v>
      </c>
      <c r="AD307" t="s">
        <v>32</v>
      </c>
      <c r="AE307" t="s">
        <v>33</v>
      </c>
      <c r="AF307" t="s">
        <v>1162</v>
      </c>
      <c r="AG307" t="s">
        <v>1128</v>
      </c>
      <c r="AH307" t="s">
        <v>1929</v>
      </c>
      <c r="AI307" t="s">
        <v>1930</v>
      </c>
      <c r="AJ307" t="s">
        <v>26</v>
      </c>
      <c r="AK307" t="s">
        <v>1931</v>
      </c>
      <c r="AL307" t="s">
        <v>1642</v>
      </c>
      <c r="AM307" t="s">
        <v>1643</v>
      </c>
      <c r="AN307" s="44" t="s">
        <v>1530</v>
      </c>
      <c r="AO307" t="s">
        <v>1151</v>
      </c>
      <c r="AP307" t="s">
        <v>1155</v>
      </c>
      <c r="AQ307" t="s">
        <v>1158</v>
      </c>
    </row>
    <row r="308" spans="1:43">
      <c r="A308" s="47"/>
      <c r="B308" s="26" t="s">
        <v>2179</v>
      </c>
      <c r="C308" s="26"/>
      <c r="D308" s="26" t="s">
        <v>2159</v>
      </c>
      <c r="E308" s="26"/>
      <c r="F308" s="26"/>
      <c r="G308" s="27"/>
      <c r="H308" s="26" t="s">
        <v>2160</v>
      </c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2161</v>
      </c>
      <c r="Z308" s="27">
        <v>3</v>
      </c>
      <c r="AA308" t="s">
        <v>1686</v>
      </c>
      <c r="AB308" t="s">
        <v>1932</v>
      </c>
      <c r="AC308" t="s">
        <v>26</v>
      </c>
      <c r="AD308" t="s">
        <v>26</v>
      </c>
      <c r="AE308" t="s">
        <v>26</v>
      </c>
      <c r="AF308" t="s">
        <v>1932</v>
      </c>
      <c r="AG308" t="s">
        <v>1933</v>
      </c>
      <c r="AH308" t="s">
        <v>1689</v>
      </c>
      <c r="AI308" t="s">
        <v>26</v>
      </c>
      <c r="AJ308" t="s">
        <v>26</v>
      </c>
      <c r="AK308" t="s">
        <v>26</v>
      </c>
      <c r="AL308" t="s">
        <v>26</v>
      </c>
      <c r="AM308" t="s">
        <v>26</v>
      </c>
      <c r="AN308" s="44" t="s">
        <v>1530</v>
      </c>
      <c r="AO308" t="s">
        <v>1151</v>
      </c>
      <c r="AP308" t="s">
        <v>1155</v>
      </c>
      <c r="AQ308" t="s">
        <v>1158</v>
      </c>
    </row>
    <row r="309" spans="1:43">
      <c r="A309" s="47"/>
      <c r="B309" s="26" t="s">
        <v>2179</v>
      </c>
      <c r="C309" s="26"/>
      <c r="D309" s="26" t="s">
        <v>2159</v>
      </c>
      <c r="E309" s="26"/>
      <c r="F309" s="26"/>
      <c r="G309" s="27"/>
      <c r="H309" s="26" t="s">
        <v>2160</v>
      </c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 t="s">
        <v>2161</v>
      </c>
      <c r="Z309" s="27">
        <v>3</v>
      </c>
      <c r="AA309" t="s">
        <v>1686</v>
      </c>
      <c r="AB309" t="s">
        <v>1934</v>
      </c>
      <c r="AC309" t="s">
        <v>26</v>
      </c>
      <c r="AD309" t="s">
        <v>26</v>
      </c>
      <c r="AE309" t="s">
        <v>26</v>
      </c>
      <c r="AF309" t="s">
        <v>1934</v>
      </c>
      <c r="AG309" t="s">
        <v>1933</v>
      </c>
      <c r="AH309" t="s">
        <v>1689</v>
      </c>
      <c r="AI309" t="s">
        <v>26</v>
      </c>
      <c r="AJ309" t="s">
        <v>26</v>
      </c>
      <c r="AK309" t="s">
        <v>26</v>
      </c>
      <c r="AL309" t="s">
        <v>26</v>
      </c>
      <c r="AM309" t="s">
        <v>26</v>
      </c>
      <c r="AN309" s="44" t="s">
        <v>1530</v>
      </c>
      <c r="AO309" t="s">
        <v>1151</v>
      </c>
      <c r="AP309" t="s">
        <v>1155</v>
      </c>
      <c r="AQ309" t="s">
        <v>1158</v>
      </c>
    </row>
    <row r="310" spans="1:43">
      <c r="A310" s="47"/>
      <c r="B310" s="26" t="s">
        <v>2179</v>
      </c>
      <c r="C310" s="26"/>
      <c r="D310" s="26" t="s">
        <v>2159</v>
      </c>
      <c r="E310" s="26"/>
      <c r="F310" s="26"/>
      <c r="G310" s="27"/>
      <c r="H310" s="26" t="s">
        <v>2160</v>
      </c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 t="s">
        <v>2161</v>
      </c>
      <c r="Z310" s="27">
        <v>3</v>
      </c>
      <c r="AA310" t="s">
        <v>1686</v>
      </c>
      <c r="AB310" t="s">
        <v>1935</v>
      </c>
      <c r="AC310" t="s">
        <v>26</v>
      </c>
      <c r="AD310" t="s">
        <v>26</v>
      </c>
      <c r="AE310" t="s">
        <v>26</v>
      </c>
      <c r="AF310" t="s">
        <v>1935</v>
      </c>
      <c r="AG310" t="s">
        <v>1936</v>
      </c>
      <c r="AH310" t="s">
        <v>1689</v>
      </c>
      <c r="AI310" t="s">
        <v>26</v>
      </c>
      <c r="AJ310" t="s">
        <v>26</v>
      </c>
      <c r="AK310" t="s">
        <v>26</v>
      </c>
      <c r="AL310" t="s">
        <v>26</v>
      </c>
      <c r="AM310" t="s">
        <v>26</v>
      </c>
      <c r="AN310" s="44" t="s">
        <v>1530</v>
      </c>
      <c r="AO310" t="s">
        <v>1151</v>
      </c>
      <c r="AP310" t="s">
        <v>1155</v>
      </c>
      <c r="AQ310" t="s">
        <v>1158</v>
      </c>
    </row>
    <row r="311" spans="1:43">
      <c r="A311" s="47"/>
      <c r="B311" s="26" t="s">
        <v>2179</v>
      </c>
      <c r="C311" s="26"/>
      <c r="D311" s="26" t="s">
        <v>2159</v>
      </c>
      <c r="E311" s="26"/>
      <c r="F311" s="26"/>
      <c r="G311" s="27"/>
      <c r="H311" s="26" t="s">
        <v>2160</v>
      </c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 t="s">
        <v>2161</v>
      </c>
      <c r="Z311" s="27">
        <v>3</v>
      </c>
      <c r="AA311" t="s">
        <v>1661</v>
      </c>
      <c r="AB311" t="s">
        <v>1937</v>
      </c>
      <c r="AC311" t="s">
        <v>26</v>
      </c>
      <c r="AD311" t="s">
        <v>26</v>
      </c>
      <c r="AE311" t="s">
        <v>26</v>
      </c>
      <c r="AF311" t="s">
        <v>1937</v>
      </c>
      <c r="AG311" t="s">
        <v>1938</v>
      </c>
      <c r="AH311" t="s">
        <v>1939</v>
      </c>
      <c r="AI311" t="s">
        <v>26</v>
      </c>
      <c r="AJ311" t="s">
        <v>26</v>
      </c>
      <c r="AK311" t="s">
        <v>26</v>
      </c>
      <c r="AL311" t="s">
        <v>26</v>
      </c>
      <c r="AM311" t="s">
        <v>26</v>
      </c>
      <c r="AN311" s="44" t="s">
        <v>1530</v>
      </c>
      <c r="AO311" t="s">
        <v>1151</v>
      </c>
      <c r="AP311" t="s">
        <v>1155</v>
      </c>
      <c r="AQ311" t="s">
        <v>1158</v>
      </c>
    </row>
    <row r="312" spans="1:43">
      <c r="A312" s="47"/>
      <c r="B312" s="26" t="s">
        <v>2179</v>
      </c>
      <c r="C312" s="26"/>
      <c r="D312" s="26" t="s">
        <v>2159</v>
      </c>
      <c r="E312" s="26"/>
      <c r="F312" s="26"/>
      <c r="G312" s="27"/>
      <c r="H312" s="26" t="s">
        <v>2160</v>
      </c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 t="s">
        <v>2161</v>
      </c>
      <c r="Z312" s="27">
        <v>3</v>
      </c>
      <c r="AA312" t="s">
        <v>1686</v>
      </c>
      <c r="AB312" t="s">
        <v>1940</v>
      </c>
      <c r="AC312" t="s">
        <v>26</v>
      </c>
      <c r="AD312" t="s">
        <v>26</v>
      </c>
      <c r="AE312" t="s">
        <v>26</v>
      </c>
      <c r="AF312" t="s">
        <v>1940</v>
      </c>
      <c r="AG312" t="s">
        <v>1941</v>
      </c>
      <c r="AH312" t="s">
        <v>1689</v>
      </c>
      <c r="AI312" t="s">
        <v>26</v>
      </c>
      <c r="AJ312" t="s">
        <v>26</v>
      </c>
      <c r="AK312" t="s">
        <v>26</v>
      </c>
      <c r="AL312" t="s">
        <v>26</v>
      </c>
      <c r="AM312" t="s">
        <v>26</v>
      </c>
      <c r="AN312" s="44" t="s">
        <v>1530</v>
      </c>
      <c r="AO312" t="s">
        <v>1151</v>
      </c>
      <c r="AP312" t="s">
        <v>1155</v>
      </c>
      <c r="AQ312" t="s">
        <v>1158</v>
      </c>
    </row>
    <row r="313" spans="1:43">
      <c r="A313" s="47"/>
      <c r="B313" s="26" t="s">
        <v>2179</v>
      </c>
      <c r="C313" s="26"/>
      <c r="D313" s="26" t="s">
        <v>2159</v>
      </c>
      <c r="E313" s="26"/>
      <c r="F313" s="26"/>
      <c r="G313" s="27"/>
      <c r="H313" s="26" t="s">
        <v>2160</v>
      </c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 t="s">
        <v>2161</v>
      </c>
      <c r="Z313" s="27">
        <v>3</v>
      </c>
      <c r="AA313" t="s">
        <v>1686</v>
      </c>
      <c r="AB313" t="s">
        <v>1942</v>
      </c>
      <c r="AC313" t="s">
        <v>26</v>
      </c>
      <c r="AD313" t="s">
        <v>26</v>
      </c>
      <c r="AE313" t="s">
        <v>26</v>
      </c>
      <c r="AF313" t="s">
        <v>1942</v>
      </c>
      <c r="AG313" t="s">
        <v>1941</v>
      </c>
      <c r="AH313" t="s">
        <v>1689</v>
      </c>
      <c r="AI313" t="s">
        <v>26</v>
      </c>
      <c r="AJ313" t="s">
        <v>26</v>
      </c>
      <c r="AK313" t="s">
        <v>26</v>
      </c>
      <c r="AL313" t="s">
        <v>26</v>
      </c>
      <c r="AM313" t="s">
        <v>26</v>
      </c>
      <c r="AN313" s="44" t="s">
        <v>1530</v>
      </c>
      <c r="AO313" t="s">
        <v>1151</v>
      </c>
      <c r="AP313" t="s">
        <v>1155</v>
      </c>
      <c r="AQ313" t="s">
        <v>1158</v>
      </c>
    </row>
    <row r="314" spans="1:43">
      <c r="A314" s="47"/>
      <c r="B314" s="26" t="s">
        <v>2179</v>
      </c>
      <c r="C314" s="26"/>
      <c r="D314" s="26" t="s">
        <v>2159</v>
      </c>
      <c r="E314" s="26"/>
      <c r="F314" s="26"/>
      <c r="G314" s="27"/>
      <c r="H314" s="26" t="s">
        <v>2160</v>
      </c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 t="s">
        <v>2161</v>
      </c>
      <c r="Z314" s="27">
        <v>3</v>
      </c>
      <c r="AA314" t="s">
        <v>1661</v>
      </c>
      <c r="AB314" t="s">
        <v>1943</v>
      </c>
      <c r="AC314" t="s">
        <v>26</v>
      </c>
      <c r="AD314" t="s">
        <v>26</v>
      </c>
      <c r="AE314" t="s">
        <v>26</v>
      </c>
      <c r="AF314" t="s">
        <v>1943</v>
      </c>
      <c r="AG314" t="s">
        <v>1944</v>
      </c>
      <c r="AH314" t="s">
        <v>1939</v>
      </c>
      <c r="AI314" t="s">
        <v>26</v>
      </c>
      <c r="AJ314" t="s">
        <v>26</v>
      </c>
      <c r="AK314" t="s">
        <v>26</v>
      </c>
      <c r="AL314" t="s">
        <v>26</v>
      </c>
      <c r="AM314" t="s">
        <v>26</v>
      </c>
      <c r="AN314" s="44" t="s">
        <v>1530</v>
      </c>
      <c r="AO314" t="s">
        <v>1151</v>
      </c>
      <c r="AP314" t="s">
        <v>1155</v>
      </c>
      <c r="AQ314" t="s">
        <v>1158</v>
      </c>
    </row>
    <row r="315" spans="1:43">
      <c r="A315" s="47"/>
      <c r="B315" s="26" t="s">
        <v>2179</v>
      </c>
      <c r="C315" s="26"/>
      <c r="D315" s="26" t="s">
        <v>2159</v>
      </c>
      <c r="E315" s="26"/>
      <c r="F315" s="26"/>
      <c r="G315" s="27"/>
      <c r="H315" s="26" t="s">
        <v>2160</v>
      </c>
      <c r="I315" s="26"/>
      <c r="J315" s="26"/>
      <c r="K315" s="26"/>
      <c r="L315" s="40" t="s">
        <v>2205</v>
      </c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 t="s">
        <v>2161</v>
      </c>
      <c r="Z315" s="27">
        <v>3</v>
      </c>
      <c r="AA315" t="s">
        <v>1658</v>
      </c>
      <c r="AB315" t="s">
        <v>1945</v>
      </c>
      <c r="AC315" t="s">
        <v>26</v>
      </c>
      <c r="AD315" t="s">
        <v>26</v>
      </c>
      <c r="AE315" t="s">
        <v>26</v>
      </c>
      <c r="AF315" t="s">
        <v>1945</v>
      </c>
      <c r="AG315" t="s">
        <v>1946</v>
      </c>
      <c r="AH315" t="s">
        <v>1660</v>
      </c>
      <c r="AI315" t="s">
        <v>26</v>
      </c>
      <c r="AJ315" t="s">
        <v>26</v>
      </c>
      <c r="AK315" t="s">
        <v>26</v>
      </c>
      <c r="AL315" t="s">
        <v>26</v>
      </c>
      <c r="AM315" t="s">
        <v>26</v>
      </c>
      <c r="AN315" s="44" t="s">
        <v>1530</v>
      </c>
      <c r="AO315" t="s">
        <v>1151</v>
      </c>
      <c r="AP315" t="s">
        <v>1155</v>
      </c>
      <c r="AQ315" t="s">
        <v>1158</v>
      </c>
    </row>
    <row r="316" spans="1:43">
      <c r="A316" s="47"/>
      <c r="B316" s="26" t="s">
        <v>2179</v>
      </c>
      <c r="C316" s="26"/>
      <c r="D316" s="26" t="s">
        <v>2159</v>
      </c>
      <c r="E316" s="26"/>
      <c r="F316" s="26"/>
      <c r="G316" s="27"/>
      <c r="H316" s="26" t="s">
        <v>2160</v>
      </c>
      <c r="I316" s="26"/>
      <c r="J316" s="26"/>
      <c r="K316" s="26"/>
      <c r="L316" s="40" t="s">
        <v>2205</v>
      </c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 t="s">
        <v>2161</v>
      </c>
      <c r="Z316" s="27">
        <v>3</v>
      </c>
      <c r="AA316" t="s">
        <v>1667</v>
      </c>
      <c r="AB316" t="s">
        <v>1947</v>
      </c>
      <c r="AC316" t="s">
        <v>26</v>
      </c>
      <c r="AD316" t="s">
        <v>26</v>
      </c>
      <c r="AE316" t="s">
        <v>26</v>
      </c>
      <c r="AF316" t="s">
        <v>1947</v>
      </c>
      <c r="AG316" t="s">
        <v>1948</v>
      </c>
      <c r="AH316" t="s">
        <v>1670</v>
      </c>
      <c r="AI316" t="s">
        <v>26</v>
      </c>
      <c r="AJ316" t="s">
        <v>26</v>
      </c>
      <c r="AK316" t="s">
        <v>26</v>
      </c>
      <c r="AL316" t="s">
        <v>26</v>
      </c>
      <c r="AM316" t="s">
        <v>26</v>
      </c>
      <c r="AN316" s="44" t="s">
        <v>1530</v>
      </c>
      <c r="AO316" t="s">
        <v>1151</v>
      </c>
      <c r="AP316" t="s">
        <v>1155</v>
      </c>
      <c r="AQ316" t="s">
        <v>1158</v>
      </c>
    </row>
    <row r="317" spans="1:43">
      <c r="A317" s="47"/>
      <c r="B317" s="26" t="s">
        <v>2179</v>
      </c>
      <c r="C317" s="26"/>
      <c r="D317" s="26" t="s">
        <v>2159</v>
      </c>
      <c r="E317" s="26"/>
      <c r="F317" s="26"/>
      <c r="G317" s="27"/>
      <c r="H317" s="26" t="s">
        <v>2160</v>
      </c>
      <c r="I317" s="26"/>
      <c r="J317" s="26"/>
      <c r="K317" s="26"/>
      <c r="L317" s="40" t="s">
        <v>2205</v>
      </c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 t="s">
        <v>2161</v>
      </c>
      <c r="Z317" s="27">
        <v>3</v>
      </c>
      <c r="AA317" t="s">
        <v>1949</v>
      </c>
      <c r="AB317" t="s">
        <v>1950</v>
      </c>
      <c r="AC317" t="s">
        <v>26</v>
      </c>
      <c r="AD317" t="s">
        <v>26</v>
      </c>
      <c r="AE317" t="s">
        <v>26</v>
      </c>
      <c r="AF317" t="s">
        <v>1950</v>
      </c>
      <c r="AG317" t="s">
        <v>1951</v>
      </c>
      <c r="AH317" t="s">
        <v>1952</v>
      </c>
      <c r="AI317" t="s">
        <v>26</v>
      </c>
      <c r="AJ317" t="s">
        <v>26</v>
      </c>
      <c r="AK317" t="s">
        <v>26</v>
      </c>
      <c r="AL317" t="s">
        <v>26</v>
      </c>
      <c r="AM317" t="s">
        <v>26</v>
      </c>
      <c r="AN317" s="44" t="s">
        <v>1530</v>
      </c>
      <c r="AO317" t="s">
        <v>1151</v>
      </c>
      <c r="AP317" t="s">
        <v>1155</v>
      </c>
      <c r="AQ317" t="s">
        <v>1158</v>
      </c>
    </row>
    <row r="318" spans="1:43">
      <c r="A318" s="47"/>
      <c r="B318" s="26" t="s">
        <v>2179</v>
      </c>
      <c r="C318" s="26"/>
      <c r="D318" s="26" t="s">
        <v>2159</v>
      </c>
      <c r="E318" s="26"/>
      <c r="F318" s="26"/>
      <c r="G318" s="27"/>
      <c r="H318" s="26" t="s">
        <v>2160</v>
      </c>
      <c r="I318" s="26"/>
      <c r="J318" s="26"/>
      <c r="K318" s="26"/>
      <c r="L318" s="40" t="s">
        <v>2205</v>
      </c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 t="s">
        <v>2161</v>
      </c>
      <c r="Z318" s="27">
        <v>3</v>
      </c>
      <c r="AA318" t="s">
        <v>1949</v>
      </c>
      <c r="AB318" t="s">
        <v>1953</v>
      </c>
      <c r="AC318" t="s">
        <v>26</v>
      </c>
      <c r="AD318" t="s">
        <v>26</v>
      </c>
      <c r="AE318" t="s">
        <v>26</v>
      </c>
      <c r="AF318" t="s">
        <v>1953</v>
      </c>
      <c r="AG318" t="s">
        <v>1954</v>
      </c>
      <c r="AH318" t="s">
        <v>1952</v>
      </c>
      <c r="AI318" t="s">
        <v>26</v>
      </c>
      <c r="AJ318" t="s">
        <v>26</v>
      </c>
      <c r="AK318" t="s">
        <v>26</v>
      </c>
      <c r="AL318" t="s">
        <v>26</v>
      </c>
      <c r="AM318" t="s">
        <v>26</v>
      </c>
      <c r="AN318" s="44" t="s">
        <v>1530</v>
      </c>
      <c r="AO318" t="s">
        <v>1151</v>
      </c>
      <c r="AP318" t="s">
        <v>1155</v>
      </c>
      <c r="AQ318" t="s">
        <v>1158</v>
      </c>
    </row>
    <row r="319" spans="1:43">
      <c r="A319" s="47"/>
      <c r="B319" s="26" t="s">
        <v>2179</v>
      </c>
      <c r="C319" s="26"/>
      <c r="D319" s="26" t="s">
        <v>2159</v>
      </c>
      <c r="E319" s="26"/>
      <c r="F319" s="26"/>
      <c r="G319" s="27"/>
      <c r="H319" s="26" t="s">
        <v>2160</v>
      </c>
      <c r="I319" s="26"/>
      <c r="J319" s="26"/>
      <c r="K319" s="26"/>
      <c r="L319" s="40" t="s">
        <v>2205</v>
      </c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 t="s">
        <v>2161</v>
      </c>
      <c r="Z319" s="27">
        <v>3</v>
      </c>
      <c r="AA319" t="s">
        <v>1949</v>
      </c>
      <c r="AB319" t="s">
        <v>1955</v>
      </c>
      <c r="AC319" t="s">
        <v>26</v>
      </c>
      <c r="AD319" t="s">
        <v>26</v>
      </c>
      <c r="AE319" t="s">
        <v>26</v>
      </c>
      <c r="AF319" t="s">
        <v>1955</v>
      </c>
      <c r="AG319" t="s">
        <v>1956</v>
      </c>
      <c r="AH319" t="s">
        <v>1952</v>
      </c>
      <c r="AI319" t="s">
        <v>26</v>
      </c>
      <c r="AJ319" t="s">
        <v>26</v>
      </c>
      <c r="AK319" t="s">
        <v>26</v>
      </c>
      <c r="AL319" t="s">
        <v>26</v>
      </c>
      <c r="AM319" t="s">
        <v>26</v>
      </c>
      <c r="AN319" s="44" t="s">
        <v>1530</v>
      </c>
      <c r="AO319" t="s">
        <v>1151</v>
      </c>
      <c r="AP319" t="s">
        <v>1155</v>
      </c>
      <c r="AQ319" t="s">
        <v>1158</v>
      </c>
    </row>
    <row r="320" spans="1:43">
      <c r="A320" s="47"/>
      <c r="B320" s="26" t="s">
        <v>2179</v>
      </c>
      <c r="C320" s="26"/>
      <c r="D320" s="26" t="s">
        <v>2159</v>
      </c>
      <c r="E320" s="26"/>
      <c r="F320" s="26"/>
      <c r="G320" s="27"/>
      <c r="H320" s="26" t="s">
        <v>2160</v>
      </c>
      <c r="I320" s="26"/>
      <c r="J320" s="26"/>
      <c r="K320" s="26"/>
      <c r="L320" s="40" t="s">
        <v>2205</v>
      </c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 t="s">
        <v>2161</v>
      </c>
      <c r="Z320" s="27">
        <v>3</v>
      </c>
      <c r="AA320" t="s">
        <v>1949</v>
      </c>
      <c r="AB320" t="s">
        <v>1957</v>
      </c>
      <c r="AC320" t="s">
        <v>26</v>
      </c>
      <c r="AD320" t="s">
        <v>26</v>
      </c>
      <c r="AE320" t="s">
        <v>26</v>
      </c>
      <c r="AF320" t="s">
        <v>1957</v>
      </c>
      <c r="AG320" t="s">
        <v>1958</v>
      </c>
      <c r="AH320" t="s">
        <v>1952</v>
      </c>
      <c r="AI320" t="s">
        <v>26</v>
      </c>
      <c r="AJ320" t="s">
        <v>26</v>
      </c>
      <c r="AK320" t="s">
        <v>26</v>
      </c>
      <c r="AL320" t="s">
        <v>26</v>
      </c>
      <c r="AM320" t="s">
        <v>26</v>
      </c>
      <c r="AN320" s="44" t="s">
        <v>1530</v>
      </c>
      <c r="AO320" t="s">
        <v>1151</v>
      </c>
      <c r="AP320" t="s">
        <v>1155</v>
      </c>
      <c r="AQ320" t="s">
        <v>1158</v>
      </c>
    </row>
    <row r="321" spans="1:43">
      <c r="A321" s="47"/>
      <c r="B321" s="26" t="s">
        <v>2179</v>
      </c>
      <c r="C321" s="26"/>
      <c r="D321" s="26" t="s">
        <v>2159</v>
      </c>
      <c r="E321" s="26"/>
      <c r="F321" s="26"/>
      <c r="G321" s="27"/>
      <c r="H321" s="26" t="s">
        <v>2160</v>
      </c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 t="s">
        <v>2161</v>
      </c>
      <c r="Z321" s="27">
        <v>3</v>
      </c>
      <c r="AA321" t="s">
        <v>1959</v>
      </c>
      <c r="AB321" t="s">
        <v>1960</v>
      </c>
      <c r="AC321" t="s">
        <v>26</v>
      </c>
      <c r="AD321" t="s">
        <v>26</v>
      </c>
      <c r="AE321" t="s">
        <v>26</v>
      </c>
      <c r="AF321" t="s">
        <v>1960</v>
      </c>
      <c r="AG321" t="s">
        <v>1961</v>
      </c>
      <c r="AH321" t="s">
        <v>1962</v>
      </c>
      <c r="AI321" t="s">
        <v>26</v>
      </c>
      <c r="AJ321" t="s">
        <v>26</v>
      </c>
      <c r="AK321" t="s">
        <v>26</v>
      </c>
      <c r="AL321" t="s">
        <v>26</v>
      </c>
      <c r="AM321" t="s">
        <v>26</v>
      </c>
      <c r="AN321" s="44" t="s">
        <v>1530</v>
      </c>
      <c r="AO321" t="s">
        <v>1151</v>
      </c>
      <c r="AP321" t="s">
        <v>1155</v>
      </c>
      <c r="AQ321" t="s">
        <v>1158</v>
      </c>
    </row>
    <row r="322" spans="1:43">
      <c r="A322" s="47"/>
      <c r="B322" s="26" t="s">
        <v>2179</v>
      </c>
      <c r="C322" s="26"/>
      <c r="D322" s="26" t="s">
        <v>2159</v>
      </c>
      <c r="E322" s="26"/>
      <c r="F322" s="26"/>
      <c r="G322" s="27"/>
      <c r="H322" s="26" t="s">
        <v>2160</v>
      </c>
      <c r="I322" s="26"/>
      <c r="J322" s="26"/>
      <c r="K322" s="26"/>
      <c r="L322" s="40" t="s">
        <v>2205</v>
      </c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 t="s">
        <v>2161</v>
      </c>
      <c r="Z322" s="27">
        <v>3</v>
      </c>
      <c r="AA322" t="s">
        <v>1667</v>
      </c>
      <c r="AB322" t="s">
        <v>1963</v>
      </c>
      <c r="AC322" t="s">
        <v>26</v>
      </c>
      <c r="AD322" t="s">
        <v>26</v>
      </c>
      <c r="AE322" t="s">
        <v>26</v>
      </c>
      <c r="AF322" t="s">
        <v>1963</v>
      </c>
      <c r="AG322" t="s">
        <v>1944</v>
      </c>
      <c r="AH322" t="s">
        <v>1670</v>
      </c>
      <c r="AI322" t="s">
        <v>26</v>
      </c>
      <c r="AJ322" t="s">
        <v>26</v>
      </c>
      <c r="AK322" t="s">
        <v>26</v>
      </c>
      <c r="AL322" t="s">
        <v>26</v>
      </c>
      <c r="AM322" t="s">
        <v>26</v>
      </c>
      <c r="AN322" s="44" t="s">
        <v>1530</v>
      </c>
      <c r="AO322" t="s">
        <v>1151</v>
      </c>
      <c r="AP322" t="s">
        <v>1155</v>
      </c>
      <c r="AQ322" t="s">
        <v>1158</v>
      </c>
    </row>
    <row r="323" spans="1:43">
      <c r="A323" s="47"/>
      <c r="B323" s="26" t="s">
        <v>2179</v>
      </c>
      <c r="C323" s="26"/>
      <c r="D323" s="26" t="s">
        <v>2159</v>
      </c>
      <c r="E323" s="26"/>
      <c r="F323" s="26"/>
      <c r="G323" s="27"/>
      <c r="H323" s="26" t="s">
        <v>2160</v>
      </c>
      <c r="I323" s="26"/>
      <c r="J323" s="26"/>
      <c r="K323" s="26"/>
      <c r="L323" s="40" t="s">
        <v>2205</v>
      </c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 t="s">
        <v>2161</v>
      </c>
      <c r="Z323" s="27">
        <v>3</v>
      </c>
      <c r="AA323" t="s">
        <v>1667</v>
      </c>
      <c r="AB323" t="s">
        <v>1964</v>
      </c>
      <c r="AC323" t="s">
        <v>26</v>
      </c>
      <c r="AD323" t="s">
        <v>26</v>
      </c>
      <c r="AE323" t="s">
        <v>26</v>
      </c>
      <c r="AF323" t="s">
        <v>1964</v>
      </c>
      <c r="AG323" t="s">
        <v>1965</v>
      </c>
      <c r="AH323" t="s">
        <v>1670</v>
      </c>
      <c r="AI323" t="s">
        <v>26</v>
      </c>
      <c r="AJ323" t="s">
        <v>26</v>
      </c>
      <c r="AK323" t="s">
        <v>26</v>
      </c>
      <c r="AL323" t="s">
        <v>26</v>
      </c>
      <c r="AM323" t="s">
        <v>26</v>
      </c>
      <c r="AN323" s="44" t="s">
        <v>1530</v>
      </c>
      <c r="AO323" t="s">
        <v>1151</v>
      </c>
      <c r="AP323" t="s">
        <v>1155</v>
      </c>
      <c r="AQ323" t="s">
        <v>1158</v>
      </c>
    </row>
    <row r="324" spans="1:43">
      <c r="A324" s="47"/>
      <c r="B324" s="26" t="s">
        <v>2180</v>
      </c>
      <c r="C324" s="26"/>
      <c r="D324" s="26"/>
      <c r="E324" s="26"/>
      <c r="F324" s="26"/>
      <c r="G324" s="27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7">
        <v>1</v>
      </c>
      <c r="AA324" t="s">
        <v>1234</v>
      </c>
    </row>
    <row r="325" spans="1:43">
      <c r="A325" s="47"/>
      <c r="B325" s="26" t="s">
        <v>2180</v>
      </c>
      <c r="C325" s="26"/>
      <c r="D325" s="26"/>
      <c r="E325" s="26"/>
      <c r="F325" s="26"/>
      <c r="G325" s="27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7">
        <v>2</v>
      </c>
      <c r="AA325" t="s">
        <v>1</v>
      </c>
      <c r="AB325" t="s">
        <v>1235</v>
      </c>
      <c r="AC325" t="s">
        <v>1097</v>
      </c>
      <c r="AD325" t="s">
        <v>1236</v>
      </c>
    </row>
    <row r="326" spans="1:43">
      <c r="A326" s="47"/>
      <c r="B326" s="26" t="s">
        <v>2180</v>
      </c>
      <c r="C326" s="26"/>
      <c r="D326" s="26"/>
      <c r="E326" s="26"/>
      <c r="F326" s="26"/>
      <c r="G326" s="27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7">
        <v>0</v>
      </c>
      <c r="AA326" t="s">
        <v>1512</v>
      </c>
      <c r="AB326" t="s">
        <v>1513</v>
      </c>
      <c r="AC326" t="s">
        <v>1514</v>
      </c>
      <c r="AD326" t="s">
        <v>9</v>
      </c>
      <c r="AE326" t="s">
        <v>9</v>
      </c>
      <c r="AF326" t="s">
        <v>11</v>
      </c>
      <c r="AG326" t="s">
        <v>13</v>
      </c>
      <c r="AH326" t="s">
        <v>1515</v>
      </c>
      <c r="AI326" t="s">
        <v>1516</v>
      </c>
      <c r="AJ326" t="s">
        <v>1517</v>
      </c>
      <c r="AK326" t="s">
        <v>22</v>
      </c>
      <c r="AL326" t="s">
        <v>1518</v>
      </c>
      <c r="AM326" t="s">
        <v>1519</v>
      </c>
      <c r="AN326" s="44" t="s">
        <v>1520</v>
      </c>
      <c r="AO326" t="s">
        <v>1</v>
      </c>
    </row>
    <row r="327" spans="1:43">
      <c r="A327" s="47"/>
      <c r="B327" s="26" t="s">
        <v>2180</v>
      </c>
      <c r="C327" s="26"/>
      <c r="D327" s="26"/>
      <c r="E327" s="26"/>
      <c r="F327" s="26"/>
      <c r="G327" s="27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7">
        <v>4</v>
      </c>
      <c r="AA327" t="s">
        <v>14</v>
      </c>
      <c r="AB327" t="s">
        <v>26</v>
      </c>
      <c r="AC327" t="s">
        <v>26</v>
      </c>
      <c r="AD327" t="s">
        <v>26</v>
      </c>
      <c r="AE327" t="s">
        <v>26</v>
      </c>
      <c r="AF327" t="s">
        <v>26</v>
      </c>
      <c r="AG327" t="s">
        <v>26</v>
      </c>
      <c r="AH327" t="s">
        <v>68</v>
      </c>
      <c r="AI327" t="s">
        <v>26</v>
      </c>
      <c r="AJ327" t="s">
        <v>26</v>
      </c>
      <c r="AK327" t="s">
        <v>26</v>
      </c>
      <c r="AL327" t="s">
        <v>26</v>
      </c>
      <c r="AM327" t="s">
        <v>26</v>
      </c>
      <c r="AN327" s="44" t="s">
        <v>1530</v>
      </c>
      <c r="AO327">
        <v>2</v>
      </c>
    </row>
    <row r="328" spans="1:43">
      <c r="A328" s="47"/>
      <c r="B328" s="26" t="s">
        <v>2181</v>
      </c>
      <c r="C328" s="26"/>
      <c r="D328" s="26"/>
      <c r="E328" s="26"/>
      <c r="F328" s="26"/>
      <c r="G328" s="27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7">
        <v>1</v>
      </c>
      <c r="AA328" t="s">
        <v>1240</v>
      </c>
    </row>
    <row r="329" spans="1:43">
      <c r="A329" s="47"/>
      <c r="B329" s="26" t="s">
        <v>2181</v>
      </c>
      <c r="C329" s="26"/>
      <c r="D329" s="26"/>
      <c r="E329" s="26"/>
      <c r="F329" s="26"/>
      <c r="G329" s="27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7">
        <v>2</v>
      </c>
      <c r="AA329" t="s">
        <v>1</v>
      </c>
      <c r="AB329" t="s">
        <v>1241</v>
      </c>
      <c r="AC329" t="s">
        <v>3</v>
      </c>
      <c r="AD329" s="27" t="s">
        <v>2344</v>
      </c>
    </row>
    <row r="330" spans="1:43">
      <c r="A330" s="47"/>
      <c r="B330" s="26" t="s">
        <v>2181</v>
      </c>
      <c r="C330" s="26"/>
      <c r="D330" s="26"/>
      <c r="E330" s="26"/>
      <c r="F330" s="26"/>
      <c r="G330" s="27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7">
        <v>0</v>
      </c>
      <c r="AA330" t="s">
        <v>1512</v>
      </c>
      <c r="AB330" t="s">
        <v>1513</v>
      </c>
      <c r="AC330" t="s">
        <v>1514</v>
      </c>
      <c r="AD330" t="s">
        <v>9</v>
      </c>
      <c r="AE330" t="s">
        <v>9</v>
      </c>
      <c r="AF330" t="s">
        <v>11</v>
      </c>
      <c r="AG330" t="s">
        <v>13</v>
      </c>
      <c r="AH330" t="s">
        <v>1515</v>
      </c>
      <c r="AI330" t="s">
        <v>1516</v>
      </c>
      <c r="AJ330" t="s">
        <v>1517</v>
      </c>
      <c r="AK330" t="s">
        <v>22</v>
      </c>
      <c r="AL330" t="s">
        <v>1518</v>
      </c>
      <c r="AM330" t="s">
        <v>1519</v>
      </c>
      <c r="AN330" s="44" t="s">
        <v>1520</v>
      </c>
      <c r="AO330" t="s">
        <v>1</v>
      </c>
    </row>
    <row r="331" spans="1:43">
      <c r="A331" s="47"/>
      <c r="B331" s="26" t="s">
        <v>2181</v>
      </c>
      <c r="C331" s="26"/>
      <c r="D331" s="26"/>
      <c r="E331" s="26"/>
      <c r="F331" s="26"/>
      <c r="G331" s="27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7">
        <v>4</v>
      </c>
      <c r="AA331" t="s">
        <v>1524</v>
      </c>
      <c r="AB331" t="s">
        <v>26</v>
      </c>
      <c r="AC331" t="s">
        <v>26</v>
      </c>
      <c r="AD331" t="s">
        <v>26</v>
      </c>
      <c r="AE331" t="s">
        <v>26</v>
      </c>
      <c r="AF331" t="s">
        <v>26</v>
      </c>
      <c r="AG331" t="s">
        <v>26</v>
      </c>
      <c r="AH331" t="s">
        <v>1527</v>
      </c>
      <c r="AI331" t="s">
        <v>26</v>
      </c>
      <c r="AJ331" t="s">
        <v>26</v>
      </c>
      <c r="AK331" t="s">
        <v>26</v>
      </c>
      <c r="AL331" t="s">
        <v>26</v>
      </c>
      <c r="AM331" t="s">
        <v>26</v>
      </c>
      <c r="AN331" s="44" t="s">
        <v>1523</v>
      </c>
      <c r="AO331">
        <v>431</v>
      </c>
    </row>
    <row r="332" spans="1:43">
      <c r="A332" s="47"/>
      <c r="B332" s="26" t="s">
        <v>2181</v>
      </c>
      <c r="C332" s="26"/>
      <c r="D332" s="26"/>
      <c r="E332" s="26"/>
      <c r="F332" s="26"/>
      <c r="G332" s="27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7">
        <v>4</v>
      </c>
      <c r="AA332" t="s">
        <v>1966</v>
      </c>
      <c r="AB332" t="s">
        <v>26</v>
      </c>
      <c r="AC332" t="s">
        <v>26</v>
      </c>
      <c r="AD332" t="s">
        <v>26</v>
      </c>
      <c r="AE332" t="s">
        <v>26</v>
      </c>
      <c r="AF332" t="s">
        <v>26</v>
      </c>
      <c r="AG332" t="s">
        <v>26</v>
      </c>
      <c r="AH332" t="s">
        <v>1967</v>
      </c>
      <c r="AI332" t="s">
        <v>26</v>
      </c>
      <c r="AJ332" t="s">
        <v>26</v>
      </c>
      <c r="AK332" t="s">
        <v>26</v>
      </c>
      <c r="AL332" t="s">
        <v>26</v>
      </c>
      <c r="AM332" t="s">
        <v>26</v>
      </c>
      <c r="AN332" s="44" t="s">
        <v>1523</v>
      </c>
      <c r="AO332">
        <v>175</v>
      </c>
    </row>
    <row r="333" spans="1:43">
      <c r="A333" s="47"/>
      <c r="B333" s="26" t="s">
        <v>2181</v>
      </c>
      <c r="C333" s="26"/>
      <c r="D333" s="26"/>
      <c r="E333" s="26"/>
      <c r="F333" s="26"/>
      <c r="G333" s="27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7">
        <v>4</v>
      </c>
      <c r="AA333" t="s">
        <v>14</v>
      </c>
      <c r="AB333" t="s">
        <v>26</v>
      </c>
      <c r="AC333" t="s">
        <v>26</v>
      </c>
      <c r="AD333" t="s">
        <v>26</v>
      </c>
      <c r="AE333" t="s">
        <v>26</v>
      </c>
      <c r="AF333" t="s">
        <v>26</v>
      </c>
      <c r="AG333" t="s">
        <v>26</v>
      </c>
      <c r="AH333" t="s">
        <v>1246</v>
      </c>
      <c r="AI333" t="s">
        <v>26</v>
      </c>
      <c r="AJ333" t="s">
        <v>26</v>
      </c>
      <c r="AK333" t="s">
        <v>26</v>
      </c>
      <c r="AL333" t="s">
        <v>26</v>
      </c>
      <c r="AM333" t="s">
        <v>26</v>
      </c>
      <c r="AN333" s="44" t="s">
        <v>1530</v>
      </c>
      <c r="AO333">
        <v>4</v>
      </c>
    </row>
    <row r="334" spans="1:43">
      <c r="A334" s="47"/>
      <c r="B334" s="26" t="s">
        <v>2181</v>
      </c>
      <c r="C334" s="26"/>
      <c r="D334" s="26"/>
      <c r="E334" s="26"/>
      <c r="F334" s="26"/>
      <c r="G334" s="27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7">
        <v>4</v>
      </c>
      <c r="AA334" t="s">
        <v>14</v>
      </c>
      <c r="AB334" t="s">
        <v>26</v>
      </c>
      <c r="AC334" t="s">
        <v>26</v>
      </c>
      <c r="AD334" t="s">
        <v>26</v>
      </c>
      <c r="AE334" t="s">
        <v>26</v>
      </c>
      <c r="AF334" t="s">
        <v>26</v>
      </c>
      <c r="AG334" t="s">
        <v>26</v>
      </c>
      <c r="AH334" t="s">
        <v>321</v>
      </c>
      <c r="AI334" t="s">
        <v>26</v>
      </c>
      <c r="AJ334" t="s">
        <v>26</v>
      </c>
      <c r="AK334" t="s">
        <v>26</v>
      </c>
      <c r="AL334" t="s">
        <v>26</v>
      </c>
      <c r="AM334" t="s">
        <v>26</v>
      </c>
      <c r="AN334" s="44" t="s">
        <v>1530</v>
      </c>
      <c r="AO334">
        <v>2</v>
      </c>
    </row>
    <row r="335" spans="1:43">
      <c r="A335" s="47"/>
      <c r="B335" s="26" t="s">
        <v>2181</v>
      </c>
      <c r="C335" s="26"/>
      <c r="D335" s="26" t="s">
        <v>2148</v>
      </c>
      <c r="E335" s="26"/>
      <c r="F335" s="26"/>
      <c r="G335" s="27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 t="s">
        <v>2150</v>
      </c>
      <c r="Z335" s="27">
        <v>3</v>
      </c>
      <c r="AA335" t="s">
        <v>1968</v>
      </c>
      <c r="AB335" t="s">
        <v>1243</v>
      </c>
      <c r="AC335" t="s">
        <v>26</v>
      </c>
      <c r="AD335" t="s">
        <v>27</v>
      </c>
      <c r="AE335" t="s">
        <v>27</v>
      </c>
      <c r="AF335" t="s">
        <v>1244</v>
      </c>
      <c r="AG335" t="s">
        <v>1245</v>
      </c>
      <c r="AH335" t="s">
        <v>1969</v>
      </c>
      <c r="AI335" t="s">
        <v>26</v>
      </c>
      <c r="AJ335" t="s">
        <v>26</v>
      </c>
      <c r="AK335" t="s">
        <v>1544</v>
      </c>
      <c r="AL335" t="s">
        <v>1571</v>
      </c>
      <c r="AM335" t="s">
        <v>1572</v>
      </c>
      <c r="AN335" s="44" t="s">
        <v>1530</v>
      </c>
      <c r="AO335" t="s">
        <v>1241</v>
      </c>
    </row>
    <row r="336" spans="1:43">
      <c r="A336" s="47"/>
      <c r="B336" s="26" t="s">
        <v>2181</v>
      </c>
      <c r="C336" s="26"/>
      <c r="D336" s="26" t="s">
        <v>2148</v>
      </c>
      <c r="E336" s="26"/>
      <c r="F336" s="26"/>
      <c r="G336" s="27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 t="s">
        <v>2150</v>
      </c>
      <c r="Z336" s="27">
        <v>3</v>
      </c>
      <c r="AA336" t="s">
        <v>1970</v>
      </c>
      <c r="AB336" t="s">
        <v>1971</v>
      </c>
      <c r="AC336" t="s">
        <v>26</v>
      </c>
      <c r="AD336" t="s">
        <v>26</v>
      </c>
      <c r="AE336" t="s">
        <v>26</v>
      </c>
      <c r="AF336" t="s">
        <v>1971</v>
      </c>
      <c r="AG336" t="s">
        <v>1245</v>
      </c>
      <c r="AH336" t="s">
        <v>1972</v>
      </c>
      <c r="AI336" t="s">
        <v>26</v>
      </c>
      <c r="AJ336" t="s">
        <v>1244</v>
      </c>
      <c r="AK336" t="s">
        <v>26</v>
      </c>
      <c r="AL336" t="s">
        <v>26</v>
      </c>
      <c r="AM336" t="s">
        <v>26</v>
      </c>
      <c r="AN336" s="44" t="s">
        <v>1530</v>
      </c>
      <c r="AO336" t="s">
        <v>1241</v>
      </c>
    </row>
    <row r="337" spans="1:41">
      <c r="A337" s="47"/>
      <c r="B337" s="26" t="s">
        <v>2181</v>
      </c>
      <c r="C337" s="26"/>
      <c r="D337" s="26" t="s">
        <v>2148</v>
      </c>
      <c r="E337" s="26"/>
      <c r="F337" s="26"/>
      <c r="G337" s="27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 t="s">
        <v>2150</v>
      </c>
      <c r="Z337" s="27">
        <v>3</v>
      </c>
      <c r="AA337" t="s">
        <v>1968</v>
      </c>
      <c r="AB337" t="s">
        <v>1247</v>
      </c>
      <c r="AC337" t="s">
        <v>26</v>
      </c>
      <c r="AD337" t="s">
        <v>32</v>
      </c>
      <c r="AE337" t="s">
        <v>33</v>
      </c>
      <c r="AF337" t="s">
        <v>1248</v>
      </c>
      <c r="AG337" t="s">
        <v>1249</v>
      </c>
      <c r="AH337" t="s">
        <v>1969</v>
      </c>
      <c r="AI337" t="s">
        <v>26</v>
      </c>
      <c r="AJ337" t="s">
        <v>26</v>
      </c>
      <c r="AK337" t="s">
        <v>1544</v>
      </c>
      <c r="AL337" t="s">
        <v>1642</v>
      </c>
      <c r="AM337" t="s">
        <v>1643</v>
      </c>
      <c r="AN337" s="44" t="s">
        <v>1530</v>
      </c>
      <c r="AO337" t="s">
        <v>1241</v>
      </c>
    </row>
    <row r="338" spans="1:41">
      <c r="A338" s="47"/>
      <c r="B338" s="26" t="s">
        <v>2181</v>
      </c>
      <c r="C338" s="26"/>
      <c r="D338" s="26" t="s">
        <v>2148</v>
      </c>
      <c r="E338" s="26"/>
      <c r="F338" s="26"/>
      <c r="G338" s="27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2150</v>
      </c>
      <c r="Z338" s="27">
        <v>3</v>
      </c>
      <c r="AA338" t="s">
        <v>1970</v>
      </c>
      <c r="AB338" t="s">
        <v>1973</v>
      </c>
      <c r="AC338" t="s">
        <v>26</v>
      </c>
      <c r="AD338" t="s">
        <v>26</v>
      </c>
      <c r="AE338" t="s">
        <v>26</v>
      </c>
      <c r="AF338" t="s">
        <v>1973</v>
      </c>
      <c r="AG338" t="s">
        <v>1249</v>
      </c>
      <c r="AH338" t="s">
        <v>1972</v>
      </c>
      <c r="AI338" t="s">
        <v>26</v>
      </c>
      <c r="AJ338" t="s">
        <v>1248</v>
      </c>
      <c r="AK338" t="s">
        <v>26</v>
      </c>
      <c r="AL338" t="s">
        <v>26</v>
      </c>
      <c r="AM338" t="s">
        <v>26</v>
      </c>
      <c r="AN338" s="44" t="s">
        <v>1530</v>
      </c>
      <c r="AO338" t="s">
        <v>1241</v>
      </c>
    </row>
    <row r="339" spans="1:41">
      <c r="A339" s="47"/>
      <c r="B339" s="26" t="s">
        <v>2182</v>
      </c>
      <c r="C339" s="26"/>
      <c r="D339" s="26"/>
      <c r="E339" s="26"/>
      <c r="F339" s="26"/>
      <c r="G339" s="27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7">
        <v>1</v>
      </c>
      <c r="AA339" t="s">
        <v>1258</v>
      </c>
    </row>
    <row r="340" spans="1:41">
      <c r="A340" s="47"/>
      <c r="B340" s="26" t="s">
        <v>2182</v>
      </c>
      <c r="C340" s="26"/>
      <c r="D340" s="26"/>
      <c r="E340" s="26"/>
      <c r="F340" s="26"/>
      <c r="G340" s="27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7">
        <v>2</v>
      </c>
      <c r="AA340" t="s">
        <v>1</v>
      </c>
      <c r="AB340" t="s">
        <v>1259</v>
      </c>
      <c r="AC340" t="s">
        <v>3</v>
      </c>
      <c r="AD340" t="s">
        <v>1260</v>
      </c>
    </row>
    <row r="341" spans="1:41">
      <c r="A341" s="47"/>
      <c r="B341" s="26" t="s">
        <v>2182</v>
      </c>
      <c r="C341" s="26"/>
      <c r="D341" s="26"/>
      <c r="E341" s="26"/>
      <c r="F341" s="26"/>
      <c r="G341" s="27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7">
        <v>0</v>
      </c>
      <c r="AA341" t="s">
        <v>1512</v>
      </c>
      <c r="AB341" t="s">
        <v>1513</v>
      </c>
      <c r="AC341" t="s">
        <v>1514</v>
      </c>
      <c r="AD341" t="s">
        <v>9</v>
      </c>
      <c r="AE341" t="s">
        <v>9</v>
      </c>
      <c r="AF341" t="s">
        <v>11</v>
      </c>
      <c r="AG341" t="s">
        <v>13</v>
      </c>
      <c r="AH341" t="s">
        <v>1515</v>
      </c>
      <c r="AI341" t="s">
        <v>1516</v>
      </c>
      <c r="AJ341" t="s">
        <v>1517</v>
      </c>
      <c r="AK341" t="s">
        <v>22</v>
      </c>
      <c r="AL341" t="s">
        <v>1518</v>
      </c>
      <c r="AM341" t="s">
        <v>1519</v>
      </c>
      <c r="AN341" s="44" t="s">
        <v>1520</v>
      </c>
      <c r="AO341" t="s">
        <v>1</v>
      </c>
    </row>
    <row r="342" spans="1:41">
      <c r="A342" s="47"/>
      <c r="B342" s="26" t="s">
        <v>2182</v>
      </c>
      <c r="C342" s="26"/>
      <c r="D342" s="26"/>
      <c r="E342" s="26"/>
      <c r="F342" s="26"/>
      <c r="G342" s="27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7">
        <v>4</v>
      </c>
      <c r="AA342" t="s">
        <v>14</v>
      </c>
      <c r="AB342" t="s">
        <v>26</v>
      </c>
      <c r="AC342" t="s">
        <v>26</v>
      </c>
      <c r="AD342" t="s">
        <v>26</v>
      </c>
      <c r="AE342" t="s">
        <v>26</v>
      </c>
      <c r="AF342" t="s">
        <v>26</v>
      </c>
      <c r="AG342" t="s">
        <v>26</v>
      </c>
      <c r="AH342" t="s">
        <v>58</v>
      </c>
      <c r="AI342" t="s">
        <v>26</v>
      </c>
      <c r="AJ342" t="s">
        <v>26</v>
      </c>
      <c r="AK342" t="s">
        <v>26</v>
      </c>
      <c r="AL342" t="s">
        <v>26</v>
      </c>
      <c r="AM342" t="s">
        <v>26</v>
      </c>
      <c r="AN342" s="44" t="s">
        <v>1530</v>
      </c>
      <c r="AO342">
        <v>2</v>
      </c>
    </row>
    <row r="343" spans="1:41">
      <c r="A343" s="47"/>
      <c r="B343" s="26" t="s">
        <v>2182</v>
      </c>
      <c r="C343" s="26"/>
      <c r="D343" s="26"/>
      <c r="E343" s="26"/>
      <c r="F343" s="26"/>
      <c r="G343" s="27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7">
        <v>4</v>
      </c>
      <c r="AA343" t="s">
        <v>14</v>
      </c>
      <c r="AB343" t="s">
        <v>26</v>
      </c>
      <c r="AC343" t="s">
        <v>26</v>
      </c>
      <c r="AD343" t="s">
        <v>26</v>
      </c>
      <c r="AE343" t="s">
        <v>26</v>
      </c>
      <c r="AF343" t="s">
        <v>26</v>
      </c>
      <c r="AG343" t="s">
        <v>26</v>
      </c>
      <c r="AH343" t="s">
        <v>37</v>
      </c>
      <c r="AI343" t="s">
        <v>26</v>
      </c>
      <c r="AJ343" t="s">
        <v>26</v>
      </c>
      <c r="AK343" t="s">
        <v>26</v>
      </c>
      <c r="AL343" t="s">
        <v>26</v>
      </c>
      <c r="AM343" t="s">
        <v>26</v>
      </c>
      <c r="AN343" s="44" t="s">
        <v>1530</v>
      </c>
      <c r="AO343">
        <v>8</v>
      </c>
    </row>
    <row r="344" spans="1:41">
      <c r="A344" s="47"/>
      <c r="B344" s="26" t="s">
        <v>2182</v>
      </c>
      <c r="C344" s="26"/>
      <c r="D344" s="26" t="s">
        <v>2148</v>
      </c>
      <c r="E344" s="26"/>
      <c r="F344" s="26"/>
      <c r="G344" s="27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2150</v>
      </c>
      <c r="Z344" s="27">
        <v>3</v>
      </c>
      <c r="AA344" t="s">
        <v>1653</v>
      </c>
      <c r="AB344" t="s">
        <v>1266</v>
      </c>
      <c r="AC344" t="s">
        <v>26</v>
      </c>
      <c r="AD344" t="s">
        <v>69</v>
      </c>
      <c r="AE344" t="s">
        <v>69</v>
      </c>
      <c r="AF344" t="s">
        <v>1267</v>
      </c>
      <c r="AG344" t="s">
        <v>1268</v>
      </c>
      <c r="AH344" t="s">
        <v>1654</v>
      </c>
      <c r="AI344" t="s">
        <v>1646</v>
      </c>
      <c r="AJ344" t="s">
        <v>26</v>
      </c>
      <c r="AK344" t="s">
        <v>1617</v>
      </c>
      <c r="AL344" t="s">
        <v>1545</v>
      </c>
      <c r="AM344" t="s">
        <v>26</v>
      </c>
      <c r="AN344" s="44" t="s">
        <v>1530</v>
      </c>
      <c r="AO344" t="s">
        <v>1259</v>
      </c>
    </row>
    <row r="345" spans="1:41">
      <c r="A345" s="47"/>
      <c r="B345" s="26" t="s">
        <v>2182</v>
      </c>
      <c r="C345" s="26"/>
      <c r="D345" s="26" t="s">
        <v>2148</v>
      </c>
      <c r="E345" s="26"/>
      <c r="F345" s="26"/>
      <c r="G345" s="27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 t="s">
        <v>2150</v>
      </c>
      <c r="Z345" s="27">
        <v>3</v>
      </c>
      <c r="AA345" t="s">
        <v>1871</v>
      </c>
      <c r="AB345" t="s">
        <v>1263</v>
      </c>
      <c r="AC345" t="s">
        <v>26</v>
      </c>
      <c r="AD345" t="s">
        <v>32</v>
      </c>
      <c r="AE345" t="s">
        <v>33</v>
      </c>
      <c r="AF345" t="s">
        <v>1264</v>
      </c>
      <c r="AG345" t="s">
        <v>1265</v>
      </c>
      <c r="AH345" t="s">
        <v>1872</v>
      </c>
      <c r="AI345" t="s">
        <v>1646</v>
      </c>
      <c r="AJ345" t="s">
        <v>26</v>
      </c>
      <c r="AK345" t="s">
        <v>1873</v>
      </c>
      <c r="AL345" t="s">
        <v>1642</v>
      </c>
      <c r="AM345" t="s">
        <v>1643</v>
      </c>
      <c r="AN345" s="44" t="s">
        <v>1530</v>
      </c>
      <c r="AO345" t="s">
        <v>1259</v>
      </c>
    </row>
    <row r="346" spans="1:41">
      <c r="A346" s="47"/>
      <c r="B346" s="26" t="s">
        <v>2183</v>
      </c>
      <c r="C346" s="26"/>
      <c r="D346" s="26"/>
      <c r="E346" s="26"/>
      <c r="F346" s="26"/>
      <c r="G346" s="27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7">
        <v>1</v>
      </c>
      <c r="AA346" t="s">
        <v>1279</v>
      </c>
    </row>
    <row r="347" spans="1:41" ht="13.9" customHeight="1">
      <c r="A347" s="47">
        <v>506</v>
      </c>
      <c r="B347" s="26" t="s">
        <v>2183</v>
      </c>
      <c r="C347" s="26"/>
      <c r="D347" s="26"/>
      <c r="E347" s="26"/>
      <c r="F347" s="26"/>
      <c r="G347" s="27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7">
        <v>2</v>
      </c>
      <c r="AA347" t="s">
        <v>1</v>
      </c>
      <c r="AB347" t="s">
        <v>1280</v>
      </c>
      <c r="AC347" t="s">
        <v>1281</v>
      </c>
      <c r="AD347" s="146" t="s">
        <v>744</v>
      </c>
    </row>
    <row r="348" spans="1:41">
      <c r="A348" s="47"/>
      <c r="B348" s="26" t="s">
        <v>2183</v>
      </c>
      <c r="C348" s="26"/>
      <c r="D348" s="26"/>
      <c r="E348" s="26"/>
      <c r="F348" s="26"/>
      <c r="G348" s="27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7">
        <v>0</v>
      </c>
      <c r="AA348" t="s">
        <v>1512</v>
      </c>
      <c r="AB348" t="s">
        <v>1513</v>
      </c>
      <c r="AC348" t="s">
        <v>1514</v>
      </c>
      <c r="AD348" t="s">
        <v>9</v>
      </c>
      <c r="AE348" t="s">
        <v>9</v>
      </c>
      <c r="AF348" t="s">
        <v>11</v>
      </c>
      <c r="AG348" t="s">
        <v>13</v>
      </c>
      <c r="AH348" t="s">
        <v>1515</v>
      </c>
      <c r="AI348" t="s">
        <v>1516</v>
      </c>
      <c r="AJ348" t="s">
        <v>1517</v>
      </c>
      <c r="AK348" t="s">
        <v>22</v>
      </c>
      <c r="AL348" t="s">
        <v>1518</v>
      </c>
      <c r="AM348" t="s">
        <v>1519</v>
      </c>
      <c r="AN348" s="44" t="s">
        <v>1520</v>
      </c>
      <c r="AO348" t="s">
        <v>1</v>
      </c>
    </row>
    <row r="349" spans="1:41" s="102" customFormat="1">
      <c r="A349" s="101">
        <v>506</v>
      </c>
      <c r="B349" s="147" t="s">
        <v>2183</v>
      </c>
      <c r="C349" s="147"/>
      <c r="D349" s="147"/>
      <c r="E349" s="147"/>
      <c r="F349" s="147"/>
      <c r="G349" s="101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01">
        <v>4</v>
      </c>
      <c r="AA349" s="102" t="s">
        <v>1524</v>
      </c>
      <c r="AB349" s="102" t="s">
        <v>26</v>
      </c>
      <c r="AC349" s="102" t="s">
        <v>26</v>
      </c>
      <c r="AD349" s="102" t="s">
        <v>26</v>
      </c>
      <c r="AE349" s="102" t="s">
        <v>26</v>
      </c>
      <c r="AF349" s="102" t="s">
        <v>26</v>
      </c>
      <c r="AG349" s="102" t="s">
        <v>26</v>
      </c>
      <c r="AH349" s="102" t="s">
        <v>1527</v>
      </c>
      <c r="AI349" s="102" t="s">
        <v>26</v>
      </c>
      <c r="AJ349" s="102" t="s">
        <v>26</v>
      </c>
      <c r="AK349" s="102" t="s">
        <v>26</v>
      </c>
      <c r="AL349" s="102" t="s">
        <v>26</v>
      </c>
      <c r="AM349" s="102" t="s">
        <v>26</v>
      </c>
      <c r="AN349" s="148" t="s">
        <v>1523</v>
      </c>
      <c r="AO349" s="102">
        <v>359</v>
      </c>
    </row>
    <row r="350" spans="1:41">
      <c r="A350" s="47">
        <v>506</v>
      </c>
      <c r="B350" s="149" t="s">
        <v>2183</v>
      </c>
      <c r="C350" s="149"/>
      <c r="D350" s="149"/>
      <c r="E350" s="149"/>
      <c r="F350" s="149"/>
      <c r="G350" s="146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149"/>
      <c r="W350" s="149"/>
      <c r="X350" s="149"/>
      <c r="Y350" s="149"/>
      <c r="Z350" s="146">
        <v>4</v>
      </c>
      <c r="AA350" s="146" t="s">
        <v>1524</v>
      </c>
      <c r="AB350" s="146" t="s">
        <v>26</v>
      </c>
      <c r="AC350" s="146" t="s">
        <v>26</v>
      </c>
      <c r="AD350" s="146" t="s">
        <v>26</v>
      </c>
      <c r="AE350" s="146" t="s">
        <v>26</v>
      </c>
      <c r="AF350" s="146" t="s">
        <v>26</v>
      </c>
      <c r="AG350" s="146" t="s">
        <v>26</v>
      </c>
      <c r="AH350" s="146" t="s">
        <v>1525</v>
      </c>
      <c r="AI350" s="146" t="s">
        <v>26</v>
      </c>
      <c r="AJ350" s="146" t="s">
        <v>26</v>
      </c>
      <c r="AK350" s="146" t="s">
        <v>26</v>
      </c>
      <c r="AL350" s="146" t="s">
        <v>26</v>
      </c>
      <c r="AM350" s="146" t="s">
        <v>26</v>
      </c>
      <c r="AN350" s="150" t="s">
        <v>1523</v>
      </c>
      <c r="AO350" s="146">
        <v>389</v>
      </c>
    </row>
    <row r="351" spans="1:41">
      <c r="A351" s="47"/>
      <c r="B351" s="26" t="s">
        <v>2183</v>
      </c>
      <c r="C351" s="26"/>
      <c r="D351" s="26"/>
      <c r="E351" s="26"/>
      <c r="F351" s="26"/>
      <c r="G351" s="27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7">
        <v>4</v>
      </c>
      <c r="AA351" t="s">
        <v>14</v>
      </c>
      <c r="AB351" t="s">
        <v>26</v>
      </c>
      <c r="AC351" t="s">
        <v>26</v>
      </c>
      <c r="AD351" t="s">
        <v>26</v>
      </c>
      <c r="AE351" t="s">
        <v>26</v>
      </c>
      <c r="AF351" t="s">
        <v>26</v>
      </c>
      <c r="AG351" t="s">
        <v>26</v>
      </c>
      <c r="AH351" t="s">
        <v>214</v>
      </c>
      <c r="AI351" t="s">
        <v>26</v>
      </c>
      <c r="AJ351" t="s">
        <v>26</v>
      </c>
      <c r="AK351" t="s">
        <v>26</v>
      </c>
      <c r="AL351" t="s">
        <v>26</v>
      </c>
      <c r="AM351" t="s">
        <v>26</v>
      </c>
      <c r="AN351" s="44" t="s">
        <v>1530</v>
      </c>
      <c r="AO351">
        <v>2</v>
      </c>
    </row>
    <row r="352" spans="1:41">
      <c r="A352" s="47"/>
      <c r="B352" s="26" t="s">
        <v>2183</v>
      </c>
      <c r="C352" s="26"/>
      <c r="D352" s="26"/>
      <c r="E352" s="26"/>
      <c r="F352" s="26"/>
      <c r="G352" s="27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7">
        <v>4</v>
      </c>
      <c r="AA352" t="s">
        <v>14</v>
      </c>
      <c r="AB352" t="s">
        <v>26</v>
      </c>
      <c r="AC352" t="s">
        <v>26</v>
      </c>
      <c r="AD352" t="s">
        <v>26</v>
      </c>
      <c r="AE352" t="s">
        <v>26</v>
      </c>
      <c r="AF352" t="s">
        <v>26</v>
      </c>
      <c r="AG352" t="s">
        <v>26</v>
      </c>
      <c r="AH352" t="s">
        <v>321</v>
      </c>
      <c r="AI352" t="s">
        <v>26</v>
      </c>
      <c r="AJ352" t="s">
        <v>26</v>
      </c>
      <c r="AK352" t="s">
        <v>26</v>
      </c>
      <c r="AL352" t="s">
        <v>26</v>
      </c>
      <c r="AM352" t="s">
        <v>26</v>
      </c>
      <c r="AN352" s="44" t="s">
        <v>1530</v>
      </c>
      <c r="AO352">
        <v>2</v>
      </c>
    </row>
    <row r="353" spans="1:41">
      <c r="A353" s="47"/>
      <c r="B353" s="26" t="s">
        <v>2183</v>
      </c>
      <c r="C353" s="26"/>
      <c r="D353" s="26"/>
      <c r="E353" s="26"/>
      <c r="F353" s="26"/>
      <c r="G353" s="27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7">
        <v>4</v>
      </c>
      <c r="AA353" t="s">
        <v>14</v>
      </c>
      <c r="AB353" t="s">
        <v>26</v>
      </c>
      <c r="AC353" t="s">
        <v>26</v>
      </c>
      <c r="AD353" t="s">
        <v>26</v>
      </c>
      <c r="AE353" t="s">
        <v>26</v>
      </c>
      <c r="AF353" t="s">
        <v>26</v>
      </c>
      <c r="AG353" t="s">
        <v>26</v>
      </c>
      <c r="AH353" t="s">
        <v>304</v>
      </c>
      <c r="AI353" t="s">
        <v>26</v>
      </c>
      <c r="AJ353" t="s">
        <v>26</v>
      </c>
      <c r="AK353" t="s">
        <v>26</v>
      </c>
      <c r="AL353" t="s">
        <v>26</v>
      </c>
      <c r="AM353" t="s">
        <v>26</v>
      </c>
      <c r="AN353" s="44" t="s">
        <v>1530</v>
      </c>
      <c r="AO353" t="s">
        <v>1280</v>
      </c>
    </row>
    <row r="354" spans="1:41">
      <c r="A354" s="47"/>
      <c r="B354" s="26" t="s">
        <v>2183</v>
      </c>
      <c r="C354" s="26"/>
      <c r="D354" s="26"/>
      <c r="E354" s="26"/>
      <c r="F354" s="26"/>
      <c r="G354" s="27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7">
        <v>4</v>
      </c>
      <c r="AA354" t="s">
        <v>14</v>
      </c>
      <c r="AB354" t="s">
        <v>26</v>
      </c>
      <c r="AC354" t="s">
        <v>26</v>
      </c>
      <c r="AD354" t="s">
        <v>26</v>
      </c>
      <c r="AE354" t="s">
        <v>26</v>
      </c>
      <c r="AF354" t="s">
        <v>26</v>
      </c>
      <c r="AG354" t="s">
        <v>26</v>
      </c>
      <c r="AH354" t="s">
        <v>243</v>
      </c>
      <c r="AI354" t="s">
        <v>26</v>
      </c>
      <c r="AJ354" t="s">
        <v>26</v>
      </c>
      <c r="AK354" t="s">
        <v>26</v>
      </c>
      <c r="AL354" t="s">
        <v>26</v>
      </c>
      <c r="AM354" t="s">
        <v>26</v>
      </c>
      <c r="AN354" s="44" t="s">
        <v>1530</v>
      </c>
      <c r="AO354">
        <v>4</v>
      </c>
    </row>
    <row r="355" spans="1:41" ht="30">
      <c r="A355" s="47"/>
      <c r="B355" s="26" t="s">
        <v>2183</v>
      </c>
      <c r="C355" s="26"/>
      <c r="D355" s="26" t="s">
        <v>2148</v>
      </c>
      <c r="E355" s="26"/>
      <c r="F355" s="26"/>
      <c r="G355" s="27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 t="s">
        <v>2150</v>
      </c>
      <c r="Z355" s="27">
        <v>3</v>
      </c>
      <c r="AA355" t="s">
        <v>1858</v>
      </c>
      <c r="AB355" t="s">
        <v>1284</v>
      </c>
      <c r="AC355" t="s">
        <v>26</v>
      </c>
      <c r="AD355" t="s">
        <v>1283</v>
      </c>
      <c r="AE355" t="s">
        <v>1283</v>
      </c>
      <c r="AF355" t="s">
        <v>1285</v>
      </c>
      <c r="AG355" t="s">
        <v>1286</v>
      </c>
      <c r="AH355" t="s">
        <v>1859</v>
      </c>
      <c r="AI355" t="s">
        <v>26</v>
      </c>
      <c r="AJ355" t="s">
        <v>26</v>
      </c>
      <c r="AK355" t="s">
        <v>1544</v>
      </c>
      <c r="AL355" t="s">
        <v>1974</v>
      </c>
      <c r="AM355" s="1" t="s">
        <v>1975</v>
      </c>
      <c r="AN355" s="44" t="s">
        <v>1530</v>
      </c>
      <c r="AO355" t="s">
        <v>1280</v>
      </c>
    </row>
    <row r="356" spans="1:41">
      <c r="A356" s="47"/>
      <c r="B356" s="26" t="s">
        <v>2183</v>
      </c>
      <c r="C356" s="26"/>
      <c r="D356" s="26" t="s">
        <v>2196</v>
      </c>
      <c r="E356" s="26"/>
      <c r="F356" s="26"/>
      <c r="G356" s="27"/>
      <c r="H356" s="26"/>
      <c r="I356" s="26"/>
      <c r="J356" s="26" t="s">
        <v>2214</v>
      </c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 t="s">
        <v>2150</v>
      </c>
      <c r="Z356" s="27">
        <v>3</v>
      </c>
      <c r="AA356" t="s">
        <v>1591</v>
      </c>
      <c r="AB356" t="s">
        <v>1976</v>
      </c>
      <c r="AC356" t="s">
        <v>26</v>
      </c>
      <c r="AD356" t="s">
        <v>26</v>
      </c>
      <c r="AE356" t="s">
        <v>1977</v>
      </c>
      <c r="AF356" t="s">
        <v>1976</v>
      </c>
      <c r="AG356" t="s">
        <v>1594</v>
      </c>
      <c r="AH356" t="s">
        <v>1595</v>
      </c>
      <c r="AI356" t="s">
        <v>26</v>
      </c>
      <c r="AJ356" t="s">
        <v>221</v>
      </c>
      <c r="AK356" t="s">
        <v>1596</v>
      </c>
      <c r="AL356" t="s">
        <v>26</v>
      </c>
      <c r="AM356" t="s">
        <v>26</v>
      </c>
      <c r="AN356" s="44" t="s">
        <v>1530</v>
      </c>
      <c r="AO356" t="s">
        <v>1280</v>
      </c>
    </row>
    <row r="357" spans="1:41">
      <c r="A357" s="47"/>
      <c r="B357" s="26" t="s">
        <v>2184</v>
      </c>
      <c r="C357" s="26"/>
      <c r="D357" s="26"/>
      <c r="E357" s="26"/>
      <c r="F357" s="26"/>
      <c r="G357" s="27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7">
        <v>1</v>
      </c>
      <c r="AA357" t="s">
        <v>1298</v>
      </c>
    </row>
    <row r="358" spans="1:41">
      <c r="A358" s="47">
        <v>500</v>
      </c>
      <c r="B358" s="26" t="s">
        <v>2184</v>
      </c>
      <c r="C358" s="26"/>
      <c r="D358" s="26"/>
      <c r="E358" s="26"/>
      <c r="F358" s="26"/>
      <c r="G358" s="27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7">
        <v>2</v>
      </c>
      <c r="AA358" t="s">
        <v>1</v>
      </c>
      <c r="AB358" t="s">
        <v>1299</v>
      </c>
      <c r="AC358" t="s">
        <v>1300</v>
      </c>
      <c r="AD358" s="27" t="s">
        <v>2345</v>
      </c>
    </row>
    <row r="359" spans="1:41">
      <c r="A359" s="47"/>
      <c r="B359" s="26" t="s">
        <v>2184</v>
      </c>
      <c r="C359" s="26"/>
      <c r="D359" s="26"/>
      <c r="E359" s="26"/>
      <c r="F359" s="26"/>
      <c r="G359" s="27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7">
        <v>0</v>
      </c>
      <c r="AA359" t="s">
        <v>1512</v>
      </c>
      <c r="AB359" t="s">
        <v>1513</v>
      </c>
      <c r="AC359" t="s">
        <v>1514</v>
      </c>
      <c r="AD359" t="s">
        <v>9</v>
      </c>
      <c r="AE359" t="s">
        <v>9</v>
      </c>
      <c r="AF359" t="s">
        <v>11</v>
      </c>
      <c r="AG359" t="s">
        <v>13</v>
      </c>
      <c r="AH359" t="s">
        <v>1515</v>
      </c>
      <c r="AI359" t="s">
        <v>1516</v>
      </c>
      <c r="AJ359" t="s">
        <v>1517</v>
      </c>
      <c r="AK359" t="s">
        <v>22</v>
      </c>
      <c r="AL359" t="s">
        <v>1518</v>
      </c>
      <c r="AM359" t="s">
        <v>1519</v>
      </c>
      <c r="AN359" s="44" t="s">
        <v>1520</v>
      </c>
      <c r="AO359" t="s">
        <v>1</v>
      </c>
    </row>
    <row r="360" spans="1:41">
      <c r="A360" s="47"/>
      <c r="B360" s="26" t="s">
        <v>2184</v>
      </c>
      <c r="C360" s="26"/>
      <c r="D360" s="26"/>
      <c r="E360" s="26"/>
      <c r="F360" s="26"/>
      <c r="G360" s="27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7">
        <v>4</v>
      </c>
      <c r="AA360" t="s">
        <v>14</v>
      </c>
      <c r="AB360" t="s">
        <v>26</v>
      </c>
      <c r="AC360" t="s">
        <v>26</v>
      </c>
      <c r="AD360" t="s">
        <v>26</v>
      </c>
      <c r="AE360" t="s">
        <v>26</v>
      </c>
      <c r="AF360" t="s">
        <v>26</v>
      </c>
      <c r="AG360" t="s">
        <v>26</v>
      </c>
      <c r="AH360" t="s">
        <v>68</v>
      </c>
      <c r="AI360" t="s">
        <v>26</v>
      </c>
      <c r="AJ360" t="s">
        <v>26</v>
      </c>
      <c r="AK360" t="s">
        <v>26</v>
      </c>
      <c r="AL360" t="s">
        <v>26</v>
      </c>
      <c r="AM360" t="s">
        <v>26</v>
      </c>
      <c r="AN360" s="44" t="s">
        <v>1530</v>
      </c>
      <c r="AO360">
        <v>2</v>
      </c>
    </row>
    <row r="361" spans="1:41">
      <c r="A361" s="47"/>
      <c r="B361" s="26" t="s">
        <v>2184</v>
      </c>
      <c r="C361" s="26"/>
      <c r="D361" s="26"/>
      <c r="E361" s="26"/>
      <c r="F361" s="26"/>
      <c r="G361" s="27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7">
        <v>4</v>
      </c>
      <c r="AA361" t="s">
        <v>14</v>
      </c>
      <c r="AB361" t="s">
        <v>26</v>
      </c>
      <c r="AC361" t="s">
        <v>26</v>
      </c>
      <c r="AD361" t="s">
        <v>26</v>
      </c>
      <c r="AE361" t="s">
        <v>26</v>
      </c>
      <c r="AF361" t="s">
        <v>26</v>
      </c>
      <c r="AG361" t="s">
        <v>26</v>
      </c>
      <c r="AH361" t="s">
        <v>243</v>
      </c>
      <c r="AI361" t="s">
        <v>26</v>
      </c>
      <c r="AJ361" t="s">
        <v>26</v>
      </c>
      <c r="AK361" t="s">
        <v>26</v>
      </c>
      <c r="AL361" t="s">
        <v>26</v>
      </c>
      <c r="AM361" t="s">
        <v>26</v>
      </c>
      <c r="AN361" s="44" t="s">
        <v>1530</v>
      </c>
      <c r="AO361">
        <v>2</v>
      </c>
    </row>
    <row r="362" spans="1:41">
      <c r="A362" s="47"/>
      <c r="B362" s="26" t="s">
        <v>2185</v>
      </c>
      <c r="C362" s="26"/>
      <c r="D362" s="26"/>
      <c r="E362" s="26"/>
      <c r="F362" s="26"/>
      <c r="G362" s="27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7">
        <v>1</v>
      </c>
      <c r="AA362" t="s">
        <v>1306</v>
      </c>
    </row>
    <row r="363" spans="1:41">
      <c r="A363" s="47">
        <v>506</v>
      </c>
      <c r="B363" s="26" t="s">
        <v>2185</v>
      </c>
      <c r="C363" s="26"/>
      <c r="D363" s="26"/>
      <c r="E363" s="26"/>
      <c r="F363" s="26"/>
      <c r="G363" s="27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7">
        <v>2</v>
      </c>
      <c r="AA363" t="s">
        <v>1</v>
      </c>
      <c r="AB363" t="s">
        <v>1307</v>
      </c>
      <c r="AC363" t="s">
        <v>3</v>
      </c>
      <c r="AD363" s="146" t="s">
        <v>2337</v>
      </c>
    </row>
    <row r="364" spans="1:41">
      <c r="A364" s="47"/>
      <c r="B364" s="26" t="s">
        <v>2185</v>
      </c>
      <c r="C364" s="26"/>
      <c r="D364" s="26"/>
      <c r="E364" s="26"/>
      <c r="F364" s="26"/>
      <c r="G364" s="27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7">
        <v>0</v>
      </c>
      <c r="AA364" t="s">
        <v>1512</v>
      </c>
      <c r="AB364" t="s">
        <v>1513</v>
      </c>
      <c r="AC364" t="s">
        <v>1514</v>
      </c>
      <c r="AD364" t="s">
        <v>9</v>
      </c>
      <c r="AE364" t="s">
        <v>9</v>
      </c>
      <c r="AF364" t="s">
        <v>11</v>
      </c>
      <c r="AG364" t="s">
        <v>13</v>
      </c>
      <c r="AH364" t="s">
        <v>1515</v>
      </c>
      <c r="AI364" t="s">
        <v>1516</v>
      </c>
      <c r="AJ364" t="s">
        <v>1517</v>
      </c>
      <c r="AK364" t="s">
        <v>22</v>
      </c>
      <c r="AL364" t="s">
        <v>1518</v>
      </c>
      <c r="AM364" t="s">
        <v>1519</v>
      </c>
      <c r="AN364" s="44" t="s">
        <v>1520</v>
      </c>
      <c r="AO364" t="s">
        <v>1</v>
      </c>
    </row>
    <row r="365" spans="1:41">
      <c r="A365" s="47">
        <v>504</v>
      </c>
      <c r="B365" s="26" t="s">
        <v>2185</v>
      </c>
      <c r="C365" s="26"/>
      <c r="D365" s="26"/>
      <c r="E365" s="26"/>
      <c r="F365" s="26"/>
      <c r="G365" s="27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7">
        <v>4</v>
      </c>
      <c r="AA365" t="s">
        <v>1524</v>
      </c>
      <c r="AB365" t="s">
        <v>26</v>
      </c>
      <c r="AC365" t="s">
        <v>26</v>
      </c>
      <c r="AD365" t="s">
        <v>26</v>
      </c>
      <c r="AE365" t="s">
        <v>26</v>
      </c>
      <c r="AF365" t="s">
        <v>26</v>
      </c>
      <c r="AG365" t="s">
        <v>26</v>
      </c>
      <c r="AH365" t="s">
        <v>1527</v>
      </c>
      <c r="AI365" t="s">
        <v>26</v>
      </c>
      <c r="AJ365" t="s">
        <v>26</v>
      </c>
      <c r="AK365" t="s">
        <v>26</v>
      </c>
      <c r="AL365" t="s">
        <v>26</v>
      </c>
      <c r="AM365" t="s">
        <v>26</v>
      </c>
      <c r="AN365" s="44" t="s">
        <v>1523</v>
      </c>
      <c r="AO365" s="146">
        <v>635</v>
      </c>
    </row>
    <row r="366" spans="1:41">
      <c r="A366" s="47">
        <v>504</v>
      </c>
      <c r="B366" s="26" t="s">
        <v>2185</v>
      </c>
      <c r="C366" s="26"/>
      <c r="D366" s="26"/>
      <c r="E366" s="26"/>
      <c r="F366" s="26"/>
      <c r="G366" s="27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7">
        <v>4</v>
      </c>
      <c r="AA366" t="s">
        <v>1528</v>
      </c>
      <c r="AB366" t="s">
        <v>26</v>
      </c>
      <c r="AC366" t="s">
        <v>26</v>
      </c>
      <c r="AD366" t="s">
        <v>26</v>
      </c>
      <c r="AE366" t="s">
        <v>26</v>
      </c>
      <c r="AF366" t="s">
        <v>26</v>
      </c>
      <c r="AG366" t="s">
        <v>26</v>
      </c>
      <c r="AH366" t="s">
        <v>1978</v>
      </c>
      <c r="AI366" t="s">
        <v>26</v>
      </c>
      <c r="AJ366" t="s">
        <v>26</v>
      </c>
      <c r="AK366" t="s">
        <v>26</v>
      </c>
      <c r="AL366" t="s">
        <v>26</v>
      </c>
      <c r="AM366" t="s">
        <v>26</v>
      </c>
      <c r="AN366" s="44" t="s">
        <v>1523</v>
      </c>
      <c r="AO366" s="146">
        <v>1109</v>
      </c>
    </row>
    <row r="367" spans="1:41">
      <c r="A367" s="47"/>
      <c r="B367" s="26" t="s">
        <v>2185</v>
      </c>
      <c r="C367" s="26"/>
      <c r="D367" s="26"/>
      <c r="E367" s="26"/>
      <c r="F367" s="26"/>
      <c r="G367" s="27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7">
        <v>4</v>
      </c>
      <c r="AA367" t="s">
        <v>14</v>
      </c>
      <c r="AB367" t="s">
        <v>26</v>
      </c>
      <c r="AC367" t="s">
        <v>26</v>
      </c>
      <c r="AD367" t="s">
        <v>26</v>
      </c>
      <c r="AE367" t="s">
        <v>26</v>
      </c>
      <c r="AF367" t="s">
        <v>26</v>
      </c>
      <c r="AG367" t="s">
        <v>26</v>
      </c>
      <c r="AH367" t="s">
        <v>1318</v>
      </c>
      <c r="AI367" t="s">
        <v>26</v>
      </c>
      <c r="AJ367" t="s">
        <v>26</v>
      </c>
      <c r="AK367" t="s">
        <v>26</v>
      </c>
      <c r="AL367" t="s">
        <v>26</v>
      </c>
      <c r="AM367" t="s">
        <v>26</v>
      </c>
      <c r="AN367" s="44" t="s">
        <v>1530</v>
      </c>
      <c r="AO367" t="s">
        <v>1307</v>
      </c>
    </row>
    <row r="368" spans="1:41">
      <c r="A368" s="47"/>
      <c r="B368" s="26" t="s">
        <v>2185</v>
      </c>
      <c r="C368" s="26"/>
      <c r="D368" s="26"/>
      <c r="E368" s="26"/>
      <c r="F368" s="26"/>
      <c r="G368" s="27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7">
        <v>4</v>
      </c>
      <c r="AA368" t="s">
        <v>14</v>
      </c>
      <c r="AB368" t="s">
        <v>26</v>
      </c>
      <c r="AC368" t="s">
        <v>26</v>
      </c>
      <c r="AD368" t="s">
        <v>26</v>
      </c>
      <c r="AE368" t="s">
        <v>26</v>
      </c>
      <c r="AF368" t="s">
        <v>26</v>
      </c>
      <c r="AG368" t="s">
        <v>26</v>
      </c>
      <c r="AH368" t="s">
        <v>409</v>
      </c>
      <c r="AI368" t="s">
        <v>26</v>
      </c>
      <c r="AJ368" t="s">
        <v>26</v>
      </c>
      <c r="AK368" t="s">
        <v>26</v>
      </c>
      <c r="AL368" t="s">
        <v>26</v>
      </c>
      <c r="AM368" t="s">
        <v>26</v>
      </c>
      <c r="AN368" s="44" t="s">
        <v>1530</v>
      </c>
      <c r="AO368" t="s">
        <v>1307</v>
      </c>
    </row>
    <row r="369" spans="1:42">
      <c r="A369" s="47"/>
      <c r="B369" s="26" t="s">
        <v>2185</v>
      </c>
      <c r="C369" s="26"/>
      <c r="D369" s="26"/>
      <c r="E369" s="26"/>
      <c r="F369" s="26"/>
      <c r="G369" s="27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7">
        <v>4</v>
      </c>
      <c r="AA369" t="s">
        <v>14</v>
      </c>
      <c r="AB369" t="s">
        <v>26</v>
      </c>
      <c r="AC369" t="s">
        <v>26</v>
      </c>
      <c r="AD369" t="s">
        <v>26</v>
      </c>
      <c r="AE369" t="s">
        <v>26</v>
      </c>
      <c r="AF369" t="s">
        <v>26</v>
      </c>
      <c r="AG369" t="s">
        <v>26</v>
      </c>
      <c r="AH369" t="s">
        <v>59</v>
      </c>
      <c r="AI369" t="s">
        <v>26</v>
      </c>
      <c r="AJ369" t="s">
        <v>26</v>
      </c>
      <c r="AK369" t="s">
        <v>26</v>
      </c>
      <c r="AL369" t="s">
        <v>26</v>
      </c>
      <c r="AM369" t="s">
        <v>26</v>
      </c>
      <c r="AN369" s="44" t="s">
        <v>1530</v>
      </c>
      <c r="AO369">
        <v>2</v>
      </c>
    </row>
    <row r="370" spans="1:42">
      <c r="A370" s="47"/>
      <c r="B370" s="26" t="s">
        <v>2185</v>
      </c>
      <c r="C370" s="26"/>
      <c r="D370" s="26" t="s">
        <v>2159</v>
      </c>
      <c r="E370" s="26" t="s">
        <v>2195</v>
      </c>
      <c r="F370" s="26"/>
      <c r="G370" s="27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 t="s">
        <v>2150</v>
      </c>
      <c r="Z370" s="27">
        <v>3</v>
      </c>
      <c r="AA370" t="s">
        <v>1979</v>
      </c>
      <c r="AB370" t="s">
        <v>1315</v>
      </c>
      <c r="AC370" t="s">
        <v>26</v>
      </c>
      <c r="AD370" t="s">
        <v>1314</v>
      </c>
      <c r="AE370" t="s">
        <v>1314</v>
      </c>
      <c r="AF370" t="s">
        <v>1316</v>
      </c>
      <c r="AG370" t="s">
        <v>1317</v>
      </c>
      <c r="AH370" t="s">
        <v>1980</v>
      </c>
      <c r="AI370" t="s">
        <v>1981</v>
      </c>
      <c r="AJ370" t="s">
        <v>26</v>
      </c>
      <c r="AK370" t="s">
        <v>1876</v>
      </c>
      <c r="AL370" t="s">
        <v>1982</v>
      </c>
      <c r="AM370" t="s">
        <v>1983</v>
      </c>
      <c r="AN370" s="44" t="s">
        <v>1530</v>
      </c>
      <c r="AO370" t="s">
        <v>1307</v>
      </c>
    </row>
    <row r="371" spans="1:42">
      <c r="A371" s="47"/>
      <c r="B371" s="26" t="s">
        <v>2185</v>
      </c>
      <c r="C371" s="26"/>
      <c r="D371" s="26" t="s">
        <v>2159</v>
      </c>
      <c r="E371" s="26" t="s">
        <v>2195</v>
      </c>
      <c r="F371" s="26"/>
      <c r="G371" s="27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 t="s">
        <v>2150</v>
      </c>
      <c r="Z371" s="27">
        <v>3</v>
      </c>
      <c r="AA371" t="s">
        <v>1883</v>
      </c>
      <c r="AB371" t="s">
        <v>1311</v>
      </c>
      <c r="AC371" t="s">
        <v>26</v>
      </c>
      <c r="AD371" t="s">
        <v>1310</v>
      </c>
      <c r="AE371" t="s">
        <v>1310</v>
      </c>
      <c r="AF371" t="s">
        <v>1312</v>
      </c>
      <c r="AG371" t="s">
        <v>1313</v>
      </c>
      <c r="AH371" t="s">
        <v>1884</v>
      </c>
      <c r="AI371" t="s">
        <v>1549</v>
      </c>
      <c r="AJ371" t="s">
        <v>26</v>
      </c>
      <c r="AK371" t="s">
        <v>1885</v>
      </c>
      <c r="AL371" t="s">
        <v>1984</v>
      </c>
      <c r="AM371" t="s">
        <v>1985</v>
      </c>
      <c r="AN371" s="44" t="s">
        <v>1530</v>
      </c>
      <c r="AO371" t="s">
        <v>1307</v>
      </c>
    </row>
    <row r="372" spans="1:42">
      <c r="A372" s="47"/>
      <c r="B372" s="26" t="s">
        <v>2185</v>
      </c>
      <c r="C372" s="26"/>
      <c r="D372" s="26" t="s">
        <v>2148</v>
      </c>
      <c r="E372" s="26"/>
      <c r="F372" s="26"/>
      <c r="G372" s="27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 t="s">
        <v>2150</v>
      </c>
      <c r="Z372" s="27">
        <v>3</v>
      </c>
      <c r="AA372" t="s">
        <v>1661</v>
      </c>
      <c r="AB372" t="s">
        <v>1986</v>
      </c>
      <c r="AC372" t="s">
        <v>26</v>
      </c>
      <c r="AD372" t="s">
        <v>26</v>
      </c>
      <c r="AE372" t="s">
        <v>26</v>
      </c>
      <c r="AF372" t="s">
        <v>1986</v>
      </c>
      <c r="AG372" t="s">
        <v>1987</v>
      </c>
      <c r="AH372" t="s">
        <v>1704</v>
      </c>
      <c r="AI372" t="s">
        <v>26</v>
      </c>
      <c r="AJ372" t="s">
        <v>26</v>
      </c>
      <c r="AK372" t="s">
        <v>26</v>
      </c>
      <c r="AL372" t="s">
        <v>26</v>
      </c>
      <c r="AM372" t="s">
        <v>26</v>
      </c>
      <c r="AN372" s="44" t="s">
        <v>1530</v>
      </c>
      <c r="AO372" t="s">
        <v>1307</v>
      </c>
    </row>
    <row r="373" spans="1:42">
      <c r="A373" s="47"/>
      <c r="B373" s="26" t="s">
        <v>2185</v>
      </c>
      <c r="C373" s="26"/>
      <c r="D373" s="26" t="s">
        <v>2159</v>
      </c>
      <c r="E373" s="26"/>
      <c r="F373" s="26"/>
      <c r="G373" s="27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 t="s">
        <v>2150</v>
      </c>
      <c r="Z373" s="27">
        <v>3</v>
      </c>
      <c r="AA373" t="s">
        <v>1686</v>
      </c>
      <c r="AB373" t="s">
        <v>1988</v>
      </c>
      <c r="AC373" t="s">
        <v>26</v>
      </c>
      <c r="AD373" t="s">
        <v>26</v>
      </c>
      <c r="AE373" t="s">
        <v>26</v>
      </c>
      <c r="AF373" t="s">
        <v>1988</v>
      </c>
      <c r="AG373" t="s">
        <v>1317</v>
      </c>
      <c r="AH373" t="s">
        <v>1689</v>
      </c>
      <c r="AI373" t="s">
        <v>26</v>
      </c>
      <c r="AJ373" t="s">
        <v>26</v>
      </c>
      <c r="AK373" t="s">
        <v>26</v>
      </c>
      <c r="AL373" t="s">
        <v>26</v>
      </c>
      <c r="AM373" t="s">
        <v>26</v>
      </c>
      <c r="AN373" s="44" t="s">
        <v>1530</v>
      </c>
      <c r="AO373" t="s">
        <v>1307</v>
      </c>
    </row>
    <row r="374" spans="1:42">
      <c r="A374" s="47"/>
      <c r="B374" s="26" t="s">
        <v>2186</v>
      </c>
      <c r="C374" s="26"/>
      <c r="D374" s="26"/>
      <c r="E374" s="26"/>
      <c r="F374" s="26"/>
      <c r="G374" s="27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7">
        <v>1</v>
      </c>
      <c r="AA374" t="s">
        <v>1323</v>
      </c>
    </row>
    <row r="375" spans="1:42">
      <c r="A375" s="47" t="s">
        <v>2346</v>
      </c>
      <c r="B375" s="26" t="s">
        <v>2186</v>
      </c>
      <c r="C375" s="26"/>
      <c r="D375" s="26"/>
      <c r="E375" s="26"/>
      <c r="F375" s="26"/>
      <c r="G375" s="27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7">
        <v>2</v>
      </c>
      <c r="AA375" t="s">
        <v>1</v>
      </c>
      <c r="AB375" t="s">
        <v>1324</v>
      </c>
      <c r="AC375" t="s">
        <v>1325</v>
      </c>
      <c r="AD375" s="146" t="s">
        <v>2338</v>
      </c>
      <c r="AE375" t="s">
        <v>4</v>
      </c>
    </row>
    <row r="376" spans="1:42">
      <c r="A376" s="47">
        <v>503.50599999999997</v>
      </c>
      <c r="B376" s="26" t="s">
        <v>2186</v>
      </c>
      <c r="C376" s="26"/>
      <c r="D376" s="26"/>
      <c r="E376" s="26"/>
      <c r="F376" s="26"/>
      <c r="G376" s="27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7">
        <v>2</v>
      </c>
      <c r="AA376" t="s">
        <v>509</v>
      </c>
      <c r="AB376" t="s">
        <v>1326</v>
      </c>
      <c r="AC376" t="s">
        <v>1327</v>
      </c>
      <c r="AD376" s="146" t="s">
        <v>2339</v>
      </c>
      <c r="AE376" t="s">
        <v>4</v>
      </c>
    </row>
    <row r="377" spans="1:42">
      <c r="A377" s="47"/>
      <c r="B377" s="26" t="s">
        <v>2186</v>
      </c>
      <c r="C377" s="26"/>
      <c r="D377" s="26"/>
      <c r="E377" s="26"/>
      <c r="F377" s="26"/>
      <c r="G377" s="27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7">
        <v>0</v>
      </c>
      <c r="AA377" t="s">
        <v>1512</v>
      </c>
      <c r="AB377" t="s">
        <v>1513</v>
      </c>
      <c r="AC377" t="s">
        <v>1514</v>
      </c>
      <c r="AD377" t="s">
        <v>9</v>
      </c>
      <c r="AE377" t="s">
        <v>9</v>
      </c>
      <c r="AF377" t="s">
        <v>11</v>
      </c>
      <c r="AG377" t="s">
        <v>13</v>
      </c>
      <c r="AH377" t="s">
        <v>1515</v>
      </c>
      <c r="AI377" t="s">
        <v>1516</v>
      </c>
      <c r="AJ377" t="s">
        <v>1517</v>
      </c>
      <c r="AK377" t="s">
        <v>22</v>
      </c>
      <c r="AL377" t="s">
        <v>1518</v>
      </c>
      <c r="AM377" t="s">
        <v>1519</v>
      </c>
      <c r="AN377" s="44" t="s">
        <v>1520</v>
      </c>
      <c r="AO377" t="s">
        <v>1</v>
      </c>
      <c r="AP377" t="s">
        <v>509</v>
      </c>
    </row>
    <row r="378" spans="1:42">
      <c r="A378" s="47">
        <v>506</v>
      </c>
      <c r="B378" s="26" t="s">
        <v>2186</v>
      </c>
      <c r="C378" s="26"/>
      <c r="D378" s="26"/>
      <c r="E378" s="26"/>
      <c r="F378" s="26"/>
      <c r="G378" s="27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7">
        <v>4</v>
      </c>
      <c r="AA378" t="s">
        <v>1524</v>
      </c>
      <c r="AB378" t="s">
        <v>26</v>
      </c>
      <c r="AC378" t="s">
        <v>26</v>
      </c>
      <c r="AD378" t="s">
        <v>26</v>
      </c>
      <c r="AE378" t="s">
        <v>26</v>
      </c>
      <c r="AF378" t="s">
        <v>26</v>
      </c>
      <c r="AG378" t="s">
        <v>26</v>
      </c>
      <c r="AH378" t="s">
        <v>1525</v>
      </c>
      <c r="AI378" t="s">
        <v>26</v>
      </c>
      <c r="AJ378" t="s">
        <v>26</v>
      </c>
      <c r="AK378" t="s">
        <v>26</v>
      </c>
      <c r="AL378" t="s">
        <v>26</v>
      </c>
      <c r="AM378" t="s">
        <v>26</v>
      </c>
      <c r="AN378" s="44" t="s">
        <v>1523</v>
      </c>
      <c r="AO378" s="146">
        <v>2174</v>
      </c>
      <c r="AP378" s="146">
        <v>2174</v>
      </c>
    </row>
    <row r="379" spans="1:42">
      <c r="A379" s="47">
        <v>504</v>
      </c>
      <c r="B379" s="26" t="s">
        <v>2186</v>
      </c>
      <c r="C379" s="26"/>
      <c r="D379" s="26"/>
      <c r="E379" s="26"/>
      <c r="F379" s="26"/>
      <c r="G379" s="27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7">
        <v>4</v>
      </c>
      <c r="AA379" t="s">
        <v>1524</v>
      </c>
      <c r="AB379" t="s">
        <v>26</v>
      </c>
      <c r="AC379" t="s">
        <v>26</v>
      </c>
      <c r="AD379" t="s">
        <v>26</v>
      </c>
      <c r="AE379" t="s">
        <v>26</v>
      </c>
      <c r="AF379" t="s">
        <v>26</v>
      </c>
      <c r="AG379" t="s">
        <v>26</v>
      </c>
      <c r="AH379" t="s">
        <v>1527</v>
      </c>
      <c r="AI379" t="s">
        <v>26</v>
      </c>
      <c r="AJ379" t="s">
        <v>26</v>
      </c>
      <c r="AK379" t="s">
        <v>26</v>
      </c>
      <c r="AL379" t="s">
        <v>26</v>
      </c>
      <c r="AM379" t="s">
        <v>26</v>
      </c>
      <c r="AN379" s="44" t="s">
        <v>1523</v>
      </c>
      <c r="AO379" s="146">
        <v>919</v>
      </c>
      <c r="AP379" s="146">
        <v>616</v>
      </c>
    </row>
    <row r="380" spans="1:42">
      <c r="A380" s="47"/>
      <c r="B380" s="26" t="s">
        <v>2186</v>
      </c>
      <c r="C380" s="26"/>
      <c r="D380" s="26"/>
      <c r="E380" s="26"/>
      <c r="F380" s="26"/>
      <c r="G380" s="27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7">
        <v>4</v>
      </c>
      <c r="AA380" t="s">
        <v>1989</v>
      </c>
      <c r="AB380" t="s">
        <v>26</v>
      </c>
      <c r="AC380" t="s">
        <v>26</v>
      </c>
      <c r="AD380" t="s">
        <v>26</v>
      </c>
      <c r="AE380" t="s">
        <v>26</v>
      </c>
      <c r="AF380" t="s">
        <v>26</v>
      </c>
      <c r="AG380" t="s">
        <v>26</v>
      </c>
      <c r="AH380" t="s">
        <v>1339</v>
      </c>
      <c r="AI380" t="s">
        <v>26</v>
      </c>
      <c r="AJ380" t="s">
        <v>26</v>
      </c>
      <c r="AK380" t="s">
        <v>26</v>
      </c>
      <c r="AL380" t="s">
        <v>26</v>
      </c>
      <c r="AM380" t="s">
        <v>26</v>
      </c>
      <c r="AN380" s="44" t="s">
        <v>1530</v>
      </c>
      <c r="AO380">
        <v>17</v>
      </c>
      <c r="AP380">
        <v>14</v>
      </c>
    </row>
    <row r="381" spans="1:42">
      <c r="A381" s="47"/>
      <c r="B381" s="26" t="s">
        <v>2186</v>
      </c>
      <c r="C381" s="26"/>
      <c r="D381" s="26"/>
      <c r="E381" s="26"/>
      <c r="F381" s="26"/>
      <c r="G381" s="27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7">
        <v>4</v>
      </c>
      <c r="AA381" t="s">
        <v>14</v>
      </c>
      <c r="AB381" t="s">
        <v>26</v>
      </c>
      <c r="AC381" t="s">
        <v>26</v>
      </c>
      <c r="AD381" t="s">
        <v>26</v>
      </c>
      <c r="AE381" t="s">
        <v>26</v>
      </c>
      <c r="AF381" t="s">
        <v>26</v>
      </c>
      <c r="AG381" t="s">
        <v>26</v>
      </c>
      <c r="AH381" t="s">
        <v>1396</v>
      </c>
      <c r="AI381" t="s">
        <v>26</v>
      </c>
      <c r="AJ381" t="s">
        <v>26</v>
      </c>
      <c r="AK381" t="s">
        <v>26</v>
      </c>
      <c r="AL381" t="s">
        <v>26</v>
      </c>
      <c r="AM381" t="s">
        <v>26</v>
      </c>
      <c r="AN381" s="44" t="s">
        <v>1530</v>
      </c>
      <c r="AO381">
        <v>3</v>
      </c>
      <c r="AP381" t="s">
        <v>26</v>
      </c>
    </row>
    <row r="382" spans="1:42">
      <c r="A382" s="47"/>
      <c r="B382" s="26" t="s">
        <v>2186</v>
      </c>
      <c r="C382" s="26"/>
      <c r="D382" s="26"/>
      <c r="E382" s="26"/>
      <c r="F382" s="26"/>
      <c r="G382" s="27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7">
        <v>4</v>
      </c>
      <c r="AA382" t="s">
        <v>14</v>
      </c>
      <c r="AB382" t="s">
        <v>26</v>
      </c>
      <c r="AC382" t="s">
        <v>26</v>
      </c>
      <c r="AD382" t="s">
        <v>26</v>
      </c>
      <c r="AE382" t="s">
        <v>26</v>
      </c>
      <c r="AF382" t="s">
        <v>26</v>
      </c>
      <c r="AG382" t="s">
        <v>26</v>
      </c>
      <c r="AH382" t="s">
        <v>1405</v>
      </c>
      <c r="AI382" t="s">
        <v>26</v>
      </c>
      <c r="AJ382" t="s">
        <v>26</v>
      </c>
      <c r="AK382" t="s">
        <v>26</v>
      </c>
      <c r="AL382" t="s">
        <v>26</v>
      </c>
      <c r="AM382" t="s">
        <v>26</v>
      </c>
      <c r="AN382" s="44" t="s">
        <v>1530</v>
      </c>
      <c r="AO382">
        <v>4</v>
      </c>
      <c r="AP382">
        <v>4</v>
      </c>
    </row>
    <row r="383" spans="1:42">
      <c r="A383" s="47"/>
      <c r="B383" s="26" t="s">
        <v>2186</v>
      </c>
      <c r="C383" s="26"/>
      <c r="D383" s="26"/>
      <c r="E383" s="26"/>
      <c r="F383" s="26"/>
      <c r="G383" s="27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7">
        <v>4</v>
      </c>
      <c r="AA383" t="s">
        <v>14</v>
      </c>
      <c r="AB383" t="s">
        <v>26</v>
      </c>
      <c r="AC383" t="s">
        <v>26</v>
      </c>
      <c r="AD383" t="s">
        <v>26</v>
      </c>
      <c r="AE383" t="s">
        <v>26</v>
      </c>
      <c r="AF383" t="s">
        <v>26</v>
      </c>
      <c r="AG383" t="s">
        <v>26</v>
      </c>
      <c r="AH383" t="s">
        <v>1338</v>
      </c>
      <c r="AI383" t="s">
        <v>26</v>
      </c>
      <c r="AJ383" t="s">
        <v>26</v>
      </c>
      <c r="AK383" t="s">
        <v>26</v>
      </c>
      <c r="AL383" t="s">
        <v>26</v>
      </c>
      <c r="AM383" t="s">
        <v>26</v>
      </c>
      <c r="AN383" s="44" t="s">
        <v>1530</v>
      </c>
      <c r="AO383">
        <v>17</v>
      </c>
      <c r="AP383">
        <v>14</v>
      </c>
    </row>
    <row r="384" spans="1:42">
      <c r="A384" s="47"/>
      <c r="B384" s="26" t="s">
        <v>2186</v>
      </c>
      <c r="C384" s="26"/>
      <c r="D384" s="26"/>
      <c r="E384" s="26"/>
      <c r="F384" s="26"/>
      <c r="G384" s="27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7">
        <v>4</v>
      </c>
      <c r="AA384" t="s">
        <v>14</v>
      </c>
      <c r="AB384" t="s">
        <v>26</v>
      </c>
      <c r="AC384" t="s">
        <v>26</v>
      </c>
      <c r="AD384" t="s">
        <v>26</v>
      </c>
      <c r="AE384" t="s">
        <v>26</v>
      </c>
      <c r="AF384" t="s">
        <v>26</v>
      </c>
      <c r="AG384" t="s">
        <v>26</v>
      </c>
      <c r="AH384" t="s">
        <v>1333</v>
      </c>
      <c r="AI384" t="s">
        <v>26</v>
      </c>
      <c r="AJ384" t="s">
        <v>26</v>
      </c>
      <c r="AK384" t="s">
        <v>26</v>
      </c>
      <c r="AL384" t="s">
        <v>26</v>
      </c>
      <c r="AM384" t="s">
        <v>26</v>
      </c>
      <c r="AN384" s="44" t="s">
        <v>1530</v>
      </c>
      <c r="AO384">
        <v>13</v>
      </c>
      <c r="AP384">
        <v>13</v>
      </c>
    </row>
    <row r="385" spans="1:42">
      <c r="A385" s="47"/>
      <c r="B385" s="26" t="s">
        <v>2186</v>
      </c>
      <c r="C385" s="26"/>
      <c r="D385" s="26" t="s">
        <v>2188</v>
      </c>
      <c r="E385" s="26" t="s">
        <v>2195</v>
      </c>
      <c r="F385" s="26"/>
      <c r="G385" s="27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 t="s">
        <v>2190</v>
      </c>
      <c r="Z385" s="27">
        <v>3</v>
      </c>
      <c r="AA385" t="s">
        <v>1777</v>
      </c>
      <c r="AB385" t="s">
        <v>1393</v>
      </c>
      <c r="AC385" t="s">
        <v>26</v>
      </c>
      <c r="AD385" t="s">
        <v>1392</v>
      </c>
      <c r="AE385" t="s">
        <v>1392</v>
      </c>
      <c r="AF385" t="s">
        <v>1394</v>
      </c>
      <c r="AG385" t="s">
        <v>1395</v>
      </c>
      <c r="AH385" t="s">
        <v>1990</v>
      </c>
      <c r="AI385" t="s">
        <v>26</v>
      </c>
      <c r="AJ385" t="s">
        <v>26</v>
      </c>
      <c r="AK385" t="s">
        <v>1566</v>
      </c>
      <c r="AL385" t="s">
        <v>1991</v>
      </c>
      <c r="AM385" t="s">
        <v>1992</v>
      </c>
      <c r="AN385" s="44" t="s">
        <v>1530</v>
      </c>
      <c r="AO385" t="s">
        <v>1324</v>
      </c>
      <c r="AP385" t="s">
        <v>26</v>
      </c>
    </row>
    <row r="386" spans="1:42" s="104" customFormat="1">
      <c r="A386" s="27"/>
      <c r="B386" s="26" t="s">
        <v>2186</v>
      </c>
      <c r="C386" s="26"/>
      <c r="D386" s="26" t="s">
        <v>2188</v>
      </c>
      <c r="E386" s="26" t="s">
        <v>2195</v>
      </c>
      <c r="F386" s="26"/>
      <c r="G386" s="27"/>
      <c r="H386" s="26"/>
      <c r="I386" s="26"/>
      <c r="J386" s="26"/>
      <c r="K386" s="26"/>
      <c r="L386" s="26"/>
      <c r="M386" s="145">
        <v>920006998</v>
      </c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 t="s">
        <v>2190</v>
      </c>
      <c r="Z386" s="27">
        <v>3</v>
      </c>
      <c r="AA386" s="104" t="s">
        <v>1993</v>
      </c>
      <c r="AB386" s="104" t="s">
        <v>1335</v>
      </c>
      <c r="AC386" s="104" t="s">
        <v>26</v>
      </c>
      <c r="AD386" s="104" t="s">
        <v>1334</v>
      </c>
      <c r="AE386" s="104" t="s">
        <v>1334</v>
      </c>
      <c r="AF386" s="104" t="s">
        <v>1336</v>
      </c>
      <c r="AG386" s="104" t="s">
        <v>1337</v>
      </c>
      <c r="AH386" s="104" t="s">
        <v>1994</v>
      </c>
      <c r="AI386" s="104" t="s">
        <v>26</v>
      </c>
      <c r="AJ386" s="104" t="s">
        <v>26</v>
      </c>
      <c r="AK386" s="104" t="s">
        <v>1566</v>
      </c>
      <c r="AL386" s="104" t="s">
        <v>1995</v>
      </c>
      <c r="AM386" s="104" t="s">
        <v>1996</v>
      </c>
      <c r="AN386" s="157" t="s">
        <v>1530</v>
      </c>
      <c r="AO386" s="104" t="s">
        <v>1324</v>
      </c>
      <c r="AP386" s="104" t="s">
        <v>1326</v>
      </c>
    </row>
    <row r="387" spans="1:42">
      <c r="A387" s="178"/>
      <c r="B387" s="179" t="s">
        <v>2186</v>
      </c>
      <c r="C387" s="179"/>
      <c r="D387" s="179" t="s">
        <v>2188</v>
      </c>
      <c r="E387" s="179"/>
      <c r="F387" s="179"/>
      <c r="G387" s="178"/>
      <c r="H387" s="179"/>
      <c r="I387" s="179"/>
      <c r="J387" s="179"/>
      <c r="K387" s="179"/>
      <c r="L387" s="179"/>
      <c r="M387" s="183">
        <v>920007000</v>
      </c>
      <c r="N387" s="179"/>
      <c r="O387" s="179"/>
      <c r="P387" s="179"/>
      <c r="Q387" s="179"/>
      <c r="R387" s="179"/>
      <c r="S387" s="179"/>
      <c r="T387" s="179"/>
      <c r="U387" s="179"/>
      <c r="V387" s="179"/>
      <c r="W387" s="179"/>
      <c r="X387" s="179"/>
      <c r="Y387" s="179" t="s">
        <v>2190</v>
      </c>
      <c r="Z387" s="178">
        <v>3</v>
      </c>
      <c r="AA387" s="181" t="s">
        <v>2377</v>
      </c>
      <c r="AB387" s="181" t="s">
        <v>1335</v>
      </c>
      <c r="AC387" s="181" t="s">
        <v>26</v>
      </c>
      <c r="AD387" s="181" t="s">
        <v>1334</v>
      </c>
      <c r="AE387" s="181" t="s">
        <v>1334</v>
      </c>
      <c r="AF387" s="181" t="s">
        <v>1336</v>
      </c>
      <c r="AG387" s="181" t="s">
        <v>1337</v>
      </c>
      <c r="AH387" s="181" t="s">
        <v>1994</v>
      </c>
      <c r="AI387" s="181" t="s">
        <v>26</v>
      </c>
      <c r="AJ387" s="181" t="s">
        <v>26</v>
      </c>
      <c r="AK387" s="181" t="s">
        <v>1566</v>
      </c>
      <c r="AL387" s="181" t="s">
        <v>1995</v>
      </c>
      <c r="AM387" s="181" t="s">
        <v>1996</v>
      </c>
      <c r="AN387" s="182" t="s">
        <v>1530</v>
      </c>
      <c r="AO387" s="181">
        <v>0</v>
      </c>
      <c r="AP387" s="181">
        <v>0</v>
      </c>
    </row>
    <row r="388" spans="1:42">
      <c r="A388" s="178"/>
      <c r="B388" s="179" t="s">
        <v>2186</v>
      </c>
      <c r="C388" s="179"/>
      <c r="D388" s="179" t="s">
        <v>2188</v>
      </c>
      <c r="E388" s="179"/>
      <c r="F388" s="179"/>
      <c r="G388" s="178"/>
      <c r="H388" s="179"/>
      <c r="I388" s="179"/>
      <c r="J388" s="179"/>
      <c r="K388" s="179"/>
      <c r="L388" s="179"/>
      <c r="M388" s="183">
        <v>920007001</v>
      </c>
      <c r="N388" s="179"/>
      <c r="O388" s="179"/>
      <c r="P388" s="179"/>
      <c r="Q388" s="179"/>
      <c r="R388" s="179"/>
      <c r="S388" s="179"/>
      <c r="T388" s="179"/>
      <c r="U388" s="179"/>
      <c r="V388" s="179"/>
      <c r="W388" s="179"/>
      <c r="X388" s="179"/>
      <c r="Y388" s="179" t="s">
        <v>2190</v>
      </c>
      <c r="Z388" s="178">
        <v>3</v>
      </c>
      <c r="AA388" s="181" t="s">
        <v>2378</v>
      </c>
      <c r="AB388" s="181" t="s">
        <v>1335</v>
      </c>
      <c r="AC388" s="181" t="s">
        <v>26</v>
      </c>
      <c r="AD388" s="181" t="s">
        <v>1334</v>
      </c>
      <c r="AE388" s="181" t="s">
        <v>1334</v>
      </c>
      <c r="AF388" s="181" t="s">
        <v>1336</v>
      </c>
      <c r="AG388" s="181" t="s">
        <v>1337</v>
      </c>
      <c r="AH388" s="181" t="s">
        <v>1994</v>
      </c>
      <c r="AI388" s="181" t="s">
        <v>26</v>
      </c>
      <c r="AJ388" s="181" t="s">
        <v>26</v>
      </c>
      <c r="AK388" s="181" t="s">
        <v>1566</v>
      </c>
      <c r="AL388" s="181" t="s">
        <v>1995</v>
      </c>
      <c r="AM388" s="181" t="s">
        <v>1996</v>
      </c>
      <c r="AN388" s="182" t="s">
        <v>1530</v>
      </c>
      <c r="AO388" s="181">
        <v>0</v>
      </c>
      <c r="AP388" s="181">
        <v>0</v>
      </c>
    </row>
    <row r="389" spans="1:42">
      <c r="A389" s="178"/>
      <c r="B389" s="179" t="s">
        <v>2186</v>
      </c>
      <c r="C389" s="179"/>
      <c r="D389" s="179" t="s">
        <v>2188</v>
      </c>
      <c r="E389" s="179"/>
      <c r="F389" s="179"/>
      <c r="G389" s="178"/>
      <c r="H389" s="179"/>
      <c r="I389" s="179"/>
      <c r="J389" s="179"/>
      <c r="K389" s="179"/>
      <c r="L389" s="179"/>
      <c r="M389" s="183">
        <v>920007002</v>
      </c>
      <c r="N389" s="179"/>
      <c r="O389" s="179"/>
      <c r="P389" s="179"/>
      <c r="Q389" s="179"/>
      <c r="R389" s="179"/>
      <c r="S389" s="179"/>
      <c r="T389" s="179"/>
      <c r="U389" s="179"/>
      <c r="V389" s="179"/>
      <c r="W389" s="179"/>
      <c r="X389" s="179"/>
      <c r="Y389" s="179" t="s">
        <v>2190</v>
      </c>
      <c r="Z389" s="178">
        <v>3</v>
      </c>
      <c r="AA389" s="181" t="s">
        <v>2379</v>
      </c>
      <c r="AB389" s="181" t="s">
        <v>1335</v>
      </c>
      <c r="AC389" s="181" t="s">
        <v>26</v>
      </c>
      <c r="AD389" s="181" t="s">
        <v>1334</v>
      </c>
      <c r="AE389" s="181" t="s">
        <v>1334</v>
      </c>
      <c r="AF389" s="181" t="s">
        <v>1336</v>
      </c>
      <c r="AG389" s="181" t="s">
        <v>1337</v>
      </c>
      <c r="AH389" s="181" t="s">
        <v>1994</v>
      </c>
      <c r="AI389" s="181" t="s">
        <v>26</v>
      </c>
      <c r="AJ389" s="181" t="s">
        <v>26</v>
      </c>
      <c r="AK389" s="181" t="s">
        <v>1566</v>
      </c>
      <c r="AL389" s="181" t="s">
        <v>1995</v>
      </c>
      <c r="AM389" s="181" t="s">
        <v>1996</v>
      </c>
      <c r="AN389" s="182" t="s">
        <v>1530</v>
      </c>
      <c r="AO389" s="181">
        <v>0</v>
      </c>
      <c r="AP389" s="181">
        <v>0</v>
      </c>
    </row>
    <row r="390" spans="1:42">
      <c r="A390" s="47"/>
      <c r="B390" s="26" t="s">
        <v>2186</v>
      </c>
      <c r="C390" s="26"/>
      <c r="D390" s="26" t="s">
        <v>2188</v>
      </c>
      <c r="E390" s="26"/>
      <c r="F390" s="26"/>
      <c r="G390" s="27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7">
        <v>3</v>
      </c>
      <c r="AA390" t="s">
        <v>1997</v>
      </c>
      <c r="AB390" t="s">
        <v>1998</v>
      </c>
      <c r="AC390" t="s">
        <v>26</v>
      </c>
      <c r="AD390" t="s">
        <v>26</v>
      </c>
      <c r="AE390" t="s">
        <v>26</v>
      </c>
      <c r="AF390" t="s">
        <v>1998</v>
      </c>
      <c r="AG390" t="s">
        <v>1337</v>
      </c>
      <c r="AH390" t="s">
        <v>1999</v>
      </c>
      <c r="AI390" t="s">
        <v>26</v>
      </c>
      <c r="AJ390" t="s">
        <v>1336</v>
      </c>
      <c r="AK390" t="s">
        <v>26</v>
      </c>
      <c r="AL390" t="s">
        <v>26</v>
      </c>
      <c r="AM390" t="s">
        <v>26</v>
      </c>
      <c r="AN390" s="44" t="s">
        <v>1530</v>
      </c>
      <c r="AO390" t="s">
        <v>1324</v>
      </c>
      <c r="AP390" t="s">
        <v>1326</v>
      </c>
    </row>
    <row r="391" spans="1:42">
      <c r="A391" s="47"/>
      <c r="B391" s="26" t="s">
        <v>2186</v>
      </c>
      <c r="C391" s="26"/>
      <c r="D391" s="26" t="s">
        <v>2188</v>
      </c>
      <c r="E391" s="26" t="s">
        <v>2195</v>
      </c>
      <c r="F391" s="26"/>
      <c r="G391" s="27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 t="s">
        <v>2190</v>
      </c>
      <c r="Z391" s="27">
        <v>4</v>
      </c>
      <c r="AA391" t="s">
        <v>2000</v>
      </c>
      <c r="AB391" t="s">
        <v>26</v>
      </c>
      <c r="AC391" t="s">
        <v>26</v>
      </c>
      <c r="AD391" t="s">
        <v>26</v>
      </c>
      <c r="AE391" t="s">
        <v>26</v>
      </c>
      <c r="AF391" t="s">
        <v>26</v>
      </c>
      <c r="AG391" t="s">
        <v>26</v>
      </c>
      <c r="AH391" t="s">
        <v>2001</v>
      </c>
      <c r="AI391" t="s">
        <v>26</v>
      </c>
      <c r="AJ391" t="s">
        <v>1336</v>
      </c>
      <c r="AK391" t="s">
        <v>26</v>
      </c>
      <c r="AL391" t="s">
        <v>26</v>
      </c>
      <c r="AM391" t="s">
        <v>26</v>
      </c>
      <c r="AN391" s="44" t="s">
        <v>1530</v>
      </c>
      <c r="AO391" t="s">
        <v>2002</v>
      </c>
      <c r="AP391" t="s">
        <v>2002</v>
      </c>
    </row>
    <row r="392" spans="1:42">
      <c r="A392" s="47"/>
      <c r="B392" s="26" t="s">
        <v>2186</v>
      </c>
      <c r="C392" s="26"/>
      <c r="D392" s="26" t="s">
        <v>2188</v>
      </c>
      <c r="E392" s="26" t="s">
        <v>2195</v>
      </c>
      <c r="F392" s="26"/>
      <c r="G392" s="27"/>
      <c r="H392" s="26"/>
      <c r="I392" s="26"/>
      <c r="J392" s="26"/>
      <c r="K392" s="26"/>
      <c r="L392" s="26"/>
      <c r="M392" s="26">
        <v>980018116</v>
      </c>
      <c r="N392" s="26"/>
      <c r="O392" s="26"/>
      <c r="P392" s="26"/>
      <c r="Q392" s="26"/>
      <c r="R392" s="26"/>
      <c r="S392" s="26"/>
      <c r="T392" s="26">
        <v>980018116</v>
      </c>
      <c r="U392" s="26"/>
      <c r="V392" s="26"/>
      <c r="W392" s="26"/>
      <c r="X392" s="26"/>
      <c r="Y392" s="26" t="s">
        <v>2190</v>
      </c>
      <c r="Z392" s="27">
        <v>3</v>
      </c>
      <c r="AA392" t="s">
        <v>2003</v>
      </c>
      <c r="AB392" t="s">
        <v>1330</v>
      </c>
      <c r="AC392" t="s">
        <v>26</v>
      </c>
      <c r="AD392" t="s">
        <v>1329</v>
      </c>
      <c r="AE392" t="s">
        <v>1329</v>
      </c>
      <c r="AF392" t="s">
        <v>1331</v>
      </c>
      <c r="AG392" t="s">
        <v>1332</v>
      </c>
      <c r="AH392" t="s">
        <v>2004</v>
      </c>
      <c r="AI392" t="s">
        <v>2005</v>
      </c>
      <c r="AJ392" t="s">
        <v>26</v>
      </c>
      <c r="AK392" t="s">
        <v>2006</v>
      </c>
      <c r="AL392" t="s">
        <v>2007</v>
      </c>
      <c r="AM392" t="s">
        <v>2008</v>
      </c>
      <c r="AN392" s="44" t="s">
        <v>1530</v>
      </c>
      <c r="AO392" t="s">
        <v>1324</v>
      </c>
      <c r="AP392" t="s">
        <v>1326</v>
      </c>
    </row>
    <row r="393" spans="1:42">
      <c r="A393" s="47"/>
      <c r="B393" s="26" t="s">
        <v>2186</v>
      </c>
      <c r="C393" s="26"/>
      <c r="D393" s="26" t="s">
        <v>2188</v>
      </c>
      <c r="E393" s="26" t="s">
        <v>2195</v>
      </c>
      <c r="F393" s="26"/>
      <c r="G393" s="27"/>
      <c r="H393" s="26"/>
      <c r="I393" s="26"/>
      <c r="J393" s="26"/>
      <c r="K393" s="26"/>
      <c r="L393" s="26"/>
      <c r="M393" s="26">
        <v>980018079</v>
      </c>
      <c r="N393" s="26"/>
      <c r="O393" s="26"/>
      <c r="P393" s="26"/>
      <c r="Q393" s="26"/>
      <c r="R393" s="26"/>
      <c r="S393" s="26"/>
      <c r="T393" s="26">
        <v>980018079</v>
      </c>
      <c r="U393" s="26"/>
      <c r="V393" s="26"/>
      <c r="W393" s="26"/>
      <c r="X393" s="26"/>
      <c r="Y393" s="26" t="s">
        <v>2190</v>
      </c>
      <c r="Z393" s="27">
        <v>3</v>
      </c>
      <c r="AA393" t="s">
        <v>2003</v>
      </c>
      <c r="AB393" t="s">
        <v>1381</v>
      </c>
      <c r="AC393" t="s">
        <v>26</v>
      </c>
      <c r="AD393" t="s">
        <v>1380</v>
      </c>
      <c r="AE393" t="s">
        <v>1380</v>
      </c>
      <c r="AF393" t="s">
        <v>1382</v>
      </c>
      <c r="AG393" t="s">
        <v>1383</v>
      </c>
      <c r="AH393" t="s">
        <v>2004</v>
      </c>
      <c r="AI393" t="s">
        <v>2005</v>
      </c>
      <c r="AJ393" t="s">
        <v>26</v>
      </c>
      <c r="AK393" t="s">
        <v>2006</v>
      </c>
      <c r="AL393" t="s">
        <v>2009</v>
      </c>
      <c r="AM393" t="s">
        <v>2010</v>
      </c>
      <c r="AN393" s="44" t="s">
        <v>1530</v>
      </c>
      <c r="AO393" t="s">
        <v>1324</v>
      </c>
      <c r="AP393" t="s">
        <v>1326</v>
      </c>
    </row>
    <row r="394" spans="1:42">
      <c r="A394" s="47"/>
      <c r="B394" s="26" t="s">
        <v>2186</v>
      </c>
      <c r="C394" s="26"/>
      <c r="D394" s="26" t="s">
        <v>2188</v>
      </c>
      <c r="E394" s="26" t="s">
        <v>2195</v>
      </c>
      <c r="F394" s="26"/>
      <c r="G394" s="27"/>
      <c r="H394" s="26"/>
      <c r="I394" s="26"/>
      <c r="J394" s="26"/>
      <c r="K394" s="26"/>
      <c r="L394" s="26"/>
      <c r="M394" s="26">
        <v>980018117</v>
      </c>
      <c r="N394" s="26"/>
      <c r="O394" s="26"/>
      <c r="P394" s="26"/>
      <c r="Q394" s="26"/>
      <c r="R394" s="26"/>
      <c r="S394" s="26"/>
      <c r="T394" s="26">
        <v>980018117</v>
      </c>
      <c r="U394" s="26"/>
      <c r="V394" s="26"/>
      <c r="W394" s="26"/>
      <c r="X394" s="26"/>
      <c r="Y394" s="26" t="s">
        <v>2190</v>
      </c>
      <c r="Z394" s="27">
        <v>3</v>
      </c>
      <c r="AA394" t="s">
        <v>2003</v>
      </c>
      <c r="AB394" t="s">
        <v>1350</v>
      </c>
      <c r="AC394" t="s">
        <v>26</v>
      </c>
      <c r="AD394" t="s">
        <v>1349</v>
      </c>
      <c r="AE394" t="s">
        <v>1349</v>
      </c>
      <c r="AF394" t="s">
        <v>1351</v>
      </c>
      <c r="AG394" t="s">
        <v>1352</v>
      </c>
      <c r="AH394" t="s">
        <v>2004</v>
      </c>
      <c r="AI394" t="s">
        <v>2005</v>
      </c>
      <c r="AJ394" t="s">
        <v>26</v>
      </c>
      <c r="AK394" t="s">
        <v>2006</v>
      </c>
      <c r="AL394" t="s">
        <v>2011</v>
      </c>
      <c r="AM394" t="s">
        <v>2012</v>
      </c>
      <c r="AN394" s="44" t="s">
        <v>1530</v>
      </c>
      <c r="AO394" t="s">
        <v>1324</v>
      </c>
      <c r="AP394" t="s">
        <v>1326</v>
      </c>
    </row>
    <row r="395" spans="1:42">
      <c r="A395" s="47"/>
      <c r="B395" s="26" t="s">
        <v>2186</v>
      </c>
      <c r="C395" s="26"/>
      <c r="D395" s="26" t="s">
        <v>2188</v>
      </c>
      <c r="E395" s="26" t="s">
        <v>2195</v>
      </c>
      <c r="F395" s="26"/>
      <c r="G395" s="27"/>
      <c r="H395" s="26"/>
      <c r="I395" s="26"/>
      <c r="J395" s="26"/>
      <c r="K395" s="26"/>
      <c r="L395" s="26"/>
      <c r="M395" s="26">
        <v>980017457</v>
      </c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 t="s">
        <v>2190</v>
      </c>
      <c r="Z395" s="27">
        <v>3</v>
      </c>
      <c r="AA395" t="s">
        <v>2013</v>
      </c>
      <c r="AB395" t="s">
        <v>1361</v>
      </c>
      <c r="AC395" t="s">
        <v>26</v>
      </c>
      <c r="AD395" t="s">
        <v>1349</v>
      </c>
      <c r="AE395" t="s">
        <v>1349</v>
      </c>
      <c r="AF395" t="s">
        <v>1362</v>
      </c>
      <c r="AG395" t="s">
        <v>1352</v>
      </c>
      <c r="AH395" t="s">
        <v>2014</v>
      </c>
      <c r="AI395" t="s">
        <v>2015</v>
      </c>
      <c r="AJ395" t="s">
        <v>26</v>
      </c>
      <c r="AK395" t="s">
        <v>2016</v>
      </c>
      <c r="AL395" t="s">
        <v>2011</v>
      </c>
      <c r="AM395" t="s">
        <v>2012</v>
      </c>
      <c r="AN395" s="44" t="s">
        <v>1530</v>
      </c>
      <c r="AO395" t="s">
        <v>1324</v>
      </c>
      <c r="AP395" t="s">
        <v>1326</v>
      </c>
    </row>
    <row r="396" spans="1:42">
      <c r="A396" s="47"/>
      <c r="B396" s="26" t="s">
        <v>2186</v>
      </c>
      <c r="C396" s="26"/>
      <c r="D396" s="26" t="s">
        <v>2188</v>
      </c>
      <c r="E396" s="26" t="s">
        <v>2195</v>
      </c>
      <c r="F396" s="26"/>
      <c r="G396" s="27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 t="s">
        <v>2190</v>
      </c>
      <c r="Z396" s="27">
        <v>3</v>
      </c>
      <c r="AA396" t="s">
        <v>2017</v>
      </c>
      <c r="AB396" t="s">
        <v>1370</v>
      </c>
      <c r="AC396" t="s">
        <v>26</v>
      </c>
      <c r="AD396" t="s">
        <v>1349</v>
      </c>
      <c r="AE396" t="s">
        <v>1349</v>
      </c>
      <c r="AF396" t="s">
        <v>1371</v>
      </c>
      <c r="AG396" t="s">
        <v>1372</v>
      </c>
      <c r="AH396" t="s">
        <v>2018</v>
      </c>
      <c r="AI396" t="s">
        <v>2015</v>
      </c>
      <c r="AJ396" t="s">
        <v>26</v>
      </c>
      <c r="AK396" t="s">
        <v>2019</v>
      </c>
      <c r="AL396" t="s">
        <v>2011</v>
      </c>
      <c r="AM396" t="s">
        <v>2012</v>
      </c>
      <c r="AN396" s="44" t="s">
        <v>1530</v>
      </c>
      <c r="AO396" t="s">
        <v>1324</v>
      </c>
      <c r="AP396" t="s">
        <v>1326</v>
      </c>
    </row>
    <row r="397" spans="1:42">
      <c r="A397" s="47"/>
      <c r="B397" s="26" t="s">
        <v>2186</v>
      </c>
      <c r="C397" s="26"/>
      <c r="D397" s="26" t="s">
        <v>2188</v>
      </c>
      <c r="E397" s="26"/>
      <c r="F397" s="26"/>
      <c r="G397" s="27"/>
      <c r="H397" s="26"/>
      <c r="I397" s="26"/>
      <c r="J397" s="26"/>
      <c r="K397" s="26"/>
      <c r="L397" s="40" t="s">
        <v>2206</v>
      </c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 t="s">
        <v>2190</v>
      </c>
      <c r="Z397" s="27">
        <v>3</v>
      </c>
      <c r="AA397" t="s">
        <v>2020</v>
      </c>
      <c r="AB397" t="s">
        <v>2021</v>
      </c>
      <c r="AC397" t="s">
        <v>26</v>
      </c>
      <c r="AD397" t="s">
        <v>26</v>
      </c>
      <c r="AE397" t="s">
        <v>26</v>
      </c>
      <c r="AF397" t="s">
        <v>2021</v>
      </c>
      <c r="AG397" t="s">
        <v>2022</v>
      </c>
      <c r="AH397" t="s">
        <v>2023</v>
      </c>
      <c r="AI397" t="s">
        <v>26</v>
      </c>
      <c r="AJ397" t="s">
        <v>26</v>
      </c>
      <c r="AK397" t="s">
        <v>26</v>
      </c>
      <c r="AL397" t="s">
        <v>26</v>
      </c>
      <c r="AM397" t="s">
        <v>26</v>
      </c>
      <c r="AN397" s="44" t="s">
        <v>1530</v>
      </c>
      <c r="AO397" t="s">
        <v>1324</v>
      </c>
      <c r="AP397" t="s">
        <v>1326</v>
      </c>
    </row>
    <row r="398" spans="1:42">
      <c r="A398" s="47"/>
      <c r="B398" s="26" t="s">
        <v>2186</v>
      </c>
      <c r="C398" s="26"/>
      <c r="D398" s="26" t="s">
        <v>2188</v>
      </c>
      <c r="E398" s="26"/>
      <c r="F398" s="26"/>
      <c r="G398" s="27"/>
      <c r="H398" s="26"/>
      <c r="I398" s="26"/>
      <c r="J398" s="26"/>
      <c r="K398" s="26"/>
      <c r="L398" s="40" t="s">
        <v>2206</v>
      </c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 t="s">
        <v>2190</v>
      </c>
      <c r="Z398" s="27">
        <v>3</v>
      </c>
      <c r="AA398" t="s">
        <v>1805</v>
      </c>
      <c r="AB398" t="s">
        <v>2024</v>
      </c>
      <c r="AC398" t="s">
        <v>26</v>
      </c>
      <c r="AD398" t="s">
        <v>26</v>
      </c>
      <c r="AE398" t="s">
        <v>26</v>
      </c>
      <c r="AF398" t="s">
        <v>2024</v>
      </c>
      <c r="AG398" t="s">
        <v>2025</v>
      </c>
      <c r="AH398" t="s">
        <v>1807</v>
      </c>
      <c r="AI398" t="s">
        <v>26</v>
      </c>
      <c r="AJ398" t="s">
        <v>26</v>
      </c>
      <c r="AK398" t="s">
        <v>26</v>
      </c>
      <c r="AL398" t="s">
        <v>26</v>
      </c>
      <c r="AM398" t="s">
        <v>26</v>
      </c>
      <c r="AN398" s="44" t="s">
        <v>1530</v>
      </c>
      <c r="AO398" t="s">
        <v>1324</v>
      </c>
      <c r="AP398" t="s">
        <v>1326</v>
      </c>
    </row>
    <row r="399" spans="1:42">
      <c r="A399" s="47"/>
      <c r="B399" s="26" t="s">
        <v>2186</v>
      </c>
      <c r="C399" s="26"/>
      <c r="D399" s="26" t="s">
        <v>2188</v>
      </c>
      <c r="E399" s="26"/>
      <c r="F399" s="26"/>
      <c r="G399" s="27"/>
      <c r="H399" s="26"/>
      <c r="I399" s="26"/>
      <c r="J399" s="26"/>
      <c r="K399" s="26"/>
      <c r="L399" s="40" t="s">
        <v>2206</v>
      </c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 t="s">
        <v>2190</v>
      </c>
      <c r="Z399" s="27">
        <v>3</v>
      </c>
      <c r="AA399" t="s">
        <v>1805</v>
      </c>
      <c r="AB399" t="s">
        <v>2026</v>
      </c>
      <c r="AC399" t="s">
        <v>26</v>
      </c>
      <c r="AD399" t="s">
        <v>26</v>
      </c>
      <c r="AE399" t="s">
        <v>26</v>
      </c>
      <c r="AF399" t="s">
        <v>2026</v>
      </c>
      <c r="AG399" t="s">
        <v>2025</v>
      </c>
      <c r="AH399" t="s">
        <v>1807</v>
      </c>
      <c r="AI399" t="s">
        <v>26</v>
      </c>
      <c r="AJ399" t="s">
        <v>26</v>
      </c>
      <c r="AK399" t="s">
        <v>26</v>
      </c>
      <c r="AL399" t="s">
        <v>26</v>
      </c>
      <c r="AM399" t="s">
        <v>26</v>
      </c>
      <c r="AN399" s="44" t="s">
        <v>1530</v>
      </c>
      <c r="AO399" t="s">
        <v>1324</v>
      </c>
      <c r="AP399" t="s">
        <v>1326</v>
      </c>
    </row>
    <row r="400" spans="1:42">
      <c r="A400" s="47"/>
      <c r="B400" s="26" t="s">
        <v>2186</v>
      </c>
      <c r="C400" s="26"/>
      <c r="D400" s="26" t="s">
        <v>2188</v>
      </c>
      <c r="E400" s="26"/>
      <c r="F400" s="26"/>
      <c r="G400" s="27"/>
      <c r="H400" s="26"/>
      <c r="I400" s="26"/>
      <c r="J400" s="26"/>
      <c r="K400" s="26"/>
      <c r="L400" s="40" t="s">
        <v>2206</v>
      </c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 t="s">
        <v>2190</v>
      </c>
      <c r="Z400" s="27">
        <v>3</v>
      </c>
      <c r="AA400" t="s">
        <v>1805</v>
      </c>
      <c r="AB400" t="s">
        <v>2027</v>
      </c>
      <c r="AC400" t="s">
        <v>26</v>
      </c>
      <c r="AD400" t="s">
        <v>26</v>
      </c>
      <c r="AE400" t="s">
        <v>26</v>
      </c>
      <c r="AF400" t="s">
        <v>2027</v>
      </c>
      <c r="AG400" t="s">
        <v>2028</v>
      </c>
      <c r="AH400" t="s">
        <v>2029</v>
      </c>
      <c r="AI400" t="s">
        <v>26</v>
      </c>
      <c r="AJ400" t="s">
        <v>26</v>
      </c>
      <c r="AK400" t="s">
        <v>26</v>
      </c>
      <c r="AL400" t="s">
        <v>26</v>
      </c>
      <c r="AM400" t="s">
        <v>26</v>
      </c>
      <c r="AN400" s="44" t="s">
        <v>1530</v>
      </c>
      <c r="AO400" t="s">
        <v>1324</v>
      </c>
      <c r="AP400" t="s">
        <v>1326</v>
      </c>
    </row>
    <row r="401" spans="1:42">
      <c r="A401" s="47"/>
      <c r="B401" s="26" t="s">
        <v>2193</v>
      </c>
      <c r="C401" s="26"/>
      <c r="D401" s="26"/>
      <c r="E401" s="26"/>
      <c r="F401" s="26"/>
      <c r="G401" s="27"/>
      <c r="H401" s="26"/>
      <c r="I401" s="26"/>
      <c r="J401" s="26"/>
      <c r="K401" s="26"/>
      <c r="L401" s="40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39"/>
      <c r="Z401" s="27">
        <v>1</v>
      </c>
      <c r="AA401" t="s">
        <v>1417</v>
      </c>
    </row>
    <row r="402" spans="1:42">
      <c r="A402" s="47"/>
      <c r="B402" s="26" t="s">
        <v>2193</v>
      </c>
      <c r="C402" s="26"/>
      <c r="D402" s="26"/>
      <c r="E402" s="26"/>
      <c r="F402" s="26"/>
      <c r="G402" s="27"/>
      <c r="H402" s="26"/>
      <c r="I402" s="26"/>
      <c r="J402" s="26"/>
      <c r="K402" s="26"/>
      <c r="L402" s="40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39"/>
      <c r="Z402" s="27">
        <v>2</v>
      </c>
      <c r="AA402" t="s">
        <v>1</v>
      </c>
      <c r="AB402" t="s">
        <v>1418</v>
      </c>
      <c r="AC402" t="s">
        <v>1419</v>
      </c>
      <c r="AD402" t="s">
        <v>1420</v>
      </c>
    </row>
    <row r="403" spans="1:42">
      <c r="A403" s="47"/>
      <c r="B403" s="26" t="s">
        <v>2193</v>
      </c>
      <c r="C403" s="26"/>
      <c r="D403" s="26"/>
      <c r="E403" s="26"/>
      <c r="F403" s="26"/>
      <c r="G403" s="27"/>
      <c r="H403" s="26"/>
      <c r="I403" s="26"/>
      <c r="J403" s="26"/>
      <c r="K403" s="26"/>
      <c r="L403" s="40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39"/>
      <c r="Z403" s="27">
        <v>0</v>
      </c>
      <c r="AA403" t="s">
        <v>1512</v>
      </c>
      <c r="AB403" t="s">
        <v>1513</v>
      </c>
      <c r="AC403" t="s">
        <v>1514</v>
      </c>
      <c r="AD403" t="s">
        <v>9</v>
      </c>
      <c r="AE403" t="s">
        <v>9</v>
      </c>
      <c r="AF403" t="s">
        <v>11</v>
      </c>
      <c r="AG403" t="s">
        <v>13</v>
      </c>
      <c r="AH403" t="s">
        <v>1515</v>
      </c>
      <c r="AI403" t="s">
        <v>1516</v>
      </c>
      <c r="AJ403" t="s">
        <v>1517</v>
      </c>
      <c r="AK403" t="s">
        <v>22</v>
      </c>
      <c r="AL403" t="s">
        <v>1518</v>
      </c>
      <c r="AM403" t="s">
        <v>1519</v>
      </c>
      <c r="AN403" s="44" t="s">
        <v>1520</v>
      </c>
      <c r="AO403" t="s">
        <v>1</v>
      </c>
    </row>
    <row r="404" spans="1:42">
      <c r="A404" s="47"/>
      <c r="B404" s="26" t="s">
        <v>2193</v>
      </c>
      <c r="C404" s="26"/>
      <c r="D404" s="26"/>
      <c r="E404" s="26"/>
      <c r="F404" s="26"/>
      <c r="G404" s="27"/>
      <c r="H404" s="26"/>
      <c r="I404" s="26"/>
      <c r="J404" s="26"/>
      <c r="K404" s="26"/>
      <c r="L404" s="40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39"/>
      <c r="Z404" s="27">
        <v>4</v>
      </c>
      <c r="AA404" t="s">
        <v>14</v>
      </c>
      <c r="AB404" t="s">
        <v>26</v>
      </c>
      <c r="AC404" t="s">
        <v>26</v>
      </c>
      <c r="AD404" t="s">
        <v>26</v>
      </c>
      <c r="AE404" t="s">
        <v>26</v>
      </c>
      <c r="AF404" t="s">
        <v>26</v>
      </c>
      <c r="AG404" t="s">
        <v>26</v>
      </c>
      <c r="AH404" t="s">
        <v>1318</v>
      </c>
      <c r="AI404" t="s">
        <v>26</v>
      </c>
      <c r="AJ404" t="s">
        <v>26</v>
      </c>
      <c r="AK404" t="s">
        <v>26</v>
      </c>
      <c r="AL404" t="s">
        <v>26</v>
      </c>
      <c r="AM404" t="s">
        <v>26</v>
      </c>
      <c r="AN404" s="44" t="s">
        <v>1530</v>
      </c>
      <c r="AO404" t="s">
        <v>1418</v>
      </c>
    </row>
    <row r="405" spans="1:42">
      <c r="A405" s="47"/>
      <c r="B405" s="26" t="s">
        <v>2193</v>
      </c>
      <c r="C405" s="26"/>
      <c r="D405" s="26"/>
      <c r="E405" s="26"/>
      <c r="F405" s="26"/>
      <c r="G405" s="27"/>
      <c r="H405" s="26"/>
      <c r="I405" s="26"/>
      <c r="J405" s="26"/>
      <c r="K405" s="26"/>
      <c r="L405" s="40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39"/>
      <c r="Z405" s="27">
        <v>4</v>
      </c>
      <c r="AA405" t="s">
        <v>14</v>
      </c>
      <c r="AB405" t="s">
        <v>26</v>
      </c>
      <c r="AC405" t="s">
        <v>26</v>
      </c>
      <c r="AD405" t="s">
        <v>26</v>
      </c>
      <c r="AE405" t="s">
        <v>26</v>
      </c>
      <c r="AF405" t="s">
        <v>26</v>
      </c>
      <c r="AG405" t="s">
        <v>26</v>
      </c>
      <c r="AH405" t="s">
        <v>409</v>
      </c>
      <c r="AI405" t="s">
        <v>26</v>
      </c>
      <c r="AJ405" t="s">
        <v>26</v>
      </c>
      <c r="AK405" t="s">
        <v>26</v>
      </c>
      <c r="AL405" t="s">
        <v>26</v>
      </c>
      <c r="AM405" t="s">
        <v>26</v>
      </c>
      <c r="AN405" s="44" t="s">
        <v>1530</v>
      </c>
      <c r="AO405" t="s">
        <v>1418</v>
      </c>
    </row>
    <row r="406" spans="1:42">
      <c r="A406" s="47"/>
      <c r="B406" s="26" t="s">
        <v>2193</v>
      </c>
      <c r="C406" s="26"/>
      <c r="D406" s="26"/>
      <c r="E406" s="26"/>
      <c r="F406" s="26"/>
      <c r="G406" s="27"/>
      <c r="H406" s="26"/>
      <c r="I406" s="26"/>
      <c r="J406" s="26"/>
      <c r="K406" s="26"/>
      <c r="L406" s="40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39"/>
      <c r="Z406" s="27">
        <v>4</v>
      </c>
      <c r="AA406" t="s">
        <v>14</v>
      </c>
      <c r="AB406" t="s">
        <v>26</v>
      </c>
      <c r="AC406" t="s">
        <v>26</v>
      </c>
      <c r="AD406" t="s">
        <v>26</v>
      </c>
      <c r="AE406" t="s">
        <v>26</v>
      </c>
      <c r="AF406" t="s">
        <v>26</v>
      </c>
      <c r="AG406" t="s">
        <v>26</v>
      </c>
      <c r="AH406" t="s">
        <v>59</v>
      </c>
      <c r="AI406" t="s">
        <v>26</v>
      </c>
      <c r="AJ406" t="s">
        <v>26</v>
      </c>
      <c r="AK406" t="s">
        <v>26</v>
      </c>
      <c r="AL406" t="s">
        <v>26</v>
      </c>
      <c r="AM406" t="s">
        <v>26</v>
      </c>
      <c r="AN406" s="44" t="s">
        <v>1530</v>
      </c>
      <c r="AO406">
        <v>2</v>
      </c>
    </row>
    <row r="407" spans="1:42">
      <c r="A407" s="47"/>
      <c r="B407" s="26" t="s">
        <v>2193</v>
      </c>
      <c r="C407" s="26"/>
      <c r="D407" s="26" t="s">
        <v>2159</v>
      </c>
      <c r="E407" s="26" t="s">
        <v>2195</v>
      </c>
      <c r="F407" s="26" t="s">
        <v>2160</v>
      </c>
      <c r="G407" s="27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39" t="s">
        <v>2161</v>
      </c>
      <c r="Z407" s="27">
        <v>3</v>
      </c>
      <c r="AA407" t="s">
        <v>1576</v>
      </c>
      <c r="AB407" t="s">
        <v>1427</v>
      </c>
      <c r="AC407" t="s">
        <v>26</v>
      </c>
      <c r="AD407" t="s">
        <v>131</v>
      </c>
      <c r="AE407" t="s">
        <v>131</v>
      </c>
      <c r="AF407" t="s">
        <v>1428</v>
      </c>
      <c r="AG407" t="s">
        <v>1429</v>
      </c>
      <c r="AH407" t="s">
        <v>1577</v>
      </c>
      <c r="AI407" t="s">
        <v>1549</v>
      </c>
      <c r="AJ407" t="s">
        <v>26</v>
      </c>
      <c r="AK407" t="s">
        <v>1578</v>
      </c>
      <c r="AL407" t="s">
        <v>1546</v>
      </c>
      <c r="AM407" t="s">
        <v>26</v>
      </c>
      <c r="AN407" s="44" t="s">
        <v>1530</v>
      </c>
      <c r="AO407" t="s">
        <v>1418</v>
      </c>
    </row>
    <row r="408" spans="1:42">
      <c r="A408" s="47"/>
      <c r="B408" s="26" t="s">
        <v>2193</v>
      </c>
      <c r="C408" s="26"/>
      <c r="D408" s="26" t="s">
        <v>2159</v>
      </c>
      <c r="E408" s="26" t="s">
        <v>2195</v>
      </c>
      <c r="F408" s="26" t="s">
        <v>2160</v>
      </c>
      <c r="G408" s="27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39" t="s">
        <v>2161</v>
      </c>
      <c r="Z408" s="27">
        <v>3</v>
      </c>
      <c r="AA408" t="s">
        <v>2030</v>
      </c>
      <c r="AB408" t="s">
        <v>1424</v>
      </c>
      <c r="AC408" t="s">
        <v>26</v>
      </c>
      <c r="AD408" t="s">
        <v>1423</v>
      </c>
      <c r="AE408" t="s">
        <v>1423</v>
      </c>
      <c r="AF408" t="s">
        <v>1425</v>
      </c>
      <c r="AG408" t="s">
        <v>1426</v>
      </c>
      <c r="AH408" t="s">
        <v>2031</v>
      </c>
      <c r="AI408" t="s">
        <v>1981</v>
      </c>
      <c r="AJ408" t="s">
        <v>26</v>
      </c>
      <c r="AK408" t="s">
        <v>1921</v>
      </c>
      <c r="AL408" t="s">
        <v>2032</v>
      </c>
      <c r="AM408" t="s">
        <v>2033</v>
      </c>
      <c r="AN408" s="44" t="s">
        <v>1530</v>
      </c>
      <c r="AO408" t="s">
        <v>1418</v>
      </c>
    </row>
    <row r="409" spans="1:42">
      <c r="A409" s="47"/>
      <c r="B409" s="26" t="s">
        <v>2194</v>
      </c>
      <c r="C409" s="26"/>
      <c r="D409" s="26"/>
      <c r="E409" s="26"/>
      <c r="F409" s="26"/>
      <c r="G409" s="27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7">
        <v>1</v>
      </c>
      <c r="AA409" t="s">
        <v>1434</v>
      </c>
    </row>
    <row r="410" spans="1:42">
      <c r="A410" s="47">
        <v>500</v>
      </c>
      <c r="B410" s="26" t="s">
        <v>2194</v>
      </c>
      <c r="C410" s="26"/>
      <c r="D410" s="26"/>
      <c r="E410" s="26"/>
      <c r="F410" s="26"/>
      <c r="G410" s="27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7">
        <v>2</v>
      </c>
      <c r="AA410" t="s">
        <v>1</v>
      </c>
      <c r="AB410" t="s">
        <v>1435</v>
      </c>
      <c r="AC410" t="s">
        <v>1436</v>
      </c>
      <c r="AD410" s="146" t="s">
        <v>2303</v>
      </c>
    </row>
    <row r="411" spans="1:42">
      <c r="A411" s="47">
        <v>500</v>
      </c>
      <c r="B411" s="26" t="s">
        <v>2194</v>
      </c>
      <c r="C411" s="26"/>
      <c r="D411" s="26"/>
      <c r="E411" s="26"/>
      <c r="F411" s="26"/>
      <c r="G411" s="27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7">
        <v>2</v>
      </c>
      <c r="AA411" t="s">
        <v>509</v>
      </c>
      <c r="AB411" t="s">
        <v>1437</v>
      </c>
      <c r="AC411" s="104" t="s">
        <v>1438</v>
      </c>
      <c r="AD411" s="27" t="s">
        <v>2347</v>
      </c>
    </row>
    <row r="412" spans="1:42">
      <c r="A412" s="47"/>
      <c r="B412" s="26" t="s">
        <v>2194</v>
      </c>
      <c r="C412" s="26"/>
      <c r="D412" s="26"/>
      <c r="E412" s="26"/>
      <c r="F412" s="26"/>
      <c r="G412" s="27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7">
        <v>0</v>
      </c>
      <c r="AA412" t="s">
        <v>1512</v>
      </c>
      <c r="AB412" t="s">
        <v>1513</v>
      </c>
      <c r="AC412" t="s">
        <v>1514</v>
      </c>
      <c r="AD412" t="s">
        <v>9</v>
      </c>
      <c r="AE412" t="s">
        <v>9</v>
      </c>
      <c r="AF412" t="s">
        <v>11</v>
      </c>
      <c r="AG412" t="s">
        <v>13</v>
      </c>
      <c r="AH412" t="s">
        <v>1515</v>
      </c>
      <c r="AI412" t="s">
        <v>1516</v>
      </c>
      <c r="AJ412" t="s">
        <v>1517</v>
      </c>
      <c r="AK412" t="s">
        <v>22</v>
      </c>
      <c r="AL412" t="s">
        <v>1518</v>
      </c>
      <c r="AM412" t="s">
        <v>1519</v>
      </c>
      <c r="AN412" s="44" t="s">
        <v>1520</v>
      </c>
      <c r="AO412" t="s">
        <v>1</v>
      </c>
      <c r="AP412" t="s">
        <v>509</v>
      </c>
    </row>
    <row r="413" spans="1:42">
      <c r="A413" s="47"/>
      <c r="B413" s="26" t="s">
        <v>2194</v>
      </c>
      <c r="C413" s="26"/>
      <c r="D413" s="26"/>
      <c r="E413" s="26"/>
      <c r="F413" s="26"/>
      <c r="G413" s="27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7">
        <v>4</v>
      </c>
      <c r="AA413" t="s">
        <v>1524</v>
      </c>
      <c r="AB413" t="s">
        <v>26</v>
      </c>
      <c r="AC413" t="s">
        <v>26</v>
      </c>
      <c r="AD413" t="s">
        <v>26</v>
      </c>
      <c r="AE413" t="s">
        <v>26</v>
      </c>
      <c r="AF413" t="s">
        <v>26</v>
      </c>
      <c r="AG413" t="s">
        <v>26</v>
      </c>
      <c r="AH413" t="s">
        <v>1527</v>
      </c>
      <c r="AI413" t="s">
        <v>26</v>
      </c>
      <c r="AJ413" t="s">
        <v>26</v>
      </c>
      <c r="AK413" t="s">
        <v>26</v>
      </c>
      <c r="AL413" t="s">
        <v>26</v>
      </c>
      <c r="AM413" t="s">
        <v>26</v>
      </c>
      <c r="AN413" s="44" t="s">
        <v>1523</v>
      </c>
      <c r="AO413">
        <v>840</v>
      </c>
      <c r="AP413">
        <v>2139</v>
      </c>
    </row>
    <row r="414" spans="1:42">
      <c r="A414" s="47"/>
      <c r="B414" s="26" t="s">
        <v>2194</v>
      </c>
      <c r="C414" s="26"/>
      <c r="D414" s="26"/>
      <c r="E414" s="26"/>
      <c r="F414" s="26"/>
      <c r="G414" s="27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7">
        <v>4</v>
      </c>
      <c r="AA414" t="s">
        <v>14</v>
      </c>
      <c r="AB414" t="s">
        <v>26</v>
      </c>
      <c r="AC414" t="s">
        <v>26</v>
      </c>
      <c r="AD414" t="s">
        <v>26</v>
      </c>
      <c r="AE414" t="s">
        <v>26</v>
      </c>
      <c r="AF414" t="s">
        <v>26</v>
      </c>
      <c r="AG414" t="s">
        <v>26</v>
      </c>
      <c r="AH414" t="s">
        <v>68</v>
      </c>
      <c r="AI414" t="s">
        <v>26</v>
      </c>
      <c r="AJ414" t="s">
        <v>26</v>
      </c>
      <c r="AK414" t="s">
        <v>26</v>
      </c>
      <c r="AL414" t="s">
        <v>26</v>
      </c>
      <c r="AM414" t="s">
        <v>26</v>
      </c>
      <c r="AN414" s="44" t="s">
        <v>1530</v>
      </c>
      <c r="AO414" t="s">
        <v>1435</v>
      </c>
      <c r="AP414">
        <v>5</v>
      </c>
    </row>
    <row r="415" spans="1:42">
      <c r="A415" s="47"/>
      <c r="B415" s="26" t="s">
        <v>2194</v>
      </c>
      <c r="C415" s="26"/>
      <c r="D415" s="26"/>
      <c r="E415" s="26"/>
      <c r="F415" s="26"/>
      <c r="G415" s="27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7">
        <v>4</v>
      </c>
      <c r="AA415" t="s">
        <v>14</v>
      </c>
      <c r="AB415" t="s">
        <v>26</v>
      </c>
      <c r="AC415" t="s">
        <v>26</v>
      </c>
      <c r="AD415" t="s">
        <v>26</v>
      </c>
      <c r="AE415" t="s">
        <v>26</v>
      </c>
      <c r="AF415" t="s">
        <v>26</v>
      </c>
      <c r="AG415" t="s">
        <v>26</v>
      </c>
      <c r="AH415" t="s">
        <v>214</v>
      </c>
      <c r="AI415" t="s">
        <v>26</v>
      </c>
      <c r="AJ415" t="s">
        <v>26</v>
      </c>
      <c r="AK415" t="s">
        <v>26</v>
      </c>
      <c r="AL415" t="s">
        <v>26</v>
      </c>
      <c r="AM415" t="s">
        <v>26</v>
      </c>
      <c r="AN415" s="44" t="s">
        <v>1530</v>
      </c>
      <c r="AO415">
        <v>2</v>
      </c>
      <c r="AP415" t="s">
        <v>1437</v>
      </c>
    </row>
    <row r="416" spans="1:42">
      <c r="A416" s="47"/>
      <c r="B416" s="26" t="s">
        <v>2194</v>
      </c>
      <c r="C416" s="26"/>
      <c r="D416" s="26"/>
      <c r="E416" s="26"/>
      <c r="F416" s="26"/>
      <c r="G416" s="27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7">
        <v>4</v>
      </c>
      <c r="AA416" t="s">
        <v>14</v>
      </c>
      <c r="AB416" t="s">
        <v>26</v>
      </c>
      <c r="AC416" t="s">
        <v>26</v>
      </c>
      <c r="AD416" t="s">
        <v>26</v>
      </c>
      <c r="AE416" t="s">
        <v>26</v>
      </c>
      <c r="AF416" t="s">
        <v>26</v>
      </c>
      <c r="AG416" t="s">
        <v>26</v>
      </c>
      <c r="AH416" t="s">
        <v>321</v>
      </c>
      <c r="AI416" t="s">
        <v>26</v>
      </c>
      <c r="AJ416" t="s">
        <v>26</v>
      </c>
      <c r="AK416" t="s">
        <v>26</v>
      </c>
      <c r="AL416" t="s">
        <v>26</v>
      </c>
      <c r="AM416" t="s">
        <v>26</v>
      </c>
      <c r="AN416" s="44" t="s">
        <v>1530</v>
      </c>
      <c r="AO416">
        <v>2</v>
      </c>
      <c r="AP416">
        <v>11</v>
      </c>
    </row>
    <row r="417" spans="1:42">
      <c r="A417" s="47"/>
      <c r="B417" s="26" t="s">
        <v>2194</v>
      </c>
      <c r="C417" s="26"/>
      <c r="D417" s="26"/>
      <c r="E417" s="26"/>
      <c r="F417" s="26"/>
      <c r="G417" s="27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7">
        <v>4</v>
      </c>
      <c r="AA417" t="s">
        <v>14</v>
      </c>
      <c r="AB417" t="s">
        <v>26</v>
      </c>
      <c r="AC417" t="s">
        <v>26</v>
      </c>
      <c r="AD417" t="s">
        <v>26</v>
      </c>
      <c r="AE417" t="s">
        <v>26</v>
      </c>
      <c r="AF417" t="s">
        <v>26</v>
      </c>
      <c r="AG417" t="s">
        <v>26</v>
      </c>
      <c r="AH417" t="s">
        <v>243</v>
      </c>
      <c r="AI417" t="s">
        <v>26</v>
      </c>
      <c r="AJ417" t="s">
        <v>26</v>
      </c>
      <c r="AK417" t="s">
        <v>26</v>
      </c>
      <c r="AL417" t="s">
        <v>26</v>
      </c>
      <c r="AM417" t="s">
        <v>26</v>
      </c>
      <c r="AN417" s="44" t="s">
        <v>1530</v>
      </c>
      <c r="AO417">
        <v>2</v>
      </c>
      <c r="AP417">
        <v>12</v>
      </c>
    </row>
    <row r="418" spans="1:42">
      <c r="A418" s="47"/>
      <c r="B418" s="26" t="s">
        <v>2194</v>
      </c>
      <c r="C418" s="26"/>
      <c r="D418" s="26" t="s">
        <v>2148</v>
      </c>
      <c r="E418" s="26"/>
      <c r="F418" s="26"/>
      <c r="G418" s="27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 t="s">
        <v>2150</v>
      </c>
      <c r="Z418" s="27">
        <v>3</v>
      </c>
      <c r="AA418" t="s">
        <v>1631</v>
      </c>
      <c r="AB418" t="s">
        <v>1441</v>
      </c>
      <c r="AC418" t="s">
        <v>26</v>
      </c>
      <c r="AD418" t="s">
        <v>1440</v>
      </c>
      <c r="AE418" t="s">
        <v>1440</v>
      </c>
      <c r="AF418" t="s">
        <v>1442</v>
      </c>
      <c r="AG418" t="s">
        <v>1443</v>
      </c>
      <c r="AH418" t="s">
        <v>1632</v>
      </c>
      <c r="AI418" t="s">
        <v>1633</v>
      </c>
      <c r="AJ418" t="s">
        <v>26</v>
      </c>
      <c r="AK418" t="s">
        <v>1544</v>
      </c>
      <c r="AL418" t="s">
        <v>2034</v>
      </c>
      <c r="AM418" t="s">
        <v>2035</v>
      </c>
      <c r="AN418" s="44" t="s">
        <v>1530</v>
      </c>
      <c r="AO418" t="s">
        <v>1435</v>
      </c>
      <c r="AP418" t="s">
        <v>26</v>
      </c>
    </row>
    <row r="419" spans="1:42">
      <c r="A419" s="47"/>
      <c r="B419" s="26" t="s">
        <v>2194</v>
      </c>
      <c r="C419" s="26"/>
      <c r="D419" s="26" t="s">
        <v>2148</v>
      </c>
      <c r="E419" s="26"/>
      <c r="F419" s="26"/>
      <c r="G419" s="27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 t="s">
        <v>2150</v>
      </c>
      <c r="Z419" s="27">
        <v>3</v>
      </c>
      <c r="AA419" t="s">
        <v>1773</v>
      </c>
      <c r="AB419" t="s">
        <v>1457</v>
      </c>
      <c r="AC419" t="s">
        <v>26</v>
      </c>
      <c r="AD419" t="s">
        <v>1440</v>
      </c>
      <c r="AE419" t="s">
        <v>1440</v>
      </c>
      <c r="AF419" t="s">
        <v>1458</v>
      </c>
      <c r="AG419" t="s">
        <v>1443</v>
      </c>
      <c r="AH419" t="s">
        <v>1774</v>
      </c>
      <c r="AI419" t="s">
        <v>1553</v>
      </c>
      <c r="AJ419" t="s">
        <v>26</v>
      </c>
      <c r="AK419" t="s">
        <v>1544</v>
      </c>
      <c r="AL419" t="s">
        <v>2036</v>
      </c>
      <c r="AM419" t="s">
        <v>2037</v>
      </c>
      <c r="AN419" s="44" t="s">
        <v>1530</v>
      </c>
      <c r="AO419" t="s">
        <v>26</v>
      </c>
      <c r="AP419" t="s">
        <v>1437</v>
      </c>
    </row>
    <row r="420" spans="1:42">
      <c r="A420" s="47"/>
      <c r="B420" s="26" t="s">
        <v>2194</v>
      </c>
      <c r="C420" s="26"/>
      <c r="D420" s="26" t="s">
        <v>2148</v>
      </c>
      <c r="E420" s="26"/>
      <c r="F420" s="26"/>
      <c r="G420" s="27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 t="s">
        <v>2150</v>
      </c>
      <c r="Z420" s="27">
        <v>3</v>
      </c>
      <c r="AA420" t="s">
        <v>1631</v>
      </c>
      <c r="AB420" t="s">
        <v>1449</v>
      </c>
      <c r="AC420" t="s">
        <v>26</v>
      </c>
      <c r="AD420" t="s">
        <v>1448</v>
      </c>
      <c r="AE420" t="s">
        <v>1448</v>
      </c>
      <c r="AF420" t="s">
        <v>1450</v>
      </c>
      <c r="AG420" t="s">
        <v>1451</v>
      </c>
      <c r="AH420" t="s">
        <v>1632</v>
      </c>
      <c r="AI420" t="s">
        <v>1633</v>
      </c>
      <c r="AJ420" t="s">
        <v>26</v>
      </c>
      <c r="AK420" t="s">
        <v>1544</v>
      </c>
      <c r="AL420" t="s">
        <v>2038</v>
      </c>
      <c r="AM420" t="s">
        <v>2035</v>
      </c>
      <c r="AN420" s="44" t="s">
        <v>1530</v>
      </c>
      <c r="AO420" t="s">
        <v>1435</v>
      </c>
      <c r="AP420" t="s">
        <v>26</v>
      </c>
    </row>
    <row r="421" spans="1:42">
      <c r="A421" s="47"/>
      <c r="B421" s="26" t="s">
        <v>2194</v>
      </c>
      <c r="C421" s="26"/>
      <c r="D421" s="26" t="s">
        <v>2148</v>
      </c>
      <c r="E421" s="26"/>
      <c r="F421" s="26"/>
      <c r="G421" s="27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 t="s">
        <v>2150</v>
      </c>
      <c r="Z421" s="27">
        <v>3</v>
      </c>
      <c r="AA421" t="s">
        <v>2039</v>
      </c>
      <c r="AB421" t="s">
        <v>1466</v>
      </c>
      <c r="AC421" t="s">
        <v>26</v>
      </c>
      <c r="AD421" t="s">
        <v>1448</v>
      </c>
      <c r="AE421" t="s">
        <v>1448</v>
      </c>
      <c r="AF421" t="s">
        <v>1467</v>
      </c>
      <c r="AG421" t="s">
        <v>1451</v>
      </c>
      <c r="AH421" t="s">
        <v>2040</v>
      </c>
      <c r="AI421" t="s">
        <v>1553</v>
      </c>
      <c r="AJ421" t="s">
        <v>26</v>
      </c>
      <c r="AK421" t="s">
        <v>1534</v>
      </c>
      <c r="AL421" t="s">
        <v>2041</v>
      </c>
      <c r="AM421" t="s">
        <v>2042</v>
      </c>
      <c r="AN421" s="44" t="s">
        <v>1530</v>
      </c>
      <c r="AO421" t="s">
        <v>26</v>
      </c>
      <c r="AP421" t="s">
        <v>1437</v>
      </c>
    </row>
    <row r="422" spans="1:42">
      <c r="A422" s="47"/>
      <c r="B422" s="26" t="s">
        <v>2194</v>
      </c>
      <c r="C422" s="26"/>
      <c r="D422" s="26" t="s">
        <v>2148</v>
      </c>
      <c r="E422" s="26"/>
      <c r="F422" s="26"/>
      <c r="G422" s="27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 t="s">
        <v>2150</v>
      </c>
      <c r="Z422" s="27">
        <v>3</v>
      </c>
      <c r="AA422" t="s">
        <v>1773</v>
      </c>
      <c r="AB422" t="s">
        <v>1483</v>
      </c>
      <c r="AC422" t="s">
        <v>26</v>
      </c>
      <c r="AD422" t="s">
        <v>1482</v>
      </c>
      <c r="AE422" t="s">
        <v>1482</v>
      </c>
      <c r="AF422" t="s">
        <v>1484</v>
      </c>
      <c r="AG422" t="s">
        <v>1485</v>
      </c>
      <c r="AH422" t="s">
        <v>1774</v>
      </c>
      <c r="AI422" t="s">
        <v>1553</v>
      </c>
      <c r="AJ422" t="s">
        <v>26</v>
      </c>
      <c r="AK422" t="s">
        <v>1544</v>
      </c>
      <c r="AL422" t="s">
        <v>2043</v>
      </c>
      <c r="AM422" t="s">
        <v>2044</v>
      </c>
      <c r="AN422" s="44" t="s">
        <v>1530</v>
      </c>
      <c r="AO422" t="s">
        <v>26</v>
      </c>
      <c r="AP422" t="s">
        <v>1437</v>
      </c>
    </row>
    <row r="423" spans="1:42">
      <c r="A423" s="47"/>
      <c r="B423" s="26" t="s">
        <v>2194</v>
      </c>
      <c r="C423" s="26"/>
      <c r="D423" s="26" t="s">
        <v>2148</v>
      </c>
      <c r="E423" s="26"/>
      <c r="F423" s="26"/>
      <c r="G423" s="27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 t="s">
        <v>2150</v>
      </c>
      <c r="Z423" s="27">
        <v>3</v>
      </c>
      <c r="AA423" t="s">
        <v>1773</v>
      </c>
      <c r="AB423" t="s">
        <v>1495</v>
      </c>
      <c r="AC423" t="s">
        <v>26</v>
      </c>
      <c r="AD423" t="s">
        <v>1493</v>
      </c>
      <c r="AE423" t="s">
        <v>1494</v>
      </c>
      <c r="AF423" t="s">
        <v>1496</v>
      </c>
      <c r="AG423" t="s">
        <v>1497</v>
      </c>
      <c r="AH423" t="s">
        <v>1774</v>
      </c>
      <c r="AI423" t="s">
        <v>1553</v>
      </c>
      <c r="AJ423" t="s">
        <v>26</v>
      </c>
      <c r="AK423" t="s">
        <v>1544</v>
      </c>
      <c r="AL423" t="s">
        <v>2045</v>
      </c>
      <c r="AM423" t="s">
        <v>2046</v>
      </c>
      <c r="AN423" s="44" t="s">
        <v>1530</v>
      </c>
      <c r="AO423" t="s">
        <v>26</v>
      </c>
      <c r="AP423" t="s">
        <v>1437</v>
      </c>
    </row>
    <row r="424" spans="1:42">
      <c r="A424" s="47"/>
      <c r="B424" s="26" t="s">
        <v>2194</v>
      </c>
      <c r="C424" s="26"/>
      <c r="D424" s="26" t="s">
        <v>2148</v>
      </c>
      <c r="E424" s="26"/>
      <c r="F424" s="26"/>
      <c r="G424" s="27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 t="s">
        <v>2150</v>
      </c>
      <c r="Z424" s="27">
        <v>3</v>
      </c>
      <c r="AA424" t="s">
        <v>2039</v>
      </c>
      <c r="AB424" t="s">
        <v>1476</v>
      </c>
      <c r="AC424" t="s">
        <v>26</v>
      </c>
      <c r="AD424" t="s">
        <v>1474</v>
      </c>
      <c r="AE424" t="s">
        <v>1475</v>
      </c>
      <c r="AF424" t="s">
        <v>1477</v>
      </c>
      <c r="AG424" t="s">
        <v>1478</v>
      </c>
      <c r="AH424" t="s">
        <v>2040</v>
      </c>
      <c r="AI424" t="s">
        <v>1553</v>
      </c>
      <c r="AJ424" t="s">
        <v>26</v>
      </c>
      <c r="AK424" t="s">
        <v>1534</v>
      </c>
      <c r="AL424" t="s">
        <v>2047</v>
      </c>
      <c r="AM424" t="s">
        <v>2048</v>
      </c>
      <c r="AN424" s="44" t="s">
        <v>1530</v>
      </c>
      <c r="AO424" t="s">
        <v>26</v>
      </c>
      <c r="AP424" t="s">
        <v>1437</v>
      </c>
    </row>
    <row r="425" spans="1:42">
      <c r="A425" s="47"/>
      <c r="B425" s="26" t="s">
        <v>2194</v>
      </c>
      <c r="C425" s="26"/>
      <c r="D425" s="26" t="s">
        <v>2148</v>
      </c>
      <c r="E425" s="26"/>
      <c r="F425" s="26"/>
      <c r="G425" s="27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 t="s">
        <v>2150</v>
      </c>
      <c r="Z425" s="27">
        <v>3</v>
      </c>
      <c r="AA425" t="s">
        <v>2039</v>
      </c>
      <c r="AB425" t="s">
        <v>1488</v>
      </c>
      <c r="AC425" t="s">
        <v>26</v>
      </c>
      <c r="AD425" t="s">
        <v>1487</v>
      </c>
      <c r="AE425" t="s">
        <v>1487</v>
      </c>
      <c r="AF425" t="s">
        <v>1489</v>
      </c>
      <c r="AG425" t="s">
        <v>1490</v>
      </c>
      <c r="AH425" t="s">
        <v>2040</v>
      </c>
      <c r="AI425" t="s">
        <v>1553</v>
      </c>
      <c r="AJ425" t="s">
        <v>26</v>
      </c>
      <c r="AK425" t="s">
        <v>1534</v>
      </c>
      <c r="AL425" t="s">
        <v>2049</v>
      </c>
      <c r="AM425" t="s">
        <v>2050</v>
      </c>
      <c r="AN425" s="44" t="s">
        <v>1530</v>
      </c>
      <c r="AO425" t="s">
        <v>26</v>
      </c>
      <c r="AP425" t="s">
        <v>1437</v>
      </c>
    </row>
    <row r="426" spans="1:42">
      <c r="A426" s="47"/>
      <c r="B426" s="26" t="s">
        <v>2194</v>
      </c>
      <c r="C426" s="26"/>
      <c r="D426" s="26" t="s">
        <v>2148</v>
      </c>
      <c r="E426" s="26"/>
      <c r="F426" s="26"/>
      <c r="G426" s="27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 t="s">
        <v>2150</v>
      </c>
      <c r="Z426" s="27">
        <v>3</v>
      </c>
      <c r="AA426" t="s">
        <v>1686</v>
      </c>
      <c r="AB426" t="s">
        <v>2051</v>
      </c>
      <c r="AC426" t="s">
        <v>26</v>
      </c>
      <c r="AD426" t="s">
        <v>26</v>
      </c>
      <c r="AE426" t="s">
        <v>26</v>
      </c>
      <c r="AF426" t="s">
        <v>2051</v>
      </c>
      <c r="AG426" t="s">
        <v>2052</v>
      </c>
      <c r="AH426" t="s">
        <v>1689</v>
      </c>
      <c r="AI426" t="s">
        <v>26</v>
      </c>
      <c r="AJ426" t="s">
        <v>26</v>
      </c>
      <c r="AK426" t="s">
        <v>26</v>
      </c>
      <c r="AL426" t="s">
        <v>26</v>
      </c>
      <c r="AM426" t="s">
        <v>26</v>
      </c>
      <c r="AN426" s="44" t="s">
        <v>1530</v>
      </c>
      <c r="AO426" t="s">
        <v>26</v>
      </c>
      <c r="AP426" t="s">
        <v>1437</v>
      </c>
    </row>
    <row r="427" spans="1:42">
      <c r="A427" s="47"/>
      <c r="B427" s="26" t="s">
        <v>2194</v>
      </c>
      <c r="C427" s="26"/>
      <c r="D427" s="26" t="s">
        <v>2148</v>
      </c>
      <c r="E427" s="26"/>
      <c r="F427" s="26"/>
      <c r="G427" s="27"/>
      <c r="H427" s="26"/>
      <c r="I427" s="26"/>
      <c r="J427" s="26"/>
      <c r="K427" s="26"/>
      <c r="L427" s="40" t="s">
        <v>2206</v>
      </c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 t="s">
        <v>2150</v>
      </c>
      <c r="Z427" s="27">
        <v>3</v>
      </c>
      <c r="AA427" t="s">
        <v>1658</v>
      </c>
      <c r="AB427" t="s">
        <v>2053</v>
      </c>
      <c r="AC427" t="s">
        <v>26</v>
      </c>
      <c r="AD427" t="s">
        <v>26</v>
      </c>
      <c r="AE427" t="s">
        <v>26</v>
      </c>
      <c r="AF427" t="s">
        <v>2053</v>
      </c>
      <c r="AG427" t="s">
        <v>2054</v>
      </c>
      <c r="AH427" t="s">
        <v>1660</v>
      </c>
      <c r="AI427" t="s">
        <v>26</v>
      </c>
      <c r="AJ427" t="s">
        <v>26</v>
      </c>
      <c r="AK427" t="s">
        <v>26</v>
      </c>
      <c r="AL427" t="s">
        <v>26</v>
      </c>
      <c r="AM427" t="s">
        <v>26</v>
      </c>
      <c r="AN427" s="44" t="s">
        <v>1530</v>
      </c>
      <c r="AO427" t="s">
        <v>1435</v>
      </c>
      <c r="AP427" t="s">
        <v>1437</v>
      </c>
    </row>
    <row r="428" spans="1:42">
      <c r="A428" s="168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42">
      <c r="A429" s="168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42">
      <c r="A430" s="168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42">
      <c r="A431" s="168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42">
      <c r="A432" s="168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>
      <c r="A433" s="168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>
      <c r="A434" s="168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>
      <c r="A435" s="168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>
      <c r="A436" s="168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>
      <c r="A437" s="168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>
      <c r="A438" s="168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>
      <c r="A439" s="168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>
      <c r="A440" s="168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>
      <c r="A441" s="168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>
      <c r="A442" s="168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>
      <c r="A443" s="168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>
      <c r="A444" s="16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>
      <c r="A445" s="16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>
      <c r="A446" s="16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>
      <c r="A447" s="16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>
      <c r="A448" s="16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>
      <c r="A449" s="16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>
      <c r="A450" s="16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>
      <c r="A451" s="16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>
      <c r="A452" s="16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>
      <c r="A453" s="16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>
      <c r="A454" s="16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>
      <c r="A455" s="16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>
      <c r="A456" s="16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>
      <c r="A457" s="16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>
      <c r="A458" s="16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>
      <c r="A459" s="16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>
      <c r="A460" s="16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>
      <c r="A461" s="16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>
      <c r="A462" s="16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>
      <c r="A463" s="16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>
      <c r="A464" s="16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>
      <c r="A465" s="16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>
      <c r="A466" s="16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>
      <c r="A467" s="16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>
      <c r="A468" s="16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>
      <c r="A469" s="16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>
      <c r="A470" s="16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>
      <c r="A471" s="16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>
      <c r="A472" s="16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>
      <c r="A473" s="16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>
      <c r="A474" s="16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>
      <c r="A475" s="16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>
      <c r="A476" s="16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>
      <c r="A477" s="16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>
      <c r="A478" s="16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>
      <c r="A479" s="16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>
      <c r="A480" s="16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>
      <c r="A481" s="16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>
      <c r="A482" s="16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>
      <c r="A483" s="16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>
      <c r="A484" s="16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>
      <c r="A485" s="16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>
      <c r="A486" s="16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>
      <c r="A487" s="16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>
      <c r="A488" s="16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>
      <c r="A489" s="16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>
      <c r="A490" s="16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>
      <c r="A491" s="16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>
      <c r="A492" s="16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>
      <c r="A493" s="16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>
      <c r="A494" s="16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>
      <c r="A495" s="16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>
      <c r="A496" s="16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>
      <c r="A497" s="16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>
      <c r="A498" s="16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>
      <c r="A499" s="16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>
      <c r="A500" s="16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>
      <c r="A501" s="16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>
      <c r="A502" s="16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>
      <c r="A503" s="16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>
      <c r="A504" s="16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>
      <c r="A505" s="16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>
      <c r="A506" s="16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>
      <c r="A507" s="16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>
      <c r="A508" s="16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>
      <c r="A509" s="16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>
      <c r="A510" s="16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>
      <c r="A511" s="16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>
      <c r="A512" s="16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>
      <c r="A513" s="16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>
      <c r="A514" s="16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>
      <c r="A515" s="16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>
      <c r="A516" s="16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>
      <c r="A517" s="16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>
      <c r="A518" s="16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>
      <c r="A519" s="16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>
      <c r="A520" s="16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>
      <c r="A521" s="16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>
      <c r="A522" s="16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>
      <c r="A523" s="16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>
      <c r="A524" s="16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>
      <c r="A525" s="16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>
      <c r="A526" s="16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>
      <c r="A527" s="16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>
      <c r="A528" s="16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>
      <c r="A529" s="16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>
      <c r="A530" s="16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>
      <c r="A531" s="16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>
      <c r="A532" s="16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>
      <c r="A533" s="16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>
      <c r="A534" s="16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>
      <c r="A535" s="16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>
      <c r="A536" s="16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>
      <c r="A537" s="16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>
      <c r="A538" s="16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>
      <c r="A539" s="16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>
      <c r="A540" s="16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>
      <c r="A541" s="16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>
      <c r="A542" s="16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>
      <c r="A543" s="16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>
      <c r="A544" s="16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>
      <c r="A545" s="16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>
      <c r="A546" s="16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>
      <c r="A547" s="16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>
      <c r="A548" s="16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>
      <c r="A549" s="16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>
      <c r="A550" s="16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>
      <c r="A551" s="16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>
      <c r="A552" s="16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>
      <c r="A553" s="16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>
      <c r="A554" s="16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>
      <c r="A555" s="16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>
      <c r="A556" s="16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>
      <c r="A557" s="16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>
      <c r="A558" s="16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>
      <c r="A559" s="16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>
      <c r="A560" s="16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>
      <c r="A561" s="16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>
      <c r="A562" s="16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>
      <c r="A563" s="16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>
      <c r="A564" s="16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>
      <c r="A565" s="16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>
      <c r="A566" s="16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>
      <c r="A567" s="16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>
      <c r="A568" s="16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>
      <c r="A569" s="16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>
      <c r="A570" s="16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>
      <c r="A571" s="16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>
      <c r="A572" s="16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>
      <c r="A573" s="16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>
      <c r="A574" s="16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>
      <c r="A575" s="16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>
      <c r="A576" s="16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>
      <c r="A577" s="16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>
      <c r="A578" s="16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>
      <c r="A579" s="16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>
      <c r="A580" s="16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>
      <c r="A581" s="16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>
      <c r="A582" s="16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>
      <c r="A583" s="16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>
      <c r="A584" s="16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>
      <c r="A585" s="16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>
      <c r="A586" s="16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>
      <c r="A587" s="16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>
      <c r="A588" s="16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>
      <c r="A589" s="16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>
      <c r="A590" s="16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>
      <c r="A591" s="16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>
      <c r="A592" s="16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>
      <c r="A593" s="16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>
      <c r="A594" s="16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>
      <c r="A595" s="16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>
      <c r="A596" s="16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>
      <c r="A597" s="16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>
      <c r="A598" s="16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>
      <c r="A599" s="16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>
      <c r="A600" s="16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>
      <c r="A601" s="16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>
      <c r="A602" s="16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>
      <c r="A603" s="16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>
      <c r="A604" s="16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>
      <c r="A605" s="16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>
      <c r="A606" s="16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>
      <c r="A607" s="16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>
      <c r="A608" s="16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>
      <c r="A609" s="16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>
      <c r="A610" s="16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>
      <c r="A611" s="16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>
      <c r="A612" s="16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>
      <c r="A613" s="16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>
      <c r="A614" s="16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>
      <c r="A615" s="16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>
      <c r="A616" s="16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>
      <c r="A617" s="16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>
      <c r="A618" s="16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>
      <c r="A619" s="16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>
      <c r="A620" s="16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>
      <c r="A621" s="16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>
      <c r="A622" s="16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>
      <c r="A623" s="16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>
      <c r="A624" s="16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>
      <c r="A625" s="16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>
      <c r="A626" s="16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>
      <c r="A627" s="16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>
      <c r="A628" s="16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>
      <c r="A629" s="16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>
      <c r="A630" s="16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>
      <c r="A631" s="16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>
      <c r="A632" s="16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>
      <c r="A633" s="16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>
      <c r="A634" s="16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>
      <c r="A635" s="16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>
      <c r="A636" s="16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>
      <c r="A637" s="16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>
      <c r="A638" s="16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>
      <c r="A639" s="16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>
      <c r="A640" s="16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>
      <c r="A641" s="16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>
      <c r="A642" s="16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>
      <c r="A643" s="16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>
      <c r="A644" s="16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>
      <c r="A645" s="16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>
      <c r="A646" s="16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>
      <c r="A647" s="16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>
      <c r="A648" s="16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>
      <c r="A649" s="16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>
      <c r="A650" s="16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>
      <c r="A651" s="16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>
      <c r="A652" s="16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>
      <c r="A653" s="16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>
      <c r="A654" s="16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>
      <c r="A655" s="16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>
      <c r="A656" s="16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>
      <c r="A657" s="16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>
      <c r="A658" s="16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>
      <c r="A659" s="16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>
      <c r="A660" s="16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>
      <c r="A661" s="16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>
      <c r="A662" s="16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>
      <c r="A663" s="16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>
      <c r="A664" s="16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>
      <c r="A665" s="16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>
      <c r="A666" s="16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>
      <c r="A667" s="16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>
      <c r="A668" s="16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>
      <c r="A669" s="16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>
      <c r="A670" s="16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>
      <c r="A671" s="16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>
      <c r="A672" s="16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>
      <c r="A673" s="16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>
      <c r="A674" s="16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>
      <c r="A675" s="16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>
      <c r="A676" s="16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>
      <c r="A677" s="16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>
      <c r="A678" s="16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>
      <c r="A679" s="16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>
      <c r="A680" s="16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>
      <c r="A681" s="16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>
      <c r="A682" s="16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>
      <c r="A683" s="16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>
      <c r="A684" s="16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>
      <c r="A685" s="16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>
      <c r="A686" s="16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>
      <c r="A687" s="16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>
      <c r="A688" s="16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>
      <c r="A689" s="16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>
      <c r="A690" s="16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>
      <c r="A691" s="16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>
      <c r="A692" s="16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>
      <c r="A693" s="16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>
      <c r="A694" s="16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>
      <c r="A695" s="16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>
      <c r="A696" s="16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>
      <c r="A697" s="16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>
      <c r="A698" s="16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>
      <c r="A699" s="16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>
      <c r="A700" s="16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>
      <c r="A701" s="16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>
      <c r="A702" s="16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>
      <c r="A703" s="16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>
      <c r="A704" s="16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>
      <c r="A705" s="16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>
      <c r="A706" s="16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>
      <c r="A707" s="16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>
      <c r="A708" s="16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>
      <c r="A709" s="16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>
      <c r="A710" s="16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>
      <c r="A711" s="16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>
      <c r="A712" s="16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>
      <c r="A713" s="16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>
      <c r="A714" s="16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>
      <c r="A715" s="16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>
      <c r="A716" s="16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>
      <c r="A717" s="16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>
      <c r="A718" s="16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>
      <c r="A719" s="16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>
      <c r="A720" s="16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</row>
    <row r="721" spans="1:25">
      <c r="A721" s="16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</row>
    <row r="722" spans="1:25">
      <c r="A722" s="16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</row>
    <row r="723" spans="1:25">
      <c r="A723" s="16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</row>
    <row r="724" spans="1:25">
      <c r="A724" s="16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</row>
    <row r="725" spans="1:25">
      <c r="A725" s="16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</row>
    <row r="726" spans="1:25">
      <c r="A726" s="16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</row>
    <row r="727" spans="1:25">
      <c r="A727" s="16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</row>
    <row r="728" spans="1:25">
      <c r="A728" s="16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</row>
    <row r="729" spans="1:25">
      <c r="A729" s="16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</row>
    <row r="730" spans="1:25">
      <c r="A730" s="16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</row>
    <row r="731" spans="1:25">
      <c r="A731" s="16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</row>
    <row r="732" spans="1:25">
      <c r="A732" s="16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</row>
    <row r="733" spans="1:25">
      <c r="A733" s="16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</row>
    <row r="734" spans="1:25">
      <c r="A734" s="16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</row>
    <row r="735" spans="1:25">
      <c r="A735" s="16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</row>
    <row r="736" spans="1:25">
      <c r="A736" s="16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</row>
    <row r="737" spans="1:25">
      <c r="A737" s="16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>
      <c r="A738" s="16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</row>
    <row r="739" spans="1:25">
      <c r="A739" s="16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</row>
    <row r="740" spans="1:25">
      <c r="A740" s="16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</row>
    <row r="741" spans="1:25">
      <c r="A741" s="16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</row>
    <row r="742" spans="1:25">
      <c r="A742" s="16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</row>
    <row r="743" spans="1:25">
      <c r="A743" s="16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</row>
    <row r="744" spans="1:25">
      <c r="A744" s="16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</row>
    <row r="745" spans="1:25">
      <c r="A745" s="16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</row>
    <row r="746" spans="1:25">
      <c r="A746" s="16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</row>
    <row r="747" spans="1:25">
      <c r="A747" s="16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</row>
  </sheetData>
  <autoFilter ref="A1:BQ747"/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locked="0"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57150</xdr:rowOff>
                  </from>
                  <to>
                    <xdr:col>0</xdr:col>
                    <xdr:colOff>723900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314325</xdr:rowOff>
                  </from>
                  <to>
                    <xdr:col>0</xdr:col>
                    <xdr:colOff>704850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>
                <anchor moveWithCells="1" sizeWithCells="1">
                  <from>
                    <xdr:col>0</xdr:col>
                    <xdr:colOff>790575</xdr:colOff>
                    <xdr:row>0</xdr:row>
                    <xdr:rowOff>19050</xdr:rowOff>
                  </from>
                  <to>
                    <xdr:col>0</xdr:col>
                    <xdr:colOff>1552575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" name="Button 16">
              <controlPr defaultSize="0" print="0" autoFill="0" autoPict="0" macro="[1]!zmena_v_riadku_BOM">
                <anchor moveWithCells="1" sizeWithCells="1">
                  <from>
                    <xdr:col>0</xdr:col>
                    <xdr:colOff>314325</xdr:colOff>
                    <xdr:row>0</xdr:row>
                    <xdr:rowOff>762000</xdr:rowOff>
                  </from>
                  <to>
                    <xdr:col>0</xdr:col>
                    <xdr:colOff>1495425</xdr:colOff>
                    <xdr:row>0</xdr:row>
                    <xdr:rowOff>1228725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"/>
  <dimension ref="B3:V29"/>
  <sheetViews>
    <sheetView zoomScale="80" zoomScaleNormal="80" workbookViewId="0">
      <selection activeCell="W8" sqref="W8"/>
    </sheetView>
  </sheetViews>
  <sheetFormatPr baseColWidth="10" defaultColWidth="9.140625" defaultRowHeight="15" outlineLevelCol="1"/>
  <cols>
    <col min="1" max="1" width="9.140625" style="48"/>
    <col min="2" max="2" width="18.140625" style="48" customWidth="1"/>
    <col min="3" max="3" width="12.28515625" style="48" customWidth="1"/>
    <col min="4" max="4" width="9.140625" style="48"/>
    <col min="5" max="5" width="19.42578125" style="48" customWidth="1"/>
    <col min="6" max="6" width="20.42578125" style="48" customWidth="1"/>
    <col min="7" max="7" width="7.5703125" style="48" customWidth="1"/>
    <col min="8" max="8" width="9.140625" style="48" customWidth="1"/>
    <col min="9" max="9" width="16.42578125" style="48" customWidth="1"/>
    <col min="10" max="10" width="15.85546875" style="48" customWidth="1"/>
    <col min="11" max="11" width="36" style="48" customWidth="1" outlineLevel="1"/>
    <col min="12" max="12" width="10.140625" style="48" customWidth="1" outlineLevel="1"/>
    <col min="13" max="13" width="1.5703125" style="48" customWidth="1" outlineLevel="1"/>
    <col min="14" max="14" width="52.140625" style="48" customWidth="1" outlineLevel="1"/>
    <col min="15" max="15" width="15.85546875" style="48" customWidth="1" outlineLevel="1"/>
    <col min="16" max="16" width="13.140625" style="48" customWidth="1"/>
    <col min="17" max="22" width="4.7109375" style="48" customWidth="1"/>
    <col min="23" max="16384" width="9.140625" style="48"/>
  </cols>
  <sheetData>
    <row r="3" spans="2:22">
      <c r="P3" s="49" t="s">
        <v>2221</v>
      </c>
    </row>
    <row r="4" spans="2:22" ht="15.75">
      <c r="B4" s="50" t="s">
        <v>2222</v>
      </c>
      <c r="C4" s="51"/>
      <c r="D4" s="51"/>
      <c r="E4" s="51"/>
      <c r="F4" s="51"/>
      <c r="G4" s="51"/>
      <c r="H4" s="51"/>
      <c r="I4" s="52"/>
      <c r="J4" s="52"/>
      <c r="K4" s="51"/>
      <c r="L4" s="51"/>
      <c r="M4" s="51"/>
      <c r="N4" s="51"/>
      <c r="O4" s="51"/>
      <c r="P4" s="49" t="s">
        <v>2223</v>
      </c>
      <c r="Q4" s="52"/>
      <c r="R4" s="53"/>
    </row>
    <row r="5" spans="2:22" ht="31.5" customHeight="1">
      <c r="B5" s="54"/>
      <c r="C5" s="55"/>
      <c r="D5" s="55"/>
      <c r="E5" s="55"/>
      <c r="F5" s="55"/>
      <c r="G5" s="55"/>
      <c r="H5" s="55"/>
      <c r="I5" s="56"/>
      <c r="J5" s="56"/>
      <c r="K5" s="55"/>
      <c r="L5" s="55"/>
      <c r="M5" s="55"/>
      <c r="N5" s="55"/>
      <c r="O5" s="55"/>
      <c r="P5" s="49"/>
      <c r="Q5" s="57" t="s">
        <v>2224</v>
      </c>
      <c r="R5" s="57" t="s">
        <v>2224</v>
      </c>
      <c r="S5" s="57" t="s">
        <v>2224</v>
      </c>
      <c r="T5" s="57" t="s">
        <v>2224</v>
      </c>
      <c r="U5" s="57" t="s">
        <v>2224</v>
      </c>
      <c r="V5" s="57" t="s">
        <v>2224</v>
      </c>
    </row>
    <row r="6" spans="2:22" ht="45.75" customHeight="1">
      <c r="B6" s="58"/>
      <c r="C6" s="59"/>
      <c r="D6" s="59"/>
      <c r="E6" s="59"/>
      <c r="F6" s="59"/>
      <c r="G6" s="59"/>
      <c r="H6" s="59"/>
      <c r="I6" s="59"/>
      <c r="J6" s="59"/>
      <c r="K6" s="60"/>
      <c r="L6" s="59"/>
      <c r="M6" s="59"/>
      <c r="N6" s="59"/>
      <c r="O6" s="59"/>
      <c r="P6" s="49"/>
      <c r="Q6" s="61" t="s">
        <v>2225</v>
      </c>
      <c r="R6" s="61" t="s">
        <v>2226</v>
      </c>
      <c r="S6" s="61" t="s">
        <v>2227</v>
      </c>
      <c r="T6" s="61" t="s">
        <v>2228</v>
      </c>
      <c r="U6" s="61" t="s">
        <v>2229</v>
      </c>
      <c r="V6" s="61" t="s">
        <v>2230</v>
      </c>
    </row>
    <row r="7" spans="2:22" ht="37.9" customHeight="1">
      <c r="B7" s="58" t="s">
        <v>2217</v>
      </c>
      <c r="C7" s="62"/>
      <c r="D7" s="62"/>
      <c r="E7" s="62" t="s">
        <v>2299</v>
      </c>
      <c r="F7" s="63"/>
      <c r="G7" s="63"/>
      <c r="H7" s="64"/>
      <c r="I7" s="65"/>
      <c r="J7" s="65"/>
      <c r="K7" s="66"/>
      <c r="L7" s="66"/>
      <c r="M7" s="64"/>
      <c r="N7" s="64"/>
      <c r="O7" s="64"/>
      <c r="P7" s="67">
        <f>COUNTA(Q6:BNI6)</f>
        <v>6</v>
      </c>
      <c r="Q7" s="61" t="s">
        <v>2231</v>
      </c>
      <c r="R7" s="61" t="s">
        <v>2231</v>
      </c>
      <c r="S7" s="61" t="s">
        <v>2231</v>
      </c>
      <c r="T7" s="61" t="s">
        <v>2231</v>
      </c>
      <c r="U7" s="61" t="s">
        <v>2231</v>
      </c>
      <c r="V7" s="61" t="s">
        <v>2231</v>
      </c>
    </row>
    <row r="8" spans="2:22" ht="48" customHeight="1">
      <c r="B8" s="66"/>
      <c r="C8" s="68"/>
      <c r="D8" s="66"/>
      <c r="E8" s="68"/>
      <c r="F8" s="68"/>
      <c r="G8" s="68"/>
      <c r="H8" s="64"/>
      <c r="I8" s="65"/>
      <c r="J8" s="65"/>
      <c r="K8" s="66"/>
      <c r="L8" s="66"/>
      <c r="M8" s="66"/>
      <c r="N8" s="66"/>
      <c r="O8" s="66"/>
      <c r="P8" s="69" t="s">
        <v>2232</v>
      </c>
      <c r="Q8" s="57" t="s">
        <v>2233</v>
      </c>
      <c r="R8" s="57" t="s">
        <v>2233</v>
      </c>
      <c r="S8" s="57" t="s">
        <v>2233</v>
      </c>
      <c r="T8" s="57" t="s">
        <v>2233</v>
      </c>
      <c r="U8" s="57" t="s">
        <v>2233</v>
      </c>
      <c r="V8" s="57" t="s">
        <v>2233</v>
      </c>
    </row>
    <row r="9" spans="2:22" ht="36.75" customHeight="1">
      <c r="B9" s="70" t="s">
        <v>2234</v>
      </c>
      <c r="C9" s="71" t="s">
        <v>2160</v>
      </c>
      <c r="D9" s="72" t="s">
        <v>2235</v>
      </c>
      <c r="E9" s="71" t="s">
        <v>2236</v>
      </c>
      <c r="F9" s="72" t="s">
        <v>2237</v>
      </c>
      <c r="G9" s="72" t="s">
        <v>2238</v>
      </c>
      <c r="H9" s="72" t="s">
        <v>2239</v>
      </c>
      <c r="I9" s="72" t="s">
        <v>2240</v>
      </c>
      <c r="J9" s="72" t="s">
        <v>2241</v>
      </c>
      <c r="K9" s="73" t="s">
        <v>2242</v>
      </c>
      <c r="L9" s="73" t="s">
        <v>2243</v>
      </c>
      <c r="M9" s="73" t="s">
        <v>2244</v>
      </c>
      <c r="N9" s="73" t="s">
        <v>2245</v>
      </c>
      <c r="O9" s="74" t="s">
        <v>2246</v>
      </c>
      <c r="P9" s="74" t="s">
        <v>2239</v>
      </c>
      <c r="Q9" s="75" t="s">
        <v>2247</v>
      </c>
      <c r="R9" s="75" t="s">
        <v>2248</v>
      </c>
      <c r="S9" s="75" t="s">
        <v>2249</v>
      </c>
      <c r="T9" s="75" t="s">
        <v>2250</v>
      </c>
      <c r="U9" s="75" t="s">
        <v>2251</v>
      </c>
      <c r="V9" s="75" t="s">
        <v>2252</v>
      </c>
    </row>
    <row r="10" spans="2:22" ht="15" customHeight="1">
      <c r="B10" s="152" t="s">
        <v>2365</v>
      </c>
      <c r="C10" s="76" t="s">
        <v>2253</v>
      </c>
      <c r="D10" s="77">
        <v>100</v>
      </c>
      <c r="E10" s="253" t="str">
        <f t="shared" ref="E10:E15" si="0">CONCATENATE("1FE1CR3",MID(F10,9,3),IF(MID(F10,13,1)="",0,MID(F10,13,1)),IF(MID(F10,14,1)="",0,MID(F10,14,1)),G10)</f>
        <v>1FE1CR3000A0F</v>
      </c>
      <c r="F10" s="254" t="s">
        <v>2</v>
      </c>
      <c r="G10" s="174" t="s">
        <v>2366</v>
      </c>
      <c r="H10" s="77" t="s">
        <v>2254</v>
      </c>
      <c r="I10" s="255" t="s">
        <v>2256</v>
      </c>
      <c r="J10" s="80"/>
      <c r="K10" s="79" t="s">
        <v>2257</v>
      </c>
      <c r="L10" s="79" t="s">
        <v>2258</v>
      </c>
      <c r="M10" s="81"/>
      <c r="N10" s="78" t="s">
        <v>3</v>
      </c>
      <c r="O10" s="82">
        <v>1</v>
      </c>
      <c r="P10" s="75"/>
      <c r="Q10" s="77" t="s">
        <v>2002</v>
      </c>
      <c r="R10" s="77" t="s">
        <v>2002</v>
      </c>
      <c r="S10" s="77" t="s">
        <v>2002</v>
      </c>
      <c r="T10" s="77" t="s">
        <v>2002</v>
      </c>
      <c r="U10" s="77" t="s">
        <v>2002</v>
      </c>
      <c r="V10" s="77" t="s">
        <v>2002</v>
      </c>
    </row>
    <row r="11" spans="2:22" ht="24.95" customHeight="1">
      <c r="B11" s="83"/>
      <c r="C11" s="76" t="s">
        <v>2253</v>
      </c>
      <c r="D11" s="77">
        <v>200</v>
      </c>
      <c r="E11" s="253" t="str">
        <f t="shared" si="0"/>
        <v>1FE1CR3219A0A</v>
      </c>
      <c r="F11" s="256" t="s">
        <v>1151</v>
      </c>
      <c r="G11" s="77" t="s">
        <v>2161</v>
      </c>
      <c r="H11" s="84"/>
      <c r="I11" s="255" t="s">
        <v>2259</v>
      </c>
      <c r="J11" s="80"/>
      <c r="K11" s="85" t="s">
        <v>2260</v>
      </c>
      <c r="L11" s="79" t="s">
        <v>2258</v>
      </c>
      <c r="M11" s="81"/>
      <c r="N11" s="78" t="s">
        <v>1152</v>
      </c>
      <c r="O11" s="82"/>
      <c r="P11" s="75"/>
      <c r="Q11" s="86" t="s">
        <v>2002</v>
      </c>
      <c r="R11" s="87" t="s">
        <v>2219</v>
      </c>
      <c r="S11" s="88" t="s">
        <v>26</v>
      </c>
      <c r="T11" s="86" t="s">
        <v>2002</v>
      </c>
      <c r="U11" s="89" t="s">
        <v>2219</v>
      </c>
      <c r="V11" s="88" t="s">
        <v>26</v>
      </c>
    </row>
    <row r="12" spans="2:22" ht="24.95" customHeight="1">
      <c r="B12" s="83"/>
      <c r="C12" s="76" t="s">
        <v>2253</v>
      </c>
      <c r="D12" s="77">
        <v>201</v>
      </c>
      <c r="E12" s="253" t="str">
        <f t="shared" si="0"/>
        <v>1FE1CR3219C0A</v>
      </c>
      <c r="F12" s="256" t="s">
        <v>1155</v>
      </c>
      <c r="G12" s="77" t="s">
        <v>2161</v>
      </c>
      <c r="H12" s="84"/>
      <c r="I12" s="255" t="s">
        <v>2261</v>
      </c>
      <c r="J12" s="80"/>
      <c r="K12" s="85" t="s">
        <v>2262</v>
      </c>
      <c r="L12" s="79" t="s">
        <v>2258</v>
      </c>
      <c r="M12" s="81"/>
      <c r="N12" s="78" t="s">
        <v>1156</v>
      </c>
      <c r="O12" s="82"/>
      <c r="P12" s="75"/>
      <c r="Q12" s="88" t="s">
        <v>26</v>
      </c>
      <c r="R12" s="77" t="s">
        <v>2002</v>
      </c>
      <c r="S12" s="88" t="s">
        <v>26</v>
      </c>
      <c r="T12" s="88" t="s">
        <v>26</v>
      </c>
      <c r="U12" s="77" t="s">
        <v>2002</v>
      </c>
      <c r="V12" s="88" t="s">
        <v>26</v>
      </c>
    </row>
    <row r="13" spans="2:22" ht="24.95" customHeight="1">
      <c r="B13" s="83"/>
      <c r="C13" s="76" t="s">
        <v>2253</v>
      </c>
      <c r="D13" s="77">
        <v>202</v>
      </c>
      <c r="E13" s="253" t="str">
        <f t="shared" si="0"/>
        <v>1FE1CR3219E0A</v>
      </c>
      <c r="F13" s="256" t="s">
        <v>1158</v>
      </c>
      <c r="G13" s="77" t="s">
        <v>2161</v>
      </c>
      <c r="H13" s="84"/>
      <c r="I13" s="255" t="s">
        <v>2263</v>
      </c>
      <c r="J13" s="80"/>
      <c r="K13" s="85" t="s">
        <v>2264</v>
      </c>
      <c r="L13" s="79" t="s">
        <v>2258</v>
      </c>
      <c r="M13" s="81"/>
      <c r="N13" s="78" t="s">
        <v>1159</v>
      </c>
      <c r="O13" s="82"/>
      <c r="P13" s="75"/>
      <c r="Q13" s="88" t="s">
        <v>26</v>
      </c>
      <c r="R13" s="88" t="s">
        <v>26</v>
      </c>
      <c r="S13" s="77" t="s">
        <v>2002</v>
      </c>
      <c r="T13" s="88" t="s">
        <v>26</v>
      </c>
      <c r="U13" s="88" t="s">
        <v>26</v>
      </c>
      <c r="V13" s="77" t="s">
        <v>2002</v>
      </c>
    </row>
    <row r="14" spans="2:22" ht="15" customHeight="1">
      <c r="B14" s="83"/>
      <c r="C14" s="76" t="s">
        <v>2253</v>
      </c>
      <c r="D14" s="77">
        <v>300</v>
      </c>
      <c r="E14" s="257" t="str">
        <f t="shared" si="0"/>
        <v>1FE1CR3329A0A</v>
      </c>
      <c r="F14" s="256" t="s">
        <v>1307</v>
      </c>
      <c r="G14" s="77" t="s">
        <v>2161</v>
      </c>
      <c r="H14" s="84"/>
      <c r="I14" s="255" t="s">
        <v>2265</v>
      </c>
      <c r="J14" s="80"/>
      <c r="K14" s="79" t="s">
        <v>2266</v>
      </c>
      <c r="L14" s="79" t="s">
        <v>2258</v>
      </c>
      <c r="M14" s="81"/>
      <c r="N14" s="78" t="s">
        <v>3</v>
      </c>
      <c r="O14" s="82">
        <v>1</v>
      </c>
      <c r="P14" s="75"/>
      <c r="Q14" s="77" t="s">
        <v>2002</v>
      </c>
      <c r="R14" s="77" t="s">
        <v>2002</v>
      </c>
      <c r="S14" s="77" t="s">
        <v>2002</v>
      </c>
      <c r="T14" s="77" t="s">
        <v>2002</v>
      </c>
      <c r="U14" s="77" t="s">
        <v>2002</v>
      </c>
      <c r="V14" s="77" t="s">
        <v>2002</v>
      </c>
    </row>
    <row r="15" spans="2:22" ht="15" customHeight="1">
      <c r="B15" s="83"/>
      <c r="C15" s="76" t="s">
        <v>2253</v>
      </c>
      <c r="D15" s="77">
        <v>400</v>
      </c>
      <c r="E15" s="257" t="str">
        <f t="shared" si="0"/>
        <v>1FE1CR3656A0A</v>
      </c>
      <c r="F15" s="254" t="s">
        <v>1418</v>
      </c>
      <c r="G15" s="77" t="s">
        <v>2161</v>
      </c>
      <c r="H15" s="75"/>
      <c r="I15" s="255" t="s">
        <v>2267</v>
      </c>
      <c r="J15" s="75"/>
      <c r="K15" s="79" t="s">
        <v>2268</v>
      </c>
      <c r="L15" s="79"/>
      <c r="M15" s="81"/>
      <c r="N15" s="78" t="s">
        <v>2269</v>
      </c>
      <c r="O15" s="82"/>
      <c r="P15" s="75"/>
      <c r="Q15" s="77" t="s">
        <v>2002</v>
      </c>
      <c r="R15" s="77" t="s">
        <v>2002</v>
      </c>
      <c r="S15" s="77" t="s">
        <v>2002</v>
      </c>
      <c r="T15" s="88" t="s">
        <v>26</v>
      </c>
      <c r="U15" s="88" t="s">
        <v>26</v>
      </c>
      <c r="V15" s="88" t="s">
        <v>26</v>
      </c>
    </row>
    <row r="22" spans="10:11">
      <c r="J22" s="27"/>
      <c r="K22"/>
    </row>
    <row r="23" spans="10:11">
      <c r="J23" s="27"/>
      <c r="K23"/>
    </row>
    <row r="24" spans="10:11">
      <c r="J24" s="27"/>
    </row>
    <row r="25" spans="10:11">
      <c r="J25" s="27"/>
    </row>
    <row r="26" spans="10:11">
      <c r="J26" s="27"/>
    </row>
    <row r="27" spans="10:11">
      <c r="J27" s="27"/>
    </row>
    <row r="28" spans="10:11">
      <c r="J28" s="27"/>
    </row>
    <row r="29" spans="10:11">
      <c r="J29" s="2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/>
  <dimension ref="B3:T32"/>
  <sheetViews>
    <sheetView zoomScale="80" zoomScaleNormal="80" workbookViewId="0">
      <selection activeCell="U8" sqref="U8"/>
    </sheetView>
  </sheetViews>
  <sheetFormatPr baseColWidth="10" defaultColWidth="9.140625" defaultRowHeight="15" outlineLevelCol="1"/>
  <cols>
    <col min="1" max="1" width="9.140625" style="48"/>
    <col min="2" max="2" width="14.5703125" style="48" customWidth="1"/>
    <col min="3" max="3" width="9.5703125" style="48" customWidth="1"/>
    <col min="4" max="4" width="9.140625" style="48"/>
    <col min="5" max="5" width="19.42578125" style="48" customWidth="1"/>
    <col min="6" max="6" width="15.7109375" style="48" customWidth="1"/>
    <col min="7" max="7" width="7.5703125" style="48" customWidth="1"/>
    <col min="8" max="8" width="9.140625" style="48" customWidth="1"/>
    <col min="9" max="9" width="16.42578125" style="48" customWidth="1"/>
    <col min="10" max="10" width="16.7109375" style="48" customWidth="1"/>
    <col min="11" max="11" width="42.42578125" style="48" customWidth="1" outlineLevel="1"/>
    <col min="12" max="12" width="1.5703125" style="48" customWidth="1" outlineLevel="1"/>
    <col min="13" max="13" width="28.85546875" style="48" customWidth="1" outlineLevel="1"/>
    <col min="14" max="14" width="43.85546875" style="48" customWidth="1" outlineLevel="1"/>
    <col min="15" max="15" width="13.140625" style="48" customWidth="1" outlineLevel="1"/>
    <col min="16" max="16" width="14.5703125" style="48" customWidth="1"/>
    <col min="17" max="20" width="4.7109375" style="48" customWidth="1"/>
    <col min="21" max="16384" width="9.140625" style="48"/>
  </cols>
  <sheetData>
    <row r="3" spans="2:20">
      <c r="P3" s="49" t="s">
        <v>2221</v>
      </c>
    </row>
    <row r="4" spans="2:20" ht="15.75">
      <c r="B4" s="50" t="s">
        <v>2162</v>
      </c>
      <c r="C4" s="90" t="s">
        <v>2270</v>
      </c>
      <c r="D4" s="51"/>
      <c r="E4" s="51"/>
      <c r="F4" s="51"/>
      <c r="G4" s="51"/>
      <c r="H4" s="51"/>
      <c r="I4" s="52"/>
      <c r="J4" s="52"/>
      <c r="K4" s="51"/>
      <c r="L4" s="51"/>
      <c r="M4" s="51"/>
      <c r="N4" s="51"/>
      <c r="O4" s="51"/>
      <c r="P4" s="49" t="s">
        <v>2223</v>
      </c>
      <c r="Q4" s="53"/>
    </row>
    <row r="5" spans="2:20" ht="31.5" customHeight="1">
      <c r="B5" s="54"/>
      <c r="C5" s="91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49"/>
      <c r="Q5" s="57" t="s">
        <v>2271</v>
      </c>
      <c r="R5" s="57" t="s">
        <v>2271</v>
      </c>
      <c r="S5" s="57" t="s">
        <v>2271</v>
      </c>
      <c r="T5" s="57" t="s">
        <v>2271</v>
      </c>
    </row>
    <row r="6" spans="2:20" ht="45.75" customHeight="1">
      <c r="B6" s="92"/>
      <c r="C6" s="59"/>
      <c r="D6" s="59"/>
      <c r="E6" s="59"/>
      <c r="F6" s="59"/>
      <c r="G6" s="59"/>
      <c r="H6" s="59"/>
      <c r="I6" s="59"/>
      <c r="J6" s="59"/>
      <c r="K6" s="60"/>
      <c r="L6" s="59"/>
      <c r="M6" s="59"/>
      <c r="N6" s="59"/>
      <c r="O6" s="59"/>
      <c r="P6" s="49"/>
      <c r="Q6" s="61" t="s">
        <v>2226</v>
      </c>
      <c r="R6" s="61" t="s">
        <v>2228</v>
      </c>
      <c r="S6" s="61" t="s">
        <v>2229</v>
      </c>
      <c r="T6" s="61" t="s">
        <v>2230</v>
      </c>
    </row>
    <row r="7" spans="2:20" ht="35.25" customHeight="1">
      <c r="B7" s="58" t="s">
        <v>2217</v>
      </c>
      <c r="C7" s="62"/>
      <c r="D7" s="62"/>
      <c r="E7" s="62" t="s">
        <v>2299</v>
      </c>
      <c r="F7" s="68"/>
      <c r="G7" s="68"/>
      <c r="H7" s="64"/>
      <c r="I7" s="65"/>
      <c r="J7" s="65"/>
      <c r="K7" s="65"/>
      <c r="L7" s="65"/>
      <c r="M7" s="64"/>
      <c r="N7" s="64"/>
      <c r="O7" s="64"/>
      <c r="P7" s="67">
        <f>COUNTA(Q6:BNK6)</f>
        <v>4</v>
      </c>
      <c r="Q7" s="61" t="s">
        <v>2272</v>
      </c>
      <c r="R7" s="61" t="s">
        <v>2272</v>
      </c>
      <c r="S7" s="61" t="s">
        <v>2272</v>
      </c>
      <c r="T7" s="61" t="s">
        <v>2272</v>
      </c>
    </row>
    <row r="8" spans="2:20" ht="48" customHeight="1">
      <c r="B8" s="65"/>
      <c r="C8" s="68"/>
      <c r="D8" s="65"/>
      <c r="E8" s="68"/>
      <c r="F8" s="68"/>
      <c r="G8" s="68"/>
      <c r="H8" s="64"/>
      <c r="I8" s="65"/>
      <c r="J8" s="65"/>
      <c r="K8" s="65"/>
      <c r="L8" s="65"/>
      <c r="M8" s="65"/>
      <c r="N8" s="65"/>
      <c r="O8" s="65"/>
      <c r="P8" s="69" t="s">
        <v>2232</v>
      </c>
      <c r="Q8" s="57" t="s">
        <v>2233</v>
      </c>
      <c r="R8" s="57" t="s">
        <v>2233</v>
      </c>
      <c r="S8" s="57" t="s">
        <v>2233</v>
      </c>
      <c r="T8" s="57" t="s">
        <v>2233</v>
      </c>
    </row>
    <row r="9" spans="2:20" ht="47.25" customHeight="1">
      <c r="B9" s="70" t="s">
        <v>2234</v>
      </c>
      <c r="C9" s="71" t="s">
        <v>2160</v>
      </c>
      <c r="D9" s="72" t="s">
        <v>2235</v>
      </c>
      <c r="E9" s="71" t="s">
        <v>2236</v>
      </c>
      <c r="F9" s="72" t="s">
        <v>2237</v>
      </c>
      <c r="G9" s="72" t="s">
        <v>2238</v>
      </c>
      <c r="H9" s="72" t="s">
        <v>2239</v>
      </c>
      <c r="I9" s="72" t="s">
        <v>2240</v>
      </c>
      <c r="J9" s="72" t="s">
        <v>2241</v>
      </c>
      <c r="K9" s="73" t="s">
        <v>2242</v>
      </c>
      <c r="L9" s="73" t="s">
        <v>2243</v>
      </c>
      <c r="M9" s="73" t="s">
        <v>2244</v>
      </c>
      <c r="N9" s="73" t="s">
        <v>2245</v>
      </c>
      <c r="O9" s="74" t="s">
        <v>2246</v>
      </c>
      <c r="P9" s="74" t="s">
        <v>2239</v>
      </c>
      <c r="Q9" s="75" t="s">
        <v>2248</v>
      </c>
      <c r="R9" s="75" t="s">
        <v>2250</v>
      </c>
      <c r="S9" s="75" t="s">
        <v>2251</v>
      </c>
      <c r="T9" s="75" t="s">
        <v>2252</v>
      </c>
    </row>
    <row r="10" spans="2:20" ht="15" customHeight="1">
      <c r="B10" s="155" t="s">
        <v>2365</v>
      </c>
      <c r="C10" s="76" t="s">
        <v>2273</v>
      </c>
      <c r="D10" s="77">
        <v>100</v>
      </c>
      <c r="E10" s="253" t="str">
        <f>CONCATENATE("1FE1CR3",MID(F10,9,3),IF(MID(F10,13,1)="",0,MID(F10,13,1)),IF(MID(F10,14,1)="",0,MID(F10,14,1)),G10)</f>
        <v>1FE1CR3000A0F</v>
      </c>
      <c r="F10" s="254" t="s">
        <v>2</v>
      </c>
      <c r="G10" s="174" t="s">
        <v>2366</v>
      </c>
      <c r="H10" s="77" t="s">
        <v>2254</v>
      </c>
      <c r="I10" s="255" t="s">
        <v>2274</v>
      </c>
      <c r="J10" s="75"/>
      <c r="K10" s="79" t="s">
        <v>2275</v>
      </c>
      <c r="L10" s="79"/>
      <c r="M10" s="94" t="s">
        <v>2270</v>
      </c>
      <c r="N10" s="95" t="s">
        <v>3</v>
      </c>
      <c r="O10" s="82">
        <v>1</v>
      </c>
      <c r="P10" s="75"/>
      <c r="Q10" s="77" t="s">
        <v>2002</v>
      </c>
      <c r="R10" s="77" t="s">
        <v>2002</v>
      </c>
      <c r="S10" s="77" t="s">
        <v>2002</v>
      </c>
      <c r="T10" s="77" t="s">
        <v>2002</v>
      </c>
    </row>
    <row r="11" spans="2:20" ht="15" customHeight="1">
      <c r="B11" s="93"/>
      <c r="C11" s="76" t="s">
        <v>2273</v>
      </c>
      <c r="D11" s="77">
        <v>200</v>
      </c>
      <c r="E11" s="253" t="str">
        <f>CONCATENATE("1FE1CR3",MID(F11,9,3),IF(MID(F11,13,1)="",0,MID(F11,13,1)),IF(MID(F11,14,1)="",0,MID(F11,14,1)),G11)</f>
        <v>1FE1CR3077A0A</v>
      </c>
      <c r="F11" s="254" t="s">
        <v>953</v>
      </c>
      <c r="G11" s="77" t="s">
        <v>2161</v>
      </c>
      <c r="H11" s="77"/>
      <c r="I11" s="255" t="s">
        <v>2276</v>
      </c>
      <c r="J11" s="75"/>
      <c r="K11" s="79" t="s">
        <v>2277</v>
      </c>
      <c r="L11" s="79"/>
      <c r="M11" s="94" t="s">
        <v>2270</v>
      </c>
      <c r="N11" s="96" t="s">
        <v>954</v>
      </c>
      <c r="O11" s="82"/>
      <c r="P11" s="75"/>
      <c r="Q11" s="88" t="s">
        <v>26</v>
      </c>
      <c r="R11" s="77" t="s">
        <v>2002</v>
      </c>
      <c r="S11" s="88" t="s">
        <v>26</v>
      </c>
      <c r="T11" s="77" t="s">
        <v>2002</v>
      </c>
    </row>
    <row r="12" spans="2:20" ht="15" customHeight="1">
      <c r="B12" s="97"/>
      <c r="C12" s="76" t="s">
        <v>2273</v>
      </c>
      <c r="D12" s="77">
        <v>200</v>
      </c>
      <c r="E12" s="253" t="str">
        <f t="shared" ref="E12" si="0">CONCATENATE("1FE1CR3",MID(F12,9,3),IF(MID(F12,13,1)="",0,MID(F12,13,1)),IF(MID(F12,14,1)="",0,MID(F12,14,1)),G12)</f>
        <v>1FE1CR3077C0A</v>
      </c>
      <c r="F12" s="254" t="s">
        <v>955</v>
      </c>
      <c r="G12" s="77" t="s">
        <v>2161</v>
      </c>
      <c r="H12" s="75"/>
      <c r="I12" s="255" t="s">
        <v>2276</v>
      </c>
      <c r="J12" s="75"/>
      <c r="K12" s="79" t="s">
        <v>2277</v>
      </c>
      <c r="L12" s="79"/>
      <c r="M12" s="94" t="s">
        <v>2270</v>
      </c>
      <c r="N12" s="78" t="s">
        <v>2278</v>
      </c>
      <c r="O12" s="82"/>
      <c r="P12" s="75"/>
      <c r="Q12" s="88" t="s">
        <v>26</v>
      </c>
      <c r="R12" s="77" t="s">
        <v>2002</v>
      </c>
      <c r="S12" s="88" t="s">
        <v>26</v>
      </c>
      <c r="T12" s="77" t="s">
        <v>2002</v>
      </c>
    </row>
    <row r="13" spans="2:20" ht="15" customHeight="1">
      <c r="B13" s="93"/>
      <c r="C13" s="76" t="s">
        <v>2273</v>
      </c>
      <c r="D13" s="77">
        <v>200</v>
      </c>
      <c r="E13" s="253" t="str">
        <f>CONCATENATE("1FE1CR3",MID(F13,9,3),IF(MID(F13,13,1)="",0,MID(F13,13,1)),IF(MID(F13,14,1)="",0,MID(F13,14,1)),G13)</f>
        <v>1FE1CR3077E0A</v>
      </c>
      <c r="F13" s="258" t="s">
        <v>959</v>
      </c>
      <c r="G13" s="77" t="s">
        <v>2161</v>
      </c>
      <c r="H13" s="77"/>
      <c r="I13" s="255" t="s">
        <v>2276</v>
      </c>
      <c r="J13" s="75"/>
      <c r="K13" s="79" t="s">
        <v>2277</v>
      </c>
      <c r="L13" s="79"/>
      <c r="M13" s="94" t="s">
        <v>2270</v>
      </c>
      <c r="N13" s="78" t="s">
        <v>960</v>
      </c>
      <c r="O13" s="82"/>
      <c r="P13" s="75"/>
      <c r="Q13" s="98" t="s">
        <v>2219</v>
      </c>
      <c r="R13" s="88" t="s">
        <v>2002</v>
      </c>
      <c r="S13" s="88" t="s">
        <v>26</v>
      </c>
      <c r="T13" s="77" t="s">
        <v>2002</v>
      </c>
    </row>
    <row r="14" spans="2:20" ht="15" customHeight="1">
      <c r="B14" s="93"/>
      <c r="C14" s="76" t="s">
        <v>2273</v>
      </c>
      <c r="D14" s="77">
        <v>300</v>
      </c>
      <c r="E14" s="253" t="str">
        <f>CONCATENATE("1FE1CR3",MID(F14,9,3),IF(MID(F14,13,1)="",0,MID(F14,13,1)),IF(MID(F14,14,1)="",0,MID(F14,14,1)),G14)</f>
        <v>1FE1CR3216A0D</v>
      </c>
      <c r="F14" s="254" t="s">
        <v>1096</v>
      </c>
      <c r="G14" s="77" t="s">
        <v>2255</v>
      </c>
      <c r="H14" s="77" t="s">
        <v>2279</v>
      </c>
      <c r="I14" s="255" t="s">
        <v>2280</v>
      </c>
      <c r="J14" s="79" t="s">
        <v>2281</v>
      </c>
      <c r="K14" s="99" t="s">
        <v>2282</v>
      </c>
      <c r="L14" s="79"/>
      <c r="M14" s="94" t="s">
        <v>2270</v>
      </c>
      <c r="N14" s="78" t="s">
        <v>1097</v>
      </c>
      <c r="O14" s="82">
        <v>1</v>
      </c>
      <c r="P14" s="75"/>
      <c r="Q14" s="88" t="s">
        <v>2219</v>
      </c>
      <c r="R14" s="88" t="s">
        <v>2219</v>
      </c>
      <c r="S14" s="88" t="s">
        <v>2002</v>
      </c>
      <c r="T14" s="88" t="s">
        <v>2002</v>
      </c>
    </row>
    <row r="15" spans="2:20" ht="15" customHeight="1">
      <c r="B15" s="97"/>
      <c r="C15" s="76" t="s">
        <v>2273</v>
      </c>
      <c r="D15" s="77">
        <v>301</v>
      </c>
      <c r="E15" s="257" t="str">
        <f>CONCATENATE("1FE1CR3",MID(F15,9,3),IF(MID(F15,13,1)="",0,MID(F15,13,1)),IF(MID(F15,14,1)="",0,MID(F15,14,1)),G15)</f>
        <v>1FE1CR3216C0B</v>
      </c>
      <c r="F15" s="254" t="s">
        <v>1100</v>
      </c>
      <c r="G15" s="77" t="s">
        <v>2150</v>
      </c>
      <c r="H15" s="77" t="s">
        <v>2161</v>
      </c>
      <c r="I15" s="255" t="s">
        <v>2281</v>
      </c>
      <c r="J15" s="75"/>
      <c r="K15" s="100" t="s">
        <v>2283</v>
      </c>
      <c r="L15" s="79"/>
      <c r="M15" s="94" t="s">
        <v>2270</v>
      </c>
      <c r="N15" s="78" t="s">
        <v>1101</v>
      </c>
      <c r="O15" s="82">
        <v>1</v>
      </c>
      <c r="P15" s="75"/>
      <c r="Q15" s="77" t="s">
        <v>2002</v>
      </c>
      <c r="R15" s="77" t="s">
        <v>2002</v>
      </c>
      <c r="S15" s="77" t="s">
        <v>2219</v>
      </c>
      <c r="T15" s="77" t="s">
        <v>2219</v>
      </c>
    </row>
    <row r="18" spans="9:15">
      <c r="L18" s="46"/>
    </row>
    <row r="19" spans="9:15">
      <c r="L19" s="46"/>
    </row>
    <row r="20" spans="9:15">
      <c r="L20" s="46"/>
    </row>
    <row r="21" spans="9:15">
      <c r="I21" s="46"/>
      <c r="J21" s="46"/>
      <c r="K21" s="46"/>
      <c r="L21" s="46"/>
      <c r="M21" s="46"/>
      <c r="N21"/>
      <c r="O21" s="46"/>
    </row>
    <row r="22" spans="9:15">
      <c r="I22" s="46"/>
      <c r="J22" s="46"/>
      <c r="K22" s="46"/>
      <c r="L22" s="46"/>
      <c r="M22" s="46"/>
      <c r="N22"/>
      <c r="O22" s="46"/>
    </row>
    <row r="23" spans="9:15">
      <c r="I23" s="46"/>
      <c r="J23" s="47"/>
      <c r="K23" s="46"/>
      <c r="L23" s="46"/>
      <c r="M23" s="101"/>
      <c r="N23" s="102"/>
      <c r="O23" s="101"/>
    </row>
    <row r="24" spans="9:15">
      <c r="I24" s="46"/>
      <c r="J24" s="47"/>
      <c r="K24" s="46"/>
      <c r="L24" s="46"/>
      <c r="M24" s="47"/>
      <c r="N24" s="103"/>
      <c r="O24" s="47"/>
    </row>
    <row r="25" spans="9:15">
      <c r="I25"/>
      <c r="J25"/>
      <c r="K25"/>
      <c r="L25"/>
      <c r="M25" s="101"/>
      <c r="N25" s="102"/>
      <c r="O25" s="101"/>
    </row>
    <row r="26" spans="9:15">
      <c r="I26"/>
      <c r="J26"/>
      <c r="K26"/>
      <c r="L26"/>
      <c r="M26" s="47"/>
      <c r="N26" s="103"/>
      <c r="O26" s="47"/>
    </row>
    <row r="27" spans="9:15">
      <c r="I27"/>
      <c r="J27"/>
      <c r="K27"/>
      <c r="L27"/>
      <c r="M27" s="46"/>
      <c r="N27"/>
      <c r="O27" s="46"/>
    </row>
    <row r="28" spans="9:15">
      <c r="I28"/>
      <c r="J28"/>
      <c r="K28"/>
      <c r="L28"/>
      <c r="M28" s="46"/>
      <c r="N28"/>
      <c r="O28" s="46"/>
    </row>
    <row r="29" spans="9:15">
      <c r="I29"/>
      <c r="J29"/>
      <c r="K29"/>
      <c r="L29"/>
      <c r="M29" s="101"/>
      <c r="N29" s="102"/>
      <c r="O29" s="101"/>
    </row>
    <row r="30" spans="9:15">
      <c r="I30"/>
      <c r="J30"/>
      <c r="K30"/>
      <c r="L30"/>
      <c r="M30" s="101"/>
      <c r="N30" s="102"/>
      <c r="O30" s="101"/>
    </row>
    <row r="31" spans="9:15">
      <c r="J31"/>
      <c r="K31"/>
      <c r="L31"/>
      <c r="M31" s="46"/>
      <c r="N31"/>
      <c r="O31" s="46"/>
    </row>
    <row r="32" spans="9:15">
      <c r="J32"/>
      <c r="K32"/>
      <c r="L32"/>
      <c r="M32" s="46"/>
      <c r="N32"/>
      <c r="O32" s="4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"/>
  <dimension ref="B3:R22"/>
  <sheetViews>
    <sheetView zoomScale="80" zoomScaleNormal="80" workbookViewId="0">
      <selection activeCell="S8" sqref="S8"/>
    </sheetView>
  </sheetViews>
  <sheetFormatPr baseColWidth="10" defaultColWidth="9.140625" defaultRowHeight="15" outlineLevelCol="1"/>
  <cols>
    <col min="1" max="1" width="9.140625" style="48"/>
    <col min="2" max="2" width="14.5703125" style="48" customWidth="1"/>
    <col min="3" max="3" width="9.5703125" style="48" customWidth="1"/>
    <col min="4" max="4" width="9.140625" style="48"/>
    <col min="5" max="5" width="19.42578125" style="48" customWidth="1"/>
    <col min="6" max="6" width="16.140625" style="48" customWidth="1"/>
    <col min="7" max="7" width="7.5703125" style="48" customWidth="1"/>
    <col min="8" max="8" width="9.140625" style="48" customWidth="1"/>
    <col min="9" max="9" width="16.42578125" style="48" customWidth="1"/>
    <col min="10" max="10" width="22.42578125" style="48" customWidth="1"/>
    <col min="11" max="11" width="21.28515625" style="48" customWidth="1" outlineLevel="1"/>
    <col min="12" max="12" width="1" style="48" customWidth="1" outlineLevel="1"/>
    <col min="13" max="13" width="23.42578125" style="48" customWidth="1" outlineLevel="1"/>
    <col min="14" max="14" width="17.85546875" style="48" customWidth="1" outlineLevel="1"/>
    <col min="15" max="15" width="14.140625" style="48" customWidth="1" outlineLevel="1"/>
    <col min="16" max="16" width="13.5703125" style="48" customWidth="1"/>
    <col min="17" max="18" width="4.7109375" style="48" customWidth="1"/>
    <col min="19" max="16384" width="9.140625" style="48"/>
  </cols>
  <sheetData>
    <row r="3" spans="2:18">
      <c r="P3" s="49" t="s">
        <v>2221</v>
      </c>
    </row>
    <row r="4" spans="2:18" ht="15.75">
      <c r="B4" s="50" t="s">
        <v>2151</v>
      </c>
      <c r="C4" s="90" t="s">
        <v>2284</v>
      </c>
      <c r="D4" s="51"/>
      <c r="E4" s="51"/>
      <c r="F4" s="51"/>
      <c r="G4" s="51"/>
      <c r="H4" s="51"/>
      <c r="I4" s="52"/>
      <c r="J4" s="52"/>
      <c r="K4" s="51"/>
      <c r="L4" s="51"/>
      <c r="M4" s="51"/>
      <c r="N4" s="51"/>
      <c r="O4" s="51"/>
      <c r="P4" s="49" t="s">
        <v>2223</v>
      </c>
      <c r="Q4" s="52"/>
      <c r="R4" s="53"/>
    </row>
    <row r="5" spans="2:18" ht="31.5" customHeight="1">
      <c r="B5" s="54"/>
      <c r="C5" s="106"/>
      <c r="D5" s="55"/>
      <c r="E5" s="55"/>
      <c r="F5" s="55"/>
      <c r="G5" s="55"/>
      <c r="H5" s="55"/>
      <c r="I5" s="56"/>
      <c r="J5" s="56"/>
      <c r="K5" s="55"/>
      <c r="L5" s="55"/>
      <c r="M5" s="55"/>
      <c r="N5" s="55"/>
      <c r="O5" s="55"/>
      <c r="P5" s="49"/>
      <c r="Q5" s="175" t="s">
        <v>2271</v>
      </c>
      <c r="R5" s="175" t="s">
        <v>2271</v>
      </c>
    </row>
    <row r="6" spans="2:18" ht="45.75" customHeight="1">
      <c r="B6" s="92"/>
      <c r="C6" s="59"/>
      <c r="D6" s="59"/>
      <c r="E6" s="59"/>
      <c r="F6" s="59"/>
      <c r="G6" s="59"/>
      <c r="H6" s="59"/>
      <c r="I6" s="59"/>
      <c r="J6" s="59"/>
      <c r="K6" s="60"/>
      <c r="L6" s="59"/>
      <c r="M6" s="59"/>
      <c r="N6" s="59"/>
      <c r="O6" s="59"/>
      <c r="P6" s="49"/>
      <c r="Q6" s="61" t="s">
        <v>2225</v>
      </c>
      <c r="R6" s="61" t="s">
        <v>2226</v>
      </c>
    </row>
    <row r="7" spans="2:18" ht="36.75" customHeight="1">
      <c r="B7" s="58" t="s">
        <v>2217</v>
      </c>
      <c r="C7" s="62"/>
      <c r="D7" s="62"/>
      <c r="E7" s="62" t="s">
        <v>2299</v>
      </c>
      <c r="F7" s="63"/>
      <c r="G7" s="63"/>
      <c r="H7" s="64"/>
      <c r="I7" s="65"/>
      <c r="J7" s="65"/>
      <c r="K7" s="66"/>
      <c r="L7" s="66"/>
      <c r="M7" s="64"/>
      <c r="N7" s="64"/>
      <c r="O7" s="64"/>
      <c r="P7" s="67">
        <f>COUNTA(Q6:BNM6)</f>
        <v>2</v>
      </c>
      <c r="Q7" s="61" t="s">
        <v>2288</v>
      </c>
      <c r="R7" s="61" t="s">
        <v>2288</v>
      </c>
    </row>
    <row r="8" spans="2:18" ht="48" customHeight="1">
      <c r="B8" s="65"/>
      <c r="C8" s="68"/>
      <c r="D8" s="65"/>
      <c r="E8" s="68"/>
      <c r="F8" s="68"/>
      <c r="G8" s="68"/>
      <c r="H8" s="64"/>
      <c r="I8" s="65"/>
      <c r="J8" s="65"/>
      <c r="K8" s="65"/>
      <c r="L8" s="65"/>
      <c r="M8" s="65"/>
      <c r="N8" s="65"/>
      <c r="O8" s="66"/>
      <c r="P8" s="69" t="s">
        <v>2232</v>
      </c>
      <c r="Q8" s="57" t="s">
        <v>2233</v>
      </c>
      <c r="R8" s="57" t="s">
        <v>2233</v>
      </c>
    </row>
    <row r="9" spans="2:18" ht="46.5" customHeight="1">
      <c r="B9" s="70" t="s">
        <v>2234</v>
      </c>
      <c r="C9" s="71" t="s">
        <v>2160</v>
      </c>
      <c r="D9" s="72" t="s">
        <v>2235</v>
      </c>
      <c r="E9" s="71" t="s">
        <v>2236</v>
      </c>
      <c r="F9" s="72" t="s">
        <v>2237</v>
      </c>
      <c r="G9" s="72" t="s">
        <v>2238</v>
      </c>
      <c r="H9" s="72" t="s">
        <v>2239</v>
      </c>
      <c r="I9" s="72" t="s">
        <v>2240</v>
      </c>
      <c r="J9" s="72" t="s">
        <v>2241</v>
      </c>
      <c r="K9" s="73" t="s">
        <v>2242</v>
      </c>
      <c r="L9" s="73" t="s">
        <v>2243</v>
      </c>
      <c r="M9" s="73" t="s">
        <v>2244</v>
      </c>
      <c r="N9" s="73" t="s">
        <v>2245</v>
      </c>
      <c r="O9" s="74" t="s">
        <v>2246</v>
      </c>
      <c r="P9" s="74" t="s">
        <v>2239</v>
      </c>
      <c r="Q9" s="75" t="s">
        <v>2247</v>
      </c>
      <c r="R9" s="75" t="s">
        <v>2248</v>
      </c>
    </row>
    <row r="10" spans="2:18" ht="15" customHeight="1">
      <c r="B10" s="152" t="s">
        <v>2365</v>
      </c>
      <c r="C10" s="76" t="s">
        <v>2286</v>
      </c>
      <c r="D10" s="77">
        <v>100</v>
      </c>
      <c r="E10" s="253" t="str">
        <f>CONCATENATE("1FE1CR3",MID(F10,9,3),IF(MID(F10,13,1)="",0,MID(F10,13,1)),IF(MID(F10,14,1)="",0,MID(F10,14,1)),G10)</f>
        <v>1FE1CR3000A0F</v>
      </c>
      <c r="F10" s="254" t="s">
        <v>2</v>
      </c>
      <c r="G10" s="174" t="s">
        <v>2366</v>
      </c>
      <c r="H10" s="77" t="s">
        <v>2254</v>
      </c>
      <c r="I10" s="255" t="s">
        <v>2367</v>
      </c>
      <c r="J10" s="79"/>
      <c r="K10" s="79" t="s">
        <v>2287</v>
      </c>
      <c r="L10" s="79"/>
      <c r="M10" s="94" t="s">
        <v>2284</v>
      </c>
      <c r="N10" s="78" t="s">
        <v>3</v>
      </c>
      <c r="O10" s="82">
        <v>1</v>
      </c>
      <c r="P10" s="75"/>
      <c r="Q10" s="77" t="s">
        <v>2002</v>
      </c>
      <c r="R10" s="77" t="s">
        <v>2002</v>
      </c>
    </row>
    <row r="11" spans="2:18" ht="15" customHeight="1">
      <c r="B11" s="154" t="s">
        <v>2365</v>
      </c>
      <c r="C11" s="76" t="s">
        <v>2286</v>
      </c>
      <c r="D11" s="77">
        <v>200</v>
      </c>
      <c r="E11" s="257" t="str">
        <f>CONCATENATE("1FE1CR3",MID(F11,9,3),IF(MID(F11,13,1)="",0,MID(F11,13,1)),IF(MID(F11,14,1)="",0,MID(F11,14,1)),G11)</f>
        <v>1FE1CR3321A0B</v>
      </c>
      <c r="F11" s="254" t="s">
        <v>1280</v>
      </c>
      <c r="G11" s="174" t="s">
        <v>2150</v>
      </c>
      <c r="H11" s="77" t="s">
        <v>2161</v>
      </c>
      <c r="I11" s="255" t="s">
        <v>2368</v>
      </c>
      <c r="J11" s="79"/>
      <c r="K11" s="79" t="s">
        <v>2285</v>
      </c>
      <c r="L11" s="79"/>
      <c r="M11" s="94" t="s">
        <v>2284</v>
      </c>
      <c r="N11" s="78" t="s">
        <v>1281</v>
      </c>
      <c r="O11" s="82"/>
      <c r="P11" s="75"/>
      <c r="Q11" s="88" t="s">
        <v>26</v>
      </c>
      <c r="R11" s="77" t="s">
        <v>2002</v>
      </c>
    </row>
    <row r="12" spans="2:18"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</row>
    <row r="13" spans="2:18"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</row>
    <row r="15" spans="2:18">
      <c r="F15"/>
      <c r="G15"/>
    </row>
    <row r="16" spans="2:18">
      <c r="F16"/>
      <c r="G16"/>
    </row>
    <row r="17" spans="6:7">
      <c r="F17"/>
      <c r="G17"/>
    </row>
    <row r="18" spans="6:7">
      <c r="F18" s="104"/>
      <c r="G18" s="104"/>
    </row>
    <row r="19" spans="6:7">
      <c r="F19"/>
      <c r="G19"/>
    </row>
    <row r="20" spans="6:7">
      <c r="F20"/>
      <c r="G20"/>
    </row>
    <row r="21" spans="6:7">
      <c r="F21"/>
      <c r="G21"/>
    </row>
    <row r="22" spans="6:7">
      <c r="F22"/>
      <c r="G2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"/>
  <dimension ref="A1:AD19"/>
  <sheetViews>
    <sheetView topLeftCell="A4" zoomScaleNormal="100" workbookViewId="0">
      <selection activeCell="B19" sqref="B19"/>
    </sheetView>
  </sheetViews>
  <sheetFormatPr baseColWidth="10" defaultColWidth="9.140625" defaultRowHeight="15" outlineLevelCol="1"/>
  <cols>
    <col min="1" max="1" width="9.140625" style="107"/>
    <col min="2" max="2" width="19" style="107" customWidth="1"/>
    <col min="3" max="3" width="18.85546875" style="107" customWidth="1"/>
    <col min="4" max="4" width="9.140625" style="107"/>
    <col min="5" max="5" width="17.42578125" style="107" customWidth="1"/>
    <col min="6" max="6" width="17.5703125" style="107" customWidth="1"/>
    <col min="7" max="7" width="9.140625" style="107"/>
    <col min="8" max="8" width="9.85546875" style="107" customWidth="1"/>
    <col min="9" max="10" width="9.140625" style="107"/>
    <col min="11" max="15" width="9.140625" style="107" outlineLevel="1"/>
    <col min="16" max="16" width="10" style="107" customWidth="1"/>
    <col min="17" max="17" width="4.7109375" style="107" customWidth="1"/>
    <col min="18" max="16384" width="9.140625" style="107"/>
  </cols>
  <sheetData>
    <row r="1" spans="1:30" ht="31.5">
      <c r="A1" s="126"/>
      <c r="B1" s="141" t="s">
        <v>2290</v>
      </c>
      <c r="C1" s="143"/>
      <c r="D1" s="143"/>
      <c r="E1" s="143"/>
      <c r="F1" s="143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43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</row>
    <row r="2" spans="1:30" ht="15.75">
      <c r="A2" s="126"/>
      <c r="B2" s="141"/>
      <c r="C2" s="143"/>
      <c r="D2" s="143"/>
      <c r="E2" s="143"/>
      <c r="F2" s="143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43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</row>
    <row r="3" spans="1:30" ht="15.75">
      <c r="A3" s="126"/>
      <c r="B3" s="141"/>
      <c r="C3" s="143"/>
      <c r="D3" s="143"/>
      <c r="E3" s="143"/>
      <c r="F3" s="143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43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</row>
    <row r="4" spans="1:30" ht="15.75">
      <c r="A4" s="126"/>
      <c r="B4" s="141"/>
      <c r="C4" s="143"/>
      <c r="D4" s="143"/>
      <c r="E4" s="143"/>
      <c r="F4" s="143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43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</row>
    <row r="5" spans="1:30" ht="25.5" customHeight="1">
      <c r="A5" s="142"/>
      <c r="B5" s="144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35" t="s">
        <v>2294</v>
      </c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</row>
    <row r="6" spans="1:30" ht="25.5" customHeight="1">
      <c r="A6" s="137"/>
      <c r="B6" s="141"/>
      <c r="C6" s="140"/>
      <c r="D6" s="140"/>
      <c r="E6" s="140"/>
      <c r="F6" s="140"/>
      <c r="G6" s="138"/>
      <c r="H6" s="138"/>
      <c r="I6" s="139"/>
      <c r="J6" s="139"/>
      <c r="K6" s="139"/>
      <c r="L6" s="139"/>
      <c r="M6" s="138"/>
      <c r="N6" s="138"/>
      <c r="O6" s="138"/>
      <c r="P6" s="138"/>
      <c r="Q6" s="135" t="s">
        <v>2293</v>
      </c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</row>
    <row r="7" spans="1:30" ht="33" customHeight="1">
      <c r="A7" s="126"/>
      <c r="B7" s="58" t="s">
        <v>2217</v>
      </c>
      <c r="C7" s="62"/>
      <c r="D7" s="62"/>
      <c r="E7" s="62" t="s">
        <v>2299</v>
      </c>
      <c r="F7" s="134"/>
      <c r="G7" s="136"/>
      <c r="H7" s="136"/>
      <c r="I7" s="132"/>
      <c r="J7" s="132"/>
      <c r="K7" s="132"/>
      <c r="L7" s="132"/>
      <c r="M7" s="131"/>
      <c r="N7" s="131"/>
      <c r="O7" s="131"/>
      <c r="P7" s="131"/>
      <c r="Q7" s="135" t="s">
        <v>2292</v>
      </c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</row>
    <row r="8" spans="1:30" ht="30" customHeight="1">
      <c r="A8" s="126"/>
      <c r="B8" s="132"/>
      <c r="C8" s="134"/>
      <c r="D8" s="134"/>
      <c r="E8" s="134"/>
      <c r="F8" s="134"/>
      <c r="G8" s="133"/>
      <c r="H8" s="133"/>
      <c r="I8" s="132"/>
      <c r="J8" s="132"/>
      <c r="K8" s="132"/>
      <c r="L8" s="132"/>
      <c r="M8" s="131"/>
      <c r="N8" s="131"/>
      <c r="O8" s="130" t="s">
        <v>2232</v>
      </c>
      <c r="P8" s="129"/>
      <c r="Q8" s="128" t="s">
        <v>2291</v>
      </c>
      <c r="R8" s="126"/>
      <c r="S8" s="127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</row>
    <row r="9" spans="1:30" ht="51">
      <c r="A9" s="118"/>
      <c r="B9" s="125" t="s">
        <v>2234</v>
      </c>
      <c r="C9" s="124" t="s">
        <v>2160</v>
      </c>
      <c r="D9" s="124" t="s">
        <v>2235</v>
      </c>
      <c r="E9" s="124" t="s">
        <v>2236</v>
      </c>
      <c r="F9" s="123" t="s">
        <v>2237</v>
      </c>
      <c r="G9" s="120" t="s">
        <v>2238</v>
      </c>
      <c r="H9" s="120" t="s">
        <v>2239</v>
      </c>
      <c r="I9" s="120" t="s">
        <v>2240</v>
      </c>
      <c r="J9" s="120" t="s">
        <v>2241</v>
      </c>
      <c r="K9" s="122" t="s">
        <v>2242</v>
      </c>
      <c r="L9" s="122" t="s">
        <v>2243</v>
      </c>
      <c r="M9" s="122" t="s">
        <v>2244</v>
      </c>
      <c r="N9" s="122" t="s">
        <v>2245</v>
      </c>
      <c r="O9" s="121" t="s">
        <v>2246</v>
      </c>
      <c r="P9" s="120" t="s">
        <v>2239</v>
      </c>
      <c r="Q9" s="119">
        <v>1</v>
      </c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</row>
    <row r="10" spans="1:30" ht="15" customHeight="1">
      <c r="A10" s="117"/>
      <c r="B10" s="153"/>
      <c r="C10" s="116" t="s">
        <v>2290</v>
      </c>
      <c r="D10" s="116">
        <v>100</v>
      </c>
      <c r="E10" s="116" t="str">
        <f>CONCATENATE("1FE1CR3",MID(F10,9,3),IF(MID(F10,13,1)="",0,MID(F10,13,1)),IF(MID(F10,14,1)="",0,MID(F10,14,1)),G10)</f>
        <v>1FE1CR3000A0F</v>
      </c>
      <c r="F10" s="116" t="s">
        <v>2</v>
      </c>
      <c r="G10" s="176" t="s">
        <v>2366</v>
      </c>
      <c r="H10" s="116" t="s">
        <v>2254</v>
      </c>
      <c r="I10" s="115"/>
      <c r="J10" s="114"/>
      <c r="K10" s="112"/>
      <c r="L10" s="112"/>
      <c r="M10" s="113"/>
      <c r="N10" s="112"/>
      <c r="O10" s="111"/>
      <c r="P10" s="111"/>
      <c r="Q10" s="110" t="s">
        <v>2218</v>
      </c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</row>
    <row r="15" spans="1:30">
      <c r="D15" s="106"/>
    </row>
    <row r="19" spans="8:8">
      <c r="H19" s="108" t="s">
        <v>2289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E34"/>
  <sheetViews>
    <sheetView topLeftCell="J1" workbookViewId="0">
      <selection activeCell="T12" sqref="T12"/>
    </sheetView>
  </sheetViews>
  <sheetFormatPr baseColWidth="10" defaultRowHeight="15"/>
  <cols>
    <col min="18" max="18" width="14.85546875" bestFit="1" customWidth="1"/>
  </cols>
  <sheetData>
    <row r="1" spans="1:31" ht="91.5" thickBot="1">
      <c r="A1" s="198" t="s">
        <v>2387</v>
      </c>
      <c r="B1" s="199" t="s">
        <v>2388</v>
      </c>
      <c r="C1" s="200" t="s">
        <v>2389</v>
      </c>
      <c r="D1" s="201" t="s">
        <v>2390</v>
      </c>
      <c r="E1" s="198" t="s">
        <v>2391</v>
      </c>
      <c r="F1" s="202" t="s">
        <v>2392</v>
      </c>
      <c r="G1" s="203" t="s">
        <v>2393</v>
      </c>
      <c r="H1" s="202" t="s">
        <v>2394</v>
      </c>
      <c r="I1" s="203" t="s">
        <v>2393</v>
      </c>
      <c r="J1" s="204" t="s">
        <v>2395</v>
      </c>
      <c r="K1" s="204" t="s">
        <v>2396</v>
      </c>
      <c r="L1" s="205" t="s">
        <v>2397</v>
      </c>
      <c r="M1" s="206" t="s">
        <v>2055</v>
      </c>
      <c r="N1" s="207" t="s">
        <v>2398</v>
      </c>
      <c r="O1" s="208" t="s">
        <v>2399</v>
      </c>
      <c r="P1" s="209" t="s">
        <v>2400</v>
      </c>
      <c r="Q1" s="209" t="s">
        <v>2401</v>
      </c>
      <c r="R1" s="209" t="s">
        <v>2402</v>
      </c>
      <c r="S1" s="210" t="s">
        <v>2403</v>
      </c>
      <c r="T1" s="211" t="s">
        <v>2404</v>
      </c>
      <c r="U1" s="212" t="s">
        <v>2405</v>
      </c>
      <c r="V1" s="212" t="s">
        <v>2406</v>
      </c>
      <c r="W1" s="213" t="s">
        <v>2407</v>
      </c>
      <c r="X1" s="214" t="s">
        <v>2408</v>
      </c>
      <c r="Y1" s="204" t="s">
        <v>2409</v>
      </c>
      <c r="Z1" s="204" t="s">
        <v>2410</v>
      </c>
      <c r="AA1" s="204" t="s">
        <v>2411</v>
      </c>
      <c r="AB1" s="201" t="s">
        <v>2412</v>
      </c>
      <c r="AC1" s="201" t="s">
        <v>2222</v>
      </c>
      <c r="AD1" s="201" t="s">
        <v>2162</v>
      </c>
      <c r="AE1" s="201" t="s">
        <v>2151</v>
      </c>
    </row>
    <row r="2" spans="1:31" ht="114.75">
      <c r="A2" s="215"/>
      <c r="B2" s="216"/>
      <c r="C2" s="217"/>
      <c r="D2" s="218"/>
      <c r="E2" s="219"/>
      <c r="F2" s="220"/>
      <c r="G2" s="221"/>
      <c r="H2" s="220"/>
      <c r="I2" s="215"/>
      <c r="J2" s="222"/>
      <c r="K2" s="222"/>
      <c r="L2" s="223"/>
      <c r="M2" s="224"/>
      <c r="N2" s="225"/>
      <c r="O2" s="226"/>
      <c r="P2" s="227"/>
      <c r="Q2" s="228"/>
      <c r="R2" s="228"/>
      <c r="S2" s="229" t="s">
        <v>2413</v>
      </c>
      <c r="T2" s="230"/>
      <c r="U2" s="231"/>
      <c r="V2" s="231"/>
      <c r="W2" s="232"/>
      <c r="X2" s="232"/>
      <c r="Y2" s="222"/>
      <c r="Z2" s="222"/>
      <c r="AA2" s="222"/>
      <c r="AB2" s="218"/>
      <c r="AC2" s="218"/>
      <c r="AD2" s="218"/>
      <c r="AE2" s="218"/>
    </row>
    <row r="3" spans="1:31" ht="18">
      <c r="A3" s="233"/>
      <c r="B3" s="233"/>
      <c r="C3" s="234"/>
      <c r="D3" s="234"/>
      <c r="E3" s="235"/>
      <c r="F3" s="236"/>
      <c r="G3" s="237"/>
      <c r="H3" s="236"/>
      <c r="I3" s="234"/>
      <c r="J3" s="238"/>
      <c r="K3" s="234"/>
      <c r="L3" s="233"/>
      <c r="M3" s="239"/>
      <c r="N3" s="240"/>
      <c r="O3" s="240"/>
      <c r="P3" s="241"/>
      <c r="Q3" s="241"/>
      <c r="R3" s="241"/>
      <c r="S3" s="242">
        <v>2102</v>
      </c>
      <c r="T3" s="241"/>
      <c r="U3" s="243"/>
      <c r="V3" s="243"/>
      <c r="W3" s="244"/>
      <c r="X3" s="244"/>
      <c r="Y3" s="234"/>
      <c r="Z3" s="234"/>
      <c r="AA3" s="234"/>
      <c r="AB3" s="234"/>
      <c r="AC3" s="234"/>
      <c r="AD3" s="234"/>
      <c r="AE3" s="234"/>
    </row>
    <row r="4" spans="1:31">
      <c r="A4" s="27" t="s">
        <v>2414</v>
      </c>
      <c r="B4" s="245" t="s">
        <v>0</v>
      </c>
      <c r="C4" s="245"/>
      <c r="D4" s="246" t="s">
        <v>2002</v>
      </c>
      <c r="E4" s="245" t="s">
        <v>2415</v>
      </c>
      <c r="F4" s="245" t="s">
        <v>2296</v>
      </c>
      <c r="G4" s="245" t="s">
        <v>2161</v>
      </c>
      <c r="H4" s="245" t="s">
        <v>2416</v>
      </c>
      <c r="I4" s="246" t="s">
        <v>2224</v>
      </c>
      <c r="J4" s="247" t="s">
        <v>2366</v>
      </c>
      <c r="K4" s="245"/>
      <c r="L4" s="245" t="s">
        <v>3</v>
      </c>
      <c r="M4" s="245" t="s">
        <v>2417</v>
      </c>
      <c r="N4" s="247">
        <v>2102</v>
      </c>
      <c r="O4" s="245"/>
      <c r="P4" s="245"/>
      <c r="Q4" s="245" t="s">
        <v>2</v>
      </c>
      <c r="R4" s="247" t="s">
        <v>2418</v>
      </c>
      <c r="S4" s="248" t="s">
        <v>2419</v>
      </c>
      <c r="T4" s="245"/>
      <c r="U4" s="245"/>
      <c r="V4" s="245"/>
      <c r="W4" s="245" t="s">
        <v>2420</v>
      </c>
      <c r="X4" s="245"/>
      <c r="Y4" s="245" t="s">
        <v>2002</v>
      </c>
      <c r="Z4" s="245" t="s">
        <v>2002</v>
      </c>
      <c r="AA4" s="245" t="s">
        <v>26</v>
      </c>
      <c r="AB4" s="245" t="s">
        <v>2421</v>
      </c>
      <c r="AC4" s="245" t="s">
        <v>2256</v>
      </c>
      <c r="AD4" s="245" t="s">
        <v>2274</v>
      </c>
      <c r="AE4" s="245" t="s">
        <v>2367</v>
      </c>
    </row>
    <row r="5" spans="1:31">
      <c r="A5" s="27" t="s">
        <v>2414</v>
      </c>
      <c r="B5" s="27" t="s">
        <v>506</v>
      </c>
      <c r="C5" s="27"/>
      <c r="D5" s="249" t="s">
        <v>2002</v>
      </c>
      <c r="E5" s="27"/>
      <c r="F5" s="27" t="s">
        <v>2422</v>
      </c>
      <c r="G5" s="27" t="s">
        <v>2161</v>
      </c>
      <c r="H5" s="27" t="s">
        <v>2423</v>
      </c>
      <c r="I5" s="249" t="s">
        <v>2224</v>
      </c>
      <c r="J5" s="27" t="s">
        <v>2150</v>
      </c>
      <c r="K5" s="27"/>
      <c r="L5" s="27" t="s">
        <v>508</v>
      </c>
      <c r="M5" s="27" t="s">
        <v>2424</v>
      </c>
      <c r="N5" s="27">
        <v>2017</v>
      </c>
      <c r="O5" s="27"/>
      <c r="P5" s="27"/>
      <c r="Q5" s="27" t="s">
        <v>507</v>
      </c>
      <c r="R5" s="27" t="s">
        <v>2425</v>
      </c>
      <c r="S5" s="250" t="s">
        <v>2419</v>
      </c>
      <c r="T5" s="27"/>
      <c r="U5" s="27"/>
      <c r="V5" s="27"/>
      <c r="W5" s="27" t="s">
        <v>2426</v>
      </c>
      <c r="X5" s="27"/>
      <c r="Y5" s="27" t="s">
        <v>26</v>
      </c>
      <c r="Z5" s="27" t="s">
        <v>2002</v>
      </c>
      <c r="AA5" s="27" t="s">
        <v>26</v>
      </c>
      <c r="AB5" s="27"/>
      <c r="AC5" s="27"/>
      <c r="AD5" s="27"/>
      <c r="AE5" s="27"/>
    </row>
    <row r="6" spans="1:31">
      <c r="A6" s="27" t="s">
        <v>2414</v>
      </c>
      <c r="B6" s="27" t="s">
        <v>506</v>
      </c>
      <c r="C6" s="27"/>
      <c r="D6" s="249" t="s">
        <v>2002</v>
      </c>
      <c r="E6" s="27"/>
      <c r="F6" s="27" t="s">
        <v>2422</v>
      </c>
      <c r="G6" s="27" t="s">
        <v>2279</v>
      </c>
      <c r="H6" s="27" t="s">
        <v>2423</v>
      </c>
      <c r="I6" s="249" t="s">
        <v>2427</v>
      </c>
      <c r="J6" s="27" t="s">
        <v>2150</v>
      </c>
      <c r="K6" s="27"/>
      <c r="L6" s="27" t="s">
        <v>511</v>
      </c>
      <c r="M6" s="27" t="s">
        <v>2424</v>
      </c>
      <c r="N6" s="27">
        <v>2017</v>
      </c>
      <c r="O6" s="27"/>
      <c r="P6" s="27"/>
      <c r="Q6" s="27" t="s">
        <v>510</v>
      </c>
      <c r="R6" s="27" t="s">
        <v>2428</v>
      </c>
      <c r="S6" s="250" t="s">
        <v>2419</v>
      </c>
      <c r="T6" s="27"/>
      <c r="U6" s="27"/>
      <c r="V6" s="27"/>
      <c r="W6" s="27" t="s">
        <v>2429</v>
      </c>
      <c r="X6" s="27"/>
      <c r="Y6" s="27" t="s">
        <v>26</v>
      </c>
      <c r="Z6" s="27" t="s">
        <v>2002</v>
      </c>
      <c r="AA6" s="27" t="s">
        <v>26</v>
      </c>
      <c r="AB6" s="27"/>
      <c r="AC6" s="27"/>
      <c r="AD6" s="27"/>
      <c r="AE6" s="27"/>
    </row>
    <row r="7" spans="1:31">
      <c r="A7" s="27" t="s">
        <v>2414</v>
      </c>
      <c r="B7" s="27" t="s">
        <v>506</v>
      </c>
      <c r="C7" s="27"/>
      <c r="D7" s="249" t="s">
        <v>2002</v>
      </c>
      <c r="E7" s="27"/>
      <c r="F7" s="27" t="s">
        <v>2422</v>
      </c>
      <c r="G7" s="27" t="s">
        <v>2254</v>
      </c>
      <c r="H7" s="27" t="s">
        <v>2423</v>
      </c>
      <c r="I7" s="249" t="s">
        <v>2430</v>
      </c>
      <c r="J7" s="27" t="s">
        <v>2150</v>
      </c>
      <c r="K7" s="27"/>
      <c r="L7" s="27" t="s">
        <v>514</v>
      </c>
      <c r="M7" s="27" t="s">
        <v>2424</v>
      </c>
      <c r="N7" s="27">
        <v>2017</v>
      </c>
      <c r="O7" s="27"/>
      <c r="P7" s="27"/>
      <c r="Q7" s="27" t="s">
        <v>513</v>
      </c>
      <c r="R7" s="27" t="s">
        <v>2431</v>
      </c>
      <c r="S7" s="250" t="s">
        <v>2419</v>
      </c>
      <c r="T7" s="27"/>
      <c r="U7" s="27"/>
      <c r="V7" s="27"/>
      <c r="W7" s="27" t="s">
        <v>2432</v>
      </c>
      <c r="X7" s="27"/>
      <c r="Y7" s="27" t="s">
        <v>26</v>
      </c>
      <c r="Z7" s="27" t="s">
        <v>2002</v>
      </c>
      <c r="AA7" s="27" t="s">
        <v>26</v>
      </c>
      <c r="AB7" s="27"/>
      <c r="AC7" s="27"/>
      <c r="AD7" s="27"/>
      <c r="AE7" s="27"/>
    </row>
    <row r="8" spans="1:31">
      <c r="A8" s="27" t="s">
        <v>2414</v>
      </c>
      <c r="B8" t="s">
        <v>741</v>
      </c>
      <c r="D8" s="14"/>
      <c r="F8" t="s">
        <v>2433</v>
      </c>
      <c r="G8" t="s">
        <v>2161</v>
      </c>
      <c r="H8" t="s">
        <v>2434</v>
      </c>
      <c r="I8" s="14" t="s">
        <v>2224</v>
      </c>
      <c r="J8" t="s">
        <v>2161</v>
      </c>
      <c r="L8" t="s">
        <v>743</v>
      </c>
      <c r="M8" t="s">
        <v>2435</v>
      </c>
      <c r="N8">
        <v>1948</v>
      </c>
      <c r="Q8" t="s">
        <v>742</v>
      </c>
      <c r="R8" t="s">
        <v>2436</v>
      </c>
      <c r="S8" s="251" t="s">
        <v>2419</v>
      </c>
      <c r="W8" t="s">
        <v>2437</v>
      </c>
      <c r="Y8" t="s">
        <v>26</v>
      </c>
      <c r="Z8" t="s">
        <v>2002</v>
      </c>
      <c r="AA8" t="s">
        <v>26</v>
      </c>
    </row>
    <row r="9" spans="1:31">
      <c r="A9" s="27" t="s">
        <v>2414</v>
      </c>
      <c r="B9" s="27" t="s">
        <v>763</v>
      </c>
      <c r="C9" s="27"/>
      <c r="D9" s="249" t="s">
        <v>2002</v>
      </c>
      <c r="E9" s="27"/>
      <c r="F9" s="27" t="s">
        <v>2295</v>
      </c>
      <c r="G9" s="27" t="s">
        <v>2161</v>
      </c>
      <c r="H9" s="27" t="s">
        <v>2438</v>
      </c>
      <c r="I9" s="249" t="s">
        <v>2224</v>
      </c>
      <c r="J9" s="27" t="s">
        <v>2150</v>
      </c>
      <c r="K9" s="27"/>
      <c r="L9" s="27" t="s">
        <v>765</v>
      </c>
      <c r="M9" s="27" t="s">
        <v>2439</v>
      </c>
      <c r="N9" s="27">
        <v>2017</v>
      </c>
      <c r="O9" s="27"/>
      <c r="P9" s="27"/>
      <c r="Q9" s="27" t="s">
        <v>764</v>
      </c>
      <c r="R9" s="27" t="s">
        <v>2440</v>
      </c>
      <c r="S9" s="250" t="s">
        <v>2419</v>
      </c>
      <c r="T9" s="27"/>
      <c r="U9" s="27"/>
      <c r="V9" s="27"/>
      <c r="W9" s="27" t="s">
        <v>2441</v>
      </c>
      <c r="X9" s="27"/>
      <c r="Y9" s="27" t="s">
        <v>26</v>
      </c>
      <c r="Z9" s="27" t="s">
        <v>2002</v>
      </c>
      <c r="AA9" s="27" t="s">
        <v>26</v>
      </c>
      <c r="AB9" s="27"/>
      <c r="AC9" s="27"/>
      <c r="AD9" s="27"/>
      <c r="AE9" s="27"/>
    </row>
    <row r="10" spans="1:31">
      <c r="A10" s="27" t="s">
        <v>2414</v>
      </c>
      <c r="B10" s="27" t="s">
        <v>763</v>
      </c>
      <c r="C10" s="27"/>
      <c r="D10" s="249" t="s">
        <v>2002</v>
      </c>
      <c r="E10" s="27"/>
      <c r="F10" s="27" t="s">
        <v>2295</v>
      </c>
      <c r="G10" s="27" t="s">
        <v>2279</v>
      </c>
      <c r="H10" s="27" t="s">
        <v>2438</v>
      </c>
      <c r="I10" s="249" t="s">
        <v>2427</v>
      </c>
      <c r="J10" s="27" t="s">
        <v>2150</v>
      </c>
      <c r="K10" s="27"/>
      <c r="L10" s="27" t="s">
        <v>768</v>
      </c>
      <c r="M10" s="27" t="s">
        <v>2442</v>
      </c>
      <c r="N10" s="27">
        <v>2017</v>
      </c>
      <c r="O10" s="27"/>
      <c r="P10" s="27"/>
      <c r="Q10" s="27" t="s">
        <v>767</v>
      </c>
      <c r="R10" s="27" t="s">
        <v>2443</v>
      </c>
      <c r="S10" s="250" t="s">
        <v>2419</v>
      </c>
      <c r="T10" s="27"/>
      <c r="U10" s="27"/>
      <c r="V10" s="27"/>
      <c r="W10" s="27" t="s">
        <v>2444</v>
      </c>
      <c r="X10" s="27"/>
      <c r="Y10" s="27" t="s">
        <v>26</v>
      </c>
      <c r="Z10" s="27" t="s">
        <v>2002</v>
      </c>
      <c r="AA10" s="27" t="s">
        <v>26</v>
      </c>
      <c r="AB10" s="27"/>
      <c r="AC10" s="27"/>
      <c r="AD10" s="27"/>
      <c r="AE10" s="27"/>
    </row>
    <row r="11" spans="1:31">
      <c r="A11" s="27" t="s">
        <v>2414</v>
      </c>
      <c r="B11" t="s">
        <v>952</v>
      </c>
      <c r="D11" s="14"/>
      <c r="F11" t="s">
        <v>2445</v>
      </c>
      <c r="G11" t="s">
        <v>2161</v>
      </c>
      <c r="H11" t="s">
        <v>2446</v>
      </c>
      <c r="I11" s="14" t="s">
        <v>2224</v>
      </c>
      <c r="J11" t="s">
        <v>2161</v>
      </c>
      <c r="L11" t="s">
        <v>954</v>
      </c>
      <c r="M11" t="s">
        <v>2447</v>
      </c>
      <c r="N11">
        <v>1948</v>
      </c>
      <c r="Q11" t="s">
        <v>953</v>
      </c>
      <c r="R11" t="s">
        <v>2448</v>
      </c>
      <c r="S11" s="251" t="s">
        <v>2419</v>
      </c>
      <c r="W11" t="s">
        <v>2449</v>
      </c>
      <c r="Y11" t="s">
        <v>26</v>
      </c>
      <c r="Z11" t="s">
        <v>2002</v>
      </c>
      <c r="AA11" t="s">
        <v>26</v>
      </c>
      <c r="AD11" t="s">
        <v>2276</v>
      </c>
    </row>
    <row r="12" spans="1:31">
      <c r="A12" s="27" t="s">
        <v>2414</v>
      </c>
      <c r="B12" s="27" t="s">
        <v>952</v>
      </c>
      <c r="C12" s="27"/>
      <c r="D12" s="249"/>
      <c r="E12" s="27"/>
      <c r="F12" s="27" t="s">
        <v>2445</v>
      </c>
      <c r="G12" s="27" t="s">
        <v>2150</v>
      </c>
      <c r="H12" s="27" t="s">
        <v>2446</v>
      </c>
      <c r="I12" s="249" t="s">
        <v>2450</v>
      </c>
      <c r="J12" s="27" t="s">
        <v>2161</v>
      </c>
      <c r="K12" s="27"/>
      <c r="L12" s="27" t="s">
        <v>2327</v>
      </c>
      <c r="M12" s="27" t="s">
        <v>2451</v>
      </c>
      <c r="N12" s="27">
        <v>2102</v>
      </c>
      <c r="O12" s="27"/>
      <c r="P12" s="27"/>
      <c r="Q12" s="27" t="s">
        <v>2326</v>
      </c>
      <c r="R12" s="27" t="s">
        <v>2452</v>
      </c>
      <c r="S12" s="250" t="s">
        <v>2419</v>
      </c>
      <c r="T12" s="27"/>
      <c r="U12" s="27"/>
      <c r="V12" s="27"/>
      <c r="W12" s="27" t="s">
        <v>2426</v>
      </c>
      <c r="X12" s="27"/>
      <c r="Y12" s="27" t="s">
        <v>26</v>
      </c>
      <c r="Z12" s="27" t="s">
        <v>2002</v>
      </c>
      <c r="AA12" s="27" t="s">
        <v>26</v>
      </c>
      <c r="AB12" s="27"/>
      <c r="AC12" s="27"/>
      <c r="AD12" s="27"/>
      <c r="AE12" s="27"/>
    </row>
    <row r="13" spans="1:31">
      <c r="A13" s="27" t="s">
        <v>2414</v>
      </c>
      <c r="B13" t="s">
        <v>952</v>
      </c>
      <c r="D13" s="14"/>
      <c r="F13" t="s">
        <v>2445</v>
      </c>
      <c r="G13" t="s">
        <v>2279</v>
      </c>
      <c r="H13" t="s">
        <v>2446</v>
      </c>
      <c r="I13" s="14" t="s">
        <v>2427</v>
      </c>
      <c r="J13" t="s">
        <v>2161</v>
      </c>
      <c r="L13" t="s">
        <v>956</v>
      </c>
      <c r="N13">
        <v>1948</v>
      </c>
      <c r="Q13" t="s">
        <v>955</v>
      </c>
      <c r="R13" t="s">
        <v>2453</v>
      </c>
      <c r="S13" s="251" t="s">
        <v>2419</v>
      </c>
      <c r="W13" t="s">
        <v>2454</v>
      </c>
      <c r="Y13" t="s">
        <v>26</v>
      </c>
      <c r="Z13" t="s">
        <v>2002</v>
      </c>
      <c r="AA13" t="s">
        <v>26</v>
      </c>
      <c r="AD13" t="s">
        <v>2276</v>
      </c>
    </row>
    <row r="14" spans="1:31">
      <c r="A14" s="27" t="s">
        <v>2414</v>
      </c>
      <c r="B14" t="s">
        <v>952</v>
      </c>
      <c r="D14" s="14"/>
      <c r="F14" t="s">
        <v>2445</v>
      </c>
      <c r="G14" t="s">
        <v>2254</v>
      </c>
      <c r="H14" t="s">
        <v>2446</v>
      </c>
      <c r="I14" s="14" t="s">
        <v>2430</v>
      </c>
      <c r="J14" t="s">
        <v>2161</v>
      </c>
      <c r="L14" t="s">
        <v>960</v>
      </c>
      <c r="N14">
        <v>1948</v>
      </c>
      <c r="Q14" t="s">
        <v>959</v>
      </c>
      <c r="R14" t="s">
        <v>2455</v>
      </c>
      <c r="S14" s="251" t="s">
        <v>2419</v>
      </c>
      <c r="W14" t="s">
        <v>2456</v>
      </c>
      <c r="Y14" t="s">
        <v>26</v>
      </c>
      <c r="Z14" t="s">
        <v>2002</v>
      </c>
      <c r="AA14" t="s">
        <v>26</v>
      </c>
      <c r="AD14" t="s">
        <v>2276</v>
      </c>
    </row>
    <row r="15" spans="1:31">
      <c r="A15" s="27" t="s">
        <v>2414</v>
      </c>
      <c r="B15" t="s">
        <v>1027</v>
      </c>
      <c r="D15" s="14"/>
      <c r="F15" t="s">
        <v>2457</v>
      </c>
      <c r="G15" t="s">
        <v>2161</v>
      </c>
      <c r="H15" t="s">
        <v>2458</v>
      </c>
      <c r="I15" s="14" t="s">
        <v>2224</v>
      </c>
      <c r="J15" t="s">
        <v>2161</v>
      </c>
      <c r="L15" t="s">
        <v>1029</v>
      </c>
      <c r="N15">
        <v>1948</v>
      </c>
      <c r="Q15" t="s">
        <v>1028</v>
      </c>
      <c r="R15" t="s">
        <v>2459</v>
      </c>
      <c r="S15" s="251" t="s">
        <v>2419</v>
      </c>
      <c r="W15" t="s">
        <v>2460</v>
      </c>
      <c r="Y15" t="s">
        <v>26</v>
      </c>
      <c r="Z15" t="s">
        <v>2002</v>
      </c>
      <c r="AA15" t="s">
        <v>26</v>
      </c>
    </row>
    <row r="16" spans="1:31">
      <c r="A16" s="27" t="s">
        <v>2414</v>
      </c>
      <c r="B16" t="s">
        <v>1035</v>
      </c>
      <c r="D16" s="14"/>
      <c r="F16" t="s">
        <v>2461</v>
      </c>
      <c r="G16" t="s">
        <v>2161</v>
      </c>
      <c r="H16" t="s">
        <v>2462</v>
      </c>
      <c r="I16" s="14" t="s">
        <v>2224</v>
      </c>
      <c r="J16" t="s">
        <v>2161</v>
      </c>
      <c r="L16" t="s">
        <v>1037</v>
      </c>
      <c r="N16">
        <v>1948</v>
      </c>
      <c r="Q16" t="s">
        <v>1036</v>
      </c>
      <c r="R16" t="s">
        <v>2463</v>
      </c>
      <c r="S16" s="251" t="s">
        <v>2419</v>
      </c>
      <c r="W16" t="s">
        <v>2464</v>
      </c>
      <c r="Y16" t="s">
        <v>26</v>
      </c>
      <c r="Z16" t="s">
        <v>2002</v>
      </c>
      <c r="AA16" t="s">
        <v>26</v>
      </c>
    </row>
    <row r="17" spans="1:31">
      <c r="A17" s="27" t="s">
        <v>2414</v>
      </c>
      <c r="B17" t="s">
        <v>1052</v>
      </c>
      <c r="D17" s="14"/>
      <c r="F17" t="s">
        <v>2465</v>
      </c>
      <c r="G17" t="s">
        <v>2161</v>
      </c>
      <c r="H17" t="s">
        <v>2466</v>
      </c>
      <c r="I17" s="14" t="s">
        <v>2224</v>
      </c>
      <c r="J17" t="s">
        <v>2161</v>
      </c>
      <c r="L17" t="s">
        <v>1054</v>
      </c>
      <c r="N17">
        <v>1948</v>
      </c>
      <c r="Q17" t="s">
        <v>1053</v>
      </c>
      <c r="R17" t="s">
        <v>2467</v>
      </c>
      <c r="S17" s="251" t="s">
        <v>2419</v>
      </c>
      <c r="W17" t="s">
        <v>2468</v>
      </c>
      <c r="Y17" t="s">
        <v>26</v>
      </c>
      <c r="Z17" t="s">
        <v>2002</v>
      </c>
      <c r="AA17" t="s">
        <v>26</v>
      </c>
    </row>
    <row r="18" spans="1:31">
      <c r="A18" s="27" t="s">
        <v>2414</v>
      </c>
      <c r="B18" t="s">
        <v>1052</v>
      </c>
      <c r="D18" s="14"/>
      <c r="F18" t="s">
        <v>2465</v>
      </c>
      <c r="G18" t="s">
        <v>2279</v>
      </c>
      <c r="H18" t="s">
        <v>2466</v>
      </c>
      <c r="I18" s="14" t="s">
        <v>2427</v>
      </c>
      <c r="J18" t="s">
        <v>2161</v>
      </c>
      <c r="L18" t="s">
        <v>1057</v>
      </c>
      <c r="N18">
        <v>1948</v>
      </c>
      <c r="Q18" t="s">
        <v>1056</v>
      </c>
      <c r="R18" t="s">
        <v>2469</v>
      </c>
      <c r="S18" s="251" t="s">
        <v>2419</v>
      </c>
      <c r="W18" t="s">
        <v>2470</v>
      </c>
      <c r="Y18" t="s">
        <v>26</v>
      </c>
      <c r="Z18" t="s">
        <v>2002</v>
      </c>
      <c r="AA18" t="s">
        <v>26</v>
      </c>
    </row>
    <row r="19" spans="1:31">
      <c r="A19" s="27" t="s">
        <v>2414</v>
      </c>
      <c r="B19" t="s">
        <v>1095</v>
      </c>
      <c r="D19" s="14" t="s">
        <v>2002</v>
      </c>
      <c r="F19" t="s">
        <v>2298</v>
      </c>
      <c r="G19" t="s">
        <v>2161</v>
      </c>
      <c r="H19" t="s">
        <v>2471</v>
      </c>
      <c r="I19" s="14" t="s">
        <v>2224</v>
      </c>
      <c r="J19" t="s">
        <v>2255</v>
      </c>
      <c r="L19" t="s">
        <v>1097</v>
      </c>
      <c r="N19">
        <v>2017</v>
      </c>
      <c r="Q19" t="s">
        <v>1096</v>
      </c>
      <c r="R19" t="s">
        <v>2472</v>
      </c>
      <c r="S19" s="251" t="s">
        <v>2419</v>
      </c>
      <c r="W19" t="s">
        <v>2473</v>
      </c>
      <c r="Y19" t="s">
        <v>26</v>
      </c>
      <c r="Z19" t="s">
        <v>2002</v>
      </c>
      <c r="AA19" t="s">
        <v>26</v>
      </c>
      <c r="AD19" t="s">
        <v>2280</v>
      </c>
    </row>
    <row r="20" spans="1:31">
      <c r="A20" s="27" t="s">
        <v>2414</v>
      </c>
      <c r="B20" t="s">
        <v>1095</v>
      </c>
      <c r="D20" s="14" t="s">
        <v>2002</v>
      </c>
      <c r="F20" t="s">
        <v>2298</v>
      </c>
      <c r="G20" t="s">
        <v>2279</v>
      </c>
      <c r="H20" t="s">
        <v>2471</v>
      </c>
      <c r="I20" s="14" t="s">
        <v>2427</v>
      </c>
      <c r="J20" t="s">
        <v>2150</v>
      </c>
      <c r="L20" t="s">
        <v>1101</v>
      </c>
      <c r="N20">
        <v>2017</v>
      </c>
      <c r="Q20" t="s">
        <v>1100</v>
      </c>
      <c r="R20" t="s">
        <v>2474</v>
      </c>
      <c r="S20" s="251" t="s">
        <v>2419</v>
      </c>
      <c r="W20" t="s">
        <v>2475</v>
      </c>
      <c r="Y20" t="s">
        <v>26</v>
      </c>
      <c r="Z20" t="s">
        <v>2002</v>
      </c>
      <c r="AA20" t="s">
        <v>26</v>
      </c>
      <c r="AD20" t="s">
        <v>2281</v>
      </c>
    </row>
    <row r="21" spans="1:31">
      <c r="A21" s="27" t="s">
        <v>2414</v>
      </c>
      <c r="B21" t="s">
        <v>1150</v>
      </c>
      <c r="D21" s="14" t="s">
        <v>2002</v>
      </c>
      <c r="F21" t="s">
        <v>2476</v>
      </c>
      <c r="G21" t="s">
        <v>2161</v>
      </c>
      <c r="H21" t="s">
        <v>2477</v>
      </c>
      <c r="I21" s="14" t="s">
        <v>2224</v>
      </c>
      <c r="J21" t="s">
        <v>2161</v>
      </c>
      <c r="L21" t="s">
        <v>1152</v>
      </c>
      <c r="N21">
        <v>1948</v>
      </c>
      <c r="Q21" t="s">
        <v>1151</v>
      </c>
      <c r="R21" t="s">
        <v>2478</v>
      </c>
      <c r="S21" s="251" t="s">
        <v>2419</v>
      </c>
      <c r="W21" t="s">
        <v>2479</v>
      </c>
      <c r="Y21" t="s">
        <v>2002</v>
      </c>
      <c r="Z21" t="s">
        <v>26</v>
      </c>
      <c r="AA21" t="s">
        <v>26</v>
      </c>
      <c r="AC21" t="s">
        <v>2259</v>
      </c>
    </row>
    <row r="22" spans="1:31">
      <c r="A22" s="27" t="s">
        <v>2414</v>
      </c>
      <c r="B22" t="s">
        <v>1150</v>
      </c>
      <c r="D22" s="14" t="s">
        <v>2002</v>
      </c>
      <c r="F22" t="s">
        <v>2476</v>
      </c>
      <c r="G22" t="s">
        <v>2279</v>
      </c>
      <c r="H22" t="s">
        <v>2477</v>
      </c>
      <c r="I22" s="14" t="s">
        <v>2427</v>
      </c>
      <c r="J22" t="s">
        <v>2161</v>
      </c>
      <c r="L22" t="s">
        <v>1156</v>
      </c>
      <c r="M22" t="s">
        <v>2480</v>
      </c>
      <c r="N22">
        <v>1948</v>
      </c>
      <c r="Q22" t="s">
        <v>1155</v>
      </c>
      <c r="R22" t="s">
        <v>2481</v>
      </c>
      <c r="S22" s="251" t="s">
        <v>2419</v>
      </c>
      <c r="W22" t="s">
        <v>2482</v>
      </c>
      <c r="Y22" t="s">
        <v>2002</v>
      </c>
      <c r="Z22" t="s">
        <v>26</v>
      </c>
      <c r="AA22" t="s">
        <v>26</v>
      </c>
      <c r="AC22" t="s">
        <v>2261</v>
      </c>
    </row>
    <row r="23" spans="1:31">
      <c r="A23" s="27" t="s">
        <v>2414</v>
      </c>
      <c r="B23" t="s">
        <v>1150</v>
      </c>
      <c r="D23" s="14" t="s">
        <v>2002</v>
      </c>
      <c r="F23" t="s">
        <v>2476</v>
      </c>
      <c r="G23" t="s">
        <v>2254</v>
      </c>
      <c r="H23" t="s">
        <v>2477</v>
      </c>
      <c r="I23" s="14" t="s">
        <v>2430</v>
      </c>
      <c r="J23" t="s">
        <v>2161</v>
      </c>
      <c r="L23" t="s">
        <v>1159</v>
      </c>
      <c r="M23" t="s">
        <v>2480</v>
      </c>
      <c r="N23">
        <v>1948</v>
      </c>
      <c r="Q23" t="s">
        <v>1158</v>
      </c>
      <c r="R23" t="s">
        <v>2483</v>
      </c>
      <c r="S23" s="251" t="s">
        <v>2419</v>
      </c>
      <c r="W23" t="s">
        <v>2484</v>
      </c>
      <c r="Y23" t="s">
        <v>2002</v>
      </c>
      <c r="Z23" t="s">
        <v>26</v>
      </c>
      <c r="AA23" t="s">
        <v>26</v>
      </c>
      <c r="AC23" t="s">
        <v>2263</v>
      </c>
    </row>
    <row r="24" spans="1:31">
      <c r="A24" s="27" t="s">
        <v>2414</v>
      </c>
      <c r="B24" t="s">
        <v>1234</v>
      </c>
      <c r="D24" s="14" t="s">
        <v>2485</v>
      </c>
      <c r="F24" t="s">
        <v>2486</v>
      </c>
      <c r="G24" t="s">
        <v>2161</v>
      </c>
      <c r="H24" t="s">
        <v>2487</v>
      </c>
      <c r="I24" s="14" t="s">
        <v>2224</v>
      </c>
      <c r="J24" t="s">
        <v>2161</v>
      </c>
      <c r="L24" t="s">
        <v>1097</v>
      </c>
      <c r="N24">
        <v>1948</v>
      </c>
      <c r="Q24" t="s">
        <v>1235</v>
      </c>
      <c r="R24" t="s">
        <v>2488</v>
      </c>
      <c r="S24" s="251" t="s">
        <v>2419</v>
      </c>
      <c r="W24" t="s">
        <v>2473</v>
      </c>
      <c r="Y24" t="s">
        <v>26</v>
      </c>
      <c r="Z24" t="s">
        <v>2002</v>
      </c>
      <c r="AA24" t="s">
        <v>26</v>
      </c>
    </row>
    <row r="25" spans="1:31">
      <c r="A25" s="27" t="s">
        <v>2414</v>
      </c>
      <c r="B25" t="s">
        <v>1240</v>
      </c>
      <c r="D25" s="14" t="s">
        <v>2002</v>
      </c>
      <c r="F25" t="s">
        <v>2489</v>
      </c>
      <c r="G25" t="s">
        <v>2161</v>
      </c>
      <c r="H25" t="s">
        <v>2490</v>
      </c>
      <c r="I25" s="14" t="s">
        <v>2224</v>
      </c>
      <c r="J25" t="s">
        <v>2161</v>
      </c>
      <c r="L25" t="s">
        <v>3</v>
      </c>
      <c r="N25">
        <v>1948</v>
      </c>
      <c r="Q25" t="s">
        <v>1241</v>
      </c>
      <c r="R25" t="s">
        <v>2491</v>
      </c>
      <c r="S25" s="251" t="s">
        <v>2419</v>
      </c>
      <c r="W25" t="s">
        <v>2420</v>
      </c>
      <c r="Y25" t="s">
        <v>26</v>
      </c>
      <c r="Z25" t="s">
        <v>2002</v>
      </c>
      <c r="AA25" t="s">
        <v>26</v>
      </c>
    </row>
    <row r="26" spans="1:31">
      <c r="A26" s="27" t="s">
        <v>2414</v>
      </c>
      <c r="B26" t="s">
        <v>1258</v>
      </c>
      <c r="D26" s="14" t="s">
        <v>2002</v>
      </c>
      <c r="F26" t="s">
        <v>2492</v>
      </c>
      <c r="G26" t="s">
        <v>2161</v>
      </c>
      <c r="H26" t="s">
        <v>2493</v>
      </c>
      <c r="I26" s="14" t="s">
        <v>2224</v>
      </c>
      <c r="J26" t="s">
        <v>2161</v>
      </c>
      <c r="L26" t="s">
        <v>3</v>
      </c>
      <c r="N26">
        <v>1948</v>
      </c>
      <c r="Q26" t="s">
        <v>1259</v>
      </c>
      <c r="R26" t="s">
        <v>2494</v>
      </c>
      <c r="S26" s="251" t="s">
        <v>2419</v>
      </c>
      <c r="W26" t="s">
        <v>2420</v>
      </c>
      <c r="Y26" t="s">
        <v>26</v>
      </c>
      <c r="Z26" t="s">
        <v>2002</v>
      </c>
      <c r="AA26" t="s">
        <v>26</v>
      </c>
    </row>
    <row r="27" spans="1:31">
      <c r="A27" s="27" t="s">
        <v>2414</v>
      </c>
      <c r="B27" s="245" t="s">
        <v>1279</v>
      </c>
      <c r="C27" s="245"/>
      <c r="D27" s="246"/>
      <c r="E27" s="245"/>
      <c r="F27" s="245" t="s">
        <v>2495</v>
      </c>
      <c r="G27" s="245" t="s">
        <v>2161</v>
      </c>
      <c r="H27" s="245" t="s">
        <v>2496</v>
      </c>
      <c r="I27" s="246" t="s">
        <v>2224</v>
      </c>
      <c r="J27" s="247" t="s">
        <v>2150</v>
      </c>
      <c r="K27" s="245"/>
      <c r="L27" s="245" t="s">
        <v>1281</v>
      </c>
      <c r="M27" s="245" t="s">
        <v>2480</v>
      </c>
      <c r="N27" s="247">
        <v>2102</v>
      </c>
      <c r="O27" s="245"/>
      <c r="P27" s="245"/>
      <c r="Q27" s="245" t="s">
        <v>1280</v>
      </c>
      <c r="R27" s="247" t="s">
        <v>2497</v>
      </c>
      <c r="S27" s="248" t="s">
        <v>2419</v>
      </c>
      <c r="T27" s="245"/>
      <c r="U27" s="245"/>
      <c r="V27" s="245"/>
      <c r="W27" s="245" t="s">
        <v>2498</v>
      </c>
      <c r="X27" s="245"/>
      <c r="Y27" s="245" t="s">
        <v>26</v>
      </c>
      <c r="Z27" s="245" t="s">
        <v>2002</v>
      </c>
      <c r="AA27" s="245" t="s">
        <v>26</v>
      </c>
      <c r="AB27" s="245"/>
      <c r="AC27" s="245"/>
      <c r="AD27" s="245"/>
      <c r="AE27" s="245" t="s">
        <v>2368</v>
      </c>
    </row>
    <row r="28" spans="1:31">
      <c r="A28" s="27" t="s">
        <v>2414</v>
      </c>
      <c r="B28" t="s">
        <v>1298</v>
      </c>
      <c r="D28" s="14"/>
      <c r="F28" t="s">
        <v>2499</v>
      </c>
      <c r="G28" t="s">
        <v>2161</v>
      </c>
      <c r="H28" t="s">
        <v>2500</v>
      </c>
      <c r="I28" s="14" t="s">
        <v>2224</v>
      </c>
      <c r="J28" t="s">
        <v>2161</v>
      </c>
      <c r="L28" t="s">
        <v>1300</v>
      </c>
      <c r="M28" t="s">
        <v>2447</v>
      </c>
      <c r="N28">
        <v>1948</v>
      </c>
      <c r="Q28" t="s">
        <v>1299</v>
      </c>
      <c r="R28" t="s">
        <v>2501</v>
      </c>
      <c r="S28" s="251" t="s">
        <v>2419</v>
      </c>
      <c r="W28" t="s">
        <v>2502</v>
      </c>
      <c r="Y28" t="s">
        <v>26</v>
      </c>
      <c r="Z28" t="s">
        <v>2002</v>
      </c>
      <c r="AA28" t="s">
        <v>26</v>
      </c>
    </row>
    <row r="29" spans="1:31">
      <c r="A29" s="27" t="s">
        <v>2414</v>
      </c>
      <c r="B29" t="s">
        <v>1306</v>
      </c>
      <c r="D29" s="14" t="s">
        <v>2002</v>
      </c>
      <c r="F29" t="s">
        <v>2503</v>
      </c>
      <c r="G29" t="s">
        <v>2161</v>
      </c>
      <c r="H29" t="s">
        <v>2504</v>
      </c>
      <c r="I29" s="14" t="s">
        <v>2224</v>
      </c>
      <c r="J29" t="s">
        <v>2161</v>
      </c>
      <c r="L29" t="s">
        <v>3</v>
      </c>
      <c r="M29" t="s">
        <v>2480</v>
      </c>
      <c r="N29">
        <v>1948</v>
      </c>
      <c r="Q29" t="s">
        <v>1307</v>
      </c>
      <c r="R29" t="s">
        <v>2505</v>
      </c>
      <c r="S29" s="251" t="s">
        <v>2419</v>
      </c>
      <c r="W29" t="s">
        <v>2420</v>
      </c>
      <c r="Y29" t="s">
        <v>2002</v>
      </c>
      <c r="Z29" t="s">
        <v>26</v>
      </c>
      <c r="AA29" t="s">
        <v>26</v>
      </c>
      <c r="AC29" t="s">
        <v>2265</v>
      </c>
    </row>
    <row r="30" spans="1:31">
      <c r="A30" s="27" t="s">
        <v>2414</v>
      </c>
      <c r="B30" t="s">
        <v>1323</v>
      </c>
      <c r="D30" s="14" t="s">
        <v>2002</v>
      </c>
      <c r="F30" t="s">
        <v>2506</v>
      </c>
      <c r="G30" t="s">
        <v>2161</v>
      </c>
      <c r="H30" t="s">
        <v>2507</v>
      </c>
      <c r="I30" s="14" t="s">
        <v>2224</v>
      </c>
      <c r="J30" t="s">
        <v>2161</v>
      </c>
      <c r="L30" t="s">
        <v>1325</v>
      </c>
      <c r="M30" t="s">
        <v>2508</v>
      </c>
      <c r="N30">
        <v>1948</v>
      </c>
      <c r="Q30" t="s">
        <v>1324</v>
      </c>
      <c r="R30" t="s">
        <v>2509</v>
      </c>
      <c r="S30" s="251" t="s">
        <v>2419</v>
      </c>
      <c r="W30" t="s">
        <v>2510</v>
      </c>
      <c r="Y30" t="s">
        <v>26</v>
      </c>
      <c r="Z30" t="s">
        <v>26</v>
      </c>
      <c r="AA30" t="s">
        <v>2002</v>
      </c>
    </row>
    <row r="31" spans="1:31">
      <c r="A31" s="27" t="s">
        <v>2414</v>
      </c>
      <c r="B31" t="s">
        <v>1323</v>
      </c>
      <c r="D31" s="14" t="s">
        <v>2002</v>
      </c>
      <c r="F31" t="s">
        <v>2506</v>
      </c>
      <c r="G31" t="s">
        <v>2279</v>
      </c>
      <c r="H31" t="s">
        <v>2507</v>
      </c>
      <c r="I31" s="14" t="s">
        <v>2427</v>
      </c>
      <c r="J31" t="s">
        <v>2161</v>
      </c>
      <c r="L31" t="s">
        <v>1327</v>
      </c>
      <c r="M31" t="s">
        <v>2511</v>
      </c>
      <c r="N31">
        <v>1948</v>
      </c>
      <c r="Q31" t="s">
        <v>1326</v>
      </c>
      <c r="R31" t="s">
        <v>2512</v>
      </c>
      <c r="S31" s="251" t="s">
        <v>2419</v>
      </c>
      <c r="W31" t="s">
        <v>2513</v>
      </c>
      <c r="Y31" t="s">
        <v>26</v>
      </c>
      <c r="Z31" t="s">
        <v>26</v>
      </c>
      <c r="AA31" t="s">
        <v>2002</v>
      </c>
    </row>
    <row r="32" spans="1:31">
      <c r="A32" s="27" t="s">
        <v>2414</v>
      </c>
      <c r="B32" t="s">
        <v>1417</v>
      </c>
      <c r="D32" s="14"/>
      <c r="F32" t="s">
        <v>2514</v>
      </c>
      <c r="G32" t="s">
        <v>2161</v>
      </c>
      <c r="H32" t="s">
        <v>2515</v>
      </c>
      <c r="I32" s="14" t="s">
        <v>2224</v>
      </c>
      <c r="J32" t="s">
        <v>2161</v>
      </c>
      <c r="L32" t="s">
        <v>1419</v>
      </c>
      <c r="N32">
        <v>2029</v>
      </c>
      <c r="Q32" t="s">
        <v>1418</v>
      </c>
      <c r="R32" t="s">
        <v>2516</v>
      </c>
      <c r="S32" s="251" t="s">
        <v>2419</v>
      </c>
      <c r="W32" t="s">
        <v>2464</v>
      </c>
      <c r="Y32" t="s">
        <v>2002</v>
      </c>
      <c r="Z32" t="s">
        <v>26</v>
      </c>
      <c r="AA32" t="s">
        <v>26</v>
      </c>
      <c r="AC32" t="s">
        <v>2267</v>
      </c>
    </row>
    <row r="33" spans="1:31">
      <c r="A33" s="27" t="s">
        <v>2414</v>
      </c>
      <c r="B33" t="s">
        <v>1434</v>
      </c>
      <c r="D33" s="14" t="s">
        <v>2002</v>
      </c>
      <c r="F33" t="s">
        <v>2297</v>
      </c>
      <c r="G33" t="s">
        <v>2161</v>
      </c>
      <c r="H33" t="s">
        <v>2517</v>
      </c>
      <c r="I33" s="14" t="s">
        <v>2224</v>
      </c>
      <c r="J33" t="s">
        <v>2161</v>
      </c>
      <c r="L33" t="s">
        <v>1436</v>
      </c>
      <c r="M33" t="s">
        <v>2447</v>
      </c>
      <c r="N33">
        <v>1948</v>
      </c>
      <c r="Q33" t="s">
        <v>1435</v>
      </c>
      <c r="R33" t="s">
        <v>2518</v>
      </c>
      <c r="S33" s="251" t="s">
        <v>2419</v>
      </c>
      <c r="W33" t="s">
        <v>2519</v>
      </c>
      <c r="Y33" t="s">
        <v>26</v>
      </c>
      <c r="Z33" t="s">
        <v>2002</v>
      </c>
      <c r="AA33" t="s">
        <v>26</v>
      </c>
    </row>
    <row r="34" spans="1:31">
      <c r="A34" s="27" t="s">
        <v>2414</v>
      </c>
      <c r="B34" s="27" t="s">
        <v>1434</v>
      </c>
      <c r="C34" s="27"/>
      <c r="D34" s="249" t="s">
        <v>2002</v>
      </c>
      <c r="E34" s="27"/>
      <c r="F34" s="27" t="s">
        <v>2297</v>
      </c>
      <c r="G34" s="27" t="s">
        <v>2279</v>
      </c>
      <c r="H34" s="27" t="s">
        <v>2517</v>
      </c>
      <c r="I34" s="249" t="s">
        <v>2427</v>
      </c>
      <c r="J34" s="27" t="s">
        <v>2279</v>
      </c>
      <c r="K34" s="27"/>
      <c r="L34" s="27" t="s">
        <v>1438</v>
      </c>
      <c r="M34" s="27" t="s">
        <v>2520</v>
      </c>
      <c r="N34" s="27">
        <v>2026</v>
      </c>
      <c r="O34" s="27"/>
      <c r="P34" s="27"/>
      <c r="Q34" s="27" t="s">
        <v>1437</v>
      </c>
      <c r="R34" s="27" t="s">
        <v>2521</v>
      </c>
      <c r="S34" s="250" t="s">
        <v>2419</v>
      </c>
      <c r="T34" s="27"/>
      <c r="U34" s="27"/>
      <c r="V34" s="27"/>
      <c r="W34" s="27" t="s">
        <v>2522</v>
      </c>
      <c r="X34" s="27"/>
      <c r="Y34" s="27" t="s">
        <v>26</v>
      </c>
      <c r="Z34" s="27" t="s">
        <v>2002</v>
      </c>
      <c r="AA34" s="27" t="s">
        <v>26</v>
      </c>
      <c r="AB34" s="27"/>
      <c r="AC34" s="27"/>
      <c r="AD34" s="27"/>
      <c r="AE34" s="27"/>
    </row>
  </sheetData>
  <conditionalFormatting sqref="S1:S2">
    <cfRule type="cellIs" dxfId="28" priority="25" operator="equal">
      <formula>"KEIN LIEFERUMFANG"</formula>
    </cfRule>
    <cfRule type="cellIs" dxfId="27" priority="26" stopIfTrue="1" operator="equal">
      <formula>"KEIN SERIENEINSATZ"</formula>
    </cfRule>
    <cfRule type="cellIs" dxfId="26" priority="27" stopIfTrue="1" operator="equal">
      <formula>"NICHT AKTUELL"</formula>
    </cfRule>
    <cfRule type="cellIs" dxfId="25" priority="28" stopIfTrue="1" operator="equal">
      <formula>"NOCH NICHT AKTUELL"</formula>
    </cfRule>
    <cfRule type="cellIs" dxfId="24" priority="29" stopIfTrue="1" operator="equal">
      <formula>"AKTUELL"</formula>
    </cfRule>
  </conditionalFormatting>
  <conditionalFormatting sqref="S1:S19">
    <cfRule type="cellIs" dxfId="23" priority="17" operator="equal">
      <formula>"KEIN SERIENEINSATZ"</formula>
    </cfRule>
    <cfRule type="cellIs" dxfId="22" priority="18" operator="equal">
      <formula>"NOCH NICHT AKTUELL"</formula>
    </cfRule>
    <cfRule type="cellIs" dxfId="21" priority="19" operator="equal">
      <formula>"NICHT AKTUELL"</formula>
    </cfRule>
    <cfRule type="cellIs" dxfId="20" priority="20" operator="equal">
      <formula>"AKTUELL"</formula>
    </cfRule>
    <cfRule type="cellIs" dxfId="19" priority="21" operator="equal">
      <formula>"KEIN SERIENEINSATZ"</formula>
    </cfRule>
    <cfRule type="cellIs" dxfId="18" priority="22" operator="equal">
      <formula>"NOCH NICHT AKTUELL"</formula>
    </cfRule>
    <cfRule type="cellIs" dxfId="17" priority="23" operator="equal">
      <formula>"NICHT AKTUELL"</formula>
    </cfRule>
    <cfRule type="cellIs" dxfId="16" priority="24" operator="equal">
      <formula>"AKTUELL"</formula>
    </cfRule>
  </conditionalFormatting>
  <conditionalFormatting sqref="S1:S34">
    <cfRule type="cellIs" dxfId="15" priority="13" operator="equal">
      <formula>"KEIN SERIENEINSATZ"</formula>
    </cfRule>
    <cfRule type="cellIs" dxfId="14" priority="14" operator="equal">
      <formula>"NOCH NICHT AKTUELL"</formula>
    </cfRule>
    <cfRule type="cellIs" dxfId="13" priority="15" operator="equal">
      <formula>"NICHT AKTUELL"</formula>
    </cfRule>
    <cfRule type="cellIs" dxfId="12" priority="16" operator="equal">
      <formula>"AKTUELL"</formula>
    </cfRule>
  </conditionalFormatting>
  <conditionalFormatting sqref="S20:S34">
    <cfRule type="cellIs" dxfId="11" priority="5" operator="equal">
      <formula>"KEIN SERIENEINSATZ"</formula>
    </cfRule>
    <cfRule type="cellIs" dxfId="10" priority="6" operator="equal">
      <formula>"NOCH NICHT AKTUELL"</formula>
    </cfRule>
    <cfRule type="cellIs" dxfId="9" priority="7" operator="equal">
      <formula>"NICHT AKTUELL"</formula>
    </cfRule>
    <cfRule type="cellIs" dxfId="8" priority="8" operator="equal">
      <formula>"AKTUELL"</formula>
    </cfRule>
    <cfRule type="cellIs" dxfId="7" priority="9" operator="equal">
      <formula>"KEIN SERIENEINSATZ"</formula>
    </cfRule>
    <cfRule type="cellIs" dxfId="6" priority="10" operator="equal">
      <formula>"NOCH NICHT AKTUELL"</formula>
    </cfRule>
    <cfRule type="cellIs" dxfId="5" priority="11" operator="equal">
      <formula>"NICHT AKTUELL"</formula>
    </cfRule>
    <cfRule type="cellIs" dxfId="4" priority="12" operator="equal">
      <formula>"AKTUELL"</formula>
    </cfRule>
  </conditionalFormatting>
  <conditionalFormatting sqref="S20:S34">
    <cfRule type="cellIs" dxfId="3" priority="1" operator="equal">
      <formula>"KEIN SERIENEINSATZ"</formula>
    </cfRule>
    <cfRule type="cellIs" dxfId="2" priority="2" operator="equal">
      <formula>"NOCH NICHT AKTUELL"</formula>
    </cfRule>
    <cfRule type="cellIs" dxfId="1" priority="3" operator="equal">
      <formula>"NICHT AKTUELL"</formula>
    </cfRule>
    <cfRule type="cellIs" dxfId="0" priority="4" operator="equal">
      <formula>"AKTUELL"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Anstat_FK</vt:lpstr>
      <vt:lpstr>PM_FK</vt:lpstr>
      <vt:lpstr>Sonata</vt:lpstr>
      <vt:lpstr>SUMAS</vt:lpstr>
      <vt:lpstr>WIRE</vt:lpstr>
      <vt:lpstr>BOM</vt:lpstr>
      <vt:lpstr>VT01 Ant</vt:lpstr>
      <vt:lpstr>VT02</vt:lpstr>
      <vt:lpstr>VT03</vt:lpstr>
      <vt:lpstr>Steuerungsvorgabe</vt:lpstr>
      <vt:lpstr>KM_Liste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Elzbieta Remiszewska</dc:creator>
  <cp:lastModifiedBy>Jesus Roldan</cp:lastModifiedBy>
  <dcterms:created xsi:type="dcterms:W3CDTF">2020-07-07T08:25:44Z</dcterms:created>
  <dcterms:modified xsi:type="dcterms:W3CDTF">2020-12-09T14:29:24Z</dcterms:modified>
</cp:coreProperties>
</file>