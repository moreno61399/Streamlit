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to_zošit" defaultThemeVersion="164011"/>
  <mc:AlternateContent xmlns:mc="http://schemas.openxmlformats.org/markup-compatibility/2006">
    <mc:Choice Requires="x15">
      <x15ac:absPath xmlns:x15ac="http://schemas.microsoft.com/office/spreadsheetml/2010/11/ac" url="C:\Users\jesus.roldan\Desktop\E5_FK\COCKPIT\PDC\"/>
    </mc:Choice>
  </mc:AlternateContent>
  <bookViews>
    <workbookView xWindow="0" yWindow="0" windowWidth="21570" windowHeight="8085" activeTab="1"/>
  </bookViews>
  <sheets>
    <sheet name="Anstat_FK" sheetId="11" r:id="rId1"/>
    <sheet name="PM_FK" sheetId="12" r:id="rId2"/>
    <sheet name="Sonata" sheetId="13" r:id="rId3"/>
    <sheet name="SUMAS" sheetId="14" r:id="rId4"/>
    <sheet name="WIRE" sheetId="2" r:id="rId5"/>
    <sheet name="BOM" sheetId="1" r:id="rId6"/>
    <sheet name="VT01_ANT" sheetId="4" r:id="rId7"/>
    <sheet name="VT02" sheetId="5" r:id="rId8"/>
    <sheet name="VT03" sheetId="6" r:id="rId9"/>
    <sheet name="Steuerungsvorgabe" sheetId="7" r:id="rId10"/>
    <sheet name="KM_Liste" sheetId="10" r:id="rId11"/>
  </sheets>
  <externalReferences>
    <externalReference r:id="rId12"/>
  </externalReferences>
  <definedNames>
    <definedName name="_xlnm._FilterDatabase" localSheetId="5" hidden="1">BOM!$A$1:$BQ$437</definedName>
    <definedName name="_xlnm._FilterDatabase" localSheetId="4" hidden="1">WIRE!$A$1:$DP$434</definedName>
  </definedNames>
  <calcPr calcId="162913"/>
</workbook>
</file>

<file path=xl/calcChain.xml><?xml version="1.0" encoding="utf-8"?>
<calcChain xmlns="http://schemas.openxmlformats.org/spreadsheetml/2006/main">
  <c r="S36" i="10" l="1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S6" i="10"/>
  <c r="S5" i="10"/>
  <c r="S4" i="10"/>
  <c r="P7" i="4" l="1"/>
  <c r="AF324" i="2" l="1"/>
  <c r="B324" i="2"/>
  <c r="AF326" i="2"/>
  <c r="B326" i="2"/>
  <c r="AF322" i="2"/>
  <c r="B322" i="2"/>
  <c r="AF320" i="2"/>
  <c r="B320" i="2"/>
  <c r="AF312" i="2"/>
  <c r="B312" i="2"/>
  <c r="AF310" i="2"/>
  <c r="B310" i="2"/>
  <c r="AF304" i="2"/>
  <c r="B304" i="2"/>
  <c r="AF302" i="2"/>
  <c r="B302" i="2"/>
  <c r="AF59" i="2"/>
  <c r="B59" i="2"/>
  <c r="AF40" i="2"/>
  <c r="B40" i="2"/>
  <c r="AF38" i="2"/>
  <c r="B38" i="2"/>
  <c r="AF28" i="2"/>
  <c r="B28" i="2"/>
  <c r="AF406" i="2" l="1"/>
  <c r="AF407" i="2"/>
  <c r="AF408" i="2"/>
  <c r="AF409" i="2"/>
  <c r="AF410" i="2"/>
  <c r="AF411" i="2"/>
  <c r="AF412" i="2"/>
  <c r="AF413" i="2"/>
  <c r="AF414" i="2"/>
  <c r="AF415" i="2"/>
  <c r="AF416" i="2"/>
  <c r="AF417" i="2"/>
  <c r="AF418" i="2"/>
  <c r="AF419" i="2"/>
  <c r="AF420" i="2"/>
  <c r="AF421" i="2"/>
  <c r="AF422" i="2"/>
  <c r="AF423" i="2"/>
  <c r="AF424" i="2"/>
  <c r="AF425" i="2"/>
  <c r="AF426" i="2"/>
  <c r="AF427" i="2"/>
  <c r="AF428" i="2"/>
  <c r="AF429" i="2"/>
  <c r="AF430" i="2"/>
  <c r="AF402" i="2"/>
  <c r="AF405" i="2"/>
  <c r="AF400" i="2"/>
  <c r="AF401" i="2"/>
  <c r="AF397" i="2"/>
  <c r="AF399" i="2"/>
  <c r="AF374" i="2"/>
  <c r="AF375" i="2"/>
  <c r="AF376" i="2"/>
  <c r="AF377" i="2"/>
  <c r="AF378" i="2"/>
  <c r="AF379" i="2"/>
  <c r="AF380" i="2"/>
  <c r="AF381" i="2"/>
  <c r="AF382" i="2"/>
  <c r="AF383" i="2"/>
  <c r="AF384" i="2"/>
  <c r="AF385" i="2"/>
  <c r="AF386" i="2"/>
  <c r="AF387" i="2"/>
  <c r="AF388" i="2"/>
  <c r="AF389" i="2"/>
  <c r="AF390" i="2"/>
  <c r="AF391" i="2"/>
  <c r="AF392" i="2"/>
  <c r="AF393" i="2"/>
  <c r="AF394" i="2"/>
  <c r="AF395" i="2"/>
  <c r="AF396" i="2"/>
  <c r="AF370" i="2"/>
  <c r="AF373" i="2"/>
  <c r="AF368" i="2"/>
  <c r="AF369" i="2"/>
  <c r="AF365" i="2"/>
  <c r="AF367" i="2"/>
  <c r="AF363" i="2"/>
  <c r="AF364" i="2"/>
  <c r="AF360" i="2"/>
  <c r="AF362" i="2"/>
  <c r="AF354" i="2"/>
  <c r="AF355" i="2"/>
  <c r="AF356" i="2"/>
  <c r="AF357" i="2"/>
  <c r="AF358" i="2"/>
  <c r="AF359" i="2"/>
  <c r="AF351" i="2"/>
  <c r="AF353" i="2"/>
  <c r="AF346" i="2"/>
  <c r="AF347" i="2"/>
  <c r="AF348" i="2"/>
  <c r="AF349" i="2"/>
  <c r="AF350" i="2"/>
  <c r="AF343" i="2"/>
  <c r="AF345" i="2"/>
  <c r="AF340" i="2"/>
  <c r="AF341" i="2"/>
  <c r="AF342" i="2"/>
  <c r="AF337" i="2"/>
  <c r="AF339" i="2"/>
  <c r="AF335" i="2"/>
  <c r="AF336" i="2"/>
  <c r="AF332" i="2"/>
  <c r="AF334" i="2"/>
  <c r="AF300" i="2"/>
  <c r="AF301" i="2"/>
  <c r="AF303" i="2"/>
  <c r="AF305" i="2"/>
  <c r="AF306" i="2"/>
  <c r="AF307" i="2"/>
  <c r="AF308" i="2"/>
  <c r="AF309" i="2"/>
  <c r="AF311" i="2"/>
  <c r="AF313" i="2"/>
  <c r="AF314" i="2"/>
  <c r="AF315" i="2"/>
  <c r="AF316" i="2"/>
  <c r="AF317" i="2"/>
  <c r="AF318" i="2"/>
  <c r="AF319" i="2"/>
  <c r="AF321" i="2"/>
  <c r="AF323" i="2"/>
  <c r="AF325" i="2"/>
  <c r="AF327" i="2"/>
  <c r="AF328" i="2"/>
  <c r="AF329" i="2"/>
  <c r="AF330" i="2"/>
  <c r="AF331" i="2"/>
  <c r="AF292" i="2"/>
  <c r="AF299" i="2"/>
  <c r="AF283" i="2"/>
  <c r="AF284" i="2"/>
  <c r="AF285" i="2"/>
  <c r="AF286" i="2"/>
  <c r="AF287" i="2"/>
  <c r="AF288" i="2"/>
  <c r="AF289" i="2"/>
  <c r="AF290" i="2"/>
  <c r="AF291" i="2"/>
  <c r="AF280" i="2"/>
  <c r="AF282" i="2"/>
  <c r="AF266" i="2"/>
  <c r="AF267" i="2"/>
  <c r="AF268" i="2"/>
  <c r="AF269" i="2"/>
  <c r="AF270" i="2"/>
  <c r="AF271" i="2"/>
  <c r="AF272" i="2"/>
  <c r="AF273" i="2"/>
  <c r="AF274" i="2"/>
  <c r="AF275" i="2"/>
  <c r="AF276" i="2"/>
  <c r="AF277" i="2"/>
  <c r="AF278" i="2"/>
  <c r="AF279" i="2"/>
  <c r="AF262" i="2"/>
  <c r="AF265" i="2"/>
  <c r="AF255" i="2"/>
  <c r="AF256" i="2"/>
  <c r="AF257" i="2"/>
  <c r="AF258" i="2"/>
  <c r="AF259" i="2"/>
  <c r="AF260" i="2"/>
  <c r="AF261" i="2"/>
  <c r="AF251" i="2"/>
  <c r="AF254" i="2"/>
  <c r="AF249" i="2"/>
  <c r="AF250" i="2"/>
  <c r="AF246" i="2"/>
  <c r="AF248" i="2"/>
  <c r="AF245" i="2"/>
  <c r="AF242" i="2"/>
  <c r="AF244" i="2"/>
  <c r="AF234" i="2"/>
  <c r="AF235" i="2"/>
  <c r="AF236" i="2"/>
  <c r="AF237" i="2"/>
  <c r="AF238" i="2"/>
  <c r="AF239" i="2"/>
  <c r="AF240" i="2"/>
  <c r="AF241" i="2"/>
  <c r="AF230" i="2"/>
  <c r="AF233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184" i="2"/>
  <c r="AF187" i="2"/>
  <c r="AF183" i="2"/>
  <c r="AF179" i="2"/>
  <c r="AF180" i="2"/>
  <c r="AF181" i="2"/>
  <c r="AF182" i="2"/>
  <c r="AF176" i="2"/>
  <c r="AF178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06" i="2"/>
  <c r="AF110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55" i="2"/>
  <c r="AF56" i="2"/>
  <c r="AF57" i="2"/>
  <c r="AF58" i="2"/>
  <c r="AF60" i="2"/>
  <c r="AF61" i="2"/>
  <c r="AF49" i="2"/>
  <c r="AF50" i="2"/>
  <c r="AF51" i="2"/>
  <c r="AF52" i="2"/>
  <c r="AF53" i="2"/>
  <c r="AF54" i="2"/>
  <c r="AF43" i="2"/>
  <c r="AF44" i="2"/>
  <c r="AF45" i="2"/>
  <c r="AF46" i="2"/>
  <c r="AF47" i="2"/>
  <c r="AF48" i="2"/>
  <c r="AF37" i="2"/>
  <c r="AF39" i="2"/>
  <c r="AF41" i="2"/>
  <c r="AF42" i="2"/>
  <c r="AF31" i="2"/>
  <c r="AF32" i="2"/>
  <c r="AF33" i="2"/>
  <c r="AF34" i="2"/>
  <c r="AF35" i="2"/>
  <c r="AF36" i="2"/>
  <c r="AF24" i="2"/>
  <c r="AF25" i="2"/>
  <c r="AF26" i="2"/>
  <c r="AF27" i="2"/>
  <c r="AF29" i="2"/>
  <c r="AF30" i="2"/>
  <c r="AF19" i="2"/>
  <c r="AF20" i="2"/>
  <c r="AF21" i="2"/>
  <c r="AF22" i="2"/>
  <c r="AF23" i="2"/>
  <c r="AF16" i="2"/>
  <c r="AF17" i="2"/>
  <c r="AF18" i="2"/>
  <c r="AF13" i="2"/>
  <c r="AF14" i="2"/>
  <c r="AF15" i="2"/>
  <c r="AF11" i="2"/>
  <c r="AF12" i="2"/>
  <c r="AF6" i="2"/>
  <c r="AF7" i="2"/>
  <c r="AF8" i="2"/>
  <c r="AF9" i="2"/>
  <c r="AF10" i="2"/>
  <c r="AF5" i="2"/>
  <c r="AF3" i="2"/>
  <c r="B288" i="2" l="1"/>
  <c r="B384" i="2" l="1"/>
  <c r="B382" i="2"/>
  <c r="B380" i="2"/>
  <c r="E10" i="5" l="1"/>
  <c r="E10" i="4"/>
  <c r="E10" i="7"/>
  <c r="P7" i="6" l="1"/>
  <c r="E11" i="6" l="1"/>
  <c r="E10" i="6"/>
  <c r="E14" i="5"/>
  <c r="E13" i="5"/>
  <c r="E12" i="5"/>
  <c r="E11" i="5"/>
  <c r="P7" i="5"/>
  <c r="E18" i="4"/>
  <c r="E17" i="4"/>
  <c r="E16" i="4"/>
  <c r="E15" i="4"/>
  <c r="E14" i="4"/>
  <c r="E13" i="4"/>
  <c r="E12" i="4"/>
  <c r="E11" i="4"/>
  <c r="B430" i="2" l="1"/>
  <c r="B429" i="2"/>
  <c r="B428" i="2"/>
  <c r="B427" i="2"/>
  <c r="B426" i="2"/>
  <c r="B425" i="2"/>
  <c r="B424" i="2"/>
  <c r="B423" i="2"/>
  <c r="B422" i="2"/>
  <c r="B421" i="2"/>
  <c r="B420" i="2"/>
  <c r="B419" i="2"/>
  <c r="B418" i="2"/>
  <c r="B417" i="2"/>
  <c r="B416" i="2"/>
  <c r="B415" i="2"/>
  <c r="B414" i="2"/>
  <c r="B413" i="2"/>
  <c r="B412" i="2"/>
  <c r="B411" i="2"/>
  <c r="B410" i="2"/>
  <c r="B409" i="2"/>
  <c r="B408" i="2"/>
  <c r="B407" i="2"/>
  <c r="B406" i="2"/>
  <c r="B401" i="2"/>
  <c r="B400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3" i="2"/>
  <c r="B381" i="2"/>
  <c r="B379" i="2"/>
  <c r="B378" i="2"/>
  <c r="B377" i="2"/>
  <c r="B376" i="2"/>
  <c r="B375" i="2"/>
  <c r="B374" i="2"/>
  <c r="B369" i="2"/>
  <c r="B368" i="2"/>
  <c r="B364" i="2"/>
  <c r="B363" i="2"/>
  <c r="B359" i="2"/>
  <c r="B358" i="2"/>
  <c r="B357" i="2"/>
  <c r="B356" i="2"/>
  <c r="B355" i="2"/>
  <c r="B354" i="2"/>
  <c r="B350" i="2"/>
  <c r="B349" i="2"/>
  <c r="B348" i="2"/>
  <c r="B347" i="2"/>
  <c r="B346" i="2"/>
  <c r="B342" i="2"/>
  <c r="B341" i="2"/>
  <c r="B340" i="2"/>
  <c r="B336" i="2"/>
  <c r="B335" i="2"/>
  <c r="B331" i="2"/>
  <c r="B330" i="2"/>
  <c r="B329" i="2"/>
  <c r="B328" i="2"/>
  <c r="B327" i="2"/>
  <c r="B325" i="2"/>
  <c r="B323" i="2"/>
  <c r="B321" i="2"/>
  <c r="B319" i="2"/>
  <c r="B318" i="2"/>
  <c r="B317" i="2"/>
  <c r="B316" i="2"/>
  <c r="B315" i="2"/>
  <c r="B314" i="2"/>
  <c r="B313" i="2"/>
  <c r="B311" i="2"/>
  <c r="B309" i="2"/>
  <c r="B308" i="2"/>
  <c r="B307" i="2"/>
  <c r="B306" i="2"/>
  <c r="B305" i="2"/>
  <c r="B303" i="2"/>
  <c r="B301" i="2"/>
  <c r="B300" i="2"/>
  <c r="B291" i="2"/>
  <c r="B290" i="2"/>
  <c r="B289" i="2"/>
  <c r="B287" i="2"/>
  <c r="B286" i="2"/>
  <c r="B285" i="2"/>
  <c r="B284" i="2"/>
  <c r="B283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1" i="2"/>
  <c r="B260" i="2"/>
  <c r="B259" i="2"/>
  <c r="B258" i="2"/>
  <c r="B257" i="2"/>
  <c r="B256" i="2"/>
  <c r="B255" i="2"/>
  <c r="B250" i="2"/>
  <c r="B249" i="2"/>
  <c r="B245" i="2"/>
  <c r="B241" i="2"/>
  <c r="B240" i="2"/>
  <c r="B239" i="2"/>
  <c r="B238" i="2"/>
  <c r="B237" i="2"/>
  <c r="B236" i="2"/>
  <c r="B235" i="2"/>
  <c r="B234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3" i="2"/>
  <c r="B182" i="2"/>
  <c r="B181" i="2"/>
  <c r="B180" i="2"/>
  <c r="B179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39" i="2"/>
  <c r="B37" i="2"/>
  <c r="B36" i="2"/>
  <c r="B35" i="2"/>
  <c r="B34" i="2"/>
  <c r="B33" i="2"/>
  <c r="B32" i="2"/>
  <c r="B31" i="2"/>
  <c r="B30" i="2"/>
  <c r="B29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</calcChain>
</file>

<file path=xl/comments1.xml><?xml version="1.0" encoding="utf-8"?>
<comments xmlns="http://schemas.openxmlformats.org/spreadsheetml/2006/main">
  <authors>
    <author>Autor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Folgende Eingabemöglichkeiten stehen zur Verfügung:
"-"     -  keine Schweißung
"s"     - statisch
"d"    - dynamisch
</t>
        </r>
      </text>
    </comment>
    <comment ref="K1" authorId="0" shapeId="0">
      <text>
        <r>
          <rPr>
            <b/>
            <sz val="10"/>
            <color indexed="81"/>
            <rFont val="Tahoma"/>
            <family val="2"/>
          </rPr>
          <t>Autor:</t>
        </r>
        <r>
          <rPr>
            <sz val="10"/>
            <color indexed="81"/>
            <rFont val="Tahoma"/>
            <family val="2"/>
          </rPr>
          <t xml:space="preserve">
Folgende Auswahlmöglichkeiten stehen zur Verfügung:
</t>
        </r>
        <r>
          <rPr>
            <b/>
            <sz val="10"/>
            <color indexed="81"/>
            <rFont val="Tahoma"/>
            <family val="2"/>
          </rPr>
          <t xml:space="preserve">"-"  - </t>
        </r>
        <r>
          <rPr>
            <sz val="10"/>
            <color indexed="81"/>
            <rFont val="Tahoma"/>
            <family val="2"/>
          </rPr>
          <t xml:space="preserve">keine Isolierung
</t>
        </r>
        <r>
          <rPr>
            <b/>
            <sz val="10"/>
            <color indexed="81"/>
            <rFont val="Tahoma"/>
            <family val="2"/>
          </rPr>
          <t>"Band"</t>
        </r>
        <r>
          <rPr>
            <sz val="10"/>
            <color indexed="81"/>
            <rFont val="Tahoma"/>
            <family val="2"/>
          </rPr>
          <t xml:space="preserve">  - Isolierung mit Band
</t>
        </r>
        <r>
          <rPr>
            <b/>
            <sz val="10"/>
            <color indexed="81"/>
            <rFont val="Tahoma"/>
            <family val="2"/>
          </rPr>
          <t xml:space="preserve">"Schrumpfen" - </t>
        </r>
        <r>
          <rPr>
            <sz val="10"/>
            <color indexed="81"/>
            <rFont val="Tahoma"/>
            <family val="2"/>
          </rPr>
          <t xml:space="preserve">Isolierung mit Schrumpfschlauch
</t>
        </r>
        <r>
          <rPr>
            <b/>
            <sz val="10"/>
            <color indexed="81"/>
            <rFont val="Tahoma"/>
            <family val="2"/>
          </rPr>
          <t xml:space="preserve">"Kappe" </t>
        </r>
        <r>
          <rPr>
            <sz val="10"/>
            <color indexed="81"/>
            <rFont val="Tahoma"/>
            <family val="2"/>
          </rPr>
          <t>- Isolierung mit Kappe</t>
        </r>
      </text>
    </comment>
    <comment ref="N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-</t>
        </r>
        <r>
          <rPr>
            <sz val="12"/>
            <color indexed="81"/>
            <rFont val="Tahoma"/>
            <family val="2"/>
          </rPr>
          <t>"       -    nicht relevant
"</t>
        </r>
        <r>
          <rPr>
            <b/>
            <sz val="12"/>
            <color indexed="81"/>
            <rFont val="Tahoma"/>
            <family val="2"/>
          </rPr>
          <t>EFB</t>
        </r>
        <r>
          <rPr>
            <sz val="12"/>
            <color indexed="81"/>
            <rFont val="Tahoma"/>
            <family val="2"/>
          </rPr>
          <t>"  -    elektrisches Formbrett
"</t>
        </r>
        <r>
          <rPr>
            <b/>
            <sz val="12"/>
            <color indexed="81"/>
            <rFont val="Tahoma"/>
            <family val="2"/>
          </rPr>
          <t>PT</t>
        </r>
        <r>
          <rPr>
            <sz val="12"/>
            <color indexed="81"/>
            <rFont val="Tahoma"/>
            <family val="2"/>
          </rPr>
          <t xml:space="preserve">"    -    Prüftisch  </t>
        </r>
      </text>
    </comment>
    <comment ref="O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
"</t>
        </r>
        <r>
          <rPr>
            <b/>
            <sz val="12"/>
            <color indexed="81"/>
            <rFont val="Tahoma"/>
            <family val="2"/>
          </rPr>
          <t>bl</t>
        </r>
        <r>
          <rPr>
            <sz val="12"/>
            <color indexed="81"/>
            <rFont val="Tahoma"/>
            <family val="2"/>
          </rPr>
          <t>"  -  blau
"</t>
        </r>
        <r>
          <rPr>
            <b/>
            <sz val="12"/>
            <color indexed="81"/>
            <rFont val="Tahoma"/>
            <family val="2"/>
          </rPr>
          <t>br</t>
        </r>
        <r>
          <rPr>
            <sz val="12"/>
            <color indexed="81"/>
            <rFont val="Tahoma"/>
            <family val="2"/>
          </rPr>
          <t>" -  braun
"</t>
        </r>
        <r>
          <rPr>
            <b/>
            <sz val="12"/>
            <color indexed="81"/>
            <rFont val="Tahoma"/>
            <family val="2"/>
          </rPr>
          <t>ge</t>
        </r>
        <r>
          <rPr>
            <sz val="12"/>
            <color indexed="81"/>
            <rFont val="Tahoma"/>
            <family val="2"/>
          </rPr>
          <t>" -  gelb
"</t>
        </r>
        <r>
          <rPr>
            <b/>
            <sz val="12"/>
            <color indexed="81"/>
            <rFont val="Tahoma"/>
            <family val="2"/>
          </rPr>
          <t>gn</t>
        </r>
        <r>
          <rPr>
            <sz val="12"/>
            <color indexed="81"/>
            <rFont val="Tahoma"/>
            <family val="2"/>
          </rPr>
          <t>" -  grün
"</t>
        </r>
        <r>
          <rPr>
            <b/>
            <sz val="12"/>
            <color indexed="81"/>
            <rFont val="Tahoma"/>
            <family val="2"/>
          </rPr>
          <t>gr</t>
        </r>
        <r>
          <rPr>
            <sz val="12"/>
            <color indexed="81"/>
            <rFont val="Tahoma"/>
            <family val="2"/>
          </rPr>
          <t>" -  grau
"</t>
        </r>
        <r>
          <rPr>
            <b/>
            <sz val="12"/>
            <color indexed="81"/>
            <rFont val="Tahoma"/>
            <family val="2"/>
          </rPr>
          <t>rt</t>
        </r>
        <r>
          <rPr>
            <sz val="12"/>
            <color indexed="81"/>
            <rFont val="Tahoma"/>
            <family val="2"/>
          </rPr>
          <t>"  -  rot
"</t>
        </r>
        <r>
          <rPr>
            <b/>
            <sz val="12"/>
            <color indexed="81"/>
            <rFont val="Tahoma"/>
            <family val="2"/>
          </rPr>
          <t>sw</t>
        </r>
        <r>
          <rPr>
            <sz val="12"/>
            <color indexed="81"/>
            <rFont val="Tahoma"/>
            <family val="2"/>
          </rPr>
          <t>" - schwarz
"</t>
        </r>
        <r>
          <rPr>
            <b/>
            <sz val="12"/>
            <color indexed="81"/>
            <rFont val="Tahoma"/>
            <family val="2"/>
          </rPr>
          <t>vi</t>
        </r>
        <r>
          <rPr>
            <sz val="12"/>
            <color indexed="81"/>
            <rFont val="Tahoma"/>
            <family val="2"/>
          </rPr>
          <t>"  -  violett
"</t>
        </r>
        <r>
          <rPr>
            <b/>
            <sz val="12"/>
            <color indexed="81"/>
            <rFont val="Tahoma"/>
            <family val="2"/>
          </rPr>
          <t>ws</t>
        </r>
        <r>
          <rPr>
            <sz val="12"/>
            <color indexed="81"/>
            <rFont val="Tahoma"/>
            <family val="2"/>
          </rPr>
          <t xml:space="preserve">" - weiss
</t>
        </r>
      </text>
    </comment>
    <comment ref="R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"  -    relevant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folgende Auswahloptionen stehen zur Verfügung:
A
B
M
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E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"-" - nicht relevant
"</t>
        </r>
        <r>
          <rPr>
            <b/>
            <sz val="12"/>
            <color indexed="81"/>
            <rFont val="Tahoma"/>
            <family val="2"/>
          </rPr>
          <t>o</t>
        </r>
        <r>
          <rPr>
            <sz val="12"/>
            <color indexed="81"/>
            <rFont val="Tahoma"/>
            <family val="2"/>
          </rPr>
          <t>" - offen
"</t>
        </r>
        <r>
          <rPr>
            <b/>
            <sz val="12"/>
            <color indexed="81"/>
            <rFont val="Tahoma"/>
            <family val="2"/>
          </rPr>
          <t>z</t>
        </r>
        <r>
          <rPr>
            <sz val="12"/>
            <color indexed="81"/>
            <rFont val="Tahoma"/>
            <family val="2"/>
          </rPr>
          <t>" - geschlossen</t>
        </r>
      </text>
    </comment>
    <comment ref="F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"-"       -    nicht relevant
"</t>
        </r>
        <r>
          <rPr>
            <b/>
            <sz val="12"/>
            <color indexed="81"/>
            <rFont val="Tahoma"/>
            <family val="2"/>
          </rPr>
          <t>EFB</t>
        </r>
        <r>
          <rPr>
            <sz val="12"/>
            <color indexed="81"/>
            <rFont val="Tahoma"/>
            <family val="2"/>
          </rPr>
          <t>"  -    elektrisches Formbrett
"</t>
        </r>
        <r>
          <rPr>
            <b/>
            <sz val="12"/>
            <color indexed="81"/>
            <rFont val="Tahoma"/>
            <family val="2"/>
          </rPr>
          <t>PT</t>
        </r>
        <r>
          <rPr>
            <sz val="12"/>
            <color indexed="81"/>
            <rFont val="Tahoma"/>
            <family val="2"/>
          </rPr>
          <t>"    -    Prüftisch</t>
        </r>
        <r>
          <rPr>
            <sz val="9"/>
            <color indexed="81"/>
            <rFont val="Tahoma"/>
            <family val="2"/>
          </rPr>
          <t xml:space="preserve">  </t>
        </r>
      </text>
    </comment>
    <comment ref="G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-</t>
        </r>
        <r>
          <rPr>
            <sz val="12"/>
            <color indexed="81"/>
            <rFont val="Tahoma"/>
            <family val="2"/>
          </rPr>
          <t>"       -    nicht relevant
"</t>
        </r>
        <r>
          <rPr>
            <b/>
            <sz val="12"/>
            <color indexed="81"/>
            <rFont val="Tahoma"/>
            <family val="2"/>
          </rPr>
          <t>opt.</t>
        </r>
        <r>
          <rPr>
            <sz val="12"/>
            <color indexed="81"/>
            <rFont val="Tahoma"/>
            <family val="2"/>
          </rPr>
          <t>"  -   optional
"</t>
        </r>
        <r>
          <rPr>
            <b/>
            <sz val="12"/>
            <color indexed="81"/>
            <rFont val="Tahoma"/>
            <family val="2"/>
          </rPr>
          <t>PT</t>
        </r>
        <r>
          <rPr>
            <sz val="12"/>
            <color indexed="81"/>
            <rFont val="Tahoma"/>
            <family val="2"/>
          </rPr>
          <t>"    -    Prüftisch  
"</t>
        </r>
        <r>
          <rPr>
            <b/>
            <sz val="12"/>
            <color indexed="81"/>
            <rFont val="Tahoma"/>
            <family val="2"/>
          </rPr>
          <t>PT+L</t>
        </r>
        <r>
          <rPr>
            <sz val="12"/>
            <color indexed="81"/>
            <rFont val="Tahoma"/>
            <family val="2"/>
          </rPr>
          <t>"   - Prüftisch + Lecktest</t>
        </r>
      </text>
    </comment>
    <comment ref="I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</t>
        </r>
        <r>
          <rPr>
            <b/>
            <sz val="12"/>
            <color indexed="81"/>
            <rFont val="Tahoma"/>
            <family val="2"/>
          </rPr>
          <t xml:space="preserve">
"-"       -  </t>
        </r>
        <r>
          <rPr>
            <sz val="12"/>
            <color indexed="81"/>
            <rFont val="Tahoma"/>
            <family val="2"/>
          </rPr>
          <t>nicht relevant</t>
        </r>
        <r>
          <rPr>
            <b/>
            <sz val="12"/>
            <color indexed="81"/>
            <rFont val="Tahoma"/>
            <family val="2"/>
          </rPr>
          <t xml:space="preserve">
"x"      -  </t>
        </r>
        <r>
          <rPr>
            <sz val="12"/>
            <color indexed="81"/>
            <rFont val="Tahoma"/>
            <family val="2"/>
          </rPr>
          <t>relevant
nach dem Prüftisch (z.B. RACK)</t>
        </r>
      </text>
    </comment>
    <comment ref="O1" authorId="0" shapeId="0">
      <text>
        <r>
          <rPr>
            <b/>
            <sz val="12"/>
            <color indexed="81"/>
            <rFont val="Tahoma"/>
            <family val="2"/>
          </rPr>
          <t>Autor:</t>
        </r>
        <r>
          <rPr>
            <sz val="12"/>
            <color indexed="81"/>
            <rFont val="Tahoma"/>
            <family val="2"/>
          </rPr>
          <t xml:space="preserve">
folgende Auswahloptionen stehen zur Verfügung:
"</t>
        </r>
        <r>
          <rPr>
            <b/>
            <sz val="12"/>
            <color indexed="81"/>
            <rFont val="Tahoma"/>
            <family val="2"/>
          </rPr>
          <t>x</t>
        </r>
        <r>
          <rPr>
            <sz val="12"/>
            <color indexed="81"/>
            <rFont val="Tahoma"/>
            <family val="2"/>
          </rPr>
          <t xml:space="preserve">"  -    erforderlich
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folgende Auswahloptionen stehen zur Verfügung:
A-Baugruppe
B-Baugruppe
M-Baugruppe
</t>
        </r>
      </text>
    </comment>
  </commentList>
</comments>
</file>

<file path=xl/sharedStrings.xml><?xml version="1.0" encoding="utf-8"?>
<sst xmlns="http://schemas.openxmlformats.org/spreadsheetml/2006/main" count="20435" uniqueCount="2617">
  <si>
    <t>LEITUNGSSTRANG</t>
  </si>
  <si>
    <t>V1</t>
  </si>
  <si>
    <t>4J3_974_000</t>
  </si>
  <si>
    <t>L0L+K8S</t>
  </si>
  <si>
    <t>~</t>
  </si>
  <si>
    <t>Bezeichnung</t>
  </si>
  <si>
    <t>VOBES-ID</t>
  </si>
  <si>
    <t>Benennung</t>
  </si>
  <si>
    <t>Verwendung</t>
  </si>
  <si>
    <t>Kurzname</t>
  </si>
  <si>
    <t>xy</t>
  </si>
  <si>
    <t>Teilenummer</t>
  </si>
  <si>
    <t>TAB-Nummer</t>
  </si>
  <si>
    <t>Referenzteil</t>
  </si>
  <si>
    <t>Farbe</t>
  </si>
  <si>
    <t>E-Komponente</t>
  </si>
  <si>
    <t>E-Komponente Part-Nr.</t>
  </si>
  <si>
    <t>Einh.</t>
  </si>
  <si>
    <t>KLEBEBAND PET-Vlies</t>
  </si>
  <si>
    <t>-</t>
  </si>
  <si>
    <t>N_107_778_02</t>
  </si>
  <si>
    <t>mm</t>
  </si>
  <si>
    <t>PET-Vlies</t>
  </si>
  <si>
    <t>N___105_095_02</t>
  </si>
  <si>
    <t>N___105_436_02</t>
  </si>
  <si>
    <t>Klebeband_PA-Gewebe</t>
  </si>
  <si>
    <t>Kontakt</t>
  </si>
  <si>
    <t>N_105_113_01</t>
  </si>
  <si>
    <t>Stk.</t>
  </si>
  <si>
    <t>N_105_114_01</t>
  </si>
  <si>
    <t>N_105_115_01</t>
  </si>
  <si>
    <t>N_105_116_01</t>
  </si>
  <si>
    <t>N_105_118_01</t>
  </si>
  <si>
    <t>N_105_119_01</t>
  </si>
  <si>
    <t>N_105_120_01</t>
  </si>
  <si>
    <t>N_105_974_01</t>
  </si>
  <si>
    <t>N_105_975_01</t>
  </si>
  <si>
    <t>N_106_471_02</t>
  </si>
  <si>
    <t>N_107_277_01</t>
  </si>
  <si>
    <t>N_107_766_01</t>
  </si>
  <si>
    <t>N_107_823_01</t>
  </si>
  <si>
    <t>N_107_834_01</t>
  </si>
  <si>
    <t>N_907_325_01</t>
  </si>
  <si>
    <t>N_907_326_01</t>
  </si>
  <si>
    <t>N_907_327_01</t>
  </si>
  <si>
    <t>N_907_479_01</t>
  </si>
  <si>
    <t>N_907_647_01</t>
  </si>
  <si>
    <t>N_907_649_01</t>
  </si>
  <si>
    <t>N_912_250_01</t>
  </si>
  <si>
    <t>SCHIRM</t>
  </si>
  <si>
    <t>UNI_CONT_AU_FLK</t>
  </si>
  <si>
    <t>UNI_CONT_SN_FLK</t>
  </si>
  <si>
    <t>UNI_FKSI_48</t>
  </si>
  <si>
    <t>FLACHKONTAKTGEH_17POL_KOD_II_BRAUN</t>
  </si>
  <si>
    <t>TCPL.2A1</t>
  </si>
  <si>
    <t>Koppelstelle an der Schalttafel links</t>
  </si>
  <si>
    <t>KS_CPL_A</t>
  </si>
  <si>
    <t>1-13J</t>
  </si>
  <si>
    <t>8K0_972_483_A</t>
  </si>
  <si>
    <t>TAB_010_046_CH</t>
  </si>
  <si>
    <t>braun</t>
  </si>
  <si>
    <t>TCPL</t>
  </si>
  <si>
    <t>FLACHKONTAKTGEH_17POL_KOD_III_ROT</t>
  </si>
  <si>
    <t>TCPL.2B1</t>
  </si>
  <si>
    <t>KS_CPL_B</t>
  </si>
  <si>
    <t>1-12H</t>
  </si>
  <si>
    <t>8K0_972_483_B</t>
  </si>
  <si>
    <t>rot</t>
  </si>
  <si>
    <t>FLACHKONTAKTGEH_17POL_KOD_IV_BLAU</t>
  </si>
  <si>
    <t>TCPL.2C1</t>
  </si>
  <si>
    <t>KS_CPL_C</t>
  </si>
  <si>
    <t>1-13F</t>
  </si>
  <si>
    <t>8K0_972_483_D</t>
  </si>
  <si>
    <t>blau</t>
  </si>
  <si>
    <t>FLACHKONTAKTGEH_17POL_KOD_I_SCHWARZ</t>
  </si>
  <si>
    <t>TCPL.2D1</t>
  </si>
  <si>
    <t>KS_CPL_D</t>
  </si>
  <si>
    <t>1-14F</t>
  </si>
  <si>
    <t>8K0_972_483</t>
  </si>
  <si>
    <t>schwarz</t>
  </si>
  <si>
    <t>TCPM.1A1</t>
  </si>
  <si>
    <t>Koppelstelle an der Schalttafel Mitte</t>
  </si>
  <si>
    <t>KS_CPM_A</t>
  </si>
  <si>
    <t>1-36D</t>
  </si>
  <si>
    <t>TCPM</t>
  </si>
  <si>
    <t>TCPM.1D1</t>
  </si>
  <si>
    <t>KS_CPM_D</t>
  </si>
  <si>
    <t>1-27J</t>
  </si>
  <si>
    <t>TCPM.1E1</t>
  </si>
  <si>
    <t>KS_CPM_E</t>
  </si>
  <si>
    <t>1-33D</t>
  </si>
  <si>
    <t>TCPM.1F1</t>
  </si>
  <si>
    <t>Koppelstelle an der Schalttafel Mitte [zur MIKO]</t>
  </si>
  <si>
    <t>KS_CPM_F</t>
  </si>
  <si>
    <t>1-25H</t>
  </si>
  <si>
    <t>TCPR.2A1</t>
  </si>
  <si>
    <t>Koppelstelle an der Schalttafel rechts</t>
  </si>
  <si>
    <t>KS_CPR_A</t>
  </si>
  <si>
    <t>1-49B</t>
  </si>
  <si>
    <t>TCPR</t>
  </si>
  <si>
    <t>TCPR.2B1</t>
  </si>
  <si>
    <t>KS_CPR_B</t>
  </si>
  <si>
    <t>1-52B</t>
  </si>
  <si>
    <t>TCPR.2C1</t>
  </si>
  <si>
    <t>KS_CPR_C</t>
  </si>
  <si>
    <t>1-51D</t>
  </si>
  <si>
    <t>HF_KONTAKTGEHAEUSE_CREMEWEISS_2POL_KOD_B</t>
  </si>
  <si>
    <t>TCPR.2J1</t>
  </si>
  <si>
    <t>KS_CPR_J</t>
  </si>
  <si>
    <t>1-49D</t>
  </si>
  <si>
    <t>6Q0_035_576_A</t>
  </si>
  <si>
    <t>TAB_016_396_A</t>
  </si>
  <si>
    <t>cremeweiss</t>
  </si>
  <si>
    <t>FLACHKONTAKTGEH_4POL_KOD_C_ROT</t>
  </si>
  <si>
    <t>XA.E1.2</t>
  </si>
  <si>
    <t>Lichtschalter</t>
  </si>
  <si>
    <t>LDS</t>
  </si>
  <si>
    <t>1-17B</t>
  </si>
  <si>
    <t>8K0_973_754_B</t>
  </si>
  <si>
    <t>TAB_010_046_CQ</t>
  </si>
  <si>
    <t>E1.2</t>
  </si>
  <si>
    <t>4K1_941_501</t>
  </si>
  <si>
    <t>BUCHSENKONTAKTGEHAEUSE_3-POL</t>
  </si>
  <si>
    <t>XA.E26.2</t>
  </si>
  <si>
    <t>Schalter fÃ¼r Handschuhfachleuchte</t>
  </si>
  <si>
    <t>HSK103P</t>
  </si>
  <si>
    <t>1-43B</t>
  </si>
  <si>
    <t>1C0_973_119_B</t>
  </si>
  <si>
    <t>E26.2</t>
  </si>
  <si>
    <t>4N1_857_035</t>
  </si>
  <si>
    <t>BUCHSENGEH_POL_20_KOD_A_SCHWARZ</t>
  </si>
  <si>
    <t>XA.EX35.1</t>
  </si>
  <si>
    <t>Schaltermodul 2 Schalttafel Mitte</t>
  </si>
  <si>
    <t>SM2SM_2</t>
  </si>
  <si>
    <t>1-32H</t>
  </si>
  <si>
    <t>8W0_972_420</t>
  </si>
  <si>
    <t>EX35.1</t>
  </si>
  <si>
    <t>4J3_925_301</t>
  </si>
  <si>
    <t>FLACHKONTAKTGEH_17POL_KOD_V_GELB</t>
  </si>
  <si>
    <t>XA.J527.1</t>
  </si>
  <si>
    <t>SteuergerÃ¤t fÃ¼r LenksÃ¤ulenelektronik</t>
  </si>
  <si>
    <t>SMLS02P</t>
  </si>
  <si>
    <t>1-22H</t>
  </si>
  <si>
    <t>8K0_972_483_C</t>
  </si>
  <si>
    <t>gelb</t>
  </si>
  <si>
    <t>J527.1</t>
  </si>
  <si>
    <t>4N0_907_129</t>
  </si>
  <si>
    <t>Kastenkontaktgehaeuse Kod A</t>
  </si>
  <si>
    <t>XA.K.2</t>
  </si>
  <si>
    <t>Schalttafeleinsatz</t>
  </si>
  <si>
    <t>KOMBI_A</t>
  </si>
  <si>
    <t>1-24E</t>
  </si>
  <si>
    <t>5Q0_972_718_A</t>
  </si>
  <si>
    <t>TAB_016_038_BE</t>
  </si>
  <si>
    <t>K.2</t>
  </si>
  <si>
    <t>4KE_920_795_B</t>
  </si>
  <si>
    <t>KABELBINDER_C3.AX139</t>
  </si>
  <si>
    <t>KB_091</t>
  </si>
  <si>
    <t>N_106_478_01</t>
  </si>
  <si>
    <t>HF_KONTAKTGEHAEUSE_BEIGE_2-POL_KOD_J</t>
  </si>
  <si>
    <t>XA.R266.2</t>
  </si>
  <si>
    <t>Antenne fÃ¼r Internetzugang</t>
  </si>
  <si>
    <t>Antenne fÃ¼r Internetzugang [WLAN Spiegelfuss]</t>
  </si>
  <si>
    <t>AWO01A</t>
  </si>
  <si>
    <t>1-60B</t>
  </si>
  <si>
    <t>6Q0_035_576_H</t>
  </si>
  <si>
    <t>beige</t>
  </si>
  <si>
    <t>R266.2</t>
  </si>
  <si>
    <t>4N0_035_500</t>
  </si>
  <si>
    <t>SICHERUNGSTRAEGER_12POL_SCHWARZ</t>
  </si>
  <si>
    <t>XA.SO.1</t>
  </si>
  <si>
    <t>Sicherungshalter O</t>
  </si>
  <si>
    <t>STO51A</t>
  </si>
  <si>
    <t>1-16C</t>
  </si>
  <si>
    <t>8K0_941_824</t>
  </si>
  <si>
    <t>TAB_010_329_CA</t>
  </si>
  <si>
    <t>SO.1</t>
  </si>
  <si>
    <t>Steckerhalter</t>
  </si>
  <si>
    <t>AK_002</t>
  </si>
  <si>
    <t>8K0_971_981_A</t>
  </si>
  <si>
    <t>HALTER,ZE COCKPIT LI.</t>
  </si>
  <si>
    <t>KH_004</t>
  </si>
  <si>
    <t>1-17C</t>
  </si>
  <si>
    <t>9J1_937_581_D</t>
  </si>
  <si>
    <t>Sicherung Type_C 5A</t>
  </si>
  <si>
    <t>SI_STO51A_F2</t>
  </si>
  <si>
    <t>Lichtdrehschalter, Schalterleiste</t>
  </si>
  <si>
    <t>N_017_131_16</t>
  </si>
  <si>
    <t>hellbraun</t>
  </si>
  <si>
    <t>Sicherung Type_C 15A</t>
  </si>
  <si>
    <t>SI_STO51A_F5</t>
  </si>
  <si>
    <t>Lenksaeulenelektronik</t>
  </si>
  <si>
    <t>N_017_131_12</t>
  </si>
  <si>
    <t>hellblau</t>
  </si>
  <si>
    <t>Sicherung Type_C 10A</t>
  </si>
  <si>
    <t>SI_STO51A_F8</t>
  </si>
  <si>
    <t>N_017_131_11</t>
  </si>
  <si>
    <t>SICHERUNGSTRAEGER_12POL_BRAUN</t>
  </si>
  <si>
    <t>XA.SP.1</t>
  </si>
  <si>
    <t>Sicherungshalter P</t>
  </si>
  <si>
    <t>STO52A</t>
  </si>
  <si>
    <t>1-52C</t>
  </si>
  <si>
    <t>8K0_941_824_A</t>
  </si>
  <si>
    <t>SP.1</t>
  </si>
  <si>
    <t>AK_001</t>
  </si>
  <si>
    <t>HALTER,ZE COCKPIT RE.</t>
  </si>
  <si>
    <t>KH_003</t>
  </si>
  <si>
    <t>9J1_937_581_E</t>
  </si>
  <si>
    <t>Sicherung Type_C 25A</t>
  </si>
  <si>
    <t>SI_STO52A_F2</t>
  </si>
  <si>
    <t>MIB (RDW) (NAR)</t>
  </si>
  <si>
    <t>1-53C</t>
  </si>
  <si>
    <t>N_017_131_14</t>
  </si>
  <si>
    <t>weiss</t>
  </si>
  <si>
    <t>SI_STO52A_F5</t>
  </si>
  <si>
    <t>Schnittstelle fuer externe Audioquellen</t>
  </si>
  <si>
    <t>SI_STO52A_F8</t>
  </si>
  <si>
    <t>Waehlhebel</t>
  </si>
  <si>
    <t>SI_STO52A_F9</t>
  </si>
  <si>
    <t>Taster Ladeklappe re. / li.</t>
  </si>
  <si>
    <t>SI_STO52A_F12</t>
  </si>
  <si>
    <t>Diagnose</t>
  </si>
  <si>
    <t>Steckergehause_OBD2</t>
  </si>
  <si>
    <t>XA.U31.2</t>
  </si>
  <si>
    <t>AnschluÃŸ fÃ¼r Diagnose</t>
  </si>
  <si>
    <t>DSO03A</t>
  </si>
  <si>
    <t>1-16H</t>
  </si>
  <si>
    <t>3A0_972_695_A</t>
  </si>
  <si>
    <t>U31.2</t>
  </si>
  <si>
    <t>XXX_000_011_B</t>
  </si>
  <si>
    <t>BUCHSENGEH_SCHWARZ_2_POL_KOD_A</t>
  </si>
  <si>
    <t>XA.W6.1</t>
  </si>
  <si>
    <t>Handschuhfachleuchte</t>
  </si>
  <si>
    <t>LEL11A</t>
  </si>
  <si>
    <t>1-39A</t>
  </si>
  <si>
    <t>8W0_971_832</t>
  </si>
  <si>
    <t>TAB_010_046_DP</t>
  </si>
  <si>
    <t>W6.1</t>
  </si>
  <si>
    <t>8J0_947_409_B</t>
  </si>
  <si>
    <t>FLACHKONTAKTGEH_40POL_SCHWARZ</t>
  </si>
  <si>
    <t>XB.J301.1</t>
  </si>
  <si>
    <t>SteuergerÃ¤t fÃ¼r Klimaanlage</t>
  </si>
  <si>
    <t>SGKG102P_B</t>
  </si>
  <si>
    <t>1-22D</t>
  </si>
  <si>
    <t>4H0_906_231</t>
  </si>
  <si>
    <t>J301.1</t>
  </si>
  <si>
    <t>9J1_907_040</t>
  </si>
  <si>
    <t>FLACHKONTAKTGEHAEUSE_12POL</t>
  </si>
  <si>
    <t>XB.RX7.12</t>
  </si>
  <si>
    <t>Multimediasystem</t>
  </si>
  <si>
    <t>Multimediasystem [RdW]</t>
  </si>
  <si>
    <t>MIB_B</t>
  </si>
  <si>
    <t>1-29B</t>
  </si>
  <si>
    <t>8X0_035_447</t>
  </si>
  <si>
    <t>RX7.12</t>
  </si>
  <si>
    <t>8W2_035_043</t>
  </si>
  <si>
    <t>HF_STECKER_5POL_KOD_A_SCHWARZ</t>
  </si>
  <si>
    <t>XC.K.2</t>
  </si>
  <si>
    <t>KOMBI_C</t>
  </si>
  <si>
    <t>1-25C</t>
  </si>
  <si>
    <t>4E0_035_750</t>
  </si>
  <si>
    <t>TAB_026_004_AE</t>
  </si>
  <si>
    <t>XC.RX7.12</t>
  </si>
  <si>
    <t>MIB_C</t>
  </si>
  <si>
    <t>1-29C</t>
  </si>
  <si>
    <t>8X0_035_447_A</t>
  </si>
  <si>
    <t>gruen</t>
  </si>
  <si>
    <t>BUCHSENGEHAEUSE_8_UND_44-POL</t>
  </si>
  <si>
    <t>XD.RX7.12</t>
  </si>
  <si>
    <t>MIB_D</t>
  </si>
  <si>
    <t>1-28B</t>
  </si>
  <si>
    <t>8X0_035_444</t>
  </si>
  <si>
    <t>XE.RX7.12</t>
  </si>
  <si>
    <t>MIB_E</t>
  </si>
  <si>
    <t>8X0_035_447_B</t>
  </si>
  <si>
    <t>grau</t>
  </si>
  <si>
    <t>HF_STECKER_5POL_KOD_B_WEISS</t>
  </si>
  <si>
    <t>XI.RX7.12</t>
  </si>
  <si>
    <t>MIB_I</t>
  </si>
  <si>
    <t>1-23C</t>
  </si>
  <si>
    <t>4E0_035_750_A</t>
  </si>
  <si>
    <t>CLIP</t>
  </si>
  <si>
    <t>CL_004</t>
  </si>
  <si>
    <t>1-22F</t>
  </si>
  <si>
    <t>3D0_971_739_D</t>
  </si>
  <si>
    <t>SOCKEL_KABELBINDER</t>
  </si>
  <si>
    <t>CL_005</t>
  </si>
  <si>
    <t>1-25F</t>
  </si>
  <si>
    <t>3D0_971_838_L</t>
  </si>
  <si>
    <t>KABELBINDER</t>
  </si>
  <si>
    <t>CL_006</t>
  </si>
  <si>
    <t>1-21F</t>
  </si>
  <si>
    <t>3D0_971_838_K</t>
  </si>
  <si>
    <t>KABELHALTER</t>
  </si>
  <si>
    <t>CL_007</t>
  </si>
  <si>
    <t>1-25E</t>
  </si>
  <si>
    <t>1T0_971_930_D</t>
  </si>
  <si>
    <t>CL_010</t>
  </si>
  <si>
    <t>1-49F</t>
  </si>
  <si>
    <t>CL_015</t>
  </si>
  <si>
    <t>1-22G</t>
  </si>
  <si>
    <t>6Q0_971_848_P</t>
  </si>
  <si>
    <t>CL_016</t>
  </si>
  <si>
    <t>1-26F</t>
  </si>
  <si>
    <t>Sockelkabelbinder</t>
  </si>
  <si>
    <t>CL_020</t>
  </si>
  <si>
    <t>1-29D</t>
  </si>
  <si>
    <t>WHT_005_317</t>
  </si>
  <si>
    <t>Kabelhalter</t>
  </si>
  <si>
    <t>CL_021</t>
  </si>
  <si>
    <t>1-28C</t>
  </si>
  <si>
    <t>6R0_971_848_B</t>
  </si>
  <si>
    <t>KABELCLIP</t>
  </si>
  <si>
    <t>CL_031</t>
  </si>
  <si>
    <t>1-54F</t>
  </si>
  <si>
    <t>N_911_443_01</t>
  </si>
  <si>
    <t>CL_032</t>
  </si>
  <si>
    <t>1-56F</t>
  </si>
  <si>
    <t>6Y0_972_596</t>
  </si>
  <si>
    <t>LEITUNGSCLIP LOCHBEFESTIGUNG 6,5</t>
  </si>
  <si>
    <t>CL_033</t>
  </si>
  <si>
    <t>1-59F</t>
  </si>
  <si>
    <t>1C0_971_848</t>
  </si>
  <si>
    <t>CL_035</t>
  </si>
  <si>
    <t>1-59D</t>
  </si>
  <si>
    <t>CL_036</t>
  </si>
  <si>
    <t>1-59C</t>
  </si>
  <si>
    <t>CL_037</t>
  </si>
  <si>
    <t>1-59B</t>
  </si>
  <si>
    <t>CL_038</t>
  </si>
  <si>
    <t>1-53F</t>
  </si>
  <si>
    <t>3B0_971_848_F</t>
  </si>
  <si>
    <t>CL_060</t>
  </si>
  <si>
    <t>SOCKEL_KABELBINDER_AUSSENVERZAHNT</t>
  </si>
  <si>
    <t>CL_094</t>
  </si>
  <si>
    <t>1-41B</t>
  </si>
  <si>
    <t>5M0_971_838</t>
  </si>
  <si>
    <t>CL_095</t>
  </si>
  <si>
    <t>1-39C</t>
  </si>
  <si>
    <t>1T0_971_930_C</t>
  </si>
  <si>
    <t>CL_096</t>
  </si>
  <si>
    <t>1-40B</t>
  </si>
  <si>
    <t>CL_097</t>
  </si>
  <si>
    <t>1-18F</t>
  </si>
  <si>
    <t>CL_098</t>
  </si>
  <si>
    <t>1-42B</t>
  </si>
  <si>
    <t>CL_104</t>
  </si>
  <si>
    <t>1-44F</t>
  </si>
  <si>
    <t>KB_004</t>
  </si>
  <si>
    <t>1-20F</t>
  </si>
  <si>
    <t>5M0_971_838_A</t>
  </si>
  <si>
    <t>KB_005</t>
  </si>
  <si>
    <t>1-31G</t>
  </si>
  <si>
    <t>KB_007</t>
  </si>
  <si>
    <t>1-34F</t>
  </si>
  <si>
    <t>KB_008</t>
  </si>
  <si>
    <t>1-38F</t>
  </si>
  <si>
    <t>KB_009</t>
  </si>
  <si>
    <t>1-46F</t>
  </si>
  <si>
    <t>KB_013</t>
  </si>
  <si>
    <t>1-22E</t>
  </si>
  <si>
    <t>KB_014</t>
  </si>
  <si>
    <t>1-23F</t>
  </si>
  <si>
    <t>KB_017</t>
  </si>
  <si>
    <t>1-27G</t>
  </si>
  <si>
    <t>KB_019</t>
  </si>
  <si>
    <t>1-29E</t>
  </si>
  <si>
    <t>KABELBINDERSOCKEL_4.6X200</t>
  </si>
  <si>
    <t>KB_026</t>
  </si>
  <si>
    <t>N_909_266_01</t>
  </si>
  <si>
    <t>KB_029</t>
  </si>
  <si>
    <t>1-50B</t>
  </si>
  <si>
    <t>Sockel_Kabelbinder</t>
  </si>
  <si>
    <t>KB_034</t>
  </si>
  <si>
    <t>1-59E</t>
  </si>
  <si>
    <t>1S0_971_838</t>
  </si>
  <si>
    <t>KB_039</t>
  </si>
  <si>
    <t>1-50E</t>
  </si>
  <si>
    <t>KB_070</t>
  </si>
  <si>
    <t>1-15F</t>
  </si>
  <si>
    <t>Sockel_Kabelbinder_6. 2x12,2x164</t>
  </si>
  <si>
    <t>KB_071</t>
  </si>
  <si>
    <t>1-14G</t>
  </si>
  <si>
    <t>WHT_006_403</t>
  </si>
  <si>
    <t>KB_072</t>
  </si>
  <si>
    <t>1-17D</t>
  </si>
  <si>
    <t>KB_080</t>
  </si>
  <si>
    <t>1-35D</t>
  </si>
  <si>
    <t>KB_102</t>
  </si>
  <si>
    <t>1-31F</t>
  </si>
  <si>
    <t>KB_105</t>
  </si>
  <si>
    <t>1-48F</t>
  </si>
  <si>
    <t>LTGS.KLIMAANLAGE</t>
  </si>
  <si>
    <t>4J3_974_029</t>
  </si>
  <si>
    <t>L0L+K8S+2V3+KH5</t>
  </si>
  <si>
    <t>V2</t>
  </si>
  <si>
    <t>4J3_974_029_B</t>
  </si>
  <si>
    <t>L0L+K8S+2V1+KH5</t>
  </si>
  <si>
    <t>413 (g)</t>
  </si>
  <si>
    <t>V3</t>
  </si>
  <si>
    <t>4J3_974_029_D</t>
  </si>
  <si>
    <t>L0L+K8S+2V4+KH5</t>
  </si>
  <si>
    <t>PUR-Schaumstoffrohr</t>
  </si>
  <si>
    <t>811_971_790</t>
  </si>
  <si>
    <t>N_107_834_02</t>
  </si>
  <si>
    <t>N_108_008_01</t>
  </si>
  <si>
    <t>N_907_647_03</t>
  </si>
  <si>
    <t>BUCHSENKONTAKTGEHAEUSE_12POL_KOD_A</t>
  </si>
  <si>
    <t>XA.E87.1</t>
  </si>
  <si>
    <t>Bedienungs- und Anzeigeeinheit fÃ¼r Klimaanlage vorn</t>
  </si>
  <si>
    <t>BAKV</t>
  </si>
  <si>
    <t>1-30J</t>
  </si>
  <si>
    <t>8E0_972_712</t>
  </si>
  <si>
    <t>E87.1</t>
  </si>
  <si>
    <t>8Y0_820_043</t>
  </si>
  <si>
    <t>FLACHKONTAKTGEHAEUSE_4POL_SCHWARZ_KOD_1</t>
  </si>
  <si>
    <t>XA.G107.1</t>
  </si>
  <si>
    <t>Fotosensor fÃ¼r Sonneneinstrahlung</t>
  </si>
  <si>
    <t>FSSE</t>
  </si>
  <si>
    <t>1-46J</t>
  </si>
  <si>
    <t>1K0_972_704_C</t>
  </si>
  <si>
    <t>G107.1</t>
  </si>
  <si>
    <t>9J1_907_539</t>
  </si>
  <si>
    <t>FLACHKONTAKTGEHAEUSE_2-POLIG_FARBE_SCHWARZ</t>
  </si>
  <si>
    <t>XA.G385.2</t>
  </si>
  <si>
    <t>TemperaturfÃ¼hler fÃ¼r MannanstrÃ¶mer vorn links</t>
  </si>
  <si>
    <t>TF_MS_VLI</t>
  </si>
  <si>
    <t>1-19D</t>
  </si>
  <si>
    <t>1J0_971_972</t>
  </si>
  <si>
    <t>TAB_016_038_M</t>
  </si>
  <si>
    <t>G385.2</t>
  </si>
  <si>
    <t>3D0_907_543_A</t>
  </si>
  <si>
    <t>XA.G386.2</t>
  </si>
  <si>
    <t>TemperaturfÃ¼hler fÃ¼r MannanstrÃ¶mer vorn rechts</t>
  </si>
  <si>
    <t>TF_MS_VRE</t>
  </si>
  <si>
    <t>1-43A</t>
  </si>
  <si>
    <t>G386.2</t>
  </si>
  <si>
    <t>XA.G930.1</t>
  </si>
  <si>
    <t>Sensor fÃ¼r Feinstaubgehalt der Klimaanlage</t>
  </si>
  <si>
    <t>FSS03A</t>
  </si>
  <si>
    <t>1-49C</t>
  </si>
  <si>
    <t>1C0_973_119_C</t>
  </si>
  <si>
    <t>G930.1</t>
  </si>
  <si>
    <t>4K0_907_695</t>
  </si>
  <si>
    <t>FLACHKONTAKTGEH_4POL_KOD_A_SCHWARZ</t>
  </si>
  <si>
    <t>XA.J1072.2</t>
  </si>
  <si>
    <t>Ionisator 1</t>
  </si>
  <si>
    <t>LIO3P_A</t>
  </si>
  <si>
    <t>1-36G</t>
  </si>
  <si>
    <t>8K0_973_754</t>
  </si>
  <si>
    <t>J1072.2</t>
  </si>
  <si>
    <t>4N0_963_459_A</t>
  </si>
  <si>
    <t>Kastenkontaktgehaeuse</t>
  </si>
  <si>
    <t>XA.N28.1</t>
  </si>
  <si>
    <t>InnenfÃ¼hler fÃ¼r automatische Heizungsregelung</t>
  </si>
  <si>
    <t>TMPF100P</t>
  </si>
  <si>
    <t>1-28G</t>
  </si>
  <si>
    <t>7P0_972_754_A</t>
  </si>
  <si>
    <t>N28.1</t>
  </si>
  <si>
    <t>7PP_907_527_B</t>
  </si>
  <si>
    <t>SI_STO51A_F1</t>
  </si>
  <si>
    <t>Bed. Anz. Klimaanlage vorne</t>
  </si>
  <si>
    <t>SI_STO51A_F3</t>
  </si>
  <si>
    <t>Klimaanlage</t>
  </si>
  <si>
    <t>Sicherung Type_C 30A</t>
  </si>
  <si>
    <t>SI_STO51A_F11</t>
  </si>
  <si>
    <t>Bed. Anz. Klimaanlage hinten</t>
  </si>
  <si>
    <t>N_017_131_15</t>
  </si>
  <si>
    <t>hellgruen</t>
  </si>
  <si>
    <t>SI_STO52A_F6</t>
  </si>
  <si>
    <t>Frischluftgeblaese</t>
  </si>
  <si>
    <t>BUCHSENGEHAEUSE_4POL</t>
  </si>
  <si>
    <t>XA.V2.1</t>
  </si>
  <si>
    <t>FrischluftgeblÃ¤se</t>
  </si>
  <si>
    <t>GBR26P</t>
  </si>
  <si>
    <t>1-45D</t>
  </si>
  <si>
    <t>4H0_972_704</t>
  </si>
  <si>
    <t>V2.1</t>
  </si>
  <si>
    <t>972_907_521
973_907_521</t>
  </si>
  <si>
    <t>FLACHKONTAKTGEH_5POL_KOD_A</t>
  </si>
  <si>
    <t>XA.VX30.5</t>
  </si>
  <si>
    <t>SeitenausstrÃ¶mer links</t>
  </si>
  <si>
    <t>ASS_LI</t>
  </si>
  <si>
    <t>1-18D</t>
  </si>
  <si>
    <t>8R0_973_605</t>
  </si>
  <si>
    <t>VX30.5</t>
  </si>
  <si>
    <t>4J3_819_701</t>
  </si>
  <si>
    <t>XA.VX31.4</t>
  </si>
  <si>
    <t>SeitenausstrÃ¶mer rechts</t>
  </si>
  <si>
    <t>ASS_RE</t>
  </si>
  <si>
    <t>1-40A</t>
  </si>
  <si>
    <t>VX31.4</t>
  </si>
  <si>
    <t>4J3_819_702</t>
  </si>
  <si>
    <t>XA.VX46.1</t>
  </si>
  <si>
    <t>MittenausstrÃ¶mer</t>
  </si>
  <si>
    <t>ASM</t>
  </si>
  <si>
    <t>1-32G</t>
  </si>
  <si>
    <t>VX46.1</t>
  </si>
  <si>
    <t>4J3_819_203
4J3_819_203_A</t>
  </si>
  <si>
    <t>BUCHSENGEHAEUSE_6POL_KODIERUNG_1</t>
  </si>
  <si>
    <t>XC.J301.1</t>
  </si>
  <si>
    <t>SGKG102P_C</t>
  </si>
  <si>
    <t>1-23D</t>
  </si>
  <si>
    <t>1K0_972_923</t>
  </si>
  <si>
    <t>CL_002</t>
  </si>
  <si>
    <t>1-30G</t>
  </si>
  <si>
    <t>CL_100</t>
  </si>
  <si>
    <t>1-46H</t>
  </si>
  <si>
    <t>CL_101</t>
  </si>
  <si>
    <t>1-46G</t>
  </si>
  <si>
    <t>KB_011</t>
  </si>
  <si>
    <t>1-47C</t>
  </si>
  <si>
    <t>3D0_971_838_H</t>
  </si>
  <si>
    <t>EMITTER</t>
  </si>
  <si>
    <t>ZSB</t>
  </si>
  <si>
    <t>KT_EMT</t>
  </si>
  <si>
    <t>1-30D</t>
  </si>
  <si>
    <t>9J1_963_281_A</t>
  </si>
  <si>
    <t>LTGS.LENKSAULENV.</t>
  </si>
  <si>
    <t>4J3_974_072</t>
  </si>
  <si>
    <t>L0L+K8S+2C7</t>
  </si>
  <si>
    <t>51 (g)</t>
  </si>
  <si>
    <t>XA.E167.2</t>
  </si>
  <si>
    <t>Schalter fÃ¼r LenksÃ¤ulenverstellung</t>
  </si>
  <si>
    <t>LSVS01P</t>
  </si>
  <si>
    <t>1-21G</t>
  </si>
  <si>
    <t>E167.2</t>
  </si>
  <si>
    <t>971_953_519</t>
  </si>
  <si>
    <t>BUCHSENGEHAEUSE_6POL_KODIERUNG_2</t>
  </si>
  <si>
    <t>XA.J866.1</t>
  </si>
  <si>
    <t>SteuergerÃ¤t fÃ¼r elektrisch verstellbare LenksÃ¤ule</t>
  </si>
  <si>
    <t>ESG04A</t>
  </si>
  <si>
    <t>1-20H</t>
  </si>
  <si>
    <t>1K0_972_923_A</t>
  </si>
  <si>
    <t>J866.1</t>
  </si>
  <si>
    <t>80A_907_705</t>
  </si>
  <si>
    <t>SI_STO51A_F6</t>
  </si>
  <si>
    <t>elektr. Verst. Lenksaeule</t>
  </si>
  <si>
    <t>KB_012</t>
  </si>
  <si>
    <t>1-19G</t>
  </si>
  <si>
    <t>LTGS.LAUTSPRECHER</t>
  </si>
  <si>
    <t>4J3_974_076</t>
  </si>
  <si>
    <t>L0L+K8S+9VD</t>
  </si>
  <si>
    <t>324 (g)</t>
  </si>
  <si>
    <t>4J3_974_076_B</t>
  </si>
  <si>
    <t>L0L+K8S+9VS</t>
  </si>
  <si>
    <t>N_103_358_01</t>
  </si>
  <si>
    <t>N_107_767_01</t>
  </si>
  <si>
    <t>N_906_844_01</t>
  </si>
  <si>
    <t>N_906_845_01</t>
  </si>
  <si>
    <t>BUCHSENGEHAEUSE_2POL_KKMQS_NATUR</t>
  </si>
  <si>
    <t>XA.R20.1</t>
  </si>
  <si>
    <t>Hochtonlautsprecher vorn links</t>
  </si>
  <si>
    <t>Hochtonlautsprecher vorn links [Schalttafel Li.]</t>
  </si>
  <si>
    <t>LS_HT1_VL</t>
  </si>
  <si>
    <t>1-20E</t>
  </si>
  <si>
    <t>971_973_115_A</t>
  </si>
  <si>
    <t>TAB_052_482</t>
  </si>
  <si>
    <t>natur</t>
  </si>
  <si>
    <t>R20.1</t>
  </si>
  <si>
    <t>971_035_411_C</t>
  </si>
  <si>
    <t>BUCHSENGEHAEUSE_2POL_KKMQS_BLAU_TYCO_3-1718333-1</t>
  </si>
  <si>
    <t>XA.R20.2</t>
  </si>
  <si>
    <t>LS_HT_VL</t>
  </si>
  <si>
    <t>971_973_115</t>
  </si>
  <si>
    <t>R20.2</t>
  </si>
  <si>
    <t>971_035_412</t>
  </si>
  <si>
    <t>XA.R22.1</t>
  </si>
  <si>
    <t>Hochtonlautsprecher vorn rechts</t>
  </si>
  <si>
    <t>Hochtonlautsprecher vorn rechts [Schalttafel Re.]</t>
  </si>
  <si>
    <t>LS_HT1_VR</t>
  </si>
  <si>
    <t>1-50H</t>
  </si>
  <si>
    <t>R22.1</t>
  </si>
  <si>
    <t>XA.R22.2</t>
  </si>
  <si>
    <t>LS_HT_VR</t>
  </si>
  <si>
    <t>1-51H</t>
  </si>
  <si>
    <t>R22.2</t>
  </si>
  <si>
    <t>XA.R29.4</t>
  </si>
  <si>
    <t>Aktivlautsprecher fÃ¼r Breitband vorn rechts</t>
  </si>
  <si>
    <t>Aktivlautsprecher fÃ¼r Breitband vorn rechts [A-Saule]</t>
  </si>
  <si>
    <t>LSMT10P</t>
  </si>
  <si>
    <t>1-56E</t>
  </si>
  <si>
    <t>R29.4</t>
  </si>
  <si>
    <t>971_035_416_A</t>
  </si>
  <si>
    <t>BUCHSENGEHAEUSE_2POL_MQS_SCHWARZ</t>
  </si>
  <si>
    <t>XA.R169.1</t>
  </si>
  <si>
    <t>Lautsprecher fÃ¼r Einparkhilfe</t>
  </si>
  <si>
    <t>Lautsprecher fÃ¼r Einparkhilfe [vorne Cockpit]</t>
  </si>
  <si>
    <t>LSEPH</t>
  </si>
  <si>
    <t>1-18C</t>
  </si>
  <si>
    <t>4B0_972_623</t>
  </si>
  <si>
    <t>TAB_010_046_AD</t>
  </si>
  <si>
    <t>R169.1</t>
  </si>
  <si>
    <t>5Q0_919_279</t>
  </si>
  <si>
    <t>FLACHKONTAKTGEHAEUSE_2-POLIG_1,5MM</t>
  </si>
  <si>
    <t>XA.R208.1</t>
  </si>
  <si>
    <t>Centerlautsprecher</t>
  </si>
  <si>
    <t>Centerlautsprecher [Schalttafel Mitte]</t>
  </si>
  <si>
    <t>LS_CENT</t>
  </si>
  <si>
    <t>1-47H</t>
  </si>
  <si>
    <t>1J0_973_119</t>
  </si>
  <si>
    <t>TAB_016_038_AJ</t>
  </si>
  <si>
    <t>R208.1</t>
  </si>
  <si>
    <t>7PP_035_415_G</t>
  </si>
  <si>
    <t>BUCHSENGEHAEUSE_8-POL</t>
  </si>
  <si>
    <t>XA.RX7.12</t>
  </si>
  <si>
    <t>MIB_A</t>
  </si>
  <si>
    <t>3B7_035_447</t>
  </si>
  <si>
    <t>LTGS.VORBEREI.TEL.</t>
  </si>
  <si>
    <t>4J3_974_077</t>
  </si>
  <si>
    <t>L0L+K8S+9ZE</t>
  </si>
  <si>
    <t>52 (g)</t>
  </si>
  <si>
    <t>4J3_974_077_D</t>
  </si>
  <si>
    <t>L0L+K8S+9ZV</t>
  </si>
  <si>
    <t>13 (g)</t>
  </si>
  <si>
    <t>N_106_472_02</t>
  </si>
  <si>
    <t>HF_STECKERGEHAEUSE_CREMEWEISS_2-POL_KOD_B</t>
  </si>
  <si>
    <t>TCPM.1C1</t>
  </si>
  <si>
    <t>KS_CPM_C</t>
  </si>
  <si>
    <t>1-26H</t>
  </si>
  <si>
    <t>6Q0_035_575_A</t>
  </si>
  <si>
    <t>TAB_016_086_C</t>
  </si>
  <si>
    <t>HF_KONTAKTGEHAEUSE_LAUBGRUEN_2POL_KOD_E</t>
  </si>
  <si>
    <t>TCPR.2H1</t>
  </si>
  <si>
    <t>Koppelstelle an der Schalttafel rechts [Koppelbox]</t>
  </si>
  <si>
    <t>KS_CPR_H</t>
  </si>
  <si>
    <t>6Q0_035_576_D</t>
  </si>
  <si>
    <t>laubgruen</t>
  </si>
  <si>
    <t>SI_STO52A_F1</t>
  </si>
  <si>
    <t>NFC, Handy, Koppelbox</t>
  </si>
  <si>
    <t>LTGS.LENKRAD</t>
  </si>
  <si>
    <t>4J3_974_089</t>
  </si>
  <si>
    <t>L0L+K8S+1XP</t>
  </si>
  <si>
    <t>14 (g)</t>
  </si>
  <si>
    <t>SI_STO51A_F12</t>
  </si>
  <si>
    <t>Lenksaeulenelektronik LRH</t>
  </si>
  <si>
    <t>LTGS.NOTRUF</t>
  </si>
  <si>
    <t>4J3_974_128</t>
  </si>
  <si>
    <t>L0L+K8S+IW3/IW6</t>
  </si>
  <si>
    <t>9 (g)</t>
  </si>
  <si>
    <t>FLACHKONTAKTGEH_POL_2_KOD_II_BRAUN</t>
  </si>
  <si>
    <t>XA.R91.1</t>
  </si>
  <si>
    <t>Zusatzlautsprecher fÃ¼r Telematik</t>
  </si>
  <si>
    <t>Zusatzlautsprecher fÃ¼r Telematik [Notruf-Lautsprecher]</t>
  </si>
  <si>
    <t>LSP21P</t>
  </si>
  <si>
    <t>1-16D</t>
  </si>
  <si>
    <t>971_971_942</t>
  </si>
  <si>
    <t>R91.1</t>
  </si>
  <si>
    <t>7PP_035_709_A</t>
  </si>
  <si>
    <t>LTGS.EINPARKHILFE</t>
  </si>
  <si>
    <t>4J3_974_161</t>
  </si>
  <si>
    <t>L0L+K8S+KA2</t>
  </si>
  <si>
    <t>27 (g)</t>
  </si>
  <si>
    <t>4J3_974_161_B</t>
  </si>
  <si>
    <t>L0L+K8S+KA6</t>
  </si>
  <si>
    <t>67 (g)</t>
  </si>
  <si>
    <t>N_106_773_02</t>
  </si>
  <si>
    <t>HF_KONTAKTGEHAEUSE_ERIKAVIOLETT_2POL_KOD_H</t>
  </si>
  <si>
    <t>TCPL.2H1</t>
  </si>
  <si>
    <t>Koppelstelle an der Schalttafel links [RÃ¼ckfahrkamera]</t>
  </si>
  <si>
    <t>KS_CPL_H</t>
  </si>
  <si>
    <t>1-15H</t>
  </si>
  <si>
    <t>6Q0_035_576_G</t>
  </si>
  <si>
    <t>erikaviolett</t>
  </si>
  <si>
    <t>HF_STECKER_5POL_KOD_C_BLAU</t>
  </si>
  <si>
    <t>TCPR.2D1</t>
  </si>
  <si>
    <t>KS_CPR_D</t>
  </si>
  <si>
    <t>4E0_035_750_B</t>
  </si>
  <si>
    <t>signalblau</t>
  </si>
  <si>
    <t>HF_STECKER_5POL_KOD_E_LAUBGRUEN</t>
  </si>
  <si>
    <t>XM.RX7.12</t>
  </si>
  <si>
    <t>MIB_M</t>
  </si>
  <si>
    <t>1-21B</t>
  </si>
  <si>
    <t>4E0_035_750_D</t>
  </si>
  <si>
    <t>XO.RX7.12</t>
  </si>
  <si>
    <t>MIB_O</t>
  </si>
  <si>
    <t>1-22B</t>
  </si>
  <si>
    <t>LTGS.RADIO</t>
  </si>
  <si>
    <t>4J3_974_216</t>
  </si>
  <si>
    <t>L0L+K8S+F0Y</t>
  </si>
  <si>
    <t>107 (g)</t>
  </si>
  <si>
    <t>4J3_974_216_B</t>
  </si>
  <si>
    <t>L0L+K8S+F0A</t>
  </si>
  <si>
    <t>94 (g)</t>
  </si>
  <si>
    <t>N_107_730_04</t>
  </si>
  <si>
    <t>XA.MZ52.1PT</t>
  </si>
  <si>
    <t>Anschluss Privat CAN (MIB-CAN)</t>
  </si>
  <si>
    <t>Anschluss Privat CAN (MIB-CAN) [am MMI-ZR.]</t>
  </si>
  <si>
    <t>MESS_MIB</t>
  </si>
  <si>
    <t>1-48A</t>
  </si>
  <si>
    <t>MZ52.1PT</t>
  </si>
  <si>
    <t>8W0_PRI_CAN</t>
  </si>
  <si>
    <t>BUCHSENGEH_POL_9_KOD_A_TIEFSCHWARZ</t>
  </si>
  <si>
    <t>XA.R238.2</t>
  </si>
  <si>
    <t>Bedienungs- und Anzeigeeinheit fÃ¼r Multimediasystem</t>
  </si>
  <si>
    <t>AMI</t>
  </si>
  <si>
    <t>1-38H</t>
  </si>
  <si>
    <t>8W0_035_750</t>
  </si>
  <si>
    <t>026_004_BE</t>
  </si>
  <si>
    <t>R238.2</t>
  </si>
  <si>
    <t>4J3_919_604</t>
  </si>
  <si>
    <t>SI_STO52A_F3</t>
  </si>
  <si>
    <t>Display, Volume</t>
  </si>
  <si>
    <t>XG.RX7.12</t>
  </si>
  <si>
    <t>MIB_G</t>
  </si>
  <si>
    <t>1-20B</t>
  </si>
  <si>
    <t>WICKELCLIP</t>
  </si>
  <si>
    <t>CL_003</t>
  </si>
  <si>
    <t>1-37H</t>
  </si>
  <si>
    <t>8P0_971_848_C</t>
  </si>
  <si>
    <t>LTGS.AED</t>
  </si>
  <si>
    <t>4J3_974_218</t>
  </si>
  <si>
    <t>L0L+K8S+B36+IU3/IU4</t>
  </si>
  <si>
    <t>71 (g)</t>
  </si>
  <si>
    <t>BUCHSENGEH_POL_9_KOD_C_SIGNALBLAU</t>
  </si>
  <si>
    <t>XA.R215.1</t>
  </si>
  <si>
    <t>Interface fÃ¼r externe MultimediagerÃ¤te</t>
  </si>
  <si>
    <t>Interface fÃ¼r externe MultimediagerÃ¤te [AE-Device (Asterix)]</t>
  </si>
  <si>
    <t>AED</t>
  </si>
  <si>
    <t>1-38D</t>
  </si>
  <si>
    <t>8W0_035_750_B</t>
  </si>
  <si>
    <t>R215.1</t>
  </si>
  <si>
    <t>8WD_919_806</t>
  </si>
  <si>
    <t>SI_STO52A_F4</t>
  </si>
  <si>
    <t>Android Embedded Device</t>
  </si>
  <si>
    <t>BUCHSENGEH_CURRYGELB_5POL_KOD_K</t>
  </si>
  <si>
    <t>XR.RX7.13</t>
  </si>
  <si>
    <t>Multimediasystem [China]</t>
  </si>
  <si>
    <t>MIB_R</t>
  </si>
  <si>
    <t>1-19C</t>
  </si>
  <si>
    <t>1S0_035_750_C</t>
  </si>
  <si>
    <t>TAB_026_004_BR</t>
  </si>
  <si>
    <t>currygelb</t>
  </si>
  <si>
    <t>RX7.13</t>
  </si>
  <si>
    <t>8W2_035_057</t>
  </si>
  <si>
    <t>LTGS.ANTENNE.LIM</t>
  </si>
  <si>
    <t>4J3_974_219</t>
  </si>
  <si>
    <t>L0L+K8S+QV3+ER1/ER2 // L0L+K8S+QV0+ER7</t>
  </si>
  <si>
    <t>4J3_974_219_B</t>
  </si>
  <si>
    <t>L0L+K8S+QV0+ER1/ER2/ER6/ER8</t>
  </si>
  <si>
    <t>226 (g)</t>
  </si>
  <si>
    <t>4J3_974_219_F</t>
  </si>
  <si>
    <t>L0L+K8S+QV3+ER3</t>
  </si>
  <si>
    <t>V4</t>
  </si>
  <si>
    <t>4J3_974_219_G</t>
  </si>
  <si>
    <t>L0L+K8S+QV0+ER4</t>
  </si>
  <si>
    <t>V5</t>
  </si>
  <si>
    <t>4J3_974_219_H</t>
  </si>
  <si>
    <t>L0L+K8S+QV3+ED4</t>
  </si>
  <si>
    <t>V6</t>
  </si>
  <si>
    <t>4J3_974_219_J</t>
  </si>
  <si>
    <t>L0L+K8S+QV0+ED4</t>
  </si>
  <si>
    <t>N_108_409_01</t>
  </si>
  <si>
    <t>UNI_CONT_SN_SCHIRM</t>
  </si>
  <si>
    <t>HF KONTAKTGEHAEUSE_SIGNALBLAU_2-POL_KOD_C</t>
  </si>
  <si>
    <t>TCPR.2I1</t>
  </si>
  <si>
    <t>KS_CPR_I</t>
  </si>
  <si>
    <t>6Q0_035_576_B</t>
  </si>
  <si>
    <t>TCR.2A1</t>
  </si>
  <si>
    <t>Koppelstelle an der C-SÃ¤ule rechts</t>
  </si>
  <si>
    <t>KS_CR_A</t>
  </si>
  <si>
    <t>1-68D</t>
  </si>
  <si>
    <t>TCR</t>
  </si>
  <si>
    <t>HF_KONTAKTGEHAEUSE_NUSSBRAUN_4POL_COD_F</t>
  </si>
  <si>
    <t>XA.R130.3</t>
  </si>
  <si>
    <t>Heckscheibenantenne 1</t>
  </si>
  <si>
    <t>Heckscheibenantenne 1 [Rechts - RDW mit DAB]</t>
  </si>
  <si>
    <t>ANTV109P</t>
  </si>
  <si>
    <t>1-65D</t>
  </si>
  <si>
    <t>6Q0_035_608_E</t>
  </si>
  <si>
    <t>TAB_016_396_B</t>
  </si>
  <si>
    <t>nussbraun</t>
  </si>
  <si>
    <t>R130.3</t>
  </si>
  <si>
    <t>992_035_225_B
992_035_225_B</t>
  </si>
  <si>
    <t>HF_KONTAKTGEHAEUSE_CURRYGELB_4POL_COD_K</t>
  </si>
  <si>
    <t>XA.R130.4</t>
  </si>
  <si>
    <t>Heckscheibenantenne 1 [Rechts - RDW]</t>
  </si>
  <si>
    <t>ANTV111P</t>
  </si>
  <si>
    <t>1-66C</t>
  </si>
  <si>
    <t>6Q0_035_608_J</t>
  </si>
  <si>
    <t>R130.4</t>
  </si>
  <si>
    <t>992_035_225
992_035_225</t>
  </si>
  <si>
    <t>HF_KONTAKTGEHAEUSE_LAUBGRUEN_4POL_COD_E</t>
  </si>
  <si>
    <t>XA.R130.5</t>
  </si>
  <si>
    <t>Heckscheibenantenne 1 [Rechts - AGCC]</t>
  </si>
  <si>
    <t>ANTV112</t>
  </si>
  <si>
    <t>6Q0_035_608_D</t>
  </si>
  <si>
    <t>R130.5</t>
  </si>
  <si>
    <t>9J1_035_225</t>
  </si>
  <si>
    <t>HF_KONTAKTGEHAEUSE_BORDEAUXVIOLETT_2-POL_KOD_D</t>
  </si>
  <si>
    <t>XA.R131.3</t>
  </si>
  <si>
    <t>Heckscheibenantenne 2</t>
  </si>
  <si>
    <t>Heckscheibenantenne 2 [Links - RDW]</t>
  </si>
  <si>
    <t>ANTV02P</t>
  </si>
  <si>
    <t>1-72E</t>
  </si>
  <si>
    <t>6Q0_035_576_C</t>
  </si>
  <si>
    <t>bordeauxviolett</t>
  </si>
  <si>
    <t>R131.3</t>
  </si>
  <si>
    <t>971_035_225_B
971_035_225_B</t>
  </si>
  <si>
    <t>HF_KONTAKTGEHAEUSE_SCHWARZ_4POL_COD_A</t>
  </si>
  <si>
    <t>XA.R183.2</t>
  </si>
  <si>
    <t>Digitalradio-Antenne</t>
  </si>
  <si>
    <t>ANTV04P</t>
  </si>
  <si>
    <t>1-72F</t>
  </si>
  <si>
    <t>6Q0_035_608</t>
  </si>
  <si>
    <t>R183.2</t>
  </si>
  <si>
    <t>971_035_225_D
971_035_225_D</t>
  </si>
  <si>
    <t>BUCHSENGEH_TIEFSCHWARZ_POL_8_KOD_A</t>
  </si>
  <si>
    <t>XF.RX7.10</t>
  </si>
  <si>
    <t>MIB_F_NAR</t>
  </si>
  <si>
    <t>4N0_035_576</t>
  </si>
  <si>
    <t>TAB_026_004_BQ</t>
  </si>
  <si>
    <t>tiefschwarz</t>
  </si>
  <si>
    <t>RX7.10</t>
  </si>
  <si>
    <t>8W2_035_050</t>
  </si>
  <si>
    <t>BUCHSENGEH_LICHTBLAU_POL_8_KOD_C</t>
  </si>
  <si>
    <t>XF.RX7.12</t>
  </si>
  <si>
    <t>MIB_F</t>
  </si>
  <si>
    <t>1-19B</t>
  </si>
  <si>
    <t>4N0_035_576_B</t>
  </si>
  <si>
    <t>lichtblau</t>
  </si>
  <si>
    <t>CL_040</t>
  </si>
  <si>
    <t>1-60F</t>
  </si>
  <si>
    <t>CL_041</t>
  </si>
  <si>
    <t>1-61F</t>
  </si>
  <si>
    <t>CL_042</t>
  </si>
  <si>
    <t>1-62F</t>
  </si>
  <si>
    <t>CL_044</t>
  </si>
  <si>
    <t>1-63F</t>
  </si>
  <si>
    <t>4B0_971_848_K</t>
  </si>
  <si>
    <t>CL_045</t>
  </si>
  <si>
    <t>1-64F</t>
  </si>
  <si>
    <t>CL_046</t>
  </si>
  <si>
    <t>CL_047</t>
  </si>
  <si>
    <t>1-65F</t>
  </si>
  <si>
    <t>CL_049</t>
  </si>
  <si>
    <t>1-66D</t>
  </si>
  <si>
    <t>CL_051</t>
  </si>
  <si>
    <t>1-66F</t>
  </si>
  <si>
    <t>KABELBINDERSOCKEL</t>
  </si>
  <si>
    <t>CL_053</t>
  </si>
  <si>
    <t>1-67F</t>
  </si>
  <si>
    <t>N_106_461_01</t>
  </si>
  <si>
    <t>CL_054</t>
  </si>
  <si>
    <t>1-68F</t>
  </si>
  <si>
    <t>CL_055</t>
  </si>
  <si>
    <t>1-69F</t>
  </si>
  <si>
    <t>CL_057</t>
  </si>
  <si>
    <t>1-70F</t>
  </si>
  <si>
    <t>Kabelhalter mit Tannenbaumfuss</t>
  </si>
  <si>
    <t>CL_058</t>
  </si>
  <si>
    <t>1-71F</t>
  </si>
  <si>
    <t>565_971_006</t>
  </si>
  <si>
    <t>CL_061</t>
  </si>
  <si>
    <t>KB_043</t>
  </si>
  <si>
    <t>LTGS.DIAGNOSE</t>
  </si>
  <si>
    <t>4J3_974_230</t>
  </si>
  <si>
    <t>11 (g)</t>
  </si>
  <si>
    <t>LTGS.LWL</t>
  </si>
  <si>
    <t>4J3_974_267</t>
  </si>
  <si>
    <t>28 (g)</t>
  </si>
  <si>
    <t>PP-Wellschlauch</t>
  </si>
  <si>
    <t>N___910_577_01</t>
  </si>
  <si>
    <t>N_105_401_02</t>
  </si>
  <si>
    <t>FLACHKONTAKTGEHAEUSE_2POL</t>
  </si>
  <si>
    <t>XB.K.2</t>
  </si>
  <si>
    <t>KOMBI_B</t>
  </si>
  <si>
    <t>1-26E</t>
  </si>
  <si>
    <t>4E0_973_702</t>
  </si>
  <si>
    <t>SCHUTZKAPPE_2POL_LWL-ADAPTER</t>
  </si>
  <si>
    <t>AK_KOMBI_B</t>
  </si>
  <si>
    <t>1-26D</t>
  </si>
  <si>
    <t>4E0_972_401</t>
  </si>
  <si>
    <t>XP.RX7.12</t>
  </si>
  <si>
    <t>MIB_P</t>
  </si>
  <si>
    <t>1-26B</t>
  </si>
  <si>
    <t>AK_XP.RX7.5</t>
  </si>
  <si>
    <t>LTGS.SCHNITTSTELLE</t>
  </si>
  <si>
    <t>4J3_974_295</t>
  </si>
  <si>
    <t>47 (g)</t>
  </si>
  <si>
    <t>TCPM.1B1</t>
  </si>
  <si>
    <t>KS_CPM_B</t>
  </si>
  <si>
    <t>1-36E</t>
  </si>
  <si>
    <t>HF_STECKER_5POL_KOD_F_BRAUN</t>
  </si>
  <si>
    <t>XH.RX7.12</t>
  </si>
  <si>
    <t>MIB_H</t>
  </si>
  <si>
    <t>1-20C</t>
  </si>
  <si>
    <t>4E0_035_750_E</t>
  </si>
  <si>
    <t>LTGS.PROJEKTOR</t>
  </si>
  <si>
    <t>4J3_974_321</t>
  </si>
  <si>
    <t>L0L+K8S+KS1</t>
  </si>
  <si>
    <t>FLACHKONTAKTGEHAEUSE_10POL</t>
  </si>
  <si>
    <t>XA.J898.2</t>
  </si>
  <si>
    <t>SteuergerÃ¤t fÃ¼r Frontscheibenprojektion (Head-up-Display)</t>
  </si>
  <si>
    <t>HUD3P</t>
  </si>
  <si>
    <t>1-23E</t>
  </si>
  <si>
    <t>6R0_972_930</t>
  </si>
  <si>
    <t>J898.2</t>
  </si>
  <si>
    <t>9J1_919_617
9JA_919_617</t>
  </si>
  <si>
    <t>SI_STO51A_F4</t>
  </si>
  <si>
    <t>HUD</t>
  </si>
  <si>
    <t>LTGS.KAMERA</t>
  </si>
  <si>
    <t>4J3_974_327</t>
  </si>
  <si>
    <t>L0L+K8S+9R1</t>
  </si>
  <si>
    <t>35 (g)</t>
  </si>
  <si>
    <t>LTGS.NAVIGAT.SYST.</t>
  </si>
  <si>
    <t>4J3_974_329</t>
  </si>
  <si>
    <t>N___107_290_02</t>
  </si>
  <si>
    <t>N_105_896_02</t>
  </si>
  <si>
    <t>WINKELKONTAKTGEHAEUSE Cod C</t>
  </si>
  <si>
    <t>XA.R50.2</t>
  </si>
  <si>
    <t>GPS-Antenne</t>
  </si>
  <si>
    <t>ANT79P</t>
  </si>
  <si>
    <t>1-61A</t>
  </si>
  <si>
    <t>6Q0_035_674_B</t>
  </si>
  <si>
    <t>TAB_016_396_F</t>
  </si>
  <si>
    <t>R50.2</t>
  </si>
  <si>
    <t>9J1_035_500</t>
  </si>
  <si>
    <t>XE.J526.1</t>
  </si>
  <si>
    <t>SteuergerÃ¤t fÃ¼r Telefon, Telematik</t>
  </si>
  <si>
    <t>KOO03A</t>
  </si>
  <si>
    <t>1-35B</t>
  </si>
  <si>
    <t>J526.1</t>
  </si>
  <si>
    <t>4KE_035_282</t>
  </si>
  <si>
    <t>CL_081</t>
  </si>
  <si>
    <t>1-35C</t>
  </si>
  <si>
    <t>CL_099</t>
  </si>
  <si>
    <t>1-60A</t>
  </si>
  <si>
    <t>LTGS.AIRBAG</t>
  </si>
  <si>
    <t>4J3_974_412</t>
  </si>
  <si>
    <t>L0L+K8S+4UF</t>
  </si>
  <si>
    <t>4J3_974_412_B</t>
  </si>
  <si>
    <t>L0L+K8S+4UB/4UE</t>
  </si>
  <si>
    <t>Seal</t>
  </si>
  <si>
    <t>BLOC_SEAL_050_NANO</t>
  </si>
  <si>
    <t>N_105_111_02</t>
  </si>
  <si>
    <t>N_105_974_03</t>
  </si>
  <si>
    <t>N_108_156_03</t>
  </si>
  <si>
    <t>UNI_CONT_AU_FLR</t>
  </si>
  <si>
    <t>XA.E224.1</t>
  </si>
  <si>
    <t>SchlÃ¼sselschalter fÃ¼r Abschaltung des Airbags Beifahrerseite</t>
  </si>
  <si>
    <t>ABD13V</t>
  </si>
  <si>
    <t>1-38B</t>
  </si>
  <si>
    <t>7L0_972_776_A</t>
  </si>
  <si>
    <t>E224.1</t>
  </si>
  <si>
    <t>5Q0_919_237</t>
  </si>
  <si>
    <t>BUCHSENGEH_POL_20_KOD_I_GELB</t>
  </si>
  <si>
    <t>XA.J234.5</t>
  </si>
  <si>
    <t>SteuergerÃ¤t fÃ¼r Airbag</t>
  </si>
  <si>
    <t>SCG11A</t>
  </si>
  <si>
    <t>4N0_973_050_A</t>
  </si>
  <si>
    <t>J234.5</t>
  </si>
  <si>
    <t>992_959_655</t>
  </si>
  <si>
    <t>KABELBINDER_2.5X95</t>
  </si>
  <si>
    <t>KB_092</t>
  </si>
  <si>
    <t>N_106_232_01</t>
  </si>
  <si>
    <t>Blindstopfen</t>
  </si>
  <si>
    <t>UNI_BLIND_SEAL_050_NANO</t>
  </si>
  <si>
    <t>X</t>
  </si>
  <si>
    <t>BUCHSENGEH_POL_3_KOD_V_BRAUN</t>
  </si>
  <si>
    <t>XA.N295.7</t>
  </si>
  <si>
    <t>ZÃ¼nder fÃ¼r Knieairbag Fahrerseite</t>
  </si>
  <si>
    <t>KNAB53P</t>
  </si>
  <si>
    <t>1-24H</t>
  </si>
  <si>
    <t>8W1_972_563_A</t>
  </si>
  <si>
    <t>TAB_010_329_EE</t>
  </si>
  <si>
    <t>gelb_br</t>
  </si>
  <si>
    <t>N295.7</t>
  </si>
  <si>
    <t>9J1_880_841_D</t>
  </si>
  <si>
    <t>XA.N296.7</t>
  </si>
  <si>
    <t>ZÃ¼nder fÃ¼r Knieairbag Beifahrerseite</t>
  </si>
  <si>
    <t>KNAB54P</t>
  </si>
  <si>
    <t>1-42C</t>
  </si>
  <si>
    <t>N296.7</t>
  </si>
  <si>
    <t>9J1_880_842_D</t>
  </si>
  <si>
    <t>XA.NX3.9</t>
  </si>
  <si>
    <t>Beifahrerairbag-Einheit</t>
  </si>
  <si>
    <t>ABB6P_A</t>
  </si>
  <si>
    <t>1-42D</t>
  </si>
  <si>
    <t>NX3.9</t>
  </si>
  <si>
    <t>9J1_880_204_D</t>
  </si>
  <si>
    <t>BUCHSENGEH_POL_2_KOD_II_GELB_LICHTGRUEN</t>
  </si>
  <si>
    <t>XB.NX3.9</t>
  </si>
  <si>
    <t>ABB6P_B</t>
  </si>
  <si>
    <t>1-41C</t>
  </si>
  <si>
    <t>4M1_972_562_A</t>
  </si>
  <si>
    <t>TAB_010_329_DC</t>
  </si>
  <si>
    <t>gelb_gn</t>
  </si>
  <si>
    <t>BUCHSENGEH_POL_2_KOD_I_GELB_SCHWARZ</t>
  </si>
  <si>
    <t>XC.NX3.9</t>
  </si>
  <si>
    <t>ABB6P_C</t>
  </si>
  <si>
    <t>1-42E</t>
  </si>
  <si>
    <t>4M1_972_562</t>
  </si>
  <si>
    <t>gelb_sw</t>
  </si>
  <si>
    <t>CLIP_LEITUNGSSTRANG_162.6X4.6</t>
  </si>
  <si>
    <t>CL_108</t>
  </si>
  <si>
    <t>1-36B</t>
  </si>
  <si>
    <t>3D0_971_739_B</t>
  </si>
  <si>
    <t>KB_018</t>
  </si>
  <si>
    <t>1-41E</t>
  </si>
  <si>
    <t>LTGS.ANTENNE</t>
  </si>
  <si>
    <t>4J3_974_656</t>
  </si>
  <si>
    <t>L0L+K8S+IV1/IV2/IV3/IV4/IV5/IV6/IV7/IV8/JE0/JE3/JE4/JE5</t>
  </si>
  <si>
    <t>39 (g)</t>
  </si>
  <si>
    <t>TCPR.2E1</t>
  </si>
  <si>
    <t>KS_CPR_E</t>
  </si>
  <si>
    <t>1-50D</t>
  </si>
  <si>
    <t>WINKELKONTAKTGEHAEUSE Cod D</t>
  </si>
  <si>
    <t>XA.R330.1</t>
  </si>
  <si>
    <t>LTE-Antenne 3</t>
  </si>
  <si>
    <t>ANTE17P</t>
  </si>
  <si>
    <t>6Q0_035_674_C</t>
  </si>
  <si>
    <t>R330.1</t>
  </si>
  <si>
    <t>992_035_510</t>
  </si>
  <si>
    <t>LTGS.INNENLEUCHTE</t>
  </si>
  <si>
    <t>4J3_974_901</t>
  </si>
  <si>
    <t>L0L+K8S+QQ0</t>
  </si>
  <si>
    <t>17 (g)</t>
  </si>
  <si>
    <t>4J3_974_901_B</t>
  </si>
  <si>
    <t>L0L+K8S+QQ2</t>
  </si>
  <si>
    <t>85 (g)</t>
  </si>
  <si>
    <t>XA.K268.1</t>
  </si>
  <si>
    <t>FuÃŸraumleuchte vorn links</t>
  </si>
  <si>
    <t>IRL41A_VL</t>
  </si>
  <si>
    <t>1-18G</t>
  </si>
  <si>
    <t>K268.1</t>
  </si>
  <si>
    <t>4E0_947_415</t>
  </si>
  <si>
    <t>XA.K268.2</t>
  </si>
  <si>
    <t>FRL24P</t>
  </si>
  <si>
    <t>1-17H</t>
  </si>
  <si>
    <t>K268.2</t>
  </si>
  <si>
    <t>9J1_947_415_A</t>
  </si>
  <si>
    <t>XA.K269.1</t>
  </si>
  <si>
    <t>FuÃŸraumleuchte vorn rechts</t>
  </si>
  <si>
    <t>IRL41A_VR</t>
  </si>
  <si>
    <t>1-44D</t>
  </si>
  <si>
    <t>K269.1</t>
  </si>
  <si>
    <t>FLACHKONTAKTGEH_4POL_KOD_B_BRAUN</t>
  </si>
  <si>
    <t>XA.K269.3</t>
  </si>
  <si>
    <t>FRL25P</t>
  </si>
  <si>
    <t>1-44C</t>
  </si>
  <si>
    <t>8K0_973_754_A</t>
  </si>
  <si>
    <t>K269.3</t>
  </si>
  <si>
    <t>9J1_947_415_B</t>
  </si>
  <si>
    <t>XA.L230.1</t>
  </si>
  <si>
    <t>Leuchte fÃ¼r Ambientebeleuchtung der Schalttafel rechts</t>
  </si>
  <si>
    <t>AB_ST_RE</t>
  </si>
  <si>
    <t>1-41G</t>
  </si>
  <si>
    <t>L230.1</t>
  </si>
  <si>
    <t>4N0_947_355_AT</t>
  </si>
  <si>
    <t>XA.L292.2</t>
  </si>
  <si>
    <t>Leuchte 1 fÃ¼r Ambientebeleuchtung der Schalttafel</t>
  </si>
  <si>
    <t>Leuchte 1 fÃ¼r Ambientebeleuchtung der Schalttafel [Spot Kombi links]</t>
  </si>
  <si>
    <t>AB_SPOT_LI</t>
  </si>
  <si>
    <t>1-27D</t>
  </si>
  <si>
    <t>L292.2</t>
  </si>
  <si>
    <t>4J3_947_355_E</t>
  </si>
  <si>
    <t>XA.L293.1</t>
  </si>
  <si>
    <t>Leuchte 2 fÃ¼r Ambientebeleuchtung der Schalttafel</t>
  </si>
  <si>
    <t>Leuchte 2 fÃ¼r Ambientebeleuchtung der Schalttafel [Spot Kombi rechts]</t>
  </si>
  <si>
    <t>AB_SPOT_RE</t>
  </si>
  <si>
    <t>L293.1</t>
  </si>
  <si>
    <t>4KE_947_355_P</t>
  </si>
  <si>
    <t>XA.L368.1</t>
  </si>
  <si>
    <t>Ambientebeleuchtung fÃ¼r Emblem in der Schalttafel Beifahrerseite</t>
  </si>
  <si>
    <t>AB_EM_BFS</t>
  </si>
  <si>
    <t>1-39J</t>
  </si>
  <si>
    <t>L368.1</t>
  </si>
  <si>
    <t>4N0_947_355_AN</t>
  </si>
  <si>
    <t>CL_001</t>
  </si>
  <si>
    <t>1-39G</t>
  </si>
  <si>
    <t>CL_106</t>
  </si>
  <si>
    <t>1-17F</t>
  </si>
  <si>
    <t>CU: 657 (g)</t>
  </si>
  <si>
    <t>Al: 0 (g)</t>
  </si>
  <si>
    <t>Ltg-Nr.</t>
  </si>
  <si>
    <t>Verbindung</t>
  </si>
  <si>
    <t>Komp. Ben.</t>
  </si>
  <si>
    <t>von</t>
  </si>
  <si>
    <t>Pin</t>
  </si>
  <si>
    <t>Dichtung</t>
  </si>
  <si>
    <t>nach</t>
  </si>
  <si>
    <t>Leitung</t>
  </si>
  <si>
    <t>Typ</t>
  </si>
  <si>
    <t>Sonderltg.</t>
  </si>
  <si>
    <t>Innenleiter</t>
  </si>
  <si>
    <t>LÃ¤nge</t>
  </si>
  <si>
    <t>Quer.</t>
  </si>
  <si>
    <t>Pot.</t>
  </si>
  <si>
    <t>X.INF_LVH2+.9Y0_077._XC.K.2_1_1</t>
  </si>
  <si>
    <t>N_912_051_01</t>
  </si>
  <si>
    <t>FLK</t>
  </si>
  <si>
    <t>SL1</t>
  </si>
  <si>
    <t>1-br</t>
  </si>
  <si>
    <t>BR</t>
  </si>
  <si>
    <t>X.INF_LVH2+.9Y0_077.</t>
  </si>
  <si>
    <t>X.INF_LVH1+.9Y0_077._XC.K.2_2_1</t>
  </si>
  <si>
    <t>2-gn</t>
  </si>
  <si>
    <t>GN</t>
  </si>
  <si>
    <t>X.INF_LVH1+.9Y0_077.</t>
  </si>
  <si>
    <t>X.INF_LVH2-.9Y0_077._XC.K.2_3_1</t>
  </si>
  <si>
    <t>3-or</t>
  </si>
  <si>
    <t>OR</t>
  </si>
  <si>
    <t>X.INF_LVH2-.9Y0_077.</t>
  </si>
  <si>
    <t>X.INF_LVH1-.9Y0_077._XC.K.2_4_1</t>
  </si>
  <si>
    <t>4-bl</t>
  </si>
  <si>
    <t>BL</t>
  </si>
  <si>
    <t>X.INF_LVH1-.9Y0_077.</t>
  </si>
  <si>
    <t>X.INF_LVH1G.9Y0_077._XC.K.2_5S_1</t>
  </si>
  <si>
    <t>5S</t>
  </si>
  <si>
    <t>5-sw</t>
  </si>
  <si>
    <t>SW</t>
  </si>
  <si>
    <t>X.INF_LVH1G.9Y0_077.</t>
  </si>
  <si>
    <t>S.INF_Power_On.9Y0_047.EPB_A3_TCPL.2D1_3_1</t>
  </si>
  <si>
    <t>N_037_095_6</t>
  </si>
  <si>
    <t>FLR</t>
  </si>
  <si>
    <t>BL/GN</t>
  </si>
  <si>
    <t>S.INF_Power_On.9Y0_047.EPB_A3</t>
  </si>
  <si>
    <t>M.31.9J1_033.MB31_B1_332_1_2</t>
  </si>
  <si>
    <t>Masseverbindung 4 im Schalttafelleitungsstrang</t>
  </si>
  <si>
    <t>SP_MB31_B1</t>
  </si>
  <si>
    <t>N_037_008_8</t>
  </si>
  <si>
    <t>M.31.9J1_033.MB31_B1</t>
  </si>
  <si>
    <t>S.INF_Power_On.9Y0_047.EPB_A2_TCPM.1E1_14_1</t>
  </si>
  <si>
    <t>N_037_098_1</t>
  </si>
  <si>
    <t>BR/GE</t>
  </si>
  <si>
    <t>S.INF_Power_On.9Y0_047.EPB_A2</t>
  </si>
  <si>
    <t>S.INF_Power_On.9Y0_047.EPB_A1_TCPM.1E1_13_1</t>
  </si>
  <si>
    <t>N_037_095_0</t>
  </si>
  <si>
    <t>BL/WS</t>
  </si>
  <si>
    <t>S.INF_Power_On.9Y0_047.EPB_A1</t>
  </si>
  <si>
    <t>D.CANLKOMBI.9J1_037._A179_1_3</t>
  </si>
  <si>
    <t>Verbindung (CAN-Bus Infotainment, Low) im Schalttafelleitungsstrang</t>
  </si>
  <si>
    <t>A179</t>
  </si>
  <si>
    <t>SP_CANLK</t>
  </si>
  <si>
    <t>N_901_916_19</t>
  </si>
  <si>
    <t>SL15</t>
  </si>
  <si>
    <t>2-or/br</t>
  </si>
  <si>
    <t>OR/BR</t>
  </si>
  <si>
    <t>D.CANLKOMBI.9J1_037.</t>
  </si>
  <si>
    <t>D.CANHKOMBI.9J1_037._A178_1_3</t>
  </si>
  <si>
    <t>Verbindung (CAN-Bus Infotainment, High) im Schalttafelleitungsstrang</t>
  </si>
  <si>
    <t>A178</t>
  </si>
  <si>
    <t>SP_CANHK</t>
  </si>
  <si>
    <t>1-or/bl</t>
  </si>
  <si>
    <t>OR/BL</t>
  </si>
  <si>
    <t>D.CANHKOMBI.9J1_037.</t>
  </si>
  <si>
    <t>S.SIGNAL.9Y0_055._XA.E26.2_1_1</t>
  </si>
  <si>
    <t>N_037_005_6</t>
  </si>
  <si>
    <t>S.SIGNAL.9Y0_055.</t>
  </si>
  <si>
    <t>M.31.9J1_033.MB32_B1_135_1_2</t>
  </si>
  <si>
    <t>Masseverbindung 2 im Schalttafelleitungsstrang</t>
  </si>
  <si>
    <t>SP_MB32_B2</t>
  </si>
  <si>
    <t>M.31.9J1_033.MB32_B1</t>
  </si>
  <si>
    <t>V.30G.9Y0_055.HSF_XA.W6.1_2_1</t>
  </si>
  <si>
    <t>N_037_003_7</t>
  </si>
  <si>
    <t>RT/GR</t>
  </si>
  <si>
    <t>V.30G.9Y0_055.HSF</t>
  </si>
  <si>
    <t>X.15_AC.9Y0_034.hi_TCPM.1F1_10_1</t>
  </si>
  <si>
    <t>N_037_004_4</t>
  </si>
  <si>
    <t>VI</t>
  </si>
  <si>
    <t>X.15_AC.9Y0_034.hi</t>
  </si>
  <si>
    <t>M.31-SM..Klima_heck_TCPM.1F1_12_1</t>
  </si>
  <si>
    <t>N_037_008_5</t>
  </si>
  <si>
    <t>BR/BL</t>
  </si>
  <si>
    <t>M.31-SM..Klima_heck</t>
  </si>
  <si>
    <t>V.58xt.9Y0_055._TCPM.1A1_8_1</t>
  </si>
  <si>
    <t>N_037_005_3</t>
  </si>
  <si>
    <t>BL/RT</t>
  </si>
  <si>
    <t>V.58xt.9Y0_055.</t>
  </si>
  <si>
    <t>V.30A.9J1_034.SP_F2_XA.SP.1_2A_1</t>
  </si>
  <si>
    <t>2A</t>
  </si>
  <si>
    <t>N_037_043_3</t>
  </si>
  <si>
    <t>RT</t>
  </si>
  <si>
    <t>V.30A.9J1_034.SP_F2</t>
  </si>
  <si>
    <t>S.S-Kontakt.9Y0_056.SW2_TCPR.2A1_1_1</t>
  </si>
  <si>
    <t>N_037_006_9</t>
  </si>
  <si>
    <t>GN/SW</t>
  </si>
  <si>
    <t>S.S-Kontakt.9Y0_056.SW2</t>
  </si>
  <si>
    <t>S.S-Kontakt.9Y0_056.SW3_TCPM.1A1_3_1</t>
  </si>
  <si>
    <t>N_037_005_9</t>
  </si>
  <si>
    <t>BL/SW</t>
  </si>
  <si>
    <t>S.S-Kontakt.9Y0_056.SW3</t>
  </si>
  <si>
    <t>M.31.9J1_033.MB34_B1_XD.RX7.12_17_1</t>
  </si>
  <si>
    <t>Masseverbindung 5 im Schalttafelleitungsstrang</t>
  </si>
  <si>
    <t>SP_MB34_B1</t>
  </si>
  <si>
    <t>1-32F</t>
  </si>
  <si>
    <t>N_037_048_8</t>
  </si>
  <si>
    <t>M.31.9J1_033.MB34_B1</t>
  </si>
  <si>
    <t>S.S-Kontakt.9Y0_056.SW1_TCPR.2A1_4_1</t>
  </si>
  <si>
    <t>N_037_007_9</t>
  </si>
  <si>
    <t>GR/SW</t>
  </si>
  <si>
    <t>S.S-Kontakt.9Y0_056.SW1</t>
  </si>
  <si>
    <t>D.LIN4_BCM1.._TCPM.1F1_2_1</t>
  </si>
  <si>
    <t>N_037_094_6</t>
  </si>
  <si>
    <t>VI/GN</t>
  </si>
  <si>
    <t>D.LIN4_BCM1..</t>
  </si>
  <si>
    <t>S.SIGNAL..IPA_zFAS_TCPR.2C1_17_1</t>
  </si>
  <si>
    <t>N_037_090_1</t>
  </si>
  <si>
    <t>WS/GE</t>
  </si>
  <si>
    <t>S.SIGNAL..IPA_zFAS</t>
  </si>
  <si>
    <t>M.31.9J1_033.MB32_B1_135_1_1</t>
  </si>
  <si>
    <t>N_037_018_8</t>
  </si>
  <si>
    <t>D.FR_BP..3_ZFAS_SMLS_XA.J527.1_3_1</t>
  </si>
  <si>
    <t>N_911_629_01</t>
  </si>
  <si>
    <t>SL39</t>
  </si>
  <si>
    <t>1-rs</t>
  </si>
  <si>
    <t>RS</t>
  </si>
  <si>
    <t>D.FR_BP..3_ZFAS_SMLS</t>
  </si>
  <si>
    <t>D.FR_BM..3_ZFAS_SMLS_XA.J527.1_4_1</t>
  </si>
  <si>
    <t>D.FR_BM..3_ZFAS_SMLS</t>
  </si>
  <si>
    <t>D.LIN_GW2.._XA.J527.1_2_1</t>
  </si>
  <si>
    <t>N_039_034_0</t>
  </si>
  <si>
    <t>VI/WS</t>
  </si>
  <si>
    <t>D.LIN_GW2..</t>
  </si>
  <si>
    <t>V.30A.9J1_034.SO_F5_XA.SO.1_5A_1</t>
  </si>
  <si>
    <t>5A</t>
  </si>
  <si>
    <t>N_037_023_0</t>
  </si>
  <si>
    <t>RT/WS</t>
  </si>
  <si>
    <t>V.30A.9J1_034.SO_F5</t>
  </si>
  <si>
    <t>M.31.9J1_033.MB31_C1_TCPL.2D1_17_1</t>
  </si>
  <si>
    <t>N_037_038_8</t>
  </si>
  <si>
    <t>M.31.9J1_033.MB31_C1</t>
  </si>
  <si>
    <t>V.58xs.9Y0_055.V_TCPL.2D1_9_1</t>
  </si>
  <si>
    <t>N_037_095_3</t>
  </si>
  <si>
    <t>V.58xs.9Y0_055.V</t>
  </si>
  <si>
    <t>D.CANHI.9J1_035A._XE.RX7.12_6_1</t>
  </si>
  <si>
    <t>SL45</t>
  </si>
  <si>
    <t>D.CANHI.9J1_035A.</t>
  </si>
  <si>
    <t>D.CANLI.9J1_035A._XE.RX7.12_12_1</t>
  </si>
  <si>
    <t>D.CANLI.9J1_035A.</t>
  </si>
  <si>
    <t>X.ILM_STECK.9Y0_055._TCPM.1D1_15_1</t>
  </si>
  <si>
    <t>N_037_033_3</t>
  </si>
  <si>
    <t>X.ILM_STECK.9Y0_055.</t>
  </si>
  <si>
    <t>S.GRA.._XA.J527.1_7_1</t>
  </si>
  <si>
    <t>N_037_090_0</t>
  </si>
  <si>
    <t>WS</t>
  </si>
  <si>
    <t>S.GRA..</t>
  </si>
  <si>
    <t>M.31.9J1_033.MB31_B1_213_1_2</t>
  </si>
  <si>
    <t>Masseverbindung im Schalttafelleitungsstrang</t>
  </si>
  <si>
    <t>SP_MB31_B2</t>
  </si>
  <si>
    <t>1-24F</t>
  </si>
  <si>
    <t>M.31.9J1_033.MB31_B1_332_1_1</t>
  </si>
  <si>
    <t>M.31.9J1_033.MB32_B1_199_1_1</t>
  </si>
  <si>
    <t>Masseverbindung 3 im Schalttafelleitungsstrang</t>
  </si>
  <si>
    <t>SP_MB32_B1</t>
  </si>
  <si>
    <t>1-47F</t>
  </si>
  <si>
    <t>N_037_058_8</t>
  </si>
  <si>
    <t>X.9.9Y0_056.ANT1_TCPR.2A1_11_1</t>
  </si>
  <si>
    <t>N_901_916_30</t>
  </si>
  <si>
    <t>SL62</t>
  </si>
  <si>
    <t>2-br</t>
  </si>
  <si>
    <t>X.9.9Y0_056.ANT1</t>
  </si>
  <si>
    <t>S.10.9Y0_056.ANT1_TCPR.2A1_10_1</t>
  </si>
  <si>
    <t>1-gn</t>
  </si>
  <si>
    <t>S.10.9Y0_056.ANT1</t>
  </si>
  <si>
    <t>V.USB_5V.9Y0_077._XC.RX7.12_10_1</t>
  </si>
  <si>
    <t>Verbindung 1 im Schalttafelleitungsstrang</t>
  </si>
  <si>
    <t>A49</t>
  </si>
  <si>
    <t>SP_MIB_C_10</t>
  </si>
  <si>
    <t>1-37F</t>
  </si>
  <si>
    <t>N_037_003_0</t>
  </si>
  <si>
    <t>V.USB_5V.9Y0_077.</t>
  </si>
  <si>
    <t>M.31.9J1_033.MB34_B1_335_1_2</t>
  </si>
  <si>
    <t>V.30A.9J1_034.SP_F5_XA.SP.1_5A_1</t>
  </si>
  <si>
    <t>N_037_003_5</t>
  </si>
  <si>
    <t>RT/BL</t>
  </si>
  <si>
    <t>V.30A.9J1_034.SP_F5</t>
  </si>
  <si>
    <t>M.31.9J1_033.MB31_B1_213_1_1</t>
  </si>
  <si>
    <t>V.30A.9J1_034.SR2_F1_XA.SO.1_6_1</t>
  </si>
  <si>
    <t>N_018_463_3</t>
  </si>
  <si>
    <t>V.30A.9J1_034.SR2_F1</t>
  </si>
  <si>
    <t>V.30A.9J1_034.SR2_F2_XA.SP.1_6_1</t>
  </si>
  <si>
    <t>N_018_463_0</t>
  </si>
  <si>
    <t>V.30A.9J1_034.SR2_F2</t>
  </si>
  <si>
    <t>D.CANHKOMBI.9J1_037._A178_1_2</t>
  </si>
  <si>
    <t>SL85</t>
  </si>
  <si>
    <t>D.CANLKOMBI.9J1_037._A179_1_2</t>
  </si>
  <si>
    <t>D.CANHKOMBI.9J1_037._A178_1_1</t>
  </si>
  <si>
    <t>SL87</t>
  </si>
  <si>
    <t>D.CANLKOMBI.9J1_037._A179_1_1</t>
  </si>
  <si>
    <t>V.30A.9J1_034.SP_F8_XA.SP.1_8A_1</t>
  </si>
  <si>
    <t>8A</t>
  </si>
  <si>
    <t>N_037_093_1</t>
  </si>
  <si>
    <t>RT/GE</t>
  </si>
  <si>
    <t>V.30A.9J1_034.SP_F8</t>
  </si>
  <si>
    <t>M.31.9J1_033.MB31_B1_213_1_3</t>
  </si>
  <si>
    <t>N_037_098_8</t>
  </si>
  <si>
    <t>V.30A.9J1_034.AU_SO_F8_XA.SO.1_8A_1</t>
  </si>
  <si>
    <t>N_037_003_1</t>
  </si>
  <si>
    <t>V.30A.9J1_034.AU_SO_F8</t>
  </si>
  <si>
    <t>D.LIN1_BCM1.9Y0_055..2_XA.E1.2_1_1</t>
  </si>
  <si>
    <t>N_039_034_1</t>
  </si>
  <si>
    <t>VI/GE</t>
  </si>
  <si>
    <t>D.LIN1_BCM1.9Y0_055..2</t>
  </si>
  <si>
    <t>V.30A..SO_F2_LS_XA.SO.1_2A_1</t>
  </si>
  <si>
    <t>N_037_093_0</t>
  </si>
  <si>
    <t>V.30A..SO_F2_LS</t>
  </si>
  <si>
    <t>M.31.9J1_033.MB33_C1_XA.E1.2_3_1</t>
  </si>
  <si>
    <t>Masseverbindung 6 im Schalttafelleitungsstrang</t>
  </si>
  <si>
    <t>SP_MB33_C</t>
  </si>
  <si>
    <t>M.31.9J1_033.MB33_C1</t>
  </si>
  <si>
    <t>S.INF_Power_On.9Y0_047.EPB_A4_TCPL.2D1_2_1</t>
  </si>
  <si>
    <t>N_037_095_7</t>
  </si>
  <si>
    <t>BL/GR</t>
  </si>
  <si>
    <t>S.INF_Power_On.9Y0_047.EPB_A4</t>
  </si>
  <si>
    <t>S.10..ETH1_RXM_XA.U31.2_11_1</t>
  </si>
  <si>
    <t>SL102</t>
  </si>
  <si>
    <t>S.10..ETH1_RXM</t>
  </si>
  <si>
    <t>S.10..ETH1_TXM_XA.U31.2_13_1</t>
  </si>
  <si>
    <t>SL103</t>
  </si>
  <si>
    <t>S.10..ETH1_TXM</t>
  </si>
  <si>
    <t>S.10..ETH1_RXP_XA.U31.2_3_1</t>
  </si>
  <si>
    <t>S.10..ETH1_RXP</t>
  </si>
  <si>
    <t>S.10..ETH1_TXP_XA.U31.2_12_1</t>
  </si>
  <si>
    <t>S.10..ETH1_TXP</t>
  </si>
  <si>
    <t>V.15A.9J1_034.SD_F4_XA.U31.2_1_1</t>
  </si>
  <si>
    <t>N_037_009_1</t>
  </si>
  <si>
    <t>SW/GE</t>
  </si>
  <si>
    <t>V.15A.9J1_034.SD_F4</t>
  </si>
  <si>
    <t>M.31.9J1_033.MB33_C1_354_1_1</t>
  </si>
  <si>
    <t>M.31.9J1_033.MB34_B1_335_1_1</t>
  </si>
  <si>
    <t>M.31.9J1_033.MB33_C1_XA.U31.2_4_1</t>
  </si>
  <si>
    <t>M.31.9J1_033.MB33_C1_XA.U31.2_5_1</t>
  </si>
  <si>
    <t>D.CAN_HD.._XA.U31.2_6_1</t>
  </si>
  <si>
    <t>N_108_151_05</t>
  </si>
  <si>
    <t>SL115</t>
  </si>
  <si>
    <t>1-rt</t>
  </si>
  <si>
    <t>D.CAN_HD..</t>
  </si>
  <si>
    <t>D.CAN_LD.._XA.U31.2_14_1</t>
  </si>
  <si>
    <t>D.CAN_LD..</t>
  </si>
  <si>
    <t>S.10..ETH_WUP_XA.U31.2_8_1</t>
  </si>
  <si>
    <t>N_039_034_4</t>
  </si>
  <si>
    <t>S.10..ETH_WUP</t>
  </si>
  <si>
    <t>V.30A.9J1_034.SP_F12_XA.SP.1_12A_1</t>
  </si>
  <si>
    <t>12A</t>
  </si>
  <si>
    <t>V.30A.9J1_034.SP_F12</t>
  </si>
  <si>
    <t>X.BAG_AEZ.._XA.U31.2_15_1</t>
  </si>
  <si>
    <t>N_037_097_3</t>
  </si>
  <si>
    <t>GR/RT</t>
  </si>
  <si>
    <t>X.BAG_AEZ..</t>
  </si>
  <si>
    <t>D.CANLMIB.._B709_1_1</t>
  </si>
  <si>
    <t>Verbindung 1 (CAN-Bus Schalttafeleinsatz Low) im Hauptleitungsstrang</t>
  </si>
  <si>
    <t>B709</t>
  </si>
  <si>
    <t>SP_CANL_MIB</t>
  </si>
  <si>
    <t>1-37G</t>
  </si>
  <si>
    <t>N_901_916_50</t>
  </si>
  <si>
    <t>SL139</t>
  </si>
  <si>
    <t>D.CANLMIB..</t>
  </si>
  <si>
    <t>S.BT_Reset.9Y0_077..1_XE.RX7.12_8_1</t>
  </si>
  <si>
    <t>N_037_099_7</t>
  </si>
  <si>
    <t>SW/GR</t>
  </si>
  <si>
    <t>S.BT_Reset.9Y0_077..1</t>
  </si>
  <si>
    <t>D.CANHMIB.._B708_1_1</t>
  </si>
  <si>
    <t>Verbindung 1 (CAN-Bus Schalttafeleinsatz High) im Hauptleitungsstrang</t>
  </si>
  <si>
    <t>B708</t>
  </si>
  <si>
    <t>SP_CANH_MIB</t>
  </si>
  <si>
    <t>1-or</t>
  </si>
  <si>
    <t>D.CANHMIB..</t>
  </si>
  <si>
    <t>A.ANTENNE.9J1_035A.WLAN_XA.R266.2_1_1</t>
  </si>
  <si>
    <t>N_909_934_01</t>
  </si>
  <si>
    <t>RTK031</t>
  </si>
  <si>
    <t>SL143</t>
  </si>
  <si>
    <t>1-Signal</t>
  </si>
  <si>
    <t>ND</t>
  </si>
  <si>
    <t>A.ANTENNE.9J1_035A.WLAN</t>
  </si>
  <si>
    <t>S.SCHIRM.9J1_035A.WLAN_XA.R266.2_2_1</t>
  </si>
  <si>
    <t>2-Schirm</t>
  </si>
  <si>
    <t>S.SCHIRM.9J1_035A.WLAN</t>
  </si>
  <si>
    <t>S.WB_LED.4J3_055._XA.EX35.1_16_1</t>
  </si>
  <si>
    <t>N_037_009_0</t>
  </si>
  <si>
    <t>SW/WS</t>
  </si>
  <si>
    <t>S.WB_LED.4J3_055.</t>
  </si>
  <si>
    <t>S.10.4J3_055.ADS_SK_XA.EX35.1_17_1</t>
  </si>
  <si>
    <t>N_037_096_3</t>
  </si>
  <si>
    <t>GN/RT</t>
  </si>
  <si>
    <t>S.10.4J3_055.ADS_SK</t>
  </si>
  <si>
    <t>S.PLA_LED.4J3_055._XA.EX35.1_13_1</t>
  </si>
  <si>
    <t>S.PLA_LED.4J3_055.</t>
  </si>
  <si>
    <t>X.PDC_LED.._XA.EX35.1_14_1</t>
  </si>
  <si>
    <t>N_037_094_3</t>
  </si>
  <si>
    <t>VI/RT</t>
  </si>
  <si>
    <t>X.PDC_LED..</t>
  </si>
  <si>
    <t>M.31.9J1_033.MB31_B1_XA.EX35.1_10_1</t>
  </si>
  <si>
    <t>S.ESC_T.4J3_055._XA.EX35.1_7_1</t>
  </si>
  <si>
    <t>N_037_091_9</t>
  </si>
  <si>
    <t>GE/SW</t>
  </si>
  <si>
    <t>S.ESC_T.4J3_055.</t>
  </si>
  <si>
    <t>X.INF_DSPL.4J3_055._XA.EX35.1_8_1</t>
  </si>
  <si>
    <t>N_037_096_5</t>
  </si>
  <si>
    <t>GN/BL</t>
  </si>
  <si>
    <t>X.INF_DSPL.4J3_055.</t>
  </si>
  <si>
    <t>M.31.9J1_033.MB31_B1_XA.EX35.1_11_1</t>
  </si>
  <si>
    <t>S.PLA_T.4J3_055._XA.EX35.1_3_1</t>
  </si>
  <si>
    <t>N_037_096_1</t>
  </si>
  <si>
    <t>GN/GE</t>
  </si>
  <si>
    <t>S.PLA_T.4J3_055.</t>
  </si>
  <si>
    <t>S.PDC_ONOFF.4J3_055._XA.EX35.1_4_1</t>
  </si>
  <si>
    <t>N_037_096_0</t>
  </si>
  <si>
    <t>GN/WS</t>
  </si>
  <si>
    <t>S.PDC_ONOFF.4J3_055.</t>
  </si>
  <si>
    <t>V.58xs.9Y0_055._XA.EX35.1_5_1</t>
  </si>
  <si>
    <t>N_039_037_3</t>
  </si>
  <si>
    <t>V.58xs.9Y0_055.</t>
  </si>
  <si>
    <t>S.WB_T.4J3_055._XA.EX35.1_6_1</t>
  </si>
  <si>
    <t>N_037_000_1</t>
  </si>
  <si>
    <t>S.WB_T.4J3_055.</t>
  </si>
  <si>
    <t>D.AC_LIN..5_XB.J301.1_17_1</t>
  </si>
  <si>
    <t>Verbindung 2 (LIN-Bus) im Schalttafelleitungsstrang</t>
  </si>
  <si>
    <t>A227</t>
  </si>
  <si>
    <t>SP_ACLIN5</t>
  </si>
  <si>
    <t>1-29F</t>
  </si>
  <si>
    <t>D.AC_LIN..5</t>
  </si>
  <si>
    <t>D.ETH3+.9Y0_077._XC.RX7.12_6_1</t>
  </si>
  <si>
    <t>N_108_293_01</t>
  </si>
  <si>
    <t>SL170</t>
  </si>
  <si>
    <t>1-ws</t>
  </si>
  <si>
    <t>D.ETH3+.9Y0_077.</t>
  </si>
  <si>
    <t>D.ETH3-.9Y0_077._XC.RX7.12_12_1</t>
  </si>
  <si>
    <t>D.ETH3-.9Y0_077.</t>
  </si>
  <si>
    <t>M.31.9J1_033.MB32_B1_135_1_3</t>
  </si>
  <si>
    <t>S.Mute.9J1_035A._XB.RX7.12_5_1</t>
  </si>
  <si>
    <t>N_039_034_7</t>
  </si>
  <si>
    <t>VI/GR</t>
  </si>
  <si>
    <t>S.Mute.9J1_035A.</t>
  </si>
  <si>
    <t>M.31.9J1_033.MB31_B1_XA.EX35.1_15_1</t>
  </si>
  <si>
    <t>V.30A.9J1_034.SP_F9_XA.SP.1_9A_1</t>
  </si>
  <si>
    <t>9A</t>
  </si>
  <si>
    <t>V.30A.9J1_034.SP_F9</t>
  </si>
  <si>
    <t>V.USB_5V.9Y0_077._A49_1_1</t>
  </si>
  <si>
    <t>CU: 297 (g)</t>
  </si>
  <si>
    <t>CU: 276 (g)</t>
  </si>
  <si>
    <t>CU: 293 (g)</t>
  </si>
  <si>
    <t>D.CANHK2.035._XB.J301.1_1_1</t>
  </si>
  <si>
    <t>N_901_916_32</t>
  </si>
  <si>
    <t>SL29001</t>
  </si>
  <si>
    <t>1-or/ws</t>
  </si>
  <si>
    <t>OR/WS</t>
  </si>
  <si>
    <t>D.CANHK2.035.</t>
  </si>
  <si>
    <t>D.CANLK2.035._XB.J301.1_2_1</t>
  </si>
  <si>
    <t>D.CANLK2.035.</t>
  </si>
  <si>
    <t>D.AC_LIN2.9Y0_051..1_XB.J301.1_8_1</t>
  </si>
  <si>
    <t>Verbindung 1 (LIN-Bus) im Schalttafelleitungsstrang</t>
  </si>
  <si>
    <t>A209</t>
  </si>
  <si>
    <t>SP_ACLIN2</t>
  </si>
  <si>
    <t>1-43F</t>
  </si>
  <si>
    <t>D.AC_LIN2.9Y0_051..1</t>
  </si>
  <si>
    <t>D.AC_LIN4.9Y0_051._XB.J301.1_16_1</t>
  </si>
  <si>
    <t>N_037_094_0</t>
  </si>
  <si>
    <t>D.AC_LIN4.9Y0_051.</t>
  </si>
  <si>
    <t>X.AC_31.9Y0_051.B20_170_1_3</t>
  </si>
  <si>
    <t>Masseverbindung 1 im Leitungsstrang BetÃ¤tigung Klimaanlage/Climatronic</t>
  </si>
  <si>
    <t>SP_AC31</t>
  </si>
  <si>
    <t>1-34E</t>
  </si>
  <si>
    <t>X.AC_31.9Y0_051.B20</t>
  </si>
  <si>
    <t>X.SI_SIHH.9Y0_034._XA.SO.1_11A_1</t>
  </si>
  <si>
    <t>11A</t>
  </si>
  <si>
    <t>N_037_049_3</t>
  </si>
  <si>
    <t>SW/RT</t>
  </si>
  <si>
    <t>X.SI_SIHH.9Y0_034.</t>
  </si>
  <si>
    <t>S.SIGNAL.9Y0_051.B28_XB.J301.1_28_1</t>
  </si>
  <si>
    <t>N_039_031_6</t>
  </si>
  <si>
    <t>GE/GN</t>
  </si>
  <si>
    <t>S.SIGNAL.9Y0_051.B28</t>
  </si>
  <si>
    <t>S.SIGNAL.9Y0_051.B29_XB.J301.1_29_1</t>
  </si>
  <si>
    <t>N_039_031_5</t>
  </si>
  <si>
    <t>GE/BL</t>
  </si>
  <si>
    <t>S.SIGNAL.9Y0_051.B29</t>
  </si>
  <si>
    <t>S.SIGNAL.9Y0_051.B30_XB.J301.1_30_1</t>
  </si>
  <si>
    <t>N_039_031_3</t>
  </si>
  <si>
    <t>GE/RT</t>
  </si>
  <si>
    <t>S.SIGNAL.9Y0_051.B30</t>
  </si>
  <si>
    <t>M.31-SM.9Y0_051.B38_A67_1_3</t>
  </si>
  <si>
    <t>Verbindung (31, Klimaanlage) im Schalttafelleitungsstrang</t>
  </si>
  <si>
    <t>A67</t>
  </si>
  <si>
    <t>SP_31SM</t>
  </si>
  <si>
    <t>1-30F</t>
  </si>
  <si>
    <t>N_037_098_5</t>
  </si>
  <si>
    <t>M.31-SM.9Y0_051.B38</t>
  </si>
  <si>
    <t>X.AC_30.9Y0_051.B40_A3_1_1</t>
  </si>
  <si>
    <t>Plusverbindung (58) im Schalttafelleitungsstrang</t>
  </si>
  <si>
    <t>A3</t>
  </si>
  <si>
    <t>SP_AC30</t>
  </si>
  <si>
    <t>1-35E</t>
  </si>
  <si>
    <t>X.AC_30.9Y0_051.B40</t>
  </si>
  <si>
    <t>X.AC_30.9Y0_051.B40_A3_1_2</t>
  </si>
  <si>
    <t>D.AC_LIN3.9Y0_051A._A262_1_1</t>
  </si>
  <si>
    <t>Verbindung 3 (LIN-Bus) im Schalttafelleitungsstrang</t>
  </si>
  <si>
    <t>A262</t>
  </si>
  <si>
    <t>SP_ACLIN3</t>
  </si>
  <si>
    <t>N_037_090_6</t>
  </si>
  <si>
    <t>WS/GN</t>
  </si>
  <si>
    <t>D.AC_LIN3.9Y0_051A.</t>
  </si>
  <si>
    <t>X.AC_30.9Y0_051.B40_XB.J301.1_40_1</t>
  </si>
  <si>
    <t>N_037_013_0</t>
  </si>
  <si>
    <t>D.AC_LIN2.9Y0_051..1_XA.J1072.2_2_1</t>
  </si>
  <si>
    <t>X.SK_NTC_hl.._TCPL.2A1_5_1</t>
  </si>
  <si>
    <t>X.SK_NTC_hl..</t>
  </si>
  <si>
    <t>D.AC_LIN2.9Y0_051..1_XA.V2.1_4_1</t>
  </si>
  <si>
    <t>X.AC_31.9Y0_051.B20_170_1_1</t>
  </si>
  <si>
    <t>S.SHZ_hli+.._TCPL.2A1_16_1</t>
  </si>
  <si>
    <t>N_037_039_6</t>
  </si>
  <si>
    <t>SW/GN</t>
  </si>
  <si>
    <t>S.SHZ_hli+..</t>
  </si>
  <si>
    <t>X.SK_NTC_hr.._TCPR.2B1_12_1</t>
  </si>
  <si>
    <t>N_037_009_6</t>
  </si>
  <si>
    <t>X.SK_NTC_hr..</t>
  </si>
  <si>
    <t>S.SHZ_hre+.._TCPR.2A1_17_1</t>
  </si>
  <si>
    <t>N_037_039_1</t>
  </si>
  <si>
    <t>S.SHZ_hre+..</t>
  </si>
  <si>
    <t>M.31-SM.9Y0_051.B38_A67_1_2</t>
  </si>
  <si>
    <t>N_039_038_5</t>
  </si>
  <si>
    <t>X.AC_30.9Y0_051.B40_XA.G107.1_1_1</t>
  </si>
  <si>
    <t>X.AC_31.9Y0_051.B20_XA.G107.1_2_1</t>
  </si>
  <si>
    <t>D.AC_LIN2.9Y0_051..1_XA.G107.1_4_1</t>
  </si>
  <si>
    <t>D.AC_LIN2.9Y0_051..1_A209_1_1</t>
  </si>
  <si>
    <t>D.AC_LIN..5_XA.E87.1_2_1</t>
  </si>
  <si>
    <t>X.30_AC.9Y0_051._XA.SO.1_1A_1</t>
  </si>
  <si>
    <t>1A</t>
  </si>
  <si>
    <t>X.30_AC.9Y0_051.</t>
  </si>
  <si>
    <t>M.31.9J1_033.MB31_B1_XA.E87.1_3_1</t>
  </si>
  <si>
    <t>D.AC_LIN3.9Y0_051A._A262_1_2</t>
  </si>
  <si>
    <t>N_039_030_6</t>
  </si>
  <si>
    <t>M.31.9J1_033.MB32_B1_135_1_5</t>
  </si>
  <si>
    <t>M.31.9J1_033.MB32_B1_XA.V2.1_1_1</t>
  </si>
  <si>
    <t>S.SIGNAL.9Y0_051.B9_XB.J301.1_9_1</t>
  </si>
  <si>
    <t>N_037_095_1</t>
  </si>
  <si>
    <t>BL/GE</t>
  </si>
  <si>
    <t>S.SIGNAL.9Y0_051.B9</t>
  </si>
  <si>
    <t>S.SIGNAL.9Y0_051.B5_XB.J301.1_5_1</t>
  </si>
  <si>
    <t>N_037_095_9</t>
  </si>
  <si>
    <t>S.SIGNAL.9Y0_051.B5</t>
  </si>
  <si>
    <t>V.30A.9J1_034.SP_F6_XA.SP.1_6A_1</t>
  </si>
  <si>
    <t>6A</t>
  </si>
  <si>
    <t>N_037_043_9</t>
  </si>
  <si>
    <t>RT/SW</t>
  </si>
  <si>
    <t>V.30A.9J1_034.SP_F6</t>
  </si>
  <si>
    <t>V.30A.9J1_034.SO_F3_XA.SO.1_3A_1</t>
  </si>
  <si>
    <t>3A</t>
  </si>
  <si>
    <t>V.30A.9J1_034.SO_F3</t>
  </si>
  <si>
    <t>V.15A.9J1_034.SH_F6_XA.J1072.2_1_1</t>
  </si>
  <si>
    <t>Plusverbindung 4 (15) im Schalttafelleitungsstrang</t>
  </si>
  <si>
    <t>A145</t>
  </si>
  <si>
    <t>SP_15AS</t>
  </si>
  <si>
    <t>1-46E</t>
  </si>
  <si>
    <t>N_037_099_3</t>
  </si>
  <si>
    <t>V.15A.9J1_034.SH_F6</t>
  </si>
  <si>
    <t>M.31.9J1_033.MB32_B1_XC.J301.1_6_1</t>
  </si>
  <si>
    <t>S.SIGNAL.9Y0_051.B12_XA.G386.2_2_1</t>
  </si>
  <si>
    <t>N_039_036_3</t>
  </si>
  <si>
    <t>S.SIGNAL.9Y0_051.B12</t>
  </si>
  <si>
    <t>M.31-SM.9Y0_051.B38_A67_1_1</t>
  </si>
  <si>
    <t>S.SIGNAL.9Y0_051.B11_XA.G385.2_2_1</t>
  </si>
  <si>
    <t>N_039_030_0</t>
  </si>
  <si>
    <t>S.SIGNAL.9Y0_051.B11</t>
  </si>
  <si>
    <t>M.31-SM.9Y0_051.B38_XA.G386.2_1_1</t>
  </si>
  <si>
    <t>Masseverbindung 1 im Leitungsstrang Klimaanlage</t>
  </si>
  <si>
    <t>SP_31SM_1</t>
  </si>
  <si>
    <t>1-36F</t>
  </si>
  <si>
    <t>V.HV+.9Y0_051A.L_XA.J1151.1_1_1</t>
  </si>
  <si>
    <t>Elektronadel fÃ¼r Ionisator</t>
  </si>
  <si>
    <t>XA.J1151.1</t>
  </si>
  <si>
    <t>EMI2P_A</t>
  </si>
  <si>
    <t>XB.J1072.2</t>
  </si>
  <si>
    <t>LIO3P_B</t>
  </si>
  <si>
    <t>1-37J</t>
  </si>
  <si>
    <t>ZSB_KT_EMT</t>
  </si>
  <si>
    <t>V.HV+.9Y0_051A.L</t>
  </si>
  <si>
    <t>M.HV-.9Y0_051A.R_XB.J1151.1_2_1</t>
  </si>
  <si>
    <t>XB.J1151.1</t>
  </si>
  <si>
    <t>EMI2P_B</t>
  </si>
  <si>
    <t>1-35H</t>
  </si>
  <si>
    <t>XC.J1072.2</t>
  </si>
  <si>
    <t>LIO3P_C</t>
  </si>
  <si>
    <t>1-36H</t>
  </si>
  <si>
    <t>M.HV-.9Y0_051A.R</t>
  </si>
  <si>
    <t>V.HV+.9Y0_051A.R_XB.J1151.1_1_1</t>
  </si>
  <si>
    <t>V.HV+.9Y0_051A.R</t>
  </si>
  <si>
    <t>M.HV-.9Y0_051A.L_XA.J1151.1_2_1</t>
  </si>
  <si>
    <t>M.HV-.9Y0_051A.L</t>
  </si>
  <si>
    <t>X.AC_31.9Y0_051.B20_170_1_2</t>
  </si>
  <si>
    <t>M.31-SM.9Y0_051.B38_97_1_3</t>
  </si>
  <si>
    <t>V.15A.9J1_034.SH_F6_XA.G930.1_1_1</t>
  </si>
  <si>
    <t>D.AC_LIN2.9Y0_051..1_XA.G930.1_2_1</t>
  </si>
  <si>
    <t>M.31.9J1_033.MB32_B1_135_1_4</t>
  </si>
  <si>
    <t>V.15A.9J1_034.SH_F6_A145_1_1</t>
  </si>
  <si>
    <t>M.31-SM.9Y0_051.B38_XA.VX30.5_2_1</t>
  </si>
  <si>
    <t>M.31-SM.9Y0_051.B38_97_1_2</t>
  </si>
  <si>
    <t>M.31-SM.9Y0_051.B38_XA.VX46.1_2_1</t>
  </si>
  <si>
    <t>S.IP1S.9Y0_051.SL_XA.VX30.5_3_1</t>
  </si>
  <si>
    <t>N_037_093_7</t>
  </si>
  <si>
    <t>S.IP1S.9Y0_051.SL</t>
  </si>
  <si>
    <t>S.IP2S.9Y0_051.MR_XB.J301.1_24_1</t>
  </si>
  <si>
    <t>S.IP2S.9Y0_051.MR</t>
  </si>
  <si>
    <t>V.5V.9Y0_051.POTI_XA.VX46.1_4_1</t>
  </si>
  <si>
    <t>Verbindung (5 Volt) im Leitungsstrang Klimaanlage</t>
  </si>
  <si>
    <t>L31</t>
  </si>
  <si>
    <t>SP_SIG_5V</t>
  </si>
  <si>
    <t>N_037_099_0</t>
  </si>
  <si>
    <t>V.5V.9Y0_051.POTI</t>
  </si>
  <si>
    <t>V.5V.9Y0_051.POTI_XA.VX30.5_1_1</t>
  </si>
  <si>
    <t>V.5V.9Y0_051.POTI_XA.VX46.1_1_1</t>
  </si>
  <si>
    <t>V.5V.9Y0_051.POTI_XB.J301.1_10_1</t>
  </si>
  <si>
    <t>V.5V.9Y0_051.POTI_XA.VX31.4_1_1</t>
  </si>
  <si>
    <t>X.SP2S.9Y0_051.ML_XA.VX46.1_5_1</t>
  </si>
  <si>
    <t>X.SP2S.9Y0_051.ML</t>
  </si>
  <si>
    <t>X.SP2S.9Y0_051.SR_XA.VX31.4_3_1</t>
  </si>
  <si>
    <t>N_037_093_6</t>
  </si>
  <si>
    <t>RT/GN</t>
  </si>
  <si>
    <t>X.SP2S.9Y0_051.SR</t>
  </si>
  <si>
    <t>M.31-SM.9Y0_051.B38_97_1_1</t>
  </si>
  <si>
    <t>CU: 28 (g)</t>
  </si>
  <si>
    <t>S.10..LSV_T_XA.J866.1_4_1</t>
  </si>
  <si>
    <t>S.10..LSV_T</t>
  </si>
  <si>
    <t>M.31-SM..LSV_XA.J866.1_1_1</t>
  </si>
  <si>
    <t>M.31-SM..LSV</t>
  </si>
  <si>
    <t>M.31.9J1_033.MB31_B1_332_1_3</t>
  </si>
  <si>
    <t>N_037_028_8</t>
  </si>
  <si>
    <t>X.LIN_BCM13.055B._XA.J866.1_5_1</t>
  </si>
  <si>
    <t>X.LIN_BCM13.055B.</t>
  </si>
  <si>
    <t>V.30A.9J1_034.SO_F6_XA.SO.1_6A_1</t>
  </si>
  <si>
    <t>N_037_023_7</t>
  </si>
  <si>
    <t>V.30A.9J1_034.SO_F6</t>
  </si>
  <si>
    <t>CU: 219 (g)</t>
  </si>
  <si>
    <t>S.MTVR+.9Y0_076._A234_1_2</t>
  </si>
  <si>
    <t>Verbindung 1 (Plus, Lautsprecher rechts) im Leitungsstrang Schalttafel</t>
  </si>
  <si>
    <t>A234</t>
  </si>
  <si>
    <t>SP_MTVR_P</t>
  </si>
  <si>
    <t>N_018_889_66</t>
  </si>
  <si>
    <t>SL76005</t>
  </si>
  <si>
    <t>2-rt/gn</t>
  </si>
  <si>
    <t>S.MTVR+.9Y0_076.</t>
  </si>
  <si>
    <t>S.MTVR-.9Y0_076._A238_1_2</t>
  </si>
  <si>
    <t>Verbindung 1 (Minus, Lautsprecher rechts) im Leitungsstrang Schalttafel</t>
  </si>
  <si>
    <t>A238</t>
  </si>
  <si>
    <t>SP_MTVR_M</t>
  </si>
  <si>
    <t>1-br/gn</t>
  </si>
  <si>
    <t>BR/GN</t>
  </si>
  <si>
    <t>S.MTVR-.9Y0_076.</t>
  </si>
  <si>
    <t>S.MTVL+.9Y0_076._A240_1_2</t>
  </si>
  <si>
    <t>Verbindung 1 (Minus, Lautsprecher links) im Leitungsstrang Schalttafel</t>
  </si>
  <si>
    <t>A240</t>
  </si>
  <si>
    <t>SP_MTVL_P</t>
  </si>
  <si>
    <t>N_018_889_78</t>
  </si>
  <si>
    <t>SL76007</t>
  </si>
  <si>
    <t>S.MTVL+.9Y0_076.</t>
  </si>
  <si>
    <t>S.MTVL-.9Y0_076._A232_1_2</t>
  </si>
  <si>
    <t>Verbindung 1 (Plus, Lautsprecher links) im Leitungsstrang Schalttafel</t>
  </si>
  <si>
    <t>A232</t>
  </si>
  <si>
    <t>SP_MTVL_M</t>
  </si>
  <si>
    <t>1-19F</t>
  </si>
  <si>
    <t>1-ws/gn</t>
  </si>
  <si>
    <t>S.MTVL-.9Y0_076.</t>
  </si>
  <si>
    <t>S.MTHR+.9Y0_076._TCPR.2B1_3_1</t>
  </si>
  <si>
    <t>N_018_888_65</t>
  </si>
  <si>
    <t>SL76013</t>
  </si>
  <si>
    <t>1-sw/bl</t>
  </si>
  <si>
    <t>SW/BL</t>
  </si>
  <si>
    <t>S.MTHR+.9Y0_076.</t>
  </si>
  <si>
    <t>S.MTHL+.9Y0_076._TCPL.2A1_3_1</t>
  </si>
  <si>
    <t>N_018_888_64</t>
  </si>
  <si>
    <t>SL76014</t>
  </si>
  <si>
    <t>S.MTHL+.9Y0_076.</t>
  </si>
  <si>
    <t>S.MTHR-.9Y0_076._TCPR.2B1_4_1</t>
  </si>
  <si>
    <t>2-br/bl</t>
  </si>
  <si>
    <t>S.MTHR-.9Y0_076.</t>
  </si>
  <si>
    <t>S.MTHL-.9Y0_076._TCPL.2A1_4_1</t>
  </si>
  <si>
    <t>2-ws/bl</t>
  </si>
  <si>
    <t>WS/BL</t>
  </si>
  <si>
    <t>S.MTHL-.9Y0_076.</t>
  </si>
  <si>
    <t>S.HTVL+.9Y0_076A._XA.RX7.12_1_1</t>
  </si>
  <si>
    <t>N_018_889_81</t>
  </si>
  <si>
    <t>SL76017</t>
  </si>
  <si>
    <t>2-rt</t>
  </si>
  <si>
    <t>S.HTVL+.9Y0_076A.</t>
  </si>
  <si>
    <t>S.HTVL-.9Y0_076A._XA.R20.2_2_1</t>
  </si>
  <si>
    <t>1-ws/rt</t>
  </si>
  <si>
    <t>WS/RT</t>
  </si>
  <si>
    <t>S.HTVL-.9Y0_076A.</t>
  </si>
  <si>
    <t>S.HTVR+.9Y0_076A._XA.R22.2_1_1</t>
  </si>
  <si>
    <t>N_018_889_69</t>
  </si>
  <si>
    <t>SL76019</t>
  </si>
  <si>
    <t>S.HTVR+.9Y0_076A.</t>
  </si>
  <si>
    <t>S.HTVR-.9Y0_076A._XA.R22.2_2_1</t>
  </si>
  <si>
    <t>1-br/rt</t>
  </si>
  <si>
    <t>BR/RT</t>
  </si>
  <si>
    <t>S.HTVR-.9Y0_076A.</t>
  </si>
  <si>
    <t>S.10._076A.A2B+_TCPR.2B1_7_1</t>
  </si>
  <si>
    <t>SL76021</t>
  </si>
  <si>
    <t>S.10._076A.A2B+</t>
  </si>
  <si>
    <t>S.10._076A.A2B-_TCPR.2B1_8_1</t>
  </si>
  <si>
    <t>S.10._076A.A2B-</t>
  </si>
  <si>
    <t>S.TTHL+.9Y0_076A._TCPL.2A1_3_2</t>
  </si>
  <si>
    <t>SL76025</t>
  </si>
  <si>
    <t>S.TTHL+.9Y0_076A.</t>
  </si>
  <si>
    <t>S.TTHL-.9Y0_076A._TCPL.2A1_4_2</t>
  </si>
  <si>
    <t>S.TTHL-.9Y0_076A.</t>
  </si>
  <si>
    <t>S.CHT+.9Y0_076A._XA.R208.1_1_1</t>
  </si>
  <si>
    <t>N_018_889_37</t>
  </si>
  <si>
    <t>SL76027</t>
  </si>
  <si>
    <t>1-bl</t>
  </si>
  <si>
    <t>S.CHT+.9Y0_076A.</t>
  </si>
  <si>
    <t>S.CHT-.9Y0_076A._XA.RX7.12_7_1</t>
  </si>
  <si>
    <t>2-bl/sw</t>
  </si>
  <si>
    <t>S.CHT-.9Y0_076A.</t>
  </si>
  <si>
    <t>X.DSP_VNC-.056B._XB.RX7.12_9_1</t>
  </si>
  <si>
    <t>N_901_916_54</t>
  </si>
  <si>
    <t>SL76029</t>
  </si>
  <si>
    <t>2-ge</t>
  </si>
  <si>
    <t>GE</t>
  </si>
  <si>
    <t>X.DSP_VNC-.056B.</t>
  </si>
  <si>
    <t>X.DSP_VNC+.056B._XB.RX7.12_3_1</t>
  </si>
  <si>
    <t>X.DSP_VNC+.056B.</t>
  </si>
  <si>
    <t>S.EHTL+.4J3_076A.vorne_TCPL.2C1_14_1</t>
  </si>
  <si>
    <t>N_018_886_84</t>
  </si>
  <si>
    <t>SL76031</t>
  </si>
  <si>
    <t>2-bl/ws</t>
  </si>
  <si>
    <t>S.EHTL+.4J3_076A.vorne</t>
  </si>
  <si>
    <t>S.EHTL-.4J3_076A.vorne_TCPL.2C1_13_1</t>
  </si>
  <si>
    <t>1-sw/ws</t>
  </si>
  <si>
    <t>S.EHTL-.4J3_076A.vorne</t>
  </si>
  <si>
    <t>S.EMTR+._076A.3D_XD.RX7.12_10_1</t>
  </si>
  <si>
    <t>N_018_890_20</t>
  </si>
  <si>
    <t>SL76035</t>
  </si>
  <si>
    <t>2-rt/ws</t>
  </si>
  <si>
    <t>S.EMTR+._076A.3D</t>
  </si>
  <si>
    <t>S.EMTR-._076A.3D_XD.RX7.12_14_1</t>
  </si>
  <si>
    <t>1-br/ws</t>
  </si>
  <si>
    <t>BR/WS</t>
  </si>
  <si>
    <t>S.EMTR-._076A.3D</t>
  </si>
  <si>
    <t>S.TTVR+.9Y0_076._TCPR.2B1_5_1</t>
  </si>
  <si>
    <t>N_018_889_30</t>
  </si>
  <si>
    <t>SL76039</t>
  </si>
  <si>
    <t>1-rt/bl</t>
  </si>
  <si>
    <t>S.TTVR+.9Y0_076.</t>
  </si>
  <si>
    <t>S.TTVR-.9Y0_076._TCPR.2B1_6_1</t>
  </si>
  <si>
    <t>S.TTVR-.9Y0_076.</t>
  </si>
  <si>
    <t>S.TTVL+.9Y0_076._XD.RX7.12_9_1</t>
  </si>
  <si>
    <t>N_018_889_57</t>
  </si>
  <si>
    <t>SL76041</t>
  </si>
  <si>
    <t>S.TTVL+.9Y0_076.</t>
  </si>
  <si>
    <t>S.TTVL-.9Y0_076._TCPL.2B1_17_1</t>
  </si>
  <si>
    <t>S.TTVL-.9Y0_076.</t>
  </si>
  <si>
    <t>S.TTHR+.9Y0_076A._TCPR.2B1_3_2</t>
  </si>
  <si>
    <t>SL76045</t>
  </si>
  <si>
    <t>S.TTHR+.9Y0_076A.</t>
  </si>
  <si>
    <t>S.TTHR-.9Y0_076A._TCPR.2B1_4_2</t>
  </si>
  <si>
    <t>S.TTHR-.9Y0_076A.</t>
  </si>
  <si>
    <t>S.MTVR+.9Y0_076._XA.R22.1_1_1</t>
  </si>
  <si>
    <t>SL76047</t>
  </si>
  <si>
    <t>S.MTVR-.9Y0_076._XA.R22.1_2_1</t>
  </si>
  <si>
    <t>S.MTVR+.9Y0_076._A234_1_1</t>
  </si>
  <si>
    <t>SL76049</t>
  </si>
  <si>
    <t>S.MTVR-.9Y0_076._A238_1_1</t>
  </si>
  <si>
    <t>S.MTVL+.9Y0_076._A240_1_3</t>
  </si>
  <si>
    <t>SL76051</t>
  </si>
  <si>
    <t>S.MTVL-.9Y0_076._A232_1_3</t>
  </si>
  <si>
    <t>S.MTVL+.9Y0_076._A240_1_1</t>
  </si>
  <si>
    <t>SL76053</t>
  </si>
  <si>
    <t>S.MTVL-.9Y0_076._A232_1_1</t>
  </si>
  <si>
    <t>S.PDC_LSH+..ohne_ZFAS_XA.R169.1_1_1</t>
  </si>
  <si>
    <t>S.PDC_LSH+..ohne_ZFAS</t>
  </si>
  <si>
    <t>S.PDC_LSH-..mit_ZFAS_XA.R169.1_2_1</t>
  </si>
  <si>
    <t>S.PDC_LSH-..mit_ZFAS</t>
  </si>
  <si>
    <t>S.10.9J1_035A.A2B+_TCPR.2C1_14_1</t>
  </si>
  <si>
    <t>SL76057</t>
  </si>
  <si>
    <t>S.10.9J1_035A.A2B+</t>
  </si>
  <si>
    <t>S.10.9J1_035A.A2B-_TCPR.2C1_13_1</t>
  </si>
  <si>
    <t>S.10.9J1_035A.A2B-</t>
  </si>
  <si>
    <t>CU: 23 (g)</t>
  </si>
  <si>
    <t>CU: 8 (g)</t>
  </si>
  <si>
    <t>D.CANLMIB.._TCPM.1E1_2_1</t>
  </si>
  <si>
    <t>SL77001</t>
  </si>
  <si>
    <t>D.CANHMIB.._TCPM.1E1_1_1</t>
  </si>
  <si>
    <t>X.INF_GSMI.9Y0_077._TCPM.1C1_1_1</t>
  </si>
  <si>
    <t>SL77005</t>
  </si>
  <si>
    <t>X.INF_GSMI.9Y0_077.</t>
  </si>
  <si>
    <t>X.INF_GSMS.9Y0_077._TCPM.1C1_2_1</t>
  </si>
  <si>
    <t>X.INF_GSMS.9Y0_077.</t>
  </si>
  <si>
    <t>V.30A.9J1_034.SP_F1_A32_1_2</t>
  </si>
  <si>
    <t>Plusverbindung (30) im Schalttafelleitungsstrang</t>
  </si>
  <si>
    <t>A32</t>
  </si>
  <si>
    <t>SP_30A</t>
  </si>
  <si>
    <t>N_037_093_8</t>
  </si>
  <si>
    <t>RT/BR</t>
  </si>
  <si>
    <t>V.30A.9J1_034.SP_F1</t>
  </si>
  <si>
    <t>V.30A.9J1_034.SP_F1_XA.SP.1_1A_1</t>
  </si>
  <si>
    <t>V.30A.9J1_034.SP_F1_A32_1_1</t>
  </si>
  <si>
    <t>S.INF_Power_On.9Y0_077._TCPR.2C1_6_1</t>
  </si>
  <si>
    <t>N_039_035_7</t>
  </si>
  <si>
    <t>S.INF_Power_On.9Y0_077.</t>
  </si>
  <si>
    <t>V.30A.9J1_034.SO_F12_XA.SO.1_12A_1</t>
  </si>
  <si>
    <t>N_037_013_1</t>
  </si>
  <si>
    <t>V.30A.9J1_034.SO_F12</t>
  </si>
  <si>
    <t>CU: 3 (g)</t>
  </si>
  <si>
    <t>S.LSP+.9J1_035A.E-Call_XA.R91.1_1_1</t>
  </si>
  <si>
    <t>N_901_916_55</t>
  </si>
  <si>
    <t>SL128001</t>
  </si>
  <si>
    <t>1-rt/gn</t>
  </si>
  <si>
    <t>S.LSP+.9J1_035A.E-Call</t>
  </si>
  <si>
    <t>S.LSP-.9J1_035A.E-Call_XA.R91.1_2_1</t>
  </si>
  <si>
    <t>2-br/gn</t>
  </si>
  <si>
    <t>S.LSP-.9J1_035A.E-Call</t>
  </si>
  <si>
    <t>CU: 10 (g)</t>
  </si>
  <si>
    <t>CU: 25 (g)</t>
  </si>
  <si>
    <t>A.ANTENNE.064D._XO.RX7.12_1_1</t>
  </si>
  <si>
    <t>N_108_223_01</t>
  </si>
  <si>
    <t>RG174</t>
  </si>
  <si>
    <t>SL161001</t>
  </si>
  <si>
    <t>1-blk</t>
  </si>
  <si>
    <t>BLK</t>
  </si>
  <si>
    <t>A.ANTENNE.064D.</t>
  </si>
  <si>
    <t>S.SCHIRM.064D._XO.RX7.12_2_1</t>
  </si>
  <si>
    <t>2-sw</t>
  </si>
  <si>
    <t>S.SCHIRM.064D.</t>
  </si>
  <si>
    <t>V.USB_D+.077.ZFAS2_XM.RX7.12_1_1</t>
  </si>
  <si>
    <t>SL161003</t>
  </si>
  <si>
    <t>V.USB_D+.077.ZFAS2</t>
  </si>
  <si>
    <t>V.USB_D+.077.ZFAS1_XM.RX7.12_2_1</t>
  </si>
  <si>
    <t>V.USB_D+.077.ZFAS1</t>
  </si>
  <si>
    <t>M.USB_D-.077.ZFAS2_XM.RX7.12_3_1</t>
  </si>
  <si>
    <t>M.USB_D-.077.ZFAS2</t>
  </si>
  <si>
    <t>M.USB_D-.077.ZFAS1_XM.RX7.12_4_1</t>
  </si>
  <si>
    <t>M.USB_D-.077.ZFAS1</t>
  </si>
  <si>
    <t>S.USB_Shield.077.ZFAS_XM.RX7.12_5S_1</t>
  </si>
  <si>
    <t>S.USB_Shield.077.ZFAS</t>
  </si>
  <si>
    <t>CU: 96 (g)</t>
  </si>
  <si>
    <t>CU: 89 (g)</t>
  </si>
  <si>
    <t>V.30A.9J1_034.SP_AU_F3_XA.R238.2_1X_1</t>
  </si>
  <si>
    <t>1X</t>
  </si>
  <si>
    <t>N_037_003_4</t>
  </si>
  <si>
    <t>RT/VI</t>
  </si>
  <si>
    <t>V.30A.9J1_034.SP_AU_F3</t>
  </si>
  <si>
    <t>M.31.9J1_033.MB34_B1_XA.R238.2_3X_1</t>
  </si>
  <si>
    <t>3X</t>
  </si>
  <si>
    <t>V.30A.9J1_034.SP_AU_F3_TCPM.1E1_5_1</t>
  </si>
  <si>
    <t xml:space="preserve"> siehe 216001</t>
  </si>
  <si>
    <t>D.CANHMIB.._XE.RX7.12_1_1</t>
  </si>
  <si>
    <t>SL216005</t>
  </si>
  <si>
    <t>D.CANLMIB.._XE.RX7.12_7_1</t>
  </si>
  <si>
    <t>D.CANHMIB.._XA.R238.2_2X_1</t>
  </si>
  <si>
    <t>2X</t>
  </si>
  <si>
    <t>SL216018</t>
  </si>
  <si>
    <t>D.CANLMIB.._XA.R238.2_4X_1</t>
  </si>
  <si>
    <t>4X</t>
  </si>
  <si>
    <t>X.INF_LVV+.9Y0_077.D2_XG.RX7.12_4_1</t>
  </si>
  <si>
    <t>N_107_997_01</t>
  </si>
  <si>
    <t>SL216024</t>
  </si>
  <si>
    <t>X.INF_LVV+.9Y0_077.D2</t>
  </si>
  <si>
    <t>X.INF_LVV+.9Y0_077.D1_XG.RX7.12_3_1</t>
  </si>
  <si>
    <t>X.INF_LVV+.9Y0_077.D1</t>
  </si>
  <si>
    <t>X.INF_LVV-.9Y0_077.D2_XG.RX7.12_2_1</t>
  </si>
  <si>
    <t>X.INF_LVV-.9Y0_077.D2</t>
  </si>
  <si>
    <t>X.INF_LVV-.9Y0_077.D1_XG.RX7.12_1_1</t>
  </si>
  <si>
    <t>X.INF_LVV-.9Y0_077.D1</t>
  </si>
  <si>
    <t>X.INF_LVVG.9Y0_077._XG.RX7.12_5S_1</t>
  </si>
  <si>
    <t>5-blk</t>
  </si>
  <si>
    <t>X.INF_LVVG.9Y0_077.</t>
  </si>
  <si>
    <t>D.CANHMIB.._B708_1_2</t>
  </si>
  <si>
    <t>SL216029</t>
  </si>
  <si>
    <t>D.CANLMIB.._B709_1_2</t>
  </si>
  <si>
    <t>CU: 78 (g)</t>
  </si>
  <si>
    <t>V.USB_D+..TX_P_XR.RX7.13_1_1</t>
  </si>
  <si>
    <t>SL218001</t>
  </si>
  <si>
    <t>V.USB_D+..TX_P</t>
  </si>
  <si>
    <t>V.USB_D+..RX_P_XR.RX7.13_2_1</t>
  </si>
  <si>
    <t>V.USB_D+..RX_P</t>
  </si>
  <si>
    <t>V.USB_D+..TX_N_XR.RX7.13_3_1</t>
  </si>
  <si>
    <t>V.USB_D+..TX_N</t>
  </si>
  <si>
    <t>V.USB_D+..RX_N_XR.RX7.13_4_1</t>
  </si>
  <si>
    <t>V.USB_D+..RX_N</t>
  </si>
  <si>
    <t>S.USB_Shield.._XR.RX7.13_5S_1</t>
  </si>
  <si>
    <t>S.USB_Shield..</t>
  </si>
  <si>
    <t>V.USB_5V.9Y0_077._XA.R215.1_1X_1</t>
  </si>
  <si>
    <t>V.30A..AED_XA.SP.1_4A_1</t>
  </si>
  <si>
    <t>4A</t>
  </si>
  <si>
    <t>V.30A..AED</t>
  </si>
  <si>
    <t>M.31.9J1_033.MB32_B1_135_1_8</t>
  </si>
  <si>
    <t>CU: 112 (g)</t>
  </si>
  <si>
    <t>CU: 73 (g)</t>
  </si>
  <si>
    <t>CU: 83 (g)</t>
  </si>
  <si>
    <t>A.ANTENNE.077.DAB_XF.RX7.12_3_1</t>
  </si>
  <si>
    <t>SL219001</t>
  </si>
  <si>
    <t>A.ANTENNE.077.DAB</t>
  </si>
  <si>
    <t>S.SCHIRM.9Y0_077.DAB_XF.RX7.12_3S_1</t>
  </si>
  <si>
    <t>3S</t>
  </si>
  <si>
    <t>S.SCHIRM.9Y0_077.DAB</t>
  </si>
  <si>
    <t>A.ANTENNE.9Y0_077.SDARS_XF.RX7.10_3_1</t>
  </si>
  <si>
    <t>SL219003</t>
  </si>
  <si>
    <t>A.ANTENNE.9Y0_077.SDARS</t>
  </si>
  <si>
    <t>S.SCHIRM.9Y0_077.SDARS_XF.RX7.10_3S_1</t>
  </si>
  <si>
    <t>S.SCHIRM.9Y0_077.SDARS</t>
  </si>
  <si>
    <t>A.ANTENNE.9Y0_077.AM_XA.R130.4_3_1</t>
  </si>
  <si>
    <t>SL219005</t>
  </si>
  <si>
    <t>A.ANTENNE.9Y0_077.AM</t>
  </si>
  <si>
    <t>S.SCHIRM.9Y0_077.AM_XF.RX7.12_1S_1</t>
  </si>
  <si>
    <t>1S</t>
  </si>
  <si>
    <t>S.SCHIRM.9Y0_077.AM</t>
  </si>
  <si>
    <t>A.ANTENNE.077.FM2_XF.RX7.12_4_1</t>
  </si>
  <si>
    <t>SL219009</t>
  </si>
  <si>
    <t>A.ANTENNE.077.FM2</t>
  </si>
  <si>
    <t>S.BT_Reset.9Y0_077.FM2_XA.R131.3_2_1</t>
  </si>
  <si>
    <t>4S</t>
  </si>
  <si>
    <t>S.BT_Reset.9Y0_077.FM2</t>
  </si>
  <si>
    <t>X.ANT-ZV_I.9Y0_056._XA.R130.4_1_1</t>
  </si>
  <si>
    <t>SL219013</t>
  </si>
  <si>
    <t>X.ANT-ZV_I.9Y0_056.</t>
  </si>
  <si>
    <t>X.ANT-ZV_S.056._XA.R130.4_2_1</t>
  </si>
  <si>
    <t>X.ANT-ZV_S.056.</t>
  </si>
  <si>
    <t>A.ANTENNE.077.FM2_XA.R183.2_3_1</t>
  </si>
  <si>
    <t>SL219021</t>
  </si>
  <si>
    <t>S.BT_Reset.9Y0_077.FM2_XA.R183.2_4_1</t>
  </si>
  <si>
    <t>X.ANT-ZV_I.9Y0_056._XA.R130.3_1_1</t>
  </si>
  <si>
    <t>SL219023</t>
  </si>
  <si>
    <t>X.ANT-ZV_S.056._XA.R130.3_2_1</t>
  </si>
  <si>
    <t>A.ANTENNE.9Y0_077.AM_XA.R130.3_3_1</t>
  </si>
  <si>
    <t>SL219025</t>
  </si>
  <si>
    <t>S.SCHIRM.9Y0_077.AM_XA.R130.3_4_1</t>
  </si>
  <si>
    <t>S.SCHIRM.9Y0_077.AM_XF.RX7.10_1S_1</t>
  </si>
  <si>
    <t>SL219027</t>
  </si>
  <si>
    <t>A.ANTENNE.9Y0_077.AM_XF.RX7.10_1_1</t>
  </si>
  <si>
    <t>S.BT_Reset.9Y0_077.FM2_XF.RX7.10_4S_1</t>
  </si>
  <si>
    <t>SL219029</t>
  </si>
  <si>
    <t>A.ANTENNE.077.FM2_XF.RX7.10_4_1</t>
  </si>
  <si>
    <t>X.ANT-ZV_I.9Y0_056._XA.R130.5_1_1</t>
  </si>
  <si>
    <t>SL219031</t>
  </si>
  <si>
    <t>X.ANT-ZV_S.056._XA.R130.5_2_1</t>
  </si>
  <si>
    <t>A.ANTENNE.9Y0_077.AM_XA.R130.5_3_1</t>
  </si>
  <si>
    <t>SL219033</t>
  </si>
  <si>
    <t>S.SCHIRM.9Y0_077.AM_XA.R130.5_4_1</t>
  </si>
  <si>
    <t>CU: 9 (g)</t>
  </si>
  <si>
    <t>D.AC_LIN..5_A227_1_1</t>
  </si>
  <si>
    <t>N_037_094_1</t>
  </si>
  <si>
    <t>D.AC_LIN3.9Y0_051A._A262_1_3</t>
  </si>
  <si>
    <t>CU: 1 (g)</t>
  </si>
  <si>
    <t>X.INF_LWL1.9Y0_090.KI-ZR_XB.K.2_2_1</t>
  </si>
  <si>
    <t>N_105_400_03</t>
  </si>
  <si>
    <t>LWL</t>
  </si>
  <si>
    <t>X.INF_LWL1.9Y0_090.KI-ZR</t>
  </si>
  <si>
    <t>X.INF_LWL1.9Y0_090.ZR-KI_XB.K.2_1_1</t>
  </si>
  <si>
    <t>X.INF_LWL1.9Y0_090.ZR-KI</t>
  </si>
  <si>
    <t>D.DATA.077.RBD_XA.K.2_16_1</t>
  </si>
  <si>
    <t>N_039_038_0</t>
  </si>
  <si>
    <t>D.DATA.077.RBD</t>
  </si>
  <si>
    <t>CU: 16 (g)</t>
  </si>
  <si>
    <t>V.USB_D+.9Y0_077.Data2_XH.RX7.12_4_1</t>
  </si>
  <si>
    <t>SL295001</t>
  </si>
  <si>
    <t>V.USB_D+.9Y0_077.Data2</t>
  </si>
  <si>
    <t>S.USB_Shield.9Y0_077._XH.RX7.12_5S_1</t>
  </si>
  <si>
    <t>S.USB_Shield.9Y0_077.</t>
  </si>
  <si>
    <t>M.USB_D-.9Y0_077.Data1_XH.RX7.12_3_1</t>
  </si>
  <si>
    <t>M.USB_D-.9Y0_077.Data1</t>
  </si>
  <si>
    <t>V.USB_D+.9Y0_077.Data1_XH.RX7.12_1_1</t>
  </si>
  <si>
    <t>V.USB_D+.9Y0_077.Data1</t>
  </si>
  <si>
    <t>M.USB_D-.9Y0_077.Data2_XH.RX7.12_2_1</t>
  </si>
  <si>
    <t>M.USB_D-.9Y0_077.Data2</t>
  </si>
  <si>
    <t>D.CANHKOMBI.9J1_037._A178_1_4</t>
  </si>
  <si>
    <t>SL321001</t>
  </si>
  <si>
    <t>D.CANLKOMBI.9J1_037._A179_1_4</t>
  </si>
  <si>
    <t>V.30A.9J1_034.SO_F4_XA.SO.1_4A_1</t>
  </si>
  <si>
    <t>N_037_093_5</t>
  </si>
  <si>
    <t>V.30A.9J1_034.SO_F4</t>
  </si>
  <si>
    <t>D.ETH6+.9Y0_064G._XA.J898.2_6_1</t>
  </si>
  <si>
    <t>SL321004</t>
  </si>
  <si>
    <t>D.ETH6+.9Y0_064G.</t>
  </si>
  <si>
    <t>D.ETH6-.9Y0_064G._XA.J898.2_7_1</t>
  </si>
  <si>
    <t>D.ETH6-.9Y0_064G.</t>
  </si>
  <si>
    <t>M.31.9J1_033.MB31_B1_XA.J898.2_10_1</t>
  </si>
  <si>
    <t>X.INF_LVH1-.._XA.K.2_9_1</t>
  </si>
  <si>
    <t>SL327001</t>
  </si>
  <si>
    <t>X.INF_LVH1-..</t>
  </si>
  <si>
    <t>X.INF_LVH1+.._XA.K.2_8_1</t>
  </si>
  <si>
    <t>X.INF_LVH1+..</t>
  </si>
  <si>
    <t>CU: 22 (g)</t>
  </si>
  <si>
    <t>X.INF_GPS_I.9J1_035A._XE.J526.1_1_1</t>
  </si>
  <si>
    <t>SL329005</t>
  </si>
  <si>
    <t>X.INF_GPS_I.9J1_035A.</t>
  </si>
  <si>
    <t>X.INF_GPS_S.9J1_035A._XE.J526.1_2_1</t>
  </si>
  <si>
    <t>X.INF_GPS_S.9J1_035A.</t>
  </si>
  <si>
    <t>CU: 99 (g)</t>
  </si>
  <si>
    <t>S.SIGNAL.9Y0_085.PA1+_XA.J234.5_11_1</t>
  </si>
  <si>
    <t>N_901_916_81</t>
  </si>
  <si>
    <t>SL412001</t>
  </si>
  <si>
    <t>2-ws</t>
  </si>
  <si>
    <t>S.SIGNAL.9Y0_085.PA1+</t>
  </si>
  <si>
    <t>S.SIGNAL.9Y0_085.PA1-_XA.J234.5_15_1</t>
  </si>
  <si>
    <t>1-gr</t>
  </si>
  <si>
    <t>GR</t>
  </si>
  <si>
    <t>S.SIGNAL.9Y0_085.PA1-</t>
  </si>
  <si>
    <t>M.31.9J1_033.MB32_B1_XA.NX3.9_3_1</t>
  </si>
  <si>
    <t>S.ABBF2+.9Y0_085._XA.J234.5_10_1</t>
  </si>
  <si>
    <t>N_901_916_87</t>
  </si>
  <si>
    <t>SL412004</t>
  </si>
  <si>
    <t>S.ABBF2+.9Y0_085.</t>
  </si>
  <si>
    <t>S.ABBF2-.9Y0_085._XA.J234.5_14_1</t>
  </si>
  <si>
    <t>2-gr</t>
  </si>
  <si>
    <t>S.ABBF2-.9Y0_085.</t>
  </si>
  <si>
    <t>S.SIGNAL.9Y0_085.L1_XA.J234.5_18_1</t>
  </si>
  <si>
    <t>S.SIGNAL.9Y0_085.L1</t>
  </si>
  <si>
    <t>S.SIGNAL.9Y0_085.L2_XA.J234.5_19_1</t>
  </si>
  <si>
    <t>N_037_091_7</t>
  </si>
  <si>
    <t>GE/GR</t>
  </si>
  <si>
    <t>S.SIGNAL.9Y0_085.L2</t>
  </si>
  <si>
    <t>M.BAG_31a.9Y0_085._XA.J234.5_20_1</t>
  </si>
  <si>
    <t>M.BAG_31a.9Y0_085.</t>
  </si>
  <si>
    <t>S.SIGNAL.9Y0_085.KAD+_XA.J234.5_6_1</t>
  </si>
  <si>
    <t>N_901_916_82</t>
  </si>
  <si>
    <t>SL412009</t>
  </si>
  <si>
    <t>S.SIGNAL.9Y0_085.KAD+</t>
  </si>
  <si>
    <t>S.SIGNAL.9Y0_085.KAD-_XA.J234.5_2_1</t>
  </si>
  <si>
    <t>S.SIGNAL.9Y0_085.KAD-</t>
  </si>
  <si>
    <t>M.31.9J1_033.MB31_B1_XA.N295.7_3_1</t>
  </si>
  <si>
    <t>S.SIGNAL.9Y0_085.KAP+_XA.J234.5_5_1</t>
  </si>
  <si>
    <t>N_901_916_80</t>
  </si>
  <si>
    <t>SL412012</t>
  </si>
  <si>
    <t>1-sw</t>
  </si>
  <si>
    <t>S.SIGNAL.9Y0_085.KAP+</t>
  </si>
  <si>
    <t>S.SIGNAL.9Y0_085.KAP-_XA.J234.5_1_1</t>
  </si>
  <si>
    <t>S.SIGNAL.9Y0_085.KAP-</t>
  </si>
  <si>
    <t>M.31.9J1_033.MB32_B1_XA.N296.7_3_1</t>
  </si>
  <si>
    <t>S.BAGFS1+.._XA.J234.5_12_1</t>
  </si>
  <si>
    <t>N_901_916_27</t>
  </si>
  <si>
    <t>SL412015</t>
  </si>
  <si>
    <t>S.BAGFS1+..</t>
  </si>
  <si>
    <t>S.BAGFS1-.._XA.J234.5_16_1</t>
  </si>
  <si>
    <t>S.BAGFS1-..</t>
  </si>
  <si>
    <t>S.BAG_FS2-.._XA.J234.5_13_1</t>
  </si>
  <si>
    <t>N_108_151_01</t>
  </si>
  <si>
    <t>SL412017</t>
  </si>
  <si>
    <t>S.BAG_FS2-..</t>
  </si>
  <si>
    <t>S.BAG_FS2+.._XA.J234.5_9_1</t>
  </si>
  <si>
    <t>S.BAG_FS2+..</t>
  </si>
  <si>
    <t>S.BAG_BFS3+.9Y0_085._XA.J234.5_7_1</t>
  </si>
  <si>
    <t>N_901_916_94</t>
  </si>
  <si>
    <t>SL412020</t>
  </si>
  <si>
    <t>2-ws/rt</t>
  </si>
  <si>
    <t>S.BAG_BFS3+.9Y0_085.</t>
  </si>
  <si>
    <t>S.BAG_BFS3-.9Y0_085._XA.J234.5_3_1</t>
  </si>
  <si>
    <t>S.BAG_BFS3-.9Y0_085.</t>
  </si>
  <si>
    <t>CU: 13 (g)</t>
  </si>
  <si>
    <t>A.INF_LTEI.9J1_035A.Ant3_XA.R330.1_1_1</t>
  </si>
  <si>
    <t>SL656001</t>
  </si>
  <si>
    <t>A.INF_LTEI.9J1_035A.Ant3</t>
  </si>
  <si>
    <t>A.INF_LTES.9J1_035A.Ant3_XA.R330.1_2_1</t>
  </si>
  <si>
    <t>A.INF_LTES.9J1_035A.Ant3</t>
  </si>
  <si>
    <t>CU: 7 (g)</t>
  </si>
  <si>
    <t>CU: 48 (g)</t>
  </si>
  <si>
    <t>M.31.9J1_033.MB33_C1_XA.K268.1_1_1</t>
  </si>
  <si>
    <t>X.ILM_FUSS.9Y0_055.VL_XA.K268.1_2_1</t>
  </si>
  <si>
    <t>N_039_033_0</t>
  </si>
  <si>
    <t>X.ILM_FUSS.9Y0_055.VL</t>
  </si>
  <si>
    <t>M.31.9J1_033.MB32_D1_XA.K269.1_1_1</t>
  </si>
  <si>
    <t>M.31.9J1_033.MB32_D1</t>
  </si>
  <si>
    <t>X.ILM_FUSS.9Y0_055.VR_XA.K269.1_2_1</t>
  </si>
  <si>
    <t>N_039_033_6</t>
  </si>
  <si>
    <t>X.ILM_FUSS.9Y0_055.VR</t>
  </si>
  <si>
    <t>V.ILM_ALM30.9Y0_055._XA.K268.2_1_1</t>
  </si>
  <si>
    <t>Plusverbindung 2 (30a) im Schalttafelleitungsstrang</t>
  </si>
  <si>
    <t>A164</t>
  </si>
  <si>
    <t>SP_ILM</t>
  </si>
  <si>
    <t>N_037_093_4</t>
  </si>
  <si>
    <t>V.ILM_ALM30.9Y0_055.</t>
  </si>
  <si>
    <t>V.ILM_ALM30.9Y0_055._XA.K269.3_1_1</t>
  </si>
  <si>
    <t>V.ILM_ALM30.9Y0_055._A164_1_1</t>
  </si>
  <si>
    <t>M.31.9J1_033.MB33_C1_XA.K268.2_4_1</t>
  </si>
  <si>
    <t>M.31.9J1_033.MB32_D1_XA.K269.3_4_1</t>
  </si>
  <si>
    <t>D.LIN6_BCM1.9Y0_055..1_XA.K268.2_2_1</t>
  </si>
  <si>
    <t>D.LIN6_BCM1.9Y0_055..1</t>
  </si>
  <si>
    <t>D.LIN6_BCM1.9Y0_055E._XA.K268.2_3_1</t>
  </si>
  <si>
    <t>D.LIN6_BCM1.9Y0_055E.</t>
  </si>
  <si>
    <t>V.ILM_ALM30.9Y0_055._A164_1_2</t>
  </si>
  <si>
    <t>M.31.9J1_033.MB32_B1_135_1_7</t>
  </si>
  <si>
    <t>V.ILM_ALM30.9Y0_055._XA.L230.1_1_1</t>
  </si>
  <si>
    <t>M.31.9J1_033.MB32_B1_135_1_6</t>
  </si>
  <si>
    <t>V.ILM_ALM30.9Y0_055._XA.L368.1_1_1</t>
  </si>
  <si>
    <t>V.ILM_ALM30.9Y0_055._XA.L293.1_1_1</t>
  </si>
  <si>
    <t>M.31.9J1_033.MB31_B1_332_1_4</t>
  </si>
  <si>
    <t>V.ILM_ALM30.9Y0_055._XA.L292.2_1_1</t>
  </si>
  <si>
    <t>M.31.9J1_033.MB31_B1_XA.L292.2_4_1</t>
  </si>
  <si>
    <t>D.LIN6_BCM1.9Y0_055E..12_XA.L292.2_2_1</t>
  </si>
  <si>
    <t>D.LIN6_BCM1.9Y0_055E..12</t>
  </si>
  <si>
    <t>D.LIN6_BCM1.9Y0_055E..13_XA.L292.2_3_1</t>
  </si>
  <si>
    <t>D.LIN6_BCM1.9Y0_055E..13</t>
  </si>
  <si>
    <t>D.LIN6_BCM1.9Y0_055E..11_XA.L230.1_2_1</t>
  </si>
  <si>
    <t>D.LIN6_BCM1.9Y0_055E..11</t>
  </si>
  <si>
    <t>D.LIN6_BCM1.9Y0_055E..6_XA.L230.1_3_1</t>
  </si>
  <si>
    <t>D.LIN6_BCM1.9Y0_055E..6</t>
  </si>
  <si>
    <t>D.LIN6_BCM1.9Y0_055._TCPL.2D1_10_1</t>
  </si>
  <si>
    <t>D.LIN6_BCM1.9Y0_055.</t>
  </si>
  <si>
    <t>AEM</t>
  </si>
  <si>
    <t>Modulfamilie Zeichnung</t>
  </si>
  <si>
    <t>Teile verschoben nach</t>
  </si>
  <si>
    <t>Verbauort</t>
  </si>
  <si>
    <t>Gehäuse o/z (offen / zu)</t>
  </si>
  <si>
    <t>E-Prüfung KM/VT/PiM</t>
  </si>
  <si>
    <t>Test KSK</t>
  </si>
  <si>
    <t>Clip-Abfrage</t>
  </si>
  <si>
    <t>Endmontage</t>
  </si>
  <si>
    <t>Infobaugruppe Relais / Sicherung</t>
  </si>
  <si>
    <t>Verbauposition Relaisträger</t>
  </si>
  <si>
    <t>Anzugskraft Kabelbinderpistole</t>
  </si>
  <si>
    <t>Interne Kaufteil-Nr.</t>
  </si>
  <si>
    <t>Hilsfwerkzeuge (z.B. Auswerfer usw)</t>
  </si>
  <si>
    <t xml:space="preserve">Nullschnitt </t>
  </si>
  <si>
    <t>Bemerkung I</t>
  </si>
  <si>
    <t>Bemerkung II</t>
  </si>
  <si>
    <t>Bemerkung III</t>
  </si>
  <si>
    <t>Bemerkung IV</t>
  </si>
  <si>
    <t>Bemerkung V</t>
  </si>
  <si>
    <t>Bemerkung VI</t>
  </si>
  <si>
    <t>Bemerkung VII</t>
  </si>
  <si>
    <t>Bemerkung VIII</t>
  </si>
  <si>
    <t>Bemerkung IX</t>
  </si>
  <si>
    <t>Baugruppen Stückliste</t>
  </si>
  <si>
    <t>V7</t>
  </si>
  <si>
    <t>V8</t>
  </si>
  <si>
    <t>Leitungsnummer</t>
  </si>
  <si>
    <t>Ltg.verschoben nach</t>
  </si>
  <si>
    <t>statisch / dynamisch</t>
  </si>
  <si>
    <t xml:space="preserve">Schweissknoten </t>
  </si>
  <si>
    <t>Schweissort TFS</t>
  </si>
  <si>
    <t>Schweissreihenfolge TFS</t>
  </si>
  <si>
    <t>Schweissname in XPPS</t>
  </si>
  <si>
    <t>Isolieren - Schweissknoten</t>
  </si>
  <si>
    <t>Steckort I</t>
  </si>
  <si>
    <t>Steckort II</t>
  </si>
  <si>
    <t>E-Prüfung KM/VT</t>
  </si>
  <si>
    <t>Ringsignierung</t>
  </si>
  <si>
    <t>Aufdruck Seite I</t>
  </si>
  <si>
    <t>Aufdruck Seite II</t>
  </si>
  <si>
    <t>Nullschnitt</t>
  </si>
  <si>
    <t xml:space="preserve">Infobaugruppe Kabelschuh / Kontakte </t>
  </si>
  <si>
    <t>interne Kaufteilzeichnung</t>
  </si>
  <si>
    <t>Isoschlauch Kabelschuh</t>
  </si>
  <si>
    <t>Kontaktoberfläche I</t>
  </si>
  <si>
    <t>Kontaktoberfläche II</t>
  </si>
  <si>
    <t>Bemerkung I
Ersatzteile fuer Kaufteile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</si>
  <si>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</si>
  <si>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</si>
  <si>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</si>
  <si>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</si>
  <si>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</si>
  <si>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</si>
  <si>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</si>
  <si>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</si>
  <si>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</si>
  <si>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</si>
  <si>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</si>
  <si>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</si>
  <si>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</si>
  <si>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</si>
  <si>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</si>
  <si>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</si>
  <si>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</si>
  <si>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</si>
  <si>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</si>
  <si>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</si>
  <si>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</si>
  <si>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</si>
  <si>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</si>
  <si>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</si>
  <si>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</si>
  <si>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</si>
  <si>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</si>
  <si>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</si>
  <si>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</si>
  <si>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</si>
  <si>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</si>
  <si>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</si>
  <si>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</si>
  <si>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</si>
  <si>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</si>
  <si>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</si>
  <si>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</si>
  <si>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</si>
  <si>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</si>
  <si>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</si>
  <si>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</si>
  <si>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</si>
  <si>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000_</t>
  </si>
  <si>
    <t>KSK</t>
  </si>
  <si>
    <t>Kaufteil</t>
  </si>
  <si>
    <t>B</t>
  </si>
  <si>
    <t>d</t>
  </si>
  <si>
    <t>Band</t>
  </si>
  <si>
    <t>VT03</t>
  </si>
  <si>
    <t>s</t>
  </si>
  <si>
    <t>Splice</t>
  </si>
  <si>
    <t>CAN</t>
  </si>
  <si>
    <t>A</t>
  </si>
  <si>
    <t>KM412</t>
  </si>
  <si>
    <t>Flexray</t>
  </si>
  <si>
    <t>Direktleitung 71+194</t>
  </si>
  <si>
    <t>Sido</t>
  </si>
  <si>
    <t>VT02</t>
  </si>
  <si>
    <t>VT01ANT</t>
  </si>
  <si>
    <t>Direktleitung 167+29028</t>
  </si>
  <si>
    <t>029_</t>
  </si>
  <si>
    <t>Ionisator</t>
  </si>
  <si>
    <t>SP_31SM_1/SP_31SM_1</t>
  </si>
  <si>
    <t>072_</t>
  </si>
  <si>
    <t>076_</t>
  </si>
  <si>
    <t>077_</t>
  </si>
  <si>
    <t>089_</t>
  </si>
  <si>
    <t>128_</t>
  </si>
  <si>
    <t>161_</t>
  </si>
  <si>
    <t>216_</t>
  </si>
  <si>
    <t>Doppel</t>
  </si>
  <si>
    <t>218_</t>
  </si>
  <si>
    <t>219_</t>
  </si>
  <si>
    <t>230_</t>
  </si>
  <si>
    <t>267_</t>
  </si>
  <si>
    <t>295_</t>
  </si>
  <si>
    <t>321_</t>
  </si>
  <si>
    <t>327_</t>
  </si>
  <si>
    <t>329_</t>
  </si>
  <si>
    <t>412_</t>
  </si>
  <si>
    <t>Nanokontakt</t>
  </si>
  <si>
    <t>M</t>
  </si>
  <si>
    <t>980015136→
980017457</t>
  </si>
  <si>
    <t>980015132→
980017450</t>
  </si>
  <si>
    <t>656_</t>
  </si>
  <si>
    <t>901_</t>
  </si>
  <si>
    <t xml:space="preserve">  </t>
  </si>
  <si>
    <t>z</t>
  </si>
  <si>
    <t>VT</t>
  </si>
  <si>
    <t>125 N ± 10 N</t>
  </si>
  <si>
    <t>EM1</t>
  </si>
  <si>
    <r>
      <t>2FEF</t>
    </r>
    <r>
      <rPr>
        <b/>
        <sz val="11"/>
        <rFont val="Calibri"/>
        <family val="2"/>
        <charset val="238"/>
        <scheme val="minor"/>
      </rPr>
      <t>ST510</t>
    </r>
    <r>
      <rPr>
        <sz val="11"/>
        <rFont val="Calibri"/>
        <family val="2"/>
        <charset val="238"/>
        <scheme val="minor"/>
      </rPr>
      <t>2050</t>
    </r>
  </si>
  <si>
    <r>
      <t>2FEF</t>
    </r>
    <r>
      <rPr>
        <b/>
        <sz val="11"/>
        <rFont val="Calibri"/>
        <family val="2"/>
        <charset val="238"/>
        <scheme val="minor"/>
      </rPr>
      <t>ST510</t>
    </r>
    <r>
      <rPr>
        <sz val="11"/>
        <rFont val="Calibri"/>
        <family val="2"/>
        <charset val="238"/>
        <scheme val="minor"/>
      </rPr>
      <t>5150</t>
    </r>
  </si>
  <si>
    <r>
      <t>2FEF</t>
    </r>
    <r>
      <rPr>
        <b/>
        <sz val="11"/>
        <rFont val="Calibri"/>
        <family val="2"/>
        <charset val="238"/>
        <scheme val="minor"/>
      </rPr>
      <t>ST510</t>
    </r>
    <r>
      <rPr>
        <sz val="11"/>
        <rFont val="Calibri"/>
        <family val="2"/>
        <charset val="238"/>
        <scheme val="minor"/>
      </rPr>
      <t>8100</t>
    </r>
  </si>
  <si>
    <r>
      <t>2FEF</t>
    </r>
    <r>
      <rPr>
        <b/>
        <sz val="11"/>
        <rFont val="Calibri"/>
        <family val="2"/>
        <charset val="238"/>
        <scheme val="minor"/>
      </rPr>
      <t>ST520</t>
    </r>
    <r>
      <rPr>
        <sz val="11"/>
        <rFont val="Calibri"/>
        <family val="2"/>
        <charset val="238"/>
        <scheme val="minor"/>
      </rPr>
      <t>2250</t>
    </r>
  </si>
  <si>
    <r>
      <t>2FEF</t>
    </r>
    <r>
      <rPr>
        <b/>
        <sz val="11"/>
        <rFont val="Calibri"/>
        <family val="2"/>
        <charset val="238"/>
        <scheme val="minor"/>
      </rPr>
      <t>ST520</t>
    </r>
    <r>
      <rPr>
        <sz val="11"/>
        <rFont val="Calibri"/>
        <family val="2"/>
        <charset val="238"/>
        <scheme val="minor"/>
      </rPr>
      <t>5050</t>
    </r>
  </si>
  <si>
    <r>
      <t>2FEF</t>
    </r>
    <r>
      <rPr>
        <b/>
        <sz val="11"/>
        <rFont val="Calibri"/>
        <family val="2"/>
        <charset val="238"/>
        <scheme val="minor"/>
      </rPr>
      <t>ST520</t>
    </r>
    <r>
      <rPr>
        <sz val="11"/>
        <rFont val="Calibri"/>
        <family val="2"/>
        <charset val="238"/>
        <scheme val="minor"/>
      </rPr>
      <t>8050</t>
    </r>
  </si>
  <si>
    <r>
      <t>2FEF</t>
    </r>
    <r>
      <rPr>
        <b/>
        <sz val="11"/>
        <rFont val="Calibri"/>
        <family val="2"/>
        <charset val="238"/>
        <scheme val="minor"/>
      </rPr>
      <t>ST520</t>
    </r>
    <r>
      <rPr>
        <sz val="11"/>
        <rFont val="Calibri"/>
        <family val="2"/>
        <charset val="238"/>
        <scheme val="minor"/>
      </rPr>
      <t>9050</t>
    </r>
  </si>
  <si>
    <r>
      <t>2FEF</t>
    </r>
    <r>
      <rPr>
        <b/>
        <sz val="11"/>
        <rFont val="Calibri"/>
        <family val="2"/>
        <charset val="238"/>
        <scheme val="minor"/>
      </rPr>
      <t>ST5212</t>
    </r>
    <r>
      <rPr>
        <sz val="11"/>
        <rFont val="Calibri"/>
        <family val="2"/>
        <charset val="238"/>
        <scheme val="minor"/>
      </rPr>
      <t>100</t>
    </r>
  </si>
  <si>
    <t>100 N ± 10 N</t>
  </si>
  <si>
    <t>VT/KSK</t>
  </si>
  <si>
    <r>
      <t>2FEF</t>
    </r>
    <r>
      <rPr>
        <b/>
        <sz val="11"/>
        <rFont val="Calibri"/>
        <family val="2"/>
        <charset val="238"/>
        <scheme val="minor"/>
      </rPr>
      <t>ST5101</t>
    </r>
    <r>
      <rPr>
        <sz val="11"/>
        <rFont val="Calibri"/>
        <family val="2"/>
        <charset val="238"/>
        <scheme val="minor"/>
      </rPr>
      <t>050</t>
    </r>
  </si>
  <si>
    <r>
      <t>2FEF</t>
    </r>
    <r>
      <rPr>
        <b/>
        <sz val="11"/>
        <rFont val="Calibri"/>
        <family val="2"/>
        <charset val="238"/>
        <scheme val="minor"/>
      </rPr>
      <t>ST51</t>
    </r>
    <r>
      <rPr>
        <sz val="11"/>
        <rFont val="Calibri"/>
        <family val="2"/>
        <charset val="238"/>
        <scheme val="minor"/>
      </rPr>
      <t>03250</t>
    </r>
  </si>
  <si>
    <r>
      <t>2FEF</t>
    </r>
    <r>
      <rPr>
        <b/>
        <sz val="11"/>
        <rFont val="Calibri"/>
        <family val="2"/>
        <charset val="238"/>
        <scheme val="minor"/>
      </rPr>
      <t>ST51</t>
    </r>
    <r>
      <rPr>
        <sz val="11"/>
        <rFont val="Calibri"/>
        <family val="2"/>
        <charset val="238"/>
        <scheme val="minor"/>
      </rPr>
      <t>11300</t>
    </r>
  </si>
  <si>
    <r>
      <t>2FEF</t>
    </r>
    <r>
      <rPr>
        <b/>
        <sz val="11"/>
        <rFont val="Calibri"/>
        <family val="2"/>
        <charset val="238"/>
        <scheme val="minor"/>
      </rPr>
      <t>ST52</t>
    </r>
    <r>
      <rPr>
        <sz val="11"/>
        <rFont val="Calibri"/>
        <family val="2"/>
        <charset val="238"/>
        <scheme val="minor"/>
      </rPr>
      <t>06300</t>
    </r>
  </si>
  <si>
    <r>
      <t>2FEF</t>
    </r>
    <r>
      <rPr>
        <b/>
        <sz val="11"/>
        <rFont val="Calibri"/>
        <family val="2"/>
        <charset val="238"/>
        <scheme val="minor"/>
      </rPr>
      <t>ST51</t>
    </r>
    <r>
      <rPr>
        <sz val="11"/>
        <rFont val="Calibri"/>
        <family val="2"/>
        <charset val="238"/>
        <scheme val="minor"/>
      </rPr>
      <t>06150</t>
    </r>
  </si>
  <si>
    <r>
      <t>2FEF</t>
    </r>
    <r>
      <rPr>
        <b/>
        <sz val="11"/>
        <rFont val="Calibri"/>
        <family val="2"/>
        <charset val="238"/>
        <scheme val="minor"/>
      </rPr>
      <t>ST52</t>
    </r>
    <r>
      <rPr>
        <sz val="11"/>
        <rFont val="Calibri"/>
        <family val="2"/>
        <charset val="238"/>
        <scheme val="minor"/>
      </rPr>
      <t>01050</t>
    </r>
  </si>
  <si>
    <r>
      <t>2FEF</t>
    </r>
    <r>
      <rPr>
        <b/>
        <sz val="11"/>
        <rFont val="Calibri"/>
        <family val="2"/>
        <charset val="238"/>
        <scheme val="minor"/>
      </rPr>
      <t>ST51</t>
    </r>
    <r>
      <rPr>
        <sz val="11"/>
        <rFont val="Calibri"/>
        <family val="2"/>
        <charset val="238"/>
        <scheme val="minor"/>
      </rPr>
      <t>12100</t>
    </r>
  </si>
  <si>
    <r>
      <t>2FEF</t>
    </r>
    <r>
      <rPr>
        <b/>
        <sz val="11"/>
        <rFont val="Calibri"/>
        <family val="2"/>
        <charset val="238"/>
        <scheme val="minor"/>
      </rPr>
      <t>ST520</t>
    </r>
    <r>
      <rPr>
        <sz val="11"/>
        <rFont val="Calibri"/>
        <family val="2"/>
        <charset val="238"/>
        <scheme val="minor"/>
      </rPr>
      <t>3050</t>
    </r>
  </si>
  <si>
    <r>
      <t>2FEF</t>
    </r>
    <r>
      <rPr>
        <b/>
        <sz val="11"/>
        <rFont val="Calibri"/>
        <family val="2"/>
        <charset val="238"/>
        <scheme val="minor"/>
      </rPr>
      <t>ST5204</t>
    </r>
    <r>
      <rPr>
        <sz val="11"/>
        <rFont val="Calibri"/>
        <family val="2"/>
        <charset val="238"/>
        <scheme val="minor"/>
      </rPr>
      <t>050</t>
    </r>
  </si>
  <si>
    <r>
      <t>2FEF</t>
    </r>
    <r>
      <rPr>
        <b/>
        <sz val="11"/>
        <rFont val="Calibri"/>
        <family val="2"/>
        <charset val="238"/>
        <scheme val="minor"/>
      </rPr>
      <t>ST51</t>
    </r>
    <r>
      <rPr>
        <sz val="11"/>
        <rFont val="Calibri"/>
        <family val="2"/>
        <charset val="238"/>
        <scheme val="minor"/>
      </rPr>
      <t>04050</t>
    </r>
  </si>
  <si>
    <t>KM</t>
  </si>
  <si>
    <t>TAB_004_830_C</t>
  </si>
  <si>
    <t>x</t>
  </si>
  <si>
    <t xml:space="preserve"> -</t>
  </si>
  <si>
    <t>E-Sonata</t>
  </si>
  <si>
    <t>VT01 Ant</t>
  </si>
  <si>
    <t>A-Sonata</t>
  </si>
  <si>
    <t>A1</t>
  </si>
  <si>
    <t>001</t>
  </si>
  <si>
    <t>002</t>
  </si>
  <si>
    <t>004</t>
  </si>
  <si>
    <t>005</t>
  </si>
  <si>
    <t>006</t>
  </si>
  <si>
    <t>007</t>
  </si>
  <si>
    <t>011</t>
  </si>
  <si>
    <t>012</t>
  </si>
  <si>
    <t>LC01</t>
  </si>
  <si>
    <t>VT-Nr.(XPPS)</t>
  </si>
  <si>
    <t>1FE3</t>
  </si>
  <si>
    <t>ÄM-Nr.</t>
  </si>
  <si>
    <t>Nummerierung</t>
  </si>
  <si>
    <t>MV intern</t>
  </si>
  <si>
    <t>MV extern</t>
  </si>
  <si>
    <t>int. Index</t>
  </si>
  <si>
    <t>frei verfügbar</t>
  </si>
  <si>
    <t>Infobaugruppe NEU / aktuell</t>
  </si>
  <si>
    <t>Infobaugruppe ALT</t>
  </si>
  <si>
    <t>Inhalt (Ltg. Nummer)</t>
  </si>
  <si>
    <t>Inhalt (BOM)</t>
  </si>
  <si>
    <t>Inhalt (Splice)</t>
  </si>
  <si>
    <t>Teilegültigkeit</t>
  </si>
  <si>
    <t>Verbauraten</t>
  </si>
  <si>
    <t>V01</t>
  </si>
  <si>
    <t>V02</t>
  </si>
  <si>
    <t>V04</t>
  </si>
  <si>
    <t>V05</t>
  </si>
  <si>
    <t>V06</t>
  </si>
  <si>
    <t>V07</t>
  </si>
  <si>
    <t>01</t>
  </si>
  <si>
    <t>4J3_974_000_0</t>
  </si>
  <si>
    <t>F</t>
  </si>
  <si>
    <t>E</t>
  </si>
  <si>
    <t>2FELC0100000A</t>
  </si>
  <si>
    <t>143, 144</t>
  </si>
  <si>
    <t>siehe BOM</t>
  </si>
  <si>
    <t>4J3_974_219_0</t>
  </si>
  <si>
    <t>2FELC0121900A</t>
  </si>
  <si>
    <t>219001,219002,219021,219022, 219023,219024,219025,219026</t>
  </si>
  <si>
    <t>2FELC0121910A</t>
  </si>
  <si>
    <t>219005,219006,219009,219010, 219013,219014</t>
  </si>
  <si>
    <t>2FELC0121920A</t>
  </si>
  <si>
    <t>219003,219004,219013,219014, 219027,219028,219029,219030</t>
  </si>
  <si>
    <t>2FELC0121930A</t>
  </si>
  <si>
    <t>219013,219014,219027,219028, 219029,219030</t>
  </si>
  <si>
    <t>2FELC0121940A</t>
  </si>
  <si>
    <t>219001,219002,219021,219022, 219031,219032,219033,219034</t>
  </si>
  <si>
    <t>2FELC0121950A</t>
  </si>
  <si>
    <t>219009,219010,219031,219032, 219033,219034</t>
  </si>
  <si>
    <t>4J3_974_329_0</t>
  </si>
  <si>
    <t>2FELC0132900A</t>
  </si>
  <si>
    <t>329005,329006,</t>
  </si>
  <si>
    <t>4J3_974_656_0</t>
  </si>
  <si>
    <t>2FELC0165600A</t>
  </si>
  <si>
    <t>656001, 656002</t>
  </si>
  <si>
    <t>SP_CANL_MIB/SP_CANH_MIB</t>
  </si>
  <si>
    <t>A4</t>
  </si>
  <si>
    <t>LC02</t>
  </si>
  <si>
    <t>02</t>
  </si>
  <si>
    <t>2FELC0200010B</t>
  </si>
  <si>
    <t>4J3_974_077_0</t>
  </si>
  <si>
    <t>C</t>
  </si>
  <si>
    <t>2FELC0207710B</t>
  </si>
  <si>
    <t>4J3_974_216_0</t>
  </si>
  <si>
    <t>2FELC0221620B</t>
  </si>
  <si>
    <t>216005,216006,216018,216019,216029,216030</t>
  </si>
  <si>
    <t>D</t>
  </si>
  <si>
    <t>2FELC0221610B</t>
  </si>
  <si>
    <t>216005,216006,216018,216019,</t>
  </si>
  <si>
    <t>SP_CANLK/SP_CANHK</t>
  </si>
  <si>
    <t>LC03</t>
  </si>
  <si>
    <t>03</t>
  </si>
  <si>
    <t>2FELC0300000A</t>
  </si>
  <si>
    <t>15,16,85,86,87,88</t>
  </si>
  <si>
    <t>SP_CANLK ,SP_CANHK</t>
  </si>
  <si>
    <t>4J3_974_321_0</t>
  </si>
  <si>
    <t>2FELC0332100A</t>
  </si>
  <si>
    <t>321001, 321002</t>
  </si>
  <si>
    <t>Steuerungsvorgabe</t>
  </si>
  <si>
    <t>00</t>
  </si>
  <si>
    <t>LC</t>
  </si>
  <si>
    <t>E5</t>
  </si>
  <si>
    <t>2FE5</t>
  </si>
  <si>
    <t>, 500</t>
  </si>
  <si>
    <t>31 (g)</t>
  </si>
  <si>
    <t xml:space="preserve"> </t>
  </si>
  <si>
    <t>980017590, 980018583</t>
  </si>
  <si>
    <t>980017589, 980018323</t>
  </si>
  <si>
    <t>Zdat 10.7.2020</t>
  </si>
  <si>
    <t>2FELC0332101A</t>
  </si>
  <si>
    <t>1594 (g)</t>
  </si>
  <si>
    <t>1-33G</t>
  </si>
  <si>
    <t>KB_006</t>
  </si>
  <si>
    <t>A5</t>
  </si>
  <si>
    <t>2FELC0300001A</t>
  </si>
  <si>
    <t>SOP</t>
  </si>
  <si>
    <t>N_901_965_13</t>
  </si>
  <si>
    <t>SL412006</t>
  </si>
  <si>
    <t>2-ge/br</t>
  </si>
  <si>
    <t>GE/BR</t>
  </si>
  <si>
    <t>1-ge/gr</t>
  </si>
  <si>
    <t>3-br</t>
  </si>
  <si>
    <t>73 (g)</t>
  </si>
  <si>
    <t>99900UA37</t>
  </si>
  <si>
    <t>980018886→980019136</t>
  </si>
  <si>
    <t>N_107_291_02</t>
  </si>
  <si>
    <t>323 (g)</t>
  </si>
  <si>
    <t>306 (g)</t>
  </si>
  <si>
    <t>CU: 234 (g)</t>
  </si>
  <si>
    <t>1-49H</t>
  </si>
  <si>
    <t>220 (g)</t>
  </si>
  <si>
    <t>182 (g)</t>
  </si>
  <si>
    <t>CU: 82 (g)</t>
  </si>
  <si>
    <t>1578 (g)</t>
  </si>
  <si>
    <t>, 500,504</t>
  </si>
  <si>
    <t>KB_022</t>
  </si>
  <si>
    <t>1-40E</t>
  </si>
  <si>
    <t>N_039_034_6</t>
  </si>
  <si>
    <t>OR/VI</t>
  </si>
  <si>
    <t>N_901_916_05</t>
  </si>
  <si>
    <t>50 N ± 10 N</t>
  </si>
  <si>
    <t>opt.,</t>
  </si>
  <si>
    <t>ETH</t>
  </si>
  <si>
    <t>Kappe fuer 5Q0_972_718_A</t>
  </si>
  <si>
    <t>DECKEL FUER SICHERUNGSTR.</t>
  </si>
  <si>
    <r>
      <t>2FER</t>
    </r>
    <r>
      <rPr>
        <b/>
        <strike/>
        <sz val="11"/>
        <color indexed="10"/>
        <rFont val="Calibri"/>
        <family val="2"/>
        <scheme val="minor"/>
      </rPr>
      <t>XAS1</t>
    </r>
    <r>
      <rPr>
        <strike/>
        <sz val="11"/>
        <color indexed="10"/>
        <rFont val="Calibri"/>
        <family val="2"/>
        <scheme val="minor"/>
      </rPr>
      <t>A1BLK</t>
    </r>
  </si>
  <si>
    <t>PPE,</t>
  </si>
  <si>
    <t>2FERST51A1BLK</t>
  </si>
  <si>
    <r>
      <t>2FER</t>
    </r>
    <r>
      <rPr>
        <b/>
        <strike/>
        <sz val="11"/>
        <color indexed="10"/>
        <rFont val="Calibri"/>
        <family val="2"/>
        <scheme val="minor"/>
      </rPr>
      <t>XAS1</t>
    </r>
    <r>
      <rPr>
        <strike/>
        <sz val="11"/>
        <color indexed="10"/>
        <rFont val="Calibri"/>
        <family val="2"/>
        <scheme val="minor"/>
      </rPr>
      <t>A2VIO</t>
    </r>
  </si>
  <si>
    <t>2FERST51A2VIO</t>
  </si>
  <si>
    <r>
      <t>2FER</t>
    </r>
    <r>
      <rPr>
        <b/>
        <strike/>
        <sz val="11"/>
        <color indexed="10"/>
        <rFont val="Calibri"/>
        <family val="2"/>
        <scheme val="minor"/>
      </rPr>
      <t>XASP</t>
    </r>
    <r>
      <rPr>
        <strike/>
        <sz val="11"/>
        <color indexed="10"/>
        <rFont val="Calibri"/>
        <family val="2"/>
        <scheme val="minor"/>
      </rPr>
      <t>A1BRW</t>
    </r>
  </si>
  <si>
    <t>2FERST52A1BRW</t>
  </si>
  <si>
    <r>
      <t>2FER</t>
    </r>
    <r>
      <rPr>
        <b/>
        <strike/>
        <sz val="11"/>
        <color indexed="10"/>
        <rFont val="Calibri"/>
        <family val="2"/>
        <scheme val="minor"/>
      </rPr>
      <t>XASP</t>
    </r>
    <r>
      <rPr>
        <strike/>
        <sz val="11"/>
        <color indexed="10"/>
        <rFont val="Calibri"/>
        <family val="2"/>
        <scheme val="minor"/>
      </rPr>
      <t>A2VIO</t>
    </r>
  </si>
  <si>
    <t>2FERST52A2VIO</t>
  </si>
  <si>
    <t>Kappe fuer 8E0_972_712</t>
  </si>
  <si>
    <t xml:space="preserve"> UMGEHAEUSE FUER 1K0_972_923</t>
  </si>
  <si>
    <t xml:space="preserve"> UMGEHAEUSE FUER 1K0_972_923_A</t>
  </si>
  <si>
    <t>VERR.DECKEL ZU 4B0_972_623</t>
  </si>
  <si>
    <t>SEKUNDAERVERRIEGELUNG</t>
  </si>
  <si>
    <t>KAPPE</t>
  </si>
  <si>
    <t>DICHTUNGSHALTER</t>
  </si>
  <si>
    <t>RETAINER (8-POL.GEH) fuer</t>
  </si>
  <si>
    <t>Au</t>
  </si>
  <si>
    <t>459 (g)</t>
  </si>
  <si>
    <t>448 (g)</t>
  </si>
  <si>
    <t>250 (g)</t>
  </si>
  <si>
    <t>,505,</t>
  </si>
  <si>
    <t xml:space="preserve">Bemerkung VIII
Ltg.
</t>
  </si>
  <si>
    <t xml:space="preserve">Bemerkung IX
Zeichnung Von Bis </t>
  </si>
  <si>
    <t>Bemerkung VII
Kontakt</t>
  </si>
  <si>
    <t>UAÄM_44_20,220,</t>
  </si>
  <si>
    <t>1-or/vi</t>
  </si>
  <si>
    <t>1-vi</t>
  </si>
  <si>
    <t>N_108_151_08</t>
  </si>
  <si>
    <t>UA/ÄM44/20,220,</t>
  </si>
  <si>
    <t>980017590 ,980017591, 980017969</t>
  </si>
  <si>
    <r>
      <t xml:space="preserve">980017590 </t>
    </r>
    <r>
      <rPr>
        <sz val="11"/>
        <color rgb="FF0000FF"/>
        <rFont val="Calibri"/>
        <family val="2"/>
        <charset val="238"/>
        <scheme val="minor"/>
      </rPr>
      <t>,</t>
    </r>
    <r>
      <rPr>
        <sz val="11"/>
        <color rgb="FF0070C0"/>
        <rFont val="Calibri"/>
        <family val="2"/>
        <charset val="238"/>
        <scheme val="minor"/>
      </rPr>
      <t>980018940</t>
    </r>
    <r>
      <rPr>
        <sz val="11"/>
        <rFont val="Calibri"/>
        <family val="2"/>
        <charset val="238"/>
        <scheme val="minor"/>
      </rPr>
      <t>, 980017969</t>
    </r>
  </si>
  <si>
    <t>980017590, 980017591, 980017969</t>
  </si>
  <si>
    <t>980017591
980017000</t>
  </si>
  <si>
    <r>
      <rPr>
        <sz val="11"/>
        <color rgb="FF0070C0"/>
        <rFont val="Calibri"/>
        <family val="2"/>
        <charset val="238"/>
        <scheme val="minor"/>
      </rPr>
      <t>980018940</t>
    </r>
    <r>
      <rPr>
        <sz val="11"/>
        <rFont val="Calibri"/>
        <family val="2"/>
        <charset val="238"/>
        <scheme val="minor"/>
      </rPr>
      <t xml:space="preserve">
980017000</t>
    </r>
  </si>
  <si>
    <t>980017591, 
980017969</t>
  </si>
  <si>
    <t>980018323, 
980018583</t>
  </si>
  <si>
    <r>
      <rPr>
        <sz val="11"/>
        <color rgb="FF0070C0"/>
        <rFont val="Calibri"/>
        <family val="2"/>
        <charset val="238"/>
        <scheme val="minor"/>
      </rPr>
      <t>980018940</t>
    </r>
    <r>
      <rPr>
        <sz val="11"/>
        <rFont val="Calibri"/>
        <family val="2"/>
        <charset val="238"/>
        <scheme val="minor"/>
      </rPr>
      <t xml:space="preserve"> 
980017969</t>
    </r>
  </si>
  <si>
    <t>980017591,
 980017969</t>
  </si>
  <si>
    <r>
      <rPr>
        <sz val="11"/>
        <color rgb="FF0070C0"/>
        <rFont val="Calibri"/>
        <family val="2"/>
        <charset val="238"/>
        <scheme val="minor"/>
      </rPr>
      <t>980018940</t>
    </r>
    <r>
      <rPr>
        <sz val="11"/>
        <rFont val="Calibri"/>
        <family val="2"/>
        <charset val="238"/>
        <scheme val="minor"/>
      </rPr>
      <t xml:space="preserve">
 980017969</t>
    </r>
  </si>
  <si>
    <r>
      <rPr>
        <sz val="11"/>
        <color rgb="FF0070C0"/>
        <rFont val="Calibri"/>
        <family val="2"/>
        <charset val="238"/>
        <scheme val="minor"/>
      </rPr>
      <t>980018940</t>
    </r>
    <r>
      <rPr>
        <sz val="11"/>
        <rFont val="Calibri"/>
        <family val="2"/>
        <charset val="238"/>
        <scheme val="minor"/>
      </rPr>
      <t>, 
980017969</t>
    </r>
  </si>
  <si>
    <t>220,502,504</t>
  </si>
  <si>
    <t>H</t>
  </si>
  <si>
    <t>220, 501</t>
  </si>
  <si>
    <t>,220,501</t>
  </si>
  <si>
    <t>013</t>
  </si>
  <si>
    <t>014</t>
  </si>
  <si>
    <t>2FELC0121921A</t>
  </si>
  <si>
    <t>2FELC0121911A</t>
  </si>
  <si>
    <t>2FELC0121931A</t>
  </si>
  <si>
    <t>015</t>
  </si>
  <si>
    <t>016</t>
  </si>
  <si>
    <t>017</t>
  </si>
  <si>
    <t>018</t>
  </si>
  <si>
    <t>ge</t>
  </si>
  <si>
    <t>TAB</t>
  </si>
  <si>
    <t>Ben.(Stamm)</t>
  </si>
  <si>
    <t>Fertigungs-
kennzeichen
Legende:
_ : beide
A: VT-Konzept
N: Wire by Wire</t>
  </si>
  <si>
    <t>Muss-modul</t>
  </si>
  <si>
    <t>VT-Varianz</t>
  </si>
  <si>
    <t>Kunden-teilnummer</t>
  </si>
  <si>
    <t>Kundenindex</t>
  </si>
  <si>
    <t>interne Teilenummer</t>
  </si>
  <si>
    <t>Indize</t>
  </si>
  <si>
    <t>Indize Neu</t>
  </si>
  <si>
    <t>Teilgültigkeit (Pr.-Nummer)</t>
  </si>
  <si>
    <t>Einsatz
(KW)</t>
  </si>
  <si>
    <t>Entfall
(KW)</t>
  </si>
  <si>
    <t>Geändert mit Revisions-
stand</t>
  </si>
  <si>
    <t>Kunden-teilenummer</t>
  </si>
  <si>
    <t>interne 
Teilenummer</t>
  </si>
  <si>
    <t>Aktuelle Varianten für SONATA:
(Jahr - KW)</t>
  </si>
  <si>
    <t>Zusatz Formula</t>
  </si>
  <si>
    <t>Index NEU zu Bandlaufwoche</t>
  </si>
  <si>
    <t>Info</t>
  </si>
  <si>
    <t>Einbauraten %</t>
  </si>
  <si>
    <t>Revisionsstand F-Konzept</t>
  </si>
  <si>
    <t>A-Baugruppe</t>
  </si>
  <si>
    <t>B-Baugruppe</t>
  </si>
  <si>
    <t>M-Baugruppe</t>
  </si>
  <si>
    <t>Steuerungs-
vorgabe</t>
  </si>
  <si>
    <t>VT01_ANT</t>
  </si>
  <si>
    <t>VT04</t>
  </si>
  <si>
    <t>vor dem Filtern richtiges Jahr / KW eintragen // before set the filter write in right Year / CW</t>
  </si>
  <si>
    <t>1FE1CL3000</t>
  </si>
  <si>
    <t>100,00%</t>
  </si>
  <si>
    <t>2FE5E5LC00</t>
  </si>
  <si>
    <t>,4J3_974_000</t>
  </si>
  <si>
    <t>G</t>
  </si>
  <si>
    <t>1 02 03 Steuerungsvorgabe</t>
  </si>
  <si>
    <t>1FE1CL300000H</t>
  </si>
  <si>
    <t>1FE1CL3029</t>
  </si>
  <si>
    <t>66,59%</t>
  </si>
  <si>
    <t>L0L+K8S/K8D+2V3+KH5</t>
  </si>
  <si>
    <t>,,10</t>
  </si>
  <si>
    <t>1FE1CL302900D</t>
  </si>
  <si>
    <t>B0</t>
  </si>
  <si>
    <t>L0L+K8S/K8D+2V1+KH5</t>
  </si>
  <si>
    <t>1FE1CL3029B0D</t>
  </si>
  <si>
    <t>D0</t>
  </si>
  <si>
    <t>33,41%</t>
  </si>
  <si>
    <t>L0L+K8S/K8D+2V4+KH5</t>
  </si>
  <si>
    <t>1FE1CL3029D0D</t>
  </si>
  <si>
    <t>1FE1CL3072</t>
  </si>
  <si>
    <t>1FE1CL307200A</t>
  </si>
  <si>
    <t>93,48%</t>
  </si>
  <si>
    <t>1FE1CL3076</t>
  </si>
  <si>
    <t>18,75%</t>
  </si>
  <si>
    <t>L0L+9VD</t>
  </si>
  <si>
    <t>,6,9</t>
  </si>
  <si>
    <t>1FE1CL307600D</t>
  </si>
  <si>
    <t>81,25%</t>
  </si>
  <si>
    <t>L0L+9VS</t>
  </si>
  <si>
    <t>1FE1CL3076B0D</t>
  </si>
  <si>
    <t>1FE1CL3077</t>
  </si>
  <si>
    <t>62,77%</t>
  </si>
  <si>
    <t>1FE1CL307700C</t>
  </si>
  <si>
    <t>26,45%</t>
  </si>
  <si>
    <t>1FE1CL3077D0C</t>
  </si>
  <si>
    <t>1FE1CL3089</t>
  </si>
  <si>
    <t>1FE1CL308900A</t>
  </si>
  <si>
    <t>52,06%</t>
  </si>
  <si>
    <t>1FE1CL3128</t>
  </si>
  <si>
    <t>1FE1CL312800A</t>
  </si>
  <si>
    <t>98,55%</t>
  </si>
  <si>
    <t>1FE1CL3161</t>
  </si>
  <si>
    <t>1FE1CL316100A</t>
  </si>
  <si>
    <t>10,35%</t>
  </si>
  <si>
    <t>1FE1CL3161B0A</t>
  </si>
  <si>
    <t>85,48%</t>
  </si>
  <si>
    <t>1FE1CL3216</t>
  </si>
  <si>
    <t>6,56%</t>
  </si>
  <si>
    <t>1FE1CL321600F</t>
  </si>
  <si>
    <t>93,44%</t>
  </si>
  <si>
    <t>1FE1CL3216B0D</t>
  </si>
  <si>
    <t>1FE1CL3218</t>
  </si>
  <si>
    <t>2,68%</t>
  </si>
  <si>
    <t>1FE1CL321800B</t>
  </si>
  <si>
    <t>1FE1CL3219</t>
  </si>
  <si>
    <t>1FE1CL321900A</t>
  </si>
  <si>
    <t>64,52%</t>
  </si>
  <si>
    <t>3,87%</t>
  </si>
  <si>
    <t>1FE1CL3219B0B</t>
  </si>
  <si>
    <t>F0</t>
  </si>
  <si>
    <t>29,82%</t>
  </si>
  <si>
    <t>1FE1CL3219F0B</t>
  </si>
  <si>
    <t>G0</t>
  </si>
  <si>
    <t>0,53%</t>
  </si>
  <si>
    <t>1FE1CL3219G0B</t>
  </si>
  <si>
    <t>H0</t>
  </si>
  <si>
    <t>1FE1CL3219H0A</t>
  </si>
  <si>
    <t>1,26%</t>
  </si>
  <si>
    <t>J</t>
  </si>
  <si>
    <t>J0</t>
  </si>
  <si>
    <t>1FE1CL3219J0A</t>
  </si>
  <si>
    <t>0,00%</t>
  </si>
  <si>
    <t>(X)</t>
  </si>
  <si>
    <t>1FE1CL3230</t>
  </si>
  <si>
    <t>1FE1CL323000A</t>
  </si>
  <si>
    <t>1FE1CL3267</t>
  </si>
  <si>
    <t>L0L+K8S/K8D+9VS</t>
  </si>
  <si>
    <t>1FE1CL326700B</t>
  </si>
  <si>
    <t>1FE1CL3295</t>
  </si>
  <si>
    <t>1FE1CL329500A</t>
  </si>
  <si>
    <t>38,56%</t>
  </si>
  <si>
    <t>1FE1CL3321</t>
  </si>
  <si>
    <t>72,04%</t>
  </si>
  <si>
    <t>1FE1CL332100B</t>
  </si>
  <si>
    <t>1FE1CL3327</t>
  </si>
  <si>
    <t>1FE1CL332700A</t>
  </si>
  <si>
    <t>18,08%</t>
  </si>
  <si>
    <t>1FE1CL3329</t>
  </si>
  <si>
    <t>1FE1CL332900A</t>
  </si>
  <si>
    <t>1FE1CL3412</t>
  </si>
  <si>
    <t>70,16%</t>
  </si>
  <si>
    <t>L0L+K8S/K8D+4UF</t>
  </si>
  <si>
    <t>1FE1CL341200C</t>
  </si>
  <si>
    <t>L0L+K8S/K8D+4UB/4UE</t>
  </si>
  <si>
    <t>1FE1CL3412B0B</t>
  </si>
  <si>
    <t>1FE1CL3656</t>
  </si>
  <si>
    <t>1FE1CL365600A</t>
  </si>
  <si>
    <t>1FE1CL3901</t>
  </si>
  <si>
    <t>12,34%</t>
  </si>
  <si>
    <t>1FE1CL390100B</t>
  </si>
  <si>
    <t>87,67%</t>
  </si>
  <si>
    <t>L0L+K8S/K8D+QQ2</t>
  </si>
  <si>
    <t>,7,14</t>
  </si>
  <si>
    <t>1FE1CL3901B0D</t>
  </si>
  <si>
    <t>Einsatz</t>
  </si>
  <si>
    <t>Entfall</t>
  </si>
  <si>
    <t>Modul Ref.</t>
  </si>
  <si>
    <t>IBG 1</t>
  </si>
  <si>
    <t>IBG 2</t>
  </si>
  <si>
    <t>IBG 3</t>
  </si>
  <si>
    <t>IBG 4</t>
  </si>
  <si>
    <t>IBG 5</t>
  </si>
  <si>
    <t>IBG 6</t>
  </si>
  <si>
    <t>IBG 7</t>
  </si>
  <si>
    <t>IBG 8</t>
  </si>
  <si>
    <t>IBG 9</t>
  </si>
  <si>
    <t>IBG 10</t>
  </si>
  <si>
    <t>IBG 11</t>
  </si>
  <si>
    <t>IBG 12</t>
  </si>
  <si>
    <t>IBG 13</t>
  </si>
  <si>
    <t>IBG 14</t>
  </si>
  <si>
    <t>IBG 15</t>
  </si>
  <si>
    <t>IBG 16</t>
  </si>
  <si>
    <t>IBG 17</t>
  </si>
  <si>
    <t>IBG 18</t>
  </si>
  <si>
    <t>IBG 19</t>
  </si>
  <si>
    <t>IBG 20</t>
  </si>
  <si>
    <t>IBG 21</t>
  </si>
  <si>
    <t>IBG 22</t>
  </si>
  <si>
    <t>IBG 23</t>
  </si>
  <si>
    <t>IBG 24</t>
  </si>
  <si>
    <t>IBG 25</t>
  </si>
  <si>
    <t>PM</t>
  </si>
  <si>
    <t>1FE3LC01001A1</t>
  </si>
  <si>
    <t>1FE3LC01005A1</t>
  </si>
  <si>
    <t>1FE3LC01006A1</t>
  </si>
  <si>
    <t>1FE3LC01007A1</t>
  </si>
  <si>
    <t>1FE3LC01011A1</t>
  </si>
  <si>
    <t>1FE3LC01012A1</t>
  </si>
  <si>
    <t>1FE3LC01013A1</t>
  </si>
  <si>
    <t>1FE3LC01014A1</t>
  </si>
  <si>
    <t>1FE3LC01015A1</t>
  </si>
  <si>
    <t>1FE3LC01016A1</t>
  </si>
  <si>
    <t>1FE3LC01017A1</t>
  </si>
  <si>
    <t>1FE3LC01018A1</t>
  </si>
  <si>
    <t>1FE3LC02002A4</t>
  </si>
  <si>
    <t>1FE3LC02004A4</t>
  </si>
  <si>
    <t>1FE3LC02005A4</t>
  </si>
  <si>
    <t>1FE3LC02006A4</t>
  </si>
  <si>
    <t>1FE3LC03001A5</t>
  </si>
  <si>
    <t>1FE3LC03002A5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</si>
</sst>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"/>
    <numFmt numFmtId="165" formatCode="0000"/>
  </numFmts>
  <fonts count="90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name val="Calibri"/>
      <family val="2"/>
      <charset val="238"/>
      <scheme val="minor"/>
    </font>
    <font>
      <sz val="9"/>
      <color indexed="8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b/>
      <sz val="9"/>
      <color theme="1"/>
      <name val="Calibri"/>
      <family val="2"/>
      <charset val="238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charset val="238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9"/>
      <name val="Arial"/>
      <family val="2"/>
    </font>
    <font>
      <sz val="9"/>
      <name val="Arial CE"/>
      <family val="2"/>
      <charset val="238"/>
    </font>
    <font>
      <sz val="9"/>
      <name val="Arial"/>
      <family val="2"/>
      <charset val="238"/>
    </font>
    <font>
      <b/>
      <sz val="9"/>
      <name val="Arial CE"/>
      <charset val="238"/>
    </font>
    <font>
      <sz val="9"/>
      <name val="Arial CE"/>
      <charset val="238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1"/>
      <name val="Calibri"/>
      <family val="2"/>
      <charset val="238"/>
      <scheme val="minor"/>
    </font>
    <font>
      <sz val="11"/>
      <name val="Calibri"/>
      <family val="2"/>
      <scheme val="minor"/>
    </font>
    <font>
      <strike/>
      <sz val="11"/>
      <name val="Calibri"/>
      <family val="2"/>
      <charset val="238"/>
      <scheme val="minor"/>
    </font>
    <font>
      <sz val="11"/>
      <color rgb="FF0000FF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sz val="11"/>
      <color rgb="FF0000FF"/>
      <name val="Calibri"/>
      <family val="2"/>
      <scheme val="minor"/>
    </font>
    <font>
      <strike/>
      <sz val="11"/>
      <color rgb="FFFF0000"/>
      <name val="Calibri"/>
      <family val="2"/>
      <scheme val="minor"/>
    </font>
    <font>
      <b/>
      <sz val="11"/>
      <name val="Calibri"/>
      <family val="2"/>
      <charset val="238"/>
      <scheme val="minor"/>
    </font>
    <font>
      <b/>
      <sz val="10"/>
      <color rgb="FF0000FF"/>
      <name val="Arial"/>
      <family val="2"/>
      <charset val="238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sz val="10"/>
      <name val="Helv"/>
    </font>
    <font>
      <sz val="10"/>
      <name val="Calibri"/>
      <family val="2"/>
      <charset val="238"/>
      <scheme val="minor"/>
    </font>
    <font>
      <b/>
      <sz val="10"/>
      <name val="Arial"/>
      <family val="2"/>
    </font>
    <font>
      <sz val="12"/>
      <name val="Calibri"/>
      <family val="2"/>
      <charset val="238"/>
      <scheme val="minor"/>
    </font>
    <font>
      <sz val="8"/>
      <name val="Arial"/>
      <family val="2"/>
      <charset val="238"/>
    </font>
    <font>
      <sz val="12"/>
      <name val="Arial"/>
      <family val="2"/>
      <charset val="238"/>
    </font>
    <font>
      <b/>
      <sz val="11"/>
      <name val="Calibri"/>
      <family val="2"/>
      <charset val="238"/>
    </font>
    <font>
      <sz val="6"/>
      <name val="Arial"/>
      <family val="2"/>
      <charset val="238"/>
    </font>
    <font>
      <strike/>
      <sz val="10"/>
      <name val="Arial"/>
      <family val="2"/>
      <charset val="238"/>
    </font>
    <font>
      <sz val="11"/>
      <name val="Arial"/>
      <family val="2"/>
      <charset val="238"/>
    </font>
    <font>
      <sz val="12"/>
      <color theme="1"/>
      <name val="Calibri"/>
      <family val="2"/>
      <charset val="238"/>
      <scheme val="minor"/>
    </font>
    <font>
      <sz val="14"/>
      <color rgb="FFFF0000"/>
      <name val="Calibri"/>
      <family val="2"/>
      <charset val="238"/>
      <scheme val="minor"/>
    </font>
    <font>
      <strike/>
      <sz val="11"/>
      <color rgb="FFFF0000"/>
      <name val="Calibri"/>
      <family val="2"/>
      <charset val="238"/>
      <scheme val="minor"/>
    </font>
    <font>
      <sz val="10"/>
      <color rgb="FFFF0000"/>
      <name val="Arial"/>
      <family val="2"/>
      <charset val="238"/>
    </font>
    <font>
      <b/>
      <sz val="12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sz val="6"/>
      <name val="Arial"/>
      <family val="2"/>
    </font>
    <font>
      <sz val="11"/>
      <color rgb="FF0070C0"/>
      <name val="Calibri"/>
      <family val="2"/>
      <charset val="238"/>
      <scheme val="minor"/>
    </font>
    <font>
      <sz val="11"/>
      <color rgb="FF0070C0"/>
      <name val="Calibri"/>
      <family val="2"/>
      <scheme val="minor"/>
    </font>
    <font>
      <sz val="10"/>
      <color rgb="FF0000FF"/>
      <name val="Arial"/>
      <family val="2"/>
      <charset val="238"/>
    </font>
    <font>
      <sz val="10"/>
      <color rgb="FF0070C0"/>
      <name val="Arial"/>
      <family val="2"/>
      <charset val="238"/>
    </font>
    <font>
      <sz val="11"/>
      <color theme="0" tint="-0.34998626667073579"/>
      <name val="Calibri"/>
      <family val="2"/>
      <scheme val="minor"/>
    </font>
    <font>
      <b/>
      <sz val="10"/>
      <color rgb="FF0070C0"/>
      <name val="Arial"/>
      <family val="2"/>
      <charset val="238"/>
    </font>
    <font>
      <strike/>
      <sz val="11"/>
      <color indexed="10"/>
      <name val="Calibri"/>
      <family val="2"/>
      <scheme val="minor"/>
    </font>
    <font>
      <b/>
      <strike/>
      <sz val="11"/>
      <color indexed="10"/>
      <name val="Calibri"/>
      <family val="2"/>
      <scheme val="minor"/>
    </font>
    <font>
      <sz val="9"/>
      <color rgb="FF000000"/>
      <name val="Arial"/>
      <family val="2"/>
    </font>
    <font>
      <sz val="9"/>
      <color rgb="FF000000"/>
      <name val="Calibri"/>
      <family val="2"/>
    </font>
    <font>
      <sz val="11"/>
      <color rgb="FF000000"/>
      <name val="Calibri"/>
      <family val="2"/>
    </font>
    <font>
      <sz val="10"/>
      <name val="Andale Mono"/>
    </font>
    <font>
      <b/>
      <sz val="8"/>
      <name val="Arial"/>
      <family val="2"/>
    </font>
    <font>
      <sz val="8"/>
      <name val="Arial"/>
      <family val="2"/>
    </font>
    <font>
      <b/>
      <strike/>
      <sz val="8"/>
      <color rgb="FFFF0000"/>
      <name val="Arial"/>
      <family val="2"/>
    </font>
    <font>
      <sz val="11"/>
      <color theme="1"/>
      <name val="Arial"/>
      <family val="2"/>
    </font>
    <font>
      <b/>
      <sz val="14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40CE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5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19" fillId="0" borderId="0"/>
    <xf numFmtId="0" fontId="19" fillId="0" borderId="0"/>
    <xf numFmtId="0" fontId="46" fillId="0" borderId="0" applyNumberFormat="0" applyFill="0" applyBorder="0" applyAlignment="0" applyProtection="0"/>
    <xf numFmtId="0" fontId="1" fillId="0" borderId="0"/>
    <xf numFmtId="0" fontId="2" fillId="0" borderId="0"/>
    <xf numFmtId="0" fontId="53" fillId="0" borderId="0"/>
    <xf numFmtId="0" fontId="53" fillId="0" borderId="0"/>
    <xf numFmtId="9" fontId="2" fillId="0" borderId="0" applyFont="0" applyFill="0" applyBorder="0" applyAlignment="0" applyProtection="0"/>
    <xf numFmtId="0" fontId="84" fillId="0" borderId="0"/>
    <xf numFmtId="0" fontId="84" fillId="0" borderId="0"/>
  </cellStyleXfs>
  <cellXfs count="313">
    <xf numFmtId="0" fontId="0" fillId="0" borderId="0" xfId="0"/>
    <xf numFmtId="0" fontId="0" fillId="0" borderId="0" xfId="0" applyAlignment="1">
      <alignment wrapText="1"/>
    </xf>
    <xf numFmtId="49" fontId="21" fillId="34" borderId="10" xfId="42" applyNumberFormat="1" applyFont="1" applyFill="1" applyBorder="1" applyAlignment="1">
      <alignment horizontal="center" vertical="center" textRotation="90"/>
    </xf>
    <xf numFmtId="0" fontId="22" fillId="34" borderId="11" xfId="42" applyNumberFormat="1" applyFont="1" applyFill="1" applyBorder="1" applyAlignment="1">
      <alignment horizontal="center" vertical="center" textRotation="90" wrapText="1"/>
    </xf>
    <xf numFmtId="0" fontId="22" fillId="0" borderId="10" xfId="42" applyNumberFormat="1" applyFont="1" applyFill="1" applyBorder="1" applyAlignment="1">
      <alignment horizontal="center" vertical="center" textRotation="90" wrapText="1"/>
    </xf>
    <xf numFmtId="0" fontId="22" fillId="34" borderId="12" xfId="42" applyNumberFormat="1" applyFont="1" applyFill="1" applyBorder="1" applyAlignment="1">
      <alignment horizontal="center" vertical="center" textRotation="90" wrapText="1"/>
    </xf>
    <xf numFmtId="0" fontId="22" fillId="34" borderId="10" xfId="42" applyFont="1" applyFill="1" applyBorder="1" applyAlignment="1">
      <alignment horizontal="center" vertical="center" textRotation="90" wrapText="1"/>
    </xf>
    <xf numFmtId="0" fontId="22" fillId="34" borderId="10" xfId="42" applyNumberFormat="1" applyFont="1" applyFill="1" applyBorder="1" applyAlignment="1">
      <alignment horizontal="center" vertical="center" textRotation="90" wrapText="1"/>
    </xf>
    <xf numFmtId="0" fontId="23" fillId="0" borderId="10" xfId="42" applyNumberFormat="1" applyFont="1" applyFill="1" applyBorder="1" applyAlignment="1">
      <alignment horizontal="center" vertical="center" textRotation="90"/>
    </xf>
    <xf numFmtId="0" fontId="23" fillId="0" borderId="10" xfId="42" applyNumberFormat="1" applyFont="1" applyFill="1" applyBorder="1" applyAlignment="1">
      <alignment horizontal="center" vertical="center" textRotation="90" wrapText="1"/>
    </xf>
    <xf numFmtId="0" fontId="23" fillId="34" borderId="10" xfId="42" applyFont="1" applyFill="1" applyBorder="1" applyAlignment="1">
      <alignment vertical="center" textRotation="90" wrapText="1"/>
    </xf>
    <xf numFmtId="0" fontId="24" fillId="0" borderId="0" xfId="0" applyFont="1" applyFill="1" applyAlignment="1">
      <alignment horizontal="left" vertical="center"/>
    </xf>
    <xf numFmtId="0" fontId="25" fillId="0" borderId="0" xfId="0" applyFont="1"/>
    <xf numFmtId="0" fontId="26" fillId="0" borderId="0" xfId="0" applyFont="1" applyFill="1"/>
    <xf numFmtId="49" fontId="32" fillId="34" borderId="10" xfId="42" applyNumberFormat="1" applyFont="1" applyFill="1" applyBorder="1" applyAlignment="1">
      <alignment horizontal="center" vertical="center" textRotation="90" wrapText="1"/>
    </xf>
    <xf numFmtId="0" fontId="33" fillId="34" borderId="10" xfId="43" applyFont="1" applyFill="1" applyBorder="1" applyAlignment="1">
      <alignment horizontal="center" vertical="center" textRotation="90"/>
    </xf>
    <xf numFmtId="49" fontId="33" fillId="34" borderId="10" xfId="43" applyNumberFormat="1" applyFont="1" applyFill="1" applyBorder="1" applyAlignment="1">
      <alignment horizontal="center" vertical="center" textRotation="90"/>
    </xf>
    <xf numFmtId="49" fontId="34" fillId="34" borderId="10" xfId="43" applyNumberFormat="1" applyFont="1" applyFill="1" applyBorder="1" applyAlignment="1">
      <alignment horizontal="center" vertical="center" textRotation="90"/>
    </xf>
    <xf numFmtId="0" fontId="35" fillId="34" borderId="10" xfId="43" applyFont="1" applyFill="1" applyBorder="1" applyAlignment="1">
      <alignment horizontal="center" vertical="center" textRotation="90"/>
    </xf>
    <xf numFmtId="0" fontId="33" fillId="0" borderId="10" xfId="43" applyFont="1" applyFill="1" applyBorder="1" applyAlignment="1">
      <alignment horizontal="center" vertical="center" textRotation="90"/>
    </xf>
    <xf numFmtId="49" fontId="33" fillId="34" borderId="11" xfId="43" applyNumberFormat="1" applyFont="1" applyFill="1" applyBorder="1" applyAlignment="1">
      <alignment horizontal="center" vertical="center" textRotation="90" wrapText="1"/>
    </xf>
    <xf numFmtId="0" fontId="33" fillId="34" borderId="10" xfId="43" applyNumberFormat="1" applyFont="1" applyFill="1" applyBorder="1" applyAlignment="1">
      <alignment horizontal="center" vertical="center" textRotation="90" wrapText="1"/>
    </xf>
    <xf numFmtId="0" fontId="33" fillId="0" borderId="10" xfId="43" applyFont="1" applyFill="1" applyBorder="1" applyAlignment="1">
      <alignment horizontal="center" vertical="center" textRotation="90" wrapText="1"/>
    </xf>
    <xf numFmtId="49" fontId="36" fillId="0" borderId="10" xfId="43" applyNumberFormat="1" applyFont="1" applyFill="1" applyBorder="1" applyAlignment="1">
      <alignment horizontal="center" vertical="center" textRotation="90" wrapText="1"/>
    </xf>
    <xf numFmtId="49" fontId="33" fillId="0" borderId="10" xfId="43" applyNumberFormat="1" applyFont="1" applyFill="1" applyBorder="1" applyAlignment="1">
      <alignment horizontal="center" vertical="center" textRotation="90" wrapText="1"/>
    </xf>
    <xf numFmtId="0" fontId="22" fillId="0" borderId="10" xfId="42" applyFont="1" applyFill="1" applyBorder="1" applyAlignment="1">
      <alignment horizontal="center" vertical="center" textRotation="90" wrapText="1"/>
    </xf>
    <xf numFmtId="0" fontId="37" fillId="0" borderId="0" xfId="0" applyFont="1" applyAlignment="1">
      <alignment horizontal="right" vertical="center"/>
    </xf>
    <xf numFmtId="0" fontId="38" fillId="0" borderId="0" xfId="0" applyFont="1" applyAlignment="1">
      <alignment horizontal="center"/>
    </xf>
    <xf numFmtId="0" fontId="38" fillId="0" borderId="0" xfId="0" applyFont="1"/>
    <xf numFmtId="49" fontId="20" fillId="33" borderId="13" xfId="42" applyNumberFormat="1" applyFont="1" applyFill="1" applyBorder="1" applyAlignment="1">
      <alignment horizontal="left" vertical="center" textRotation="90" wrapText="1"/>
    </xf>
    <xf numFmtId="0" fontId="42" fillId="0" borderId="0" xfId="0" applyFont="1" applyFill="1"/>
    <xf numFmtId="0" fontId="42" fillId="0" borderId="0" xfId="0" applyFont="1" applyFill="1" applyAlignment="1">
      <alignment horizontal="center"/>
    </xf>
    <xf numFmtId="9" fontId="42" fillId="0" borderId="0" xfId="0" applyNumberFormat="1" applyFont="1" applyFill="1"/>
    <xf numFmtId="0" fontId="42" fillId="0" borderId="0" xfId="0" applyFont="1" applyFill="1" applyAlignment="1"/>
    <xf numFmtId="0" fontId="43" fillId="0" borderId="0" xfId="0" applyFont="1"/>
    <xf numFmtId="0" fontId="42" fillId="0" borderId="0" xfId="0" applyFont="1" applyFill="1" applyBorder="1"/>
    <xf numFmtId="0" fontId="43" fillId="0" borderId="0" xfId="0" applyFont="1" applyFill="1"/>
    <xf numFmtId="0" fontId="43" fillId="0" borderId="0" xfId="0" applyFont="1" applyFill="1" applyAlignment="1">
      <alignment horizontal="center"/>
    </xf>
    <xf numFmtId="0" fontId="44" fillId="0" borderId="0" xfId="0" applyFont="1" applyFill="1"/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2" fillId="0" borderId="0" xfId="0" applyFont="1" applyFill="1" applyAlignment="1">
      <alignment horizontal="center" wrapText="1"/>
    </xf>
    <xf numFmtId="2" fontId="42" fillId="0" borderId="0" xfId="0" applyNumberFormat="1" applyFont="1" applyFill="1" applyAlignment="1" applyProtection="1">
      <alignment horizontal="center" vertical="center" wrapText="1"/>
      <protection locked="0"/>
    </xf>
    <xf numFmtId="0" fontId="42" fillId="0" borderId="0" xfId="44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/>
    <xf numFmtId="0" fontId="42" fillId="0" borderId="0" xfId="0" applyFont="1" applyFill="1" applyBorder="1" applyAlignment="1"/>
    <xf numFmtId="0" fontId="42" fillId="0" borderId="0" xfId="0" applyFont="1" applyFill="1" applyBorder="1" applyAlignment="1">
      <alignment horizontal="left"/>
    </xf>
    <xf numFmtId="0" fontId="45" fillId="35" borderId="0" xfId="0" applyFont="1" applyFill="1" applyBorder="1" applyAlignment="1">
      <alignment horizontal="left"/>
    </xf>
    <xf numFmtId="0" fontId="44" fillId="0" borderId="0" xfId="0" applyFont="1" applyFill="1" applyBorder="1"/>
    <xf numFmtId="0" fontId="48" fillId="0" borderId="0" xfId="0" applyFont="1" applyFill="1" applyBorder="1"/>
    <xf numFmtId="0" fontId="43" fillId="0" borderId="0" xfId="0" applyFont="1" applyFill="1" applyBorder="1" applyAlignment="1"/>
    <xf numFmtId="0" fontId="48" fillId="0" borderId="0" xfId="0" applyFont="1" applyFill="1" applyBorder="1" applyAlignment="1"/>
    <xf numFmtId="0" fontId="47" fillId="0" borderId="0" xfId="0" applyFont="1" applyFill="1"/>
    <xf numFmtId="0" fontId="54" fillId="0" borderId="0" xfId="45" applyFont="1" applyFill="1"/>
    <xf numFmtId="0" fontId="2" fillId="0" borderId="0" xfId="46"/>
    <xf numFmtId="0" fontId="57" fillId="0" borderId="0" xfId="46" applyFont="1" applyFill="1"/>
    <xf numFmtId="49" fontId="58" fillId="0" borderId="0" xfId="47" applyNumberFormat="1" applyFont="1" applyFill="1" applyBorder="1"/>
    <xf numFmtId="0" fontId="54" fillId="0" borderId="0" xfId="42" applyFont="1"/>
    <xf numFmtId="0" fontId="54" fillId="0" borderId="0" xfId="42" applyFont="1" applyFill="1"/>
    <xf numFmtId="49" fontId="56" fillId="0" borderId="0" xfId="47" applyNumberFormat="1" applyFont="1" applyFill="1" applyBorder="1"/>
    <xf numFmtId="0" fontId="54" fillId="0" borderId="0" xfId="42" applyFont="1" applyFill="1" applyBorder="1"/>
    <xf numFmtId="0" fontId="51" fillId="0" borderId="10" xfId="47" applyFont="1" applyFill="1" applyBorder="1" applyAlignment="1">
      <alignment horizontal="center" vertical="center" textRotation="90"/>
    </xf>
    <xf numFmtId="0" fontId="43" fillId="0" borderId="0" xfId="46" applyFont="1" applyFill="1"/>
    <xf numFmtId="0" fontId="59" fillId="0" borderId="0" xfId="46" applyFont="1" applyFill="1" applyBorder="1"/>
    <xf numFmtId="49" fontId="54" fillId="0" borderId="0" xfId="47" applyNumberFormat="1" applyFont="1" applyFill="1" applyBorder="1"/>
    <xf numFmtId="49" fontId="54" fillId="0" borderId="0" xfId="47" applyNumberFormat="1" applyFont="1" applyFill="1" applyBorder="1" applyAlignment="1">
      <alignment horizontal="left"/>
    </xf>
    <xf numFmtId="49" fontId="51" fillId="0" borderId="10" xfId="47" applyNumberFormat="1" applyFont="1" applyFill="1" applyBorder="1" applyAlignment="1">
      <alignment horizontal="center" vertical="center" textRotation="90"/>
    </xf>
    <xf numFmtId="0" fontId="52" fillId="0" borderId="0" xfId="46" applyFont="1" applyFill="1"/>
    <xf numFmtId="0" fontId="51" fillId="0" borderId="0" xfId="46" applyFont="1" applyFill="1"/>
    <xf numFmtId="0" fontId="51" fillId="0" borderId="0" xfId="47" applyFont="1" applyFill="1" applyBorder="1" applyAlignment="1">
      <alignment horizontal="center"/>
    </xf>
    <xf numFmtId="49" fontId="51" fillId="0" borderId="0" xfId="47" applyNumberFormat="1" applyFont="1" applyFill="1" applyBorder="1"/>
    <xf numFmtId="0" fontId="51" fillId="0" borderId="0" xfId="42" applyFont="1" applyFill="1" applyBorder="1"/>
    <xf numFmtId="0" fontId="57" fillId="0" borderId="0" xfId="46" applyFont="1" applyFill="1" applyAlignment="1">
      <alignment horizontal="center"/>
    </xf>
    <xf numFmtId="0" fontId="52" fillId="0" borderId="0" xfId="48" applyFont="1" applyFill="1" applyBorder="1" applyAlignment="1">
      <alignment horizontal="center" vertical="center"/>
    </xf>
    <xf numFmtId="49" fontId="52" fillId="0" borderId="10" xfId="47" applyNumberFormat="1" applyFont="1" applyFill="1" applyBorder="1" applyAlignment="1">
      <alignment horizontal="left" vertical="center"/>
    </xf>
    <xf numFmtId="0" fontId="52" fillId="0" borderId="10" xfId="47" applyFont="1" applyFill="1" applyBorder="1" applyAlignment="1">
      <alignment horizontal="center" vertical="center"/>
    </xf>
    <xf numFmtId="0" fontId="52" fillId="0" borderId="10" xfId="47" applyFont="1" applyFill="1" applyBorder="1" applyAlignment="1">
      <alignment horizontal="center" vertical="center" wrapText="1"/>
    </xf>
    <xf numFmtId="0" fontId="52" fillId="0" borderId="10" xfId="47" applyFont="1" applyFill="1" applyBorder="1" applyAlignment="1">
      <alignment horizontal="left" vertical="center"/>
    </xf>
    <xf numFmtId="0" fontId="52" fillId="0" borderId="10" xfId="47" applyFont="1" applyFill="1" applyBorder="1" applyAlignment="1">
      <alignment vertical="center"/>
    </xf>
    <xf numFmtId="0" fontId="51" fillId="0" borderId="10" xfId="47" applyFont="1" applyFill="1" applyBorder="1" applyAlignment="1">
      <alignment vertical="center"/>
    </xf>
    <xf numFmtId="49" fontId="51" fillId="0" borderId="15" xfId="47" applyNumberFormat="1" applyFont="1" applyFill="1" applyBorder="1" applyAlignment="1">
      <alignment vertical="center"/>
    </xf>
    <xf numFmtId="49" fontId="51" fillId="0" borderId="10" xfId="47" applyNumberFormat="1" applyFont="1" applyFill="1" applyBorder="1" applyAlignment="1">
      <alignment horizontal="center" vertical="center"/>
    </xf>
    <xf numFmtId="0" fontId="51" fillId="0" borderId="10" xfId="47" applyFont="1" applyFill="1" applyBorder="1" applyAlignment="1">
      <alignment horizontal="center" vertical="center"/>
    </xf>
    <xf numFmtId="0" fontId="51" fillId="0" borderId="10" xfId="47" applyFont="1" applyFill="1" applyBorder="1" applyAlignment="1">
      <alignment horizontal="left" vertical="center"/>
    </xf>
    <xf numFmtId="0" fontId="60" fillId="0" borderId="10" xfId="47" applyFont="1" applyFill="1" applyBorder="1" applyAlignment="1">
      <alignment horizontal="center" vertical="center"/>
    </xf>
    <xf numFmtId="0" fontId="42" fillId="0" borderId="10" xfId="45" applyFont="1" applyFill="1" applyBorder="1" applyAlignment="1">
      <alignment vertical="center"/>
    </xf>
    <xf numFmtId="9" fontId="51" fillId="0" borderId="10" xfId="47" applyNumberFormat="1" applyFont="1" applyFill="1" applyBorder="1" applyAlignment="1">
      <alignment horizontal="center" vertical="center"/>
    </xf>
    <xf numFmtId="0" fontId="43" fillId="0" borderId="10" xfId="0" applyFont="1" applyFill="1" applyBorder="1"/>
    <xf numFmtId="0" fontId="61" fillId="0" borderId="10" xfId="47" applyFont="1" applyFill="1" applyBorder="1" applyAlignment="1">
      <alignment horizontal="center" vertical="center"/>
    </xf>
    <xf numFmtId="0" fontId="51" fillId="0" borderId="10" xfId="47" applyFont="1" applyFill="1" applyBorder="1" applyAlignment="1">
      <alignment horizontal="left" vertical="center" wrapText="1"/>
    </xf>
    <xf numFmtId="0" fontId="51" fillId="0" borderId="16" xfId="47" applyFont="1" applyFill="1" applyBorder="1" applyAlignment="1">
      <alignment horizontal="center" vertical="center"/>
    </xf>
    <xf numFmtId="49" fontId="51" fillId="0" borderId="16" xfId="47" applyNumberFormat="1" applyFont="1" applyFill="1" applyBorder="1" applyAlignment="1">
      <alignment horizontal="center" vertical="center"/>
    </xf>
    <xf numFmtId="0" fontId="42" fillId="0" borderId="10" xfId="45" applyFont="1" applyFill="1" applyBorder="1"/>
    <xf numFmtId="0" fontId="42" fillId="0" borderId="10" xfId="0" applyFont="1" applyFill="1" applyBorder="1"/>
    <xf numFmtId="0" fontId="43" fillId="0" borderId="10" xfId="46" applyFont="1" applyFill="1" applyBorder="1" applyAlignment="1">
      <alignment horizontal="center" vertical="center"/>
    </xf>
    <xf numFmtId="0" fontId="62" fillId="0" borderId="0" xfId="46" applyFont="1" applyFill="1" applyAlignment="1">
      <alignment wrapText="1"/>
    </xf>
    <xf numFmtId="49" fontId="51" fillId="0" borderId="10" xfId="47" applyNumberFormat="1" applyFont="1" applyFill="1" applyBorder="1" applyAlignment="1">
      <alignment vertical="center"/>
    </xf>
    <xf numFmtId="0" fontId="15" fillId="0" borderId="0" xfId="0" applyFont="1" applyFill="1"/>
    <xf numFmtId="0" fontId="15" fillId="0" borderId="0" xfId="46" applyFont="1"/>
    <xf numFmtId="0" fontId="63" fillId="0" borderId="0" xfId="45" applyFont="1" applyFill="1"/>
    <xf numFmtId="0" fontId="56" fillId="0" borderId="0" xfId="42" applyFont="1"/>
    <xf numFmtId="0" fontId="64" fillId="0" borderId="0" xfId="47" applyFont="1" applyFill="1" applyBorder="1"/>
    <xf numFmtId="0" fontId="1" fillId="0" borderId="0" xfId="45" applyFill="1"/>
    <xf numFmtId="0" fontId="54" fillId="0" borderId="0" xfId="42" applyFont="1" applyBorder="1"/>
    <xf numFmtId="0" fontId="51" fillId="0" borderId="0" xfId="47" applyFont="1" applyBorder="1" applyAlignment="1">
      <alignment horizontal="center"/>
    </xf>
    <xf numFmtId="0" fontId="51" fillId="0" borderId="0" xfId="42" applyFont="1" applyBorder="1"/>
    <xf numFmtId="0" fontId="2" fillId="0" borderId="10" xfId="46" applyBorder="1"/>
    <xf numFmtId="0" fontId="34" fillId="0" borderId="10" xfId="47" applyFont="1" applyFill="1" applyBorder="1" applyAlignment="1">
      <alignment horizontal="center" vertical="center"/>
    </xf>
    <xf numFmtId="0" fontId="42" fillId="0" borderId="0" xfId="45" applyFont="1" applyFill="1"/>
    <xf numFmtId="0" fontId="48" fillId="0" borderId="10" xfId="46" applyFont="1" applyBorder="1"/>
    <xf numFmtId="0" fontId="51" fillId="0" borderId="15" xfId="47" applyFont="1" applyFill="1" applyBorder="1" applyAlignment="1">
      <alignment vertical="center" wrapText="1"/>
    </xf>
    <xf numFmtId="0" fontId="48" fillId="0" borderId="0" xfId="46" applyFont="1"/>
    <xf numFmtId="0" fontId="51" fillId="0" borderId="10" xfId="47" applyFont="1" applyFill="1" applyBorder="1" applyAlignment="1">
      <alignment vertical="center" wrapText="1"/>
    </xf>
    <xf numFmtId="0" fontId="65" fillId="0" borderId="0" xfId="45" applyFont="1" applyFill="1"/>
    <xf numFmtId="0" fontId="1" fillId="0" borderId="0" xfId="45" applyFont="1" applyFill="1"/>
    <xf numFmtId="0" fontId="66" fillId="0" borderId="10" xfId="47" applyFont="1" applyFill="1" applyBorder="1" applyAlignment="1">
      <alignment vertical="center"/>
    </xf>
    <xf numFmtId="0" fontId="19" fillId="0" borderId="0" xfId="47" applyFont="1" applyFill="1" applyBorder="1"/>
    <xf numFmtId="0" fontId="67" fillId="0" borderId="0" xfId="47" applyFont="1" applyFill="1" applyBorder="1" applyAlignment="1">
      <alignment horizontal="left" vertical="center" wrapText="1"/>
    </xf>
    <xf numFmtId="0" fontId="68" fillId="0" borderId="0" xfId="42" applyFont="1" applyFill="1"/>
    <xf numFmtId="0" fontId="19" fillId="0" borderId="0" xfId="42"/>
    <xf numFmtId="0" fontId="1" fillId="0" borderId="0" xfId="45"/>
    <xf numFmtId="0" fontId="68" fillId="0" borderId="0" xfId="47" applyFont="1" applyFill="1" applyBorder="1"/>
    <xf numFmtId="0" fontId="69" fillId="0" borderId="0" xfId="47" applyFont="1" applyFill="1" applyBorder="1" applyAlignment="1">
      <alignment horizontal="left" vertical="center" wrapText="1"/>
    </xf>
    <xf numFmtId="49" fontId="68" fillId="0" borderId="10" xfId="47" applyNumberFormat="1" applyFont="1" applyFill="1" applyBorder="1" applyAlignment="1">
      <alignment horizontal="center" vertical="center" textRotation="90"/>
    </xf>
    <xf numFmtId="49" fontId="19" fillId="0" borderId="0" xfId="47" applyNumberFormat="1" applyFont="1" applyFill="1" applyBorder="1"/>
    <xf numFmtId="49" fontId="68" fillId="0" borderId="0" xfId="47" applyNumberFormat="1" applyFont="1" applyFill="1" applyBorder="1" applyAlignment="1">
      <alignment horizontal="right"/>
    </xf>
    <xf numFmtId="49" fontId="19" fillId="0" borderId="0" xfId="47" applyNumberFormat="1" applyFont="1" applyFill="1" applyBorder="1" applyAlignment="1">
      <alignment horizontal="right"/>
    </xf>
    <xf numFmtId="49" fontId="19" fillId="0" borderId="0" xfId="47" applyNumberFormat="1" applyFont="1" applyFill="1" applyBorder="1" applyAlignment="1">
      <alignment horizontal="left" vertical="center"/>
    </xf>
    <xf numFmtId="0" fontId="68" fillId="0" borderId="0" xfId="47" applyFont="1" applyFill="1" applyBorder="1" applyAlignment="1">
      <alignment horizontal="center"/>
    </xf>
    <xf numFmtId="0" fontId="19" fillId="0" borderId="0" xfId="47" applyFont="1" applyBorder="1" applyAlignment="1">
      <alignment horizontal="center"/>
    </xf>
    <xf numFmtId="0" fontId="19" fillId="0" borderId="0" xfId="47" applyFont="1" applyFill="1" applyBorder="1" applyAlignment="1">
      <alignment horizontal="left" vertical="center"/>
    </xf>
    <xf numFmtId="0" fontId="19" fillId="0" borderId="0" xfId="47" applyFont="1" applyFill="1" applyBorder="1" applyAlignment="1">
      <alignment horizontal="center"/>
    </xf>
    <xf numFmtId="0" fontId="55" fillId="0" borderId="0" xfId="48" applyFont="1" applyFill="1" applyAlignment="1">
      <alignment vertical="center"/>
    </xf>
    <xf numFmtId="0" fontId="55" fillId="0" borderId="0" xfId="48" applyFont="1" applyFill="1" applyAlignment="1">
      <alignment horizontal="center" vertical="center"/>
    </xf>
    <xf numFmtId="0" fontId="68" fillId="0" borderId="10" xfId="47" applyFont="1" applyFill="1" applyBorder="1" applyAlignment="1">
      <alignment horizontal="center" vertical="center" textRotation="90"/>
    </xf>
    <xf numFmtId="0" fontId="55" fillId="0" borderId="0" xfId="47" applyFont="1" applyFill="1" applyBorder="1" applyAlignment="1">
      <alignment vertical="center"/>
    </xf>
    <xf numFmtId="49" fontId="55" fillId="0" borderId="10" xfId="47" applyNumberFormat="1" applyFont="1" applyFill="1" applyBorder="1" applyAlignment="1">
      <alignment horizontal="left" vertical="center" wrapText="1"/>
    </xf>
    <xf numFmtId="0" fontId="70" fillId="0" borderId="10" xfId="47" applyFont="1" applyFill="1" applyBorder="1" applyAlignment="1">
      <alignment horizontal="center" vertical="center"/>
    </xf>
    <xf numFmtId="0" fontId="70" fillId="0" borderId="10" xfId="47" applyFont="1" applyFill="1" applyBorder="1" applyAlignment="1">
      <alignment horizontal="center" vertical="center" wrapText="1"/>
    </xf>
    <xf numFmtId="0" fontId="55" fillId="0" borderId="10" xfId="47" applyFont="1" applyFill="1" applyBorder="1" applyAlignment="1">
      <alignment horizontal="center" vertical="center" wrapText="1"/>
    </xf>
    <xf numFmtId="0" fontId="55" fillId="0" borderId="10" xfId="47" applyFont="1" applyFill="1" applyBorder="1" applyAlignment="1">
      <alignment horizontal="left" vertical="center"/>
    </xf>
    <xf numFmtId="0" fontId="55" fillId="0" borderId="10" xfId="47" applyFont="1" applyFill="1" applyBorder="1" applyAlignment="1">
      <alignment vertical="center"/>
    </xf>
    <xf numFmtId="0" fontId="71" fillId="0" borderId="10" xfId="47" applyFont="1" applyFill="1" applyBorder="1" applyAlignment="1">
      <alignment horizontal="center" vertical="center"/>
    </xf>
    <xf numFmtId="0" fontId="72" fillId="0" borderId="0" xfId="47" applyFont="1" applyFill="1" applyBorder="1" applyAlignment="1">
      <alignment vertical="center"/>
    </xf>
    <xf numFmtId="0" fontId="19" fillId="0" borderId="10" xfId="47" applyFont="1" applyFill="1" applyBorder="1" applyAlignment="1">
      <alignment horizontal="center" vertical="center" wrapText="1"/>
    </xf>
    <xf numFmtId="0" fontId="70" fillId="0" borderId="10" xfId="47" applyFont="1" applyFill="1" applyBorder="1" applyAlignment="1">
      <alignment vertical="center" wrapText="1"/>
    </xf>
    <xf numFmtId="0" fontId="68" fillId="0" borderId="10" xfId="47" applyFont="1" applyFill="1" applyBorder="1" applyAlignment="1">
      <alignment horizontal="left" vertical="center" wrapText="1"/>
    </xf>
    <xf numFmtId="9" fontId="68" fillId="0" borderId="10" xfId="47" applyNumberFormat="1" applyFont="1" applyFill="1" applyBorder="1" applyAlignment="1">
      <alignment horizontal="left" vertical="center" wrapText="1"/>
    </xf>
    <xf numFmtId="9" fontId="68" fillId="0" borderId="10" xfId="47" applyNumberFormat="1" applyFont="1" applyFill="1" applyBorder="1" applyAlignment="1">
      <alignment horizontal="center" vertical="center" wrapText="1"/>
    </xf>
    <xf numFmtId="0" fontId="68" fillId="0" borderId="10" xfId="47" applyFont="1" applyFill="1" applyBorder="1" applyAlignment="1">
      <alignment horizontal="center" vertical="center"/>
    </xf>
    <xf numFmtId="0" fontId="19" fillId="0" borderId="0" xfId="47" applyFont="1" applyFill="1" applyBorder="1" applyAlignment="1">
      <alignment vertical="center"/>
    </xf>
    <xf numFmtId="0" fontId="43" fillId="0" borderId="0" xfId="46" applyFont="1" applyFill="1" applyAlignment="1">
      <alignment vertical="center"/>
    </xf>
    <xf numFmtId="0" fontId="74" fillId="35" borderId="0" xfId="0" applyFont="1" applyFill="1"/>
    <xf numFmtId="0" fontId="74" fillId="0" borderId="0" xfId="0" applyFont="1"/>
    <xf numFmtId="0" fontId="74" fillId="0" borderId="0" xfId="0" applyFont="1" applyFill="1"/>
    <xf numFmtId="0" fontId="74" fillId="0" borderId="0" xfId="0" applyFont="1" applyFill="1" applyBorder="1"/>
    <xf numFmtId="0" fontId="73" fillId="35" borderId="0" xfId="0" applyFont="1" applyFill="1" applyAlignment="1">
      <alignment horizontal="center"/>
    </xf>
    <xf numFmtId="0" fontId="73" fillId="35" borderId="0" xfId="0" applyFont="1" applyFill="1" applyBorder="1"/>
    <xf numFmtId="0" fontId="75" fillId="35" borderId="10" xfId="47" applyFont="1" applyFill="1" applyBorder="1" applyAlignment="1">
      <alignment horizontal="center" vertical="center" textRotation="90"/>
    </xf>
    <xf numFmtId="0" fontId="47" fillId="0" borderId="0" xfId="0" applyFont="1"/>
    <xf numFmtId="0" fontId="47" fillId="35" borderId="0" xfId="0" applyFont="1" applyFill="1"/>
    <xf numFmtId="0" fontId="50" fillId="35" borderId="10" xfId="47" applyFont="1" applyFill="1" applyBorder="1" applyAlignment="1">
      <alignment horizontal="center" vertical="center"/>
    </xf>
    <xf numFmtId="0" fontId="50" fillId="35" borderId="10" xfId="47" applyNumberFormat="1" applyFont="1" applyFill="1" applyBorder="1" applyAlignment="1">
      <alignment vertical="center"/>
    </xf>
    <xf numFmtId="0" fontId="2" fillId="0" borderId="0" xfId="46" applyAlignment="1">
      <alignment horizontal="center"/>
    </xf>
    <xf numFmtId="0" fontId="75" fillId="0" borderId="10" xfId="47" applyFont="1" applyFill="1" applyBorder="1" applyAlignment="1">
      <alignment horizontal="center" vertical="center" textRotation="90"/>
    </xf>
    <xf numFmtId="0" fontId="66" fillId="0" borderId="10" xfId="47" applyFont="1" applyFill="1" applyBorder="1" applyAlignment="1">
      <alignment horizontal="left" vertical="center"/>
    </xf>
    <xf numFmtId="49" fontId="75" fillId="35" borderId="10" xfId="47" applyNumberFormat="1" applyFont="1" applyFill="1" applyBorder="1" applyAlignment="1">
      <alignment vertical="center"/>
    </xf>
    <xf numFmtId="0" fontId="2" fillId="0" borderId="0" xfId="46" applyFill="1"/>
    <xf numFmtId="0" fontId="75" fillId="35" borderId="15" xfId="0" applyFont="1" applyFill="1" applyBorder="1" applyAlignment="1">
      <alignment horizontal="center" vertical="center"/>
    </xf>
    <xf numFmtId="0" fontId="75" fillId="35" borderId="10" xfId="0" applyFont="1" applyFill="1" applyBorder="1" applyAlignment="1">
      <alignment horizontal="center" vertical="center"/>
    </xf>
    <xf numFmtId="0" fontId="48" fillId="0" borderId="0" xfId="0" applyFont="1" applyFill="1"/>
    <xf numFmtId="0" fontId="48" fillId="0" borderId="0" xfId="0" applyFont="1" applyFill="1" applyAlignment="1">
      <alignment horizontal="center"/>
    </xf>
    <xf numFmtId="0" fontId="48" fillId="0" borderId="0" xfId="0" applyFont="1"/>
    <xf numFmtId="0" fontId="48" fillId="0" borderId="0" xfId="0" applyFont="1" applyFill="1" applyBorder="1" applyAlignment="1">
      <alignment horizontal="center"/>
    </xf>
    <xf numFmtId="0" fontId="75" fillId="35" borderId="15" xfId="0" applyFont="1" applyFill="1" applyBorder="1" applyAlignment="1">
      <alignment horizontal="left" vertical="center"/>
    </xf>
    <xf numFmtId="0" fontId="42" fillId="35" borderId="0" xfId="44" applyFont="1" applyFill="1" applyBorder="1" applyAlignment="1">
      <alignment horizontal="center" vertical="center"/>
    </xf>
    <xf numFmtId="0" fontId="43" fillId="35" borderId="0" xfId="0" applyFont="1" applyFill="1" applyBorder="1" applyAlignment="1">
      <alignment horizontal="center"/>
    </xf>
    <xf numFmtId="0" fontId="74" fillId="35" borderId="0" xfId="0" applyFont="1" applyFill="1" applyBorder="1"/>
    <xf numFmtId="0" fontId="73" fillId="35" borderId="0" xfId="0" applyFont="1" applyFill="1" applyBorder="1" applyAlignment="1">
      <alignment wrapText="1"/>
    </xf>
    <xf numFmtId="0" fontId="53" fillId="0" borderId="0" xfId="47"/>
    <xf numFmtId="0" fontId="73" fillId="0" borderId="0" xfId="0" applyFont="1" applyFill="1" applyBorder="1"/>
    <xf numFmtId="0" fontId="73" fillId="35" borderId="0" xfId="0" applyFont="1" applyFill="1" applyBorder="1" applyAlignment="1">
      <alignment horizontal="left"/>
    </xf>
    <xf numFmtId="0" fontId="73" fillId="35" borderId="0" xfId="0" applyFont="1" applyFill="1" applyBorder="1" applyAlignment="1"/>
    <xf numFmtId="0" fontId="73" fillId="35" borderId="0" xfId="0" applyFont="1" applyFill="1"/>
    <xf numFmtId="0" fontId="76" fillId="35" borderId="15" xfId="0" applyFont="1" applyFill="1" applyBorder="1" applyAlignment="1">
      <alignment horizontal="center" vertical="center"/>
    </xf>
    <xf numFmtId="0" fontId="78" fillId="35" borderId="10" xfId="47" applyFont="1" applyFill="1" applyBorder="1" applyAlignment="1">
      <alignment horizontal="center" vertical="center"/>
    </xf>
    <xf numFmtId="0" fontId="74" fillId="0" borderId="0" xfId="0" applyFont="1" applyFill="1" applyAlignment="1">
      <alignment horizontal="center"/>
    </xf>
    <xf numFmtId="0" fontId="74" fillId="0" borderId="0" xfId="0" applyFont="1" applyFill="1" applyBorder="1" applyAlignment="1">
      <alignment horizontal="center"/>
    </xf>
    <xf numFmtId="0" fontId="74" fillId="35" borderId="0" xfId="0" applyFont="1" applyFill="1" applyBorder="1" applyAlignment="1">
      <alignment horizontal="center"/>
    </xf>
    <xf numFmtId="0" fontId="74" fillId="35" borderId="0" xfId="0" applyFont="1" applyFill="1" applyBorder="1" applyAlignment="1">
      <alignment horizontal="left"/>
    </xf>
    <xf numFmtId="0" fontId="74" fillId="0" borderId="0" xfId="0" applyFont="1" applyFill="1" applyBorder="1" applyAlignment="1"/>
    <xf numFmtId="0" fontId="0" fillId="35" borderId="0" xfId="0" applyFill="1"/>
    <xf numFmtId="0" fontId="42" fillId="35" borderId="0" xfId="0" applyFont="1" applyFill="1" applyBorder="1" applyAlignment="1">
      <alignment horizontal="left"/>
    </xf>
    <xf numFmtId="0" fontId="48" fillId="35" borderId="0" xfId="0" applyFont="1" applyFill="1" applyBorder="1"/>
    <xf numFmtId="0" fontId="42" fillId="35" borderId="0" xfId="0" applyFont="1" applyFill="1"/>
    <xf numFmtId="0" fontId="77" fillId="0" borderId="0" xfId="0" applyFont="1"/>
    <xf numFmtId="0" fontId="77" fillId="0" borderId="0" xfId="0" applyFont="1" applyFill="1" applyBorder="1"/>
    <xf numFmtId="0" fontId="77" fillId="35" borderId="0" xfId="0" applyFont="1" applyFill="1" applyBorder="1"/>
    <xf numFmtId="0" fontId="77" fillId="0" borderId="0" xfId="0" applyFont="1" applyFill="1" applyBorder="1" applyAlignment="1"/>
    <xf numFmtId="0" fontId="43" fillId="35" borderId="0" xfId="0" applyFont="1" applyFill="1" applyBorder="1"/>
    <xf numFmtId="0" fontId="79" fillId="0" borderId="0" xfId="0" applyFont="1"/>
    <xf numFmtId="0" fontId="79" fillId="0" borderId="0" xfId="0" applyFont="1" applyFill="1" applyBorder="1"/>
    <xf numFmtId="0" fontId="79" fillId="0" borderId="0" xfId="0" applyFont="1" applyFill="1" applyBorder="1" applyAlignment="1"/>
    <xf numFmtId="0" fontId="77" fillId="35" borderId="0" xfId="0" applyFont="1" applyFill="1" applyBorder="1" applyAlignment="1">
      <alignment wrapText="1"/>
    </xf>
    <xf numFmtId="0" fontId="43" fillId="35" borderId="0" xfId="0" applyFont="1" applyFill="1" applyBorder="1" applyAlignment="1">
      <alignment wrapText="1"/>
    </xf>
    <xf numFmtId="0" fontId="42" fillId="35" borderId="0" xfId="0" applyFont="1" applyFill="1" applyBorder="1" applyAlignment="1">
      <alignment wrapText="1"/>
    </xf>
    <xf numFmtId="0" fontId="65" fillId="0" borderId="0" xfId="0" applyFont="1" applyFill="1"/>
    <xf numFmtId="0" fontId="73" fillId="0" borderId="0" xfId="0" applyFont="1" applyFill="1"/>
    <xf numFmtId="0" fontId="48" fillId="35" borderId="0" xfId="0" applyFont="1" applyFill="1"/>
    <xf numFmtId="0" fontId="15" fillId="0" borderId="0" xfId="0" applyFont="1" applyFill="1" applyBorder="1"/>
    <xf numFmtId="0" fontId="48" fillId="0" borderId="0" xfId="0" applyFont="1" applyFill="1" applyAlignment="1">
      <alignment horizontal="center" wrapText="1"/>
    </xf>
    <xf numFmtId="0" fontId="42" fillId="35" borderId="0" xfId="0" applyFont="1" applyFill="1" applyAlignment="1">
      <alignment horizontal="center" wrapText="1"/>
    </xf>
    <xf numFmtId="3" fontId="48" fillId="0" borderId="0" xfId="0" applyNumberFormat="1" applyFont="1" applyFill="1" applyAlignment="1">
      <alignment horizontal="center" wrapText="1"/>
    </xf>
    <xf numFmtId="3" fontId="42" fillId="35" borderId="0" xfId="0" applyNumberFormat="1" applyFont="1" applyFill="1" applyAlignment="1">
      <alignment horizontal="center" wrapText="1"/>
    </xf>
    <xf numFmtId="0" fontId="0" fillId="0" borderId="0" xfId="0" applyFont="1" applyFill="1" applyBorder="1"/>
    <xf numFmtId="0" fontId="15" fillId="0" borderId="0" xfId="0" applyFont="1" applyFill="1" applyBorder="1" applyAlignment="1"/>
    <xf numFmtId="0" fontId="0" fillId="0" borderId="0" xfId="0" applyFont="1"/>
    <xf numFmtId="0" fontId="0" fillId="35" borderId="0" xfId="0" applyFont="1" applyFill="1"/>
    <xf numFmtId="0" fontId="51" fillId="35" borderId="10" xfId="47" applyFont="1" applyFill="1" applyBorder="1" applyAlignment="1">
      <alignment horizontal="center" vertical="center"/>
    </xf>
    <xf numFmtId="0" fontId="76" fillId="35" borderId="10" xfId="47" applyFont="1" applyFill="1" applyBorder="1" applyAlignment="1">
      <alignment horizontal="center" vertical="center" textRotation="90"/>
    </xf>
    <xf numFmtId="49" fontId="76" fillId="35" borderId="10" xfId="47" applyNumberFormat="1" applyFont="1" applyFill="1" applyBorder="1" applyAlignment="1">
      <alignment horizontal="center" vertical="center" textRotation="90"/>
    </xf>
    <xf numFmtId="0" fontId="76" fillId="35" borderId="10" xfId="47" applyFont="1" applyFill="1" applyBorder="1" applyAlignment="1">
      <alignment horizontal="center" vertical="center"/>
    </xf>
    <xf numFmtId="49" fontId="76" fillId="35" borderId="16" xfId="47" applyNumberFormat="1" applyFont="1" applyFill="1" applyBorder="1" applyAlignment="1">
      <alignment horizontal="center" vertical="center"/>
    </xf>
    <xf numFmtId="0" fontId="76" fillId="35" borderId="16" xfId="47" applyFont="1" applyFill="1" applyBorder="1" applyAlignment="1">
      <alignment horizontal="center" vertical="center"/>
    </xf>
    <xf numFmtId="49" fontId="76" fillId="35" borderId="10" xfId="47" applyNumberFormat="1" applyFont="1" applyFill="1" applyBorder="1" applyAlignment="1">
      <alignment horizontal="center" vertical="center"/>
    </xf>
    <xf numFmtId="49" fontId="56" fillId="0" borderId="0" xfId="47" applyNumberFormat="1" applyFont="1" applyFill="1" applyBorder="1" applyAlignment="1">
      <alignment vertical="center"/>
    </xf>
    <xf numFmtId="0" fontId="54" fillId="0" borderId="0" xfId="42" applyFont="1" applyFill="1" applyBorder="1" applyAlignment="1">
      <alignment vertical="center"/>
    </xf>
    <xf numFmtId="0" fontId="57" fillId="0" borderId="0" xfId="46" applyFont="1" applyFill="1" applyAlignment="1">
      <alignment vertical="center"/>
    </xf>
    <xf numFmtId="0" fontId="76" fillId="35" borderId="10" xfId="46" applyFont="1" applyFill="1" applyBorder="1" applyAlignment="1">
      <alignment horizontal="center" vertical="center" textRotation="90"/>
    </xf>
    <xf numFmtId="0" fontId="59" fillId="0" borderId="0" xfId="46" applyFont="1" applyFill="1" applyBorder="1" applyAlignment="1">
      <alignment vertical="center"/>
    </xf>
    <xf numFmtId="49" fontId="54" fillId="0" borderId="0" xfId="47" applyNumberFormat="1" applyFont="1" applyFill="1" applyBorder="1" applyAlignment="1">
      <alignment vertical="center"/>
    </xf>
    <xf numFmtId="49" fontId="54" fillId="0" borderId="0" xfId="47" applyNumberFormat="1" applyFont="1" applyFill="1" applyBorder="1" applyAlignment="1">
      <alignment horizontal="left" vertical="center"/>
    </xf>
    <xf numFmtId="0" fontId="52" fillId="0" borderId="0" xfId="46" applyFont="1" applyFill="1" applyAlignment="1">
      <alignment vertical="center"/>
    </xf>
    <xf numFmtId="0" fontId="51" fillId="0" borderId="0" xfId="46" applyFont="1" applyFill="1" applyAlignment="1">
      <alignment vertical="center"/>
    </xf>
    <xf numFmtId="0" fontId="51" fillId="0" borderId="0" xfId="47" applyFont="1" applyFill="1" applyBorder="1" applyAlignment="1">
      <alignment horizontal="center" vertical="center"/>
    </xf>
    <xf numFmtId="49" fontId="51" fillId="0" borderId="0" xfId="47" applyNumberFormat="1" applyFont="1" applyFill="1" applyBorder="1" applyAlignment="1">
      <alignment vertical="center"/>
    </xf>
    <xf numFmtId="0" fontId="51" fillId="0" borderId="0" xfId="42" applyFont="1" applyFill="1" applyBorder="1" applyAlignment="1">
      <alignment vertical="center"/>
    </xf>
    <xf numFmtId="0" fontId="57" fillId="0" borderId="0" xfId="46" applyFont="1" applyFill="1" applyAlignment="1">
      <alignment horizontal="center" vertical="center"/>
    </xf>
    <xf numFmtId="0" fontId="2" fillId="0" borderId="0" xfId="46" applyAlignment="1">
      <alignment horizontal="center" vertical="center"/>
    </xf>
    <xf numFmtId="0" fontId="76" fillId="35" borderId="10" xfId="46" applyFont="1" applyFill="1" applyBorder="1" applyAlignment="1">
      <alignment horizontal="center" vertical="center"/>
    </xf>
    <xf numFmtId="49" fontId="85" fillId="33" borderId="17" xfId="50" applyNumberFormat="1" applyFont="1" applyFill="1" applyBorder="1" applyAlignment="1"/>
    <xf numFmtId="49" fontId="85" fillId="33" borderId="17" xfId="50" applyNumberFormat="1" applyFont="1" applyFill="1" applyBorder="1" applyAlignment="1">
      <alignment wrapText="1"/>
    </xf>
    <xf numFmtId="49" fontId="85" fillId="33" borderId="15" xfId="50" applyNumberFormat="1" applyFont="1" applyFill="1" applyBorder="1" applyAlignment="1">
      <alignment horizontal="center" wrapText="1"/>
    </xf>
    <xf numFmtId="49" fontId="85" fillId="33" borderId="18" xfId="50" applyNumberFormat="1" applyFont="1" applyFill="1" applyBorder="1" applyAlignment="1">
      <alignment wrapText="1"/>
    </xf>
    <xf numFmtId="164" fontId="85" fillId="33" borderId="19" xfId="50" applyNumberFormat="1" applyFont="1" applyFill="1" applyBorder="1" applyAlignment="1">
      <alignment textRotation="90" wrapText="1"/>
    </xf>
    <xf numFmtId="164" fontId="85" fillId="33" borderId="19" xfId="50" applyNumberFormat="1" applyFont="1" applyFill="1" applyBorder="1" applyAlignment="1">
      <alignment horizontal="center" textRotation="90" wrapText="1"/>
    </xf>
    <xf numFmtId="49" fontId="86" fillId="33" borderId="15" xfId="50" applyNumberFormat="1" applyFont="1" applyFill="1" applyBorder="1" applyAlignment="1">
      <alignment horizontal="center" textRotation="90" wrapText="1"/>
    </xf>
    <xf numFmtId="49" fontId="86" fillId="33" borderId="15" xfId="50" applyNumberFormat="1" applyFont="1" applyFill="1" applyBorder="1" applyAlignment="1">
      <alignment textRotation="90" wrapText="1"/>
    </xf>
    <xf numFmtId="49" fontId="85" fillId="33" borderId="15" xfId="50" applyNumberFormat="1" applyFont="1" applyFill="1" applyBorder="1" applyAlignment="1"/>
    <xf numFmtId="49" fontId="86" fillId="33" borderId="15" xfId="50" applyNumberFormat="1" applyFont="1" applyFill="1" applyBorder="1" applyAlignment="1">
      <alignment wrapText="1"/>
    </xf>
    <xf numFmtId="165" fontId="55" fillId="33" borderId="15" xfId="50" applyNumberFormat="1" applyFont="1" applyFill="1" applyBorder="1" applyAlignment="1">
      <alignment wrapText="1"/>
    </xf>
    <xf numFmtId="165" fontId="85" fillId="33" borderId="15" xfId="50" applyNumberFormat="1" applyFont="1" applyFill="1" applyBorder="1" applyAlignment="1">
      <alignment wrapText="1"/>
    </xf>
    <xf numFmtId="49" fontId="86" fillId="33" borderId="10" xfId="51" applyNumberFormat="1" applyFont="1" applyFill="1" applyBorder="1" applyAlignment="1">
      <alignment wrapText="1"/>
    </xf>
    <xf numFmtId="49" fontId="86" fillId="33" borderId="15" xfId="51" applyNumberFormat="1" applyFont="1" applyFill="1" applyBorder="1" applyAlignment="1">
      <alignment horizontal="center" wrapText="1"/>
    </xf>
    <xf numFmtId="49" fontId="86" fillId="0" borderId="10" xfId="51" applyNumberFormat="1" applyFont="1" applyFill="1" applyBorder="1" applyAlignment="1">
      <alignment textRotation="90" wrapText="1"/>
    </xf>
    <xf numFmtId="9" fontId="86" fillId="0" borderId="10" xfId="49" applyFont="1" applyFill="1" applyBorder="1" applyAlignment="1">
      <alignment textRotation="90"/>
    </xf>
    <xf numFmtId="9" fontId="86" fillId="0" borderId="10" xfId="49" applyFont="1" applyFill="1" applyBorder="1" applyAlignment="1">
      <alignment textRotation="90" wrapText="1"/>
    </xf>
    <xf numFmtId="49" fontId="85" fillId="33" borderId="15" xfId="50" applyNumberFormat="1" applyFont="1" applyFill="1" applyBorder="1" applyAlignment="1">
      <alignment wrapText="1"/>
    </xf>
    <xf numFmtId="49" fontId="87" fillId="33" borderId="15" xfId="50" applyNumberFormat="1" applyFont="1" applyFill="1" applyBorder="1" applyAlignment="1">
      <alignment wrapText="1"/>
    </xf>
    <xf numFmtId="49" fontId="85" fillId="0" borderId="17" xfId="50" applyNumberFormat="1" applyFont="1" applyFill="1" applyBorder="1" applyAlignment="1">
      <alignment vertical="center"/>
    </xf>
    <xf numFmtId="49" fontId="85" fillId="0" borderId="17" xfId="50" applyNumberFormat="1" applyFont="1" applyFill="1" applyBorder="1" applyAlignment="1">
      <alignment vertical="center" wrapText="1"/>
    </xf>
    <xf numFmtId="49" fontId="85" fillId="0" borderId="15" xfId="50" applyNumberFormat="1" applyFont="1" applyFill="1" applyBorder="1" applyAlignment="1">
      <alignment horizontal="center" vertical="center" wrapText="1"/>
    </xf>
    <xf numFmtId="164" fontId="86" fillId="0" borderId="15" xfId="50" applyNumberFormat="1" applyFont="1" applyFill="1" applyBorder="1" applyAlignment="1">
      <alignment vertical="center" wrapText="1"/>
    </xf>
    <xf numFmtId="49" fontId="85" fillId="0" borderId="18" xfId="50" applyNumberFormat="1" applyFont="1" applyFill="1" applyBorder="1" applyAlignment="1">
      <alignment vertical="center"/>
    </xf>
    <xf numFmtId="164" fontId="85" fillId="0" borderId="19" xfId="50" applyNumberFormat="1" applyFont="1" applyFill="1" applyBorder="1" applyAlignment="1">
      <alignment vertical="center"/>
    </xf>
    <xf numFmtId="49" fontId="85" fillId="0" borderId="17" xfId="50" applyNumberFormat="1" applyFont="1" applyFill="1" applyBorder="1" applyAlignment="1">
      <alignment horizontal="center" vertical="center"/>
    </xf>
    <xf numFmtId="49" fontId="86" fillId="0" borderId="15" xfId="50" applyNumberFormat="1" applyFont="1" applyFill="1" applyBorder="1" applyAlignment="1">
      <alignment horizontal="center" vertical="center" textRotation="90" wrapText="1"/>
    </xf>
    <xf numFmtId="49" fontId="86" fillId="0" borderId="15" xfId="50" applyNumberFormat="1" applyFont="1" applyFill="1" applyBorder="1" applyAlignment="1">
      <alignment vertical="center" textRotation="90" wrapText="1"/>
    </xf>
    <xf numFmtId="49" fontId="85" fillId="0" borderId="15" xfId="50" applyNumberFormat="1" applyFont="1" applyFill="1" applyBorder="1" applyAlignment="1">
      <alignment vertical="center"/>
    </xf>
    <xf numFmtId="49" fontId="86" fillId="0" borderId="15" xfId="50" applyNumberFormat="1" applyFont="1" applyFill="1" applyBorder="1" applyAlignment="1">
      <alignment vertical="center" wrapText="1"/>
    </xf>
    <xf numFmtId="165" fontId="55" fillId="0" borderId="18" xfId="50" applyNumberFormat="1" applyFont="1" applyFill="1" applyBorder="1" applyAlignment="1">
      <alignment vertical="center" wrapText="1"/>
    </xf>
    <xf numFmtId="165" fontId="85" fillId="0" borderId="17" xfId="50" applyNumberFormat="1" applyFont="1" applyFill="1" applyBorder="1" applyAlignment="1">
      <alignment vertical="center" wrapText="1"/>
    </xf>
    <xf numFmtId="49" fontId="86" fillId="0" borderId="0" xfId="51" applyNumberFormat="1" applyFont="1" applyFill="1" applyBorder="1" applyAlignment="1">
      <alignment vertical="center" wrapText="1"/>
    </xf>
    <xf numFmtId="0" fontId="86" fillId="0" borderId="0" xfId="42" applyFont="1" applyFill="1" applyAlignment="1">
      <alignment vertical="center"/>
    </xf>
    <xf numFmtId="0" fontId="19" fillId="0" borderId="14" xfId="42" applyFont="1" applyBorder="1" applyAlignment="1">
      <alignment horizontal="center" vertical="center" wrapText="1"/>
    </xf>
    <xf numFmtId="0" fontId="86" fillId="0" borderId="0" xfId="42" applyFont="1" applyAlignment="1">
      <alignment vertical="center"/>
    </xf>
    <xf numFmtId="9" fontId="88" fillId="0" borderId="0" xfId="49" applyFont="1" applyAlignment="1">
      <alignment vertical="center"/>
    </xf>
    <xf numFmtId="49" fontId="85" fillId="0" borderId="15" xfId="50" applyNumberFormat="1" applyFont="1" applyFill="1" applyBorder="1" applyAlignment="1">
      <alignment vertical="center" wrapText="1"/>
    </xf>
    <xf numFmtId="49" fontId="87" fillId="0" borderId="15" xfId="50" applyNumberFormat="1" applyFont="1" applyFill="1" applyBorder="1" applyAlignment="1">
      <alignment vertical="center" wrapText="1"/>
    </xf>
    <xf numFmtId="49" fontId="85" fillId="38" borderId="19" xfId="50" applyNumberFormat="1" applyFont="1" applyFill="1" applyBorder="1" applyAlignment="1">
      <alignment vertical="center"/>
    </xf>
    <xf numFmtId="49" fontId="85" fillId="38" borderId="19" xfId="50" applyNumberFormat="1" applyFont="1" applyFill="1" applyBorder="1" applyAlignment="1">
      <alignment horizontal="center" vertical="center"/>
    </xf>
    <xf numFmtId="164" fontId="85" fillId="38" borderId="19" xfId="50" applyNumberFormat="1" applyFont="1" applyFill="1" applyBorder="1" applyAlignment="1">
      <alignment vertical="center"/>
    </xf>
    <xf numFmtId="49" fontId="86" fillId="38" borderId="19" xfId="50" applyNumberFormat="1" applyFont="1" applyFill="1" applyBorder="1" applyAlignment="1">
      <alignment horizontal="center" vertical="center"/>
    </xf>
    <xf numFmtId="49" fontId="86" fillId="38" borderId="19" xfId="50" quotePrefix="1" applyNumberFormat="1" applyFont="1" applyFill="1" applyBorder="1" applyAlignment="1">
      <alignment vertical="center" wrapText="1"/>
    </xf>
    <xf numFmtId="165" fontId="86" fillId="38" borderId="19" xfId="50" applyNumberFormat="1" applyFont="1" applyFill="1" applyBorder="1" applyAlignment="1">
      <alignment vertical="center"/>
    </xf>
    <xf numFmtId="49" fontId="86" fillId="38" borderId="19" xfId="51" applyNumberFormat="1" applyFont="1" applyFill="1" applyBorder="1" applyAlignment="1">
      <alignment vertical="center" wrapText="1"/>
    </xf>
    <xf numFmtId="0" fontId="89" fillId="38" borderId="19" xfId="51" applyNumberFormat="1" applyFont="1" applyFill="1" applyBorder="1" applyAlignment="1">
      <alignment horizontal="center" vertical="center" wrapText="1"/>
    </xf>
    <xf numFmtId="0" fontId="86" fillId="38" borderId="19" xfId="42" applyFont="1" applyFill="1" applyBorder="1" applyAlignment="1">
      <alignment vertical="center"/>
    </xf>
    <xf numFmtId="9" fontId="88" fillId="38" borderId="19" xfId="49" applyFont="1" applyFill="1" applyBorder="1" applyAlignment="1">
      <alignment vertical="center"/>
    </xf>
    <xf numFmtId="49" fontId="87" fillId="38" borderId="19" xfId="50" applyNumberFormat="1" applyFont="1" applyFill="1" applyBorder="1" applyAlignment="1">
      <alignment vertical="center"/>
    </xf>
    <xf numFmtId="164" fontId="42" fillId="0" borderId="0" xfId="0" applyNumberFormat="1" applyFont="1" applyFill="1" applyAlignment="1">
      <alignment horizontal="center"/>
    </xf>
    <xf numFmtId="0" fontId="65" fillId="0" borderId="0" xfId="0" applyFont="1" applyFill="1" applyAlignment="1"/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36" borderId="0" xfId="0" applyFill="1" applyAlignment="1">
      <alignment horizontal="center"/>
    </xf>
    <xf numFmtId="0" fontId="48" fillId="0" borderId="0" xfId="0" applyFont="1" applyAlignment="1"/>
    <xf numFmtId="0" fontId="42" fillId="36" borderId="0" xfId="0" applyFont="1" applyFill="1" applyAlignment="1">
      <alignment horizontal="center"/>
    </xf>
    <xf numFmtId="0" fontId="0" fillId="36" borderId="0" xfId="0" applyFill="1"/>
    <xf numFmtId="0" fontId="78" fillId="39" borderId="15" xfId="47" applyNumberFormat="1" applyFont="1" applyFill="1" applyBorder="1" applyAlignment="1">
      <alignment vertical="center"/>
    </xf>
    <xf numFmtId="0" fontId="51" fillId="37" borderId="10" xfId="47" applyFont="1" applyFill="1" applyBorder="1" applyAlignment="1">
      <alignment vertical="center"/>
    </xf>
    <xf numFmtId="0" fontId="51" fillId="39" borderId="10" xfId="47" applyFont="1" applyFill="1" applyBorder="1" applyAlignment="1">
      <alignment horizontal="left" vertical="center"/>
    </xf>
    <xf numFmtId="0" fontId="51" fillId="39" borderId="15" xfId="47" applyNumberFormat="1" applyFont="1" applyFill="1" applyBorder="1" applyAlignment="1">
      <alignment vertical="center"/>
    </xf>
    <xf numFmtId="0" fontId="51" fillId="39" borderId="10" xfId="47" applyFont="1" applyFill="1" applyBorder="1" applyAlignment="1">
      <alignment vertical="center"/>
    </xf>
    <xf numFmtId="0" fontId="42" fillId="39" borderId="10" xfId="45" applyFont="1" applyFill="1" applyBorder="1" applyAlignment="1">
      <alignment vertical="center"/>
    </xf>
    <xf numFmtId="0" fontId="51" fillId="39" borderId="10" xfId="47" applyNumberFormat="1" applyFont="1" applyFill="1" applyBorder="1" applyAlignment="1">
      <alignment vertical="center"/>
    </xf>
    <xf numFmtId="0" fontId="43" fillId="37" borderId="10" xfId="0" applyFont="1" applyFill="1" applyBorder="1" applyAlignment="1">
      <alignment vertical="center"/>
    </xf>
    <xf numFmtId="0" fontId="50" fillId="39" borderId="15" xfId="47" applyNumberFormat="1" applyFont="1" applyFill="1" applyBorder="1" applyAlignment="1">
      <alignment vertical="center"/>
    </xf>
    <xf numFmtId="0" fontId="50" fillId="39" borderId="10" xfId="47" applyFont="1" applyFill="1" applyBorder="1" applyAlignment="1">
      <alignment horizontal="left" vertical="center"/>
    </xf>
    <xf numFmtId="0" fontId="50" fillId="39" borderId="10" xfId="47" applyNumberFormat="1" applyFont="1" applyFill="1" applyBorder="1" applyAlignment="1">
      <alignment vertical="center"/>
    </xf>
    <xf numFmtId="0" fontId="51" fillId="0" borderId="15" xfId="47" applyFont="1" applyFill="1" applyBorder="1" applyAlignment="1">
      <alignment horizontal="left" vertical="center"/>
    </xf>
    <xf numFmtId="0" fontId="51" fillId="0" borderId="16" xfId="47" applyFont="1" applyFill="1" applyBorder="1" applyAlignment="1">
      <alignment horizontal="left" vertical="center"/>
    </xf>
  </cellXfs>
  <cellStyles count="5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4" builtinId="8"/>
    <cellStyle name="Incorrecto" xfId="7" builtinId="27" customBuiltin="1"/>
    <cellStyle name="Neutral" xfId="8" builtinId="28" customBuiltin="1"/>
    <cellStyle name="Normal" xfId="0" builtinId="0"/>
    <cellStyle name="Normálna 2" xfId="45"/>
    <cellStyle name="Normálna 2 2" xfId="46"/>
    <cellStyle name="Notas" xfId="15" builtinId="10" customBuiltin="1"/>
    <cellStyle name="Porcentaje" xfId="49" builtinId="5"/>
    <cellStyle name="Salida" xfId="10" builtinId="21" customBuiltin="1"/>
    <cellStyle name="Standard 2" xfId="42"/>
    <cellStyle name="Standard 3" xfId="43"/>
    <cellStyle name="Standard_KSK_ABS" xfId="51"/>
    <cellStyle name="Standard_TAB_016_450_451_Serie" xfId="50"/>
    <cellStyle name="Standard_V01_TAB_450AA_IR_inkl_aem072_230710_PIM_20110110" xfId="47"/>
    <cellStyle name="Stil 1" xfId="48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7"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000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723900</xdr:colOff>
          <xdr:row>0</xdr:row>
          <xdr:rowOff>342900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Odkial - kam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0</xdr:row>
          <xdr:rowOff>28575</xdr:rowOff>
        </xdr:from>
        <xdr:to>
          <xdr:col>0</xdr:col>
          <xdr:colOff>1609725</xdr:colOff>
          <xdr:row>0</xdr:row>
          <xdr:rowOff>342900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Vypni odkial - kam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428625</xdr:rowOff>
        </xdr:from>
        <xdr:to>
          <xdr:col>0</xdr:col>
          <xdr:colOff>723900</xdr:colOff>
          <xdr:row>0</xdr:row>
          <xdr:rowOff>742950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Objednavka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923925</xdr:rowOff>
        </xdr:from>
        <xdr:to>
          <xdr:col>0</xdr:col>
          <xdr:colOff>1476375</xdr:colOff>
          <xdr:row>0</xdr:row>
          <xdr:rowOff>1285875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Zmena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76200</xdr:rowOff>
        </xdr:from>
        <xdr:to>
          <xdr:col>0</xdr:col>
          <xdr:colOff>923925</xdr:colOff>
          <xdr:row>0</xdr:row>
          <xdr:rowOff>333375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ZMENA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FV\fv_mail\Zeichnungen%20alle%20Projekte\Projekt%20Audi%20Etron%20GT\Audi%20Etron%20GT\FK\ZD_12042019\COCKPIT\alt\F_kozept_Cockpit_08_06_2018_LOL_wire%20by%20wire_BL021_0-Serie_Porsche_porovnavk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gende"/>
      <sheetName val="3_Wirelist_actuall"/>
      <sheetName val="2_BOOM_actuall"/>
      <sheetName val="KM_liste"/>
      <sheetName val="VT01"/>
      <sheetName val="VT03"/>
      <sheetName val="VT04"/>
      <sheetName val="Steuerungsvorgabe"/>
      <sheetName val="Hárok1"/>
      <sheetName val="Spliceliste statisch"/>
      <sheetName val="splice ubersicht"/>
      <sheetName val="Verfolgungsliste"/>
      <sheetName val="F_kozept_Cockpit_08_06_2018_LOL"/>
    </sheetNames>
    <definedNames>
      <definedName name="fillruj_rovnake"/>
      <definedName name="hld_mdl"/>
      <definedName name="vypni_odkial_kam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B34"/>
  <sheetViews>
    <sheetView workbookViewId="0">
      <selection activeCell="D27" sqref="D27"/>
    </sheetView>
  </sheetViews>
  <sheetFormatPr baseColWidth="10" defaultRowHeight="15"/>
  <sheetData>
    <row r="1" spans="1:28">
      <c r="A1" t="s">
        <v>2570</v>
      </c>
      <c r="B1" t="s">
        <v>2571</v>
      </c>
      <c r="C1" t="s">
        <v>2572</v>
      </c>
      <c r="D1" t="s">
        <v>2573</v>
      </c>
      <c r="E1" t="s">
        <v>2574</v>
      </c>
      <c r="F1" t="s">
        <v>2575</v>
      </c>
      <c r="G1" t="s">
        <v>2576</v>
      </c>
      <c r="H1" t="s">
        <v>2577</v>
      </c>
      <c r="I1" t="s">
        <v>2578</v>
      </c>
      <c r="J1" t="s">
        <v>2579</v>
      </c>
      <c r="K1" t="s">
        <v>2580</v>
      </c>
      <c r="L1" t="s">
        <v>2581</v>
      </c>
      <c r="M1" t="s">
        <v>2582</v>
      </c>
      <c r="N1" t="s">
        <v>2583</v>
      </c>
      <c r="O1" t="s">
        <v>2584</v>
      </c>
      <c r="P1" t="s">
        <v>2585</v>
      </c>
      <c r="Q1" t="s">
        <v>2586</v>
      </c>
      <c r="R1" t="s">
        <v>2587</v>
      </c>
      <c r="S1" t="s">
        <v>2588</v>
      </c>
      <c r="T1" t="s">
        <v>2589</v>
      </c>
      <c r="U1" t="s">
        <v>2590</v>
      </c>
      <c r="V1" t="s">
        <v>2591</v>
      </c>
      <c r="W1" t="s">
        <v>2592</v>
      </c>
      <c r="X1" t="s">
        <v>2593</v>
      </c>
      <c r="Y1" t="s">
        <v>2594</v>
      </c>
      <c r="Z1" t="s">
        <v>2595</v>
      </c>
      <c r="AA1" t="s">
        <v>2596</v>
      </c>
      <c r="AB1" t="s">
        <v>2597</v>
      </c>
    </row>
    <row r="2" spans="1:28">
      <c r="A2">
        <v>2107</v>
      </c>
      <c r="C2" t="s">
        <v>2472</v>
      </c>
      <c r="D2" s="299" t="s">
        <v>2290</v>
      </c>
      <c r="E2" s="299" t="s">
        <v>2316</v>
      </c>
      <c r="F2" s="299" t="s">
        <v>2351</v>
      </c>
    </row>
    <row r="3" spans="1:28">
      <c r="A3">
        <v>2015</v>
      </c>
      <c r="C3" t="s">
        <v>2477</v>
      </c>
    </row>
    <row r="4" spans="1:28">
      <c r="A4">
        <v>2015</v>
      </c>
      <c r="C4" t="s">
        <v>2480</v>
      </c>
    </row>
    <row r="5" spans="1:28">
      <c r="A5">
        <v>2015</v>
      </c>
      <c r="C5" t="s">
        <v>2484</v>
      </c>
    </row>
    <row r="6" spans="1:28">
      <c r="A6">
        <v>1939</v>
      </c>
      <c r="C6" t="s">
        <v>2486</v>
      </c>
    </row>
    <row r="7" spans="1:28">
      <c r="A7">
        <v>2015</v>
      </c>
      <c r="C7" t="s">
        <v>2492</v>
      </c>
    </row>
    <row r="8" spans="1:28">
      <c r="A8">
        <v>2015</v>
      </c>
      <c r="C8" t="s">
        <v>2495</v>
      </c>
    </row>
    <row r="9" spans="1:28">
      <c r="A9">
        <v>2012</v>
      </c>
      <c r="C9" t="s">
        <v>2498</v>
      </c>
      <c r="D9" s="299" t="s">
        <v>2319</v>
      </c>
    </row>
    <row r="10" spans="1:28">
      <c r="A10">
        <v>2012</v>
      </c>
      <c r="C10" t="s">
        <v>2500</v>
      </c>
      <c r="D10" s="299" t="s">
        <v>2319</v>
      </c>
    </row>
    <row r="11" spans="1:28">
      <c r="A11">
        <v>1939</v>
      </c>
      <c r="C11" t="s">
        <v>2502</v>
      </c>
    </row>
    <row r="12" spans="1:28">
      <c r="A12">
        <v>1939</v>
      </c>
      <c r="C12" t="s">
        <v>2505</v>
      </c>
    </row>
    <row r="13" spans="1:28">
      <c r="A13">
        <v>1939</v>
      </c>
      <c r="C13" t="s">
        <v>2508</v>
      </c>
    </row>
    <row r="14" spans="1:28">
      <c r="A14">
        <v>1939</v>
      </c>
      <c r="C14" t="s">
        <v>2510</v>
      </c>
    </row>
    <row r="15" spans="1:28">
      <c r="A15">
        <v>2021</v>
      </c>
      <c r="C15" t="s">
        <v>2514</v>
      </c>
      <c r="D15" s="299" t="s">
        <v>2321</v>
      </c>
    </row>
    <row r="16" spans="1:28">
      <c r="A16">
        <v>2021</v>
      </c>
      <c r="C16" t="s">
        <v>2516</v>
      </c>
      <c r="D16" s="299" t="s">
        <v>2324</v>
      </c>
    </row>
    <row r="17" spans="1:4">
      <c r="A17">
        <v>2028</v>
      </c>
      <c r="C17" t="s">
        <v>2519</v>
      </c>
    </row>
    <row r="18" spans="1:4">
      <c r="A18">
        <v>1939</v>
      </c>
      <c r="C18" t="s">
        <v>2521</v>
      </c>
      <c r="D18" s="299" t="s">
        <v>2294</v>
      </c>
    </row>
    <row r="19" spans="1:4">
      <c r="A19">
        <v>2107</v>
      </c>
      <c r="C19" t="s">
        <v>2524</v>
      </c>
      <c r="D19" s="299" t="s">
        <v>2430</v>
      </c>
    </row>
    <row r="20" spans="1:4">
      <c r="A20">
        <v>2107</v>
      </c>
      <c r="C20" t="s">
        <v>2527</v>
      </c>
      <c r="D20" s="299" t="s">
        <v>2429</v>
      </c>
    </row>
    <row r="21" spans="1:4">
      <c r="A21">
        <v>2107</v>
      </c>
      <c r="C21" t="s">
        <v>2530</v>
      </c>
      <c r="D21" s="299" t="s">
        <v>2431</v>
      </c>
    </row>
    <row r="22" spans="1:4">
      <c r="A22">
        <v>2012</v>
      </c>
      <c r="C22" t="s">
        <v>2532</v>
      </c>
      <c r="D22" s="299" t="s">
        <v>2302</v>
      </c>
    </row>
    <row r="23" spans="1:4">
      <c r="A23">
        <v>2012</v>
      </c>
      <c r="C23" t="s">
        <v>2536</v>
      </c>
      <c r="D23" s="299" t="s">
        <v>2304</v>
      </c>
    </row>
    <row r="24" spans="1:4">
      <c r="A24">
        <v>1939</v>
      </c>
      <c r="C24" t="s">
        <v>2540</v>
      </c>
    </row>
    <row r="25" spans="1:4">
      <c r="A25">
        <v>2015</v>
      </c>
      <c r="C25" t="s">
        <v>2543</v>
      </c>
    </row>
    <row r="26" spans="1:4">
      <c r="A26">
        <v>1939</v>
      </c>
      <c r="C26" t="s">
        <v>2545</v>
      </c>
    </row>
    <row r="27" spans="1:4">
      <c r="A27">
        <v>2045</v>
      </c>
      <c r="C27" t="s">
        <v>2549</v>
      </c>
      <c r="D27" s="299" t="s">
        <v>2346</v>
      </c>
    </row>
    <row r="28" spans="1:4">
      <c r="A28">
        <v>1939</v>
      </c>
      <c r="C28" t="s">
        <v>2551</v>
      </c>
    </row>
    <row r="29" spans="1:4">
      <c r="A29">
        <v>1939</v>
      </c>
      <c r="C29" t="s">
        <v>2554</v>
      </c>
      <c r="D29" s="299" t="s">
        <v>2307</v>
      </c>
    </row>
    <row r="30" spans="1:4">
      <c r="A30">
        <v>2045</v>
      </c>
      <c r="C30" t="s">
        <v>2558</v>
      </c>
    </row>
    <row r="31" spans="1:4">
      <c r="A31">
        <v>2015</v>
      </c>
      <c r="C31" t="s">
        <v>2560</v>
      </c>
    </row>
    <row r="32" spans="1:4">
      <c r="A32">
        <v>2028</v>
      </c>
      <c r="C32" t="s">
        <v>2562</v>
      </c>
      <c r="D32" s="299" t="s">
        <v>2310</v>
      </c>
    </row>
    <row r="33" spans="1:3">
      <c r="A33">
        <v>2021</v>
      </c>
      <c r="C33" t="s">
        <v>2565</v>
      </c>
    </row>
    <row r="34" spans="1:3">
      <c r="A34">
        <v>2021</v>
      </c>
      <c r="C34" t="s">
        <v>2569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19"/>
  <sheetViews>
    <sheetView tabSelected="1" workbookViewId="0">
      <selection activeCell="G24" sqref="G24"/>
    </sheetView>
  </sheetViews>
  <sheetFormatPr baseColWidth="10" defaultRowHeight="15"/>
  <sheetData>
    <row r="1" spans="1:28">
      <c r="A1" t="s">
        <v>2252</v>
      </c>
      <c r="B1" t="s">
        <v>2254</v>
      </c>
      <c r="C1" t="s">
        <v>2598</v>
      </c>
      <c r="D1" t="s">
        <v>2573</v>
      </c>
      <c r="E1" t="s">
        <v>2574</v>
      </c>
      <c r="F1" t="s">
        <v>2575</v>
      </c>
      <c r="G1" t="s">
        <v>2576</v>
      </c>
      <c r="H1" t="s">
        <v>2577</v>
      </c>
      <c r="I1" t="s">
        <v>2578</v>
      </c>
      <c r="J1" t="s">
        <v>2579</v>
      </c>
      <c r="K1" t="s">
        <v>2580</v>
      </c>
      <c r="L1" t="s">
        <v>2581</v>
      </c>
      <c r="M1" t="s">
        <v>2582</v>
      </c>
      <c r="N1" t="s">
        <v>2583</v>
      </c>
      <c r="O1" t="s">
        <v>2584</v>
      </c>
      <c r="P1" t="s">
        <v>2585</v>
      </c>
      <c r="Q1" t="s">
        <v>2586</v>
      </c>
      <c r="R1" t="s">
        <v>2587</v>
      </c>
      <c r="S1" t="s">
        <v>2588</v>
      </c>
      <c r="T1" t="s">
        <v>2589</v>
      </c>
      <c r="U1" t="s">
        <v>2590</v>
      </c>
      <c r="V1" t="s">
        <v>2591</v>
      </c>
      <c r="W1" t="s">
        <v>2592</v>
      </c>
      <c r="X1" t="s">
        <v>2593</v>
      </c>
      <c r="Y1" t="s">
        <v>2594</v>
      </c>
      <c r="Z1" t="s">
        <v>2595</v>
      </c>
      <c r="AA1" t="s">
        <v>2596</v>
      </c>
      <c r="AB1" t="s">
        <v>2597</v>
      </c>
    </row>
    <row r="2" spans="1:28">
      <c r="C2" t="s">
        <v>2599</v>
      </c>
      <c r="D2" s="299" t="s">
        <v>2290</v>
      </c>
      <c r="E2" s="299" t="s">
        <v>2294</v>
      </c>
      <c r="F2" s="299" t="s">
        <v>2307</v>
      </c>
      <c r="G2" s="299" t="s">
        <v>2310</v>
      </c>
    </row>
    <row r="3" spans="1:28">
      <c r="C3" t="s">
        <v>2600</v>
      </c>
      <c r="D3" s="299" t="s">
        <v>2290</v>
      </c>
      <c r="E3" s="299" t="s">
        <v>2302</v>
      </c>
      <c r="F3" s="299" t="s">
        <v>2307</v>
      </c>
      <c r="G3" s="299" t="s">
        <v>2310</v>
      </c>
    </row>
    <row r="4" spans="1:28">
      <c r="C4" t="s">
        <v>2601</v>
      </c>
      <c r="D4" s="299" t="s">
        <v>2290</v>
      </c>
      <c r="E4" s="299" t="s">
        <v>2304</v>
      </c>
      <c r="F4" s="299" t="s">
        <v>2307</v>
      </c>
      <c r="G4" s="299" t="s">
        <v>2310</v>
      </c>
    </row>
    <row r="5" spans="1:28">
      <c r="C5" t="s">
        <v>2602</v>
      </c>
      <c r="D5" s="299" t="s">
        <v>2290</v>
      </c>
      <c r="E5" s="299" t="s">
        <v>2294</v>
      </c>
      <c r="F5" s="299" t="s">
        <v>2307</v>
      </c>
    </row>
    <row r="6" spans="1:28">
      <c r="C6" t="s">
        <v>2603</v>
      </c>
      <c r="D6" s="299" t="s">
        <v>2290</v>
      </c>
      <c r="E6" s="299" t="s">
        <v>2302</v>
      </c>
      <c r="F6" s="299" t="s">
        <v>2307</v>
      </c>
    </row>
    <row r="7" spans="1:28">
      <c r="C7" t="s">
        <v>2604</v>
      </c>
      <c r="D7" s="299" t="s">
        <v>2290</v>
      </c>
      <c r="E7" s="299" t="s">
        <v>2304</v>
      </c>
      <c r="F7" s="299" t="s">
        <v>2307</v>
      </c>
    </row>
    <row r="8" spans="1:28">
      <c r="C8" t="s">
        <v>2605</v>
      </c>
      <c r="D8" s="299" t="s">
        <v>2290</v>
      </c>
      <c r="E8" s="299" t="s">
        <v>2430</v>
      </c>
      <c r="F8" s="299" t="s">
        <v>2307</v>
      </c>
      <c r="G8" s="299" t="s">
        <v>2310</v>
      </c>
    </row>
    <row r="9" spans="1:28">
      <c r="C9" t="s">
        <v>2606</v>
      </c>
      <c r="D9" s="299" t="s">
        <v>2290</v>
      </c>
      <c r="E9" s="299" t="s">
        <v>2429</v>
      </c>
      <c r="F9" s="299" t="s">
        <v>2307</v>
      </c>
      <c r="G9" s="299" t="s">
        <v>2310</v>
      </c>
    </row>
    <row r="10" spans="1:28">
      <c r="C10" t="s">
        <v>2607</v>
      </c>
      <c r="D10" s="299" t="s">
        <v>2290</v>
      </c>
      <c r="E10" s="299" t="s">
        <v>2431</v>
      </c>
      <c r="F10" s="299" t="s">
        <v>2307</v>
      </c>
      <c r="G10" s="299" t="s">
        <v>2310</v>
      </c>
    </row>
    <row r="11" spans="1:28">
      <c r="C11" t="s">
        <v>2608</v>
      </c>
      <c r="D11" s="299" t="s">
        <v>2290</v>
      </c>
      <c r="E11" s="299" t="s">
        <v>2430</v>
      </c>
      <c r="F11" s="299" t="s">
        <v>2307</v>
      </c>
    </row>
    <row r="12" spans="1:28">
      <c r="C12" t="s">
        <v>2609</v>
      </c>
      <c r="D12" s="299" t="s">
        <v>2290</v>
      </c>
      <c r="E12" s="299" t="s">
        <v>2429</v>
      </c>
      <c r="F12" s="299" t="s">
        <v>2307</v>
      </c>
    </row>
    <row r="13" spans="1:28">
      <c r="C13" t="s">
        <v>2610</v>
      </c>
      <c r="D13" s="299" t="s">
        <v>2290</v>
      </c>
      <c r="E13" s="299" t="s">
        <v>2431</v>
      </c>
      <c r="F13" s="299" t="s">
        <v>2307</v>
      </c>
    </row>
    <row r="14" spans="1:28">
      <c r="C14" t="s">
        <v>2611</v>
      </c>
      <c r="D14" s="299" t="s">
        <v>2316</v>
      </c>
      <c r="E14" s="299" t="s">
        <v>2324</v>
      </c>
    </row>
    <row r="15" spans="1:28">
      <c r="C15" t="s">
        <v>2612</v>
      </c>
      <c r="D15" s="299" t="s">
        <v>2316</v>
      </c>
      <c r="E15" s="299" t="s">
        <v>2319</v>
      </c>
      <c r="F15" s="299" t="s">
        <v>2324</v>
      </c>
    </row>
    <row r="16" spans="1:28">
      <c r="C16" t="s">
        <v>2613</v>
      </c>
      <c r="D16" s="299" t="s">
        <v>2316</v>
      </c>
      <c r="E16" s="299" t="s">
        <v>2321</v>
      </c>
    </row>
    <row r="17" spans="3:6">
      <c r="C17" t="s">
        <v>2614</v>
      </c>
      <c r="D17" s="299" t="s">
        <v>2316</v>
      </c>
      <c r="E17" s="299" t="s">
        <v>2319</v>
      </c>
      <c r="F17" s="299" t="s">
        <v>2321</v>
      </c>
    </row>
    <row r="18" spans="3:6">
      <c r="C18" t="s">
        <v>2615</v>
      </c>
      <c r="D18" s="299" t="s">
        <v>2351</v>
      </c>
    </row>
    <row r="19" spans="3:6">
      <c r="C19" t="s">
        <v>2616</v>
      </c>
      <c r="D19" s="299" t="s">
        <v>2351</v>
      </c>
      <c r="E19" s="299" t="s">
        <v>2346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2">
    <tabColor rgb="FFFFFF00"/>
  </sheetPr>
  <dimension ref="A1:DP434"/>
  <sheetViews>
    <sheetView zoomScale="70" zoomScaleNormal="70" workbookViewId="0">
      <pane ySplit="1" topLeftCell="A2" activePane="bottomLeft" state="frozen"/>
      <selection activeCell="X1" sqref="X1"/>
      <selection pane="bottomLeft" activeCell="K21" sqref="K21"/>
    </sheetView>
  </sheetViews>
  <sheetFormatPr baseColWidth="10" defaultColWidth="0" defaultRowHeight="15"/>
  <cols>
    <col min="1" max="1" width="24.28515625" customWidth="1"/>
    <col min="2" max="2" width="10.85546875" customWidth="1"/>
    <col min="3" max="3" width="7.85546875" customWidth="1"/>
    <col min="4" max="4" width="3.140625" customWidth="1"/>
    <col min="5" max="5" width="8.42578125" customWidth="1"/>
    <col min="6" max="6" width="3.140625" customWidth="1"/>
    <col min="7" max="7" width="15.42578125" customWidth="1"/>
    <col min="8" max="8" width="3" customWidth="1"/>
    <col min="9" max="9" width="11.140625" customWidth="1"/>
    <col min="10" max="10" width="3.140625" customWidth="1"/>
    <col min="11" max="11" width="7.28515625" customWidth="1"/>
    <col min="12" max="12" width="8.85546875" customWidth="1"/>
    <col min="13" max="13" width="8.7109375" customWidth="1"/>
    <col min="14" max="19" width="3" customWidth="1"/>
    <col min="20" max="20" width="23.85546875" bestFit="1" customWidth="1"/>
    <col min="21" max="22" width="3.140625" customWidth="1"/>
    <col min="23" max="24" width="6.28515625" customWidth="1"/>
    <col min="25" max="25" width="16.42578125" customWidth="1"/>
    <col min="26" max="28" width="3.28515625" customWidth="1"/>
    <col min="29" max="29" width="9.42578125" customWidth="1"/>
    <col min="30" max="30" width="12" customWidth="1"/>
    <col min="31" max="31" width="22" customWidth="1"/>
    <col min="32" max="32" width="31.42578125" customWidth="1"/>
    <col min="33" max="33" width="3.140625" customWidth="1"/>
    <col min="34" max="34" width="2.85546875" customWidth="1"/>
    <col min="35" max="35" width="9.5703125" customWidth="1"/>
    <col min="36" max="36" width="25.140625" customWidth="1"/>
    <col min="37" max="37" width="4.85546875" customWidth="1"/>
    <col min="38" max="38" width="8.5703125" customWidth="1"/>
    <col min="39" max="39" width="4.85546875" customWidth="1"/>
    <col min="40" max="40" width="8.85546875" customWidth="1"/>
    <col min="41" max="41" width="19.42578125" customWidth="1"/>
    <col min="42" max="42" width="3.7109375" customWidth="1"/>
    <col min="43" max="43" width="6.28515625" customWidth="1"/>
    <col min="44" max="45" width="15.85546875" customWidth="1"/>
    <col min="46" max="49" width="2.140625" customWidth="1"/>
    <col min="50" max="50" width="17.7109375" customWidth="1"/>
    <col min="51" max="51" width="4.140625" customWidth="1"/>
    <col min="52" max="52" width="6" customWidth="1"/>
    <col min="53" max="54" width="15.7109375" customWidth="1"/>
    <col min="55" max="55" width="14.7109375" customWidth="1"/>
    <col min="56" max="56" width="8.28515625" customWidth="1"/>
    <col min="57" max="57" width="13.140625" customWidth="1"/>
    <col min="58" max="58" width="11.42578125" customWidth="1"/>
    <col min="59" max="59" width="6.85546875" customWidth="1"/>
    <col min="60" max="60" width="8" customWidth="1"/>
    <col min="61" max="61" width="7" customWidth="1"/>
    <col min="62" max="62" width="29.7109375" customWidth="1"/>
    <col min="63" max="63" width="13.85546875" customWidth="1"/>
    <col min="64" max="64" width="15.5703125" customWidth="1"/>
    <col min="65" max="65" width="14.42578125" customWidth="1"/>
    <col min="66" max="66" width="14.140625" customWidth="1"/>
    <col min="67" max="68" width="14.42578125" customWidth="1"/>
    <col min="69" max="72" width="11.42578125" customWidth="1"/>
    <col min="73" max="120" width="0" hidden="1" customWidth="1"/>
    <col min="121" max="16384" width="11.42578125" hidden="1"/>
  </cols>
  <sheetData>
    <row r="1" spans="1:120" s="26" customFormat="1" ht="104.25" customHeight="1">
      <c r="A1" s="14" t="s">
        <v>2089</v>
      </c>
      <c r="B1" s="15" t="s">
        <v>2116</v>
      </c>
      <c r="C1" s="16" t="s">
        <v>2090</v>
      </c>
      <c r="D1" s="17" t="s">
        <v>2117</v>
      </c>
      <c r="E1" s="15" t="s">
        <v>2092</v>
      </c>
      <c r="F1" s="15" t="s">
        <v>2118</v>
      </c>
      <c r="G1" s="18" t="s">
        <v>2119</v>
      </c>
      <c r="H1" s="19" t="s">
        <v>2120</v>
      </c>
      <c r="I1" s="19" t="s">
        <v>2121</v>
      </c>
      <c r="J1" s="16" t="s">
        <v>2122</v>
      </c>
      <c r="K1" s="15" t="s">
        <v>2123</v>
      </c>
      <c r="L1" s="20" t="s">
        <v>2124</v>
      </c>
      <c r="M1" s="20" t="s">
        <v>2125</v>
      </c>
      <c r="N1" s="20" t="s">
        <v>2126</v>
      </c>
      <c r="O1" s="21" t="s">
        <v>2127</v>
      </c>
      <c r="P1" s="22" t="s">
        <v>2128</v>
      </c>
      <c r="Q1" s="22" t="s">
        <v>2129</v>
      </c>
      <c r="R1" s="22" t="s">
        <v>2130</v>
      </c>
      <c r="S1" s="22" t="s">
        <v>2131</v>
      </c>
      <c r="T1" s="22" t="s">
        <v>2101</v>
      </c>
      <c r="U1" s="22" t="s">
        <v>2132</v>
      </c>
      <c r="V1" s="22" t="s">
        <v>2133</v>
      </c>
      <c r="W1" s="22" t="s">
        <v>2134</v>
      </c>
      <c r="X1" s="22" t="s">
        <v>2135</v>
      </c>
      <c r="Y1" s="23" t="s">
        <v>2136</v>
      </c>
      <c r="Z1" s="24" t="s">
        <v>2105</v>
      </c>
      <c r="AA1" s="24" t="s">
        <v>2106</v>
      </c>
      <c r="AB1" s="24" t="s">
        <v>2107</v>
      </c>
      <c r="AC1" s="24" t="s">
        <v>2109</v>
      </c>
      <c r="AD1" s="24" t="s">
        <v>2406</v>
      </c>
      <c r="AE1" s="24" t="s">
        <v>2404</v>
      </c>
      <c r="AF1" s="24" t="s">
        <v>2405</v>
      </c>
      <c r="AG1" s="25" t="s">
        <v>2113</v>
      </c>
      <c r="AI1" s="27" t="s">
        <v>1075</v>
      </c>
      <c r="AJ1" s="28" t="s">
        <v>1076</v>
      </c>
      <c r="AK1" s="28" t="s">
        <v>1077</v>
      </c>
      <c r="AL1" s="28" t="s">
        <v>8</v>
      </c>
      <c r="AM1" s="28" t="s">
        <v>8</v>
      </c>
      <c r="AN1" s="28" t="s">
        <v>1078</v>
      </c>
      <c r="AO1" s="28" t="s">
        <v>9</v>
      </c>
      <c r="AP1" s="27" t="s">
        <v>1079</v>
      </c>
      <c r="AQ1" s="28" t="s">
        <v>10</v>
      </c>
      <c r="AR1" s="28" t="s">
        <v>26</v>
      </c>
      <c r="AS1" s="28" t="s">
        <v>1080</v>
      </c>
      <c r="AT1" s="28" t="s">
        <v>1077</v>
      </c>
      <c r="AU1" s="28" t="s">
        <v>8</v>
      </c>
      <c r="AV1" s="28" t="s">
        <v>8</v>
      </c>
      <c r="AW1" s="28" t="s">
        <v>1081</v>
      </c>
      <c r="AX1" s="28" t="s">
        <v>9</v>
      </c>
      <c r="AY1" s="28" t="s">
        <v>1079</v>
      </c>
      <c r="AZ1" s="28" t="s">
        <v>10</v>
      </c>
      <c r="BA1" s="28" t="s">
        <v>26</v>
      </c>
      <c r="BB1" s="28" t="s">
        <v>1080</v>
      </c>
      <c r="BC1" s="28" t="s">
        <v>1082</v>
      </c>
      <c r="BD1" s="28" t="s">
        <v>1083</v>
      </c>
      <c r="BE1" s="28" t="s">
        <v>1084</v>
      </c>
      <c r="BF1" s="28" t="s">
        <v>1085</v>
      </c>
      <c r="BG1" s="28" t="s">
        <v>1086</v>
      </c>
      <c r="BH1" s="28" t="s">
        <v>14</v>
      </c>
      <c r="BI1" s="28" t="s">
        <v>1087</v>
      </c>
      <c r="BJ1" s="28" t="s">
        <v>1088</v>
      </c>
      <c r="BK1" s="28" t="s">
        <v>1</v>
      </c>
      <c r="BL1" s="28" t="s">
        <v>395</v>
      </c>
      <c r="BM1" s="28" t="s">
        <v>399</v>
      </c>
      <c r="BN1" s="28" t="s">
        <v>743</v>
      </c>
      <c r="BO1" s="28" t="s">
        <v>746</v>
      </c>
      <c r="BP1" s="28" t="s">
        <v>749</v>
      </c>
      <c r="BQ1" s="28" t="s">
        <v>2114</v>
      </c>
      <c r="BR1" s="28" t="s">
        <v>2115</v>
      </c>
      <c r="BS1" s="28" t="s">
        <v>2137</v>
      </c>
      <c r="BT1" s="28" t="s">
        <v>2138</v>
      </c>
      <c r="BU1" s="28" t="s">
        <v>2139</v>
      </c>
      <c r="BV1" s="28" t="s">
        <v>2140</v>
      </c>
      <c r="BW1" s="28" t="s">
        <v>2141</v>
      </c>
      <c r="BX1" s="28" t="s">
        <v>2142</v>
      </c>
      <c r="BY1" s="28" t="s">
        <v>2143</v>
      </c>
      <c r="BZ1" s="28" t="s">
        <v>2144</v>
      </c>
      <c r="CA1" s="28" t="s">
        <v>2145</v>
      </c>
      <c r="CB1" s="28" t="s">
        <v>2146</v>
      </c>
      <c r="CC1" s="28" t="s">
        <v>2147</v>
      </c>
      <c r="CD1" s="28" t="s">
        <v>2148</v>
      </c>
      <c r="CE1" s="28" t="s">
        <v>2149</v>
      </c>
      <c r="CF1" s="28" t="s">
        <v>2150</v>
      </c>
      <c r="CG1" s="28" t="s">
        <v>2151</v>
      </c>
      <c r="CH1" s="28" t="s">
        <v>2152</v>
      </c>
      <c r="CI1" s="28" t="s">
        <v>2153</v>
      </c>
      <c r="CJ1" s="28" t="s">
        <v>2154</v>
      </c>
      <c r="CK1" s="28" t="s">
        <v>2155</v>
      </c>
      <c r="CL1" s="28" t="s">
        <v>2156</v>
      </c>
      <c r="CM1" s="28" t="s">
        <v>2157</v>
      </c>
      <c r="CN1" s="28" t="s">
        <v>2158</v>
      </c>
      <c r="CO1" s="28" t="s">
        <v>2159</v>
      </c>
      <c r="CP1" s="28" t="s">
        <v>2160</v>
      </c>
      <c r="CQ1" s="28" t="s">
        <v>2161</v>
      </c>
      <c r="CR1" s="28" t="s">
        <v>2162</v>
      </c>
      <c r="CS1" s="28" t="s">
        <v>2163</v>
      </c>
      <c r="CT1" s="28" t="s">
        <v>2164</v>
      </c>
      <c r="CU1" s="28" t="s">
        <v>2165</v>
      </c>
      <c r="CV1" s="28" t="s">
        <v>2166</v>
      </c>
      <c r="CW1" s="28" t="s">
        <v>2167</v>
      </c>
      <c r="CX1" s="28" t="s">
        <v>2168</v>
      </c>
      <c r="CY1" s="28" t="s">
        <v>2169</v>
      </c>
      <c r="CZ1" s="28" t="s">
        <v>2170</v>
      </c>
      <c r="DA1" s="28" t="s">
        <v>2171</v>
      </c>
      <c r="DB1" s="28" t="s">
        <v>2172</v>
      </c>
      <c r="DC1" s="28" t="s">
        <v>2173</v>
      </c>
      <c r="DD1" s="28" t="s">
        <v>2174</v>
      </c>
      <c r="DE1" s="28" t="s">
        <v>2175</v>
      </c>
      <c r="DF1" s="28" t="s">
        <v>2176</v>
      </c>
      <c r="DG1" s="28" t="s">
        <v>2177</v>
      </c>
      <c r="DH1" s="28" t="s">
        <v>2178</v>
      </c>
      <c r="DI1" s="28"/>
      <c r="DJ1" s="28"/>
      <c r="DK1" s="28"/>
      <c r="DL1" s="28"/>
      <c r="DM1" s="28"/>
      <c r="DN1" s="28"/>
      <c r="DO1" s="28"/>
      <c r="DP1" s="28"/>
    </row>
    <row r="2" spans="1:120" ht="14.45" customHeight="1"/>
    <row r="3" spans="1:120" ht="14.45" customHeight="1">
      <c r="A3" s="154"/>
      <c r="B3" s="30"/>
      <c r="C3" s="30"/>
      <c r="D3" s="30"/>
      <c r="E3" s="30"/>
      <c r="F3" s="31"/>
      <c r="G3" s="30"/>
      <c r="H3" s="30"/>
      <c r="I3" s="30"/>
      <c r="J3" s="30"/>
      <c r="K3" s="30"/>
      <c r="L3" s="30"/>
      <c r="M3" s="30"/>
      <c r="N3" s="30"/>
      <c r="P3" s="30"/>
      <c r="Q3" s="30"/>
      <c r="R3" s="30"/>
      <c r="S3" s="30"/>
      <c r="T3" s="31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 t="str">
        <f xml:space="preserve"> AO3 &amp; REPT(" ",20-LEN(AO3)) &amp; AX3</f>
        <v xml:space="preserve">                    </v>
      </c>
      <c r="AG3" s="30"/>
      <c r="AH3">
        <v>1</v>
      </c>
      <c r="AI3" t="s">
        <v>0</v>
      </c>
    </row>
    <row r="4" spans="1:120" ht="14.45" customHeight="1">
      <c r="A4" s="155">
        <v>501</v>
      </c>
      <c r="B4" s="30"/>
      <c r="C4" s="30"/>
      <c r="D4" s="30"/>
      <c r="E4" s="30"/>
      <c r="F4" s="31"/>
      <c r="G4" s="30"/>
      <c r="H4" s="30"/>
      <c r="I4" s="30"/>
      <c r="J4" s="30"/>
      <c r="K4" s="30"/>
      <c r="L4" s="30"/>
      <c r="M4" s="30"/>
      <c r="N4" s="30"/>
      <c r="P4" s="30"/>
      <c r="Q4" s="30"/>
      <c r="R4" s="30"/>
      <c r="S4" s="30"/>
      <c r="T4" s="31"/>
      <c r="U4" s="30"/>
      <c r="V4" s="30"/>
      <c r="W4" s="30"/>
      <c r="X4" s="30"/>
      <c r="Y4" s="30"/>
      <c r="Z4" s="30"/>
      <c r="AA4" s="30"/>
      <c r="AB4" s="30"/>
      <c r="AC4" s="30"/>
      <c r="AD4" s="30"/>
      <c r="AE4" s="32">
        <v>1</v>
      </c>
      <c r="AF4" s="30"/>
      <c r="AG4" s="30"/>
      <c r="AH4">
        <v>2</v>
      </c>
      <c r="AI4" t="s">
        <v>1</v>
      </c>
      <c r="AJ4" t="s">
        <v>2</v>
      </c>
      <c r="AK4" t="s">
        <v>3</v>
      </c>
      <c r="AL4" s="153" t="s">
        <v>2347</v>
      </c>
      <c r="AM4" t="s">
        <v>4</v>
      </c>
      <c r="AN4" t="s">
        <v>1073</v>
      </c>
      <c r="AO4" t="s">
        <v>1074</v>
      </c>
    </row>
    <row r="5" spans="1:120" ht="14.45" customHeight="1">
      <c r="A5" s="155"/>
      <c r="B5" s="30"/>
      <c r="C5" s="30"/>
      <c r="D5" s="30"/>
      <c r="E5" s="30"/>
      <c r="F5" s="31"/>
      <c r="G5" s="30"/>
      <c r="H5" s="30"/>
      <c r="I5" s="30"/>
      <c r="J5" s="30"/>
      <c r="K5" s="30"/>
      <c r="L5" s="30"/>
      <c r="M5" s="30"/>
      <c r="N5" s="30"/>
      <c r="P5" s="30"/>
      <c r="Q5" s="30"/>
      <c r="R5" s="30"/>
      <c r="S5" s="30"/>
      <c r="T5" s="31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 t="str">
        <f xml:space="preserve"> AO5 &amp; REPT(" ",20-LEN(AO5)) &amp; AX5</f>
        <v>Kurzname            Kurzname</v>
      </c>
      <c r="AG5" s="30"/>
      <c r="AH5">
        <v>0</v>
      </c>
      <c r="AI5" t="s">
        <v>1075</v>
      </c>
      <c r="AJ5" t="s">
        <v>1076</v>
      </c>
      <c r="AK5" t="s">
        <v>1077</v>
      </c>
      <c r="AL5" t="s">
        <v>8</v>
      </c>
      <c r="AM5" t="s">
        <v>8</v>
      </c>
      <c r="AN5" t="s">
        <v>1078</v>
      </c>
      <c r="AO5" t="s">
        <v>9</v>
      </c>
      <c r="AP5" t="s">
        <v>1079</v>
      </c>
      <c r="AQ5" t="s">
        <v>10</v>
      </c>
      <c r="AR5" t="s">
        <v>26</v>
      </c>
      <c r="AS5" t="s">
        <v>1080</v>
      </c>
      <c r="AT5" t="s">
        <v>1077</v>
      </c>
      <c r="AU5" t="s">
        <v>8</v>
      </c>
      <c r="AV5" t="s">
        <v>8</v>
      </c>
      <c r="AW5" t="s">
        <v>1081</v>
      </c>
      <c r="AX5" t="s">
        <v>9</v>
      </c>
      <c r="AY5" t="s">
        <v>1079</v>
      </c>
      <c r="AZ5" t="s">
        <v>10</v>
      </c>
      <c r="BA5" t="s">
        <v>26</v>
      </c>
      <c r="BB5" t="s">
        <v>1080</v>
      </c>
      <c r="BC5" t="s">
        <v>1082</v>
      </c>
      <c r="BD5" t="s">
        <v>1083</v>
      </c>
      <c r="BE5" t="s">
        <v>1084</v>
      </c>
      <c r="BF5" t="s">
        <v>1085</v>
      </c>
      <c r="BG5" t="s">
        <v>1086</v>
      </c>
      <c r="BH5" t="s">
        <v>14</v>
      </c>
      <c r="BI5" t="s">
        <v>1087</v>
      </c>
      <c r="BJ5" t="s">
        <v>1088</v>
      </c>
      <c r="BK5" t="s">
        <v>1</v>
      </c>
      <c r="BL5" t="s">
        <v>1075</v>
      </c>
    </row>
    <row r="6" spans="1:120" ht="14.45" customHeight="1">
      <c r="A6" s="155"/>
      <c r="B6" s="30">
        <f t="shared" ref="B6:B73" si="0">AI6</f>
        <v>1</v>
      </c>
      <c r="C6" s="30" t="s">
        <v>2179</v>
      </c>
      <c r="D6" s="30"/>
      <c r="E6" s="30" t="s">
        <v>2180</v>
      </c>
      <c r="F6" s="31"/>
      <c r="G6" s="30"/>
      <c r="H6" s="30"/>
      <c r="I6" s="30"/>
      <c r="J6" s="30"/>
      <c r="K6" s="30"/>
      <c r="L6" s="30" t="s">
        <v>2181</v>
      </c>
      <c r="M6" s="30" t="s">
        <v>2181</v>
      </c>
      <c r="N6" s="30"/>
      <c r="P6" s="30"/>
      <c r="Q6" s="30"/>
      <c r="R6" s="30"/>
      <c r="S6" s="30"/>
      <c r="T6" s="31">
        <v>980015464</v>
      </c>
      <c r="U6" s="30"/>
      <c r="V6" s="30"/>
      <c r="W6" s="30"/>
      <c r="X6" s="30"/>
      <c r="Y6" s="33">
        <v>980015855</v>
      </c>
      <c r="Z6" s="30"/>
      <c r="AA6" s="30"/>
      <c r="AB6" s="30"/>
      <c r="AC6" s="30"/>
      <c r="AD6" s="30"/>
      <c r="AE6" s="30"/>
      <c r="AF6" s="30" t="str">
        <f t="shared" ref="AF6:AF73" si="1" xml:space="preserve"> AO6 &amp; REPT(" ",20-LEN(AO6)) &amp; AX6</f>
        <v>KOMBI_C             MIB_I</v>
      </c>
      <c r="AG6" s="30" t="s">
        <v>2182</v>
      </c>
      <c r="AH6">
        <v>3</v>
      </c>
      <c r="AI6">
        <v>1</v>
      </c>
      <c r="AJ6" t="s">
        <v>1089</v>
      </c>
      <c r="AK6" t="s">
        <v>19</v>
      </c>
      <c r="AL6" t="s">
        <v>149</v>
      </c>
      <c r="AM6" t="s">
        <v>149</v>
      </c>
      <c r="AN6" t="s">
        <v>257</v>
      </c>
      <c r="AO6" t="s">
        <v>258</v>
      </c>
      <c r="AP6">
        <v>1</v>
      </c>
      <c r="AQ6" t="s">
        <v>259</v>
      </c>
      <c r="AR6" t="s">
        <v>51</v>
      </c>
      <c r="AS6" t="s">
        <v>19</v>
      </c>
      <c r="AT6" t="s">
        <v>19</v>
      </c>
      <c r="AU6" t="s">
        <v>249</v>
      </c>
      <c r="AV6" t="s">
        <v>250</v>
      </c>
      <c r="AW6" t="s">
        <v>277</v>
      </c>
      <c r="AX6" t="s">
        <v>278</v>
      </c>
      <c r="AY6">
        <v>4</v>
      </c>
      <c r="AZ6" t="s">
        <v>279</v>
      </c>
      <c r="BA6" t="s">
        <v>50</v>
      </c>
      <c r="BB6" t="s">
        <v>19</v>
      </c>
      <c r="BC6" t="s">
        <v>1090</v>
      </c>
      <c r="BD6" t="s">
        <v>1091</v>
      </c>
      <c r="BE6" t="s">
        <v>1092</v>
      </c>
      <c r="BF6" t="s">
        <v>1093</v>
      </c>
      <c r="BG6">
        <v>1097</v>
      </c>
      <c r="BH6" t="s">
        <v>1094</v>
      </c>
      <c r="BI6">
        <v>0.14000000000000001</v>
      </c>
      <c r="BJ6" t="s">
        <v>1095</v>
      </c>
      <c r="BK6" t="s">
        <v>2</v>
      </c>
      <c r="BL6">
        <v>1</v>
      </c>
    </row>
    <row r="7" spans="1:120" ht="14.45" customHeight="1">
      <c r="A7" s="155"/>
      <c r="B7" s="30">
        <f t="shared" si="0"/>
        <v>2</v>
      </c>
      <c r="C7" s="30" t="s">
        <v>2179</v>
      </c>
      <c r="D7" s="30"/>
      <c r="E7" s="30" t="s">
        <v>2180</v>
      </c>
      <c r="F7" s="31"/>
      <c r="G7" s="30"/>
      <c r="H7" s="30"/>
      <c r="I7" s="30"/>
      <c r="J7" s="30"/>
      <c r="K7" s="30"/>
      <c r="L7" s="30" t="s">
        <v>2181</v>
      </c>
      <c r="M7" s="30" t="s">
        <v>2181</v>
      </c>
      <c r="N7" s="30"/>
      <c r="P7" s="30"/>
      <c r="Q7" s="30"/>
      <c r="R7" s="30"/>
      <c r="S7" s="30"/>
      <c r="T7" s="31">
        <v>980015464</v>
      </c>
      <c r="U7" s="30"/>
      <c r="V7" s="30"/>
      <c r="W7" s="30"/>
      <c r="X7" s="30"/>
      <c r="Y7" s="33">
        <v>980015855</v>
      </c>
      <c r="Z7" s="30"/>
      <c r="AA7" s="30"/>
      <c r="AB7" s="30"/>
      <c r="AC7" s="30"/>
      <c r="AD7" s="30"/>
      <c r="AE7" s="30"/>
      <c r="AF7" s="30" t="str">
        <f t="shared" si="1"/>
        <v>KOMBI_C             MIB_I</v>
      </c>
      <c r="AG7" s="30" t="s">
        <v>2182</v>
      </c>
      <c r="AH7">
        <v>3</v>
      </c>
      <c r="AI7">
        <v>2</v>
      </c>
      <c r="AJ7" t="s">
        <v>1096</v>
      </c>
      <c r="AK7" t="s">
        <v>19</v>
      </c>
      <c r="AL7" t="s">
        <v>149</v>
      </c>
      <c r="AM7" t="s">
        <v>149</v>
      </c>
      <c r="AN7" t="s">
        <v>257</v>
      </c>
      <c r="AO7" t="s">
        <v>258</v>
      </c>
      <c r="AP7">
        <v>2</v>
      </c>
      <c r="AQ7" t="s">
        <v>259</v>
      </c>
      <c r="AR7" t="s">
        <v>51</v>
      </c>
      <c r="AS7" t="s">
        <v>19</v>
      </c>
      <c r="AT7" t="s">
        <v>19</v>
      </c>
      <c r="AU7" t="s">
        <v>249</v>
      </c>
      <c r="AV7" t="s">
        <v>250</v>
      </c>
      <c r="AW7" t="s">
        <v>277</v>
      </c>
      <c r="AX7" t="s">
        <v>278</v>
      </c>
      <c r="AY7">
        <v>3</v>
      </c>
      <c r="AZ7" t="s">
        <v>279</v>
      </c>
      <c r="BA7" t="s">
        <v>50</v>
      </c>
      <c r="BB7" t="s">
        <v>19</v>
      </c>
      <c r="BC7" t="s">
        <v>1090</v>
      </c>
      <c r="BD7" t="s">
        <v>1091</v>
      </c>
      <c r="BE7" t="s">
        <v>1092</v>
      </c>
      <c r="BF7" t="s">
        <v>1097</v>
      </c>
      <c r="BG7">
        <v>1097</v>
      </c>
      <c r="BH7" t="s">
        <v>1098</v>
      </c>
      <c r="BI7">
        <v>0.14000000000000001</v>
      </c>
      <c r="BJ7" t="s">
        <v>1099</v>
      </c>
      <c r="BK7" t="s">
        <v>2</v>
      </c>
      <c r="BL7">
        <v>2</v>
      </c>
    </row>
    <row r="8" spans="1:120" ht="14.45" customHeight="1">
      <c r="A8" s="155"/>
      <c r="B8" s="30">
        <f t="shared" si="0"/>
        <v>3</v>
      </c>
      <c r="C8" s="30" t="s">
        <v>2179</v>
      </c>
      <c r="D8" s="30"/>
      <c r="E8" s="30" t="s">
        <v>2180</v>
      </c>
      <c r="F8" s="31"/>
      <c r="G8" s="30"/>
      <c r="H8" s="30"/>
      <c r="I8" s="30"/>
      <c r="J8" s="30"/>
      <c r="K8" s="30"/>
      <c r="L8" s="30" t="s">
        <v>2181</v>
      </c>
      <c r="M8" s="30" t="s">
        <v>2181</v>
      </c>
      <c r="N8" s="30"/>
      <c r="P8" s="30"/>
      <c r="Q8" s="30"/>
      <c r="R8" s="30"/>
      <c r="S8" s="30"/>
      <c r="T8" s="31">
        <v>980015464</v>
      </c>
      <c r="U8" s="30"/>
      <c r="V8" s="30"/>
      <c r="W8" s="30"/>
      <c r="X8" s="30"/>
      <c r="Y8" s="33">
        <v>980015855</v>
      </c>
      <c r="Z8" s="30"/>
      <c r="AA8" s="30"/>
      <c r="AB8" s="30"/>
      <c r="AC8" s="30"/>
      <c r="AD8" s="30"/>
      <c r="AE8" s="30"/>
      <c r="AF8" s="30" t="str">
        <f t="shared" si="1"/>
        <v>KOMBI_C             MIB_I</v>
      </c>
      <c r="AG8" s="30" t="s">
        <v>2182</v>
      </c>
      <c r="AH8">
        <v>3</v>
      </c>
      <c r="AI8">
        <v>3</v>
      </c>
      <c r="AJ8" t="s">
        <v>1100</v>
      </c>
      <c r="AK8" t="s">
        <v>19</v>
      </c>
      <c r="AL8" t="s">
        <v>149</v>
      </c>
      <c r="AM8" t="s">
        <v>149</v>
      </c>
      <c r="AN8" t="s">
        <v>257</v>
      </c>
      <c r="AO8" t="s">
        <v>258</v>
      </c>
      <c r="AP8">
        <v>3</v>
      </c>
      <c r="AQ8" t="s">
        <v>259</v>
      </c>
      <c r="AR8" t="s">
        <v>51</v>
      </c>
      <c r="AS8" t="s">
        <v>19</v>
      </c>
      <c r="AT8" t="s">
        <v>19</v>
      </c>
      <c r="AU8" t="s">
        <v>249</v>
      </c>
      <c r="AV8" t="s">
        <v>250</v>
      </c>
      <c r="AW8" t="s">
        <v>277</v>
      </c>
      <c r="AX8" t="s">
        <v>278</v>
      </c>
      <c r="AY8">
        <v>2</v>
      </c>
      <c r="AZ8" t="s">
        <v>279</v>
      </c>
      <c r="BA8" t="s">
        <v>50</v>
      </c>
      <c r="BB8" t="s">
        <v>19</v>
      </c>
      <c r="BC8" t="s">
        <v>1090</v>
      </c>
      <c r="BD8" t="s">
        <v>1091</v>
      </c>
      <c r="BE8" t="s">
        <v>1092</v>
      </c>
      <c r="BF8" t="s">
        <v>1101</v>
      </c>
      <c r="BG8">
        <v>1097</v>
      </c>
      <c r="BH8" t="s">
        <v>1102</v>
      </c>
      <c r="BI8">
        <v>0.14000000000000001</v>
      </c>
      <c r="BJ8" t="s">
        <v>1103</v>
      </c>
      <c r="BK8" t="s">
        <v>2</v>
      </c>
      <c r="BL8">
        <v>3</v>
      </c>
    </row>
    <row r="9" spans="1:120" ht="14.45" customHeight="1">
      <c r="A9" s="155"/>
      <c r="B9" s="30">
        <f t="shared" si="0"/>
        <v>4</v>
      </c>
      <c r="C9" s="30" t="s">
        <v>2179</v>
      </c>
      <c r="D9" s="30"/>
      <c r="E9" s="30" t="s">
        <v>2180</v>
      </c>
      <c r="F9" s="31"/>
      <c r="G9" s="30"/>
      <c r="H9" s="30"/>
      <c r="I9" s="30"/>
      <c r="J9" s="30"/>
      <c r="K9" s="30"/>
      <c r="L9" s="30" t="s">
        <v>2181</v>
      </c>
      <c r="M9" s="30" t="s">
        <v>2181</v>
      </c>
      <c r="N9" s="30"/>
      <c r="P9" s="30"/>
      <c r="Q9" s="30"/>
      <c r="R9" s="30"/>
      <c r="S9" s="30"/>
      <c r="T9" s="31">
        <v>980015464</v>
      </c>
      <c r="U9" s="30"/>
      <c r="V9" s="30"/>
      <c r="W9" s="30"/>
      <c r="X9" s="30"/>
      <c r="Y9" s="33">
        <v>980015855</v>
      </c>
      <c r="Z9" s="30"/>
      <c r="AA9" s="30"/>
      <c r="AB9" s="30"/>
      <c r="AC9" s="30"/>
      <c r="AD9" s="30"/>
      <c r="AE9" s="30"/>
      <c r="AF9" s="30" t="str">
        <f t="shared" si="1"/>
        <v>KOMBI_C             MIB_I</v>
      </c>
      <c r="AG9" s="30" t="s">
        <v>2182</v>
      </c>
      <c r="AH9">
        <v>3</v>
      </c>
      <c r="AI9">
        <v>4</v>
      </c>
      <c r="AJ9" t="s">
        <v>1104</v>
      </c>
      <c r="AK9" t="s">
        <v>19</v>
      </c>
      <c r="AL9" t="s">
        <v>149</v>
      </c>
      <c r="AM9" t="s">
        <v>149</v>
      </c>
      <c r="AN9" t="s">
        <v>257</v>
      </c>
      <c r="AO9" t="s">
        <v>258</v>
      </c>
      <c r="AP9">
        <v>4</v>
      </c>
      <c r="AQ9" t="s">
        <v>259</v>
      </c>
      <c r="AR9" t="s">
        <v>51</v>
      </c>
      <c r="AS9" t="s">
        <v>19</v>
      </c>
      <c r="AT9" t="s">
        <v>19</v>
      </c>
      <c r="AU9" t="s">
        <v>249</v>
      </c>
      <c r="AV9" t="s">
        <v>250</v>
      </c>
      <c r="AW9" t="s">
        <v>277</v>
      </c>
      <c r="AX9" t="s">
        <v>278</v>
      </c>
      <c r="AY9">
        <v>1</v>
      </c>
      <c r="AZ9" t="s">
        <v>279</v>
      </c>
      <c r="BA9" t="s">
        <v>50</v>
      </c>
      <c r="BB9" t="s">
        <v>19</v>
      </c>
      <c r="BC9" t="s">
        <v>1090</v>
      </c>
      <c r="BD9" t="s">
        <v>1091</v>
      </c>
      <c r="BE9" t="s">
        <v>1092</v>
      </c>
      <c r="BF9" t="s">
        <v>1105</v>
      </c>
      <c r="BG9">
        <v>1097</v>
      </c>
      <c r="BH9" t="s">
        <v>1106</v>
      </c>
      <c r="BI9">
        <v>0.14000000000000001</v>
      </c>
      <c r="BJ9" t="s">
        <v>1107</v>
      </c>
      <c r="BK9" t="s">
        <v>2</v>
      </c>
      <c r="BL9">
        <v>4</v>
      </c>
    </row>
    <row r="10" spans="1:120" ht="14.45" customHeight="1">
      <c r="A10" s="155"/>
      <c r="B10" s="30">
        <f t="shared" si="0"/>
        <v>5</v>
      </c>
      <c r="C10" s="30" t="s">
        <v>2179</v>
      </c>
      <c r="D10" s="30"/>
      <c r="E10" s="30" t="s">
        <v>2180</v>
      </c>
      <c r="F10" s="31"/>
      <c r="G10" s="30"/>
      <c r="H10" s="30"/>
      <c r="I10" s="30"/>
      <c r="J10" s="30"/>
      <c r="K10" s="30"/>
      <c r="L10" s="30" t="s">
        <v>2181</v>
      </c>
      <c r="M10" s="30" t="s">
        <v>2181</v>
      </c>
      <c r="N10" s="30"/>
      <c r="P10" s="30"/>
      <c r="Q10" s="30"/>
      <c r="R10" s="30"/>
      <c r="S10" s="30"/>
      <c r="T10" s="31">
        <v>980015464</v>
      </c>
      <c r="U10" s="30"/>
      <c r="V10" s="30"/>
      <c r="W10" s="30"/>
      <c r="X10" s="30"/>
      <c r="Y10" s="33">
        <v>980015855</v>
      </c>
      <c r="Z10" s="30"/>
      <c r="AA10" s="30"/>
      <c r="AB10" s="30"/>
      <c r="AC10" s="30"/>
      <c r="AD10" s="30"/>
      <c r="AE10" s="30"/>
      <c r="AF10" s="30" t="str">
        <f t="shared" si="1"/>
        <v>KOMBI_C             MIB_I</v>
      </c>
      <c r="AG10" s="30" t="s">
        <v>2182</v>
      </c>
      <c r="AH10">
        <v>3</v>
      </c>
      <c r="AI10">
        <v>5</v>
      </c>
      <c r="AJ10" t="s">
        <v>1108</v>
      </c>
      <c r="AK10" t="s">
        <v>19</v>
      </c>
      <c r="AL10" t="s">
        <v>149</v>
      </c>
      <c r="AM10" t="s">
        <v>149</v>
      </c>
      <c r="AN10" t="s">
        <v>257</v>
      </c>
      <c r="AO10" t="s">
        <v>258</v>
      </c>
      <c r="AP10" t="s">
        <v>1109</v>
      </c>
      <c r="AQ10" t="s">
        <v>259</v>
      </c>
      <c r="AR10" t="s">
        <v>38</v>
      </c>
      <c r="AS10" t="s">
        <v>19</v>
      </c>
      <c r="AT10" t="s">
        <v>19</v>
      </c>
      <c r="AU10" t="s">
        <v>249</v>
      </c>
      <c r="AV10" t="s">
        <v>250</v>
      </c>
      <c r="AW10" t="s">
        <v>277</v>
      </c>
      <c r="AX10" t="s">
        <v>278</v>
      </c>
      <c r="AY10" t="s">
        <v>1109</v>
      </c>
      <c r="AZ10" t="s">
        <v>279</v>
      </c>
      <c r="BA10" t="s">
        <v>38</v>
      </c>
      <c r="BB10" t="s">
        <v>19</v>
      </c>
      <c r="BC10" t="s">
        <v>1090</v>
      </c>
      <c r="BD10" t="s">
        <v>49</v>
      </c>
      <c r="BE10" t="s">
        <v>1092</v>
      </c>
      <c r="BF10" t="s">
        <v>1110</v>
      </c>
      <c r="BG10">
        <v>1097</v>
      </c>
      <c r="BH10" t="s">
        <v>1111</v>
      </c>
      <c r="BI10">
        <v>1</v>
      </c>
      <c r="BJ10" t="s">
        <v>1112</v>
      </c>
      <c r="BK10" t="s">
        <v>2</v>
      </c>
      <c r="BL10">
        <v>5</v>
      </c>
    </row>
    <row r="11" spans="1:120" ht="14.45" customHeight="1">
      <c r="A11" s="155"/>
      <c r="B11" s="30">
        <f t="shared" si="0"/>
        <v>11</v>
      </c>
      <c r="C11" s="30" t="s">
        <v>2179</v>
      </c>
      <c r="D11" s="30"/>
      <c r="E11" s="30" t="s">
        <v>2180</v>
      </c>
      <c r="F11" s="31"/>
      <c r="G11" s="30"/>
      <c r="H11" s="30"/>
      <c r="I11" s="30"/>
      <c r="J11" s="30"/>
      <c r="K11" s="30"/>
      <c r="L11" s="30" t="s">
        <v>2180</v>
      </c>
      <c r="M11" s="30" t="s">
        <v>2180</v>
      </c>
      <c r="N11" s="30"/>
      <c r="P11" s="30"/>
      <c r="Q11" s="30"/>
      <c r="R11" s="30"/>
      <c r="S11" s="30"/>
      <c r="T11" s="31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 t="str">
        <f t="shared" si="1"/>
        <v>KS_CPL_D            KS_CPM_E</v>
      </c>
      <c r="AG11" s="30" t="s">
        <v>2182</v>
      </c>
      <c r="AH11">
        <v>3</v>
      </c>
      <c r="AI11">
        <v>11</v>
      </c>
      <c r="AJ11" t="s">
        <v>1113</v>
      </c>
      <c r="AK11" t="s">
        <v>19</v>
      </c>
      <c r="AL11" t="s">
        <v>55</v>
      </c>
      <c r="AM11" t="s">
        <v>55</v>
      </c>
      <c r="AN11" t="s">
        <v>75</v>
      </c>
      <c r="AO11" t="s">
        <v>76</v>
      </c>
      <c r="AP11">
        <v>3</v>
      </c>
      <c r="AQ11" t="s">
        <v>77</v>
      </c>
      <c r="AR11" t="s">
        <v>35</v>
      </c>
      <c r="AS11" t="s">
        <v>19</v>
      </c>
      <c r="AT11" t="s">
        <v>19</v>
      </c>
      <c r="AU11" t="s">
        <v>81</v>
      </c>
      <c r="AV11" t="s">
        <v>81</v>
      </c>
      <c r="AW11" t="s">
        <v>88</v>
      </c>
      <c r="AX11" t="s">
        <v>89</v>
      </c>
      <c r="AY11">
        <v>15</v>
      </c>
      <c r="AZ11" t="s">
        <v>90</v>
      </c>
      <c r="BA11" t="s">
        <v>27</v>
      </c>
      <c r="BB11" t="s">
        <v>19</v>
      </c>
      <c r="BC11" t="s">
        <v>1114</v>
      </c>
      <c r="BD11" t="s">
        <v>1115</v>
      </c>
      <c r="BE11" t="s">
        <v>19</v>
      </c>
      <c r="BF11" t="s">
        <v>19</v>
      </c>
      <c r="BG11">
        <v>1711</v>
      </c>
      <c r="BH11" t="s">
        <v>1116</v>
      </c>
      <c r="BI11">
        <v>0.35</v>
      </c>
      <c r="BJ11" t="s">
        <v>1117</v>
      </c>
      <c r="BK11" t="s">
        <v>2</v>
      </c>
      <c r="BL11">
        <v>11</v>
      </c>
    </row>
    <row r="12" spans="1:120" ht="14.45" customHeight="1">
      <c r="A12" s="155"/>
      <c r="B12" s="30">
        <f t="shared" si="0"/>
        <v>12</v>
      </c>
      <c r="C12" s="30" t="s">
        <v>2179</v>
      </c>
      <c r="D12" s="30"/>
      <c r="E12" s="30" t="s">
        <v>2180</v>
      </c>
      <c r="F12" s="31" t="s">
        <v>2183</v>
      </c>
      <c r="G12" s="30" t="s">
        <v>1120</v>
      </c>
      <c r="H12" s="30"/>
      <c r="I12" s="30"/>
      <c r="J12" s="30"/>
      <c r="K12" s="30" t="s">
        <v>2184</v>
      </c>
      <c r="L12" s="30" t="s">
        <v>2180</v>
      </c>
      <c r="M12" s="30" t="s">
        <v>2180</v>
      </c>
      <c r="N12" s="30"/>
      <c r="O12" s="192" t="s">
        <v>2436</v>
      </c>
      <c r="P12" s="30"/>
      <c r="Q12" s="30"/>
      <c r="R12" s="30"/>
      <c r="S12" s="30"/>
      <c r="T12" s="31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 t="str">
        <f t="shared" si="1"/>
        <v>SP_MB31_B1          KOMBI_A</v>
      </c>
      <c r="AG12" s="30" t="s">
        <v>2182</v>
      </c>
      <c r="AH12">
        <v>3</v>
      </c>
      <c r="AI12">
        <v>12</v>
      </c>
      <c r="AJ12" t="s">
        <v>1118</v>
      </c>
      <c r="AK12" t="s">
        <v>19</v>
      </c>
      <c r="AL12" t="s">
        <v>19</v>
      </c>
      <c r="AM12" t="s">
        <v>1119</v>
      </c>
      <c r="AN12">
        <v>332</v>
      </c>
      <c r="AO12" t="s">
        <v>1120</v>
      </c>
      <c r="AP12">
        <v>1</v>
      </c>
      <c r="AQ12" t="s">
        <v>362</v>
      </c>
      <c r="AR12" t="s">
        <v>19</v>
      </c>
      <c r="AS12" t="s">
        <v>19</v>
      </c>
      <c r="AT12" t="s">
        <v>19</v>
      </c>
      <c r="AU12" t="s">
        <v>149</v>
      </c>
      <c r="AV12" t="s">
        <v>149</v>
      </c>
      <c r="AW12" t="s">
        <v>148</v>
      </c>
      <c r="AX12" t="s">
        <v>150</v>
      </c>
      <c r="AY12">
        <v>10</v>
      </c>
      <c r="AZ12" t="s">
        <v>151</v>
      </c>
      <c r="BA12" t="s">
        <v>47</v>
      </c>
      <c r="BB12" t="s">
        <v>19</v>
      </c>
      <c r="BC12" t="s">
        <v>1121</v>
      </c>
      <c r="BD12" t="s">
        <v>1115</v>
      </c>
      <c r="BE12" t="s">
        <v>19</v>
      </c>
      <c r="BF12" t="s">
        <v>19</v>
      </c>
      <c r="BG12">
        <v>561</v>
      </c>
      <c r="BH12" t="s">
        <v>1094</v>
      </c>
      <c r="BI12">
        <v>0.5</v>
      </c>
      <c r="BJ12" t="s">
        <v>1122</v>
      </c>
      <c r="BK12" t="s">
        <v>2</v>
      </c>
      <c r="BL12">
        <v>12</v>
      </c>
    </row>
    <row r="13" spans="1:120" ht="14.45" customHeight="1">
      <c r="A13" s="155"/>
      <c r="B13" s="30">
        <f t="shared" si="0"/>
        <v>13</v>
      </c>
      <c r="C13" s="30" t="s">
        <v>2179</v>
      </c>
      <c r="D13" s="30"/>
      <c r="E13" s="30" t="s">
        <v>2180</v>
      </c>
      <c r="F13" s="31"/>
      <c r="G13" s="30"/>
      <c r="H13" s="30"/>
      <c r="I13" s="30"/>
      <c r="J13" s="30"/>
      <c r="K13" s="30"/>
      <c r="L13" s="30" t="s">
        <v>2180</v>
      </c>
      <c r="M13" s="30" t="s">
        <v>2180</v>
      </c>
      <c r="N13" s="30"/>
      <c r="P13" s="30"/>
      <c r="Q13" s="30"/>
      <c r="R13" s="30"/>
      <c r="S13" s="30"/>
      <c r="T13" s="31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 t="str">
        <f t="shared" si="1"/>
        <v>KS_CPM_E            KS_CPL_D</v>
      </c>
      <c r="AG13" s="30" t="s">
        <v>2182</v>
      </c>
      <c r="AH13">
        <v>3</v>
      </c>
      <c r="AI13">
        <v>13</v>
      </c>
      <c r="AJ13" t="s">
        <v>1123</v>
      </c>
      <c r="AK13" t="s">
        <v>19</v>
      </c>
      <c r="AL13" t="s">
        <v>81</v>
      </c>
      <c r="AM13" t="s">
        <v>81</v>
      </c>
      <c r="AN13" t="s">
        <v>88</v>
      </c>
      <c r="AO13" t="s">
        <v>89</v>
      </c>
      <c r="AP13">
        <v>14</v>
      </c>
      <c r="AQ13" t="s">
        <v>90</v>
      </c>
      <c r="AR13" t="s">
        <v>35</v>
      </c>
      <c r="AS13" t="s">
        <v>19</v>
      </c>
      <c r="AT13" t="s">
        <v>19</v>
      </c>
      <c r="AU13" t="s">
        <v>55</v>
      </c>
      <c r="AV13" t="s">
        <v>55</v>
      </c>
      <c r="AW13" t="s">
        <v>75</v>
      </c>
      <c r="AX13" t="s">
        <v>76</v>
      </c>
      <c r="AY13">
        <v>4</v>
      </c>
      <c r="AZ13" t="s">
        <v>77</v>
      </c>
      <c r="BA13" t="s">
        <v>35</v>
      </c>
      <c r="BB13" t="s">
        <v>19</v>
      </c>
      <c r="BC13" t="s">
        <v>1124</v>
      </c>
      <c r="BD13" t="s">
        <v>1115</v>
      </c>
      <c r="BE13" t="s">
        <v>19</v>
      </c>
      <c r="BF13" t="s">
        <v>19</v>
      </c>
      <c r="BG13">
        <v>1711</v>
      </c>
      <c r="BH13" t="s">
        <v>1125</v>
      </c>
      <c r="BI13">
        <v>0.35</v>
      </c>
      <c r="BJ13" t="s">
        <v>1126</v>
      </c>
      <c r="BK13" t="s">
        <v>2</v>
      </c>
      <c r="BL13">
        <v>13</v>
      </c>
    </row>
    <row r="14" spans="1:120" ht="14.45" customHeight="1">
      <c r="A14" s="155"/>
      <c r="B14" s="30">
        <f t="shared" si="0"/>
        <v>14</v>
      </c>
      <c r="C14" s="30" t="s">
        <v>2179</v>
      </c>
      <c r="D14" s="30"/>
      <c r="E14" s="30" t="s">
        <v>2180</v>
      </c>
      <c r="F14" s="31"/>
      <c r="G14" s="30"/>
      <c r="H14" s="30"/>
      <c r="I14" s="30"/>
      <c r="J14" s="30"/>
      <c r="K14" s="30"/>
      <c r="L14" s="30" t="s">
        <v>2180</v>
      </c>
      <c r="M14" s="30" t="s">
        <v>2180</v>
      </c>
      <c r="N14" s="30"/>
      <c r="P14" s="30"/>
      <c r="Q14" s="30"/>
      <c r="R14" s="30"/>
      <c r="S14" s="30"/>
      <c r="T14" s="31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 t="str">
        <f t="shared" si="1"/>
        <v>KS_CPM_E            KS_CPL_D</v>
      </c>
      <c r="AG14" s="30" t="s">
        <v>2182</v>
      </c>
      <c r="AH14">
        <v>3</v>
      </c>
      <c r="AI14">
        <v>14</v>
      </c>
      <c r="AJ14" t="s">
        <v>1127</v>
      </c>
      <c r="AK14" t="s">
        <v>19</v>
      </c>
      <c r="AL14" t="s">
        <v>81</v>
      </c>
      <c r="AM14" t="s">
        <v>81</v>
      </c>
      <c r="AN14" t="s">
        <v>88</v>
      </c>
      <c r="AO14" t="s">
        <v>89</v>
      </c>
      <c r="AP14">
        <v>13</v>
      </c>
      <c r="AQ14" t="s">
        <v>90</v>
      </c>
      <c r="AR14" t="s">
        <v>35</v>
      </c>
      <c r="AS14" t="s">
        <v>19</v>
      </c>
      <c r="AT14" t="s">
        <v>19</v>
      </c>
      <c r="AU14" t="s">
        <v>55</v>
      </c>
      <c r="AV14" t="s">
        <v>55</v>
      </c>
      <c r="AW14" t="s">
        <v>75</v>
      </c>
      <c r="AX14" t="s">
        <v>76</v>
      </c>
      <c r="AY14">
        <v>5</v>
      </c>
      <c r="AZ14" t="s">
        <v>77</v>
      </c>
      <c r="BA14" t="s">
        <v>35</v>
      </c>
      <c r="BB14" t="s">
        <v>19</v>
      </c>
      <c r="BC14" t="s">
        <v>1128</v>
      </c>
      <c r="BD14" t="s">
        <v>1115</v>
      </c>
      <c r="BE14" t="s">
        <v>19</v>
      </c>
      <c r="BF14" t="s">
        <v>19</v>
      </c>
      <c r="BG14">
        <v>1711</v>
      </c>
      <c r="BH14" t="s">
        <v>1129</v>
      </c>
      <c r="BI14">
        <v>0.35</v>
      </c>
      <c r="BJ14" t="s">
        <v>1130</v>
      </c>
      <c r="BK14" t="s">
        <v>2</v>
      </c>
      <c r="BL14">
        <v>14</v>
      </c>
    </row>
    <row r="15" spans="1:120" ht="14.45" customHeight="1">
      <c r="A15" s="155"/>
      <c r="B15" s="30">
        <f t="shared" si="0"/>
        <v>15</v>
      </c>
      <c r="C15" s="30" t="s">
        <v>2179</v>
      </c>
      <c r="D15" s="30"/>
      <c r="E15" s="30" t="s">
        <v>2185</v>
      </c>
      <c r="F15" s="31" t="s">
        <v>2186</v>
      </c>
      <c r="G15" s="30" t="s">
        <v>1134</v>
      </c>
      <c r="H15" s="30"/>
      <c r="I15" s="30"/>
      <c r="J15" s="30"/>
      <c r="K15" s="30" t="s">
        <v>2184</v>
      </c>
      <c r="L15" s="30" t="s">
        <v>2187</v>
      </c>
      <c r="M15" s="30" t="s">
        <v>2180</v>
      </c>
      <c r="N15" s="30"/>
      <c r="P15" s="30"/>
      <c r="Q15" s="30"/>
      <c r="R15" s="30"/>
      <c r="S15" s="30"/>
      <c r="T15" s="31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 t="s">
        <v>2188</v>
      </c>
      <c r="AF15" s="30" t="str">
        <f t="shared" si="1"/>
        <v>SP_CANLK            KS_CPL_B</v>
      </c>
      <c r="AG15" s="30" t="s">
        <v>2189</v>
      </c>
      <c r="AH15">
        <v>3</v>
      </c>
      <c r="AI15">
        <v>15</v>
      </c>
      <c r="AJ15" t="s">
        <v>1131</v>
      </c>
      <c r="AK15" t="s">
        <v>19</v>
      </c>
      <c r="AL15" t="s">
        <v>19</v>
      </c>
      <c r="AM15" t="s">
        <v>1132</v>
      </c>
      <c r="AN15" t="s">
        <v>1133</v>
      </c>
      <c r="AO15" t="s">
        <v>1134</v>
      </c>
      <c r="AP15">
        <v>1</v>
      </c>
      <c r="AQ15" t="s">
        <v>295</v>
      </c>
      <c r="AR15" t="s">
        <v>19</v>
      </c>
      <c r="AS15" t="s">
        <v>19</v>
      </c>
      <c r="AT15" t="s">
        <v>19</v>
      </c>
      <c r="AU15" t="s">
        <v>55</v>
      </c>
      <c r="AV15" t="s">
        <v>55</v>
      </c>
      <c r="AW15" t="s">
        <v>63</v>
      </c>
      <c r="AX15" t="s">
        <v>64</v>
      </c>
      <c r="AY15">
        <v>1</v>
      </c>
      <c r="AZ15" t="s">
        <v>65</v>
      </c>
      <c r="BA15" t="s">
        <v>35</v>
      </c>
      <c r="BB15" t="s">
        <v>19</v>
      </c>
      <c r="BC15" t="s">
        <v>1135</v>
      </c>
      <c r="BD15" t="s">
        <v>1115</v>
      </c>
      <c r="BE15" t="s">
        <v>1136</v>
      </c>
      <c r="BF15" t="s">
        <v>1137</v>
      </c>
      <c r="BG15">
        <v>1283</v>
      </c>
      <c r="BH15" t="s">
        <v>1138</v>
      </c>
      <c r="BI15">
        <v>0.35</v>
      </c>
      <c r="BJ15" t="s">
        <v>1139</v>
      </c>
      <c r="BK15" t="s">
        <v>2</v>
      </c>
      <c r="BL15">
        <v>15</v>
      </c>
    </row>
    <row r="16" spans="1:120" ht="14.45" customHeight="1">
      <c r="A16" s="155"/>
      <c r="B16" s="30">
        <f t="shared" si="0"/>
        <v>16</v>
      </c>
      <c r="C16" s="30" t="s">
        <v>2179</v>
      </c>
      <c r="D16" s="30"/>
      <c r="E16" s="30" t="s">
        <v>2185</v>
      </c>
      <c r="F16" s="31" t="s">
        <v>2186</v>
      </c>
      <c r="G16" s="30" t="s">
        <v>1143</v>
      </c>
      <c r="H16" s="30"/>
      <c r="I16" s="30"/>
      <c r="J16" s="30"/>
      <c r="K16" s="30" t="s">
        <v>2184</v>
      </c>
      <c r="L16" s="30" t="s">
        <v>2187</v>
      </c>
      <c r="M16" s="30" t="s">
        <v>2180</v>
      </c>
      <c r="N16" s="30"/>
      <c r="P16" s="30"/>
      <c r="Q16" s="30"/>
      <c r="R16" s="30"/>
      <c r="S16" s="30"/>
      <c r="T16" s="31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 t="s">
        <v>2188</v>
      </c>
      <c r="AF16" s="30" t="str">
        <f t="shared" si="1"/>
        <v>SP_CANHK            KS_CPL_B</v>
      </c>
      <c r="AG16" s="30" t="s">
        <v>2189</v>
      </c>
      <c r="AH16">
        <v>3</v>
      </c>
      <c r="AI16">
        <v>16</v>
      </c>
      <c r="AJ16" t="s">
        <v>1140</v>
      </c>
      <c r="AK16" t="s">
        <v>19</v>
      </c>
      <c r="AL16" t="s">
        <v>19</v>
      </c>
      <c r="AM16" t="s">
        <v>1141</v>
      </c>
      <c r="AN16" t="s">
        <v>1142</v>
      </c>
      <c r="AO16" t="s">
        <v>1143</v>
      </c>
      <c r="AP16">
        <v>1</v>
      </c>
      <c r="AQ16" t="s">
        <v>295</v>
      </c>
      <c r="AR16" t="s">
        <v>19</v>
      </c>
      <c r="AS16" t="s">
        <v>19</v>
      </c>
      <c r="AT16" t="s">
        <v>19</v>
      </c>
      <c r="AU16" t="s">
        <v>55</v>
      </c>
      <c r="AV16" t="s">
        <v>55</v>
      </c>
      <c r="AW16" t="s">
        <v>63</v>
      </c>
      <c r="AX16" t="s">
        <v>64</v>
      </c>
      <c r="AY16">
        <v>2</v>
      </c>
      <c r="AZ16" t="s">
        <v>65</v>
      </c>
      <c r="BA16" t="s">
        <v>35</v>
      </c>
      <c r="BB16" t="s">
        <v>19</v>
      </c>
      <c r="BC16" t="s">
        <v>1135</v>
      </c>
      <c r="BD16" t="s">
        <v>1115</v>
      </c>
      <c r="BE16" t="s">
        <v>1136</v>
      </c>
      <c r="BF16" t="s">
        <v>1144</v>
      </c>
      <c r="BG16">
        <v>1283</v>
      </c>
      <c r="BH16" t="s">
        <v>1145</v>
      </c>
      <c r="BI16">
        <v>0.35</v>
      </c>
      <c r="BJ16" t="s">
        <v>1146</v>
      </c>
      <c r="BK16" t="s">
        <v>2</v>
      </c>
      <c r="BL16">
        <v>16</v>
      </c>
    </row>
    <row r="17" spans="1:64" ht="14.45" customHeight="1">
      <c r="A17" s="155"/>
      <c r="B17" s="30">
        <f t="shared" si="0"/>
        <v>17</v>
      </c>
      <c r="C17" s="30" t="s">
        <v>2179</v>
      </c>
      <c r="D17" s="34"/>
      <c r="E17" s="30" t="s">
        <v>2190</v>
      </c>
      <c r="F17" s="31"/>
      <c r="G17" s="30"/>
      <c r="H17" s="30"/>
      <c r="I17" s="30"/>
      <c r="J17" s="30"/>
      <c r="K17" s="30"/>
      <c r="L17" s="30" t="s">
        <v>2190</v>
      </c>
      <c r="M17" s="30" t="s">
        <v>2190</v>
      </c>
      <c r="N17" s="30"/>
      <c r="P17" s="30"/>
      <c r="Q17" s="30"/>
      <c r="R17" s="30"/>
      <c r="S17" s="30"/>
      <c r="T17" s="31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 t="str">
        <f t="shared" si="1"/>
        <v>HSK103P             LEL11A</v>
      </c>
      <c r="AG17" s="30" t="s">
        <v>2189</v>
      </c>
      <c r="AH17">
        <v>3</v>
      </c>
      <c r="AI17">
        <v>17</v>
      </c>
      <c r="AJ17" t="s">
        <v>1147</v>
      </c>
      <c r="AK17" t="s">
        <v>19</v>
      </c>
      <c r="AL17" t="s">
        <v>124</v>
      </c>
      <c r="AM17" t="s">
        <v>124</v>
      </c>
      <c r="AN17" t="s">
        <v>123</v>
      </c>
      <c r="AO17" t="s">
        <v>125</v>
      </c>
      <c r="AP17">
        <v>1</v>
      </c>
      <c r="AQ17" t="s">
        <v>126</v>
      </c>
      <c r="AR17" t="s">
        <v>47</v>
      </c>
      <c r="AS17" t="s">
        <v>19</v>
      </c>
      <c r="AT17" t="s">
        <v>19</v>
      </c>
      <c r="AU17" t="s">
        <v>232</v>
      </c>
      <c r="AV17" t="s">
        <v>232</v>
      </c>
      <c r="AW17" t="s">
        <v>231</v>
      </c>
      <c r="AX17" t="s">
        <v>233</v>
      </c>
      <c r="AY17">
        <v>1</v>
      </c>
      <c r="AZ17" t="s">
        <v>234</v>
      </c>
      <c r="BA17" t="s">
        <v>47</v>
      </c>
      <c r="BB17" t="s">
        <v>19</v>
      </c>
      <c r="BC17" t="s">
        <v>1148</v>
      </c>
      <c r="BD17" t="s">
        <v>1115</v>
      </c>
      <c r="BE17" t="s">
        <v>19</v>
      </c>
      <c r="BF17" t="s">
        <v>19</v>
      </c>
      <c r="BG17">
        <v>620</v>
      </c>
      <c r="BH17" t="s">
        <v>1116</v>
      </c>
      <c r="BI17">
        <v>0.5</v>
      </c>
      <c r="BJ17" t="s">
        <v>1149</v>
      </c>
      <c r="BK17" t="s">
        <v>2</v>
      </c>
      <c r="BL17">
        <v>17</v>
      </c>
    </row>
    <row r="18" spans="1:64" ht="14.45" customHeight="1">
      <c r="A18" s="155"/>
      <c r="B18" s="30">
        <f t="shared" si="0"/>
        <v>18</v>
      </c>
      <c r="C18" s="30" t="s">
        <v>2179</v>
      </c>
      <c r="D18" s="34"/>
      <c r="E18" s="30" t="s">
        <v>2190</v>
      </c>
      <c r="F18" s="31" t="s">
        <v>2183</v>
      </c>
      <c r="G18" s="30" t="s">
        <v>1152</v>
      </c>
      <c r="H18" s="30"/>
      <c r="I18" s="30"/>
      <c r="J18" s="30"/>
      <c r="K18" s="30" t="s">
        <v>2184</v>
      </c>
      <c r="L18" s="30" t="s">
        <v>2180</v>
      </c>
      <c r="M18" s="30" t="s">
        <v>2180</v>
      </c>
      <c r="N18" s="30"/>
      <c r="P18" s="30"/>
      <c r="Q18" s="30"/>
      <c r="R18" s="30"/>
      <c r="S18" s="30"/>
      <c r="T18" s="31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 t="str">
        <f t="shared" si="1"/>
        <v>SP_MB32_B2          HSK103P</v>
      </c>
      <c r="AG18" s="30" t="s">
        <v>2189</v>
      </c>
      <c r="AH18">
        <v>3</v>
      </c>
      <c r="AI18">
        <v>18</v>
      </c>
      <c r="AJ18" t="s">
        <v>1150</v>
      </c>
      <c r="AK18" t="s">
        <v>19</v>
      </c>
      <c r="AL18" t="s">
        <v>19</v>
      </c>
      <c r="AM18" t="s">
        <v>1151</v>
      </c>
      <c r="AN18">
        <v>135</v>
      </c>
      <c r="AO18" t="s">
        <v>1152</v>
      </c>
      <c r="AP18">
        <v>1</v>
      </c>
      <c r="AQ18" t="s">
        <v>358</v>
      </c>
      <c r="AR18" t="s">
        <v>19</v>
      </c>
      <c r="AS18" t="s">
        <v>19</v>
      </c>
      <c r="AT18" t="s">
        <v>19</v>
      </c>
      <c r="AU18" t="s">
        <v>124</v>
      </c>
      <c r="AV18" t="s">
        <v>124</v>
      </c>
      <c r="AW18" t="s">
        <v>123</v>
      </c>
      <c r="AX18" t="s">
        <v>125</v>
      </c>
      <c r="AY18">
        <v>3</v>
      </c>
      <c r="AZ18" t="s">
        <v>126</v>
      </c>
      <c r="BA18" t="s">
        <v>47</v>
      </c>
      <c r="BB18" t="s">
        <v>19</v>
      </c>
      <c r="BC18" t="s">
        <v>1121</v>
      </c>
      <c r="BD18" t="s">
        <v>1115</v>
      </c>
      <c r="BE18" t="s">
        <v>19</v>
      </c>
      <c r="BF18" t="s">
        <v>19</v>
      </c>
      <c r="BG18">
        <v>980</v>
      </c>
      <c r="BH18" t="s">
        <v>1094</v>
      </c>
      <c r="BI18">
        <v>0.5</v>
      </c>
      <c r="BJ18" t="s">
        <v>1153</v>
      </c>
      <c r="BK18" t="s">
        <v>2</v>
      </c>
      <c r="BL18">
        <v>18</v>
      </c>
    </row>
    <row r="19" spans="1:64" ht="14.45" customHeight="1">
      <c r="A19" s="155"/>
      <c r="B19" s="30">
        <f t="shared" si="0"/>
        <v>19</v>
      </c>
      <c r="C19" s="30" t="s">
        <v>2179</v>
      </c>
      <c r="D19" s="34"/>
      <c r="E19" s="30" t="s">
        <v>2190</v>
      </c>
      <c r="F19" s="31"/>
      <c r="G19" s="30"/>
      <c r="H19" s="30"/>
      <c r="I19" s="30"/>
      <c r="J19" s="30"/>
      <c r="K19" s="30"/>
      <c r="L19" s="30" t="s">
        <v>2190</v>
      </c>
      <c r="M19" s="30" t="s">
        <v>2190</v>
      </c>
      <c r="N19" s="30"/>
      <c r="P19" s="30"/>
      <c r="Q19" s="30"/>
      <c r="R19" s="30"/>
      <c r="S19" s="30"/>
      <c r="T19" s="31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 t="str">
        <f t="shared" si="1"/>
        <v>LEL11A              KS_CPL_C</v>
      </c>
      <c r="AG19" s="30" t="s">
        <v>2189</v>
      </c>
      <c r="AH19">
        <v>3</v>
      </c>
      <c r="AI19">
        <v>19</v>
      </c>
      <c r="AJ19" t="s">
        <v>1154</v>
      </c>
      <c r="AK19" t="s">
        <v>19</v>
      </c>
      <c r="AL19" t="s">
        <v>232</v>
      </c>
      <c r="AM19" t="s">
        <v>232</v>
      </c>
      <c r="AN19" t="s">
        <v>231</v>
      </c>
      <c r="AO19" t="s">
        <v>233</v>
      </c>
      <c r="AP19">
        <v>2</v>
      </c>
      <c r="AQ19" t="s">
        <v>234</v>
      </c>
      <c r="AR19" t="s">
        <v>47</v>
      </c>
      <c r="AS19" t="s">
        <v>19</v>
      </c>
      <c r="AT19" t="s">
        <v>19</v>
      </c>
      <c r="AU19" t="s">
        <v>55</v>
      </c>
      <c r="AV19" t="s">
        <v>55</v>
      </c>
      <c r="AW19" t="s">
        <v>69</v>
      </c>
      <c r="AX19" t="s">
        <v>70</v>
      </c>
      <c r="AY19">
        <v>9</v>
      </c>
      <c r="AZ19" t="s">
        <v>71</v>
      </c>
      <c r="BA19" t="s">
        <v>36</v>
      </c>
      <c r="BB19" t="s">
        <v>19</v>
      </c>
      <c r="BC19" t="s">
        <v>1155</v>
      </c>
      <c r="BD19" t="s">
        <v>1115</v>
      </c>
      <c r="BE19" t="s">
        <v>19</v>
      </c>
      <c r="BF19" t="s">
        <v>19</v>
      </c>
      <c r="BG19">
        <v>1851</v>
      </c>
      <c r="BH19" t="s">
        <v>1156</v>
      </c>
      <c r="BI19">
        <v>0.5</v>
      </c>
      <c r="BJ19" t="s">
        <v>1157</v>
      </c>
      <c r="BK19" t="s">
        <v>2</v>
      </c>
      <c r="BL19">
        <v>19</v>
      </c>
    </row>
    <row r="20" spans="1:64" ht="14.45" customHeight="1">
      <c r="A20" s="155"/>
      <c r="B20" s="30">
        <f t="shared" si="0"/>
        <v>23</v>
      </c>
      <c r="C20" s="30" t="s">
        <v>2179</v>
      </c>
      <c r="D20" s="30"/>
      <c r="E20" s="30" t="s">
        <v>2180</v>
      </c>
      <c r="F20" s="31"/>
      <c r="G20" s="30"/>
      <c r="H20" s="30"/>
      <c r="I20" s="30"/>
      <c r="J20" s="30"/>
      <c r="K20" s="30"/>
      <c r="L20" s="30" t="s">
        <v>2180</v>
      </c>
      <c r="M20" s="30" t="s">
        <v>2180</v>
      </c>
      <c r="N20" s="30"/>
      <c r="P20" s="30"/>
      <c r="Q20" s="30"/>
      <c r="R20" s="30"/>
      <c r="S20" s="30"/>
      <c r="T20" s="31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 t="str">
        <f t="shared" si="1"/>
        <v>KS_CPM_F            KS_CPR_B</v>
      </c>
      <c r="AG20" s="30" t="s">
        <v>2182</v>
      </c>
      <c r="AH20">
        <v>3</v>
      </c>
      <c r="AI20">
        <v>23</v>
      </c>
      <c r="AJ20" t="s">
        <v>1158</v>
      </c>
      <c r="AK20" t="s">
        <v>19</v>
      </c>
      <c r="AL20" t="s">
        <v>81</v>
      </c>
      <c r="AM20" t="s">
        <v>92</v>
      </c>
      <c r="AN20" t="s">
        <v>91</v>
      </c>
      <c r="AO20" t="s">
        <v>93</v>
      </c>
      <c r="AP20">
        <v>10</v>
      </c>
      <c r="AQ20" t="s">
        <v>94</v>
      </c>
      <c r="AR20" t="s">
        <v>36</v>
      </c>
      <c r="AS20" t="s">
        <v>19</v>
      </c>
      <c r="AT20" t="s">
        <v>19</v>
      </c>
      <c r="AU20" t="s">
        <v>96</v>
      </c>
      <c r="AV20" t="s">
        <v>96</v>
      </c>
      <c r="AW20" t="s">
        <v>100</v>
      </c>
      <c r="AX20" t="s">
        <v>101</v>
      </c>
      <c r="AY20">
        <v>9</v>
      </c>
      <c r="AZ20" t="s">
        <v>102</v>
      </c>
      <c r="BA20" t="s">
        <v>36</v>
      </c>
      <c r="BB20" t="s">
        <v>19</v>
      </c>
      <c r="BC20" t="s">
        <v>1159</v>
      </c>
      <c r="BD20" t="s">
        <v>1115</v>
      </c>
      <c r="BE20" t="s">
        <v>19</v>
      </c>
      <c r="BF20" t="s">
        <v>19</v>
      </c>
      <c r="BG20">
        <v>1682</v>
      </c>
      <c r="BH20" t="s">
        <v>1160</v>
      </c>
      <c r="BI20">
        <v>0.5</v>
      </c>
      <c r="BJ20" t="s">
        <v>1161</v>
      </c>
      <c r="BK20" t="s">
        <v>2</v>
      </c>
      <c r="BL20">
        <v>23</v>
      </c>
    </row>
    <row r="21" spans="1:64" ht="14.45" customHeight="1">
      <c r="A21" s="155"/>
      <c r="B21" s="30">
        <f t="shared" si="0"/>
        <v>24</v>
      </c>
      <c r="C21" s="30" t="s">
        <v>2179</v>
      </c>
      <c r="D21" s="30"/>
      <c r="E21" s="30" t="s">
        <v>2180</v>
      </c>
      <c r="F21" s="31"/>
      <c r="G21" s="30"/>
      <c r="H21" s="30"/>
      <c r="I21" s="30"/>
      <c r="J21" s="30"/>
      <c r="K21" s="30"/>
      <c r="L21" s="30" t="s">
        <v>2180</v>
      </c>
      <c r="M21" s="30" t="s">
        <v>2180</v>
      </c>
      <c r="N21" s="30"/>
      <c r="P21" s="30"/>
      <c r="Q21" s="30"/>
      <c r="R21" s="30"/>
      <c r="S21" s="30"/>
      <c r="T21" s="31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 t="str">
        <f t="shared" si="1"/>
        <v>KS_CPM_F            KS_CPR_B</v>
      </c>
      <c r="AG21" s="30" t="s">
        <v>2182</v>
      </c>
      <c r="AH21">
        <v>3</v>
      </c>
      <c r="AI21">
        <v>24</v>
      </c>
      <c r="AJ21" t="s">
        <v>1162</v>
      </c>
      <c r="AK21" t="s">
        <v>19</v>
      </c>
      <c r="AL21" t="s">
        <v>81</v>
      </c>
      <c r="AM21" t="s">
        <v>92</v>
      </c>
      <c r="AN21" t="s">
        <v>91</v>
      </c>
      <c r="AO21" t="s">
        <v>93</v>
      </c>
      <c r="AP21">
        <v>12</v>
      </c>
      <c r="AQ21" t="s">
        <v>94</v>
      </c>
      <c r="AR21" t="s">
        <v>36</v>
      </c>
      <c r="AS21" t="s">
        <v>19</v>
      </c>
      <c r="AT21" t="s">
        <v>19</v>
      </c>
      <c r="AU21" t="s">
        <v>96</v>
      </c>
      <c r="AV21" t="s">
        <v>96</v>
      </c>
      <c r="AW21" t="s">
        <v>100</v>
      </c>
      <c r="AX21" t="s">
        <v>101</v>
      </c>
      <c r="AY21">
        <v>10</v>
      </c>
      <c r="AZ21" t="s">
        <v>102</v>
      </c>
      <c r="BA21" t="s">
        <v>36</v>
      </c>
      <c r="BB21" t="s">
        <v>19</v>
      </c>
      <c r="BC21" t="s">
        <v>1163</v>
      </c>
      <c r="BD21" t="s">
        <v>1115</v>
      </c>
      <c r="BE21" t="s">
        <v>19</v>
      </c>
      <c r="BF21" t="s">
        <v>19</v>
      </c>
      <c r="BG21">
        <v>1682</v>
      </c>
      <c r="BH21" t="s">
        <v>1164</v>
      </c>
      <c r="BI21">
        <v>0.5</v>
      </c>
      <c r="BJ21" t="s">
        <v>1165</v>
      </c>
      <c r="BK21" t="s">
        <v>2</v>
      </c>
      <c r="BL21">
        <v>24</v>
      </c>
    </row>
    <row r="22" spans="1:64" ht="14.45" customHeight="1">
      <c r="A22" s="155"/>
      <c r="B22" s="30">
        <f t="shared" si="0"/>
        <v>26</v>
      </c>
      <c r="C22" s="30" t="s">
        <v>2179</v>
      </c>
      <c r="D22" s="30"/>
      <c r="E22" s="35" t="s">
        <v>2180</v>
      </c>
      <c r="F22" s="31"/>
      <c r="G22" s="30"/>
      <c r="H22" s="30"/>
      <c r="I22" s="30"/>
      <c r="J22" s="30"/>
      <c r="K22" s="30"/>
      <c r="L22" s="35" t="s">
        <v>2180</v>
      </c>
      <c r="M22" s="30" t="s">
        <v>2180</v>
      </c>
      <c r="N22" s="30"/>
      <c r="P22" s="30"/>
      <c r="Q22" s="30"/>
      <c r="R22" s="30"/>
      <c r="S22" s="30"/>
      <c r="T22" s="31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 t="str">
        <f t="shared" si="1"/>
        <v>KS_CPM_A            KS_CPL_C</v>
      </c>
      <c r="AG22" s="30" t="s">
        <v>2182</v>
      </c>
      <c r="AH22">
        <v>3</v>
      </c>
      <c r="AI22">
        <v>26</v>
      </c>
      <c r="AJ22" t="s">
        <v>1166</v>
      </c>
      <c r="AK22" t="s">
        <v>19</v>
      </c>
      <c r="AL22" t="s">
        <v>81</v>
      </c>
      <c r="AM22" t="s">
        <v>81</v>
      </c>
      <c r="AN22" t="s">
        <v>80</v>
      </c>
      <c r="AO22" t="s">
        <v>82</v>
      </c>
      <c r="AP22">
        <v>8</v>
      </c>
      <c r="AQ22" t="s">
        <v>83</v>
      </c>
      <c r="AR22" t="s">
        <v>36</v>
      </c>
      <c r="AS22" t="s">
        <v>19</v>
      </c>
      <c r="AT22" t="s">
        <v>19</v>
      </c>
      <c r="AU22" t="s">
        <v>55</v>
      </c>
      <c r="AV22" t="s">
        <v>55</v>
      </c>
      <c r="AW22" t="s">
        <v>69</v>
      </c>
      <c r="AX22" t="s">
        <v>70</v>
      </c>
      <c r="AY22">
        <v>4</v>
      </c>
      <c r="AZ22" t="s">
        <v>71</v>
      </c>
      <c r="BA22" t="s">
        <v>36</v>
      </c>
      <c r="BB22" t="s">
        <v>19</v>
      </c>
      <c r="BC22" t="s">
        <v>1167</v>
      </c>
      <c r="BD22" t="s">
        <v>1115</v>
      </c>
      <c r="BE22" t="s">
        <v>19</v>
      </c>
      <c r="BF22" t="s">
        <v>19</v>
      </c>
      <c r="BG22">
        <v>1679</v>
      </c>
      <c r="BH22" t="s">
        <v>1168</v>
      </c>
      <c r="BI22">
        <v>0.5</v>
      </c>
      <c r="BJ22" t="s">
        <v>1169</v>
      </c>
      <c r="BK22" t="s">
        <v>2</v>
      </c>
      <c r="BL22">
        <v>26</v>
      </c>
    </row>
    <row r="23" spans="1:64" ht="14.45" customHeight="1">
      <c r="A23" s="155"/>
      <c r="B23" s="30">
        <f t="shared" si="0"/>
        <v>27</v>
      </c>
      <c r="C23" s="30" t="s">
        <v>2179</v>
      </c>
      <c r="D23" s="30"/>
      <c r="E23" s="30" t="s">
        <v>2180</v>
      </c>
      <c r="F23" s="31"/>
      <c r="G23" s="30"/>
      <c r="H23" s="30"/>
      <c r="I23" s="30"/>
      <c r="J23" s="30"/>
      <c r="K23" s="30"/>
      <c r="L23" s="30" t="s">
        <v>2180</v>
      </c>
      <c r="M23" s="30" t="s">
        <v>2180</v>
      </c>
      <c r="N23" s="30"/>
      <c r="P23" s="30"/>
      <c r="Q23" s="30"/>
      <c r="R23" s="30"/>
      <c r="S23" s="30"/>
      <c r="T23" s="31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 t="str">
        <f t="shared" si="1"/>
        <v>STO52A              MIB_D</v>
      </c>
      <c r="AG23" s="30" t="s">
        <v>2182</v>
      </c>
      <c r="AH23">
        <v>3</v>
      </c>
      <c r="AI23">
        <v>27</v>
      </c>
      <c r="AJ23" t="s">
        <v>1170</v>
      </c>
      <c r="AK23" t="s">
        <v>19</v>
      </c>
      <c r="AL23" t="s">
        <v>199</v>
      </c>
      <c r="AM23" t="s">
        <v>199</v>
      </c>
      <c r="AN23" t="s">
        <v>198</v>
      </c>
      <c r="AO23" t="s">
        <v>200</v>
      </c>
      <c r="AP23" t="s">
        <v>1171</v>
      </c>
      <c r="AQ23" t="s">
        <v>201</v>
      </c>
      <c r="AR23" t="s">
        <v>44</v>
      </c>
      <c r="AS23" t="s">
        <v>19</v>
      </c>
      <c r="AT23" t="s">
        <v>19</v>
      </c>
      <c r="AU23" t="s">
        <v>249</v>
      </c>
      <c r="AV23" t="s">
        <v>250</v>
      </c>
      <c r="AW23" t="s">
        <v>268</v>
      </c>
      <c r="AX23" t="s">
        <v>269</v>
      </c>
      <c r="AY23">
        <v>18</v>
      </c>
      <c r="AZ23" t="s">
        <v>270</v>
      </c>
      <c r="BA23" t="s">
        <v>32</v>
      </c>
      <c r="BB23" t="s">
        <v>19</v>
      </c>
      <c r="BC23" t="s">
        <v>1172</v>
      </c>
      <c r="BD23" t="s">
        <v>1115</v>
      </c>
      <c r="BE23" t="s">
        <v>19</v>
      </c>
      <c r="BF23" t="s">
        <v>19</v>
      </c>
      <c r="BG23">
        <v>1717</v>
      </c>
      <c r="BH23" t="s">
        <v>1173</v>
      </c>
      <c r="BI23">
        <v>2.5</v>
      </c>
      <c r="BJ23" t="s">
        <v>1174</v>
      </c>
      <c r="BK23" t="s">
        <v>2</v>
      </c>
      <c r="BL23">
        <v>27</v>
      </c>
    </row>
    <row r="24" spans="1:64" ht="14.45" customHeight="1">
      <c r="A24" s="155"/>
      <c r="B24" s="30">
        <f t="shared" si="0"/>
        <v>29</v>
      </c>
      <c r="C24" s="30" t="s">
        <v>2179</v>
      </c>
      <c r="D24" s="30"/>
      <c r="E24" s="35" t="s">
        <v>2180</v>
      </c>
      <c r="F24" s="31"/>
      <c r="G24" s="30"/>
      <c r="H24" s="30"/>
      <c r="I24" s="30"/>
      <c r="J24" s="30"/>
      <c r="K24" s="30"/>
      <c r="L24" s="35" t="s">
        <v>2180</v>
      </c>
      <c r="M24" s="35" t="s">
        <v>2180</v>
      </c>
      <c r="N24" s="30"/>
      <c r="P24" s="30"/>
      <c r="Q24" s="30"/>
      <c r="R24" s="30"/>
      <c r="S24" s="30"/>
      <c r="T24" s="31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 t="str">
        <f t="shared" si="1"/>
        <v>KS_CPR_A            KS_CPM_A</v>
      </c>
      <c r="AG24" s="30" t="s">
        <v>2182</v>
      </c>
      <c r="AH24">
        <v>3</v>
      </c>
      <c r="AI24">
        <v>29</v>
      </c>
      <c r="AJ24" t="s">
        <v>1175</v>
      </c>
      <c r="AK24" t="s">
        <v>19</v>
      </c>
      <c r="AL24" t="s">
        <v>96</v>
      </c>
      <c r="AM24" t="s">
        <v>96</v>
      </c>
      <c r="AN24" t="s">
        <v>95</v>
      </c>
      <c r="AO24" t="s">
        <v>97</v>
      </c>
      <c r="AP24">
        <v>1</v>
      </c>
      <c r="AQ24" t="s">
        <v>98</v>
      </c>
      <c r="AR24" t="s">
        <v>36</v>
      </c>
      <c r="AS24" t="s">
        <v>19</v>
      </c>
      <c r="AT24" t="s">
        <v>19</v>
      </c>
      <c r="AU24" t="s">
        <v>81</v>
      </c>
      <c r="AV24" t="s">
        <v>81</v>
      </c>
      <c r="AW24" t="s">
        <v>80</v>
      </c>
      <c r="AX24" t="s">
        <v>82</v>
      </c>
      <c r="AY24">
        <v>10</v>
      </c>
      <c r="AZ24" t="s">
        <v>83</v>
      </c>
      <c r="BA24" t="s">
        <v>36</v>
      </c>
      <c r="BB24" t="s">
        <v>19</v>
      </c>
      <c r="BC24" t="s">
        <v>1176</v>
      </c>
      <c r="BD24" t="s">
        <v>1115</v>
      </c>
      <c r="BE24" t="s">
        <v>19</v>
      </c>
      <c r="BF24" t="s">
        <v>19</v>
      </c>
      <c r="BG24">
        <v>1372</v>
      </c>
      <c r="BH24" t="s">
        <v>1177</v>
      </c>
      <c r="BI24">
        <v>0.5</v>
      </c>
      <c r="BJ24" t="s">
        <v>1178</v>
      </c>
      <c r="BK24" t="s">
        <v>2</v>
      </c>
      <c r="BL24">
        <v>29</v>
      </c>
    </row>
    <row r="25" spans="1:64" ht="14.45" customHeight="1">
      <c r="A25" s="155"/>
      <c r="B25" s="30">
        <f t="shared" si="0"/>
        <v>30</v>
      </c>
      <c r="C25" s="30" t="s">
        <v>2179</v>
      </c>
      <c r="D25" s="30"/>
      <c r="E25" s="35" t="s">
        <v>2180</v>
      </c>
      <c r="F25" s="31"/>
      <c r="G25" s="30"/>
      <c r="H25" s="30"/>
      <c r="I25" s="30"/>
      <c r="J25" s="30"/>
      <c r="K25" s="30"/>
      <c r="L25" s="35" t="s">
        <v>2180</v>
      </c>
      <c r="M25" s="35" t="s">
        <v>2180</v>
      </c>
      <c r="N25" s="30"/>
      <c r="P25" s="30"/>
      <c r="Q25" s="30"/>
      <c r="R25" s="30"/>
      <c r="S25" s="30"/>
      <c r="T25" s="31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 t="str">
        <f t="shared" si="1"/>
        <v>KS_CPM_A            KS_CPR_A</v>
      </c>
      <c r="AG25" s="30" t="s">
        <v>2182</v>
      </c>
      <c r="AH25">
        <v>3</v>
      </c>
      <c r="AI25">
        <v>30</v>
      </c>
      <c r="AJ25" t="s">
        <v>1179</v>
      </c>
      <c r="AK25" t="s">
        <v>19</v>
      </c>
      <c r="AL25" t="s">
        <v>81</v>
      </c>
      <c r="AM25" t="s">
        <v>81</v>
      </c>
      <c r="AN25" t="s">
        <v>80</v>
      </c>
      <c r="AO25" t="s">
        <v>82</v>
      </c>
      <c r="AP25">
        <v>3</v>
      </c>
      <c r="AQ25" t="s">
        <v>83</v>
      </c>
      <c r="AR25" t="s">
        <v>36</v>
      </c>
      <c r="AS25" t="s">
        <v>19</v>
      </c>
      <c r="AT25" t="s">
        <v>19</v>
      </c>
      <c r="AU25" t="s">
        <v>96</v>
      </c>
      <c r="AV25" t="s">
        <v>96</v>
      </c>
      <c r="AW25" t="s">
        <v>95</v>
      </c>
      <c r="AX25" t="s">
        <v>97</v>
      </c>
      <c r="AY25">
        <v>2</v>
      </c>
      <c r="AZ25" t="s">
        <v>98</v>
      </c>
      <c r="BA25" t="s">
        <v>36</v>
      </c>
      <c r="BB25" t="s">
        <v>19</v>
      </c>
      <c r="BC25" t="s">
        <v>1180</v>
      </c>
      <c r="BD25" t="s">
        <v>1115</v>
      </c>
      <c r="BE25" t="s">
        <v>19</v>
      </c>
      <c r="BF25" t="s">
        <v>19</v>
      </c>
      <c r="BG25">
        <v>1372</v>
      </c>
      <c r="BH25" t="s">
        <v>1181</v>
      </c>
      <c r="BI25">
        <v>0.5</v>
      </c>
      <c r="BJ25" t="s">
        <v>1182</v>
      </c>
      <c r="BK25" t="s">
        <v>2</v>
      </c>
      <c r="BL25">
        <v>30</v>
      </c>
    </row>
    <row r="26" spans="1:64" ht="14.45" customHeight="1">
      <c r="A26" s="155"/>
      <c r="B26" s="30">
        <f t="shared" si="0"/>
        <v>31</v>
      </c>
      <c r="C26" s="30" t="s">
        <v>2179</v>
      </c>
      <c r="D26" s="30"/>
      <c r="E26" s="30" t="s">
        <v>2180</v>
      </c>
      <c r="F26" s="157" t="s">
        <v>2186</v>
      </c>
      <c r="G26" s="30" t="s">
        <v>1185</v>
      </c>
      <c r="H26" s="30"/>
      <c r="I26" s="30"/>
      <c r="J26" s="30"/>
      <c r="K26" s="30" t="s">
        <v>2184</v>
      </c>
      <c r="L26" s="30" t="s">
        <v>2180</v>
      </c>
      <c r="M26" s="30" t="s">
        <v>2180</v>
      </c>
      <c r="N26" s="30"/>
      <c r="P26" s="30"/>
      <c r="Q26" s="30"/>
      <c r="R26" s="30"/>
      <c r="S26" s="30"/>
      <c r="T26" s="31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 t="str">
        <f t="shared" si="1"/>
        <v>MIB_D               SP_MB34_B1</v>
      </c>
      <c r="AG26" s="30" t="s">
        <v>2182</v>
      </c>
      <c r="AH26">
        <v>3</v>
      </c>
      <c r="AI26">
        <v>31</v>
      </c>
      <c r="AJ26" t="s">
        <v>1183</v>
      </c>
      <c r="AK26" t="s">
        <v>19</v>
      </c>
      <c r="AL26" t="s">
        <v>249</v>
      </c>
      <c r="AM26" t="s">
        <v>250</v>
      </c>
      <c r="AN26" t="s">
        <v>268</v>
      </c>
      <c r="AO26" t="s">
        <v>269</v>
      </c>
      <c r="AP26">
        <v>17</v>
      </c>
      <c r="AQ26" t="s">
        <v>270</v>
      </c>
      <c r="AR26" t="s">
        <v>32</v>
      </c>
      <c r="AS26" t="s">
        <v>19</v>
      </c>
      <c r="AT26" t="s">
        <v>19</v>
      </c>
      <c r="AU26" t="s">
        <v>19</v>
      </c>
      <c r="AV26" t="s">
        <v>1184</v>
      </c>
      <c r="AW26">
        <v>335</v>
      </c>
      <c r="AX26" t="s">
        <v>1185</v>
      </c>
      <c r="AY26">
        <v>1</v>
      </c>
      <c r="AZ26" t="s">
        <v>1186</v>
      </c>
      <c r="BA26" t="s">
        <v>19</v>
      </c>
      <c r="BB26" t="s">
        <v>19</v>
      </c>
      <c r="BC26" t="s">
        <v>1187</v>
      </c>
      <c r="BD26" t="s">
        <v>1115</v>
      </c>
      <c r="BE26" t="s">
        <v>19</v>
      </c>
      <c r="BF26" t="s">
        <v>19</v>
      </c>
      <c r="BG26">
        <v>691</v>
      </c>
      <c r="BH26" t="s">
        <v>1094</v>
      </c>
      <c r="BI26">
        <v>2.5</v>
      </c>
      <c r="BJ26" t="s">
        <v>1188</v>
      </c>
      <c r="BK26" t="s">
        <v>2</v>
      </c>
      <c r="BL26">
        <v>31</v>
      </c>
    </row>
    <row r="27" spans="1:64" ht="14.45" customHeight="1">
      <c r="A27" s="155"/>
      <c r="B27" s="30">
        <f t="shared" si="0"/>
        <v>32</v>
      </c>
      <c r="C27" s="30" t="s">
        <v>2179</v>
      </c>
      <c r="D27" s="30"/>
      <c r="E27" s="35" t="s">
        <v>2180</v>
      </c>
      <c r="F27" s="31"/>
      <c r="G27" s="30"/>
      <c r="H27" s="30"/>
      <c r="I27" s="30"/>
      <c r="J27" s="30"/>
      <c r="K27" s="30"/>
      <c r="L27" s="35" t="s">
        <v>2180</v>
      </c>
      <c r="M27" s="35" t="s">
        <v>2180</v>
      </c>
      <c r="N27" s="30"/>
      <c r="P27" s="30"/>
      <c r="Q27" s="30"/>
      <c r="R27" s="30"/>
      <c r="S27" s="30"/>
      <c r="T27" s="31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 t="str">
        <f t="shared" si="1"/>
        <v>KS_CPR_A            KS_CPM_A</v>
      </c>
      <c r="AG27" s="30" t="s">
        <v>2182</v>
      </c>
      <c r="AH27">
        <v>3</v>
      </c>
      <c r="AI27">
        <v>32</v>
      </c>
      <c r="AJ27" t="s">
        <v>1189</v>
      </c>
      <c r="AK27" t="s">
        <v>19</v>
      </c>
      <c r="AL27" t="s">
        <v>96</v>
      </c>
      <c r="AM27" t="s">
        <v>96</v>
      </c>
      <c r="AN27" t="s">
        <v>95</v>
      </c>
      <c r="AO27" t="s">
        <v>97</v>
      </c>
      <c r="AP27">
        <v>4</v>
      </c>
      <c r="AQ27" t="s">
        <v>98</v>
      </c>
      <c r="AR27" t="s">
        <v>36</v>
      </c>
      <c r="AS27" t="s">
        <v>19</v>
      </c>
      <c r="AT27" t="s">
        <v>19</v>
      </c>
      <c r="AU27" t="s">
        <v>81</v>
      </c>
      <c r="AV27" t="s">
        <v>81</v>
      </c>
      <c r="AW27" t="s">
        <v>80</v>
      </c>
      <c r="AX27" t="s">
        <v>82</v>
      </c>
      <c r="AY27">
        <v>9</v>
      </c>
      <c r="AZ27" t="s">
        <v>83</v>
      </c>
      <c r="BA27" t="s">
        <v>36</v>
      </c>
      <c r="BB27" t="s">
        <v>19</v>
      </c>
      <c r="BC27" t="s">
        <v>1190</v>
      </c>
      <c r="BD27" t="s">
        <v>1115</v>
      </c>
      <c r="BE27" t="s">
        <v>19</v>
      </c>
      <c r="BF27" t="s">
        <v>19</v>
      </c>
      <c r="BG27">
        <v>1372</v>
      </c>
      <c r="BH27" t="s">
        <v>1191</v>
      </c>
      <c r="BI27">
        <v>0.5</v>
      </c>
      <c r="BJ27" t="s">
        <v>1192</v>
      </c>
      <c r="BK27" t="s">
        <v>2</v>
      </c>
      <c r="BL27">
        <v>32</v>
      </c>
    </row>
    <row r="28" spans="1:64" ht="14.45" customHeight="1">
      <c r="A28" s="171" t="s">
        <v>2407</v>
      </c>
      <c r="B28" s="171">
        <f t="shared" ref="B28" si="2">AI28</f>
        <v>33</v>
      </c>
      <c r="C28" s="171" t="s">
        <v>2179</v>
      </c>
      <c r="D28" s="171"/>
      <c r="E28" s="171" t="s">
        <v>2180</v>
      </c>
      <c r="F28" s="172"/>
      <c r="G28" s="171"/>
      <c r="H28" s="171"/>
      <c r="I28" s="171"/>
      <c r="J28" s="171"/>
      <c r="K28" s="171"/>
      <c r="L28" s="171" t="s">
        <v>2180</v>
      </c>
      <c r="M28" s="171" t="s">
        <v>2180</v>
      </c>
      <c r="N28" s="171"/>
      <c r="P28" s="171"/>
      <c r="Q28" s="171"/>
      <c r="R28" s="171"/>
      <c r="S28" s="171"/>
      <c r="T28" s="172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 t="str">
        <f t="shared" ref="AF28" si="3" xml:space="preserve"> AO28 &amp; REPT(" ",20-LEN(AO28)) &amp; AX28</f>
        <v>KS_CPM_F            KS_CPL_C</v>
      </c>
      <c r="AG28" s="171" t="s">
        <v>2182</v>
      </c>
      <c r="AH28" s="173">
        <v>3</v>
      </c>
      <c r="AI28" s="173">
        <v>33</v>
      </c>
      <c r="AJ28" s="173" t="s">
        <v>1193</v>
      </c>
      <c r="AK28" s="173" t="s">
        <v>19</v>
      </c>
      <c r="AL28" s="173" t="s">
        <v>81</v>
      </c>
      <c r="AM28" s="173" t="s">
        <v>92</v>
      </c>
      <c r="AN28" s="173" t="s">
        <v>91</v>
      </c>
      <c r="AO28" s="173" t="s">
        <v>93</v>
      </c>
      <c r="AP28" s="173">
        <v>2</v>
      </c>
      <c r="AQ28" s="173" t="s">
        <v>94</v>
      </c>
      <c r="AR28" s="209" t="s">
        <v>40</v>
      </c>
      <c r="AS28" s="173" t="s">
        <v>19</v>
      </c>
      <c r="AT28" s="173" t="s">
        <v>19</v>
      </c>
      <c r="AU28" s="173" t="s">
        <v>55</v>
      </c>
      <c r="AV28" s="173" t="s">
        <v>55</v>
      </c>
      <c r="AW28" s="173" t="s">
        <v>69</v>
      </c>
      <c r="AX28" s="173" t="s">
        <v>70</v>
      </c>
      <c r="AY28" s="173">
        <v>11</v>
      </c>
      <c r="AZ28" s="173" t="s">
        <v>71</v>
      </c>
      <c r="BA28" s="209" t="s">
        <v>40</v>
      </c>
      <c r="BB28" s="173" t="s">
        <v>19</v>
      </c>
      <c r="BC28" s="209" t="s">
        <v>2374</v>
      </c>
      <c r="BD28" s="173" t="s">
        <v>1115</v>
      </c>
      <c r="BE28" s="173" t="s">
        <v>19</v>
      </c>
      <c r="BF28" s="173" t="s">
        <v>19</v>
      </c>
      <c r="BG28" s="173">
        <v>1496</v>
      </c>
      <c r="BH28" s="173" t="s">
        <v>1195</v>
      </c>
      <c r="BI28" s="209">
        <v>0.13</v>
      </c>
      <c r="BJ28" s="173" t="s">
        <v>1196</v>
      </c>
      <c r="BK28" s="173" t="s">
        <v>2</v>
      </c>
      <c r="BL28" s="173">
        <v>33</v>
      </c>
    </row>
    <row r="29" spans="1:64" ht="14.45" customHeight="1">
      <c r="A29" s="155" t="s">
        <v>2407</v>
      </c>
      <c r="B29" s="30">
        <f t="shared" si="0"/>
        <v>33</v>
      </c>
      <c r="C29" s="30" t="s">
        <v>2179</v>
      </c>
      <c r="D29" s="30"/>
      <c r="E29" s="30" t="s">
        <v>2180</v>
      </c>
      <c r="F29" s="31"/>
      <c r="G29" s="30"/>
      <c r="H29" s="30"/>
      <c r="I29" s="30"/>
      <c r="J29" s="30"/>
      <c r="K29" s="30"/>
      <c r="L29" s="30" t="s">
        <v>2180</v>
      </c>
      <c r="M29" s="30" t="s">
        <v>2180</v>
      </c>
      <c r="N29" s="30"/>
      <c r="P29" s="30"/>
      <c r="Q29" s="30"/>
      <c r="R29" s="30"/>
      <c r="S29" s="30"/>
      <c r="T29" s="31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 t="str">
        <f t="shared" si="1"/>
        <v>KS_CPM_F            KS_CPL_C</v>
      </c>
      <c r="AG29" s="30" t="s">
        <v>2182</v>
      </c>
      <c r="AH29">
        <v>3</v>
      </c>
      <c r="AI29">
        <v>33</v>
      </c>
      <c r="AJ29" t="s">
        <v>1193</v>
      </c>
      <c r="AK29" t="s">
        <v>19</v>
      </c>
      <c r="AL29" t="s">
        <v>81</v>
      </c>
      <c r="AM29" t="s">
        <v>92</v>
      </c>
      <c r="AN29" t="s">
        <v>91</v>
      </c>
      <c r="AO29" t="s">
        <v>93</v>
      </c>
      <c r="AP29">
        <v>2</v>
      </c>
      <c r="AQ29" t="s">
        <v>94</v>
      </c>
      <c r="AR29" s="192" t="s">
        <v>35</v>
      </c>
      <c r="AS29" t="s">
        <v>19</v>
      </c>
      <c r="AT29" t="s">
        <v>19</v>
      </c>
      <c r="AU29" t="s">
        <v>55</v>
      </c>
      <c r="AV29" t="s">
        <v>55</v>
      </c>
      <c r="AW29" t="s">
        <v>69</v>
      </c>
      <c r="AX29" t="s">
        <v>70</v>
      </c>
      <c r="AY29">
        <v>11</v>
      </c>
      <c r="AZ29" t="s">
        <v>71</v>
      </c>
      <c r="BA29" s="192" t="s">
        <v>35</v>
      </c>
      <c r="BB29" t="s">
        <v>19</v>
      </c>
      <c r="BC29" s="192" t="s">
        <v>1194</v>
      </c>
      <c r="BD29" t="s">
        <v>1115</v>
      </c>
      <c r="BE29" t="s">
        <v>19</v>
      </c>
      <c r="BF29" t="s">
        <v>19</v>
      </c>
      <c r="BG29">
        <v>1497</v>
      </c>
      <c r="BH29" t="s">
        <v>1195</v>
      </c>
      <c r="BI29" s="192">
        <v>0.35</v>
      </c>
      <c r="BJ29" t="s">
        <v>1196</v>
      </c>
      <c r="BK29" t="s">
        <v>2</v>
      </c>
      <c r="BL29">
        <v>33</v>
      </c>
    </row>
    <row r="30" spans="1:64" ht="14.45" customHeight="1">
      <c r="A30" s="155"/>
      <c r="B30" s="30">
        <f t="shared" si="0"/>
        <v>34</v>
      </c>
      <c r="C30" s="30" t="s">
        <v>2179</v>
      </c>
      <c r="D30" s="30"/>
      <c r="E30" s="30" t="s">
        <v>2180</v>
      </c>
      <c r="F30" s="31"/>
      <c r="G30" s="30"/>
      <c r="H30" s="30"/>
      <c r="I30" s="30"/>
      <c r="J30" s="30"/>
      <c r="K30" s="30"/>
      <c r="L30" s="30" t="s">
        <v>2180</v>
      </c>
      <c r="M30" s="30" t="s">
        <v>2180</v>
      </c>
      <c r="N30" s="30"/>
      <c r="P30" s="30"/>
      <c r="Q30" s="30"/>
      <c r="R30" s="30"/>
      <c r="S30" s="30"/>
      <c r="T30" s="31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 t="str">
        <f t="shared" si="1"/>
        <v>KS_CPR_C            KS_CPM_F</v>
      </c>
      <c r="AG30" s="30" t="s">
        <v>2182</v>
      </c>
      <c r="AH30">
        <v>3</v>
      </c>
      <c r="AI30">
        <v>34</v>
      </c>
      <c r="AJ30" t="s">
        <v>1197</v>
      </c>
      <c r="AK30" t="s">
        <v>19</v>
      </c>
      <c r="AL30" t="s">
        <v>96</v>
      </c>
      <c r="AM30" t="s">
        <v>96</v>
      </c>
      <c r="AN30" t="s">
        <v>103</v>
      </c>
      <c r="AO30" t="s">
        <v>104</v>
      </c>
      <c r="AP30">
        <v>17</v>
      </c>
      <c r="AQ30" t="s">
        <v>105</v>
      </c>
      <c r="AR30" t="s">
        <v>27</v>
      </c>
      <c r="AS30" t="s">
        <v>19</v>
      </c>
      <c r="AT30" t="s">
        <v>19</v>
      </c>
      <c r="AU30" t="s">
        <v>81</v>
      </c>
      <c r="AV30" t="s">
        <v>92</v>
      </c>
      <c r="AW30" t="s">
        <v>91</v>
      </c>
      <c r="AX30" t="s">
        <v>93</v>
      </c>
      <c r="AY30">
        <v>3</v>
      </c>
      <c r="AZ30" t="s">
        <v>94</v>
      </c>
      <c r="BA30" t="s">
        <v>35</v>
      </c>
      <c r="BB30" t="s">
        <v>19</v>
      </c>
      <c r="BC30" t="s">
        <v>1198</v>
      </c>
      <c r="BD30" t="s">
        <v>1115</v>
      </c>
      <c r="BE30" t="s">
        <v>19</v>
      </c>
      <c r="BF30" t="s">
        <v>19</v>
      </c>
      <c r="BG30">
        <v>1596</v>
      </c>
      <c r="BH30" t="s">
        <v>1199</v>
      </c>
      <c r="BI30">
        <v>0.35</v>
      </c>
      <c r="BJ30" t="s">
        <v>1200</v>
      </c>
      <c r="BK30" t="s">
        <v>2</v>
      </c>
      <c r="BL30">
        <v>34</v>
      </c>
    </row>
    <row r="31" spans="1:64" ht="14.45" customHeight="1">
      <c r="A31" s="155"/>
      <c r="B31" s="30">
        <f t="shared" si="0"/>
        <v>38</v>
      </c>
      <c r="C31" s="30" t="s">
        <v>2179</v>
      </c>
      <c r="D31" s="30"/>
      <c r="E31" s="30" t="s">
        <v>2180</v>
      </c>
      <c r="F31" s="31" t="s">
        <v>2183</v>
      </c>
      <c r="G31" s="30" t="s">
        <v>1152</v>
      </c>
      <c r="H31" s="30"/>
      <c r="I31" s="30"/>
      <c r="J31" s="30"/>
      <c r="K31" s="30" t="s">
        <v>2184</v>
      </c>
      <c r="L31" s="35" t="s">
        <v>2180</v>
      </c>
      <c r="M31" s="30" t="s">
        <v>2180</v>
      </c>
      <c r="N31" s="30"/>
      <c r="P31" s="30"/>
      <c r="Q31" s="30"/>
      <c r="R31" s="30"/>
      <c r="S31" s="30"/>
      <c r="T31" s="31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 t="str">
        <f t="shared" si="1"/>
        <v>SP_MB32_B2          KS_CPM_A</v>
      </c>
      <c r="AG31" s="30" t="s">
        <v>2182</v>
      </c>
      <c r="AH31">
        <v>3</v>
      </c>
      <c r="AI31">
        <v>38</v>
      </c>
      <c r="AJ31" t="s">
        <v>1201</v>
      </c>
      <c r="AK31" t="s">
        <v>19</v>
      </c>
      <c r="AL31" t="s">
        <v>19</v>
      </c>
      <c r="AM31" t="s">
        <v>1151</v>
      </c>
      <c r="AN31">
        <v>135</v>
      </c>
      <c r="AO31" t="s">
        <v>1152</v>
      </c>
      <c r="AP31">
        <v>1</v>
      </c>
      <c r="AQ31" t="s">
        <v>358</v>
      </c>
      <c r="AR31" t="s">
        <v>19</v>
      </c>
      <c r="AS31" t="s">
        <v>19</v>
      </c>
      <c r="AT31" t="s">
        <v>19</v>
      </c>
      <c r="AU31" t="s">
        <v>81</v>
      </c>
      <c r="AV31" t="s">
        <v>81</v>
      </c>
      <c r="AW31" t="s">
        <v>80</v>
      </c>
      <c r="AX31" t="s">
        <v>82</v>
      </c>
      <c r="AY31">
        <v>14</v>
      </c>
      <c r="AZ31" t="s">
        <v>83</v>
      </c>
      <c r="BA31" t="s">
        <v>36</v>
      </c>
      <c r="BB31" t="s">
        <v>19</v>
      </c>
      <c r="BC31" t="s">
        <v>1202</v>
      </c>
      <c r="BD31" t="s">
        <v>1115</v>
      </c>
      <c r="BE31" t="s">
        <v>19</v>
      </c>
      <c r="BF31" t="s">
        <v>19</v>
      </c>
      <c r="BG31">
        <v>641</v>
      </c>
      <c r="BH31" t="s">
        <v>1094</v>
      </c>
      <c r="BI31">
        <v>0.75</v>
      </c>
      <c r="BJ31" t="s">
        <v>1153</v>
      </c>
      <c r="BK31" t="s">
        <v>2</v>
      </c>
      <c r="BL31">
        <v>38</v>
      </c>
    </row>
    <row r="32" spans="1:64" ht="14.45" customHeight="1">
      <c r="A32" s="155"/>
      <c r="B32" s="30">
        <f t="shared" si="0"/>
        <v>39</v>
      </c>
      <c r="C32" s="30" t="s">
        <v>2179</v>
      </c>
      <c r="D32" s="30"/>
      <c r="E32" s="30" t="s">
        <v>2180</v>
      </c>
      <c r="F32" s="31"/>
      <c r="G32" s="30"/>
      <c r="H32" s="30"/>
      <c r="I32" s="30"/>
      <c r="J32" s="30"/>
      <c r="K32" s="30"/>
      <c r="L32" s="30" t="s">
        <v>2180</v>
      </c>
      <c r="M32" s="30" t="s">
        <v>2180</v>
      </c>
      <c r="N32" s="30"/>
      <c r="P32" s="30"/>
      <c r="Q32" s="30"/>
      <c r="R32" s="30"/>
      <c r="S32" s="30"/>
      <c r="T32" s="31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 t="s">
        <v>2191</v>
      </c>
      <c r="AF32" s="30" t="str">
        <f t="shared" si="1"/>
        <v>SMLS02P             KS_CPL_B</v>
      </c>
      <c r="AG32" s="30" t="s">
        <v>2182</v>
      </c>
      <c r="AH32">
        <v>3</v>
      </c>
      <c r="AI32">
        <v>39</v>
      </c>
      <c r="AJ32" t="s">
        <v>1203</v>
      </c>
      <c r="AK32" t="s">
        <v>19</v>
      </c>
      <c r="AL32" t="s">
        <v>140</v>
      </c>
      <c r="AM32" t="s">
        <v>140</v>
      </c>
      <c r="AN32" t="s">
        <v>139</v>
      </c>
      <c r="AO32" t="s">
        <v>141</v>
      </c>
      <c r="AP32">
        <v>3</v>
      </c>
      <c r="AQ32" t="s">
        <v>142</v>
      </c>
      <c r="AR32" t="s">
        <v>35</v>
      </c>
      <c r="AS32" t="s">
        <v>19</v>
      </c>
      <c r="AT32" t="s">
        <v>19</v>
      </c>
      <c r="AU32" t="s">
        <v>55</v>
      </c>
      <c r="AV32" t="s">
        <v>55</v>
      </c>
      <c r="AW32" t="s">
        <v>63</v>
      </c>
      <c r="AX32" t="s">
        <v>64</v>
      </c>
      <c r="AY32">
        <v>6</v>
      </c>
      <c r="AZ32" t="s">
        <v>65</v>
      </c>
      <c r="BA32" t="s">
        <v>35</v>
      </c>
      <c r="BB32" t="s">
        <v>19</v>
      </c>
      <c r="BC32" t="s">
        <v>1204</v>
      </c>
      <c r="BD32" t="s">
        <v>1115</v>
      </c>
      <c r="BE32" t="s">
        <v>1205</v>
      </c>
      <c r="BF32" t="s">
        <v>1206</v>
      </c>
      <c r="BG32">
        <v>1449</v>
      </c>
      <c r="BH32" t="s">
        <v>1207</v>
      </c>
      <c r="BI32">
        <v>0.35</v>
      </c>
      <c r="BJ32" t="s">
        <v>1208</v>
      </c>
      <c r="BK32" t="s">
        <v>2</v>
      </c>
      <c r="BL32">
        <v>39</v>
      </c>
    </row>
    <row r="33" spans="1:64" ht="14.45" customHeight="1">
      <c r="A33" s="155"/>
      <c r="B33" s="30">
        <f t="shared" si="0"/>
        <v>40</v>
      </c>
      <c r="C33" s="30" t="s">
        <v>2179</v>
      </c>
      <c r="D33" s="30"/>
      <c r="E33" s="30" t="s">
        <v>2180</v>
      </c>
      <c r="F33" s="31"/>
      <c r="G33" s="30"/>
      <c r="H33" s="30"/>
      <c r="I33" s="30"/>
      <c r="J33" s="30"/>
      <c r="K33" s="30"/>
      <c r="L33" s="30" t="s">
        <v>2180</v>
      </c>
      <c r="M33" s="30" t="s">
        <v>2180</v>
      </c>
      <c r="N33" s="30"/>
      <c r="P33" s="30"/>
      <c r="Q33" s="30"/>
      <c r="R33" s="30"/>
      <c r="S33" s="30"/>
      <c r="T33" s="31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 t="s">
        <v>2191</v>
      </c>
      <c r="AF33" s="30" t="str">
        <f t="shared" si="1"/>
        <v>SMLS02P             KS_CPL_B</v>
      </c>
      <c r="AG33" s="30" t="s">
        <v>2182</v>
      </c>
      <c r="AH33">
        <v>3</v>
      </c>
      <c r="AI33">
        <v>40</v>
      </c>
      <c r="AJ33" t="s">
        <v>1209</v>
      </c>
      <c r="AK33" t="s">
        <v>19</v>
      </c>
      <c r="AL33" t="s">
        <v>140</v>
      </c>
      <c r="AM33" t="s">
        <v>140</v>
      </c>
      <c r="AN33" t="s">
        <v>139</v>
      </c>
      <c r="AO33" t="s">
        <v>141</v>
      </c>
      <c r="AP33">
        <v>4</v>
      </c>
      <c r="AQ33" t="s">
        <v>142</v>
      </c>
      <c r="AR33" t="s">
        <v>35</v>
      </c>
      <c r="AS33" t="s">
        <v>19</v>
      </c>
      <c r="AT33" t="s">
        <v>19</v>
      </c>
      <c r="AU33" t="s">
        <v>55</v>
      </c>
      <c r="AV33" t="s">
        <v>55</v>
      </c>
      <c r="AW33" t="s">
        <v>63</v>
      </c>
      <c r="AX33" t="s">
        <v>64</v>
      </c>
      <c r="AY33">
        <v>7</v>
      </c>
      <c r="AZ33" t="s">
        <v>65</v>
      </c>
      <c r="BA33" t="s">
        <v>35</v>
      </c>
      <c r="BB33" t="s">
        <v>19</v>
      </c>
      <c r="BC33" t="s">
        <v>1204</v>
      </c>
      <c r="BD33" t="s">
        <v>1115</v>
      </c>
      <c r="BE33" t="s">
        <v>1205</v>
      </c>
      <c r="BF33" t="s">
        <v>1097</v>
      </c>
      <c r="BG33">
        <v>1449</v>
      </c>
      <c r="BH33" t="s">
        <v>1098</v>
      </c>
      <c r="BI33">
        <v>0.35</v>
      </c>
      <c r="BJ33" t="s">
        <v>1210</v>
      </c>
      <c r="BK33" t="s">
        <v>2</v>
      </c>
      <c r="BL33">
        <v>40</v>
      </c>
    </row>
    <row r="34" spans="1:64" ht="14.45" customHeight="1">
      <c r="A34" s="155"/>
      <c r="B34" s="30">
        <f t="shared" si="0"/>
        <v>41</v>
      </c>
      <c r="C34" s="30" t="s">
        <v>2179</v>
      </c>
      <c r="D34" s="30"/>
      <c r="E34" s="30" t="s">
        <v>2180</v>
      </c>
      <c r="F34" s="31"/>
      <c r="G34" s="30"/>
      <c r="H34" s="30"/>
      <c r="I34" s="30"/>
      <c r="J34" s="30"/>
      <c r="K34" s="30"/>
      <c r="L34" s="30" t="s">
        <v>2180</v>
      </c>
      <c r="M34" s="30" t="s">
        <v>2180</v>
      </c>
      <c r="N34" s="30"/>
      <c r="P34" s="30"/>
      <c r="Q34" s="30"/>
      <c r="R34" s="30"/>
      <c r="S34" s="30"/>
      <c r="T34" s="31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 t="str">
        <f t="shared" si="1"/>
        <v>SMLS02P             KS_CPL_B</v>
      </c>
      <c r="AG34" s="30" t="s">
        <v>2182</v>
      </c>
      <c r="AH34">
        <v>3</v>
      </c>
      <c r="AI34">
        <v>41</v>
      </c>
      <c r="AJ34" t="s">
        <v>1211</v>
      </c>
      <c r="AK34" t="s">
        <v>19</v>
      </c>
      <c r="AL34" t="s">
        <v>140</v>
      </c>
      <c r="AM34" t="s">
        <v>140</v>
      </c>
      <c r="AN34" t="s">
        <v>139</v>
      </c>
      <c r="AO34" t="s">
        <v>141</v>
      </c>
      <c r="AP34">
        <v>2</v>
      </c>
      <c r="AQ34" t="s">
        <v>142</v>
      </c>
      <c r="AR34" t="s">
        <v>40</v>
      </c>
      <c r="AS34" t="s">
        <v>19</v>
      </c>
      <c r="AT34" t="s">
        <v>19</v>
      </c>
      <c r="AU34" t="s">
        <v>55</v>
      </c>
      <c r="AV34" t="s">
        <v>55</v>
      </c>
      <c r="AW34" t="s">
        <v>63</v>
      </c>
      <c r="AX34" t="s">
        <v>64</v>
      </c>
      <c r="AY34">
        <v>5</v>
      </c>
      <c r="AZ34" t="s">
        <v>65</v>
      </c>
      <c r="BA34" t="s">
        <v>40</v>
      </c>
      <c r="BB34" t="s">
        <v>19</v>
      </c>
      <c r="BC34" t="s">
        <v>1212</v>
      </c>
      <c r="BD34" t="s">
        <v>1115</v>
      </c>
      <c r="BE34" t="s">
        <v>19</v>
      </c>
      <c r="BF34" t="s">
        <v>19</v>
      </c>
      <c r="BG34">
        <v>1449</v>
      </c>
      <c r="BH34" t="s">
        <v>1213</v>
      </c>
      <c r="BI34">
        <v>0.13</v>
      </c>
      <c r="BJ34" t="s">
        <v>1214</v>
      </c>
      <c r="BK34" t="s">
        <v>2</v>
      </c>
      <c r="BL34">
        <v>41</v>
      </c>
    </row>
    <row r="35" spans="1:64" ht="14.45" customHeight="1">
      <c r="A35" s="155"/>
      <c r="B35" s="30">
        <f t="shared" si="0"/>
        <v>42</v>
      </c>
      <c r="C35" s="30" t="s">
        <v>2179</v>
      </c>
      <c r="D35" s="30"/>
      <c r="E35" s="30" t="s">
        <v>2180</v>
      </c>
      <c r="F35" s="31"/>
      <c r="G35" s="30"/>
      <c r="H35" s="30"/>
      <c r="I35" s="30"/>
      <c r="J35" s="30"/>
      <c r="K35" s="30"/>
      <c r="L35" s="30" t="s">
        <v>2180</v>
      </c>
      <c r="M35" s="30" t="s">
        <v>2180</v>
      </c>
      <c r="N35" s="30"/>
      <c r="P35" s="30"/>
      <c r="Q35" s="30"/>
      <c r="R35" s="30"/>
      <c r="S35" s="30"/>
      <c r="T35" s="31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 t="str">
        <f t="shared" si="1"/>
        <v>STO51A              SMLS02P</v>
      </c>
      <c r="AG35" s="30" t="s">
        <v>2182</v>
      </c>
      <c r="AH35">
        <v>3</v>
      </c>
      <c r="AI35">
        <v>42</v>
      </c>
      <c r="AJ35" t="s">
        <v>1215</v>
      </c>
      <c r="AK35" t="s">
        <v>19</v>
      </c>
      <c r="AL35" t="s">
        <v>171</v>
      </c>
      <c r="AM35" t="s">
        <v>171</v>
      </c>
      <c r="AN35" t="s">
        <v>170</v>
      </c>
      <c r="AO35" t="s">
        <v>172</v>
      </c>
      <c r="AP35" t="s">
        <v>1216</v>
      </c>
      <c r="AQ35" t="s">
        <v>173</v>
      </c>
      <c r="AR35" t="s">
        <v>43</v>
      </c>
      <c r="AS35" t="s">
        <v>19</v>
      </c>
      <c r="AT35" t="s">
        <v>19</v>
      </c>
      <c r="AU35" t="s">
        <v>140</v>
      </c>
      <c r="AV35" t="s">
        <v>140</v>
      </c>
      <c r="AW35" t="s">
        <v>139</v>
      </c>
      <c r="AX35" t="s">
        <v>141</v>
      </c>
      <c r="AY35">
        <v>1</v>
      </c>
      <c r="AZ35" t="s">
        <v>142</v>
      </c>
      <c r="BA35" t="s">
        <v>39</v>
      </c>
      <c r="BB35" t="s">
        <v>19</v>
      </c>
      <c r="BC35" t="s">
        <v>1217</v>
      </c>
      <c r="BD35" t="s">
        <v>1115</v>
      </c>
      <c r="BE35" t="s">
        <v>19</v>
      </c>
      <c r="BF35" t="s">
        <v>19</v>
      </c>
      <c r="BG35">
        <v>1240</v>
      </c>
      <c r="BH35" t="s">
        <v>1218</v>
      </c>
      <c r="BI35">
        <v>1</v>
      </c>
      <c r="BJ35" t="s">
        <v>1219</v>
      </c>
      <c r="BK35" t="s">
        <v>2</v>
      </c>
      <c r="BL35">
        <v>42</v>
      </c>
    </row>
    <row r="36" spans="1:64" ht="14.45" customHeight="1">
      <c r="A36" s="155"/>
      <c r="B36" s="30">
        <f t="shared" si="0"/>
        <v>43</v>
      </c>
      <c r="C36" s="30" t="s">
        <v>2179</v>
      </c>
      <c r="D36" s="30"/>
      <c r="E36" s="30" t="s">
        <v>2180</v>
      </c>
      <c r="F36" s="31"/>
      <c r="G36" s="30"/>
      <c r="H36" s="30"/>
      <c r="I36" s="30"/>
      <c r="J36" s="30"/>
      <c r="K36" s="30"/>
      <c r="L36" s="30" t="s">
        <v>2180</v>
      </c>
      <c r="M36" s="30" t="s">
        <v>2180</v>
      </c>
      <c r="N36" s="30"/>
      <c r="P36" s="30"/>
      <c r="Q36" s="30"/>
      <c r="R36" s="30"/>
      <c r="S36" s="30"/>
      <c r="T36" s="31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 t="str">
        <f t="shared" si="1"/>
        <v>KS_CPL_D            KS_CPM_D</v>
      </c>
      <c r="AG36" s="30" t="s">
        <v>2182</v>
      </c>
      <c r="AH36">
        <v>3</v>
      </c>
      <c r="AI36">
        <v>43</v>
      </c>
      <c r="AJ36" t="s">
        <v>1220</v>
      </c>
      <c r="AK36" t="s">
        <v>19</v>
      </c>
      <c r="AL36" t="s">
        <v>55</v>
      </c>
      <c r="AM36" t="s">
        <v>55</v>
      </c>
      <c r="AN36" t="s">
        <v>75</v>
      </c>
      <c r="AO36" t="s">
        <v>76</v>
      </c>
      <c r="AP36">
        <v>17</v>
      </c>
      <c r="AQ36" t="s">
        <v>77</v>
      </c>
      <c r="AR36" t="s">
        <v>30</v>
      </c>
      <c r="AS36" t="s">
        <v>19</v>
      </c>
      <c r="AT36" t="s">
        <v>19</v>
      </c>
      <c r="AU36" t="s">
        <v>81</v>
      </c>
      <c r="AV36" t="s">
        <v>81</v>
      </c>
      <c r="AW36" t="s">
        <v>85</v>
      </c>
      <c r="AX36" t="s">
        <v>86</v>
      </c>
      <c r="AY36">
        <v>17</v>
      </c>
      <c r="AZ36" t="s">
        <v>87</v>
      </c>
      <c r="BA36" t="s">
        <v>30</v>
      </c>
      <c r="BB36" t="s">
        <v>19</v>
      </c>
      <c r="BC36" t="s">
        <v>1221</v>
      </c>
      <c r="BD36" t="s">
        <v>1115</v>
      </c>
      <c r="BE36" t="s">
        <v>19</v>
      </c>
      <c r="BF36" t="s">
        <v>19</v>
      </c>
      <c r="BG36">
        <v>1467</v>
      </c>
      <c r="BH36" t="s">
        <v>1094</v>
      </c>
      <c r="BI36">
        <v>1.5</v>
      </c>
      <c r="BJ36" t="s">
        <v>1222</v>
      </c>
      <c r="BK36" t="s">
        <v>2</v>
      </c>
      <c r="BL36">
        <v>43</v>
      </c>
    </row>
    <row r="37" spans="1:64" ht="14.45" customHeight="1">
      <c r="A37" s="155"/>
      <c r="B37" s="30">
        <f t="shared" si="0"/>
        <v>44</v>
      </c>
      <c r="C37" s="30" t="s">
        <v>2179</v>
      </c>
      <c r="D37" s="30"/>
      <c r="E37" s="30" t="s">
        <v>2180</v>
      </c>
      <c r="F37" s="31"/>
      <c r="G37" s="30"/>
      <c r="H37" s="30"/>
      <c r="I37" s="30"/>
      <c r="J37" s="30"/>
      <c r="K37" s="30"/>
      <c r="L37" s="30" t="s">
        <v>2180</v>
      </c>
      <c r="M37" s="30" t="s">
        <v>2180</v>
      </c>
      <c r="N37" s="30"/>
      <c r="P37" s="30"/>
      <c r="Q37" s="30"/>
      <c r="R37" s="30"/>
      <c r="S37" s="30"/>
      <c r="T37" s="31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 t="str">
        <f t="shared" si="1"/>
        <v>KS_CPL_D            KS_CPM_E</v>
      </c>
      <c r="AG37" s="30" t="s">
        <v>2182</v>
      </c>
      <c r="AH37">
        <v>3</v>
      </c>
      <c r="AI37">
        <v>44</v>
      </c>
      <c r="AJ37" t="s">
        <v>1223</v>
      </c>
      <c r="AK37" t="s">
        <v>19</v>
      </c>
      <c r="AL37" t="s">
        <v>55</v>
      </c>
      <c r="AM37" t="s">
        <v>55</v>
      </c>
      <c r="AN37" t="s">
        <v>75</v>
      </c>
      <c r="AO37" t="s">
        <v>76</v>
      </c>
      <c r="AP37">
        <v>9</v>
      </c>
      <c r="AQ37" t="s">
        <v>77</v>
      </c>
      <c r="AR37" t="s">
        <v>35</v>
      </c>
      <c r="AS37" t="s">
        <v>19</v>
      </c>
      <c r="AT37" t="s">
        <v>19</v>
      </c>
      <c r="AU37" t="s">
        <v>81</v>
      </c>
      <c r="AV37" t="s">
        <v>81</v>
      </c>
      <c r="AW37" t="s">
        <v>88</v>
      </c>
      <c r="AX37" t="s">
        <v>89</v>
      </c>
      <c r="AY37">
        <v>9</v>
      </c>
      <c r="AZ37" t="s">
        <v>90</v>
      </c>
      <c r="BA37" t="s">
        <v>35</v>
      </c>
      <c r="BB37" t="s">
        <v>19</v>
      </c>
      <c r="BC37" t="s">
        <v>1224</v>
      </c>
      <c r="BD37" t="s">
        <v>1115</v>
      </c>
      <c r="BE37" t="s">
        <v>19</v>
      </c>
      <c r="BF37" t="s">
        <v>19</v>
      </c>
      <c r="BG37">
        <v>1711</v>
      </c>
      <c r="BH37" t="s">
        <v>1168</v>
      </c>
      <c r="BI37">
        <v>0.35</v>
      </c>
      <c r="BJ37" t="s">
        <v>1225</v>
      </c>
      <c r="BK37" t="s">
        <v>2</v>
      </c>
      <c r="BL37">
        <v>44</v>
      </c>
    </row>
    <row r="38" spans="1:64" ht="14.45" customHeight="1">
      <c r="A38" s="171" t="s">
        <v>2407</v>
      </c>
      <c r="B38" s="171">
        <f t="shared" ref="B38" si="4">AI38</f>
        <v>45</v>
      </c>
      <c r="C38" s="171" t="s">
        <v>2179</v>
      </c>
      <c r="D38" s="171"/>
      <c r="E38" s="50" t="s">
        <v>2180</v>
      </c>
      <c r="F38" s="172"/>
      <c r="G38" s="171"/>
      <c r="H38" s="171"/>
      <c r="I38" s="171"/>
      <c r="J38" s="171"/>
      <c r="K38" s="171"/>
      <c r="L38" s="50" t="s">
        <v>2180</v>
      </c>
      <c r="M38" s="171" t="s">
        <v>2180</v>
      </c>
      <c r="N38" s="171"/>
      <c r="P38" s="171"/>
      <c r="Q38" s="171"/>
      <c r="R38" s="171"/>
      <c r="S38" s="171"/>
      <c r="T38" s="172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 t="s">
        <v>2188</v>
      </c>
      <c r="AF38" s="171" t="str">
        <f t="shared" ref="AF38" si="5" xml:space="preserve"> AO38 &amp; REPT(" ",20-LEN(AO38)) &amp; AX38</f>
        <v>MIB_E               KS_CPR_A</v>
      </c>
      <c r="AG38" s="171" t="s">
        <v>2182</v>
      </c>
      <c r="AH38" s="173">
        <v>3</v>
      </c>
      <c r="AI38" s="173">
        <v>45</v>
      </c>
      <c r="AJ38" s="173" t="s">
        <v>1226</v>
      </c>
      <c r="AK38" s="173" t="s">
        <v>19</v>
      </c>
      <c r="AL38" s="173" t="s">
        <v>249</v>
      </c>
      <c r="AM38" s="173" t="s">
        <v>250</v>
      </c>
      <c r="AN38" s="173" t="s">
        <v>272</v>
      </c>
      <c r="AO38" s="173" t="s">
        <v>273</v>
      </c>
      <c r="AP38" s="173">
        <v>6</v>
      </c>
      <c r="AQ38" s="173" t="s">
        <v>264</v>
      </c>
      <c r="AR38" s="173" t="s">
        <v>46</v>
      </c>
      <c r="AS38" s="173" t="s">
        <v>19</v>
      </c>
      <c r="AT38" s="173" t="s">
        <v>19</v>
      </c>
      <c r="AU38" s="173" t="s">
        <v>96</v>
      </c>
      <c r="AV38" s="173" t="s">
        <v>96</v>
      </c>
      <c r="AW38" s="173" t="s">
        <v>95</v>
      </c>
      <c r="AX38" s="173" t="s">
        <v>97</v>
      </c>
      <c r="AY38" s="173">
        <v>12</v>
      </c>
      <c r="AZ38" s="173" t="s">
        <v>98</v>
      </c>
      <c r="BA38" s="173" t="s">
        <v>35</v>
      </c>
      <c r="BB38" s="173" t="s">
        <v>19</v>
      </c>
      <c r="BC38" s="209" t="s">
        <v>2376</v>
      </c>
      <c r="BD38" s="173" t="s">
        <v>1115</v>
      </c>
      <c r="BE38" s="173" t="s">
        <v>1227</v>
      </c>
      <c r="BF38" s="209" t="s">
        <v>2408</v>
      </c>
      <c r="BG38" s="173">
        <v>1747</v>
      </c>
      <c r="BH38" s="209" t="s">
        <v>2375</v>
      </c>
      <c r="BI38" s="173">
        <v>0.35</v>
      </c>
      <c r="BJ38" s="173" t="s">
        <v>1228</v>
      </c>
      <c r="BK38" s="173" t="s">
        <v>2</v>
      </c>
      <c r="BL38" s="173">
        <v>45</v>
      </c>
    </row>
    <row r="39" spans="1:64" ht="14.45" customHeight="1">
      <c r="A39" s="155" t="s">
        <v>2407</v>
      </c>
      <c r="B39" s="30">
        <f t="shared" si="0"/>
        <v>45</v>
      </c>
      <c r="C39" s="30" t="s">
        <v>2179</v>
      </c>
      <c r="D39" s="30"/>
      <c r="E39" s="35" t="s">
        <v>2180</v>
      </c>
      <c r="F39" s="31"/>
      <c r="G39" s="30"/>
      <c r="H39" s="30"/>
      <c r="I39" s="30"/>
      <c r="J39" s="30"/>
      <c r="K39" s="30"/>
      <c r="L39" s="35" t="s">
        <v>2180</v>
      </c>
      <c r="M39" s="30" t="s">
        <v>2180</v>
      </c>
      <c r="N39" s="30"/>
      <c r="P39" s="30"/>
      <c r="Q39" s="30"/>
      <c r="R39" s="30"/>
      <c r="S39" s="30"/>
      <c r="T39" s="31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 t="s">
        <v>2188</v>
      </c>
      <c r="AF39" s="30" t="str">
        <f t="shared" si="1"/>
        <v>MIB_E               KS_CPR_A</v>
      </c>
      <c r="AG39" s="30" t="s">
        <v>2182</v>
      </c>
      <c r="AH39">
        <v>3</v>
      </c>
      <c r="AI39">
        <v>45</v>
      </c>
      <c r="AJ39" t="s">
        <v>1226</v>
      </c>
      <c r="AK39" t="s">
        <v>19</v>
      </c>
      <c r="AL39" t="s">
        <v>249</v>
      </c>
      <c r="AM39" t="s">
        <v>250</v>
      </c>
      <c r="AN39" t="s">
        <v>272</v>
      </c>
      <c r="AO39" t="s">
        <v>273</v>
      </c>
      <c r="AP39">
        <v>6</v>
      </c>
      <c r="AQ39" t="s">
        <v>264</v>
      </c>
      <c r="AR39" t="s">
        <v>46</v>
      </c>
      <c r="AS39" t="s">
        <v>19</v>
      </c>
      <c r="AT39" t="s">
        <v>19</v>
      </c>
      <c r="AU39" t="s">
        <v>96</v>
      </c>
      <c r="AV39" t="s">
        <v>96</v>
      </c>
      <c r="AW39" t="s">
        <v>95</v>
      </c>
      <c r="AX39" t="s">
        <v>97</v>
      </c>
      <c r="AY39">
        <v>12</v>
      </c>
      <c r="AZ39" t="s">
        <v>98</v>
      </c>
      <c r="BA39" t="s">
        <v>35</v>
      </c>
      <c r="BB39" t="s">
        <v>19</v>
      </c>
      <c r="BC39" s="192" t="s">
        <v>2410</v>
      </c>
      <c r="BD39" t="s">
        <v>1115</v>
      </c>
      <c r="BE39" t="s">
        <v>1227</v>
      </c>
      <c r="BF39" s="192" t="s">
        <v>2409</v>
      </c>
      <c r="BG39">
        <v>1747</v>
      </c>
      <c r="BH39" s="192" t="s">
        <v>1160</v>
      </c>
      <c r="BI39">
        <v>0.35</v>
      </c>
      <c r="BJ39" t="s">
        <v>1228</v>
      </c>
      <c r="BK39" t="s">
        <v>2</v>
      </c>
      <c r="BL39">
        <v>45</v>
      </c>
    </row>
    <row r="40" spans="1:64" ht="14.45" customHeight="1">
      <c r="A40" s="171" t="s">
        <v>2407</v>
      </c>
      <c r="B40" s="171">
        <f t="shared" ref="B40" si="6">AI40</f>
        <v>46</v>
      </c>
      <c r="C40" s="171" t="s">
        <v>2179</v>
      </c>
      <c r="D40" s="171"/>
      <c r="E40" s="50" t="s">
        <v>2180</v>
      </c>
      <c r="F40" s="172"/>
      <c r="G40" s="171"/>
      <c r="H40" s="171"/>
      <c r="I40" s="171"/>
      <c r="J40" s="171"/>
      <c r="K40" s="171"/>
      <c r="L40" s="50" t="s">
        <v>2180</v>
      </c>
      <c r="M40" s="171" t="s">
        <v>2180</v>
      </c>
      <c r="N40" s="171"/>
      <c r="P40" s="171"/>
      <c r="Q40" s="171"/>
      <c r="R40" s="171"/>
      <c r="S40" s="171"/>
      <c r="T40" s="172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 t="s">
        <v>2188</v>
      </c>
      <c r="AF40" s="171" t="str">
        <f t="shared" ref="AF40" si="7" xml:space="preserve"> AO40 &amp; REPT(" ",20-LEN(AO40)) &amp; AX40</f>
        <v>MIB_E               KS_CPR_A</v>
      </c>
      <c r="AG40" s="171" t="s">
        <v>2182</v>
      </c>
      <c r="AH40" s="173">
        <v>3</v>
      </c>
      <c r="AI40" s="173">
        <v>46</v>
      </c>
      <c r="AJ40" s="173" t="s">
        <v>1229</v>
      </c>
      <c r="AK40" s="173" t="s">
        <v>19</v>
      </c>
      <c r="AL40" s="173" t="s">
        <v>249</v>
      </c>
      <c r="AM40" s="173" t="s">
        <v>250</v>
      </c>
      <c r="AN40" s="173" t="s">
        <v>272</v>
      </c>
      <c r="AO40" s="173" t="s">
        <v>273</v>
      </c>
      <c r="AP40" s="173">
        <v>12</v>
      </c>
      <c r="AQ40" s="173" t="s">
        <v>264</v>
      </c>
      <c r="AR40" s="173" t="s">
        <v>46</v>
      </c>
      <c r="AS40" s="173" t="s">
        <v>19</v>
      </c>
      <c r="AT40" s="173" t="s">
        <v>19</v>
      </c>
      <c r="AU40" s="173" t="s">
        <v>96</v>
      </c>
      <c r="AV40" s="173" t="s">
        <v>96</v>
      </c>
      <c r="AW40" s="173" t="s">
        <v>95</v>
      </c>
      <c r="AX40" s="173" t="s">
        <v>97</v>
      </c>
      <c r="AY40" s="173">
        <v>13</v>
      </c>
      <c r="AZ40" s="173" t="s">
        <v>98</v>
      </c>
      <c r="BA40" s="173" t="s">
        <v>35</v>
      </c>
      <c r="BB40" s="173" t="s">
        <v>19</v>
      </c>
      <c r="BC40" s="209" t="s">
        <v>2376</v>
      </c>
      <c r="BD40" s="173" t="s">
        <v>1115</v>
      </c>
      <c r="BE40" s="173" t="s">
        <v>1227</v>
      </c>
      <c r="BF40" s="173" t="s">
        <v>1137</v>
      </c>
      <c r="BG40" s="173">
        <v>1747</v>
      </c>
      <c r="BH40" s="173" t="s">
        <v>1138</v>
      </c>
      <c r="BI40" s="173">
        <v>0.35</v>
      </c>
      <c r="BJ40" s="173" t="s">
        <v>1230</v>
      </c>
      <c r="BK40" s="173" t="s">
        <v>2</v>
      </c>
      <c r="BL40" s="173">
        <v>46</v>
      </c>
    </row>
    <row r="41" spans="1:64" ht="14.45" customHeight="1">
      <c r="A41" s="155" t="s">
        <v>2407</v>
      </c>
      <c r="B41" s="30">
        <f t="shared" si="0"/>
        <v>46</v>
      </c>
      <c r="C41" s="30" t="s">
        <v>2179</v>
      </c>
      <c r="D41" s="30"/>
      <c r="E41" s="35" t="s">
        <v>2180</v>
      </c>
      <c r="F41" s="31"/>
      <c r="G41" s="30"/>
      <c r="H41" s="30"/>
      <c r="I41" s="30"/>
      <c r="J41" s="30"/>
      <c r="K41" s="30"/>
      <c r="L41" s="35" t="s">
        <v>2180</v>
      </c>
      <c r="M41" s="30" t="s">
        <v>2180</v>
      </c>
      <c r="N41" s="30"/>
      <c r="P41" s="30"/>
      <c r="Q41" s="30"/>
      <c r="R41" s="30"/>
      <c r="S41" s="30"/>
      <c r="T41" s="31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 t="s">
        <v>2188</v>
      </c>
      <c r="AF41" s="30" t="str">
        <f t="shared" si="1"/>
        <v>MIB_E               KS_CPR_A</v>
      </c>
      <c r="AG41" s="30" t="s">
        <v>2182</v>
      </c>
      <c r="AH41">
        <v>3</v>
      </c>
      <c r="AI41">
        <v>46</v>
      </c>
      <c r="AJ41" t="s">
        <v>1229</v>
      </c>
      <c r="AK41" t="s">
        <v>19</v>
      </c>
      <c r="AL41" t="s">
        <v>249</v>
      </c>
      <c r="AM41" t="s">
        <v>250</v>
      </c>
      <c r="AN41" t="s">
        <v>272</v>
      </c>
      <c r="AO41" t="s">
        <v>273</v>
      </c>
      <c r="AP41">
        <v>12</v>
      </c>
      <c r="AQ41" t="s">
        <v>264</v>
      </c>
      <c r="AR41" t="s">
        <v>46</v>
      </c>
      <c r="AS41" t="s">
        <v>19</v>
      </c>
      <c r="AT41" t="s">
        <v>19</v>
      </c>
      <c r="AU41" t="s">
        <v>96</v>
      </c>
      <c r="AV41" t="s">
        <v>96</v>
      </c>
      <c r="AW41" t="s">
        <v>95</v>
      </c>
      <c r="AX41" t="s">
        <v>97</v>
      </c>
      <c r="AY41">
        <v>13</v>
      </c>
      <c r="AZ41" t="s">
        <v>98</v>
      </c>
      <c r="BA41" t="s">
        <v>35</v>
      </c>
      <c r="BB41" t="s">
        <v>19</v>
      </c>
      <c r="BC41" s="192" t="s">
        <v>2410</v>
      </c>
      <c r="BD41" t="s">
        <v>1115</v>
      </c>
      <c r="BE41" t="s">
        <v>1227</v>
      </c>
      <c r="BF41" t="s">
        <v>1137</v>
      </c>
      <c r="BG41">
        <v>1747</v>
      </c>
      <c r="BH41" t="s">
        <v>1138</v>
      </c>
      <c r="BI41">
        <v>0.35</v>
      </c>
      <c r="BJ41" t="s">
        <v>1230</v>
      </c>
      <c r="BK41" t="s">
        <v>2</v>
      </c>
      <c r="BL41">
        <v>46</v>
      </c>
    </row>
    <row r="42" spans="1:64" ht="14.45" customHeight="1">
      <c r="A42" s="155"/>
      <c r="B42" s="30">
        <f t="shared" si="0"/>
        <v>50</v>
      </c>
      <c r="C42" s="30" t="s">
        <v>2179</v>
      </c>
      <c r="D42" s="30"/>
      <c r="E42" s="30" t="s">
        <v>2180</v>
      </c>
      <c r="F42" s="31"/>
      <c r="G42" s="30"/>
      <c r="H42" s="30"/>
      <c r="I42" s="30"/>
      <c r="J42" s="30"/>
      <c r="K42" s="30"/>
      <c r="L42" s="30" t="s">
        <v>2180</v>
      </c>
      <c r="M42" s="30" t="s">
        <v>2180</v>
      </c>
      <c r="N42" s="30"/>
      <c r="P42" s="30"/>
      <c r="Q42" s="30"/>
      <c r="R42" s="30"/>
      <c r="S42" s="30"/>
      <c r="T42" s="31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 t="str">
        <f t="shared" si="1"/>
        <v>KS_CPM_D            KS_CPL_D</v>
      </c>
      <c r="AG42" s="30" t="s">
        <v>2182</v>
      </c>
      <c r="AH42">
        <v>3</v>
      </c>
      <c r="AI42">
        <v>50</v>
      </c>
      <c r="AJ42" t="s">
        <v>1231</v>
      </c>
      <c r="AK42" t="s">
        <v>19</v>
      </c>
      <c r="AL42" t="s">
        <v>81</v>
      </c>
      <c r="AM42" t="s">
        <v>81</v>
      </c>
      <c r="AN42" t="s">
        <v>85</v>
      </c>
      <c r="AO42" t="s">
        <v>86</v>
      </c>
      <c r="AP42">
        <v>15</v>
      </c>
      <c r="AQ42" t="s">
        <v>87</v>
      </c>
      <c r="AR42" t="s">
        <v>30</v>
      </c>
      <c r="AS42" t="s">
        <v>19</v>
      </c>
      <c r="AT42" t="s">
        <v>19</v>
      </c>
      <c r="AU42" t="s">
        <v>55</v>
      </c>
      <c r="AV42" t="s">
        <v>55</v>
      </c>
      <c r="AW42" t="s">
        <v>75</v>
      </c>
      <c r="AX42" t="s">
        <v>76</v>
      </c>
      <c r="AY42">
        <v>15</v>
      </c>
      <c r="AZ42" t="s">
        <v>77</v>
      </c>
      <c r="BA42" t="s">
        <v>30</v>
      </c>
      <c r="BB42" t="s">
        <v>19</v>
      </c>
      <c r="BC42" t="s">
        <v>1232</v>
      </c>
      <c r="BD42" t="s">
        <v>1115</v>
      </c>
      <c r="BE42" t="s">
        <v>19</v>
      </c>
      <c r="BF42" t="s">
        <v>19</v>
      </c>
      <c r="BG42">
        <v>1467</v>
      </c>
      <c r="BH42" t="s">
        <v>1173</v>
      </c>
      <c r="BI42">
        <v>1.5</v>
      </c>
      <c r="BJ42" t="s">
        <v>1233</v>
      </c>
      <c r="BK42" t="s">
        <v>2</v>
      </c>
      <c r="BL42">
        <v>50</v>
      </c>
    </row>
    <row r="43" spans="1:64" ht="14.45" customHeight="1">
      <c r="A43" s="155"/>
      <c r="B43" s="30">
        <f t="shared" si="0"/>
        <v>51</v>
      </c>
      <c r="C43" s="30" t="s">
        <v>2179</v>
      </c>
      <c r="D43" s="30"/>
      <c r="E43" s="30" t="s">
        <v>2180</v>
      </c>
      <c r="F43" s="31"/>
      <c r="G43" s="30"/>
      <c r="H43" s="30"/>
      <c r="I43" s="30"/>
      <c r="J43" s="30"/>
      <c r="K43" s="30"/>
      <c r="L43" s="30" t="s">
        <v>2180</v>
      </c>
      <c r="M43" s="30" t="s">
        <v>2180</v>
      </c>
      <c r="N43" s="30"/>
      <c r="P43" s="30"/>
      <c r="Q43" s="30"/>
      <c r="R43" s="30"/>
      <c r="S43" s="30"/>
      <c r="T43" s="31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 t="str">
        <f t="shared" si="1"/>
        <v>SMLS02P             KS_CPL_B</v>
      </c>
      <c r="AG43" s="30" t="s">
        <v>2182</v>
      </c>
      <c r="AH43">
        <v>3</v>
      </c>
      <c r="AI43">
        <v>51</v>
      </c>
      <c r="AJ43" t="s">
        <v>1234</v>
      </c>
      <c r="AK43" t="s">
        <v>19</v>
      </c>
      <c r="AL43" t="s">
        <v>140</v>
      </c>
      <c r="AM43" t="s">
        <v>140</v>
      </c>
      <c r="AN43" t="s">
        <v>139</v>
      </c>
      <c r="AO43" t="s">
        <v>141</v>
      </c>
      <c r="AP43">
        <v>7</v>
      </c>
      <c r="AQ43" t="s">
        <v>142</v>
      </c>
      <c r="AR43" t="s">
        <v>35</v>
      </c>
      <c r="AS43" t="s">
        <v>19</v>
      </c>
      <c r="AT43" t="s">
        <v>19</v>
      </c>
      <c r="AU43" t="s">
        <v>55</v>
      </c>
      <c r="AV43" t="s">
        <v>55</v>
      </c>
      <c r="AW43" t="s">
        <v>63</v>
      </c>
      <c r="AX43" t="s">
        <v>64</v>
      </c>
      <c r="AY43">
        <v>8</v>
      </c>
      <c r="AZ43" t="s">
        <v>65</v>
      </c>
      <c r="BA43" t="s">
        <v>35</v>
      </c>
      <c r="BB43" t="s">
        <v>19</v>
      </c>
      <c r="BC43" t="s">
        <v>1235</v>
      </c>
      <c r="BD43" t="s">
        <v>1115</v>
      </c>
      <c r="BE43" t="s">
        <v>19</v>
      </c>
      <c r="BF43" t="s">
        <v>19</v>
      </c>
      <c r="BG43">
        <v>1449</v>
      </c>
      <c r="BH43" t="s">
        <v>1236</v>
      </c>
      <c r="BI43">
        <v>0.35</v>
      </c>
      <c r="BJ43" t="s">
        <v>1237</v>
      </c>
      <c r="BK43" t="s">
        <v>2</v>
      </c>
      <c r="BL43">
        <v>51</v>
      </c>
    </row>
    <row r="44" spans="1:64" ht="14.45" customHeight="1">
      <c r="A44" s="155"/>
      <c r="B44" s="30">
        <f t="shared" si="0"/>
        <v>52</v>
      </c>
      <c r="C44" s="30" t="s">
        <v>2179</v>
      </c>
      <c r="D44" s="30"/>
      <c r="E44" s="30" t="s">
        <v>2180</v>
      </c>
      <c r="F44" s="31" t="s">
        <v>2183</v>
      </c>
      <c r="G44" s="30" t="s">
        <v>1240</v>
      </c>
      <c r="H44" s="30"/>
      <c r="I44" s="30"/>
      <c r="J44" s="30"/>
      <c r="K44" s="30" t="s">
        <v>2184</v>
      </c>
      <c r="L44" s="30" t="s">
        <v>2180</v>
      </c>
      <c r="M44" s="30" t="s">
        <v>2180</v>
      </c>
      <c r="N44" s="30"/>
      <c r="P44" s="30"/>
      <c r="Q44" s="30"/>
      <c r="R44" s="30"/>
      <c r="S44" s="30"/>
      <c r="T44" s="31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 t="str">
        <f t="shared" si="1"/>
        <v>SP_MB31_B2          SMLS02P</v>
      </c>
      <c r="AG44" s="30" t="s">
        <v>2182</v>
      </c>
      <c r="AH44">
        <v>3</v>
      </c>
      <c r="AI44">
        <v>52</v>
      </c>
      <c r="AJ44" t="s">
        <v>1238</v>
      </c>
      <c r="AK44" t="s">
        <v>19</v>
      </c>
      <c r="AL44" t="s">
        <v>19</v>
      </c>
      <c r="AM44" t="s">
        <v>1239</v>
      </c>
      <c r="AN44">
        <v>213</v>
      </c>
      <c r="AO44" t="s">
        <v>1240</v>
      </c>
      <c r="AP44">
        <v>1</v>
      </c>
      <c r="AQ44" t="s">
        <v>1241</v>
      </c>
      <c r="AR44" t="s">
        <v>19</v>
      </c>
      <c r="AS44" t="s">
        <v>19</v>
      </c>
      <c r="AT44" t="s">
        <v>19</v>
      </c>
      <c r="AU44" t="s">
        <v>140</v>
      </c>
      <c r="AV44" t="s">
        <v>140</v>
      </c>
      <c r="AW44" t="s">
        <v>139</v>
      </c>
      <c r="AX44" t="s">
        <v>141</v>
      </c>
      <c r="AY44">
        <v>17</v>
      </c>
      <c r="AZ44" t="s">
        <v>142</v>
      </c>
      <c r="BA44" t="s">
        <v>29</v>
      </c>
      <c r="BB44" t="s">
        <v>19</v>
      </c>
      <c r="BC44" t="s">
        <v>1202</v>
      </c>
      <c r="BD44" t="s">
        <v>1115</v>
      </c>
      <c r="BE44" t="s">
        <v>19</v>
      </c>
      <c r="BF44" t="s">
        <v>19</v>
      </c>
      <c r="BG44">
        <v>448</v>
      </c>
      <c r="BH44" t="s">
        <v>1094</v>
      </c>
      <c r="BI44">
        <v>0.75</v>
      </c>
      <c r="BJ44" t="s">
        <v>1122</v>
      </c>
      <c r="BK44" t="s">
        <v>2</v>
      </c>
      <c r="BL44">
        <v>52</v>
      </c>
    </row>
    <row r="45" spans="1:64" ht="14.45" customHeight="1">
      <c r="A45" s="155"/>
      <c r="B45" s="30">
        <f t="shared" si="0"/>
        <v>53</v>
      </c>
      <c r="C45" s="30" t="s">
        <v>2179</v>
      </c>
      <c r="D45" s="30"/>
      <c r="E45" s="30" t="s">
        <v>2180</v>
      </c>
      <c r="F45" s="31" t="s">
        <v>2183</v>
      </c>
      <c r="G45" s="30" t="s">
        <v>1120</v>
      </c>
      <c r="H45" s="30"/>
      <c r="I45" s="30"/>
      <c r="J45" s="30"/>
      <c r="K45" s="30" t="s">
        <v>2184</v>
      </c>
      <c r="L45" s="30" t="s">
        <v>2180</v>
      </c>
      <c r="M45" s="30" t="s">
        <v>2180</v>
      </c>
      <c r="N45" s="30"/>
      <c r="O45" s="192" t="s">
        <v>2436</v>
      </c>
      <c r="P45" s="30"/>
      <c r="Q45" s="30"/>
      <c r="R45" s="30"/>
      <c r="S45" s="30"/>
      <c r="T45" s="31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 t="str">
        <f t="shared" si="1"/>
        <v>SP_MB31_B1          KS_CPL_A</v>
      </c>
      <c r="AG45" s="30" t="s">
        <v>2182</v>
      </c>
      <c r="AH45">
        <v>3</v>
      </c>
      <c r="AI45">
        <v>53</v>
      </c>
      <c r="AJ45" t="s">
        <v>1242</v>
      </c>
      <c r="AK45" t="s">
        <v>19</v>
      </c>
      <c r="AL45" t="s">
        <v>19</v>
      </c>
      <c r="AM45" t="s">
        <v>1119</v>
      </c>
      <c r="AN45">
        <v>332</v>
      </c>
      <c r="AO45" t="s">
        <v>1120</v>
      </c>
      <c r="AP45">
        <v>1</v>
      </c>
      <c r="AQ45" t="s">
        <v>362</v>
      </c>
      <c r="AR45" t="s">
        <v>19</v>
      </c>
      <c r="AS45" t="s">
        <v>19</v>
      </c>
      <c r="AT45" t="s">
        <v>19</v>
      </c>
      <c r="AU45" t="s">
        <v>55</v>
      </c>
      <c r="AV45" t="s">
        <v>55</v>
      </c>
      <c r="AW45" t="s">
        <v>54</v>
      </c>
      <c r="AX45" t="s">
        <v>56</v>
      </c>
      <c r="AY45">
        <v>15</v>
      </c>
      <c r="AZ45" t="s">
        <v>57</v>
      </c>
      <c r="BA45" t="s">
        <v>30</v>
      </c>
      <c r="BB45" t="s">
        <v>19</v>
      </c>
      <c r="BC45" t="s">
        <v>1187</v>
      </c>
      <c r="BD45" t="s">
        <v>1115</v>
      </c>
      <c r="BE45" t="s">
        <v>19</v>
      </c>
      <c r="BF45" t="s">
        <v>19</v>
      </c>
      <c r="BG45">
        <v>1126</v>
      </c>
      <c r="BH45" t="s">
        <v>1094</v>
      </c>
      <c r="BI45">
        <v>2.5</v>
      </c>
      <c r="BJ45" t="s">
        <v>1122</v>
      </c>
      <c r="BK45" t="s">
        <v>2</v>
      </c>
      <c r="BL45">
        <v>53</v>
      </c>
    </row>
    <row r="46" spans="1:64" ht="14.45" customHeight="1">
      <c r="A46" s="155"/>
      <c r="B46" s="30">
        <f t="shared" si="0"/>
        <v>54</v>
      </c>
      <c r="C46" s="30" t="s">
        <v>2179</v>
      </c>
      <c r="D46" s="30"/>
      <c r="E46" s="30" t="s">
        <v>2180</v>
      </c>
      <c r="F46" s="31" t="s">
        <v>2183</v>
      </c>
      <c r="G46" s="30" t="s">
        <v>1245</v>
      </c>
      <c r="H46" s="30"/>
      <c r="I46" s="30"/>
      <c r="J46" s="30"/>
      <c r="K46" s="30" t="s">
        <v>2184</v>
      </c>
      <c r="L46" s="30" t="s">
        <v>2180</v>
      </c>
      <c r="M46" s="30" t="s">
        <v>2180</v>
      </c>
      <c r="N46" s="30"/>
      <c r="P46" s="30"/>
      <c r="Q46" s="30"/>
      <c r="R46" s="30"/>
      <c r="S46" s="30"/>
      <c r="T46" s="31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 t="str">
        <f t="shared" si="1"/>
        <v>SP_MB32_B1          KS_CPR_C</v>
      </c>
      <c r="AG46" s="30" t="s">
        <v>2182</v>
      </c>
      <c r="AH46">
        <v>3</v>
      </c>
      <c r="AI46">
        <v>54</v>
      </c>
      <c r="AJ46" t="s">
        <v>1243</v>
      </c>
      <c r="AK46" t="s">
        <v>19</v>
      </c>
      <c r="AL46" t="s">
        <v>19</v>
      </c>
      <c r="AM46" t="s">
        <v>1244</v>
      </c>
      <c r="AN46">
        <v>199</v>
      </c>
      <c r="AO46" t="s">
        <v>1245</v>
      </c>
      <c r="AP46">
        <v>1</v>
      </c>
      <c r="AQ46" t="s">
        <v>1246</v>
      </c>
      <c r="AR46" t="s">
        <v>19</v>
      </c>
      <c r="AS46" t="s">
        <v>19</v>
      </c>
      <c r="AT46" t="s">
        <v>19</v>
      </c>
      <c r="AU46" t="s">
        <v>96</v>
      </c>
      <c r="AV46" t="s">
        <v>96</v>
      </c>
      <c r="AW46" t="s">
        <v>103</v>
      </c>
      <c r="AX46" t="s">
        <v>104</v>
      </c>
      <c r="AY46">
        <v>16</v>
      </c>
      <c r="AZ46" t="s">
        <v>105</v>
      </c>
      <c r="BA46" t="s">
        <v>33</v>
      </c>
      <c r="BB46" t="s">
        <v>19</v>
      </c>
      <c r="BC46" t="s">
        <v>1247</v>
      </c>
      <c r="BD46" t="s">
        <v>1115</v>
      </c>
      <c r="BE46" t="s">
        <v>19</v>
      </c>
      <c r="BF46" t="s">
        <v>19</v>
      </c>
      <c r="BG46">
        <v>612</v>
      </c>
      <c r="BH46" t="s">
        <v>1094</v>
      </c>
      <c r="BI46">
        <v>4</v>
      </c>
      <c r="BJ46" t="s">
        <v>1153</v>
      </c>
      <c r="BK46" t="s">
        <v>2</v>
      </c>
      <c r="BL46">
        <v>54</v>
      </c>
    </row>
    <row r="47" spans="1:64" ht="14.45" customHeight="1">
      <c r="A47" s="155"/>
      <c r="B47" s="30">
        <f t="shared" si="0"/>
        <v>62</v>
      </c>
      <c r="C47" s="30" t="s">
        <v>2179</v>
      </c>
      <c r="D47" s="30"/>
      <c r="E47" s="35" t="s">
        <v>2180</v>
      </c>
      <c r="F47" s="31"/>
      <c r="G47" s="30"/>
      <c r="H47" s="30"/>
      <c r="I47" s="30"/>
      <c r="J47" s="30"/>
      <c r="K47" s="30"/>
      <c r="L47" s="35" t="s">
        <v>2180</v>
      </c>
      <c r="M47" s="30" t="s">
        <v>2180</v>
      </c>
      <c r="N47" s="30"/>
      <c r="P47" s="30"/>
      <c r="Q47" s="30"/>
      <c r="R47" s="30"/>
      <c r="S47" s="30"/>
      <c r="T47" s="31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 t="str">
        <f t="shared" si="1"/>
        <v>KS_CPR_A            KS_CPM_D</v>
      </c>
      <c r="AG47" s="30" t="s">
        <v>2182</v>
      </c>
      <c r="AH47">
        <v>3</v>
      </c>
      <c r="AI47">
        <v>62</v>
      </c>
      <c r="AJ47" t="s">
        <v>1248</v>
      </c>
      <c r="AK47" t="s">
        <v>19</v>
      </c>
      <c r="AL47" t="s">
        <v>96</v>
      </c>
      <c r="AM47" t="s">
        <v>96</v>
      </c>
      <c r="AN47" t="s">
        <v>95</v>
      </c>
      <c r="AO47" t="s">
        <v>97</v>
      </c>
      <c r="AP47">
        <v>11</v>
      </c>
      <c r="AQ47" t="s">
        <v>98</v>
      </c>
      <c r="AR47" t="s">
        <v>35</v>
      </c>
      <c r="AS47" t="s">
        <v>19</v>
      </c>
      <c r="AT47" t="s">
        <v>19</v>
      </c>
      <c r="AU47" t="s">
        <v>81</v>
      </c>
      <c r="AV47" t="s">
        <v>81</v>
      </c>
      <c r="AW47" t="s">
        <v>85</v>
      </c>
      <c r="AX47" t="s">
        <v>86</v>
      </c>
      <c r="AY47">
        <v>7</v>
      </c>
      <c r="AZ47" t="s">
        <v>87</v>
      </c>
      <c r="BA47" t="s">
        <v>35</v>
      </c>
      <c r="BB47" t="s">
        <v>19</v>
      </c>
      <c r="BC47" t="s">
        <v>1249</v>
      </c>
      <c r="BD47" t="s">
        <v>1115</v>
      </c>
      <c r="BE47" t="s">
        <v>1250</v>
      </c>
      <c r="BF47" t="s">
        <v>1251</v>
      </c>
      <c r="BG47">
        <v>1639</v>
      </c>
      <c r="BH47" t="s">
        <v>1094</v>
      </c>
      <c r="BI47">
        <v>0.35</v>
      </c>
      <c r="BJ47" t="s">
        <v>1252</v>
      </c>
      <c r="BK47" t="s">
        <v>2</v>
      </c>
      <c r="BL47">
        <v>62</v>
      </c>
    </row>
    <row r="48" spans="1:64" ht="14.45" customHeight="1">
      <c r="A48" s="155"/>
      <c r="B48" s="30">
        <f t="shared" si="0"/>
        <v>63</v>
      </c>
      <c r="C48" s="30" t="s">
        <v>2179</v>
      </c>
      <c r="D48" s="30"/>
      <c r="E48" s="35" t="s">
        <v>2180</v>
      </c>
      <c r="F48" s="31"/>
      <c r="G48" s="30"/>
      <c r="H48" s="30"/>
      <c r="I48" s="30"/>
      <c r="J48" s="30"/>
      <c r="K48" s="30"/>
      <c r="L48" s="35" t="s">
        <v>2180</v>
      </c>
      <c r="M48" s="30" t="s">
        <v>2180</v>
      </c>
      <c r="N48" s="30"/>
      <c r="P48" s="30"/>
      <c r="Q48" s="30"/>
      <c r="R48" s="30"/>
      <c r="S48" s="30"/>
      <c r="T48" s="31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 t="str">
        <f t="shared" si="1"/>
        <v>KS_CPR_A            KS_CPM_D</v>
      </c>
      <c r="AG48" s="30" t="s">
        <v>2182</v>
      </c>
      <c r="AH48">
        <v>3</v>
      </c>
      <c r="AI48">
        <v>63</v>
      </c>
      <c r="AJ48" t="s">
        <v>1253</v>
      </c>
      <c r="AK48" t="s">
        <v>19</v>
      </c>
      <c r="AL48" t="s">
        <v>96</v>
      </c>
      <c r="AM48" t="s">
        <v>96</v>
      </c>
      <c r="AN48" t="s">
        <v>95</v>
      </c>
      <c r="AO48" t="s">
        <v>97</v>
      </c>
      <c r="AP48">
        <v>10</v>
      </c>
      <c r="AQ48" t="s">
        <v>98</v>
      </c>
      <c r="AR48" t="s">
        <v>35</v>
      </c>
      <c r="AS48" t="s">
        <v>19</v>
      </c>
      <c r="AT48" t="s">
        <v>19</v>
      </c>
      <c r="AU48" t="s">
        <v>81</v>
      </c>
      <c r="AV48" t="s">
        <v>81</v>
      </c>
      <c r="AW48" t="s">
        <v>85</v>
      </c>
      <c r="AX48" t="s">
        <v>86</v>
      </c>
      <c r="AY48">
        <v>8</v>
      </c>
      <c r="AZ48" t="s">
        <v>87</v>
      </c>
      <c r="BA48" t="s">
        <v>35</v>
      </c>
      <c r="BB48" t="s">
        <v>19</v>
      </c>
      <c r="BC48" t="s">
        <v>1249</v>
      </c>
      <c r="BD48" t="s">
        <v>1115</v>
      </c>
      <c r="BE48" t="s">
        <v>1250</v>
      </c>
      <c r="BF48" t="s">
        <v>1254</v>
      </c>
      <c r="BG48">
        <v>1639</v>
      </c>
      <c r="BH48" t="s">
        <v>1098</v>
      </c>
      <c r="BI48">
        <v>0.35</v>
      </c>
      <c r="BJ48" t="s">
        <v>1255</v>
      </c>
      <c r="BK48" t="s">
        <v>2</v>
      </c>
      <c r="BL48">
        <v>63</v>
      </c>
    </row>
    <row r="49" spans="1:64" ht="14.45" customHeight="1">
      <c r="A49" s="155"/>
      <c r="B49" s="30">
        <f t="shared" si="0"/>
        <v>71</v>
      </c>
      <c r="C49" s="36" t="s">
        <v>2179</v>
      </c>
      <c r="D49" s="36"/>
      <c r="E49" s="36" t="s">
        <v>2180</v>
      </c>
      <c r="F49" s="31" t="s">
        <v>2183</v>
      </c>
      <c r="G49" s="30" t="s">
        <v>1259</v>
      </c>
      <c r="H49" s="36"/>
      <c r="I49" s="36" t="s">
        <v>2192</v>
      </c>
      <c r="J49" s="36"/>
      <c r="K49" s="36"/>
      <c r="L49" s="36" t="s">
        <v>2180</v>
      </c>
      <c r="M49" s="36" t="s">
        <v>2180</v>
      </c>
      <c r="N49" s="36"/>
      <c r="P49" s="36"/>
      <c r="Q49" s="36"/>
      <c r="R49" s="36"/>
      <c r="S49" s="36"/>
      <c r="T49" s="37"/>
      <c r="U49" s="36"/>
      <c r="V49" s="36"/>
      <c r="W49" s="30"/>
      <c r="X49" s="30"/>
      <c r="Y49" s="36"/>
      <c r="Z49" s="36"/>
      <c r="AA49" s="36"/>
      <c r="AB49" s="36"/>
      <c r="AC49" s="36"/>
      <c r="AD49" s="36"/>
      <c r="AE49" s="36"/>
      <c r="AF49" s="30" t="str">
        <f t="shared" si="1"/>
        <v>MIB_C               SP_MIB_C_10</v>
      </c>
      <c r="AG49" s="36" t="s">
        <v>2182</v>
      </c>
      <c r="AH49">
        <v>3</v>
      </c>
      <c r="AI49">
        <v>71</v>
      </c>
      <c r="AJ49" t="s">
        <v>1256</v>
      </c>
      <c r="AK49" t="s">
        <v>19</v>
      </c>
      <c r="AL49" t="s">
        <v>249</v>
      </c>
      <c r="AM49" t="s">
        <v>250</v>
      </c>
      <c r="AN49" t="s">
        <v>262</v>
      </c>
      <c r="AO49" t="s">
        <v>263</v>
      </c>
      <c r="AP49">
        <v>10</v>
      </c>
      <c r="AQ49" t="s">
        <v>264</v>
      </c>
      <c r="AR49" t="s">
        <v>47</v>
      </c>
      <c r="AS49" t="s">
        <v>19</v>
      </c>
      <c r="AT49" t="s">
        <v>19</v>
      </c>
      <c r="AU49" t="s">
        <v>19</v>
      </c>
      <c r="AV49" t="s">
        <v>1257</v>
      </c>
      <c r="AW49" t="s">
        <v>1258</v>
      </c>
      <c r="AX49" t="s">
        <v>1259</v>
      </c>
      <c r="AY49">
        <v>1</v>
      </c>
      <c r="AZ49" t="s">
        <v>1260</v>
      </c>
      <c r="BA49" t="s">
        <v>19</v>
      </c>
      <c r="BB49" t="s">
        <v>19</v>
      </c>
      <c r="BC49" t="s">
        <v>1261</v>
      </c>
      <c r="BD49" t="s">
        <v>1115</v>
      </c>
      <c r="BE49" t="s">
        <v>19</v>
      </c>
      <c r="BF49" t="s">
        <v>19</v>
      </c>
      <c r="BG49">
        <v>899</v>
      </c>
      <c r="BH49" t="s">
        <v>1218</v>
      </c>
      <c r="BI49">
        <v>0.5</v>
      </c>
      <c r="BJ49" t="s">
        <v>1262</v>
      </c>
      <c r="BK49" t="s">
        <v>2</v>
      </c>
      <c r="BL49">
        <v>71</v>
      </c>
    </row>
    <row r="50" spans="1:64" ht="14.45" customHeight="1">
      <c r="A50" s="155"/>
      <c r="B50" s="30">
        <f t="shared" si="0"/>
        <v>77</v>
      </c>
      <c r="C50" s="30" t="s">
        <v>2179</v>
      </c>
      <c r="D50" s="30"/>
      <c r="E50" s="30" t="s">
        <v>2180</v>
      </c>
      <c r="F50" s="157" t="s">
        <v>2186</v>
      </c>
      <c r="G50" s="30" t="s">
        <v>1185</v>
      </c>
      <c r="H50" s="30"/>
      <c r="I50" s="30"/>
      <c r="J50" s="30"/>
      <c r="K50" s="30" t="s">
        <v>2184</v>
      </c>
      <c r="L50" s="30" t="s">
        <v>2180</v>
      </c>
      <c r="M50" s="30" t="s">
        <v>2180</v>
      </c>
      <c r="N50" s="30"/>
      <c r="P50" s="30"/>
      <c r="Q50" s="30"/>
      <c r="R50" s="30"/>
      <c r="S50" s="30"/>
      <c r="T50" s="31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 t="str">
        <f t="shared" si="1"/>
        <v>SP_MB34_B1          KS_CPM_E</v>
      </c>
      <c r="AG50" s="30" t="s">
        <v>2182</v>
      </c>
      <c r="AH50">
        <v>3</v>
      </c>
      <c r="AI50">
        <v>77</v>
      </c>
      <c r="AJ50" t="s">
        <v>1263</v>
      </c>
      <c r="AK50" t="s">
        <v>19</v>
      </c>
      <c r="AL50" t="s">
        <v>19</v>
      </c>
      <c r="AM50" t="s">
        <v>1184</v>
      </c>
      <c r="AN50">
        <v>335</v>
      </c>
      <c r="AO50" t="s">
        <v>1185</v>
      </c>
      <c r="AP50">
        <v>1</v>
      </c>
      <c r="AQ50" t="s">
        <v>1186</v>
      </c>
      <c r="AR50" t="s">
        <v>19</v>
      </c>
      <c r="AS50" t="s">
        <v>19</v>
      </c>
      <c r="AT50" t="s">
        <v>19</v>
      </c>
      <c r="AU50" t="s">
        <v>81</v>
      </c>
      <c r="AV50" t="s">
        <v>81</v>
      </c>
      <c r="AW50" t="s">
        <v>88</v>
      </c>
      <c r="AX50" t="s">
        <v>89</v>
      </c>
      <c r="AY50">
        <v>11</v>
      </c>
      <c r="AZ50" t="s">
        <v>90</v>
      </c>
      <c r="BA50" t="s">
        <v>36</v>
      </c>
      <c r="BB50" t="s">
        <v>19</v>
      </c>
      <c r="BC50" t="s">
        <v>1121</v>
      </c>
      <c r="BD50" t="s">
        <v>1115</v>
      </c>
      <c r="BE50" t="s">
        <v>19</v>
      </c>
      <c r="BF50" t="s">
        <v>19</v>
      </c>
      <c r="BG50">
        <v>624</v>
      </c>
      <c r="BH50" t="s">
        <v>1094</v>
      </c>
      <c r="BI50">
        <v>0.5</v>
      </c>
      <c r="BJ50" t="s">
        <v>1188</v>
      </c>
      <c r="BK50" t="s">
        <v>2</v>
      </c>
      <c r="BL50">
        <v>77</v>
      </c>
    </row>
    <row r="51" spans="1:64" ht="14.45" customHeight="1">
      <c r="A51" s="155"/>
      <c r="B51" s="30">
        <f t="shared" si="0"/>
        <v>78</v>
      </c>
      <c r="C51" s="30" t="s">
        <v>2179</v>
      </c>
      <c r="D51" s="30"/>
      <c r="E51" s="30" t="s">
        <v>2180</v>
      </c>
      <c r="F51" s="31"/>
      <c r="G51" s="30"/>
      <c r="H51" s="30"/>
      <c r="I51" s="30"/>
      <c r="J51" s="30"/>
      <c r="K51" s="30"/>
      <c r="L51" s="30" t="s">
        <v>2180</v>
      </c>
      <c r="M51" s="30" t="s">
        <v>2180</v>
      </c>
      <c r="N51" s="30"/>
      <c r="P51" s="30"/>
      <c r="Q51" s="30"/>
      <c r="R51" s="30"/>
      <c r="S51" s="30"/>
      <c r="T51" s="31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 t="str">
        <f t="shared" si="1"/>
        <v>STO52A              KS_CPM_E</v>
      </c>
      <c r="AG51" s="30" t="s">
        <v>2182</v>
      </c>
      <c r="AH51">
        <v>3</v>
      </c>
      <c r="AI51">
        <v>78</v>
      </c>
      <c r="AJ51" t="s">
        <v>1264</v>
      </c>
      <c r="AK51" t="s">
        <v>19</v>
      </c>
      <c r="AL51" t="s">
        <v>199</v>
      </c>
      <c r="AM51" t="s">
        <v>199</v>
      </c>
      <c r="AN51" t="s">
        <v>198</v>
      </c>
      <c r="AO51" t="s">
        <v>200</v>
      </c>
      <c r="AP51" t="s">
        <v>1216</v>
      </c>
      <c r="AQ51" t="s">
        <v>201</v>
      </c>
      <c r="AR51" t="s">
        <v>43</v>
      </c>
      <c r="AS51" t="s">
        <v>19</v>
      </c>
      <c r="AT51" t="s">
        <v>19</v>
      </c>
      <c r="AU51" t="s">
        <v>81</v>
      </c>
      <c r="AV51" t="s">
        <v>81</v>
      </c>
      <c r="AW51" t="s">
        <v>88</v>
      </c>
      <c r="AX51" t="s">
        <v>89</v>
      </c>
      <c r="AY51">
        <v>12</v>
      </c>
      <c r="AZ51" t="s">
        <v>90</v>
      </c>
      <c r="BA51" t="s">
        <v>36</v>
      </c>
      <c r="BB51" t="s">
        <v>19</v>
      </c>
      <c r="BC51" t="s">
        <v>1265</v>
      </c>
      <c r="BD51" t="s">
        <v>1115</v>
      </c>
      <c r="BE51" t="s">
        <v>19</v>
      </c>
      <c r="BF51" t="s">
        <v>19</v>
      </c>
      <c r="BG51">
        <v>1374</v>
      </c>
      <c r="BH51" t="s">
        <v>1266</v>
      </c>
      <c r="BI51">
        <v>0.5</v>
      </c>
      <c r="BJ51" t="s">
        <v>1267</v>
      </c>
      <c r="BK51" t="s">
        <v>2</v>
      </c>
      <c r="BL51">
        <v>78</v>
      </c>
    </row>
    <row r="52" spans="1:64" ht="14.45" customHeight="1">
      <c r="A52" s="155"/>
      <c r="B52" s="30">
        <f t="shared" si="0"/>
        <v>82</v>
      </c>
      <c r="C52" s="30" t="s">
        <v>2179</v>
      </c>
      <c r="D52" s="30"/>
      <c r="E52" s="30" t="s">
        <v>2180</v>
      </c>
      <c r="F52" s="31" t="s">
        <v>2183</v>
      </c>
      <c r="G52" s="30" t="s">
        <v>1240</v>
      </c>
      <c r="H52" s="30"/>
      <c r="I52" s="30"/>
      <c r="J52" s="30"/>
      <c r="K52" s="30" t="s">
        <v>2184</v>
      </c>
      <c r="L52" s="30" t="s">
        <v>2180</v>
      </c>
      <c r="M52" s="30" t="s">
        <v>2180</v>
      </c>
      <c r="N52" s="30"/>
      <c r="P52" s="30"/>
      <c r="Q52" s="30"/>
      <c r="R52" s="30"/>
      <c r="S52" s="30"/>
      <c r="T52" s="31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 t="str">
        <f t="shared" si="1"/>
        <v>SP_MB31_B2          SP_MB31_B1</v>
      </c>
      <c r="AG52" s="30" t="s">
        <v>2182</v>
      </c>
      <c r="AH52">
        <v>3</v>
      </c>
      <c r="AI52">
        <v>82</v>
      </c>
      <c r="AJ52" t="s">
        <v>1268</v>
      </c>
      <c r="AK52" t="s">
        <v>19</v>
      </c>
      <c r="AL52" t="s">
        <v>19</v>
      </c>
      <c r="AM52" t="s">
        <v>1239</v>
      </c>
      <c r="AN52">
        <v>213</v>
      </c>
      <c r="AO52" t="s">
        <v>1240</v>
      </c>
      <c r="AP52">
        <v>1</v>
      </c>
      <c r="AQ52" t="s">
        <v>1241</v>
      </c>
      <c r="AR52" t="s">
        <v>19</v>
      </c>
      <c r="AS52" t="s">
        <v>19</v>
      </c>
      <c r="AT52" t="s">
        <v>19</v>
      </c>
      <c r="AU52" t="s">
        <v>19</v>
      </c>
      <c r="AV52" t="s">
        <v>1119</v>
      </c>
      <c r="AW52">
        <v>332</v>
      </c>
      <c r="AX52" t="s">
        <v>1120</v>
      </c>
      <c r="AY52">
        <v>1</v>
      </c>
      <c r="AZ52" t="s">
        <v>362</v>
      </c>
      <c r="BA52" t="s">
        <v>19</v>
      </c>
      <c r="BB52" t="s">
        <v>19</v>
      </c>
      <c r="BC52" t="s">
        <v>1221</v>
      </c>
      <c r="BD52" t="s">
        <v>1115</v>
      </c>
      <c r="BE52" t="s">
        <v>19</v>
      </c>
      <c r="BF52" t="s">
        <v>19</v>
      </c>
      <c r="BG52">
        <v>275</v>
      </c>
      <c r="BH52" t="s">
        <v>1094</v>
      </c>
      <c r="BI52">
        <v>1.5</v>
      </c>
      <c r="BJ52" t="s">
        <v>1122</v>
      </c>
      <c r="BK52" t="s">
        <v>2</v>
      </c>
      <c r="BL52">
        <v>82</v>
      </c>
    </row>
    <row r="53" spans="1:64" ht="14.45" customHeight="1">
      <c r="A53" s="155"/>
      <c r="B53" s="30">
        <f t="shared" si="0"/>
        <v>83</v>
      </c>
      <c r="C53" s="30" t="s">
        <v>2179</v>
      </c>
      <c r="D53" s="30"/>
      <c r="E53" s="30" t="s">
        <v>2180</v>
      </c>
      <c r="F53" s="31"/>
      <c r="G53" s="30"/>
      <c r="H53" s="30"/>
      <c r="I53" s="30"/>
      <c r="J53" s="30"/>
      <c r="K53" s="30"/>
      <c r="L53" s="30" t="s">
        <v>2180</v>
      </c>
      <c r="M53" s="30" t="s">
        <v>2180</v>
      </c>
      <c r="N53" s="30"/>
      <c r="P53" s="30"/>
      <c r="Q53" s="30"/>
      <c r="R53" s="30"/>
      <c r="S53" s="30"/>
      <c r="T53" s="31">
        <v>920007290</v>
      </c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 t="s">
        <v>2193</v>
      </c>
      <c r="AF53" s="30" t="str">
        <f t="shared" si="1"/>
        <v>STO51A              KS_CPR_A</v>
      </c>
      <c r="AG53" s="30" t="s">
        <v>2182</v>
      </c>
      <c r="AH53">
        <v>3</v>
      </c>
      <c r="AI53">
        <v>83</v>
      </c>
      <c r="AJ53" t="s">
        <v>1269</v>
      </c>
      <c r="AK53" t="s">
        <v>19</v>
      </c>
      <c r="AL53" t="s">
        <v>171</v>
      </c>
      <c r="AM53" t="s">
        <v>171</v>
      </c>
      <c r="AN53" t="s">
        <v>170</v>
      </c>
      <c r="AO53" t="s">
        <v>172</v>
      </c>
      <c r="AP53">
        <v>6</v>
      </c>
      <c r="AQ53" t="s">
        <v>173</v>
      </c>
      <c r="AR53" t="s">
        <v>52</v>
      </c>
      <c r="AS53" t="s">
        <v>19</v>
      </c>
      <c r="AT53" t="s">
        <v>19</v>
      </c>
      <c r="AU53" t="s">
        <v>96</v>
      </c>
      <c r="AV53" t="s">
        <v>96</v>
      </c>
      <c r="AW53" t="s">
        <v>95</v>
      </c>
      <c r="AX53" t="s">
        <v>97</v>
      </c>
      <c r="AY53">
        <v>16</v>
      </c>
      <c r="AZ53" t="s">
        <v>98</v>
      </c>
      <c r="BA53" t="s">
        <v>34</v>
      </c>
      <c r="BB53" t="s">
        <v>19</v>
      </c>
      <c r="BC53" t="s">
        <v>1270</v>
      </c>
      <c r="BD53" t="s">
        <v>1091</v>
      </c>
      <c r="BE53" t="s">
        <v>19</v>
      </c>
      <c r="BF53" t="s">
        <v>19</v>
      </c>
      <c r="BG53">
        <v>2299</v>
      </c>
      <c r="BH53" t="s">
        <v>1173</v>
      </c>
      <c r="BI53">
        <v>6</v>
      </c>
      <c r="BJ53" t="s">
        <v>1271</v>
      </c>
      <c r="BK53" t="s">
        <v>2</v>
      </c>
      <c r="BL53">
        <v>83</v>
      </c>
    </row>
    <row r="54" spans="1:64" ht="14.45" customHeight="1">
      <c r="A54" s="155"/>
      <c r="B54" s="30">
        <f t="shared" si="0"/>
        <v>84</v>
      </c>
      <c r="C54" s="30" t="s">
        <v>2179</v>
      </c>
      <c r="D54" s="30"/>
      <c r="E54" s="30" t="s">
        <v>2180</v>
      </c>
      <c r="F54" s="31"/>
      <c r="G54" s="30"/>
      <c r="H54" s="30"/>
      <c r="I54" s="30"/>
      <c r="J54" s="30"/>
      <c r="K54" s="30"/>
      <c r="L54" s="30" t="s">
        <v>2180</v>
      </c>
      <c r="M54" s="30" t="s">
        <v>2180</v>
      </c>
      <c r="N54" s="30"/>
      <c r="P54" s="30"/>
      <c r="Q54" s="30"/>
      <c r="R54" s="30"/>
      <c r="S54" s="30"/>
      <c r="T54" s="31">
        <v>920007428</v>
      </c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 t="s">
        <v>2193</v>
      </c>
      <c r="AF54" s="30" t="str">
        <f t="shared" si="1"/>
        <v>STO52A              KS_CPR_B</v>
      </c>
      <c r="AG54" s="30" t="s">
        <v>2182</v>
      </c>
      <c r="AH54">
        <v>3</v>
      </c>
      <c r="AI54">
        <v>84</v>
      </c>
      <c r="AJ54" t="s">
        <v>1272</v>
      </c>
      <c r="AK54" t="s">
        <v>19</v>
      </c>
      <c r="AL54" t="s">
        <v>199</v>
      </c>
      <c r="AM54" t="s">
        <v>199</v>
      </c>
      <c r="AN54" t="s">
        <v>198</v>
      </c>
      <c r="AO54" t="s">
        <v>200</v>
      </c>
      <c r="AP54">
        <v>6</v>
      </c>
      <c r="AQ54" t="s">
        <v>201</v>
      </c>
      <c r="AR54" t="s">
        <v>52</v>
      </c>
      <c r="AS54" t="s">
        <v>19</v>
      </c>
      <c r="AT54" t="s">
        <v>19</v>
      </c>
      <c r="AU54" t="s">
        <v>96</v>
      </c>
      <c r="AV54" t="s">
        <v>96</v>
      </c>
      <c r="AW54" t="s">
        <v>100</v>
      </c>
      <c r="AX54" t="s">
        <v>101</v>
      </c>
      <c r="AY54">
        <v>16</v>
      </c>
      <c r="AZ54" t="s">
        <v>102</v>
      </c>
      <c r="BA54" t="s">
        <v>34</v>
      </c>
      <c r="BB54" t="s">
        <v>19</v>
      </c>
      <c r="BC54" t="s">
        <v>1273</v>
      </c>
      <c r="BD54" t="s">
        <v>1091</v>
      </c>
      <c r="BE54" t="s">
        <v>19</v>
      </c>
      <c r="BF54" t="s">
        <v>19</v>
      </c>
      <c r="BG54">
        <v>390</v>
      </c>
      <c r="BH54" t="s">
        <v>1218</v>
      </c>
      <c r="BI54">
        <v>6</v>
      </c>
      <c r="BJ54" t="s">
        <v>1274</v>
      </c>
      <c r="BK54" t="s">
        <v>2</v>
      </c>
      <c r="BL54">
        <v>84</v>
      </c>
    </row>
    <row r="55" spans="1:64" ht="14.45" customHeight="1">
      <c r="A55" s="155"/>
      <c r="B55" s="30">
        <f t="shared" si="0"/>
        <v>85</v>
      </c>
      <c r="C55" s="30" t="s">
        <v>2179</v>
      </c>
      <c r="D55" s="30"/>
      <c r="E55" s="30" t="s">
        <v>2185</v>
      </c>
      <c r="F55" s="31" t="s">
        <v>2186</v>
      </c>
      <c r="G55" s="30" t="s">
        <v>1143</v>
      </c>
      <c r="H55" s="30"/>
      <c r="I55" s="30"/>
      <c r="J55" s="30"/>
      <c r="K55" s="30" t="s">
        <v>2184</v>
      </c>
      <c r="L55" s="30" t="s">
        <v>2187</v>
      </c>
      <c r="M55" s="30" t="s">
        <v>2180</v>
      </c>
      <c r="N55" s="30"/>
      <c r="P55" s="30"/>
      <c r="Q55" s="30"/>
      <c r="R55" s="30"/>
      <c r="S55" s="30"/>
      <c r="T55" s="31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 t="s">
        <v>2188</v>
      </c>
      <c r="AF55" s="30" t="str">
        <f t="shared" si="1"/>
        <v>SP_CANHK            KOMBI_A</v>
      </c>
      <c r="AG55" s="30" t="s">
        <v>2189</v>
      </c>
      <c r="AH55">
        <v>3</v>
      </c>
      <c r="AI55">
        <v>85</v>
      </c>
      <c r="AJ55" t="s">
        <v>1275</v>
      </c>
      <c r="AK55" t="s">
        <v>19</v>
      </c>
      <c r="AL55" t="s">
        <v>19</v>
      </c>
      <c r="AM55" t="s">
        <v>1141</v>
      </c>
      <c r="AN55" t="s">
        <v>1142</v>
      </c>
      <c r="AO55" t="s">
        <v>1143</v>
      </c>
      <c r="AP55">
        <v>1</v>
      </c>
      <c r="AQ55" t="s">
        <v>295</v>
      </c>
      <c r="AR55" t="s">
        <v>19</v>
      </c>
      <c r="AS55" t="s">
        <v>19</v>
      </c>
      <c r="AT55" t="s">
        <v>19</v>
      </c>
      <c r="AU55" t="s">
        <v>149</v>
      </c>
      <c r="AV55" t="s">
        <v>149</v>
      </c>
      <c r="AW55" t="s">
        <v>148</v>
      </c>
      <c r="AX55" t="s">
        <v>150</v>
      </c>
      <c r="AY55">
        <v>18</v>
      </c>
      <c r="AZ55" t="s">
        <v>151</v>
      </c>
      <c r="BA55" t="s">
        <v>46</v>
      </c>
      <c r="BB55" t="s">
        <v>19</v>
      </c>
      <c r="BC55" t="s">
        <v>1135</v>
      </c>
      <c r="BD55" t="s">
        <v>1115</v>
      </c>
      <c r="BE55" t="s">
        <v>1276</v>
      </c>
      <c r="BF55" t="s">
        <v>1144</v>
      </c>
      <c r="BG55">
        <v>404</v>
      </c>
      <c r="BH55" t="s">
        <v>1145</v>
      </c>
      <c r="BI55">
        <v>0.35</v>
      </c>
      <c r="BJ55" t="s">
        <v>1146</v>
      </c>
      <c r="BK55" t="s">
        <v>2</v>
      </c>
      <c r="BL55">
        <v>85</v>
      </c>
    </row>
    <row r="56" spans="1:64" ht="14.45" customHeight="1">
      <c r="A56" s="155"/>
      <c r="B56" s="30">
        <f t="shared" si="0"/>
        <v>86</v>
      </c>
      <c r="C56" s="30" t="s">
        <v>2179</v>
      </c>
      <c r="D56" s="30"/>
      <c r="E56" s="30" t="s">
        <v>2185</v>
      </c>
      <c r="F56" s="31" t="s">
        <v>2186</v>
      </c>
      <c r="G56" s="30" t="s">
        <v>1134</v>
      </c>
      <c r="H56" s="30"/>
      <c r="I56" s="30"/>
      <c r="J56" s="30"/>
      <c r="K56" s="30" t="s">
        <v>2184</v>
      </c>
      <c r="L56" s="30" t="s">
        <v>2187</v>
      </c>
      <c r="M56" s="30" t="s">
        <v>2180</v>
      </c>
      <c r="N56" s="30"/>
      <c r="P56" s="30"/>
      <c r="Q56" s="30"/>
      <c r="R56" s="30"/>
      <c r="S56" s="30"/>
      <c r="T56" s="31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 t="s">
        <v>2188</v>
      </c>
      <c r="AF56" s="30" t="str">
        <f t="shared" si="1"/>
        <v>SP_CANLK            KOMBI_A</v>
      </c>
      <c r="AG56" s="30" t="s">
        <v>2189</v>
      </c>
      <c r="AH56">
        <v>3</v>
      </c>
      <c r="AI56">
        <v>86</v>
      </c>
      <c r="AJ56" t="s">
        <v>1277</v>
      </c>
      <c r="AK56" t="s">
        <v>19</v>
      </c>
      <c r="AL56" t="s">
        <v>19</v>
      </c>
      <c r="AM56" t="s">
        <v>1132</v>
      </c>
      <c r="AN56" t="s">
        <v>1133</v>
      </c>
      <c r="AO56" t="s">
        <v>1134</v>
      </c>
      <c r="AP56">
        <v>1</v>
      </c>
      <c r="AQ56" t="s">
        <v>295</v>
      </c>
      <c r="AR56" t="s">
        <v>19</v>
      </c>
      <c r="AS56" t="s">
        <v>19</v>
      </c>
      <c r="AT56" t="s">
        <v>19</v>
      </c>
      <c r="AU56" t="s">
        <v>149</v>
      </c>
      <c r="AV56" t="s">
        <v>149</v>
      </c>
      <c r="AW56" t="s">
        <v>148</v>
      </c>
      <c r="AX56" t="s">
        <v>150</v>
      </c>
      <c r="AY56">
        <v>17</v>
      </c>
      <c r="AZ56" t="s">
        <v>151</v>
      </c>
      <c r="BA56" t="s">
        <v>46</v>
      </c>
      <c r="BB56" t="s">
        <v>19</v>
      </c>
      <c r="BC56" t="s">
        <v>1135</v>
      </c>
      <c r="BD56" t="s">
        <v>1115</v>
      </c>
      <c r="BE56" t="s">
        <v>1276</v>
      </c>
      <c r="BF56" t="s">
        <v>1137</v>
      </c>
      <c r="BG56">
        <v>404</v>
      </c>
      <c r="BH56" t="s">
        <v>1138</v>
      </c>
      <c r="BI56">
        <v>0.35</v>
      </c>
      <c r="BJ56" t="s">
        <v>1139</v>
      </c>
      <c r="BK56" t="s">
        <v>2</v>
      </c>
      <c r="BL56">
        <v>86</v>
      </c>
    </row>
    <row r="57" spans="1:64" ht="14.45" customHeight="1">
      <c r="A57" s="155"/>
      <c r="B57" s="30">
        <f t="shared" si="0"/>
        <v>87</v>
      </c>
      <c r="C57" s="30" t="s">
        <v>2179</v>
      </c>
      <c r="D57" s="30"/>
      <c r="E57" s="30" t="s">
        <v>2185</v>
      </c>
      <c r="F57" s="31" t="s">
        <v>2186</v>
      </c>
      <c r="G57" s="30" t="s">
        <v>1143</v>
      </c>
      <c r="H57" s="30"/>
      <c r="I57" s="30"/>
      <c r="J57" s="30"/>
      <c r="K57" s="30" t="s">
        <v>2184</v>
      </c>
      <c r="L57" s="30" t="s">
        <v>2187</v>
      </c>
      <c r="M57" s="30" t="s">
        <v>2180</v>
      </c>
      <c r="N57" s="30"/>
      <c r="P57" s="30"/>
      <c r="Q57" s="30"/>
      <c r="R57" s="30"/>
      <c r="S57" s="30"/>
      <c r="T57" s="31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 t="s">
        <v>2188</v>
      </c>
      <c r="AF57" s="30" t="str">
        <f t="shared" si="1"/>
        <v>SP_CANHK            KS_CPM_F</v>
      </c>
      <c r="AG57" s="30" t="s">
        <v>2189</v>
      </c>
      <c r="AH57">
        <v>3</v>
      </c>
      <c r="AI57">
        <v>87</v>
      </c>
      <c r="AJ57" t="s">
        <v>1278</v>
      </c>
      <c r="AK57" t="s">
        <v>19</v>
      </c>
      <c r="AL57" t="s">
        <v>19</v>
      </c>
      <c r="AM57" t="s">
        <v>1141</v>
      </c>
      <c r="AN57" t="s">
        <v>1142</v>
      </c>
      <c r="AO57" t="s">
        <v>1143</v>
      </c>
      <c r="AP57">
        <v>1</v>
      </c>
      <c r="AQ57" t="s">
        <v>295</v>
      </c>
      <c r="AR57" t="s">
        <v>19</v>
      </c>
      <c r="AS57" t="s">
        <v>19</v>
      </c>
      <c r="AT57" t="s">
        <v>19</v>
      </c>
      <c r="AU57" t="s">
        <v>81</v>
      </c>
      <c r="AV57" t="s">
        <v>92</v>
      </c>
      <c r="AW57" t="s">
        <v>91</v>
      </c>
      <c r="AX57" t="s">
        <v>93</v>
      </c>
      <c r="AY57">
        <v>7</v>
      </c>
      <c r="AZ57" t="s">
        <v>94</v>
      </c>
      <c r="BA57" t="s">
        <v>35</v>
      </c>
      <c r="BB57" t="s">
        <v>19</v>
      </c>
      <c r="BC57" t="s">
        <v>1135</v>
      </c>
      <c r="BD57" t="s">
        <v>1115</v>
      </c>
      <c r="BE57" t="s">
        <v>1279</v>
      </c>
      <c r="BF57" t="s">
        <v>1144</v>
      </c>
      <c r="BG57">
        <v>639</v>
      </c>
      <c r="BH57" t="s">
        <v>1145</v>
      </c>
      <c r="BI57">
        <v>0.35</v>
      </c>
      <c r="BJ57" t="s">
        <v>1146</v>
      </c>
      <c r="BK57" t="s">
        <v>2</v>
      </c>
      <c r="BL57">
        <v>87</v>
      </c>
    </row>
    <row r="58" spans="1:64" ht="14.45" customHeight="1">
      <c r="A58" s="155"/>
      <c r="B58" s="30">
        <f t="shared" si="0"/>
        <v>88</v>
      </c>
      <c r="C58" s="30" t="s">
        <v>2179</v>
      </c>
      <c r="D58" s="30"/>
      <c r="E58" s="30" t="s">
        <v>2185</v>
      </c>
      <c r="F58" s="31" t="s">
        <v>2186</v>
      </c>
      <c r="G58" s="30" t="s">
        <v>1134</v>
      </c>
      <c r="H58" s="30"/>
      <c r="I58" s="30"/>
      <c r="J58" s="30"/>
      <c r="K58" s="30" t="s">
        <v>2184</v>
      </c>
      <c r="L58" s="30" t="s">
        <v>2187</v>
      </c>
      <c r="M58" s="30" t="s">
        <v>2180</v>
      </c>
      <c r="N58" s="30"/>
      <c r="P58" s="30"/>
      <c r="Q58" s="30"/>
      <c r="R58" s="30"/>
      <c r="S58" s="30"/>
      <c r="T58" s="31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 t="s">
        <v>2188</v>
      </c>
      <c r="AF58" s="30" t="str">
        <f t="shared" si="1"/>
        <v>SP_CANLK            KS_CPM_F</v>
      </c>
      <c r="AG58" s="30" t="s">
        <v>2189</v>
      </c>
      <c r="AH58">
        <v>3</v>
      </c>
      <c r="AI58">
        <v>88</v>
      </c>
      <c r="AJ58" t="s">
        <v>1280</v>
      </c>
      <c r="AK58" t="s">
        <v>19</v>
      </c>
      <c r="AL58" t="s">
        <v>19</v>
      </c>
      <c r="AM58" t="s">
        <v>1132</v>
      </c>
      <c r="AN58" t="s">
        <v>1133</v>
      </c>
      <c r="AO58" t="s">
        <v>1134</v>
      </c>
      <c r="AP58">
        <v>1</v>
      </c>
      <c r="AQ58" t="s">
        <v>295</v>
      </c>
      <c r="AR58" t="s">
        <v>19</v>
      </c>
      <c r="AS58" t="s">
        <v>19</v>
      </c>
      <c r="AT58" t="s">
        <v>19</v>
      </c>
      <c r="AU58" t="s">
        <v>81</v>
      </c>
      <c r="AV58" t="s">
        <v>92</v>
      </c>
      <c r="AW58" t="s">
        <v>91</v>
      </c>
      <c r="AX58" t="s">
        <v>93</v>
      </c>
      <c r="AY58">
        <v>6</v>
      </c>
      <c r="AZ58" t="s">
        <v>94</v>
      </c>
      <c r="BA58" t="s">
        <v>35</v>
      </c>
      <c r="BB58" t="s">
        <v>19</v>
      </c>
      <c r="BC58" t="s">
        <v>1135</v>
      </c>
      <c r="BD58" t="s">
        <v>1115</v>
      </c>
      <c r="BE58" t="s">
        <v>1279</v>
      </c>
      <c r="BF58" t="s">
        <v>1137</v>
      </c>
      <c r="BG58">
        <v>639</v>
      </c>
      <c r="BH58" t="s">
        <v>1138</v>
      </c>
      <c r="BI58">
        <v>0.35</v>
      </c>
      <c r="BJ58" t="s">
        <v>1139</v>
      </c>
      <c r="BK58" t="s">
        <v>2</v>
      </c>
      <c r="BL58">
        <v>88</v>
      </c>
    </row>
    <row r="59" spans="1:64" ht="14.45" customHeight="1">
      <c r="A59" s="171" t="s">
        <v>2407</v>
      </c>
      <c r="B59" s="171">
        <f t="shared" ref="B59" si="8">AI59</f>
        <v>89</v>
      </c>
      <c r="C59" s="171" t="s">
        <v>2179</v>
      </c>
      <c r="D59" s="171"/>
      <c r="E59" s="171" t="s">
        <v>2180</v>
      </c>
      <c r="F59" s="172"/>
      <c r="G59" s="171"/>
      <c r="H59" s="171"/>
      <c r="I59" s="171"/>
      <c r="J59" s="171"/>
      <c r="K59" s="171"/>
      <c r="L59" s="171" t="s">
        <v>2180</v>
      </c>
      <c r="M59" s="171" t="s">
        <v>2180</v>
      </c>
      <c r="N59" s="171"/>
      <c r="P59" s="171"/>
      <c r="Q59" s="171"/>
      <c r="R59" s="171"/>
      <c r="S59" s="171"/>
      <c r="T59" s="172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 t="str">
        <f t="shared" ref="AF59" si="9" xml:space="preserve"> AO59 &amp; REPT(" ",20-LEN(AO59)) &amp; AX59</f>
        <v>STO52A              KS_CPM_F</v>
      </c>
      <c r="AG59" s="171" t="s">
        <v>2182</v>
      </c>
      <c r="AH59" s="173">
        <v>3</v>
      </c>
      <c r="AI59" s="173">
        <v>89</v>
      </c>
      <c r="AJ59" s="173" t="s">
        <v>1281</v>
      </c>
      <c r="AK59" s="173" t="s">
        <v>19</v>
      </c>
      <c r="AL59" s="173" t="s">
        <v>199</v>
      </c>
      <c r="AM59" s="173" t="s">
        <v>199</v>
      </c>
      <c r="AN59" s="173" t="s">
        <v>198</v>
      </c>
      <c r="AO59" s="173" t="s">
        <v>200</v>
      </c>
      <c r="AP59" s="173" t="s">
        <v>1282</v>
      </c>
      <c r="AQ59" s="173" t="s">
        <v>201</v>
      </c>
      <c r="AR59" s="173" t="s">
        <v>42</v>
      </c>
      <c r="AS59" s="173" t="s">
        <v>19</v>
      </c>
      <c r="AT59" s="173" t="s">
        <v>19</v>
      </c>
      <c r="AU59" s="173" t="s">
        <v>81</v>
      </c>
      <c r="AV59" s="173" t="s">
        <v>92</v>
      </c>
      <c r="AW59" s="173" t="s">
        <v>91</v>
      </c>
      <c r="AX59" s="173" t="s">
        <v>93</v>
      </c>
      <c r="AY59" s="173">
        <v>5</v>
      </c>
      <c r="AZ59" s="173" t="s">
        <v>94</v>
      </c>
      <c r="BA59" s="173" t="s">
        <v>35</v>
      </c>
      <c r="BB59" s="173" t="s">
        <v>19</v>
      </c>
      <c r="BC59" s="209" t="s">
        <v>1590</v>
      </c>
      <c r="BD59" s="173" t="s">
        <v>1115</v>
      </c>
      <c r="BE59" s="173" t="s">
        <v>19</v>
      </c>
      <c r="BF59" s="173" t="s">
        <v>19</v>
      </c>
      <c r="BG59" s="173">
        <v>1639</v>
      </c>
      <c r="BH59" s="209" t="s">
        <v>1156</v>
      </c>
      <c r="BI59" s="173">
        <v>0.35</v>
      </c>
      <c r="BJ59" s="173" t="s">
        <v>1285</v>
      </c>
      <c r="BK59" s="173" t="s">
        <v>2</v>
      </c>
      <c r="BL59" s="173">
        <v>89</v>
      </c>
    </row>
    <row r="60" spans="1:64" ht="14.45" customHeight="1">
      <c r="A60" s="155" t="s">
        <v>2407</v>
      </c>
      <c r="B60" s="30">
        <f t="shared" si="0"/>
        <v>89</v>
      </c>
      <c r="C60" s="30" t="s">
        <v>2179</v>
      </c>
      <c r="D60" s="30"/>
      <c r="E60" s="30" t="s">
        <v>2180</v>
      </c>
      <c r="F60" s="31"/>
      <c r="G60" s="30"/>
      <c r="H60" s="30"/>
      <c r="I60" s="30"/>
      <c r="J60" s="30"/>
      <c r="K60" s="30"/>
      <c r="L60" s="30" t="s">
        <v>2180</v>
      </c>
      <c r="M60" s="30" t="s">
        <v>2180</v>
      </c>
      <c r="N60" s="30"/>
      <c r="P60" s="30"/>
      <c r="Q60" s="30"/>
      <c r="R60" s="30"/>
      <c r="S60" s="30"/>
      <c r="T60" s="31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 t="str">
        <f t="shared" si="1"/>
        <v>STO52A              KS_CPM_F</v>
      </c>
      <c r="AG60" s="30" t="s">
        <v>2182</v>
      </c>
      <c r="AH60">
        <v>3</v>
      </c>
      <c r="AI60">
        <v>89</v>
      </c>
      <c r="AJ60" t="s">
        <v>1281</v>
      </c>
      <c r="AK60" t="s">
        <v>19</v>
      </c>
      <c r="AL60" t="s">
        <v>199</v>
      </c>
      <c r="AM60" t="s">
        <v>199</v>
      </c>
      <c r="AN60" t="s">
        <v>198</v>
      </c>
      <c r="AO60" t="s">
        <v>200</v>
      </c>
      <c r="AP60" t="s">
        <v>1282</v>
      </c>
      <c r="AQ60" t="s">
        <v>201</v>
      </c>
      <c r="AR60" t="s">
        <v>42</v>
      </c>
      <c r="AS60" t="s">
        <v>19</v>
      </c>
      <c r="AT60" t="s">
        <v>19</v>
      </c>
      <c r="AU60" t="s">
        <v>81</v>
      </c>
      <c r="AV60" t="s">
        <v>92</v>
      </c>
      <c r="AW60" t="s">
        <v>91</v>
      </c>
      <c r="AX60" t="s">
        <v>93</v>
      </c>
      <c r="AY60">
        <v>5</v>
      </c>
      <c r="AZ60" t="s">
        <v>94</v>
      </c>
      <c r="BA60" t="s">
        <v>35</v>
      </c>
      <c r="BB60" t="s">
        <v>19</v>
      </c>
      <c r="BC60" s="192" t="s">
        <v>1283</v>
      </c>
      <c r="BD60" t="s">
        <v>1115</v>
      </c>
      <c r="BE60" t="s">
        <v>19</v>
      </c>
      <c r="BF60" t="s">
        <v>19</v>
      </c>
      <c r="BG60">
        <v>1639</v>
      </c>
      <c r="BH60" s="192" t="s">
        <v>1284</v>
      </c>
      <c r="BI60">
        <v>0.35</v>
      </c>
      <c r="BJ60" t="s">
        <v>1285</v>
      </c>
      <c r="BK60" t="s">
        <v>2</v>
      </c>
      <c r="BL60">
        <v>89</v>
      </c>
    </row>
    <row r="61" spans="1:64" ht="14.45" customHeight="1">
      <c r="A61" s="155"/>
      <c r="B61" s="30">
        <f t="shared" si="0"/>
        <v>90</v>
      </c>
      <c r="C61" s="30" t="s">
        <v>2179</v>
      </c>
      <c r="D61" s="30"/>
      <c r="E61" s="30" t="s">
        <v>2180</v>
      </c>
      <c r="F61" s="31" t="s">
        <v>2183</v>
      </c>
      <c r="G61" s="30" t="s">
        <v>1240</v>
      </c>
      <c r="H61" s="30"/>
      <c r="I61" s="30"/>
      <c r="J61" s="30"/>
      <c r="K61" s="30" t="s">
        <v>2184</v>
      </c>
      <c r="L61" s="30" t="s">
        <v>2180</v>
      </c>
      <c r="M61" s="30" t="s">
        <v>2180</v>
      </c>
      <c r="N61" s="30"/>
      <c r="P61" s="30"/>
      <c r="Q61" s="30"/>
      <c r="R61" s="30"/>
      <c r="S61" s="30"/>
      <c r="T61" s="31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 t="str">
        <f t="shared" si="1"/>
        <v>SP_MB31_B2          KS_CPM_F</v>
      </c>
      <c r="AG61" s="30" t="s">
        <v>2182</v>
      </c>
      <c r="AH61">
        <v>3</v>
      </c>
      <c r="AI61">
        <v>90</v>
      </c>
      <c r="AJ61" t="s">
        <v>1286</v>
      </c>
      <c r="AK61" t="s">
        <v>19</v>
      </c>
      <c r="AL61" t="s">
        <v>19</v>
      </c>
      <c r="AM61" t="s">
        <v>1239</v>
      </c>
      <c r="AN61">
        <v>213</v>
      </c>
      <c r="AO61" t="s">
        <v>1240</v>
      </c>
      <c r="AP61">
        <v>1</v>
      </c>
      <c r="AQ61" t="s">
        <v>1241</v>
      </c>
      <c r="AR61" t="s">
        <v>19</v>
      </c>
      <c r="AS61" t="s">
        <v>19</v>
      </c>
      <c r="AT61" t="s">
        <v>19</v>
      </c>
      <c r="AU61" t="s">
        <v>81</v>
      </c>
      <c r="AV61" t="s">
        <v>92</v>
      </c>
      <c r="AW61" t="s">
        <v>91</v>
      </c>
      <c r="AX61" t="s">
        <v>93</v>
      </c>
      <c r="AY61">
        <v>4</v>
      </c>
      <c r="AZ61" t="s">
        <v>94</v>
      </c>
      <c r="BA61" t="s">
        <v>35</v>
      </c>
      <c r="BB61" t="s">
        <v>19</v>
      </c>
      <c r="BC61" t="s">
        <v>1287</v>
      </c>
      <c r="BD61" t="s">
        <v>1115</v>
      </c>
      <c r="BE61" t="s">
        <v>19</v>
      </c>
      <c r="BF61" t="s">
        <v>19</v>
      </c>
      <c r="BG61">
        <v>711</v>
      </c>
      <c r="BH61" t="s">
        <v>1094</v>
      </c>
      <c r="BI61">
        <v>0.35</v>
      </c>
      <c r="BJ61" t="s">
        <v>1122</v>
      </c>
      <c r="BK61" t="s">
        <v>2</v>
      </c>
      <c r="BL61">
        <v>90</v>
      </c>
    </row>
    <row r="62" spans="1:64" ht="14.45" customHeight="1">
      <c r="A62" s="155"/>
      <c r="B62" s="30">
        <f t="shared" si="0"/>
        <v>91</v>
      </c>
      <c r="C62" s="30" t="s">
        <v>2179</v>
      </c>
      <c r="D62" s="30"/>
      <c r="E62" s="30" t="s">
        <v>2180</v>
      </c>
      <c r="F62" s="31"/>
      <c r="G62" s="30"/>
      <c r="H62" s="30"/>
      <c r="I62" s="30"/>
      <c r="J62" s="30"/>
      <c r="K62" s="30"/>
      <c r="L62" s="30" t="s">
        <v>2180</v>
      </c>
      <c r="M62" s="30" t="s">
        <v>2180</v>
      </c>
      <c r="N62" s="30"/>
      <c r="P62" s="30"/>
      <c r="Q62" s="30"/>
      <c r="R62" s="30"/>
      <c r="S62" s="30"/>
      <c r="T62" s="31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 t="str">
        <f t="shared" si="1"/>
        <v>STO51A              KOMBI_A</v>
      </c>
      <c r="AG62" s="30" t="s">
        <v>2182</v>
      </c>
      <c r="AH62">
        <v>3</v>
      </c>
      <c r="AI62">
        <v>91</v>
      </c>
      <c r="AJ62" t="s">
        <v>1288</v>
      </c>
      <c r="AK62" t="s">
        <v>19</v>
      </c>
      <c r="AL62" t="s">
        <v>171</v>
      </c>
      <c r="AM62" t="s">
        <v>171</v>
      </c>
      <c r="AN62" t="s">
        <v>170</v>
      </c>
      <c r="AO62" t="s">
        <v>172</v>
      </c>
      <c r="AP62" t="s">
        <v>1282</v>
      </c>
      <c r="AQ62" t="s">
        <v>173</v>
      </c>
      <c r="AR62" t="s">
        <v>43</v>
      </c>
      <c r="AS62" t="s">
        <v>19</v>
      </c>
      <c r="AT62" t="s">
        <v>19</v>
      </c>
      <c r="AU62" t="s">
        <v>149</v>
      </c>
      <c r="AV62" t="s">
        <v>149</v>
      </c>
      <c r="AW62" t="s">
        <v>148</v>
      </c>
      <c r="AX62" t="s">
        <v>150</v>
      </c>
      <c r="AY62">
        <v>1</v>
      </c>
      <c r="AZ62" t="s">
        <v>151</v>
      </c>
      <c r="BA62" t="s">
        <v>47</v>
      </c>
      <c r="BB62" t="s">
        <v>19</v>
      </c>
      <c r="BC62" t="s">
        <v>1289</v>
      </c>
      <c r="BD62" t="s">
        <v>1115</v>
      </c>
      <c r="BE62" t="s">
        <v>19</v>
      </c>
      <c r="BF62" t="s">
        <v>19</v>
      </c>
      <c r="BG62">
        <v>1278</v>
      </c>
      <c r="BH62" t="s">
        <v>1284</v>
      </c>
      <c r="BI62">
        <v>0.5</v>
      </c>
      <c r="BJ62" t="s">
        <v>1290</v>
      </c>
      <c r="BK62" t="s">
        <v>2</v>
      </c>
      <c r="BL62">
        <v>91</v>
      </c>
    </row>
    <row r="63" spans="1:64" ht="14.45" customHeight="1">
      <c r="A63" s="155"/>
      <c r="B63" s="30">
        <f t="shared" si="0"/>
        <v>92</v>
      </c>
      <c r="C63" s="30" t="s">
        <v>2179</v>
      </c>
      <c r="D63" s="30"/>
      <c r="E63" s="30" t="s">
        <v>2180</v>
      </c>
      <c r="F63" s="31"/>
      <c r="G63" s="30"/>
      <c r="H63" s="30"/>
      <c r="I63" s="30"/>
      <c r="J63" s="30"/>
      <c r="K63" s="30"/>
      <c r="L63" s="30" t="s">
        <v>2180</v>
      </c>
      <c r="M63" s="30" t="s">
        <v>2180</v>
      </c>
      <c r="N63" s="30"/>
      <c r="P63" s="30"/>
      <c r="Q63" s="30"/>
      <c r="R63" s="30"/>
      <c r="S63" s="30"/>
      <c r="T63" s="31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 t="str">
        <f t="shared" si="1"/>
        <v>LDS                 KS_CPL_C</v>
      </c>
      <c r="AG63" s="30" t="s">
        <v>2182</v>
      </c>
      <c r="AH63">
        <v>3</v>
      </c>
      <c r="AI63">
        <v>92</v>
      </c>
      <c r="AJ63" t="s">
        <v>1291</v>
      </c>
      <c r="AK63" t="s">
        <v>19</v>
      </c>
      <c r="AL63" t="s">
        <v>115</v>
      </c>
      <c r="AM63" t="s">
        <v>115</v>
      </c>
      <c r="AN63" t="s">
        <v>114</v>
      </c>
      <c r="AO63" t="s">
        <v>116</v>
      </c>
      <c r="AP63">
        <v>1</v>
      </c>
      <c r="AQ63" t="s">
        <v>117</v>
      </c>
      <c r="AR63" t="s">
        <v>41</v>
      </c>
      <c r="AS63" t="s">
        <v>19</v>
      </c>
      <c r="AT63" t="s">
        <v>19</v>
      </c>
      <c r="AU63" t="s">
        <v>55</v>
      </c>
      <c r="AV63" t="s">
        <v>55</v>
      </c>
      <c r="AW63" t="s">
        <v>69</v>
      </c>
      <c r="AX63" t="s">
        <v>70</v>
      </c>
      <c r="AY63">
        <v>10</v>
      </c>
      <c r="AZ63" t="s">
        <v>71</v>
      </c>
      <c r="BA63" t="s">
        <v>40</v>
      </c>
      <c r="BB63" t="s">
        <v>19</v>
      </c>
      <c r="BC63" t="s">
        <v>1292</v>
      </c>
      <c r="BD63" t="s">
        <v>1115</v>
      </c>
      <c r="BE63" t="s">
        <v>19</v>
      </c>
      <c r="BF63" t="s">
        <v>19</v>
      </c>
      <c r="BG63">
        <v>597</v>
      </c>
      <c r="BH63" t="s">
        <v>1293</v>
      </c>
      <c r="BI63">
        <v>0.13</v>
      </c>
      <c r="BJ63" t="s">
        <v>1294</v>
      </c>
      <c r="BK63" t="s">
        <v>2</v>
      </c>
      <c r="BL63">
        <v>92</v>
      </c>
    </row>
    <row r="64" spans="1:64" ht="14.45" customHeight="1">
      <c r="A64" s="155"/>
      <c r="B64" s="30">
        <f t="shared" si="0"/>
        <v>93</v>
      </c>
      <c r="C64" s="30" t="s">
        <v>2179</v>
      </c>
      <c r="D64" s="30"/>
      <c r="E64" s="30" t="s">
        <v>2180</v>
      </c>
      <c r="F64" s="31"/>
      <c r="G64" s="30"/>
      <c r="H64" s="30"/>
      <c r="I64" s="30"/>
      <c r="J64" s="30"/>
      <c r="K64" s="30"/>
      <c r="L64" s="30" t="s">
        <v>2180</v>
      </c>
      <c r="M64" s="30" t="s">
        <v>2180</v>
      </c>
      <c r="N64" s="30"/>
      <c r="P64" s="30"/>
      <c r="Q64" s="30"/>
      <c r="R64" s="30"/>
      <c r="S64" s="30"/>
      <c r="T64" s="31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 t="str">
        <f t="shared" si="1"/>
        <v>STO51A              LDS</v>
      </c>
      <c r="AG64" s="30" t="s">
        <v>2182</v>
      </c>
      <c r="AH64">
        <v>3</v>
      </c>
      <c r="AI64">
        <v>93</v>
      </c>
      <c r="AJ64" t="s">
        <v>1295</v>
      </c>
      <c r="AK64" t="s">
        <v>19</v>
      </c>
      <c r="AL64" t="s">
        <v>171</v>
      </c>
      <c r="AM64" t="s">
        <v>171</v>
      </c>
      <c r="AN64" t="s">
        <v>170</v>
      </c>
      <c r="AO64" t="s">
        <v>172</v>
      </c>
      <c r="AP64" t="s">
        <v>1171</v>
      </c>
      <c r="AQ64" t="s">
        <v>173</v>
      </c>
      <c r="AR64" t="s">
        <v>42</v>
      </c>
      <c r="AS64" t="s">
        <v>19</v>
      </c>
      <c r="AT64" t="s">
        <v>19</v>
      </c>
      <c r="AU64" t="s">
        <v>115</v>
      </c>
      <c r="AV64" t="s">
        <v>115</v>
      </c>
      <c r="AW64" t="s">
        <v>114</v>
      </c>
      <c r="AX64" t="s">
        <v>116</v>
      </c>
      <c r="AY64">
        <v>2</v>
      </c>
      <c r="AZ64" t="s">
        <v>117</v>
      </c>
      <c r="BA64" t="s">
        <v>46</v>
      </c>
      <c r="BB64" t="s">
        <v>19</v>
      </c>
      <c r="BC64" t="s">
        <v>1296</v>
      </c>
      <c r="BD64" t="s">
        <v>1115</v>
      </c>
      <c r="BE64" t="s">
        <v>19</v>
      </c>
      <c r="BF64" t="s">
        <v>19</v>
      </c>
      <c r="BG64">
        <v>210</v>
      </c>
      <c r="BH64" t="s">
        <v>1218</v>
      </c>
      <c r="BI64">
        <v>0.35</v>
      </c>
      <c r="BJ64" t="s">
        <v>1297</v>
      </c>
      <c r="BK64" t="s">
        <v>2</v>
      </c>
      <c r="BL64">
        <v>93</v>
      </c>
    </row>
    <row r="65" spans="1:64" ht="14.45" customHeight="1">
      <c r="A65" s="155"/>
      <c r="B65" s="30">
        <f t="shared" si="0"/>
        <v>94</v>
      </c>
      <c r="C65" s="30" t="s">
        <v>2179</v>
      </c>
      <c r="D65" s="30"/>
      <c r="E65" s="30" t="s">
        <v>2180</v>
      </c>
      <c r="F65" s="157" t="s">
        <v>2186</v>
      </c>
      <c r="G65" s="30" t="s">
        <v>1300</v>
      </c>
      <c r="H65" s="30"/>
      <c r="I65" s="30"/>
      <c r="J65" s="30"/>
      <c r="K65" s="30" t="s">
        <v>2184</v>
      </c>
      <c r="L65" s="30" t="s">
        <v>2180</v>
      </c>
      <c r="M65" s="30" t="s">
        <v>2180</v>
      </c>
      <c r="N65" s="30"/>
      <c r="P65" s="30"/>
      <c r="Q65" s="30"/>
      <c r="R65" s="30"/>
      <c r="S65" s="30"/>
      <c r="T65" s="31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 t="str">
        <f t="shared" si="1"/>
        <v>LDS                 SP_MB33_C</v>
      </c>
      <c r="AG65" s="30" t="s">
        <v>2182</v>
      </c>
      <c r="AH65">
        <v>3</v>
      </c>
      <c r="AI65">
        <v>94</v>
      </c>
      <c r="AJ65" t="s">
        <v>1298</v>
      </c>
      <c r="AK65" t="s">
        <v>19</v>
      </c>
      <c r="AL65" t="s">
        <v>115</v>
      </c>
      <c r="AM65" t="s">
        <v>115</v>
      </c>
      <c r="AN65" t="s">
        <v>114</v>
      </c>
      <c r="AO65" t="s">
        <v>116</v>
      </c>
      <c r="AP65">
        <v>3</v>
      </c>
      <c r="AQ65" t="s">
        <v>117</v>
      </c>
      <c r="AR65" t="s">
        <v>46</v>
      </c>
      <c r="AS65" t="s">
        <v>19</v>
      </c>
      <c r="AT65" t="s">
        <v>19</v>
      </c>
      <c r="AU65" t="s">
        <v>19</v>
      </c>
      <c r="AV65" t="s">
        <v>1299</v>
      </c>
      <c r="AW65">
        <v>354</v>
      </c>
      <c r="AX65" t="s">
        <v>1300</v>
      </c>
      <c r="AY65">
        <v>1</v>
      </c>
      <c r="AZ65" t="s">
        <v>1072</v>
      </c>
      <c r="BA65" t="s">
        <v>19</v>
      </c>
      <c r="BB65" t="s">
        <v>19</v>
      </c>
      <c r="BC65" t="s">
        <v>1287</v>
      </c>
      <c r="BD65" t="s">
        <v>1115</v>
      </c>
      <c r="BE65" t="s">
        <v>19</v>
      </c>
      <c r="BF65" t="s">
        <v>19</v>
      </c>
      <c r="BG65">
        <v>488</v>
      </c>
      <c r="BH65" t="s">
        <v>1094</v>
      </c>
      <c r="BI65">
        <v>0.35</v>
      </c>
      <c r="BJ65" t="s">
        <v>1301</v>
      </c>
      <c r="BK65" t="s">
        <v>2</v>
      </c>
      <c r="BL65">
        <v>94</v>
      </c>
    </row>
    <row r="66" spans="1:64" ht="14.45" customHeight="1">
      <c r="A66" s="155"/>
      <c r="B66" s="30">
        <f t="shared" si="0"/>
        <v>100</v>
      </c>
      <c r="C66" s="30" t="s">
        <v>2179</v>
      </c>
      <c r="D66" s="30"/>
      <c r="E66" s="35" t="s">
        <v>2180</v>
      </c>
      <c r="F66" s="31"/>
      <c r="G66" s="30"/>
      <c r="H66" s="30"/>
      <c r="I66" s="30"/>
      <c r="J66" s="30"/>
      <c r="K66" s="30"/>
      <c r="L66" s="30" t="s">
        <v>2180</v>
      </c>
      <c r="M66" s="35" t="s">
        <v>2180</v>
      </c>
      <c r="N66" s="30"/>
      <c r="P66" s="30"/>
      <c r="Q66" s="30"/>
      <c r="R66" s="30"/>
      <c r="S66" s="30"/>
      <c r="T66" s="31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 t="str">
        <f t="shared" si="1"/>
        <v>KS_CPL_D            KS_CPM_A</v>
      </c>
      <c r="AG66" s="30" t="s">
        <v>2182</v>
      </c>
      <c r="AH66">
        <v>3</v>
      </c>
      <c r="AI66">
        <v>100</v>
      </c>
      <c r="AJ66" t="s">
        <v>1302</v>
      </c>
      <c r="AK66" t="s">
        <v>19</v>
      </c>
      <c r="AL66" t="s">
        <v>55</v>
      </c>
      <c r="AM66" t="s">
        <v>55</v>
      </c>
      <c r="AN66" t="s">
        <v>75</v>
      </c>
      <c r="AO66" t="s">
        <v>76</v>
      </c>
      <c r="AP66">
        <v>2</v>
      </c>
      <c r="AQ66" t="s">
        <v>77</v>
      </c>
      <c r="AR66" t="s">
        <v>35</v>
      </c>
      <c r="AS66" t="s">
        <v>19</v>
      </c>
      <c r="AT66" t="s">
        <v>19</v>
      </c>
      <c r="AU66" t="s">
        <v>81</v>
      </c>
      <c r="AV66" t="s">
        <v>81</v>
      </c>
      <c r="AW66" t="s">
        <v>80</v>
      </c>
      <c r="AX66" t="s">
        <v>82</v>
      </c>
      <c r="AY66">
        <v>2</v>
      </c>
      <c r="AZ66" t="s">
        <v>83</v>
      </c>
      <c r="BA66" t="s">
        <v>35</v>
      </c>
      <c r="BB66" t="s">
        <v>19</v>
      </c>
      <c r="BC66" t="s">
        <v>1303</v>
      </c>
      <c r="BD66" t="s">
        <v>1115</v>
      </c>
      <c r="BE66" t="s">
        <v>19</v>
      </c>
      <c r="BF66" t="s">
        <v>19</v>
      </c>
      <c r="BG66">
        <v>1679</v>
      </c>
      <c r="BH66" t="s">
        <v>1304</v>
      </c>
      <c r="BI66">
        <v>0.35</v>
      </c>
      <c r="BJ66" t="s">
        <v>1305</v>
      </c>
      <c r="BK66" t="s">
        <v>2</v>
      </c>
      <c r="BL66">
        <v>100</v>
      </c>
    </row>
    <row r="67" spans="1:64" ht="14.45" customHeight="1">
      <c r="A67" s="155"/>
      <c r="B67" s="30">
        <f t="shared" si="0"/>
        <v>102</v>
      </c>
      <c r="C67" s="30" t="s">
        <v>2179</v>
      </c>
      <c r="D67" s="30"/>
      <c r="E67" s="30" t="s">
        <v>2180</v>
      </c>
      <c r="F67" s="31"/>
      <c r="G67" s="30"/>
      <c r="H67" s="30"/>
      <c r="I67" s="30"/>
      <c r="J67" s="30"/>
      <c r="K67" s="30"/>
      <c r="L67" s="30" t="s">
        <v>2180</v>
      </c>
      <c r="M67" s="30" t="s">
        <v>2180</v>
      </c>
      <c r="N67" s="30"/>
      <c r="P67" s="30"/>
      <c r="Q67" s="30"/>
      <c r="R67" s="30"/>
      <c r="S67" s="30"/>
      <c r="T67" s="31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195" t="s">
        <v>2379</v>
      </c>
      <c r="AF67" s="30" t="str">
        <f t="shared" si="1"/>
        <v>DSO03A              KS_CPL_A</v>
      </c>
      <c r="AG67" s="30" t="s">
        <v>2182</v>
      </c>
      <c r="AH67">
        <v>3</v>
      </c>
      <c r="AI67">
        <v>102</v>
      </c>
      <c r="AJ67" t="s">
        <v>1306</v>
      </c>
      <c r="AK67" t="s">
        <v>19</v>
      </c>
      <c r="AL67" t="s">
        <v>224</v>
      </c>
      <c r="AM67" t="s">
        <v>224</v>
      </c>
      <c r="AN67" t="s">
        <v>223</v>
      </c>
      <c r="AO67" t="s">
        <v>225</v>
      </c>
      <c r="AP67">
        <v>11</v>
      </c>
      <c r="AQ67" t="s">
        <v>226</v>
      </c>
      <c r="AR67" t="s">
        <v>45</v>
      </c>
      <c r="AS67" t="s">
        <v>19</v>
      </c>
      <c r="AT67" t="s">
        <v>19</v>
      </c>
      <c r="AU67" t="s">
        <v>55</v>
      </c>
      <c r="AV67" t="s">
        <v>55</v>
      </c>
      <c r="AW67" t="s">
        <v>54</v>
      </c>
      <c r="AX67" t="s">
        <v>56</v>
      </c>
      <c r="AY67">
        <v>7</v>
      </c>
      <c r="AZ67" t="s">
        <v>57</v>
      </c>
      <c r="BA67" t="s">
        <v>35</v>
      </c>
      <c r="BB67" t="s">
        <v>19</v>
      </c>
      <c r="BC67" t="s">
        <v>1204</v>
      </c>
      <c r="BD67" t="s">
        <v>1115</v>
      </c>
      <c r="BE67" t="s">
        <v>1307</v>
      </c>
      <c r="BF67" t="s">
        <v>1097</v>
      </c>
      <c r="BG67">
        <v>525</v>
      </c>
      <c r="BH67" t="s">
        <v>1098</v>
      </c>
      <c r="BI67">
        <v>0.35</v>
      </c>
      <c r="BJ67" t="s">
        <v>1308</v>
      </c>
      <c r="BK67" t="s">
        <v>2</v>
      </c>
      <c r="BL67">
        <v>102</v>
      </c>
    </row>
    <row r="68" spans="1:64" ht="14.45" customHeight="1">
      <c r="A68" s="155"/>
      <c r="B68" s="30">
        <f t="shared" si="0"/>
        <v>103</v>
      </c>
      <c r="C68" s="30" t="s">
        <v>2179</v>
      </c>
      <c r="D68" s="30"/>
      <c r="E68" s="30" t="s">
        <v>2180</v>
      </c>
      <c r="F68" s="31"/>
      <c r="G68" s="30"/>
      <c r="H68" s="30"/>
      <c r="I68" s="30"/>
      <c r="J68" s="30"/>
      <c r="K68" s="30"/>
      <c r="L68" s="30" t="s">
        <v>2180</v>
      </c>
      <c r="M68" s="30" t="s">
        <v>2180</v>
      </c>
      <c r="N68" s="30"/>
      <c r="P68" s="30"/>
      <c r="Q68" s="30"/>
      <c r="R68" s="30"/>
      <c r="S68" s="30"/>
      <c r="T68" s="31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195" t="s">
        <v>2379</v>
      </c>
      <c r="AF68" s="30" t="str">
        <f t="shared" si="1"/>
        <v>DSO03A              KS_CPL_A</v>
      </c>
      <c r="AG68" s="30" t="s">
        <v>2182</v>
      </c>
      <c r="AH68">
        <v>3</v>
      </c>
      <c r="AI68">
        <v>103</v>
      </c>
      <c r="AJ68" t="s">
        <v>1309</v>
      </c>
      <c r="AK68" t="s">
        <v>19</v>
      </c>
      <c r="AL68" t="s">
        <v>224</v>
      </c>
      <c r="AM68" t="s">
        <v>224</v>
      </c>
      <c r="AN68" t="s">
        <v>223</v>
      </c>
      <c r="AO68" t="s">
        <v>225</v>
      </c>
      <c r="AP68">
        <v>13</v>
      </c>
      <c r="AQ68" t="s">
        <v>226</v>
      </c>
      <c r="AR68" t="s">
        <v>45</v>
      </c>
      <c r="AS68" t="s">
        <v>19</v>
      </c>
      <c r="AT68" t="s">
        <v>19</v>
      </c>
      <c r="AU68" t="s">
        <v>55</v>
      </c>
      <c r="AV68" t="s">
        <v>55</v>
      </c>
      <c r="AW68" t="s">
        <v>54</v>
      </c>
      <c r="AX68" t="s">
        <v>56</v>
      </c>
      <c r="AY68">
        <v>8</v>
      </c>
      <c r="AZ68" t="s">
        <v>57</v>
      </c>
      <c r="BA68" t="s">
        <v>35</v>
      </c>
      <c r="BB68" t="s">
        <v>19</v>
      </c>
      <c r="BC68" t="s">
        <v>1204</v>
      </c>
      <c r="BD68" t="s">
        <v>1115</v>
      </c>
      <c r="BE68" t="s">
        <v>1310</v>
      </c>
      <c r="BF68" t="s">
        <v>1097</v>
      </c>
      <c r="BG68">
        <v>525</v>
      </c>
      <c r="BH68" t="s">
        <v>1098</v>
      </c>
      <c r="BI68">
        <v>0.35</v>
      </c>
      <c r="BJ68" t="s">
        <v>1311</v>
      </c>
      <c r="BK68" t="s">
        <v>2</v>
      </c>
      <c r="BL68">
        <v>103</v>
      </c>
    </row>
    <row r="69" spans="1:64" ht="14.45" customHeight="1">
      <c r="A69" s="155"/>
      <c r="B69" s="30">
        <f t="shared" si="0"/>
        <v>104</v>
      </c>
      <c r="C69" s="30" t="s">
        <v>2179</v>
      </c>
      <c r="D69" s="30"/>
      <c r="E69" s="30" t="s">
        <v>2180</v>
      </c>
      <c r="F69" s="31"/>
      <c r="G69" s="30"/>
      <c r="H69" s="30"/>
      <c r="I69" s="30"/>
      <c r="J69" s="30"/>
      <c r="K69" s="30"/>
      <c r="L69" s="30" t="s">
        <v>2180</v>
      </c>
      <c r="M69" s="30" t="s">
        <v>2180</v>
      </c>
      <c r="N69" s="30"/>
      <c r="P69" s="30"/>
      <c r="Q69" s="30"/>
      <c r="R69" s="30"/>
      <c r="S69" s="30"/>
      <c r="T69" s="31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195" t="s">
        <v>2379</v>
      </c>
      <c r="AF69" s="30" t="str">
        <f t="shared" si="1"/>
        <v>DSO03A              KS_CPL_A</v>
      </c>
      <c r="AG69" s="30" t="s">
        <v>2182</v>
      </c>
      <c r="AH69">
        <v>3</v>
      </c>
      <c r="AI69">
        <v>104</v>
      </c>
      <c r="AJ69" t="s">
        <v>1312</v>
      </c>
      <c r="AK69" t="s">
        <v>19</v>
      </c>
      <c r="AL69" t="s">
        <v>224</v>
      </c>
      <c r="AM69" t="s">
        <v>224</v>
      </c>
      <c r="AN69" t="s">
        <v>223</v>
      </c>
      <c r="AO69" t="s">
        <v>225</v>
      </c>
      <c r="AP69">
        <v>3</v>
      </c>
      <c r="AQ69" t="s">
        <v>226</v>
      </c>
      <c r="AR69" t="s">
        <v>45</v>
      </c>
      <c r="AS69" t="s">
        <v>19</v>
      </c>
      <c r="AT69" t="s">
        <v>19</v>
      </c>
      <c r="AU69" t="s">
        <v>55</v>
      </c>
      <c r="AV69" t="s">
        <v>55</v>
      </c>
      <c r="AW69" t="s">
        <v>54</v>
      </c>
      <c r="AX69" t="s">
        <v>56</v>
      </c>
      <c r="AY69">
        <v>6</v>
      </c>
      <c r="AZ69" t="s">
        <v>57</v>
      </c>
      <c r="BA69" t="s">
        <v>35</v>
      </c>
      <c r="BB69" t="s">
        <v>19</v>
      </c>
      <c r="BC69" t="s">
        <v>1204</v>
      </c>
      <c r="BD69" t="s">
        <v>1115</v>
      </c>
      <c r="BE69" t="s">
        <v>1307</v>
      </c>
      <c r="BF69" t="s">
        <v>1206</v>
      </c>
      <c r="BG69">
        <v>525</v>
      </c>
      <c r="BH69" t="s">
        <v>1207</v>
      </c>
      <c r="BI69">
        <v>0.35</v>
      </c>
      <c r="BJ69" t="s">
        <v>1313</v>
      </c>
      <c r="BK69" t="s">
        <v>2</v>
      </c>
      <c r="BL69">
        <v>104</v>
      </c>
    </row>
    <row r="70" spans="1:64" ht="14.45" customHeight="1">
      <c r="A70" s="155"/>
      <c r="B70" s="30">
        <f t="shared" si="0"/>
        <v>105</v>
      </c>
      <c r="C70" s="30" t="s">
        <v>2179</v>
      </c>
      <c r="D70" s="30"/>
      <c r="E70" s="30" t="s">
        <v>2180</v>
      </c>
      <c r="F70" s="31"/>
      <c r="G70" s="30"/>
      <c r="H70" s="30"/>
      <c r="I70" s="30"/>
      <c r="J70" s="30"/>
      <c r="K70" s="30"/>
      <c r="L70" s="30" t="s">
        <v>2180</v>
      </c>
      <c r="M70" s="30" t="s">
        <v>2180</v>
      </c>
      <c r="N70" s="30"/>
      <c r="P70" s="30"/>
      <c r="Q70" s="30"/>
      <c r="R70" s="30"/>
      <c r="S70" s="30"/>
      <c r="T70" s="31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195" t="s">
        <v>2379</v>
      </c>
      <c r="AF70" s="30" t="str">
        <f t="shared" si="1"/>
        <v>DSO03A              KS_CPL_A</v>
      </c>
      <c r="AG70" s="30" t="s">
        <v>2182</v>
      </c>
      <c r="AH70">
        <v>3</v>
      </c>
      <c r="AI70">
        <v>105</v>
      </c>
      <c r="AJ70" t="s">
        <v>1314</v>
      </c>
      <c r="AK70" t="s">
        <v>19</v>
      </c>
      <c r="AL70" t="s">
        <v>224</v>
      </c>
      <c r="AM70" t="s">
        <v>224</v>
      </c>
      <c r="AN70" t="s">
        <v>223</v>
      </c>
      <c r="AO70" t="s">
        <v>225</v>
      </c>
      <c r="AP70">
        <v>12</v>
      </c>
      <c r="AQ70" t="s">
        <v>226</v>
      </c>
      <c r="AR70" t="s">
        <v>45</v>
      </c>
      <c r="AS70" t="s">
        <v>19</v>
      </c>
      <c r="AT70" t="s">
        <v>19</v>
      </c>
      <c r="AU70" t="s">
        <v>55</v>
      </c>
      <c r="AV70" t="s">
        <v>55</v>
      </c>
      <c r="AW70" t="s">
        <v>54</v>
      </c>
      <c r="AX70" t="s">
        <v>56</v>
      </c>
      <c r="AY70">
        <v>9</v>
      </c>
      <c r="AZ70" t="s">
        <v>57</v>
      </c>
      <c r="BA70" t="s">
        <v>35</v>
      </c>
      <c r="BB70" t="s">
        <v>19</v>
      </c>
      <c r="BC70" t="s">
        <v>1204</v>
      </c>
      <c r="BD70" t="s">
        <v>1115</v>
      </c>
      <c r="BE70" t="s">
        <v>1310</v>
      </c>
      <c r="BF70" t="s">
        <v>1206</v>
      </c>
      <c r="BG70">
        <v>525</v>
      </c>
      <c r="BH70" t="s">
        <v>1207</v>
      </c>
      <c r="BI70">
        <v>0.35</v>
      </c>
      <c r="BJ70" t="s">
        <v>1315</v>
      </c>
      <c r="BK70" t="s">
        <v>2</v>
      </c>
      <c r="BL70">
        <v>105</v>
      </c>
    </row>
    <row r="71" spans="1:64" ht="14.45" customHeight="1">
      <c r="A71" s="155"/>
      <c r="B71" s="30">
        <f t="shared" si="0"/>
        <v>107</v>
      </c>
      <c r="C71" s="30" t="s">
        <v>2179</v>
      </c>
      <c r="D71" s="30"/>
      <c r="E71" s="30" t="s">
        <v>2180</v>
      </c>
      <c r="F71" s="31"/>
      <c r="G71" s="30"/>
      <c r="H71" s="30"/>
      <c r="I71" s="30"/>
      <c r="J71" s="30"/>
      <c r="K71" s="30"/>
      <c r="L71" s="30" t="s">
        <v>2180</v>
      </c>
      <c r="M71" s="30" t="s">
        <v>2180</v>
      </c>
      <c r="N71" s="30"/>
      <c r="P71" s="30"/>
      <c r="Q71" s="30"/>
      <c r="R71" s="30"/>
      <c r="S71" s="30"/>
      <c r="T71" s="31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 t="str">
        <f t="shared" si="1"/>
        <v>DSO03A              KS_CPL_B</v>
      </c>
      <c r="AG71" s="30" t="s">
        <v>2182</v>
      </c>
      <c r="AH71">
        <v>3</v>
      </c>
      <c r="AI71">
        <v>107</v>
      </c>
      <c r="AJ71" t="s">
        <v>1316</v>
      </c>
      <c r="AK71" t="s">
        <v>19</v>
      </c>
      <c r="AL71" t="s">
        <v>224</v>
      </c>
      <c r="AM71" t="s">
        <v>224</v>
      </c>
      <c r="AN71" t="s">
        <v>223</v>
      </c>
      <c r="AO71" t="s">
        <v>225</v>
      </c>
      <c r="AP71">
        <v>1</v>
      </c>
      <c r="AQ71" t="s">
        <v>226</v>
      </c>
      <c r="AR71" t="s">
        <v>45</v>
      </c>
      <c r="AS71" t="s">
        <v>19</v>
      </c>
      <c r="AT71" t="s">
        <v>19</v>
      </c>
      <c r="AU71" t="s">
        <v>55</v>
      </c>
      <c r="AV71" t="s">
        <v>55</v>
      </c>
      <c r="AW71" t="s">
        <v>63</v>
      </c>
      <c r="AX71" t="s">
        <v>64</v>
      </c>
      <c r="AY71">
        <v>10</v>
      </c>
      <c r="AZ71" t="s">
        <v>65</v>
      </c>
      <c r="BA71" t="s">
        <v>36</v>
      </c>
      <c r="BB71" t="s">
        <v>19</v>
      </c>
      <c r="BC71" t="s">
        <v>1317</v>
      </c>
      <c r="BD71" t="s">
        <v>1115</v>
      </c>
      <c r="BE71" t="s">
        <v>19</v>
      </c>
      <c r="BF71" t="s">
        <v>19</v>
      </c>
      <c r="BG71">
        <v>525</v>
      </c>
      <c r="BH71" t="s">
        <v>1318</v>
      </c>
      <c r="BI71">
        <v>0.5</v>
      </c>
      <c r="BJ71" t="s">
        <v>1319</v>
      </c>
      <c r="BK71" t="s">
        <v>2</v>
      </c>
      <c r="BL71">
        <v>107</v>
      </c>
    </row>
    <row r="72" spans="1:64" ht="14.45" customHeight="1">
      <c r="A72" s="155"/>
      <c r="B72" s="30">
        <f t="shared" si="0"/>
        <v>108</v>
      </c>
      <c r="C72" s="30" t="s">
        <v>2179</v>
      </c>
      <c r="D72" s="30"/>
      <c r="E72" s="30" t="s">
        <v>2180</v>
      </c>
      <c r="F72" s="157" t="s">
        <v>2186</v>
      </c>
      <c r="G72" s="30" t="s">
        <v>1300</v>
      </c>
      <c r="H72" s="30"/>
      <c r="I72" s="30"/>
      <c r="J72" s="30"/>
      <c r="K72" s="30" t="s">
        <v>2184</v>
      </c>
      <c r="L72" s="30" t="s">
        <v>2180</v>
      </c>
      <c r="M72" s="30" t="s">
        <v>2180</v>
      </c>
      <c r="N72" s="30"/>
      <c r="P72" s="30"/>
      <c r="Q72" s="30"/>
      <c r="R72" s="30"/>
      <c r="S72" s="30"/>
      <c r="T72" s="31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 t="str">
        <f t="shared" si="1"/>
        <v>SP_MB33_C           KS_CPL_A</v>
      </c>
      <c r="AG72" s="30" t="s">
        <v>2182</v>
      </c>
      <c r="AH72">
        <v>3</v>
      </c>
      <c r="AI72">
        <v>108</v>
      </c>
      <c r="AJ72" t="s">
        <v>1320</v>
      </c>
      <c r="AK72" t="s">
        <v>19</v>
      </c>
      <c r="AL72" t="s">
        <v>19</v>
      </c>
      <c r="AM72" t="s">
        <v>1299</v>
      </c>
      <c r="AN72">
        <v>354</v>
      </c>
      <c r="AO72" t="s">
        <v>1300</v>
      </c>
      <c r="AP72">
        <v>1</v>
      </c>
      <c r="AQ72" t="s">
        <v>1072</v>
      </c>
      <c r="AR72" t="s">
        <v>19</v>
      </c>
      <c r="AS72" t="s">
        <v>19</v>
      </c>
      <c r="AT72" t="s">
        <v>19</v>
      </c>
      <c r="AU72" t="s">
        <v>55</v>
      </c>
      <c r="AV72" t="s">
        <v>55</v>
      </c>
      <c r="AW72" t="s">
        <v>54</v>
      </c>
      <c r="AX72" t="s">
        <v>56</v>
      </c>
      <c r="AY72">
        <v>17</v>
      </c>
      <c r="AZ72" t="s">
        <v>57</v>
      </c>
      <c r="BA72" t="s">
        <v>30</v>
      </c>
      <c r="BB72" t="s">
        <v>19</v>
      </c>
      <c r="BC72" t="s">
        <v>1221</v>
      </c>
      <c r="BD72" t="s">
        <v>1115</v>
      </c>
      <c r="BE72" t="s">
        <v>19</v>
      </c>
      <c r="BF72" t="s">
        <v>19</v>
      </c>
      <c r="BG72">
        <v>475</v>
      </c>
      <c r="BH72" t="s">
        <v>1094</v>
      </c>
      <c r="BI72">
        <v>1.5</v>
      </c>
      <c r="BJ72" t="s">
        <v>1301</v>
      </c>
      <c r="BK72" t="s">
        <v>2</v>
      </c>
      <c r="BL72">
        <v>108</v>
      </c>
    </row>
    <row r="73" spans="1:64" ht="14.45" customHeight="1">
      <c r="A73" s="155"/>
      <c r="B73" s="30">
        <f t="shared" si="0"/>
        <v>109</v>
      </c>
      <c r="C73" s="30" t="s">
        <v>2179</v>
      </c>
      <c r="D73" s="30"/>
      <c r="E73" s="30" t="s">
        <v>2180</v>
      </c>
      <c r="F73" s="157" t="s">
        <v>2186</v>
      </c>
      <c r="G73" s="30" t="s">
        <v>1185</v>
      </c>
      <c r="H73" s="30"/>
      <c r="I73" s="30"/>
      <c r="J73" s="30"/>
      <c r="K73" s="30" t="s">
        <v>2184</v>
      </c>
      <c r="L73" s="30" t="s">
        <v>2180</v>
      </c>
      <c r="M73" s="30" t="s">
        <v>2180</v>
      </c>
      <c r="N73" s="30"/>
      <c r="P73" s="30"/>
      <c r="Q73" s="30"/>
      <c r="R73" s="30"/>
      <c r="S73" s="30"/>
      <c r="T73" s="31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 t="str">
        <f t="shared" si="1"/>
        <v>SP_MB34_B1          KS_CPR_B</v>
      </c>
      <c r="AG73" s="30" t="s">
        <v>2182</v>
      </c>
      <c r="AH73">
        <v>3</v>
      </c>
      <c r="AI73">
        <v>109</v>
      </c>
      <c r="AJ73" t="s">
        <v>1321</v>
      </c>
      <c r="AK73" t="s">
        <v>19</v>
      </c>
      <c r="AL73" t="s">
        <v>19</v>
      </c>
      <c r="AM73" t="s">
        <v>1184</v>
      </c>
      <c r="AN73">
        <v>335</v>
      </c>
      <c r="AO73" t="s">
        <v>1185</v>
      </c>
      <c r="AP73">
        <v>1</v>
      </c>
      <c r="AQ73" t="s">
        <v>1186</v>
      </c>
      <c r="AR73" t="s">
        <v>19</v>
      </c>
      <c r="AS73" t="s">
        <v>19</v>
      </c>
      <c r="AT73" t="s">
        <v>19</v>
      </c>
      <c r="AU73" t="s">
        <v>96</v>
      </c>
      <c r="AV73" t="s">
        <v>96</v>
      </c>
      <c r="AW73" t="s">
        <v>100</v>
      </c>
      <c r="AX73" t="s">
        <v>101</v>
      </c>
      <c r="AY73">
        <v>15</v>
      </c>
      <c r="AZ73" t="s">
        <v>102</v>
      </c>
      <c r="BA73" t="s">
        <v>30</v>
      </c>
      <c r="BB73" t="s">
        <v>19</v>
      </c>
      <c r="BC73" t="s">
        <v>1187</v>
      </c>
      <c r="BD73" t="s">
        <v>1115</v>
      </c>
      <c r="BE73" t="s">
        <v>19</v>
      </c>
      <c r="BF73" t="s">
        <v>19</v>
      </c>
      <c r="BG73">
        <v>1270</v>
      </c>
      <c r="BH73" t="s">
        <v>1094</v>
      </c>
      <c r="BI73">
        <v>2.5</v>
      </c>
      <c r="BJ73" t="s">
        <v>1188</v>
      </c>
      <c r="BK73" t="s">
        <v>2</v>
      </c>
      <c r="BL73">
        <v>109</v>
      </c>
    </row>
    <row r="74" spans="1:64" ht="14.45" customHeight="1">
      <c r="A74" s="155"/>
      <c r="B74" s="30">
        <f t="shared" ref="B74:B137" si="10">AI74</f>
        <v>112</v>
      </c>
      <c r="C74" s="30" t="s">
        <v>2179</v>
      </c>
      <c r="D74" s="30"/>
      <c r="E74" s="30" t="s">
        <v>2180</v>
      </c>
      <c r="F74" s="157" t="s">
        <v>2186</v>
      </c>
      <c r="G74" s="30" t="s">
        <v>1300</v>
      </c>
      <c r="H74" s="30"/>
      <c r="I74" s="30"/>
      <c r="J74" s="30"/>
      <c r="K74" s="30" t="s">
        <v>2184</v>
      </c>
      <c r="L74" s="30" t="s">
        <v>2180</v>
      </c>
      <c r="M74" s="30" t="s">
        <v>2180</v>
      </c>
      <c r="N74" s="30"/>
      <c r="P74" s="30"/>
      <c r="Q74" s="30"/>
      <c r="R74" s="30"/>
      <c r="S74" s="30"/>
      <c r="T74" s="31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 t="str">
        <f t="shared" ref="AF74:AF137" si="11" xml:space="preserve"> AO74 &amp; REPT(" ",20-LEN(AO74)) &amp; AX74</f>
        <v>DSO03A              SP_MB33_C</v>
      </c>
      <c r="AG74" s="30" t="s">
        <v>2182</v>
      </c>
      <c r="AH74">
        <v>3</v>
      </c>
      <c r="AI74">
        <v>112</v>
      </c>
      <c r="AJ74" t="s">
        <v>1322</v>
      </c>
      <c r="AK74" t="s">
        <v>19</v>
      </c>
      <c r="AL74" t="s">
        <v>224</v>
      </c>
      <c r="AM74" t="s">
        <v>224</v>
      </c>
      <c r="AN74" t="s">
        <v>223</v>
      </c>
      <c r="AO74" t="s">
        <v>225</v>
      </c>
      <c r="AP74">
        <v>4</v>
      </c>
      <c r="AQ74" t="s">
        <v>226</v>
      </c>
      <c r="AR74" t="s">
        <v>45</v>
      </c>
      <c r="AS74" t="s">
        <v>19</v>
      </c>
      <c r="AT74" t="s">
        <v>19</v>
      </c>
      <c r="AU74" t="s">
        <v>19</v>
      </c>
      <c r="AV74" t="s">
        <v>1299</v>
      </c>
      <c r="AW74">
        <v>354</v>
      </c>
      <c r="AX74" t="s">
        <v>1300</v>
      </c>
      <c r="AY74">
        <v>1</v>
      </c>
      <c r="AZ74" t="s">
        <v>1072</v>
      </c>
      <c r="BA74" t="s">
        <v>19</v>
      </c>
      <c r="BB74" t="s">
        <v>19</v>
      </c>
      <c r="BC74" t="s">
        <v>1121</v>
      </c>
      <c r="BD74" t="s">
        <v>1115</v>
      </c>
      <c r="BE74" t="s">
        <v>19</v>
      </c>
      <c r="BF74" t="s">
        <v>19</v>
      </c>
      <c r="BG74">
        <v>310</v>
      </c>
      <c r="BH74" t="s">
        <v>1094</v>
      </c>
      <c r="BI74">
        <v>0.5</v>
      </c>
      <c r="BJ74" t="s">
        <v>1301</v>
      </c>
      <c r="BK74" t="s">
        <v>2</v>
      </c>
      <c r="BL74">
        <v>112</v>
      </c>
    </row>
    <row r="75" spans="1:64" ht="14.45" customHeight="1">
      <c r="A75" s="155"/>
      <c r="B75" s="30">
        <f t="shared" si="10"/>
        <v>113</v>
      </c>
      <c r="C75" s="30" t="s">
        <v>2179</v>
      </c>
      <c r="D75" s="30"/>
      <c r="E75" s="30" t="s">
        <v>2180</v>
      </c>
      <c r="F75" s="157" t="s">
        <v>2186</v>
      </c>
      <c r="G75" s="30" t="s">
        <v>1300</v>
      </c>
      <c r="H75" s="30"/>
      <c r="I75" s="30"/>
      <c r="J75" s="30"/>
      <c r="K75" s="30" t="s">
        <v>2184</v>
      </c>
      <c r="L75" s="30" t="s">
        <v>2180</v>
      </c>
      <c r="M75" s="30" t="s">
        <v>2180</v>
      </c>
      <c r="N75" s="30"/>
      <c r="P75" s="30"/>
      <c r="Q75" s="30"/>
      <c r="R75" s="30"/>
      <c r="S75" s="30"/>
      <c r="T75" s="31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 t="str">
        <f t="shared" si="11"/>
        <v>DSO03A              SP_MB33_C</v>
      </c>
      <c r="AG75" s="30" t="s">
        <v>2182</v>
      </c>
      <c r="AH75">
        <v>3</v>
      </c>
      <c r="AI75">
        <v>113</v>
      </c>
      <c r="AJ75" t="s">
        <v>1323</v>
      </c>
      <c r="AK75" t="s">
        <v>19</v>
      </c>
      <c r="AL75" t="s">
        <v>224</v>
      </c>
      <c r="AM75" t="s">
        <v>224</v>
      </c>
      <c r="AN75" t="s">
        <v>223</v>
      </c>
      <c r="AO75" t="s">
        <v>225</v>
      </c>
      <c r="AP75">
        <v>5</v>
      </c>
      <c r="AQ75" t="s">
        <v>226</v>
      </c>
      <c r="AR75" t="s">
        <v>45</v>
      </c>
      <c r="AS75" t="s">
        <v>19</v>
      </c>
      <c r="AT75" t="s">
        <v>19</v>
      </c>
      <c r="AU75" t="s">
        <v>19</v>
      </c>
      <c r="AV75" t="s">
        <v>1299</v>
      </c>
      <c r="AW75">
        <v>354</v>
      </c>
      <c r="AX75" t="s">
        <v>1300</v>
      </c>
      <c r="AY75">
        <v>1</v>
      </c>
      <c r="AZ75" t="s">
        <v>1072</v>
      </c>
      <c r="BA75" t="s">
        <v>19</v>
      </c>
      <c r="BB75" t="s">
        <v>19</v>
      </c>
      <c r="BC75" t="s">
        <v>1121</v>
      </c>
      <c r="BD75" t="s">
        <v>1115</v>
      </c>
      <c r="BE75" t="s">
        <v>19</v>
      </c>
      <c r="BF75" t="s">
        <v>19</v>
      </c>
      <c r="BG75">
        <v>310</v>
      </c>
      <c r="BH75" t="s">
        <v>1094</v>
      </c>
      <c r="BI75">
        <v>0.5</v>
      </c>
      <c r="BJ75" t="s">
        <v>1301</v>
      </c>
      <c r="BK75" t="s">
        <v>2</v>
      </c>
      <c r="BL75">
        <v>113</v>
      </c>
    </row>
    <row r="76" spans="1:64" ht="14.45" customHeight="1">
      <c r="A76" s="155"/>
      <c r="B76" s="30">
        <f t="shared" si="10"/>
        <v>115</v>
      </c>
      <c r="C76" s="30" t="s">
        <v>2179</v>
      </c>
      <c r="D76" s="30"/>
      <c r="E76" s="30" t="s">
        <v>2180</v>
      </c>
      <c r="F76" s="31"/>
      <c r="G76" s="30"/>
      <c r="H76" s="30"/>
      <c r="I76" s="30"/>
      <c r="J76" s="30"/>
      <c r="K76" s="30"/>
      <c r="L76" s="30" t="s">
        <v>2180</v>
      </c>
      <c r="M76" s="30" t="s">
        <v>2180</v>
      </c>
      <c r="N76" s="30"/>
      <c r="P76" s="30"/>
      <c r="Q76" s="30"/>
      <c r="R76" s="30"/>
      <c r="S76" s="30"/>
      <c r="T76" s="31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 t="s">
        <v>2188</v>
      </c>
      <c r="AF76" s="30" t="str">
        <f t="shared" si="11"/>
        <v>DSO03A              KS_CPL_B</v>
      </c>
      <c r="AG76" s="30" t="s">
        <v>2182</v>
      </c>
      <c r="AH76">
        <v>3</v>
      </c>
      <c r="AI76">
        <v>115</v>
      </c>
      <c r="AJ76" t="s">
        <v>1324</v>
      </c>
      <c r="AK76" t="s">
        <v>19</v>
      </c>
      <c r="AL76" t="s">
        <v>224</v>
      </c>
      <c r="AM76" t="s">
        <v>224</v>
      </c>
      <c r="AN76" t="s">
        <v>223</v>
      </c>
      <c r="AO76" t="s">
        <v>225</v>
      </c>
      <c r="AP76">
        <v>6</v>
      </c>
      <c r="AQ76" t="s">
        <v>226</v>
      </c>
      <c r="AR76" t="s">
        <v>45</v>
      </c>
      <c r="AS76" t="s">
        <v>19</v>
      </c>
      <c r="AT76" t="s">
        <v>19</v>
      </c>
      <c r="AU76" t="s">
        <v>55</v>
      </c>
      <c r="AV76" t="s">
        <v>55</v>
      </c>
      <c r="AW76" t="s">
        <v>63</v>
      </c>
      <c r="AX76" t="s">
        <v>64</v>
      </c>
      <c r="AY76">
        <v>11</v>
      </c>
      <c r="AZ76" t="s">
        <v>65</v>
      </c>
      <c r="BA76" t="s">
        <v>35</v>
      </c>
      <c r="BB76" t="s">
        <v>19</v>
      </c>
      <c r="BC76" t="s">
        <v>1325</v>
      </c>
      <c r="BD76" t="s">
        <v>1115</v>
      </c>
      <c r="BE76" t="s">
        <v>1326</v>
      </c>
      <c r="BF76" t="s">
        <v>1327</v>
      </c>
      <c r="BG76">
        <v>525</v>
      </c>
      <c r="BH76" t="s">
        <v>1173</v>
      </c>
      <c r="BI76">
        <v>0.35</v>
      </c>
      <c r="BJ76" t="s">
        <v>1328</v>
      </c>
      <c r="BK76" t="s">
        <v>2</v>
      </c>
      <c r="BL76">
        <v>115</v>
      </c>
    </row>
    <row r="77" spans="1:64" ht="14.45" customHeight="1">
      <c r="A77" s="155"/>
      <c r="B77" s="30">
        <f t="shared" si="10"/>
        <v>116</v>
      </c>
      <c r="C77" s="30" t="s">
        <v>2179</v>
      </c>
      <c r="D77" s="30"/>
      <c r="E77" s="30" t="s">
        <v>2180</v>
      </c>
      <c r="F77" s="31"/>
      <c r="G77" s="30"/>
      <c r="H77" s="30"/>
      <c r="I77" s="30"/>
      <c r="J77" s="30"/>
      <c r="K77" s="30"/>
      <c r="L77" s="30" t="s">
        <v>2180</v>
      </c>
      <c r="M77" s="30" t="s">
        <v>2180</v>
      </c>
      <c r="N77" s="30"/>
      <c r="P77" s="30"/>
      <c r="Q77" s="30"/>
      <c r="R77" s="30"/>
      <c r="S77" s="30"/>
      <c r="T77" s="31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 t="s">
        <v>2188</v>
      </c>
      <c r="AF77" s="30" t="str">
        <f t="shared" si="11"/>
        <v>DSO03A              KS_CPL_B</v>
      </c>
      <c r="AG77" s="30" t="s">
        <v>2182</v>
      </c>
      <c r="AH77">
        <v>3</v>
      </c>
      <c r="AI77">
        <v>116</v>
      </c>
      <c r="AJ77" t="s">
        <v>1329</v>
      </c>
      <c r="AK77" t="s">
        <v>19</v>
      </c>
      <c r="AL77" t="s">
        <v>224</v>
      </c>
      <c r="AM77" t="s">
        <v>224</v>
      </c>
      <c r="AN77" t="s">
        <v>223</v>
      </c>
      <c r="AO77" t="s">
        <v>225</v>
      </c>
      <c r="AP77">
        <v>14</v>
      </c>
      <c r="AQ77" t="s">
        <v>226</v>
      </c>
      <c r="AR77" t="s">
        <v>45</v>
      </c>
      <c r="AS77" t="s">
        <v>19</v>
      </c>
      <c r="AT77" t="s">
        <v>19</v>
      </c>
      <c r="AU77" t="s">
        <v>55</v>
      </c>
      <c r="AV77" t="s">
        <v>55</v>
      </c>
      <c r="AW77" t="s">
        <v>63</v>
      </c>
      <c r="AX77" t="s">
        <v>64</v>
      </c>
      <c r="AY77">
        <v>12</v>
      </c>
      <c r="AZ77" t="s">
        <v>65</v>
      </c>
      <c r="BA77" t="s">
        <v>35</v>
      </c>
      <c r="BB77" t="s">
        <v>19</v>
      </c>
      <c r="BC77" t="s">
        <v>1325</v>
      </c>
      <c r="BD77" t="s">
        <v>1115</v>
      </c>
      <c r="BE77" t="s">
        <v>1326</v>
      </c>
      <c r="BF77" t="s">
        <v>1137</v>
      </c>
      <c r="BG77">
        <v>525</v>
      </c>
      <c r="BH77" t="s">
        <v>1138</v>
      </c>
      <c r="BI77">
        <v>0.35</v>
      </c>
      <c r="BJ77" t="s">
        <v>1330</v>
      </c>
      <c r="BK77" t="s">
        <v>2</v>
      </c>
      <c r="BL77">
        <v>116</v>
      </c>
    </row>
    <row r="78" spans="1:64" ht="14.45" customHeight="1">
      <c r="A78" s="155"/>
      <c r="B78" s="30">
        <f t="shared" si="10"/>
        <v>117</v>
      </c>
      <c r="C78" s="30" t="s">
        <v>2179</v>
      </c>
      <c r="D78" s="30"/>
      <c r="E78" s="30" t="s">
        <v>2180</v>
      </c>
      <c r="F78" s="31"/>
      <c r="G78" s="30"/>
      <c r="H78" s="30"/>
      <c r="I78" s="30"/>
      <c r="J78" s="30"/>
      <c r="K78" s="30"/>
      <c r="L78" s="30" t="s">
        <v>2180</v>
      </c>
      <c r="M78" s="30" t="s">
        <v>2180</v>
      </c>
      <c r="N78" s="30"/>
      <c r="P78" s="30"/>
      <c r="Q78" s="30"/>
      <c r="R78" s="30"/>
      <c r="S78" s="30"/>
      <c r="T78" s="31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 t="str">
        <f t="shared" si="11"/>
        <v>DSO03A              KS_CPL_D</v>
      </c>
      <c r="AG78" s="30" t="s">
        <v>2182</v>
      </c>
      <c r="AH78">
        <v>3</v>
      </c>
      <c r="AI78">
        <v>117</v>
      </c>
      <c r="AJ78" t="s">
        <v>1331</v>
      </c>
      <c r="AK78" t="s">
        <v>19</v>
      </c>
      <c r="AL78" t="s">
        <v>224</v>
      </c>
      <c r="AM78" t="s">
        <v>224</v>
      </c>
      <c r="AN78" t="s">
        <v>223</v>
      </c>
      <c r="AO78" t="s">
        <v>225</v>
      </c>
      <c r="AP78">
        <v>8</v>
      </c>
      <c r="AQ78" t="s">
        <v>226</v>
      </c>
      <c r="AR78" t="s">
        <v>48</v>
      </c>
      <c r="AS78" t="s">
        <v>19</v>
      </c>
      <c r="AT78" t="s">
        <v>19</v>
      </c>
      <c r="AU78" t="s">
        <v>55</v>
      </c>
      <c r="AV78" t="s">
        <v>55</v>
      </c>
      <c r="AW78" t="s">
        <v>75</v>
      </c>
      <c r="AX78" t="s">
        <v>76</v>
      </c>
      <c r="AY78">
        <v>14</v>
      </c>
      <c r="AZ78" t="s">
        <v>77</v>
      </c>
      <c r="BA78" t="s">
        <v>40</v>
      </c>
      <c r="BB78" t="s">
        <v>19</v>
      </c>
      <c r="BC78" t="s">
        <v>1332</v>
      </c>
      <c r="BD78" t="s">
        <v>1115</v>
      </c>
      <c r="BE78" t="s">
        <v>19</v>
      </c>
      <c r="BF78" t="s">
        <v>19</v>
      </c>
      <c r="BG78">
        <v>360</v>
      </c>
      <c r="BH78" t="s">
        <v>1160</v>
      </c>
      <c r="BI78">
        <v>0.13</v>
      </c>
      <c r="BJ78" t="s">
        <v>1333</v>
      </c>
      <c r="BK78" t="s">
        <v>2</v>
      </c>
      <c r="BL78">
        <v>117</v>
      </c>
    </row>
    <row r="79" spans="1:64" ht="14.45" customHeight="1">
      <c r="A79" s="155"/>
      <c r="B79" s="30">
        <f t="shared" si="10"/>
        <v>118</v>
      </c>
      <c r="C79" s="30" t="s">
        <v>2179</v>
      </c>
      <c r="D79" s="30"/>
      <c r="E79" s="30" t="s">
        <v>2180</v>
      </c>
      <c r="F79" s="31"/>
      <c r="G79" s="30"/>
      <c r="H79" s="30"/>
      <c r="I79" s="30"/>
      <c r="J79" s="30"/>
      <c r="K79" s="30"/>
      <c r="L79" s="30" t="s">
        <v>2180</v>
      </c>
      <c r="M79" s="30" t="s">
        <v>2180</v>
      </c>
      <c r="N79" s="30"/>
      <c r="P79" s="30"/>
      <c r="Q79" s="30"/>
      <c r="R79" s="30"/>
      <c r="S79" s="30"/>
      <c r="T79" s="31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 t="str">
        <f t="shared" si="11"/>
        <v>STO52A              DSO03A</v>
      </c>
      <c r="AG79" s="30" t="s">
        <v>2182</v>
      </c>
      <c r="AH79">
        <v>3</v>
      </c>
      <c r="AI79">
        <v>118</v>
      </c>
      <c r="AJ79" t="s">
        <v>1334</v>
      </c>
      <c r="AK79" t="s">
        <v>19</v>
      </c>
      <c r="AL79" t="s">
        <v>199</v>
      </c>
      <c r="AM79" t="s">
        <v>199</v>
      </c>
      <c r="AN79" t="s">
        <v>198</v>
      </c>
      <c r="AO79" t="s">
        <v>200</v>
      </c>
      <c r="AP79" t="s">
        <v>1335</v>
      </c>
      <c r="AQ79" t="s">
        <v>201</v>
      </c>
      <c r="AR79" t="s">
        <v>43</v>
      </c>
      <c r="AS79" t="s">
        <v>19</v>
      </c>
      <c r="AT79" t="s">
        <v>19</v>
      </c>
      <c r="AU79" t="s">
        <v>224</v>
      </c>
      <c r="AV79" t="s">
        <v>224</v>
      </c>
      <c r="AW79" t="s">
        <v>223</v>
      </c>
      <c r="AX79" t="s">
        <v>225</v>
      </c>
      <c r="AY79">
        <v>16</v>
      </c>
      <c r="AZ79" t="s">
        <v>226</v>
      </c>
      <c r="BA79" t="s">
        <v>45</v>
      </c>
      <c r="BB79" t="s">
        <v>19</v>
      </c>
      <c r="BC79" t="s">
        <v>1261</v>
      </c>
      <c r="BD79" t="s">
        <v>1115</v>
      </c>
      <c r="BE79" t="s">
        <v>19</v>
      </c>
      <c r="BF79" t="s">
        <v>19</v>
      </c>
      <c r="BG79">
        <v>2313</v>
      </c>
      <c r="BH79" t="s">
        <v>1218</v>
      </c>
      <c r="BI79">
        <v>0.5</v>
      </c>
      <c r="BJ79" t="s">
        <v>1336</v>
      </c>
      <c r="BK79" t="s">
        <v>2</v>
      </c>
      <c r="BL79">
        <v>118</v>
      </c>
    </row>
    <row r="80" spans="1:64" ht="14.45" customHeight="1">
      <c r="A80" s="155"/>
      <c r="B80" s="30">
        <f t="shared" si="10"/>
        <v>129</v>
      </c>
      <c r="C80" s="30" t="s">
        <v>2179</v>
      </c>
      <c r="D80" s="30"/>
      <c r="E80" s="30" t="s">
        <v>2180</v>
      </c>
      <c r="F80" s="31"/>
      <c r="G80" s="30"/>
      <c r="H80" s="30"/>
      <c r="I80" s="30"/>
      <c r="J80" s="30"/>
      <c r="K80" s="30"/>
      <c r="L80" s="30" t="s">
        <v>2180</v>
      </c>
      <c r="M80" s="30" t="s">
        <v>2180</v>
      </c>
      <c r="N80" s="30"/>
      <c r="P80" s="30"/>
      <c r="Q80" s="30"/>
      <c r="R80" s="30"/>
      <c r="S80" s="30"/>
      <c r="T80" s="31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 t="str">
        <f t="shared" si="11"/>
        <v>DSO03A              KS_CPL_D</v>
      </c>
      <c r="AG80" s="30" t="s">
        <v>2182</v>
      </c>
      <c r="AH80">
        <v>3</v>
      </c>
      <c r="AI80">
        <v>129</v>
      </c>
      <c r="AJ80" t="s">
        <v>1337</v>
      </c>
      <c r="AK80" t="s">
        <v>19</v>
      </c>
      <c r="AL80" t="s">
        <v>224</v>
      </c>
      <c r="AM80" t="s">
        <v>224</v>
      </c>
      <c r="AN80" t="s">
        <v>223</v>
      </c>
      <c r="AO80" t="s">
        <v>225</v>
      </c>
      <c r="AP80">
        <v>15</v>
      </c>
      <c r="AQ80" t="s">
        <v>226</v>
      </c>
      <c r="AR80" t="s">
        <v>45</v>
      </c>
      <c r="AS80" t="s">
        <v>19</v>
      </c>
      <c r="AT80" t="s">
        <v>19</v>
      </c>
      <c r="AU80" t="s">
        <v>55</v>
      </c>
      <c r="AV80" t="s">
        <v>55</v>
      </c>
      <c r="AW80" t="s">
        <v>75</v>
      </c>
      <c r="AX80" t="s">
        <v>76</v>
      </c>
      <c r="AY80">
        <v>13</v>
      </c>
      <c r="AZ80" t="s">
        <v>77</v>
      </c>
      <c r="BA80" t="s">
        <v>35</v>
      </c>
      <c r="BB80" t="s">
        <v>19</v>
      </c>
      <c r="BC80" t="s">
        <v>1338</v>
      </c>
      <c r="BD80" t="s">
        <v>1115</v>
      </c>
      <c r="BE80" t="s">
        <v>19</v>
      </c>
      <c r="BF80" t="s">
        <v>19</v>
      </c>
      <c r="BG80">
        <v>360</v>
      </c>
      <c r="BH80" t="s">
        <v>1339</v>
      </c>
      <c r="BI80">
        <v>0.35</v>
      </c>
      <c r="BJ80" t="s">
        <v>1340</v>
      </c>
      <c r="BK80" t="s">
        <v>2</v>
      </c>
      <c r="BL80">
        <v>129</v>
      </c>
    </row>
    <row r="81" spans="1:64" ht="14.45" customHeight="1">
      <c r="A81" s="155"/>
      <c r="B81" s="30">
        <f t="shared" si="10"/>
        <v>139</v>
      </c>
      <c r="C81" s="30" t="s">
        <v>2179</v>
      </c>
      <c r="D81" s="30"/>
      <c r="E81" s="30" t="s">
        <v>2194</v>
      </c>
      <c r="F81" s="31" t="s">
        <v>2186</v>
      </c>
      <c r="G81" s="30" t="s">
        <v>1344</v>
      </c>
      <c r="H81" s="30"/>
      <c r="I81" s="30"/>
      <c r="J81" s="30"/>
      <c r="K81" s="30" t="s">
        <v>2184</v>
      </c>
      <c r="L81" s="30" t="s">
        <v>2187</v>
      </c>
      <c r="M81" s="30" t="s">
        <v>2180</v>
      </c>
      <c r="N81" s="30"/>
      <c r="P81" s="30"/>
      <c r="Q81" s="30"/>
      <c r="R81" s="30"/>
      <c r="S81" s="30"/>
      <c r="T81" s="31"/>
      <c r="U81" s="30"/>
      <c r="V81" s="30"/>
      <c r="W81" s="30"/>
      <c r="X81" s="30"/>
      <c r="Y81" s="30"/>
      <c r="Z81" s="30"/>
      <c r="AA81" s="30"/>
      <c r="AB81" s="30"/>
      <c r="AC81" s="30"/>
      <c r="AD81" s="30"/>
      <c r="AE81" s="30" t="s">
        <v>2188</v>
      </c>
      <c r="AF81" s="30" t="str">
        <f t="shared" si="11"/>
        <v>SP_CANL_MIB         KS_CPM_E</v>
      </c>
      <c r="AG81" s="30" t="s">
        <v>2189</v>
      </c>
      <c r="AH81">
        <v>3</v>
      </c>
      <c r="AI81">
        <v>139</v>
      </c>
      <c r="AJ81" t="s">
        <v>1341</v>
      </c>
      <c r="AK81" t="s">
        <v>19</v>
      </c>
      <c r="AL81" t="s">
        <v>19</v>
      </c>
      <c r="AM81" t="s">
        <v>1342</v>
      </c>
      <c r="AN81" t="s">
        <v>1343</v>
      </c>
      <c r="AO81" t="s">
        <v>1344</v>
      </c>
      <c r="AP81">
        <v>1</v>
      </c>
      <c r="AQ81" t="s">
        <v>1345</v>
      </c>
      <c r="AR81" t="s">
        <v>19</v>
      </c>
      <c r="AS81" t="s">
        <v>19</v>
      </c>
      <c r="AT81" t="s">
        <v>19</v>
      </c>
      <c r="AU81" t="s">
        <v>81</v>
      </c>
      <c r="AV81" t="s">
        <v>81</v>
      </c>
      <c r="AW81" t="s">
        <v>88</v>
      </c>
      <c r="AX81" t="s">
        <v>89</v>
      </c>
      <c r="AY81">
        <v>6</v>
      </c>
      <c r="AZ81" t="s">
        <v>90</v>
      </c>
      <c r="BA81" t="s">
        <v>35</v>
      </c>
      <c r="BB81" t="s">
        <v>19</v>
      </c>
      <c r="BC81" t="s">
        <v>1346</v>
      </c>
      <c r="BD81" t="s">
        <v>1115</v>
      </c>
      <c r="BE81" t="s">
        <v>1347</v>
      </c>
      <c r="BF81" t="s">
        <v>1137</v>
      </c>
      <c r="BG81">
        <v>586</v>
      </c>
      <c r="BH81" t="s">
        <v>1138</v>
      </c>
      <c r="BI81">
        <v>0.35</v>
      </c>
      <c r="BJ81" t="s">
        <v>1348</v>
      </c>
      <c r="BK81" t="s">
        <v>2</v>
      </c>
      <c r="BL81">
        <v>139</v>
      </c>
    </row>
    <row r="82" spans="1:64" ht="14.45" customHeight="1">
      <c r="A82" s="155"/>
      <c r="B82" s="30">
        <f t="shared" si="10"/>
        <v>140</v>
      </c>
      <c r="C82" s="30" t="s">
        <v>2179</v>
      </c>
      <c r="D82" s="30"/>
      <c r="E82" s="30" t="s">
        <v>2180</v>
      </c>
      <c r="F82" s="31"/>
      <c r="G82" s="30"/>
      <c r="H82" s="30"/>
      <c r="I82" s="30"/>
      <c r="J82" s="30"/>
      <c r="K82" s="30"/>
      <c r="L82" s="30" t="s">
        <v>2180</v>
      </c>
      <c r="M82" s="30" t="s">
        <v>2180</v>
      </c>
      <c r="N82" s="30"/>
      <c r="P82" s="30"/>
      <c r="Q82" s="30"/>
      <c r="R82" s="30"/>
      <c r="S82" s="30"/>
      <c r="T82" s="31"/>
      <c r="U82" s="30"/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 t="str">
        <f t="shared" si="11"/>
        <v>MIB_E               KS_CPM_E</v>
      </c>
      <c r="AG82" s="30" t="s">
        <v>2182</v>
      </c>
      <c r="AH82">
        <v>3</v>
      </c>
      <c r="AI82">
        <v>140</v>
      </c>
      <c r="AJ82" t="s">
        <v>1349</v>
      </c>
      <c r="AK82" t="s">
        <v>19</v>
      </c>
      <c r="AL82" t="s">
        <v>249</v>
      </c>
      <c r="AM82" t="s">
        <v>250</v>
      </c>
      <c r="AN82" t="s">
        <v>272</v>
      </c>
      <c r="AO82" t="s">
        <v>273</v>
      </c>
      <c r="AP82">
        <v>8</v>
      </c>
      <c r="AQ82" t="s">
        <v>264</v>
      </c>
      <c r="AR82" t="s">
        <v>46</v>
      </c>
      <c r="AS82" t="s">
        <v>19</v>
      </c>
      <c r="AT82" t="s">
        <v>19</v>
      </c>
      <c r="AU82" t="s">
        <v>81</v>
      </c>
      <c r="AV82" t="s">
        <v>81</v>
      </c>
      <c r="AW82" t="s">
        <v>88</v>
      </c>
      <c r="AX82" t="s">
        <v>89</v>
      </c>
      <c r="AY82">
        <v>8</v>
      </c>
      <c r="AZ82" t="s">
        <v>90</v>
      </c>
      <c r="BA82" t="s">
        <v>35</v>
      </c>
      <c r="BB82" t="s">
        <v>19</v>
      </c>
      <c r="BC82" t="s">
        <v>1350</v>
      </c>
      <c r="BD82" t="s">
        <v>1115</v>
      </c>
      <c r="BE82" t="s">
        <v>19</v>
      </c>
      <c r="BF82" t="s">
        <v>19</v>
      </c>
      <c r="BG82">
        <v>1115</v>
      </c>
      <c r="BH82" t="s">
        <v>1351</v>
      </c>
      <c r="BI82">
        <v>0.35</v>
      </c>
      <c r="BJ82" t="s">
        <v>1352</v>
      </c>
      <c r="BK82" t="s">
        <v>2</v>
      </c>
      <c r="BL82">
        <v>140</v>
      </c>
    </row>
    <row r="83" spans="1:64" ht="14.45" customHeight="1">
      <c r="A83" s="155"/>
      <c r="B83" s="30">
        <f t="shared" si="10"/>
        <v>142</v>
      </c>
      <c r="C83" s="30" t="s">
        <v>2179</v>
      </c>
      <c r="D83" s="30"/>
      <c r="E83" s="30" t="s">
        <v>2194</v>
      </c>
      <c r="F83" s="31" t="s">
        <v>2186</v>
      </c>
      <c r="G83" s="30" t="s">
        <v>1356</v>
      </c>
      <c r="H83" s="30"/>
      <c r="I83" s="30"/>
      <c r="J83" s="30"/>
      <c r="K83" s="30" t="s">
        <v>2184</v>
      </c>
      <c r="L83" s="30" t="s">
        <v>2187</v>
      </c>
      <c r="M83" s="30" t="s">
        <v>2180</v>
      </c>
      <c r="N83" s="30"/>
      <c r="P83" s="30"/>
      <c r="Q83" s="30"/>
      <c r="R83" s="30"/>
      <c r="S83" s="30"/>
      <c r="T83" s="31"/>
      <c r="U83" s="30"/>
      <c r="V83" s="30"/>
      <c r="W83" s="30"/>
      <c r="X83" s="30"/>
      <c r="Y83" s="30"/>
      <c r="Z83" s="30"/>
      <c r="AA83" s="30"/>
      <c r="AB83" s="30"/>
      <c r="AC83" s="30"/>
      <c r="AD83" s="30"/>
      <c r="AE83" s="30" t="s">
        <v>2188</v>
      </c>
      <c r="AF83" s="30" t="str">
        <f t="shared" si="11"/>
        <v>SP_CANH_MIB         KS_CPM_E</v>
      </c>
      <c r="AG83" s="30" t="s">
        <v>2189</v>
      </c>
      <c r="AH83">
        <v>3</v>
      </c>
      <c r="AI83">
        <v>142</v>
      </c>
      <c r="AJ83" t="s">
        <v>1353</v>
      </c>
      <c r="AK83" t="s">
        <v>19</v>
      </c>
      <c r="AL83" t="s">
        <v>19</v>
      </c>
      <c r="AM83" t="s">
        <v>1354</v>
      </c>
      <c r="AN83" t="s">
        <v>1355</v>
      </c>
      <c r="AO83" t="s">
        <v>1356</v>
      </c>
      <c r="AP83">
        <v>1</v>
      </c>
      <c r="AQ83" t="s">
        <v>1260</v>
      </c>
      <c r="AR83" t="s">
        <v>19</v>
      </c>
      <c r="AS83" t="s">
        <v>19</v>
      </c>
      <c r="AT83" t="s">
        <v>19</v>
      </c>
      <c r="AU83" t="s">
        <v>81</v>
      </c>
      <c r="AV83" t="s">
        <v>81</v>
      </c>
      <c r="AW83" t="s">
        <v>88</v>
      </c>
      <c r="AX83" t="s">
        <v>89</v>
      </c>
      <c r="AY83">
        <v>7</v>
      </c>
      <c r="AZ83" t="s">
        <v>90</v>
      </c>
      <c r="BA83" t="s">
        <v>35</v>
      </c>
      <c r="BB83" t="s">
        <v>19</v>
      </c>
      <c r="BC83" t="s">
        <v>1346</v>
      </c>
      <c r="BD83" t="s">
        <v>1115</v>
      </c>
      <c r="BE83" t="s">
        <v>1347</v>
      </c>
      <c r="BF83" t="s">
        <v>1357</v>
      </c>
      <c r="BG83">
        <v>586</v>
      </c>
      <c r="BH83" t="s">
        <v>1102</v>
      </c>
      <c r="BI83">
        <v>0.35</v>
      </c>
      <c r="BJ83" t="s">
        <v>1358</v>
      </c>
      <c r="BK83" t="s">
        <v>2</v>
      </c>
      <c r="BL83">
        <v>142</v>
      </c>
    </row>
    <row r="84" spans="1:64" ht="14.45" customHeight="1">
      <c r="A84" s="155"/>
      <c r="B84" s="30">
        <f t="shared" si="10"/>
        <v>143</v>
      </c>
      <c r="C84" s="30" t="s">
        <v>2179</v>
      </c>
      <c r="D84" s="30"/>
      <c r="E84" s="30" t="s">
        <v>2195</v>
      </c>
      <c r="F84" s="31"/>
      <c r="G84" s="30"/>
      <c r="H84" s="30"/>
      <c r="I84" s="30"/>
      <c r="J84" s="30"/>
      <c r="K84" s="30"/>
      <c r="L84" s="30" t="s">
        <v>2181</v>
      </c>
      <c r="M84" s="30" t="s">
        <v>2181</v>
      </c>
      <c r="N84" s="30"/>
      <c r="P84" s="30"/>
      <c r="Q84" s="30"/>
      <c r="R84" s="30"/>
      <c r="S84" s="30"/>
      <c r="T84" s="31">
        <v>980017977</v>
      </c>
      <c r="U84" s="30"/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 t="str">
        <f t="shared" si="11"/>
        <v>AWO01A              KS_CPR_J</v>
      </c>
      <c r="AG84" s="30" t="s">
        <v>2189</v>
      </c>
      <c r="AH84">
        <v>3</v>
      </c>
      <c r="AI84">
        <v>143</v>
      </c>
      <c r="AJ84" t="s">
        <v>1359</v>
      </c>
      <c r="AK84" t="s">
        <v>19</v>
      </c>
      <c r="AL84" t="s">
        <v>161</v>
      </c>
      <c r="AM84" t="s">
        <v>162</v>
      </c>
      <c r="AN84" t="s">
        <v>160</v>
      </c>
      <c r="AO84" t="s">
        <v>163</v>
      </c>
      <c r="AP84">
        <v>1</v>
      </c>
      <c r="AQ84" t="s">
        <v>164</v>
      </c>
      <c r="AR84" t="s">
        <v>37</v>
      </c>
      <c r="AS84" t="s">
        <v>19</v>
      </c>
      <c r="AT84" t="s">
        <v>19</v>
      </c>
      <c r="AU84" t="s">
        <v>96</v>
      </c>
      <c r="AV84" t="s">
        <v>96</v>
      </c>
      <c r="AW84" t="s">
        <v>107</v>
      </c>
      <c r="AX84" t="s">
        <v>108</v>
      </c>
      <c r="AY84">
        <v>1</v>
      </c>
      <c r="AZ84" t="s">
        <v>109</v>
      </c>
      <c r="BA84" t="s">
        <v>37</v>
      </c>
      <c r="BB84" t="s">
        <v>19</v>
      </c>
      <c r="BC84" t="s">
        <v>1360</v>
      </c>
      <c r="BD84" t="s">
        <v>1361</v>
      </c>
      <c r="BE84" t="s">
        <v>1362</v>
      </c>
      <c r="BF84" t="s">
        <v>1363</v>
      </c>
      <c r="BG84">
        <v>1713</v>
      </c>
      <c r="BH84" t="s">
        <v>1364</v>
      </c>
      <c r="BI84">
        <v>0.37</v>
      </c>
      <c r="BJ84" t="s">
        <v>1365</v>
      </c>
      <c r="BK84" t="s">
        <v>2</v>
      </c>
      <c r="BL84">
        <v>143</v>
      </c>
    </row>
    <row r="85" spans="1:64" ht="14.45" customHeight="1">
      <c r="A85" s="155"/>
      <c r="B85" s="30">
        <f t="shared" si="10"/>
        <v>144</v>
      </c>
      <c r="C85" s="30" t="s">
        <v>2179</v>
      </c>
      <c r="D85" s="30"/>
      <c r="E85" s="30" t="s">
        <v>2195</v>
      </c>
      <c r="F85" s="31"/>
      <c r="G85" s="30"/>
      <c r="H85" s="30"/>
      <c r="I85" s="30"/>
      <c r="J85" s="30"/>
      <c r="K85" s="30"/>
      <c r="L85" s="30" t="s">
        <v>2181</v>
      </c>
      <c r="M85" s="30" t="s">
        <v>2181</v>
      </c>
      <c r="N85" s="30"/>
      <c r="P85" s="30"/>
      <c r="Q85" s="30"/>
      <c r="R85" s="30"/>
      <c r="S85" s="30"/>
      <c r="T85" s="31">
        <v>980017977</v>
      </c>
      <c r="U85" s="30"/>
      <c r="V85" s="30"/>
      <c r="W85" s="30"/>
      <c r="X85" s="30"/>
      <c r="Y85" s="30"/>
      <c r="Z85" s="30"/>
      <c r="AA85" s="30"/>
      <c r="AB85" s="30"/>
      <c r="AC85" s="30"/>
      <c r="AD85" s="30"/>
      <c r="AE85" s="30"/>
      <c r="AF85" s="30" t="str">
        <f t="shared" si="11"/>
        <v>AWO01A              KS_CPR_J</v>
      </c>
      <c r="AG85" s="30" t="s">
        <v>2189</v>
      </c>
      <c r="AH85">
        <v>3</v>
      </c>
      <c r="AI85">
        <v>144</v>
      </c>
      <c r="AJ85" t="s">
        <v>1366</v>
      </c>
      <c r="AK85" t="s">
        <v>19</v>
      </c>
      <c r="AL85" t="s">
        <v>161</v>
      </c>
      <c r="AM85" t="s">
        <v>162</v>
      </c>
      <c r="AN85" t="s">
        <v>160</v>
      </c>
      <c r="AO85" t="s">
        <v>163</v>
      </c>
      <c r="AP85">
        <v>2</v>
      </c>
      <c r="AQ85" t="s">
        <v>164</v>
      </c>
      <c r="AR85" t="s">
        <v>49</v>
      </c>
      <c r="AS85" t="s">
        <v>19</v>
      </c>
      <c r="AT85" t="s">
        <v>19</v>
      </c>
      <c r="AU85" t="s">
        <v>96</v>
      </c>
      <c r="AV85" t="s">
        <v>96</v>
      </c>
      <c r="AW85" t="s">
        <v>107</v>
      </c>
      <c r="AX85" t="s">
        <v>108</v>
      </c>
      <c r="AY85">
        <v>2</v>
      </c>
      <c r="AZ85" t="s">
        <v>109</v>
      </c>
      <c r="BA85" t="s">
        <v>49</v>
      </c>
      <c r="BB85" t="s">
        <v>19</v>
      </c>
      <c r="BC85" t="s">
        <v>1360</v>
      </c>
      <c r="BD85" t="s">
        <v>49</v>
      </c>
      <c r="BE85" t="s">
        <v>1362</v>
      </c>
      <c r="BF85" t="s">
        <v>1367</v>
      </c>
      <c r="BG85">
        <v>1713</v>
      </c>
      <c r="BH85" t="s">
        <v>1111</v>
      </c>
      <c r="BI85">
        <v>0.5</v>
      </c>
      <c r="BJ85" t="s">
        <v>1368</v>
      </c>
      <c r="BK85" t="s">
        <v>2</v>
      </c>
      <c r="BL85">
        <v>144</v>
      </c>
    </row>
    <row r="86" spans="1:64" ht="14.45" customHeight="1">
      <c r="A86" s="155">
        <v>501.50400000000002</v>
      </c>
      <c r="B86" s="30">
        <f t="shared" si="10"/>
        <v>151</v>
      </c>
      <c r="C86" s="30" t="s">
        <v>2179</v>
      </c>
      <c r="D86" s="30"/>
      <c r="E86" s="30" t="s">
        <v>2180</v>
      </c>
      <c r="F86" s="31"/>
      <c r="G86" s="30"/>
      <c r="H86" s="30"/>
      <c r="I86" s="30"/>
      <c r="J86" s="30"/>
      <c r="K86" s="30"/>
      <c r="L86" s="30" t="s">
        <v>2180</v>
      </c>
      <c r="M86" s="30" t="s">
        <v>2180</v>
      </c>
      <c r="N86" s="30"/>
      <c r="P86" s="30"/>
      <c r="Q86" s="30"/>
      <c r="R86" s="30"/>
      <c r="S86" s="30"/>
      <c r="T86" s="31"/>
      <c r="U86" s="30"/>
      <c r="V86" s="30"/>
      <c r="W86" s="30"/>
      <c r="X86" s="30"/>
      <c r="Y86" s="30"/>
      <c r="Z86" s="30"/>
      <c r="AA86" s="30"/>
      <c r="AB86" s="30"/>
      <c r="AC86" s="30"/>
      <c r="AD86" s="30"/>
      <c r="AE86" s="30"/>
      <c r="AF86" s="30" t="str">
        <f t="shared" si="11"/>
        <v>SM2SM_2             KS_CPL_D</v>
      </c>
      <c r="AG86" s="30" t="s">
        <v>2182</v>
      </c>
      <c r="AH86">
        <v>3</v>
      </c>
      <c r="AI86">
        <v>151</v>
      </c>
      <c r="AJ86" t="s">
        <v>1369</v>
      </c>
      <c r="AK86" t="s">
        <v>19</v>
      </c>
      <c r="AL86" t="s">
        <v>132</v>
      </c>
      <c r="AM86" t="s">
        <v>132</v>
      </c>
      <c r="AN86" t="s">
        <v>131</v>
      </c>
      <c r="AO86" t="s">
        <v>133</v>
      </c>
      <c r="AP86">
        <v>16</v>
      </c>
      <c r="AQ86" s="153" t="s">
        <v>134</v>
      </c>
      <c r="AR86" t="s">
        <v>47</v>
      </c>
      <c r="AS86" t="s">
        <v>19</v>
      </c>
      <c r="AT86" t="s">
        <v>19</v>
      </c>
      <c r="AU86" t="s">
        <v>55</v>
      </c>
      <c r="AV86" t="s">
        <v>55</v>
      </c>
      <c r="AW86" t="s">
        <v>75</v>
      </c>
      <c r="AX86" t="s">
        <v>76</v>
      </c>
      <c r="AY86">
        <v>12</v>
      </c>
      <c r="AZ86" t="s">
        <v>77</v>
      </c>
      <c r="BA86" t="s">
        <v>36</v>
      </c>
      <c r="BB86" t="s">
        <v>19</v>
      </c>
      <c r="BC86" t="s">
        <v>1370</v>
      </c>
      <c r="BD86" t="s">
        <v>1115</v>
      </c>
      <c r="BE86" t="s">
        <v>19</v>
      </c>
      <c r="BF86" t="s">
        <v>19</v>
      </c>
      <c r="BG86" s="161">
        <v>1671</v>
      </c>
      <c r="BH86" t="s">
        <v>1371</v>
      </c>
      <c r="BI86">
        <v>0.5</v>
      </c>
      <c r="BJ86" t="s">
        <v>1372</v>
      </c>
      <c r="BK86" t="s">
        <v>2</v>
      </c>
      <c r="BL86">
        <v>151</v>
      </c>
    </row>
    <row r="87" spans="1:64" ht="14.45" customHeight="1">
      <c r="A87" s="155">
        <v>501.50400000000002</v>
      </c>
      <c r="B87" s="30">
        <f t="shared" si="10"/>
        <v>152</v>
      </c>
      <c r="C87" s="30" t="s">
        <v>2179</v>
      </c>
      <c r="D87" s="30"/>
      <c r="E87" s="30" t="s">
        <v>2180</v>
      </c>
      <c r="F87" s="31"/>
      <c r="G87" s="30"/>
      <c r="H87" s="30"/>
      <c r="I87" s="30"/>
      <c r="J87" s="30"/>
      <c r="K87" s="30"/>
      <c r="L87" s="30" t="s">
        <v>2180</v>
      </c>
      <c r="M87" s="30" t="s">
        <v>2180</v>
      </c>
      <c r="N87" s="30"/>
      <c r="P87" s="30"/>
      <c r="Q87" s="30"/>
      <c r="R87" s="30"/>
      <c r="S87" s="30"/>
      <c r="T87" s="31"/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 t="str">
        <f t="shared" si="11"/>
        <v>SM2SM_2             KS_CPL_C</v>
      </c>
      <c r="AG87" s="30" t="s">
        <v>2182</v>
      </c>
      <c r="AH87">
        <v>3</v>
      </c>
      <c r="AI87">
        <v>152</v>
      </c>
      <c r="AJ87" t="s">
        <v>1373</v>
      </c>
      <c r="AK87" t="s">
        <v>19</v>
      </c>
      <c r="AL87" t="s">
        <v>132</v>
      </c>
      <c r="AM87" t="s">
        <v>132</v>
      </c>
      <c r="AN87" t="s">
        <v>131</v>
      </c>
      <c r="AO87" t="s">
        <v>133</v>
      </c>
      <c r="AP87">
        <v>17</v>
      </c>
      <c r="AQ87" s="153" t="s">
        <v>134</v>
      </c>
      <c r="AR87" t="s">
        <v>46</v>
      </c>
      <c r="AS87" t="s">
        <v>19</v>
      </c>
      <c r="AT87" t="s">
        <v>19</v>
      </c>
      <c r="AU87" t="s">
        <v>55</v>
      </c>
      <c r="AV87" t="s">
        <v>55</v>
      </c>
      <c r="AW87" t="s">
        <v>69</v>
      </c>
      <c r="AX87" t="s">
        <v>70</v>
      </c>
      <c r="AY87">
        <v>16</v>
      </c>
      <c r="AZ87" t="s">
        <v>71</v>
      </c>
      <c r="BA87" t="s">
        <v>31</v>
      </c>
      <c r="BB87" t="s">
        <v>19</v>
      </c>
      <c r="BC87" t="s">
        <v>1374</v>
      </c>
      <c r="BD87" t="s">
        <v>1115</v>
      </c>
      <c r="BE87" t="s">
        <v>19</v>
      </c>
      <c r="BF87" t="s">
        <v>19</v>
      </c>
      <c r="BG87" s="161">
        <v>1671</v>
      </c>
      <c r="BH87" t="s">
        <v>1375</v>
      </c>
      <c r="BI87">
        <v>0.35</v>
      </c>
      <c r="BJ87" t="s">
        <v>1376</v>
      </c>
      <c r="BK87" t="s">
        <v>2</v>
      </c>
      <c r="BL87">
        <v>152</v>
      </c>
    </row>
    <row r="88" spans="1:64" ht="14.45" customHeight="1">
      <c r="A88" s="155">
        <v>501</v>
      </c>
      <c r="B88" s="30">
        <f t="shared" si="10"/>
        <v>153</v>
      </c>
      <c r="C88" s="30" t="s">
        <v>2179</v>
      </c>
      <c r="D88" s="30"/>
      <c r="E88" s="35" t="s">
        <v>2180</v>
      </c>
      <c r="F88" s="31"/>
      <c r="G88" s="30"/>
      <c r="H88" s="30"/>
      <c r="I88" s="30"/>
      <c r="J88" s="30"/>
      <c r="K88" s="30"/>
      <c r="L88" s="30" t="s">
        <v>2180</v>
      </c>
      <c r="M88" s="35" t="s">
        <v>2180</v>
      </c>
      <c r="N88" s="30"/>
      <c r="P88" s="30"/>
      <c r="Q88" s="30"/>
      <c r="R88" s="30"/>
      <c r="S88" s="30"/>
      <c r="T88" s="31"/>
      <c r="U88" s="30"/>
      <c r="V88" s="30"/>
      <c r="W88" s="30"/>
      <c r="X88" s="30"/>
      <c r="Y88" s="30"/>
      <c r="Z88" s="30"/>
      <c r="AA88" s="30"/>
      <c r="AB88" s="30"/>
      <c r="AC88" s="30"/>
      <c r="AD88" s="30"/>
      <c r="AE88" s="30"/>
      <c r="AF88" s="30" t="str">
        <f t="shared" si="11"/>
        <v>SM2SM_2             KS_CPR_A</v>
      </c>
      <c r="AG88" s="30" t="s">
        <v>2182</v>
      </c>
      <c r="AH88">
        <v>3</v>
      </c>
      <c r="AI88">
        <v>153</v>
      </c>
      <c r="AJ88" t="s">
        <v>1377</v>
      </c>
      <c r="AK88" t="s">
        <v>19</v>
      </c>
      <c r="AL88" t="s">
        <v>132</v>
      </c>
      <c r="AM88" t="s">
        <v>132</v>
      </c>
      <c r="AN88" t="s">
        <v>131</v>
      </c>
      <c r="AO88" t="s">
        <v>133</v>
      </c>
      <c r="AP88">
        <v>13</v>
      </c>
      <c r="AQ88" s="153" t="s">
        <v>134</v>
      </c>
      <c r="AR88" t="s">
        <v>46</v>
      </c>
      <c r="AS88" t="s">
        <v>19</v>
      </c>
      <c r="AT88" t="s">
        <v>19</v>
      </c>
      <c r="AU88" t="s">
        <v>96</v>
      </c>
      <c r="AV88" t="s">
        <v>96</v>
      </c>
      <c r="AW88" t="s">
        <v>95</v>
      </c>
      <c r="AX88" t="s">
        <v>97</v>
      </c>
      <c r="AY88">
        <v>15</v>
      </c>
      <c r="AZ88" t="s">
        <v>98</v>
      </c>
      <c r="BA88" t="s">
        <v>27</v>
      </c>
      <c r="BB88" t="s">
        <v>19</v>
      </c>
      <c r="BC88" t="s">
        <v>1194</v>
      </c>
      <c r="BD88" t="s">
        <v>1115</v>
      </c>
      <c r="BE88" t="s">
        <v>19</v>
      </c>
      <c r="BF88" t="s">
        <v>19</v>
      </c>
      <c r="BG88" s="161">
        <v>1722</v>
      </c>
      <c r="BH88" t="s">
        <v>1195</v>
      </c>
      <c r="BI88">
        <v>0.35</v>
      </c>
      <c r="BJ88" t="s">
        <v>1378</v>
      </c>
      <c r="BK88" t="s">
        <v>2</v>
      </c>
      <c r="BL88">
        <v>153</v>
      </c>
    </row>
    <row r="89" spans="1:64" ht="14.45" customHeight="1">
      <c r="A89" s="155">
        <v>501</v>
      </c>
      <c r="B89" s="30">
        <f t="shared" si="10"/>
        <v>154</v>
      </c>
      <c r="C89" s="30" t="s">
        <v>2179</v>
      </c>
      <c r="D89" s="30"/>
      <c r="E89" s="35" t="s">
        <v>2180</v>
      </c>
      <c r="F89" s="31"/>
      <c r="G89" s="30"/>
      <c r="H89" s="30"/>
      <c r="I89" s="30"/>
      <c r="J89" s="30"/>
      <c r="K89" s="30"/>
      <c r="L89" s="30" t="s">
        <v>2180</v>
      </c>
      <c r="M89" s="35" t="s">
        <v>2180</v>
      </c>
      <c r="N89" s="30"/>
      <c r="P89" s="30"/>
      <c r="Q89" s="30"/>
      <c r="R89" s="30"/>
      <c r="S89" s="30"/>
      <c r="T89" s="31"/>
      <c r="U89" s="30"/>
      <c r="V89" s="30"/>
      <c r="W89" s="30"/>
      <c r="X89" s="30"/>
      <c r="Y89" s="30"/>
      <c r="Z89" s="30"/>
      <c r="AA89" s="30"/>
      <c r="AB89" s="30"/>
      <c r="AC89" s="30"/>
      <c r="AD89" s="30"/>
      <c r="AE89" s="30"/>
      <c r="AF89" s="30" t="str">
        <f t="shared" si="11"/>
        <v>SM2SM_2             KS_CPR_A</v>
      </c>
      <c r="AG89" s="30" t="s">
        <v>2182</v>
      </c>
      <c r="AH89">
        <v>3</v>
      </c>
      <c r="AI89">
        <v>154</v>
      </c>
      <c r="AJ89" t="s">
        <v>1379</v>
      </c>
      <c r="AK89" t="s">
        <v>19</v>
      </c>
      <c r="AL89" t="s">
        <v>132</v>
      </c>
      <c r="AM89" t="s">
        <v>132</v>
      </c>
      <c r="AN89" t="s">
        <v>131</v>
      </c>
      <c r="AO89" t="s">
        <v>133</v>
      </c>
      <c r="AP89">
        <v>14</v>
      </c>
      <c r="AQ89" s="153" t="s">
        <v>134</v>
      </c>
      <c r="AR89" t="s">
        <v>46</v>
      </c>
      <c r="AS89" t="s">
        <v>19</v>
      </c>
      <c r="AT89" t="s">
        <v>19</v>
      </c>
      <c r="AU89" t="s">
        <v>96</v>
      </c>
      <c r="AV89" t="s">
        <v>96</v>
      </c>
      <c r="AW89" t="s">
        <v>95</v>
      </c>
      <c r="AX89" t="s">
        <v>97</v>
      </c>
      <c r="AY89">
        <v>7</v>
      </c>
      <c r="AZ89" t="s">
        <v>98</v>
      </c>
      <c r="BA89" t="s">
        <v>35</v>
      </c>
      <c r="BB89" t="s">
        <v>19</v>
      </c>
      <c r="BC89" t="s">
        <v>1380</v>
      </c>
      <c r="BD89" t="s">
        <v>1115</v>
      </c>
      <c r="BE89" t="s">
        <v>19</v>
      </c>
      <c r="BF89" t="s">
        <v>19</v>
      </c>
      <c r="BG89" s="161">
        <v>1722</v>
      </c>
      <c r="BH89" t="s">
        <v>1381</v>
      </c>
      <c r="BI89">
        <v>0.35</v>
      </c>
      <c r="BJ89" t="s">
        <v>1382</v>
      </c>
      <c r="BK89" t="s">
        <v>2</v>
      </c>
      <c r="BL89">
        <v>154</v>
      </c>
    </row>
    <row r="90" spans="1:64" ht="14.45" customHeight="1">
      <c r="A90" s="155">
        <v>501</v>
      </c>
      <c r="B90" s="30">
        <f t="shared" si="10"/>
        <v>155</v>
      </c>
      <c r="C90" s="30" t="s">
        <v>2179</v>
      </c>
      <c r="D90" s="30"/>
      <c r="E90" s="30" t="s">
        <v>2180</v>
      </c>
      <c r="F90" s="31" t="s">
        <v>2183</v>
      </c>
      <c r="G90" s="34" t="s">
        <v>1240</v>
      </c>
      <c r="H90" s="30"/>
      <c r="I90" s="30"/>
      <c r="J90" s="30"/>
      <c r="K90" s="30" t="s">
        <v>2184</v>
      </c>
      <c r="L90" s="30" t="s">
        <v>2180</v>
      </c>
      <c r="M90" s="30" t="s">
        <v>2180</v>
      </c>
      <c r="N90" s="30"/>
      <c r="P90" s="30"/>
      <c r="Q90" s="30"/>
      <c r="R90" s="30"/>
      <c r="S90" s="30"/>
      <c r="T90" s="31"/>
      <c r="U90" s="30"/>
      <c r="V90" s="30"/>
      <c r="W90" s="30"/>
      <c r="X90" s="30"/>
      <c r="Y90" s="30"/>
      <c r="Z90" s="30"/>
      <c r="AA90" s="30"/>
      <c r="AB90" s="30"/>
      <c r="AC90" s="30"/>
      <c r="AD90" s="30"/>
      <c r="AE90" s="30"/>
      <c r="AF90" s="30" t="str">
        <f t="shared" si="11"/>
        <v>SM2SM_2             SP_MB31_B2</v>
      </c>
      <c r="AG90" s="30" t="s">
        <v>2182</v>
      </c>
      <c r="AH90">
        <v>3</v>
      </c>
      <c r="AI90">
        <v>155</v>
      </c>
      <c r="AJ90" t="s">
        <v>1383</v>
      </c>
      <c r="AK90" t="s">
        <v>19</v>
      </c>
      <c r="AL90" t="s">
        <v>132</v>
      </c>
      <c r="AM90" t="s">
        <v>132</v>
      </c>
      <c r="AN90" t="s">
        <v>131</v>
      </c>
      <c r="AO90" t="s">
        <v>133</v>
      </c>
      <c r="AP90">
        <v>10</v>
      </c>
      <c r="AQ90" s="153" t="s">
        <v>134</v>
      </c>
      <c r="AR90" t="s">
        <v>47</v>
      </c>
      <c r="AS90" t="s">
        <v>19</v>
      </c>
      <c r="AT90" t="s">
        <v>19</v>
      </c>
      <c r="AU90" t="s">
        <v>19</v>
      </c>
      <c r="AV90" t="s">
        <v>1239</v>
      </c>
      <c r="AW90">
        <v>213</v>
      </c>
      <c r="AX90" t="s">
        <v>1240</v>
      </c>
      <c r="AY90">
        <v>1</v>
      </c>
      <c r="AZ90" t="s">
        <v>1241</v>
      </c>
      <c r="BA90" t="s">
        <v>19</v>
      </c>
      <c r="BB90" t="s">
        <v>19</v>
      </c>
      <c r="BC90" t="s">
        <v>1121</v>
      </c>
      <c r="BD90" t="s">
        <v>1115</v>
      </c>
      <c r="BE90" t="s">
        <v>19</v>
      </c>
      <c r="BF90" t="s">
        <v>19</v>
      </c>
      <c r="BG90" s="161">
        <v>885</v>
      </c>
      <c r="BH90" t="s">
        <v>1094</v>
      </c>
      <c r="BI90">
        <v>0.5</v>
      </c>
      <c r="BJ90" t="s">
        <v>1122</v>
      </c>
      <c r="BK90" t="s">
        <v>2</v>
      </c>
      <c r="BL90">
        <v>155</v>
      </c>
    </row>
    <row r="91" spans="1:64" ht="14.45" customHeight="1">
      <c r="A91" s="155">
        <v>501.50400000000002</v>
      </c>
      <c r="B91" s="30">
        <f t="shared" si="10"/>
        <v>157</v>
      </c>
      <c r="C91" s="30" t="s">
        <v>2179</v>
      </c>
      <c r="D91" s="30"/>
      <c r="E91" s="30" t="s">
        <v>2180</v>
      </c>
      <c r="F91" s="31"/>
      <c r="G91" s="30"/>
      <c r="H91" s="30"/>
      <c r="I91" s="30"/>
      <c r="J91" s="30"/>
      <c r="K91" s="30"/>
      <c r="L91" s="30" t="s">
        <v>2180</v>
      </c>
      <c r="M91" s="30" t="s">
        <v>2180</v>
      </c>
      <c r="N91" s="30"/>
      <c r="P91" s="30"/>
      <c r="Q91" s="30"/>
      <c r="R91" s="30"/>
      <c r="S91" s="30"/>
      <c r="T91" s="31"/>
      <c r="U91" s="30"/>
      <c r="V91" s="30"/>
      <c r="W91" s="30"/>
      <c r="X91" s="30"/>
      <c r="Y91" s="30"/>
      <c r="Z91" s="30"/>
      <c r="AA91" s="30"/>
      <c r="AB91" s="30"/>
      <c r="AC91" s="30"/>
      <c r="AD91" s="30"/>
      <c r="AE91" s="30"/>
      <c r="AF91" s="30" t="str">
        <f t="shared" si="11"/>
        <v>SM2SM_2             KS_CPL_C</v>
      </c>
      <c r="AG91" s="30" t="s">
        <v>2182</v>
      </c>
      <c r="AH91">
        <v>3</v>
      </c>
      <c r="AI91">
        <v>157</v>
      </c>
      <c r="AJ91" t="s">
        <v>1384</v>
      </c>
      <c r="AK91" t="s">
        <v>19</v>
      </c>
      <c r="AL91" t="s">
        <v>132</v>
      </c>
      <c r="AM91" t="s">
        <v>132</v>
      </c>
      <c r="AN91" t="s">
        <v>131</v>
      </c>
      <c r="AO91" t="s">
        <v>133</v>
      </c>
      <c r="AP91">
        <v>7</v>
      </c>
      <c r="AQ91" s="153" t="s">
        <v>134</v>
      </c>
      <c r="AR91" t="s">
        <v>46</v>
      </c>
      <c r="AS91" t="s">
        <v>19</v>
      </c>
      <c r="AT91" t="s">
        <v>19</v>
      </c>
      <c r="AU91" t="s">
        <v>55</v>
      </c>
      <c r="AV91" t="s">
        <v>55</v>
      </c>
      <c r="AW91" t="s">
        <v>69</v>
      </c>
      <c r="AX91" t="s">
        <v>70</v>
      </c>
      <c r="AY91">
        <v>17</v>
      </c>
      <c r="AZ91" t="s">
        <v>71</v>
      </c>
      <c r="BA91" t="s">
        <v>27</v>
      </c>
      <c r="BB91" t="s">
        <v>19</v>
      </c>
      <c r="BC91" t="s">
        <v>1385</v>
      </c>
      <c r="BD91" t="s">
        <v>1115</v>
      </c>
      <c r="BE91" t="s">
        <v>19</v>
      </c>
      <c r="BF91" t="s">
        <v>19</v>
      </c>
      <c r="BG91" s="161">
        <v>1671</v>
      </c>
      <c r="BH91" t="s">
        <v>1386</v>
      </c>
      <c r="BI91">
        <v>0.35</v>
      </c>
      <c r="BJ91" t="s">
        <v>1387</v>
      </c>
      <c r="BK91" t="s">
        <v>2</v>
      </c>
      <c r="BL91">
        <v>157</v>
      </c>
    </row>
    <row r="92" spans="1:64" ht="14.45" customHeight="1">
      <c r="A92" s="155">
        <v>501</v>
      </c>
      <c r="B92" s="30">
        <f t="shared" si="10"/>
        <v>158</v>
      </c>
      <c r="C92" s="30" t="s">
        <v>2179</v>
      </c>
      <c r="D92" s="30"/>
      <c r="E92" s="30" t="s">
        <v>2180</v>
      </c>
      <c r="F92" s="31"/>
      <c r="G92" s="30"/>
      <c r="H92" s="30"/>
      <c r="I92" s="30"/>
      <c r="J92" s="30"/>
      <c r="K92" s="30"/>
      <c r="L92" s="30" t="s">
        <v>2180</v>
      </c>
      <c r="M92" s="30" t="s">
        <v>2180</v>
      </c>
      <c r="N92" s="30"/>
      <c r="P92" s="30"/>
      <c r="Q92" s="30"/>
      <c r="R92" s="30"/>
      <c r="S92" s="30"/>
      <c r="T92" s="31"/>
      <c r="U92" s="30"/>
      <c r="V92" s="30"/>
      <c r="W92" s="30"/>
      <c r="X92" s="30"/>
      <c r="Y92" s="30"/>
      <c r="Z92" s="30"/>
      <c r="AA92" s="30"/>
      <c r="AB92" s="30"/>
      <c r="AC92" s="30"/>
      <c r="AD92" s="30"/>
      <c r="AE92" s="30"/>
      <c r="AF92" s="30" t="str">
        <f t="shared" si="11"/>
        <v>SM2SM_2             KS_CPL_A</v>
      </c>
      <c r="AG92" s="30" t="s">
        <v>2182</v>
      </c>
      <c r="AH92">
        <v>3</v>
      </c>
      <c r="AI92">
        <v>158</v>
      </c>
      <c r="AJ92" t="s">
        <v>1388</v>
      </c>
      <c r="AK92" t="s">
        <v>19</v>
      </c>
      <c r="AL92" t="s">
        <v>132</v>
      </c>
      <c r="AM92" t="s">
        <v>132</v>
      </c>
      <c r="AN92" t="s">
        <v>131</v>
      </c>
      <c r="AO92" t="s">
        <v>133</v>
      </c>
      <c r="AP92">
        <v>8</v>
      </c>
      <c r="AQ92" s="153" t="s">
        <v>134</v>
      </c>
      <c r="AR92" t="s">
        <v>46</v>
      </c>
      <c r="AS92" t="s">
        <v>19</v>
      </c>
      <c r="AT92" t="s">
        <v>19</v>
      </c>
      <c r="AU92" t="s">
        <v>55</v>
      </c>
      <c r="AV92" t="s">
        <v>55</v>
      </c>
      <c r="AW92" t="s">
        <v>54</v>
      </c>
      <c r="AX92" t="s">
        <v>56</v>
      </c>
      <c r="AY92">
        <v>13</v>
      </c>
      <c r="AZ92" t="s">
        <v>57</v>
      </c>
      <c r="BA92" t="s">
        <v>35</v>
      </c>
      <c r="BB92" t="s">
        <v>19</v>
      </c>
      <c r="BC92" t="s">
        <v>1389</v>
      </c>
      <c r="BD92" t="s">
        <v>1115</v>
      </c>
      <c r="BE92" t="s">
        <v>19</v>
      </c>
      <c r="BF92" t="s">
        <v>19</v>
      </c>
      <c r="BG92" s="161">
        <v>1836</v>
      </c>
      <c r="BH92" t="s">
        <v>1390</v>
      </c>
      <c r="BI92">
        <v>0.35</v>
      </c>
      <c r="BJ92" t="s">
        <v>1391</v>
      </c>
      <c r="BK92" t="s">
        <v>2</v>
      </c>
      <c r="BL92">
        <v>158</v>
      </c>
    </row>
    <row r="93" spans="1:64" ht="14.45" customHeight="1">
      <c r="A93" s="155">
        <v>501</v>
      </c>
      <c r="B93" s="30">
        <f t="shared" si="10"/>
        <v>159</v>
      </c>
      <c r="C93" s="30" t="s">
        <v>2179</v>
      </c>
      <c r="D93" s="30"/>
      <c r="E93" s="30" t="s">
        <v>2180</v>
      </c>
      <c r="F93" s="31" t="s">
        <v>2183</v>
      </c>
      <c r="G93" s="34" t="s">
        <v>1240</v>
      </c>
      <c r="H93" s="30"/>
      <c r="I93" s="30"/>
      <c r="J93" s="30"/>
      <c r="K93" s="30" t="s">
        <v>2184</v>
      </c>
      <c r="L93" s="30" t="s">
        <v>2180</v>
      </c>
      <c r="M93" s="30" t="s">
        <v>2180</v>
      </c>
      <c r="N93" s="30"/>
      <c r="P93" s="30"/>
      <c r="Q93" s="30"/>
      <c r="R93" s="30"/>
      <c r="S93" s="30"/>
      <c r="T93" s="31"/>
      <c r="U93" s="30"/>
      <c r="V93" s="30"/>
      <c r="W93" s="30"/>
      <c r="X93" s="30"/>
      <c r="Y93" s="30"/>
      <c r="Z93" s="30"/>
      <c r="AA93" s="30"/>
      <c r="AB93" s="30"/>
      <c r="AC93" s="30"/>
      <c r="AD93" s="30"/>
      <c r="AE93" s="30"/>
      <c r="AF93" s="30" t="str">
        <f t="shared" si="11"/>
        <v>SM2SM_2             SP_MB31_B2</v>
      </c>
      <c r="AG93" s="30" t="s">
        <v>2182</v>
      </c>
      <c r="AH93">
        <v>3</v>
      </c>
      <c r="AI93">
        <v>159</v>
      </c>
      <c r="AJ93" t="s">
        <v>1392</v>
      </c>
      <c r="AK93" t="s">
        <v>19</v>
      </c>
      <c r="AL93" t="s">
        <v>132</v>
      </c>
      <c r="AM93" t="s">
        <v>132</v>
      </c>
      <c r="AN93" t="s">
        <v>131</v>
      </c>
      <c r="AO93" t="s">
        <v>133</v>
      </c>
      <c r="AP93">
        <v>11</v>
      </c>
      <c r="AQ93" s="153" t="s">
        <v>134</v>
      </c>
      <c r="AR93" t="s">
        <v>47</v>
      </c>
      <c r="AS93" t="s">
        <v>19</v>
      </c>
      <c r="AT93" t="s">
        <v>19</v>
      </c>
      <c r="AU93" t="s">
        <v>19</v>
      </c>
      <c r="AV93" t="s">
        <v>1239</v>
      </c>
      <c r="AW93">
        <v>213</v>
      </c>
      <c r="AX93" t="s">
        <v>1240</v>
      </c>
      <c r="AY93">
        <v>1</v>
      </c>
      <c r="AZ93" t="s">
        <v>1241</v>
      </c>
      <c r="BA93" t="s">
        <v>19</v>
      </c>
      <c r="BB93" t="s">
        <v>19</v>
      </c>
      <c r="BC93" t="s">
        <v>1121</v>
      </c>
      <c r="BD93" t="s">
        <v>1115</v>
      </c>
      <c r="BE93" t="s">
        <v>19</v>
      </c>
      <c r="BF93" t="s">
        <v>19</v>
      </c>
      <c r="BG93" s="161">
        <v>885</v>
      </c>
      <c r="BH93" t="s">
        <v>1094</v>
      </c>
      <c r="BI93">
        <v>0.5</v>
      </c>
      <c r="BJ93" t="s">
        <v>1122</v>
      </c>
      <c r="BK93" t="s">
        <v>2</v>
      </c>
      <c r="BL93">
        <v>159</v>
      </c>
    </row>
    <row r="94" spans="1:64" ht="14.45" customHeight="1">
      <c r="A94" s="155">
        <v>501.50400000000002</v>
      </c>
      <c r="B94" s="30">
        <f t="shared" si="10"/>
        <v>163</v>
      </c>
      <c r="C94" s="30" t="s">
        <v>2179</v>
      </c>
      <c r="D94" s="30"/>
      <c r="E94" s="30" t="s">
        <v>2180</v>
      </c>
      <c r="F94" s="31"/>
      <c r="G94" s="30"/>
      <c r="H94" s="30"/>
      <c r="I94" s="30"/>
      <c r="J94" s="30"/>
      <c r="K94" s="30"/>
      <c r="L94" s="30" t="s">
        <v>2180</v>
      </c>
      <c r="M94" s="30" t="s">
        <v>2180</v>
      </c>
      <c r="N94" s="30"/>
      <c r="P94" s="30"/>
      <c r="Q94" s="30"/>
      <c r="R94" s="30"/>
      <c r="S94" s="30"/>
      <c r="T94" s="31"/>
      <c r="U94" s="30"/>
      <c r="V94" s="30"/>
      <c r="W94" s="30"/>
      <c r="X94" s="30"/>
      <c r="Y94" s="30"/>
      <c r="Z94" s="30"/>
      <c r="AA94" s="30"/>
      <c r="AB94" s="30"/>
      <c r="AC94" s="30"/>
      <c r="AD94" s="30"/>
      <c r="AE94" s="30"/>
      <c r="AF94" s="30" t="str">
        <f t="shared" si="11"/>
        <v>SM2SM_2             KS_CPL_C</v>
      </c>
      <c r="AG94" s="30" t="s">
        <v>2182</v>
      </c>
      <c r="AH94">
        <v>3</v>
      </c>
      <c r="AI94">
        <v>163</v>
      </c>
      <c r="AJ94" t="s">
        <v>1393</v>
      </c>
      <c r="AK94" t="s">
        <v>19</v>
      </c>
      <c r="AL94" t="s">
        <v>132</v>
      </c>
      <c r="AM94" t="s">
        <v>132</v>
      </c>
      <c r="AN94" t="s">
        <v>131</v>
      </c>
      <c r="AO94" t="s">
        <v>133</v>
      </c>
      <c r="AP94">
        <v>3</v>
      </c>
      <c r="AQ94" s="153" t="s">
        <v>134</v>
      </c>
      <c r="AR94" t="s">
        <v>46</v>
      </c>
      <c r="AS94" t="s">
        <v>19</v>
      </c>
      <c r="AT94" t="s">
        <v>19</v>
      </c>
      <c r="AU94" t="s">
        <v>55</v>
      </c>
      <c r="AV94" t="s">
        <v>55</v>
      </c>
      <c r="AW94" t="s">
        <v>69</v>
      </c>
      <c r="AX94" t="s">
        <v>70</v>
      </c>
      <c r="AY94">
        <v>15</v>
      </c>
      <c r="AZ94" t="s">
        <v>71</v>
      </c>
      <c r="BA94" t="s">
        <v>27</v>
      </c>
      <c r="BB94" t="s">
        <v>19</v>
      </c>
      <c r="BC94" t="s">
        <v>1394</v>
      </c>
      <c r="BD94" t="s">
        <v>1115</v>
      </c>
      <c r="BE94" t="s">
        <v>19</v>
      </c>
      <c r="BF94" t="s">
        <v>19</v>
      </c>
      <c r="BG94" s="161">
        <v>1671</v>
      </c>
      <c r="BH94" t="s">
        <v>1395</v>
      </c>
      <c r="BI94">
        <v>0.35</v>
      </c>
      <c r="BJ94" t="s">
        <v>1396</v>
      </c>
      <c r="BK94" t="s">
        <v>2</v>
      </c>
      <c r="BL94">
        <v>163</v>
      </c>
    </row>
    <row r="95" spans="1:64" ht="14.45" customHeight="1">
      <c r="A95" s="155">
        <v>501</v>
      </c>
      <c r="B95" s="30">
        <f t="shared" si="10"/>
        <v>164</v>
      </c>
      <c r="C95" s="30" t="s">
        <v>2179</v>
      </c>
      <c r="D95" s="30"/>
      <c r="E95" s="30" t="s">
        <v>2180</v>
      </c>
      <c r="F95" s="31"/>
      <c r="G95" s="30"/>
      <c r="H95" s="30"/>
      <c r="I95" s="30"/>
      <c r="J95" s="30"/>
      <c r="K95" s="30"/>
      <c r="L95" s="30" t="s">
        <v>2180</v>
      </c>
      <c r="M95" s="30" t="s">
        <v>2180</v>
      </c>
      <c r="N95" s="30"/>
      <c r="P95" s="30"/>
      <c r="Q95" s="30"/>
      <c r="R95" s="30"/>
      <c r="S95" s="30"/>
      <c r="T95" s="31"/>
      <c r="U95" s="30"/>
      <c r="V95" s="30"/>
      <c r="W95" s="30"/>
      <c r="X95" s="30"/>
      <c r="Y95" s="30"/>
      <c r="Z95" s="30"/>
      <c r="AA95" s="30"/>
      <c r="AB95" s="30"/>
      <c r="AC95" s="30"/>
      <c r="AD95" s="30"/>
      <c r="AE95" s="30"/>
      <c r="AF95" s="30" t="str">
        <f t="shared" si="11"/>
        <v>SM2SM_2             KS_CPL_B</v>
      </c>
      <c r="AG95" s="30" t="s">
        <v>2182</v>
      </c>
      <c r="AH95">
        <v>3</v>
      </c>
      <c r="AI95">
        <v>164</v>
      </c>
      <c r="AJ95" t="s">
        <v>1397</v>
      </c>
      <c r="AK95" t="s">
        <v>19</v>
      </c>
      <c r="AL95" t="s">
        <v>132</v>
      </c>
      <c r="AM95" t="s">
        <v>132</v>
      </c>
      <c r="AN95" t="s">
        <v>131</v>
      </c>
      <c r="AO95" t="s">
        <v>133</v>
      </c>
      <c r="AP95">
        <v>4</v>
      </c>
      <c r="AQ95" s="153" t="s">
        <v>134</v>
      </c>
      <c r="AR95" t="s">
        <v>46</v>
      </c>
      <c r="AS95" t="s">
        <v>19</v>
      </c>
      <c r="AT95" t="s">
        <v>19</v>
      </c>
      <c r="AU95" t="s">
        <v>55</v>
      </c>
      <c r="AV95" t="s">
        <v>55</v>
      </c>
      <c r="AW95" t="s">
        <v>63</v>
      </c>
      <c r="AX95" t="s">
        <v>64</v>
      </c>
      <c r="AY95">
        <v>16</v>
      </c>
      <c r="AZ95" t="s">
        <v>65</v>
      </c>
      <c r="BA95" t="s">
        <v>31</v>
      </c>
      <c r="BB95" t="s">
        <v>19</v>
      </c>
      <c r="BC95" t="s">
        <v>1398</v>
      </c>
      <c r="BD95" t="s">
        <v>1115</v>
      </c>
      <c r="BE95" t="s">
        <v>19</v>
      </c>
      <c r="BF95" t="s">
        <v>19</v>
      </c>
      <c r="BG95" s="161">
        <v>1836</v>
      </c>
      <c r="BH95" t="s">
        <v>1399</v>
      </c>
      <c r="BI95">
        <v>0.35</v>
      </c>
      <c r="BJ95" t="s">
        <v>1400</v>
      </c>
      <c r="BK95" t="s">
        <v>2</v>
      </c>
      <c r="BL95">
        <v>164</v>
      </c>
    </row>
    <row r="96" spans="1:64" ht="14.45" customHeight="1">
      <c r="A96" s="155">
        <v>501.50400000000002</v>
      </c>
      <c r="B96" s="30">
        <f t="shared" si="10"/>
        <v>165</v>
      </c>
      <c r="C96" s="30" t="s">
        <v>2179</v>
      </c>
      <c r="D96" s="30"/>
      <c r="E96" s="35" t="s">
        <v>2180</v>
      </c>
      <c r="F96" s="31"/>
      <c r="G96" s="30"/>
      <c r="H96" s="30"/>
      <c r="I96" s="30"/>
      <c r="J96" s="30"/>
      <c r="K96" s="30"/>
      <c r="L96" s="30" t="s">
        <v>2180</v>
      </c>
      <c r="M96" s="30" t="s">
        <v>2180</v>
      </c>
      <c r="N96" s="30"/>
      <c r="P96" s="30"/>
      <c r="Q96" s="30"/>
      <c r="R96" s="30"/>
      <c r="S96" s="30"/>
      <c r="T96" s="31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 t="str">
        <f t="shared" si="11"/>
        <v>SM2SM_2             KS_CPL_C</v>
      </c>
      <c r="AG96" s="30" t="s">
        <v>2182</v>
      </c>
      <c r="AH96">
        <v>3</v>
      </c>
      <c r="AI96">
        <v>165</v>
      </c>
      <c r="AJ96" t="s">
        <v>1401</v>
      </c>
      <c r="AK96" t="s">
        <v>19</v>
      </c>
      <c r="AL96" t="s">
        <v>132</v>
      </c>
      <c r="AM96" t="s">
        <v>132</v>
      </c>
      <c r="AN96" t="s">
        <v>131</v>
      </c>
      <c r="AO96" t="s">
        <v>133</v>
      </c>
      <c r="AP96">
        <v>5</v>
      </c>
      <c r="AQ96" s="153" t="s">
        <v>134</v>
      </c>
      <c r="AR96" t="s">
        <v>41</v>
      </c>
      <c r="AS96" t="s">
        <v>19</v>
      </c>
      <c r="AT96" t="s">
        <v>19</v>
      </c>
      <c r="AU96" t="s">
        <v>55</v>
      </c>
      <c r="AV96" t="s">
        <v>55</v>
      </c>
      <c r="AW96" t="s">
        <v>69</v>
      </c>
      <c r="AX96" t="s">
        <v>70</v>
      </c>
      <c r="AY96">
        <v>8</v>
      </c>
      <c r="AZ96" t="s">
        <v>71</v>
      </c>
      <c r="BA96" t="s">
        <v>40</v>
      </c>
      <c r="BB96" t="s">
        <v>19</v>
      </c>
      <c r="BC96" t="s">
        <v>1402</v>
      </c>
      <c r="BD96" t="s">
        <v>1115</v>
      </c>
      <c r="BE96" t="s">
        <v>19</v>
      </c>
      <c r="BF96" t="s">
        <v>19</v>
      </c>
      <c r="BG96" s="161">
        <v>1671</v>
      </c>
      <c r="BH96" t="s">
        <v>1339</v>
      </c>
      <c r="BI96">
        <v>0.13</v>
      </c>
      <c r="BJ96" t="s">
        <v>1403</v>
      </c>
      <c r="BK96" t="s">
        <v>2</v>
      </c>
      <c r="BL96">
        <v>165</v>
      </c>
    </row>
    <row r="97" spans="1:66" ht="14.45" customHeight="1">
      <c r="A97" s="155">
        <v>501.50400000000002</v>
      </c>
      <c r="B97" s="30">
        <f t="shared" si="10"/>
        <v>166</v>
      </c>
      <c r="C97" s="30" t="s">
        <v>2179</v>
      </c>
      <c r="D97" s="30"/>
      <c r="E97" s="30" t="s">
        <v>2180</v>
      </c>
      <c r="F97" s="31"/>
      <c r="G97" s="30"/>
      <c r="H97" s="30"/>
      <c r="I97" s="30"/>
      <c r="J97" s="30"/>
      <c r="K97" s="30"/>
      <c r="L97" s="30" t="s">
        <v>2180</v>
      </c>
      <c r="M97" s="30" t="s">
        <v>2180</v>
      </c>
      <c r="N97" s="30"/>
      <c r="P97" s="30"/>
      <c r="Q97" s="30"/>
      <c r="R97" s="30"/>
      <c r="S97" s="30"/>
      <c r="T97" s="31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 t="str">
        <f t="shared" si="11"/>
        <v>SM2SM_2             KS_CPL_D</v>
      </c>
      <c r="AG97" s="30" t="s">
        <v>2182</v>
      </c>
      <c r="AH97">
        <v>3</v>
      </c>
      <c r="AI97">
        <v>166</v>
      </c>
      <c r="AJ97" t="s">
        <v>1404</v>
      </c>
      <c r="AK97" t="s">
        <v>19</v>
      </c>
      <c r="AL97" t="s">
        <v>132</v>
      </c>
      <c r="AM97" t="s">
        <v>132</v>
      </c>
      <c r="AN97" t="s">
        <v>131</v>
      </c>
      <c r="AO97" t="s">
        <v>133</v>
      </c>
      <c r="AP97">
        <v>6</v>
      </c>
      <c r="AQ97" s="153" t="s">
        <v>134</v>
      </c>
      <c r="AR97" t="s">
        <v>47</v>
      </c>
      <c r="AS97" t="s">
        <v>19</v>
      </c>
      <c r="AT97" t="s">
        <v>19</v>
      </c>
      <c r="AU97" t="s">
        <v>55</v>
      </c>
      <c r="AV97" t="s">
        <v>55</v>
      </c>
      <c r="AW97" t="s">
        <v>75</v>
      </c>
      <c r="AX97" t="s">
        <v>76</v>
      </c>
      <c r="AY97">
        <v>11</v>
      </c>
      <c r="AZ97" t="s">
        <v>77</v>
      </c>
      <c r="BA97" t="s">
        <v>36</v>
      </c>
      <c r="BB97" t="s">
        <v>19</v>
      </c>
      <c r="BC97" t="s">
        <v>1405</v>
      </c>
      <c r="BD97" t="s">
        <v>1115</v>
      </c>
      <c r="BE97" t="s">
        <v>19</v>
      </c>
      <c r="BF97" t="s">
        <v>19</v>
      </c>
      <c r="BG97" s="161">
        <v>1671</v>
      </c>
      <c r="BH97" t="s">
        <v>1199</v>
      </c>
      <c r="BI97">
        <v>0.5</v>
      </c>
      <c r="BJ97" t="s">
        <v>1406</v>
      </c>
      <c r="BK97" t="s">
        <v>2</v>
      </c>
      <c r="BL97">
        <v>166</v>
      </c>
    </row>
    <row r="98" spans="1:66" ht="14.45" customHeight="1">
      <c r="A98" s="155"/>
      <c r="B98" s="30">
        <f t="shared" si="10"/>
        <v>167</v>
      </c>
      <c r="C98" s="30" t="s">
        <v>2179</v>
      </c>
      <c r="D98" s="30"/>
      <c r="E98" s="30" t="s">
        <v>2180</v>
      </c>
      <c r="F98" s="31" t="s">
        <v>2183</v>
      </c>
      <c r="G98" s="30" t="s">
        <v>1410</v>
      </c>
      <c r="H98" s="30"/>
      <c r="I98" s="30" t="s">
        <v>2196</v>
      </c>
      <c r="J98" s="30"/>
      <c r="K98" s="30" t="s">
        <v>2184</v>
      </c>
      <c r="L98" s="30" t="s">
        <v>2180</v>
      </c>
      <c r="M98" s="30" t="s">
        <v>2180</v>
      </c>
      <c r="N98" s="30"/>
      <c r="P98" s="30"/>
      <c r="Q98" s="30"/>
      <c r="R98" s="30"/>
      <c r="S98" s="30"/>
      <c r="T98" s="31"/>
      <c r="U98" s="30"/>
      <c r="V98" s="30"/>
      <c r="W98" s="30"/>
      <c r="X98" s="30"/>
      <c r="Y98" s="30"/>
      <c r="Z98" s="30"/>
      <c r="AA98" s="30"/>
      <c r="AB98" s="30"/>
      <c r="AC98" s="30"/>
      <c r="AD98" s="30"/>
      <c r="AE98" s="30"/>
      <c r="AF98" s="30" t="str">
        <f t="shared" si="11"/>
        <v>SGKG102P_B          SP_ACLIN5</v>
      </c>
      <c r="AG98" s="30" t="s">
        <v>2182</v>
      </c>
      <c r="AH98">
        <v>3</v>
      </c>
      <c r="AI98">
        <v>167</v>
      </c>
      <c r="AJ98" t="s">
        <v>1407</v>
      </c>
      <c r="AK98" t="s">
        <v>19</v>
      </c>
      <c r="AL98" t="s">
        <v>241</v>
      </c>
      <c r="AM98" t="s">
        <v>241</v>
      </c>
      <c r="AN98" t="s">
        <v>240</v>
      </c>
      <c r="AO98" t="s">
        <v>242</v>
      </c>
      <c r="AP98">
        <v>17</v>
      </c>
      <c r="AQ98" t="s">
        <v>243</v>
      </c>
      <c r="AR98" t="s">
        <v>41</v>
      </c>
      <c r="AS98" t="s">
        <v>19</v>
      </c>
      <c r="AT98" t="s">
        <v>19</v>
      </c>
      <c r="AU98" t="s">
        <v>19</v>
      </c>
      <c r="AV98" t="s">
        <v>1408</v>
      </c>
      <c r="AW98" t="s">
        <v>1409</v>
      </c>
      <c r="AX98" t="s">
        <v>1410</v>
      </c>
      <c r="AY98">
        <v>1</v>
      </c>
      <c r="AZ98" t="s">
        <v>1411</v>
      </c>
      <c r="BA98" t="s">
        <v>19</v>
      </c>
      <c r="BB98" t="s">
        <v>19</v>
      </c>
      <c r="BC98" t="s">
        <v>1292</v>
      </c>
      <c r="BD98" t="s">
        <v>1115</v>
      </c>
      <c r="BE98" t="s">
        <v>19</v>
      </c>
      <c r="BF98" t="s">
        <v>19</v>
      </c>
      <c r="BG98">
        <v>675</v>
      </c>
      <c r="BH98" t="s">
        <v>1293</v>
      </c>
      <c r="BI98">
        <v>0.13</v>
      </c>
      <c r="BJ98" t="s">
        <v>1412</v>
      </c>
      <c r="BK98" t="s">
        <v>2</v>
      </c>
      <c r="BL98">
        <v>167</v>
      </c>
    </row>
    <row r="99" spans="1:66" ht="14.45" customHeight="1">
      <c r="A99" s="155"/>
      <c r="B99" s="30">
        <f t="shared" si="10"/>
        <v>170</v>
      </c>
      <c r="C99" s="30" t="s">
        <v>2179</v>
      </c>
      <c r="D99" s="30"/>
      <c r="E99" s="30" t="s">
        <v>2180</v>
      </c>
      <c r="F99" s="31"/>
      <c r="G99" s="30"/>
      <c r="H99" s="30"/>
      <c r="I99" s="30"/>
      <c r="J99" s="30"/>
      <c r="K99" s="30"/>
      <c r="L99" s="30" t="s">
        <v>2180</v>
      </c>
      <c r="M99" s="30" t="s">
        <v>2180</v>
      </c>
      <c r="N99" s="30"/>
      <c r="P99" s="30"/>
      <c r="Q99" s="30"/>
      <c r="R99" s="30"/>
      <c r="S99" s="30"/>
      <c r="T99" s="31"/>
      <c r="U99" s="30"/>
      <c r="V99" s="30"/>
      <c r="W99" s="30"/>
      <c r="X99" s="30"/>
      <c r="Y99" s="30"/>
      <c r="Z99" s="30"/>
      <c r="AA99" s="30"/>
      <c r="AB99" s="30"/>
      <c r="AC99" s="30"/>
      <c r="AD99" s="30"/>
      <c r="AE99" s="195" t="s">
        <v>2379</v>
      </c>
      <c r="AF99" s="30" t="str">
        <f t="shared" si="11"/>
        <v>MIB_C               KS_CPR_C</v>
      </c>
      <c r="AG99" s="30" t="s">
        <v>2182</v>
      </c>
      <c r="AH99">
        <v>3</v>
      </c>
      <c r="AI99">
        <v>170</v>
      </c>
      <c r="AJ99" t="s">
        <v>1413</v>
      </c>
      <c r="AK99" t="s">
        <v>19</v>
      </c>
      <c r="AL99" t="s">
        <v>249</v>
      </c>
      <c r="AM99" t="s">
        <v>250</v>
      </c>
      <c r="AN99" t="s">
        <v>262</v>
      </c>
      <c r="AO99" t="s">
        <v>263</v>
      </c>
      <c r="AP99">
        <v>6</v>
      </c>
      <c r="AQ99" t="s">
        <v>264</v>
      </c>
      <c r="AR99" t="s">
        <v>41</v>
      </c>
      <c r="AS99" t="s">
        <v>19</v>
      </c>
      <c r="AT99" t="s">
        <v>19</v>
      </c>
      <c r="AU99" t="s">
        <v>96</v>
      </c>
      <c r="AV99" t="s">
        <v>96</v>
      </c>
      <c r="AW99" t="s">
        <v>103</v>
      </c>
      <c r="AX99" t="s">
        <v>104</v>
      </c>
      <c r="AY99">
        <v>9</v>
      </c>
      <c r="AZ99" t="s">
        <v>105</v>
      </c>
      <c r="BA99" t="s">
        <v>40</v>
      </c>
      <c r="BB99" t="s">
        <v>19</v>
      </c>
      <c r="BC99" t="s">
        <v>1414</v>
      </c>
      <c r="BD99" t="s">
        <v>1115</v>
      </c>
      <c r="BE99" t="s">
        <v>1415</v>
      </c>
      <c r="BF99" t="s">
        <v>1416</v>
      </c>
      <c r="BG99">
        <v>1674</v>
      </c>
      <c r="BH99" t="s">
        <v>1236</v>
      </c>
      <c r="BI99">
        <v>0.13</v>
      </c>
      <c r="BJ99" t="s">
        <v>1417</v>
      </c>
      <c r="BK99" t="s">
        <v>2</v>
      </c>
      <c r="BL99">
        <v>170</v>
      </c>
    </row>
    <row r="100" spans="1:66" ht="14.45" customHeight="1">
      <c r="A100" s="155"/>
      <c r="B100" s="30">
        <f t="shared" si="10"/>
        <v>171</v>
      </c>
      <c r="C100" s="30" t="s">
        <v>2179</v>
      </c>
      <c r="D100" s="30"/>
      <c r="E100" s="30" t="s">
        <v>2180</v>
      </c>
      <c r="F100" s="31"/>
      <c r="G100" s="30"/>
      <c r="H100" s="30"/>
      <c r="I100" s="30"/>
      <c r="J100" s="30"/>
      <c r="K100" s="30"/>
      <c r="L100" s="30" t="s">
        <v>2180</v>
      </c>
      <c r="M100" s="30" t="s">
        <v>2180</v>
      </c>
      <c r="N100" s="30"/>
      <c r="P100" s="30"/>
      <c r="Q100" s="30"/>
      <c r="R100" s="30"/>
      <c r="S100" s="30"/>
      <c r="T100" s="31"/>
      <c r="U100" s="30"/>
      <c r="V100" s="30"/>
      <c r="W100" s="30"/>
      <c r="X100" s="30"/>
      <c r="Y100" s="30"/>
      <c r="Z100" s="30"/>
      <c r="AA100" s="30"/>
      <c r="AB100" s="30"/>
      <c r="AC100" s="30"/>
      <c r="AD100" s="30"/>
      <c r="AE100" s="195" t="s">
        <v>2379</v>
      </c>
      <c r="AF100" s="30" t="str">
        <f t="shared" si="11"/>
        <v>MIB_C               KS_CPR_C</v>
      </c>
      <c r="AG100" s="30" t="s">
        <v>2182</v>
      </c>
      <c r="AH100">
        <v>3</v>
      </c>
      <c r="AI100">
        <v>171</v>
      </c>
      <c r="AJ100" t="s">
        <v>1418</v>
      </c>
      <c r="AK100" t="s">
        <v>19</v>
      </c>
      <c r="AL100" t="s">
        <v>249</v>
      </c>
      <c r="AM100" t="s">
        <v>250</v>
      </c>
      <c r="AN100" t="s">
        <v>262</v>
      </c>
      <c r="AO100" t="s">
        <v>263</v>
      </c>
      <c r="AP100">
        <v>12</v>
      </c>
      <c r="AQ100" t="s">
        <v>264</v>
      </c>
      <c r="AR100" t="s">
        <v>41</v>
      </c>
      <c r="AS100" t="s">
        <v>19</v>
      </c>
      <c r="AT100" t="s">
        <v>19</v>
      </c>
      <c r="AU100" t="s">
        <v>96</v>
      </c>
      <c r="AV100" t="s">
        <v>96</v>
      </c>
      <c r="AW100" t="s">
        <v>103</v>
      </c>
      <c r="AX100" t="s">
        <v>104</v>
      </c>
      <c r="AY100">
        <v>10</v>
      </c>
      <c r="AZ100" t="s">
        <v>105</v>
      </c>
      <c r="BA100" t="s">
        <v>40</v>
      </c>
      <c r="BB100" t="s">
        <v>19</v>
      </c>
      <c r="BC100" t="s">
        <v>1414</v>
      </c>
      <c r="BD100" t="s">
        <v>1115</v>
      </c>
      <c r="BE100" t="s">
        <v>1415</v>
      </c>
      <c r="BF100" t="s">
        <v>1097</v>
      </c>
      <c r="BG100">
        <v>1674</v>
      </c>
      <c r="BH100" t="s">
        <v>1098</v>
      </c>
      <c r="BI100">
        <v>0.13</v>
      </c>
      <c r="BJ100" t="s">
        <v>1419</v>
      </c>
      <c r="BK100" t="s">
        <v>2</v>
      </c>
      <c r="BL100">
        <v>171</v>
      </c>
    </row>
    <row r="101" spans="1:66" ht="14.45" customHeight="1">
      <c r="A101" s="155"/>
      <c r="B101" s="30">
        <f t="shared" si="10"/>
        <v>174</v>
      </c>
      <c r="C101" s="30" t="s">
        <v>2179</v>
      </c>
      <c r="D101" s="30"/>
      <c r="E101" s="30" t="s">
        <v>2180</v>
      </c>
      <c r="F101" s="31" t="s">
        <v>2183</v>
      </c>
      <c r="G101" s="30" t="s">
        <v>1152</v>
      </c>
      <c r="H101" s="30"/>
      <c r="I101" s="30"/>
      <c r="J101" s="30"/>
      <c r="K101" s="30" t="s">
        <v>2184</v>
      </c>
      <c r="L101" s="30" t="s">
        <v>2180</v>
      </c>
      <c r="M101" s="30" t="s">
        <v>2180</v>
      </c>
      <c r="N101" s="30"/>
      <c r="P101" s="30"/>
      <c r="Q101" s="30"/>
      <c r="R101" s="30"/>
      <c r="S101" s="30"/>
      <c r="T101" s="31"/>
      <c r="U101" s="30"/>
      <c r="V101" s="30"/>
      <c r="W101" s="30"/>
      <c r="X101" s="30"/>
      <c r="Y101" s="30"/>
      <c r="Z101" s="30"/>
      <c r="AA101" s="30"/>
      <c r="AB101" s="30"/>
      <c r="AC101" s="30"/>
      <c r="AD101" s="30"/>
      <c r="AE101" s="30"/>
      <c r="AF101" s="30" t="str">
        <f t="shared" si="11"/>
        <v>SP_MB32_B2          SP_MB32_B1</v>
      </c>
      <c r="AG101" s="30" t="s">
        <v>2182</v>
      </c>
      <c r="AH101">
        <v>3</v>
      </c>
      <c r="AI101">
        <v>174</v>
      </c>
      <c r="AJ101" t="s">
        <v>1420</v>
      </c>
      <c r="AK101" t="s">
        <v>19</v>
      </c>
      <c r="AL101" t="s">
        <v>19</v>
      </c>
      <c r="AM101" t="s">
        <v>1151</v>
      </c>
      <c r="AN101">
        <v>135</v>
      </c>
      <c r="AO101" t="s">
        <v>1152</v>
      </c>
      <c r="AP101">
        <v>1</v>
      </c>
      <c r="AQ101" t="s">
        <v>358</v>
      </c>
      <c r="AR101" t="s">
        <v>19</v>
      </c>
      <c r="AS101" t="s">
        <v>19</v>
      </c>
      <c r="AT101" t="s">
        <v>19</v>
      </c>
      <c r="AU101" t="s">
        <v>19</v>
      </c>
      <c r="AV101" t="s">
        <v>1244</v>
      </c>
      <c r="AW101">
        <v>199</v>
      </c>
      <c r="AX101" t="s">
        <v>1245</v>
      </c>
      <c r="AY101">
        <v>1</v>
      </c>
      <c r="AZ101" t="s">
        <v>1246</v>
      </c>
      <c r="BA101" t="s">
        <v>19</v>
      </c>
      <c r="BB101" t="s">
        <v>19</v>
      </c>
      <c r="BC101" t="s">
        <v>1221</v>
      </c>
      <c r="BD101" t="s">
        <v>1115</v>
      </c>
      <c r="BE101" t="s">
        <v>19</v>
      </c>
      <c r="BF101" t="s">
        <v>19</v>
      </c>
      <c r="BG101">
        <v>114</v>
      </c>
      <c r="BH101" t="s">
        <v>1094</v>
      </c>
      <c r="BI101">
        <v>1.5</v>
      </c>
      <c r="BJ101" t="s">
        <v>1153</v>
      </c>
      <c r="BK101" t="s">
        <v>2</v>
      </c>
      <c r="BL101">
        <v>174</v>
      </c>
    </row>
    <row r="102" spans="1:66" ht="14.45" customHeight="1">
      <c r="A102" s="155"/>
      <c r="B102" s="30">
        <f t="shared" si="10"/>
        <v>185</v>
      </c>
      <c r="C102" s="30" t="s">
        <v>2179</v>
      </c>
      <c r="D102" s="30"/>
      <c r="E102" s="30" t="s">
        <v>2180</v>
      </c>
      <c r="F102" s="31"/>
      <c r="G102" s="30"/>
      <c r="H102" s="30"/>
      <c r="I102" s="30"/>
      <c r="J102" s="30"/>
      <c r="K102" s="30"/>
      <c r="L102" s="30" t="s">
        <v>2180</v>
      </c>
      <c r="M102" s="30" t="s">
        <v>2180</v>
      </c>
      <c r="N102" s="30"/>
      <c r="P102" s="30"/>
      <c r="Q102" s="30"/>
      <c r="R102" s="30"/>
      <c r="S102" s="30"/>
      <c r="T102" s="31"/>
      <c r="U102" s="30"/>
      <c r="V102" s="30"/>
      <c r="W102" s="30"/>
      <c r="X102" s="30"/>
      <c r="Y102" s="30"/>
      <c r="Z102" s="30"/>
      <c r="AA102" s="30"/>
      <c r="AB102" s="30"/>
      <c r="AC102" s="30"/>
      <c r="AD102" s="30"/>
      <c r="AE102" s="30"/>
      <c r="AF102" s="30" t="str">
        <f t="shared" si="11"/>
        <v>MIB_B               KS_CPL_A</v>
      </c>
      <c r="AG102" s="30" t="s">
        <v>2182</v>
      </c>
      <c r="AH102">
        <v>3</v>
      </c>
      <c r="AI102">
        <v>185</v>
      </c>
      <c r="AJ102" t="s">
        <v>1421</v>
      </c>
      <c r="AK102" t="s">
        <v>19</v>
      </c>
      <c r="AL102" t="s">
        <v>249</v>
      </c>
      <c r="AM102" t="s">
        <v>250</v>
      </c>
      <c r="AN102" t="s">
        <v>248</v>
      </c>
      <c r="AO102" t="s">
        <v>251</v>
      </c>
      <c r="AP102">
        <v>5</v>
      </c>
      <c r="AQ102" t="s">
        <v>252</v>
      </c>
      <c r="AR102" t="s">
        <v>41</v>
      </c>
      <c r="AS102" t="s">
        <v>19</v>
      </c>
      <c r="AT102" t="s">
        <v>19</v>
      </c>
      <c r="AU102" t="s">
        <v>55</v>
      </c>
      <c r="AV102" t="s">
        <v>55</v>
      </c>
      <c r="AW102" t="s">
        <v>54</v>
      </c>
      <c r="AX102" t="s">
        <v>56</v>
      </c>
      <c r="AY102">
        <v>12</v>
      </c>
      <c r="AZ102" t="s">
        <v>57</v>
      </c>
      <c r="BA102" t="s">
        <v>40</v>
      </c>
      <c r="BB102" t="s">
        <v>19</v>
      </c>
      <c r="BC102" t="s">
        <v>1422</v>
      </c>
      <c r="BD102" t="s">
        <v>1115</v>
      </c>
      <c r="BE102" t="s">
        <v>19</v>
      </c>
      <c r="BF102" t="s">
        <v>19</v>
      </c>
      <c r="BG102">
        <v>1860</v>
      </c>
      <c r="BH102" t="s">
        <v>1423</v>
      </c>
      <c r="BI102">
        <v>0.13</v>
      </c>
      <c r="BJ102" t="s">
        <v>1424</v>
      </c>
      <c r="BK102" t="s">
        <v>2</v>
      </c>
      <c r="BL102">
        <v>185</v>
      </c>
    </row>
    <row r="103" spans="1:66">
      <c r="A103" s="155">
        <v>501</v>
      </c>
      <c r="B103" s="30">
        <f t="shared" si="10"/>
        <v>186</v>
      </c>
      <c r="C103" s="30" t="s">
        <v>2179</v>
      </c>
      <c r="D103" s="30"/>
      <c r="E103" s="30" t="s">
        <v>2180</v>
      </c>
      <c r="F103" s="31" t="s">
        <v>2183</v>
      </c>
      <c r="G103" s="30" t="s">
        <v>1120</v>
      </c>
      <c r="H103" s="30"/>
      <c r="I103" s="30"/>
      <c r="J103" s="30"/>
      <c r="K103" s="30" t="s">
        <v>2184</v>
      </c>
      <c r="L103" s="30" t="s">
        <v>2180</v>
      </c>
      <c r="M103" s="30" t="s">
        <v>2180</v>
      </c>
      <c r="N103" s="30"/>
      <c r="O103" t="s">
        <v>2436</v>
      </c>
      <c r="P103" s="30"/>
      <c r="Q103" s="30"/>
      <c r="R103" s="30"/>
      <c r="S103" s="30"/>
      <c r="T103" s="31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 t="str">
        <f t="shared" si="11"/>
        <v>SM2SM_2             SP_MB31_B1</v>
      </c>
      <c r="AG103" s="30" t="s">
        <v>2182</v>
      </c>
      <c r="AH103">
        <v>3</v>
      </c>
      <c r="AI103">
        <v>186</v>
      </c>
      <c r="AJ103" t="s">
        <v>1425</v>
      </c>
      <c r="AK103" t="s">
        <v>19</v>
      </c>
      <c r="AL103" t="s">
        <v>132</v>
      </c>
      <c r="AM103" t="s">
        <v>132</v>
      </c>
      <c r="AN103" t="s">
        <v>131</v>
      </c>
      <c r="AO103" t="s">
        <v>133</v>
      </c>
      <c r="AP103">
        <v>15</v>
      </c>
      <c r="AQ103" s="153" t="s">
        <v>134</v>
      </c>
      <c r="AR103" t="s">
        <v>47</v>
      </c>
      <c r="AS103" t="s">
        <v>19</v>
      </c>
      <c r="AT103" t="s">
        <v>19</v>
      </c>
      <c r="AU103" t="s">
        <v>19</v>
      </c>
      <c r="AV103" t="s">
        <v>1119</v>
      </c>
      <c r="AW103">
        <v>332</v>
      </c>
      <c r="AX103" t="s">
        <v>1120</v>
      </c>
      <c r="AY103">
        <v>1</v>
      </c>
      <c r="AZ103" t="s">
        <v>362</v>
      </c>
      <c r="BA103" t="s">
        <v>19</v>
      </c>
      <c r="BB103" t="s">
        <v>19</v>
      </c>
      <c r="BC103" t="s">
        <v>1121</v>
      </c>
      <c r="BD103" t="s">
        <v>1115</v>
      </c>
      <c r="BE103" t="s">
        <v>19</v>
      </c>
      <c r="BF103" t="s">
        <v>19</v>
      </c>
      <c r="BG103" s="161">
        <v>910</v>
      </c>
      <c r="BH103" t="s">
        <v>1094</v>
      </c>
      <c r="BI103">
        <v>0.5</v>
      </c>
      <c r="BJ103" t="s">
        <v>1122</v>
      </c>
      <c r="BK103" t="s">
        <v>2</v>
      </c>
      <c r="BL103">
        <v>186</v>
      </c>
    </row>
    <row r="104" spans="1:66" ht="14.45" customHeight="1">
      <c r="A104" s="155"/>
      <c r="B104" s="30">
        <f t="shared" si="10"/>
        <v>187</v>
      </c>
      <c r="C104" s="30" t="s">
        <v>2179</v>
      </c>
      <c r="D104" s="30"/>
      <c r="E104" s="30" t="s">
        <v>2180</v>
      </c>
      <c r="F104" s="31"/>
      <c r="G104" s="30"/>
      <c r="H104" s="30"/>
      <c r="I104" s="30"/>
      <c r="J104" s="30"/>
      <c r="K104" s="30"/>
      <c r="L104" s="30" t="s">
        <v>2180</v>
      </c>
      <c r="M104" s="30" t="s">
        <v>2180</v>
      </c>
      <c r="N104" s="30"/>
      <c r="P104" s="30"/>
      <c r="Q104" s="30"/>
      <c r="R104" s="30"/>
      <c r="S104" s="30"/>
      <c r="T104" s="31"/>
      <c r="U104" s="30"/>
      <c r="V104" s="30"/>
      <c r="W104" s="30"/>
      <c r="X104" s="30"/>
      <c r="Y104" s="30"/>
      <c r="Z104" s="30"/>
      <c r="AA104" s="30"/>
      <c r="AB104" s="30"/>
      <c r="AC104" s="30"/>
      <c r="AD104" s="30"/>
      <c r="AE104" s="30"/>
      <c r="AF104" s="30" t="str">
        <f t="shared" si="11"/>
        <v>STO52A              KS_CPR_C</v>
      </c>
      <c r="AG104" s="30" t="s">
        <v>2182</v>
      </c>
      <c r="AH104">
        <v>3</v>
      </c>
      <c r="AI104">
        <v>187</v>
      </c>
      <c r="AJ104" t="s">
        <v>1426</v>
      </c>
      <c r="AK104" t="s">
        <v>19</v>
      </c>
      <c r="AL104" t="s">
        <v>199</v>
      </c>
      <c r="AM104" t="s">
        <v>199</v>
      </c>
      <c r="AN104" t="s">
        <v>198</v>
      </c>
      <c r="AO104" t="s">
        <v>200</v>
      </c>
      <c r="AP104" t="s">
        <v>1427</v>
      </c>
      <c r="AQ104" t="s">
        <v>201</v>
      </c>
      <c r="AR104" t="s">
        <v>42</v>
      </c>
      <c r="AS104" t="s">
        <v>19</v>
      </c>
      <c r="AT104" t="s">
        <v>19</v>
      </c>
      <c r="AU104" t="s">
        <v>96</v>
      </c>
      <c r="AV104" t="s">
        <v>96</v>
      </c>
      <c r="AW104" t="s">
        <v>103</v>
      </c>
      <c r="AX104" t="s">
        <v>104</v>
      </c>
      <c r="AY104">
        <v>7</v>
      </c>
      <c r="AZ104" t="s">
        <v>105</v>
      </c>
      <c r="BA104" t="s">
        <v>35</v>
      </c>
      <c r="BB104" t="s">
        <v>19</v>
      </c>
      <c r="BC104" t="s">
        <v>1283</v>
      </c>
      <c r="BD104" t="s">
        <v>1115</v>
      </c>
      <c r="BE104" t="s">
        <v>19</v>
      </c>
      <c r="BF104" t="s">
        <v>19</v>
      </c>
      <c r="BG104">
        <v>303</v>
      </c>
      <c r="BH104" t="s">
        <v>1284</v>
      </c>
      <c r="BI104">
        <v>0.35</v>
      </c>
      <c r="BJ104" t="s">
        <v>1428</v>
      </c>
      <c r="BK104" t="s">
        <v>2</v>
      </c>
      <c r="BL104">
        <v>187</v>
      </c>
    </row>
    <row r="105" spans="1:66" ht="14.45" customHeight="1">
      <c r="A105" s="155"/>
      <c r="B105" s="30">
        <f t="shared" si="10"/>
        <v>194</v>
      </c>
      <c r="C105" s="30" t="s">
        <v>2179</v>
      </c>
      <c r="D105" s="30"/>
      <c r="E105" s="30" t="s">
        <v>2180</v>
      </c>
      <c r="F105" s="31" t="s">
        <v>2183</v>
      </c>
      <c r="G105" t="s">
        <v>1259</v>
      </c>
      <c r="H105" s="30"/>
      <c r="I105" s="36" t="s">
        <v>2192</v>
      </c>
      <c r="J105" s="30"/>
      <c r="K105" s="30" t="s">
        <v>2184</v>
      </c>
      <c r="L105" s="30" t="s">
        <v>2180</v>
      </c>
      <c r="M105" s="30" t="s">
        <v>2180</v>
      </c>
      <c r="N105" s="30"/>
      <c r="P105" s="30"/>
      <c r="Q105" s="30"/>
      <c r="R105" s="30"/>
      <c r="S105" s="30"/>
      <c r="T105" s="31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 t="str">
        <f t="shared" si="11"/>
        <v>SP_MIB_C_10         KS_CPM_E</v>
      </c>
      <c r="AG105" s="30"/>
      <c r="AH105">
        <v>3</v>
      </c>
      <c r="AI105">
        <v>194</v>
      </c>
      <c r="AJ105" t="s">
        <v>1429</v>
      </c>
      <c r="AK105" t="s">
        <v>19</v>
      </c>
      <c r="AL105" t="s">
        <v>19</v>
      </c>
      <c r="AM105" t="s">
        <v>1257</v>
      </c>
      <c r="AN105" t="s">
        <v>1258</v>
      </c>
      <c r="AO105" t="s">
        <v>1259</v>
      </c>
      <c r="AP105">
        <v>1</v>
      </c>
      <c r="AQ105" t="s">
        <v>1260</v>
      </c>
      <c r="AR105" t="s">
        <v>19</v>
      </c>
      <c r="AS105" t="s">
        <v>19</v>
      </c>
      <c r="AT105" t="s">
        <v>19</v>
      </c>
      <c r="AU105" t="s">
        <v>81</v>
      </c>
      <c r="AV105" t="s">
        <v>81</v>
      </c>
      <c r="AW105" t="s">
        <v>88</v>
      </c>
      <c r="AX105" t="s">
        <v>89</v>
      </c>
      <c r="AY105">
        <v>10</v>
      </c>
      <c r="AZ105" t="s">
        <v>90</v>
      </c>
      <c r="BA105" t="s">
        <v>36</v>
      </c>
      <c r="BB105" t="s">
        <v>19</v>
      </c>
      <c r="BC105" t="s">
        <v>1261</v>
      </c>
      <c r="BD105" t="s">
        <v>1115</v>
      </c>
      <c r="BE105" t="s">
        <v>19</v>
      </c>
      <c r="BF105" t="s">
        <v>19</v>
      </c>
      <c r="BG105">
        <v>556</v>
      </c>
      <c r="BH105" t="s">
        <v>1218</v>
      </c>
      <c r="BI105">
        <v>0.5</v>
      </c>
      <c r="BJ105" t="s">
        <v>1262</v>
      </c>
      <c r="BK105" t="s">
        <v>2</v>
      </c>
      <c r="BL105">
        <v>194</v>
      </c>
    </row>
    <row r="106" spans="1:66" ht="14.45" customHeight="1">
      <c r="A106" s="155"/>
      <c r="B106" s="30"/>
      <c r="C106" s="30" t="s">
        <v>2197</v>
      </c>
      <c r="D106" s="30"/>
      <c r="E106" s="30"/>
      <c r="F106" s="31"/>
      <c r="G106" s="30"/>
      <c r="H106" s="30"/>
      <c r="I106" s="30"/>
      <c r="J106" s="30"/>
      <c r="K106" s="30"/>
      <c r="L106" s="30"/>
      <c r="M106" s="30"/>
      <c r="N106" s="30"/>
      <c r="P106" s="30"/>
      <c r="Q106" s="30"/>
      <c r="R106" s="30"/>
      <c r="S106" s="30"/>
      <c r="T106" s="31"/>
      <c r="U106" s="30"/>
      <c r="V106" s="30"/>
      <c r="W106" s="30"/>
      <c r="X106" s="30"/>
      <c r="Y106" s="30"/>
      <c r="Z106" s="30"/>
      <c r="AA106" s="30"/>
      <c r="AB106" s="30"/>
      <c r="AC106" s="30"/>
      <c r="AD106" s="30"/>
      <c r="AE106" s="30"/>
      <c r="AF106" s="30" t="str">
        <f t="shared" si="11"/>
        <v xml:space="preserve">                    </v>
      </c>
      <c r="AG106" s="30"/>
      <c r="AH106">
        <v>1</v>
      </c>
      <c r="AI106" t="s">
        <v>392</v>
      </c>
    </row>
    <row r="107" spans="1:66" ht="14.45" customHeight="1">
      <c r="A107" s="155">
        <v>501</v>
      </c>
      <c r="B107" s="30"/>
      <c r="C107" s="30" t="s">
        <v>2197</v>
      </c>
      <c r="D107" s="30"/>
      <c r="E107" s="30"/>
      <c r="F107" s="31"/>
      <c r="G107" s="30"/>
      <c r="H107" s="30"/>
      <c r="I107" s="30"/>
      <c r="J107" s="30"/>
      <c r="K107" s="30"/>
      <c r="L107" s="30"/>
      <c r="M107" s="30"/>
      <c r="N107" s="30"/>
      <c r="P107" s="30"/>
      <c r="Q107" s="30"/>
      <c r="R107" s="30"/>
      <c r="S107" s="30"/>
      <c r="T107" s="31"/>
      <c r="U107" s="30"/>
      <c r="V107" s="30"/>
      <c r="W107" s="30"/>
      <c r="X107" s="30"/>
      <c r="Y107" s="30"/>
      <c r="Z107" s="30"/>
      <c r="AA107" s="30"/>
      <c r="AB107" s="30"/>
      <c r="AC107" s="30"/>
      <c r="AD107" s="30"/>
      <c r="AE107" s="32">
        <v>1</v>
      </c>
      <c r="AF107" s="30"/>
      <c r="AG107" s="30"/>
      <c r="AH107">
        <v>2</v>
      </c>
      <c r="AI107" t="s">
        <v>1</v>
      </c>
      <c r="AJ107" t="s">
        <v>393</v>
      </c>
      <c r="AK107" t="s">
        <v>394</v>
      </c>
      <c r="AL107" s="153" t="s">
        <v>2400</v>
      </c>
      <c r="AN107" t="s">
        <v>1430</v>
      </c>
      <c r="AO107" t="s">
        <v>1074</v>
      </c>
    </row>
    <row r="108" spans="1:66" ht="14.45" customHeight="1">
      <c r="A108" s="155"/>
      <c r="B108" s="30"/>
      <c r="C108" s="30" t="s">
        <v>2197</v>
      </c>
      <c r="D108" s="30"/>
      <c r="E108" s="30"/>
      <c r="F108" s="31"/>
      <c r="G108" s="30"/>
      <c r="H108" s="30"/>
      <c r="I108" s="30"/>
      <c r="J108" s="30"/>
      <c r="K108" s="30"/>
      <c r="L108" s="30"/>
      <c r="M108" s="30"/>
      <c r="N108" s="30"/>
      <c r="P108" s="30"/>
      <c r="Q108" s="30"/>
      <c r="R108" s="30"/>
      <c r="S108" s="30"/>
      <c r="T108" s="31"/>
      <c r="U108" s="30"/>
      <c r="V108" s="30"/>
      <c r="W108" s="30"/>
      <c r="X108" s="30"/>
      <c r="Y108" s="30"/>
      <c r="Z108" s="30"/>
      <c r="AA108" s="30"/>
      <c r="AB108" s="30"/>
      <c r="AC108" s="30"/>
      <c r="AD108" s="30"/>
      <c r="AE108" s="32">
        <v>1</v>
      </c>
      <c r="AF108" s="30"/>
      <c r="AG108" s="30"/>
      <c r="AH108">
        <v>2</v>
      </c>
      <c r="AI108" t="s">
        <v>395</v>
      </c>
      <c r="AJ108" t="s">
        <v>396</v>
      </c>
      <c r="AK108" t="s">
        <v>397</v>
      </c>
      <c r="AL108" t="s">
        <v>398</v>
      </c>
      <c r="AN108" t="s">
        <v>1431</v>
      </c>
      <c r="AO108" t="s">
        <v>1074</v>
      </c>
    </row>
    <row r="109" spans="1:66" ht="14.45" customHeight="1">
      <c r="A109" s="155"/>
      <c r="B109" s="30"/>
      <c r="C109" s="30" t="s">
        <v>2197</v>
      </c>
      <c r="D109" s="30"/>
      <c r="E109" s="30"/>
      <c r="F109" s="31"/>
      <c r="G109" s="30"/>
      <c r="H109" s="30"/>
      <c r="I109" s="30"/>
      <c r="J109" s="30"/>
      <c r="K109" s="30"/>
      <c r="L109" s="30"/>
      <c r="M109" s="30"/>
      <c r="N109" s="30"/>
      <c r="P109" s="30"/>
      <c r="Q109" s="30"/>
      <c r="R109" s="30"/>
      <c r="S109" s="30"/>
      <c r="T109" s="31"/>
      <c r="U109" s="30"/>
      <c r="V109" s="30"/>
      <c r="W109" s="30"/>
      <c r="X109" s="30"/>
      <c r="Y109" s="30"/>
      <c r="Z109" s="30"/>
      <c r="AA109" s="30"/>
      <c r="AB109" s="30"/>
      <c r="AC109" s="30"/>
      <c r="AD109" s="30"/>
      <c r="AE109" s="32">
        <v>1</v>
      </c>
      <c r="AF109" s="30"/>
      <c r="AG109" s="30"/>
      <c r="AH109">
        <v>2</v>
      </c>
      <c r="AI109" t="s">
        <v>399</v>
      </c>
      <c r="AJ109" t="s">
        <v>400</v>
      </c>
      <c r="AK109" t="s">
        <v>401</v>
      </c>
      <c r="AL109" s="192" t="s">
        <v>2401</v>
      </c>
      <c r="AN109" t="s">
        <v>1432</v>
      </c>
      <c r="AO109" t="s">
        <v>1074</v>
      </c>
    </row>
    <row r="110" spans="1:66" ht="14.45" customHeight="1">
      <c r="A110" s="155"/>
      <c r="B110" s="30"/>
      <c r="C110" s="30" t="s">
        <v>2197</v>
      </c>
      <c r="D110" s="30"/>
      <c r="E110" s="30"/>
      <c r="F110" s="31"/>
      <c r="G110" s="30"/>
      <c r="H110" s="30"/>
      <c r="I110" s="30"/>
      <c r="J110" s="30"/>
      <c r="K110" s="30"/>
      <c r="L110" s="30"/>
      <c r="M110" s="30"/>
      <c r="N110" s="30"/>
      <c r="P110" s="30"/>
      <c r="Q110" s="30"/>
      <c r="R110" s="30"/>
      <c r="S110" s="30"/>
      <c r="T110" s="31"/>
      <c r="U110" s="30"/>
      <c r="V110" s="30"/>
      <c r="W110" s="30"/>
      <c r="X110" s="30"/>
      <c r="Y110" s="30"/>
      <c r="Z110" s="30"/>
      <c r="AA110" s="30"/>
      <c r="AB110" s="30"/>
      <c r="AC110" s="30"/>
      <c r="AD110" s="30"/>
      <c r="AE110" s="30"/>
      <c r="AF110" s="30" t="str">
        <f t="shared" si="11"/>
        <v>Kurzname            Kurzname</v>
      </c>
      <c r="AG110" s="30"/>
      <c r="AH110">
        <v>0</v>
      </c>
      <c r="AI110" t="s">
        <v>1075</v>
      </c>
      <c r="AJ110" t="s">
        <v>1076</v>
      </c>
      <c r="AK110" t="s">
        <v>1077</v>
      </c>
      <c r="AL110" t="s">
        <v>8</v>
      </c>
      <c r="AM110" t="s">
        <v>8</v>
      </c>
      <c r="AN110" t="s">
        <v>1078</v>
      </c>
      <c r="AO110" t="s">
        <v>9</v>
      </c>
      <c r="AP110" t="s">
        <v>1079</v>
      </c>
      <c r="AQ110" t="s">
        <v>10</v>
      </c>
      <c r="AR110" t="s">
        <v>26</v>
      </c>
      <c r="AS110" t="s">
        <v>1080</v>
      </c>
      <c r="AT110" t="s">
        <v>1077</v>
      </c>
      <c r="AU110" t="s">
        <v>8</v>
      </c>
      <c r="AV110" t="s">
        <v>8</v>
      </c>
      <c r="AW110" t="s">
        <v>1081</v>
      </c>
      <c r="AX110" t="s">
        <v>9</v>
      </c>
      <c r="AY110" t="s">
        <v>1079</v>
      </c>
      <c r="AZ110" t="s">
        <v>10</v>
      </c>
      <c r="BA110" t="s">
        <v>26</v>
      </c>
      <c r="BB110" t="s">
        <v>1080</v>
      </c>
      <c r="BC110" t="s">
        <v>1082</v>
      </c>
      <c r="BD110" t="s">
        <v>1083</v>
      </c>
      <c r="BE110" t="s">
        <v>1084</v>
      </c>
      <c r="BF110" t="s">
        <v>1085</v>
      </c>
      <c r="BG110" t="s">
        <v>1086</v>
      </c>
      <c r="BH110" t="s">
        <v>14</v>
      </c>
      <c r="BI110" t="s">
        <v>1087</v>
      </c>
      <c r="BJ110" t="s">
        <v>1088</v>
      </c>
      <c r="BK110" t="s">
        <v>1</v>
      </c>
      <c r="BL110" t="s">
        <v>395</v>
      </c>
      <c r="BM110" t="s">
        <v>399</v>
      </c>
      <c r="BN110" t="s">
        <v>1075</v>
      </c>
    </row>
    <row r="111" spans="1:66" ht="14.45" customHeight="1">
      <c r="A111" s="155">
        <v>504</v>
      </c>
      <c r="B111" s="30">
        <f t="shared" si="10"/>
        <v>29001</v>
      </c>
      <c r="C111" s="30" t="s">
        <v>2197</v>
      </c>
      <c r="D111" s="30"/>
      <c r="E111" s="30" t="s">
        <v>2180</v>
      </c>
      <c r="F111" s="31"/>
      <c r="G111" s="30"/>
      <c r="H111" s="30"/>
      <c r="I111" s="30"/>
      <c r="J111" s="30"/>
      <c r="K111" s="30"/>
      <c r="L111" s="30" t="s">
        <v>2180</v>
      </c>
      <c r="M111" s="30" t="s">
        <v>2180</v>
      </c>
      <c r="N111" s="30"/>
      <c r="P111" s="30"/>
      <c r="Q111" s="30"/>
      <c r="R111" s="30"/>
      <c r="S111" s="30"/>
      <c r="T111" s="31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 t="s">
        <v>2188</v>
      </c>
      <c r="AF111" s="30" t="str">
        <f t="shared" si="11"/>
        <v>SGKG102P_B          KS_CPL_C</v>
      </c>
      <c r="AG111" s="30" t="s">
        <v>2182</v>
      </c>
      <c r="AH111">
        <v>3</v>
      </c>
      <c r="AI111">
        <v>29001</v>
      </c>
      <c r="AJ111" t="s">
        <v>1433</v>
      </c>
      <c r="AK111" t="s">
        <v>19</v>
      </c>
      <c r="AL111" t="s">
        <v>241</v>
      </c>
      <c r="AM111" t="s">
        <v>241</v>
      </c>
      <c r="AN111" t="s">
        <v>240</v>
      </c>
      <c r="AO111" t="s">
        <v>242</v>
      </c>
      <c r="AP111">
        <v>1</v>
      </c>
      <c r="AQ111" t="s">
        <v>243</v>
      </c>
      <c r="AR111" t="s">
        <v>46</v>
      </c>
      <c r="AS111" t="s">
        <v>19</v>
      </c>
      <c r="AT111" t="s">
        <v>19</v>
      </c>
      <c r="AU111" t="s">
        <v>55</v>
      </c>
      <c r="AV111" t="s">
        <v>55</v>
      </c>
      <c r="AW111" t="s">
        <v>69</v>
      </c>
      <c r="AX111" t="s">
        <v>70</v>
      </c>
      <c r="AY111">
        <v>2</v>
      </c>
      <c r="AZ111" t="s">
        <v>71</v>
      </c>
      <c r="BA111" t="s">
        <v>35</v>
      </c>
      <c r="BB111" t="s">
        <v>19</v>
      </c>
      <c r="BC111" t="s">
        <v>1434</v>
      </c>
      <c r="BD111" t="s">
        <v>1115</v>
      </c>
      <c r="BE111" t="s">
        <v>1435</v>
      </c>
      <c r="BF111" t="s">
        <v>1436</v>
      </c>
      <c r="BG111" s="153">
        <v>941</v>
      </c>
      <c r="BH111" t="s">
        <v>1437</v>
      </c>
      <c r="BI111">
        <v>0.35</v>
      </c>
      <c r="BJ111" t="s">
        <v>1438</v>
      </c>
      <c r="BK111" t="s">
        <v>393</v>
      </c>
      <c r="BL111" t="s">
        <v>396</v>
      </c>
      <c r="BM111" t="s">
        <v>400</v>
      </c>
      <c r="BN111">
        <v>29001</v>
      </c>
    </row>
    <row r="112" spans="1:66" ht="14.45" customHeight="1">
      <c r="A112" s="155">
        <v>504</v>
      </c>
      <c r="B112" s="30">
        <f t="shared" si="10"/>
        <v>29002</v>
      </c>
      <c r="C112" s="30" t="s">
        <v>2197</v>
      </c>
      <c r="D112" s="30"/>
      <c r="E112" s="30" t="s">
        <v>2180</v>
      </c>
      <c r="F112" s="31"/>
      <c r="G112" s="30"/>
      <c r="H112" s="30"/>
      <c r="I112" s="30"/>
      <c r="J112" s="30"/>
      <c r="K112" s="30"/>
      <c r="L112" s="30" t="s">
        <v>2180</v>
      </c>
      <c r="M112" s="30" t="s">
        <v>2180</v>
      </c>
      <c r="N112" s="30"/>
      <c r="P112" s="30"/>
      <c r="Q112" s="30"/>
      <c r="R112" s="30"/>
      <c r="S112" s="30"/>
      <c r="T112" s="31"/>
      <c r="U112" s="30"/>
      <c r="V112" s="30"/>
      <c r="W112" s="30"/>
      <c r="X112" s="30"/>
      <c r="Y112" s="30"/>
      <c r="Z112" s="30"/>
      <c r="AA112" s="30"/>
      <c r="AB112" s="30"/>
      <c r="AC112" s="30"/>
      <c r="AD112" s="30"/>
      <c r="AE112" s="30" t="s">
        <v>2188</v>
      </c>
      <c r="AF112" s="30" t="str">
        <f t="shared" si="11"/>
        <v>SGKG102P_B          KS_CPL_C</v>
      </c>
      <c r="AG112" s="30" t="s">
        <v>2182</v>
      </c>
      <c r="AH112">
        <v>3</v>
      </c>
      <c r="AI112">
        <v>29002</v>
      </c>
      <c r="AJ112" t="s">
        <v>1439</v>
      </c>
      <c r="AK112" t="s">
        <v>19</v>
      </c>
      <c r="AL112" t="s">
        <v>241</v>
      </c>
      <c r="AM112" t="s">
        <v>241</v>
      </c>
      <c r="AN112" t="s">
        <v>240</v>
      </c>
      <c r="AO112" t="s">
        <v>242</v>
      </c>
      <c r="AP112">
        <v>2</v>
      </c>
      <c r="AQ112" t="s">
        <v>243</v>
      </c>
      <c r="AR112" t="s">
        <v>46</v>
      </c>
      <c r="AS112" t="s">
        <v>19</v>
      </c>
      <c r="AT112" t="s">
        <v>19</v>
      </c>
      <c r="AU112" t="s">
        <v>55</v>
      </c>
      <c r="AV112" t="s">
        <v>55</v>
      </c>
      <c r="AW112" t="s">
        <v>69</v>
      </c>
      <c r="AX112" t="s">
        <v>70</v>
      </c>
      <c r="AY112">
        <v>3</v>
      </c>
      <c r="AZ112" t="s">
        <v>71</v>
      </c>
      <c r="BA112" t="s">
        <v>35</v>
      </c>
      <c r="BB112" t="s">
        <v>19</v>
      </c>
      <c r="BC112" t="s">
        <v>1434</v>
      </c>
      <c r="BD112" t="s">
        <v>1115</v>
      </c>
      <c r="BE112" t="s">
        <v>1435</v>
      </c>
      <c r="BF112" t="s">
        <v>1137</v>
      </c>
      <c r="BG112" s="153">
        <v>941</v>
      </c>
      <c r="BH112" t="s">
        <v>1138</v>
      </c>
      <c r="BI112">
        <v>0.35</v>
      </c>
      <c r="BJ112" t="s">
        <v>1440</v>
      </c>
      <c r="BK112" t="s">
        <v>393</v>
      </c>
      <c r="BL112" t="s">
        <v>396</v>
      </c>
      <c r="BM112" t="s">
        <v>400</v>
      </c>
      <c r="BN112">
        <v>29002</v>
      </c>
    </row>
    <row r="113" spans="1:66" ht="14.45" customHeight="1">
      <c r="A113" s="155"/>
      <c r="B113" s="30">
        <f t="shared" si="10"/>
        <v>29003</v>
      </c>
      <c r="C113" s="30" t="s">
        <v>2197</v>
      </c>
      <c r="D113" s="30"/>
      <c r="E113" s="35" t="s">
        <v>2180</v>
      </c>
      <c r="F113" s="31" t="s">
        <v>2186</v>
      </c>
      <c r="G113" s="30" t="s">
        <v>1444</v>
      </c>
      <c r="H113" s="30"/>
      <c r="I113" s="30"/>
      <c r="J113" s="30"/>
      <c r="K113" s="30" t="s">
        <v>2184</v>
      </c>
      <c r="L113" s="30" t="s">
        <v>2180</v>
      </c>
      <c r="M113" s="30" t="s">
        <v>2187</v>
      </c>
      <c r="N113" s="30"/>
      <c r="P113" s="30"/>
      <c r="Q113" s="30"/>
      <c r="R113" s="30"/>
      <c r="S113" s="30"/>
      <c r="T113" s="31"/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 t="str">
        <f t="shared" si="11"/>
        <v>SGKG102P_B          SP_ACLIN2</v>
      </c>
      <c r="AG113" s="30" t="s">
        <v>2182</v>
      </c>
      <c r="AH113">
        <v>3</v>
      </c>
      <c r="AI113">
        <v>29003</v>
      </c>
      <c r="AJ113" t="s">
        <v>1441</v>
      </c>
      <c r="AK113" t="s">
        <v>19</v>
      </c>
      <c r="AL113" t="s">
        <v>241</v>
      </c>
      <c r="AM113" t="s">
        <v>241</v>
      </c>
      <c r="AN113" t="s">
        <v>240</v>
      </c>
      <c r="AO113" t="s">
        <v>242</v>
      </c>
      <c r="AP113">
        <v>8</v>
      </c>
      <c r="AQ113" t="s">
        <v>243</v>
      </c>
      <c r="AR113" t="s">
        <v>41</v>
      </c>
      <c r="AS113" t="s">
        <v>19</v>
      </c>
      <c r="AT113" t="s">
        <v>19</v>
      </c>
      <c r="AU113" t="s">
        <v>19</v>
      </c>
      <c r="AV113" t="s">
        <v>1442</v>
      </c>
      <c r="AW113" t="s">
        <v>1443</v>
      </c>
      <c r="AX113" t="s">
        <v>1444</v>
      </c>
      <c r="AY113">
        <v>1</v>
      </c>
      <c r="AZ113" t="s">
        <v>1445</v>
      </c>
      <c r="BA113" t="s">
        <v>19</v>
      </c>
      <c r="BB113" t="s">
        <v>19</v>
      </c>
      <c r="BC113" t="s">
        <v>1212</v>
      </c>
      <c r="BD113" t="s">
        <v>1115</v>
      </c>
      <c r="BE113" t="s">
        <v>19</v>
      </c>
      <c r="BF113" t="s">
        <v>19</v>
      </c>
      <c r="BG113">
        <v>1028</v>
      </c>
      <c r="BH113" t="s">
        <v>1213</v>
      </c>
      <c r="BI113">
        <v>0.13</v>
      </c>
      <c r="BJ113" t="s">
        <v>1446</v>
      </c>
      <c r="BK113" t="s">
        <v>393</v>
      </c>
      <c r="BL113" t="s">
        <v>396</v>
      </c>
      <c r="BM113" t="s">
        <v>400</v>
      </c>
      <c r="BN113">
        <v>29003</v>
      </c>
    </row>
    <row r="114" spans="1:66" ht="14.45" customHeight="1">
      <c r="A114" s="155"/>
      <c r="B114" s="30">
        <f t="shared" si="10"/>
        <v>29004</v>
      </c>
      <c r="C114" s="30" t="s">
        <v>2197</v>
      </c>
      <c r="D114" s="30"/>
      <c r="E114" s="30" t="s">
        <v>2180</v>
      </c>
      <c r="F114" s="31"/>
      <c r="G114" s="30"/>
      <c r="H114" s="30"/>
      <c r="I114" s="30"/>
      <c r="J114" s="30"/>
      <c r="K114" s="30"/>
      <c r="L114" s="30" t="s">
        <v>2180</v>
      </c>
      <c r="M114" s="30" t="s">
        <v>2180</v>
      </c>
      <c r="N114" s="30"/>
      <c r="P114" s="30"/>
      <c r="Q114" s="30"/>
      <c r="R114" s="30"/>
      <c r="S114" s="30"/>
      <c r="T114" s="31"/>
      <c r="U114" s="30"/>
      <c r="V114" s="30"/>
      <c r="W114" s="30"/>
      <c r="X114" s="30"/>
      <c r="Y114" s="30"/>
      <c r="Z114" s="30"/>
      <c r="AA114" s="30"/>
      <c r="AB114" s="30"/>
      <c r="AC114" s="30"/>
      <c r="AD114" s="30"/>
      <c r="AE114" s="30"/>
      <c r="AF114" s="30" t="str">
        <f t="shared" si="11"/>
        <v>SGKG102P_B          KS_CPM_A</v>
      </c>
      <c r="AG114" s="30" t="s">
        <v>2182</v>
      </c>
      <c r="AH114">
        <v>3</v>
      </c>
      <c r="AI114">
        <v>29004</v>
      </c>
      <c r="AJ114" t="s">
        <v>1447</v>
      </c>
      <c r="AK114" t="s">
        <v>19</v>
      </c>
      <c r="AL114" t="s">
        <v>241</v>
      </c>
      <c r="AM114" t="s">
        <v>241</v>
      </c>
      <c r="AN114" t="s">
        <v>240</v>
      </c>
      <c r="AO114" t="s">
        <v>242</v>
      </c>
      <c r="AP114">
        <v>16</v>
      </c>
      <c r="AQ114" t="s">
        <v>243</v>
      </c>
      <c r="AR114" t="s">
        <v>46</v>
      </c>
      <c r="AS114" t="s">
        <v>19</v>
      </c>
      <c r="AT114" t="s">
        <v>19</v>
      </c>
      <c r="AU114" t="s">
        <v>81</v>
      </c>
      <c r="AV114" t="s">
        <v>81</v>
      </c>
      <c r="AW114" t="s">
        <v>80</v>
      </c>
      <c r="AX114" t="s">
        <v>82</v>
      </c>
      <c r="AY114">
        <v>11</v>
      </c>
      <c r="AZ114" t="s">
        <v>83</v>
      </c>
      <c r="BA114" t="s">
        <v>35</v>
      </c>
      <c r="BB114" t="s">
        <v>19</v>
      </c>
      <c r="BC114" t="s">
        <v>1448</v>
      </c>
      <c r="BD114" t="s">
        <v>1115</v>
      </c>
      <c r="BE114" t="s">
        <v>19</v>
      </c>
      <c r="BF114" t="s">
        <v>19</v>
      </c>
      <c r="BG114">
        <v>1138</v>
      </c>
      <c r="BH114" t="s">
        <v>1213</v>
      </c>
      <c r="BI114">
        <v>0.35</v>
      </c>
      <c r="BJ114" t="s">
        <v>1449</v>
      </c>
      <c r="BK114" t="s">
        <v>393</v>
      </c>
      <c r="BL114" t="s">
        <v>396</v>
      </c>
      <c r="BM114" t="s">
        <v>400</v>
      </c>
      <c r="BN114">
        <v>29004</v>
      </c>
    </row>
    <row r="115" spans="1:66" ht="14.45" customHeight="1">
      <c r="A115" s="155"/>
      <c r="B115" s="30">
        <f t="shared" si="10"/>
        <v>29005</v>
      </c>
      <c r="C115" s="30" t="s">
        <v>2197</v>
      </c>
      <c r="D115" s="30"/>
      <c r="E115" s="30" t="s">
        <v>2180</v>
      </c>
      <c r="F115" s="31" t="s">
        <v>2186</v>
      </c>
      <c r="G115" s="30" t="s">
        <v>1452</v>
      </c>
      <c r="H115" s="30"/>
      <c r="I115" s="30"/>
      <c r="J115" s="30"/>
      <c r="K115" s="30" t="s">
        <v>2184</v>
      </c>
      <c r="L115" s="30" t="s">
        <v>2187</v>
      </c>
      <c r="M115" s="30" t="s">
        <v>2180</v>
      </c>
      <c r="N115" s="30"/>
      <c r="P115" s="30"/>
      <c r="Q115" s="30"/>
      <c r="R115" s="30"/>
      <c r="S115" s="30"/>
      <c r="T115" s="31"/>
      <c r="U115" s="30"/>
      <c r="V115" s="30"/>
      <c r="W115" s="30"/>
      <c r="X115" s="30"/>
      <c r="Y115" s="30"/>
      <c r="Z115" s="30"/>
      <c r="AA115" s="30"/>
      <c r="AB115" s="30"/>
      <c r="AC115" s="30"/>
      <c r="AD115" s="30"/>
      <c r="AE115" s="30"/>
      <c r="AF115" s="30" t="str">
        <f t="shared" si="11"/>
        <v>SP_AC31             KS_CPM_A</v>
      </c>
      <c r="AG115" s="30" t="s">
        <v>2182</v>
      </c>
      <c r="AH115">
        <v>3</v>
      </c>
      <c r="AI115">
        <v>29005</v>
      </c>
      <c r="AJ115" t="s">
        <v>1450</v>
      </c>
      <c r="AK115" t="s">
        <v>19</v>
      </c>
      <c r="AL115" t="s">
        <v>19</v>
      </c>
      <c r="AM115" t="s">
        <v>1451</v>
      </c>
      <c r="AN115">
        <v>170</v>
      </c>
      <c r="AO115" t="s">
        <v>1452</v>
      </c>
      <c r="AP115">
        <v>1</v>
      </c>
      <c r="AQ115" t="s">
        <v>1453</v>
      </c>
      <c r="AR115" t="s">
        <v>19</v>
      </c>
      <c r="AS115" t="s">
        <v>19</v>
      </c>
      <c r="AT115" t="s">
        <v>19</v>
      </c>
      <c r="AU115" t="s">
        <v>81</v>
      </c>
      <c r="AV115" t="s">
        <v>81</v>
      </c>
      <c r="AW115" t="s">
        <v>80</v>
      </c>
      <c r="AX115" t="s">
        <v>82</v>
      </c>
      <c r="AY115">
        <v>13</v>
      </c>
      <c r="AZ115" t="s">
        <v>83</v>
      </c>
      <c r="BA115" t="s">
        <v>36</v>
      </c>
      <c r="BB115" t="s">
        <v>19</v>
      </c>
      <c r="BC115" t="s">
        <v>1121</v>
      </c>
      <c r="BD115" t="s">
        <v>1115</v>
      </c>
      <c r="BE115" t="s">
        <v>19</v>
      </c>
      <c r="BF115" t="s">
        <v>19</v>
      </c>
      <c r="BG115">
        <v>279</v>
      </c>
      <c r="BH115" t="s">
        <v>1094</v>
      </c>
      <c r="BI115">
        <v>0.5</v>
      </c>
      <c r="BJ115" t="s">
        <v>1454</v>
      </c>
      <c r="BK115" t="s">
        <v>393</v>
      </c>
      <c r="BL115" t="s">
        <v>396</v>
      </c>
      <c r="BM115" t="s">
        <v>400</v>
      </c>
      <c r="BN115">
        <v>29005</v>
      </c>
    </row>
    <row r="116" spans="1:66" ht="14.45" customHeight="1">
      <c r="A116" s="155"/>
      <c r="B116" s="30">
        <f t="shared" si="10"/>
        <v>29006</v>
      </c>
      <c r="C116" s="30" t="s">
        <v>2197</v>
      </c>
      <c r="D116" s="30"/>
      <c r="E116" s="30" t="s">
        <v>2180</v>
      </c>
      <c r="F116" s="31"/>
      <c r="G116" s="30"/>
      <c r="H116" s="30"/>
      <c r="I116" s="30"/>
      <c r="J116" s="30"/>
      <c r="K116" s="30"/>
      <c r="L116" s="30" t="s">
        <v>2180</v>
      </c>
      <c r="M116" s="30" t="s">
        <v>2180</v>
      </c>
      <c r="N116" s="30"/>
      <c r="P116" s="30"/>
      <c r="Q116" s="30"/>
      <c r="R116" s="30"/>
      <c r="S116" s="30"/>
      <c r="T116" s="31"/>
      <c r="U116" s="30"/>
      <c r="V116" s="30"/>
      <c r="W116" s="30"/>
      <c r="X116" s="30"/>
      <c r="Y116" s="30"/>
      <c r="Z116" s="30"/>
      <c r="AA116" s="30"/>
      <c r="AB116" s="30"/>
      <c r="AC116" s="30"/>
      <c r="AD116" s="30"/>
      <c r="AE116" s="30"/>
      <c r="AF116" s="30" t="str">
        <f t="shared" si="11"/>
        <v>STO51A              KS_CPM_F</v>
      </c>
      <c r="AG116" s="30" t="s">
        <v>2182</v>
      </c>
      <c r="AH116">
        <v>3</v>
      </c>
      <c r="AI116">
        <v>29006</v>
      </c>
      <c r="AJ116" t="s">
        <v>1455</v>
      </c>
      <c r="AK116" t="s">
        <v>19</v>
      </c>
      <c r="AL116" t="s">
        <v>171</v>
      </c>
      <c r="AM116" t="s">
        <v>171</v>
      </c>
      <c r="AN116" t="s">
        <v>170</v>
      </c>
      <c r="AO116" t="s">
        <v>172</v>
      </c>
      <c r="AP116" t="s">
        <v>1456</v>
      </c>
      <c r="AQ116" t="s">
        <v>173</v>
      </c>
      <c r="AR116" t="s">
        <v>44</v>
      </c>
      <c r="AS116" t="s">
        <v>19</v>
      </c>
      <c r="AT116" t="s">
        <v>19</v>
      </c>
      <c r="AU116" t="s">
        <v>81</v>
      </c>
      <c r="AV116" t="s">
        <v>92</v>
      </c>
      <c r="AW116" t="s">
        <v>91</v>
      </c>
      <c r="AX116" t="s">
        <v>93</v>
      </c>
      <c r="AY116">
        <v>16</v>
      </c>
      <c r="AZ116" t="s">
        <v>94</v>
      </c>
      <c r="BA116" t="s">
        <v>32</v>
      </c>
      <c r="BB116" t="s">
        <v>19</v>
      </c>
      <c r="BC116" t="s">
        <v>1457</v>
      </c>
      <c r="BD116" t="s">
        <v>1115</v>
      </c>
      <c r="BE116" t="s">
        <v>19</v>
      </c>
      <c r="BF116" t="s">
        <v>19</v>
      </c>
      <c r="BG116">
        <v>1453</v>
      </c>
      <c r="BH116" t="s">
        <v>1458</v>
      </c>
      <c r="BI116">
        <v>2.5</v>
      </c>
      <c r="BJ116" t="s">
        <v>1459</v>
      </c>
      <c r="BK116" t="s">
        <v>393</v>
      </c>
      <c r="BL116" t="s">
        <v>396</v>
      </c>
      <c r="BM116" t="s">
        <v>400</v>
      </c>
      <c r="BN116">
        <v>29006</v>
      </c>
    </row>
    <row r="117" spans="1:66" ht="14.45" customHeight="1">
      <c r="A117" s="155"/>
      <c r="B117" s="30">
        <f t="shared" si="10"/>
        <v>29007</v>
      </c>
      <c r="C117" s="30" t="s">
        <v>2197</v>
      </c>
      <c r="D117" s="30"/>
      <c r="E117" s="30" t="s">
        <v>2180</v>
      </c>
      <c r="F117" s="31"/>
      <c r="G117" s="30"/>
      <c r="H117" s="30"/>
      <c r="I117" s="30"/>
      <c r="J117" s="30"/>
      <c r="K117" s="30"/>
      <c r="L117" s="30" t="s">
        <v>2180</v>
      </c>
      <c r="M117" s="30" t="s">
        <v>2180</v>
      </c>
      <c r="N117" s="30"/>
      <c r="P117" s="30"/>
      <c r="Q117" s="30"/>
      <c r="R117" s="30"/>
      <c r="S117" s="30"/>
      <c r="T117" s="31"/>
      <c r="U117" s="30"/>
      <c r="V117" s="30"/>
      <c r="W117" s="30"/>
      <c r="X117" s="195" t="s">
        <v>2399</v>
      </c>
      <c r="Y117" s="30"/>
      <c r="Z117" s="30"/>
      <c r="AA117" s="30"/>
      <c r="AB117" s="30"/>
      <c r="AC117" s="30"/>
      <c r="AD117" s="30"/>
      <c r="AE117" s="30"/>
      <c r="AF117" s="30" t="str">
        <f t="shared" si="11"/>
        <v>SGKG102P_B          TMPF100P</v>
      </c>
      <c r="AG117" s="30" t="s">
        <v>2182</v>
      </c>
      <c r="AH117">
        <v>3</v>
      </c>
      <c r="AI117">
        <v>29007</v>
      </c>
      <c r="AJ117" t="s">
        <v>1460</v>
      </c>
      <c r="AK117" t="s">
        <v>19</v>
      </c>
      <c r="AL117" t="s">
        <v>241</v>
      </c>
      <c r="AM117" t="s">
        <v>241</v>
      </c>
      <c r="AN117" t="s">
        <v>240</v>
      </c>
      <c r="AO117" t="s">
        <v>242</v>
      </c>
      <c r="AP117">
        <v>28</v>
      </c>
      <c r="AQ117" t="s">
        <v>243</v>
      </c>
      <c r="AR117" t="s">
        <v>41</v>
      </c>
      <c r="AS117" t="s">
        <v>19</v>
      </c>
      <c r="AT117" t="s">
        <v>19</v>
      </c>
      <c r="AU117" t="s">
        <v>454</v>
      </c>
      <c r="AV117" t="s">
        <v>454</v>
      </c>
      <c r="AW117" t="s">
        <v>453</v>
      </c>
      <c r="AX117" t="s">
        <v>455</v>
      </c>
      <c r="AY117">
        <v>3</v>
      </c>
      <c r="AZ117" t="s">
        <v>456</v>
      </c>
      <c r="BA117" t="s">
        <v>404</v>
      </c>
      <c r="BB117" t="s">
        <v>19</v>
      </c>
      <c r="BC117" t="s">
        <v>1461</v>
      </c>
      <c r="BD117" t="s">
        <v>1115</v>
      </c>
      <c r="BE117" t="s">
        <v>19</v>
      </c>
      <c r="BF117" t="s">
        <v>19</v>
      </c>
      <c r="BG117">
        <v>862</v>
      </c>
      <c r="BH117" t="s">
        <v>1462</v>
      </c>
      <c r="BI117">
        <v>0.13</v>
      </c>
      <c r="BJ117" t="s">
        <v>1463</v>
      </c>
      <c r="BK117" t="s">
        <v>393</v>
      </c>
      <c r="BL117" t="s">
        <v>396</v>
      </c>
      <c r="BM117" t="s">
        <v>400</v>
      </c>
      <c r="BN117">
        <v>29007</v>
      </c>
    </row>
    <row r="118" spans="1:66" ht="14.45" customHeight="1">
      <c r="A118" s="155"/>
      <c r="B118" s="30">
        <f t="shared" si="10"/>
        <v>29008</v>
      </c>
      <c r="C118" s="30" t="s">
        <v>2197</v>
      </c>
      <c r="D118" s="30"/>
      <c r="E118" s="30" t="s">
        <v>2180</v>
      </c>
      <c r="F118" s="31"/>
      <c r="G118" s="30"/>
      <c r="H118" s="30"/>
      <c r="I118" s="30"/>
      <c r="J118" s="30"/>
      <c r="K118" s="30"/>
      <c r="L118" s="30" t="s">
        <v>2180</v>
      </c>
      <c r="M118" s="30" t="s">
        <v>2180</v>
      </c>
      <c r="N118" s="30"/>
      <c r="P118" s="30"/>
      <c r="Q118" s="30"/>
      <c r="R118" s="30"/>
      <c r="S118" s="30"/>
      <c r="T118" s="31"/>
      <c r="U118" s="30"/>
      <c r="V118" s="30"/>
      <c r="W118" s="30"/>
      <c r="X118" s="195" t="s">
        <v>2399</v>
      </c>
      <c r="Y118" s="30"/>
      <c r="Z118" s="30"/>
      <c r="AA118" s="30"/>
      <c r="AB118" s="30"/>
      <c r="AC118" s="30"/>
      <c r="AD118" s="30"/>
      <c r="AE118" s="30"/>
      <c r="AF118" s="30" t="str">
        <f t="shared" si="11"/>
        <v>SGKG102P_B          TMPF100P</v>
      </c>
      <c r="AG118" s="30" t="s">
        <v>2182</v>
      </c>
      <c r="AH118">
        <v>3</v>
      </c>
      <c r="AI118">
        <v>29008</v>
      </c>
      <c r="AJ118" t="s">
        <v>1464</v>
      </c>
      <c r="AK118" t="s">
        <v>19</v>
      </c>
      <c r="AL118" t="s">
        <v>241</v>
      </c>
      <c r="AM118" t="s">
        <v>241</v>
      </c>
      <c r="AN118" t="s">
        <v>240</v>
      </c>
      <c r="AO118" t="s">
        <v>242</v>
      </c>
      <c r="AP118">
        <v>29</v>
      </c>
      <c r="AQ118" t="s">
        <v>243</v>
      </c>
      <c r="AR118" t="s">
        <v>41</v>
      </c>
      <c r="AS118" t="s">
        <v>19</v>
      </c>
      <c r="AT118" t="s">
        <v>19</v>
      </c>
      <c r="AU118" t="s">
        <v>454</v>
      </c>
      <c r="AV118" t="s">
        <v>454</v>
      </c>
      <c r="AW118" t="s">
        <v>453</v>
      </c>
      <c r="AX118" t="s">
        <v>455</v>
      </c>
      <c r="AY118">
        <v>4</v>
      </c>
      <c r="AZ118" t="s">
        <v>456</v>
      </c>
      <c r="BA118" t="s">
        <v>404</v>
      </c>
      <c r="BB118" t="s">
        <v>19</v>
      </c>
      <c r="BC118" t="s">
        <v>1465</v>
      </c>
      <c r="BD118" t="s">
        <v>1115</v>
      </c>
      <c r="BE118" t="s">
        <v>19</v>
      </c>
      <c r="BF118" t="s">
        <v>19</v>
      </c>
      <c r="BG118">
        <v>862</v>
      </c>
      <c r="BH118" t="s">
        <v>1466</v>
      </c>
      <c r="BI118">
        <v>0.13</v>
      </c>
      <c r="BJ118" t="s">
        <v>1467</v>
      </c>
      <c r="BK118" t="s">
        <v>393</v>
      </c>
      <c r="BL118" t="s">
        <v>396</v>
      </c>
      <c r="BM118" t="s">
        <v>400</v>
      </c>
      <c r="BN118">
        <v>29008</v>
      </c>
    </row>
    <row r="119" spans="1:66" ht="14.45" customHeight="1">
      <c r="A119" s="155"/>
      <c r="B119" s="30">
        <f t="shared" si="10"/>
        <v>29009</v>
      </c>
      <c r="C119" s="30" t="s">
        <v>2197</v>
      </c>
      <c r="D119" s="30"/>
      <c r="E119" s="30" t="s">
        <v>2180</v>
      </c>
      <c r="F119" s="31"/>
      <c r="G119" s="30"/>
      <c r="H119" s="30"/>
      <c r="I119" s="30"/>
      <c r="J119" s="30"/>
      <c r="K119" s="30"/>
      <c r="L119" s="30" t="s">
        <v>2180</v>
      </c>
      <c r="M119" s="30" t="s">
        <v>2180</v>
      </c>
      <c r="N119" s="30"/>
      <c r="P119" s="30"/>
      <c r="Q119" s="30"/>
      <c r="R119" s="30"/>
      <c r="S119" s="30"/>
      <c r="T119" s="31"/>
      <c r="U119" s="30"/>
      <c r="V119" s="30"/>
      <c r="W119" s="30"/>
      <c r="X119" s="195" t="s">
        <v>2399</v>
      </c>
      <c r="Y119" s="30"/>
      <c r="Z119" s="30"/>
      <c r="AA119" s="30"/>
      <c r="AB119" s="30"/>
      <c r="AC119" s="30"/>
      <c r="AD119" s="30"/>
      <c r="AE119" s="30"/>
      <c r="AF119" s="30" t="str">
        <f t="shared" si="11"/>
        <v>SGKG102P_B          TMPF100P</v>
      </c>
      <c r="AG119" s="30" t="s">
        <v>2182</v>
      </c>
      <c r="AH119">
        <v>3</v>
      </c>
      <c r="AI119">
        <v>29009</v>
      </c>
      <c r="AJ119" t="s">
        <v>1468</v>
      </c>
      <c r="AK119" t="s">
        <v>19</v>
      </c>
      <c r="AL119" t="s">
        <v>241</v>
      </c>
      <c r="AM119" t="s">
        <v>241</v>
      </c>
      <c r="AN119" t="s">
        <v>240</v>
      </c>
      <c r="AO119" t="s">
        <v>242</v>
      </c>
      <c r="AP119">
        <v>30</v>
      </c>
      <c r="AQ119" t="s">
        <v>243</v>
      </c>
      <c r="AR119" t="s">
        <v>41</v>
      </c>
      <c r="AS119" t="s">
        <v>19</v>
      </c>
      <c r="AT119" t="s">
        <v>19</v>
      </c>
      <c r="AU119" t="s">
        <v>454</v>
      </c>
      <c r="AV119" t="s">
        <v>454</v>
      </c>
      <c r="AW119" t="s">
        <v>453</v>
      </c>
      <c r="AX119" t="s">
        <v>455</v>
      </c>
      <c r="AY119">
        <v>1</v>
      </c>
      <c r="AZ119" t="s">
        <v>456</v>
      </c>
      <c r="BA119" t="s">
        <v>404</v>
      </c>
      <c r="BB119" t="s">
        <v>19</v>
      </c>
      <c r="BC119" t="s">
        <v>1469</v>
      </c>
      <c r="BD119" t="s">
        <v>1115</v>
      </c>
      <c r="BE119" t="s">
        <v>19</v>
      </c>
      <c r="BF119" t="s">
        <v>19</v>
      </c>
      <c r="BG119">
        <v>862</v>
      </c>
      <c r="BH119" t="s">
        <v>1470</v>
      </c>
      <c r="BI119">
        <v>0.13</v>
      </c>
      <c r="BJ119" t="s">
        <v>1471</v>
      </c>
      <c r="BK119" t="s">
        <v>393</v>
      </c>
      <c r="BL119" t="s">
        <v>396</v>
      </c>
      <c r="BM119" t="s">
        <v>400</v>
      </c>
      <c r="BN119">
        <v>29009</v>
      </c>
    </row>
    <row r="120" spans="1:66" ht="14.45" customHeight="1">
      <c r="A120" s="155"/>
      <c r="B120" s="30">
        <f t="shared" si="10"/>
        <v>29011</v>
      </c>
      <c r="C120" s="30" t="s">
        <v>2197</v>
      </c>
      <c r="D120" s="30"/>
      <c r="E120" s="30" t="s">
        <v>2180</v>
      </c>
      <c r="F120" s="31" t="s">
        <v>2186</v>
      </c>
      <c r="G120" s="30" t="s">
        <v>1475</v>
      </c>
      <c r="H120" s="30"/>
      <c r="I120" s="30"/>
      <c r="J120" s="30"/>
      <c r="K120" s="30" t="s">
        <v>2184</v>
      </c>
      <c r="L120" s="30" t="s">
        <v>2187</v>
      </c>
      <c r="M120" s="30" t="s">
        <v>2180</v>
      </c>
      <c r="N120" s="30"/>
      <c r="P120" s="30"/>
      <c r="Q120" s="30"/>
      <c r="R120" s="30"/>
      <c r="S120" s="30"/>
      <c r="T120" s="31"/>
      <c r="U120" s="30"/>
      <c r="V120" s="30"/>
      <c r="W120" s="30"/>
      <c r="X120" s="30"/>
      <c r="Y120" s="30"/>
      <c r="Z120" s="30"/>
      <c r="AA120" s="30"/>
      <c r="AB120" s="30"/>
      <c r="AC120" s="30"/>
      <c r="AD120" s="30"/>
      <c r="AE120" s="30"/>
      <c r="AF120" s="30" t="str">
        <f t="shared" si="11"/>
        <v>SP_31SM             SGKG102P_B</v>
      </c>
      <c r="AG120" s="30" t="s">
        <v>2182</v>
      </c>
      <c r="AH120">
        <v>3</v>
      </c>
      <c r="AI120">
        <v>29011</v>
      </c>
      <c r="AJ120" t="s">
        <v>1472</v>
      </c>
      <c r="AK120" t="s">
        <v>19</v>
      </c>
      <c r="AL120" t="s">
        <v>19</v>
      </c>
      <c r="AM120" t="s">
        <v>1473</v>
      </c>
      <c r="AN120" t="s">
        <v>1474</v>
      </c>
      <c r="AO120" t="s">
        <v>1475</v>
      </c>
      <c r="AP120">
        <v>1</v>
      </c>
      <c r="AQ120" t="s">
        <v>1476</v>
      </c>
      <c r="AR120" t="s">
        <v>19</v>
      </c>
      <c r="AS120" t="s">
        <v>19</v>
      </c>
      <c r="AT120" t="s">
        <v>19</v>
      </c>
      <c r="AU120" t="s">
        <v>241</v>
      </c>
      <c r="AV120" t="s">
        <v>241</v>
      </c>
      <c r="AW120" t="s">
        <v>240</v>
      </c>
      <c r="AX120" t="s">
        <v>242</v>
      </c>
      <c r="AY120">
        <v>38</v>
      </c>
      <c r="AZ120" t="s">
        <v>243</v>
      </c>
      <c r="BA120" t="s">
        <v>46</v>
      </c>
      <c r="BB120" t="s">
        <v>19</v>
      </c>
      <c r="BC120" t="s">
        <v>1477</v>
      </c>
      <c r="BD120" t="s">
        <v>1115</v>
      </c>
      <c r="BE120" t="s">
        <v>19</v>
      </c>
      <c r="BF120" t="s">
        <v>19</v>
      </c>
      <c r="BG120">
        <v>755</v>
      </c>
      <c r="BH120" t="s">
        <v>1164</v>
      </c>
      <c r="BI120">
        <v>0.35</v>
      </c>
      <c r="BJ120" t="s">
        <v>1478</v>
      </c>
      <c r="BK120" t="s">
        <v>393</v>
      </c>
      <c r="BL120" t="s">
        <v>396</v>
      </c>
      <c r="BM120" t="s">
        <v>400</v>
      </c>
      <c r="BN120">
        <v>29011</v>
      </c>
    </row>
    <row r="121" spans="1:66" ht="14.45" customHeight="1">
      <c r="A121" s="155"/>
      <c r="B121" s="30">
        <f t="shared" si="10"/>
        <v>29012</v>
      </c>
      <c r="C121" s="30" t="s">
        <v>2197</v>
      </c>
      <c r="D121" s="30"/>
      <c r="E121" s="30" t="s">
        <v>2180</v>
      </c>
      <c r="F121" s="31" t="s">
        <v>2186</v>
      </c>
      <c r="G121" s="30" t="s">
        <v>1482</v>
      </c>
      <c r="H121" s="30"/>
      <c r="I121" s="30"/>
      <c r="J121" s="30"/>
      <c r="K121" s="30" t="s">
        <v>2184</v>
      </c>
      <c r="L121" s="30" t="s">
        <v>2187</v>
      </c>
      <c r="M121" s="30" t="s">
        <v>2180</v>
      </c>
      <c r="N121" s="30"/>
      <c r="P121" s="30"/>
      <c r="Q121" s="30"/>
      <c r="R121" s="30"/>
      <c r="S121" s="30"/>
      <c r="T121" s="31"/>
      <c r="U121" s="30"/>
      <c r="V121" s="30"/>
      <c r="W121" s="30"/>
      <c r="X121" s="30"/>
      <c r="Y121" s="30"/>
      <c r="Z121" s="30"/>
      <c r="AA121" s="30"/>
      <c r="AB121" s="30"/>
      <c r="AC121" s="30"/>
      <c r="AD121" s="30"/>
      <c r="AE121" s="30"/>
      <c r="AF121" s="30" t="str">
        <f t="shared" si="11"/>
        <v>SP_AC30             KS_CPM_A</v>
      </c>
      <c r="AG121" s="30" t="s">
        <v>2182</v>
      </c>
      <c r="AH121">
        <v>3</v>
      </c>
      <c r="AI121">
        <v>29012</v>
      </c>
      <c r="AJ121" t="s">
        <v>1479</v>
      </c>
      <c r="AK121" t="s">
        <v>19</v>
      </c>
      <c r="AL121" t="s">
        <v>19</v>
      </c>
      <c r="AM121" t="s">
        <v>1480</v>
      </c>
      <c r="AN121" t="s">
        <v>1481</v>
      </c>
      <c r="AO121" t="s">
        <v>1482</v>
      </c>
      <c r="AP121">
        <v>1</v>
      </c>
      <c r="AQ121" t="s">
        <v>1483</v>
      </c>
      <c r="AR121" t="s">
        <v>19</v>
      </c>
      <c r="AS121" t="s">
        <v>19</v>
      </c>
      <c r="AT121" t="s">
        <v>19</v>
      </c>
      <c r="AU121" t="s">
        <v>81</v>
      </c>
      <c r="AV121" t="s">
        <v>81</v>
      </c>
      <c r="AW121" t="s">
        <v>80</v>
      </c>
      <c r="AX121" t="s">
        <v>82</v>
      </c>
      <c r="AY121">
        <v>12</v>
      </c>
      <c r="AZ121" t="s">
        <v>83</v>
      </c>
      <c r="BA121" t="s">
        <v>36</v>
      </c>
      <c r="BB121" t="s">
        <v>19</v>
      </c>
      <c r="BC121" t="s">
        <v>1261</v>
      </c>
      <c r="BD121" t="s">
        <v>1115</v>
      </c>
      <c r="BE121" t="s">
        <v>19</v>
      </c>
      <c r="BF121" t="s">
        <v>19</v>
      </c>
      <c r="BG121">
        <v>394</v>
      </c>
      <c r="BH121" t="s">
        <v>1218</v>
      </c>
      <c r="BI121">
        <v>0.5</v>
      </c>
      <c r="BJ121" t="s">
        <v>1484</v>
      </c>
      <c r="BK121" t="s">
        <v>393</v>
      </c>
      <c r="BL121" t="s">
        <v>396</v>
      </c>
      <c r="BM121" t="s">
        <v>400</v>
      </c>
      <c r="BN121">
        <v>29012</v>
      </c>
    </row>
    <row r="122" spans="1:66" ht="14.45" customHeight="1">
      <c r="A122" s="155"/>
      <c r="B122" s="30">
        <f t="shared" si="10"/>
        <v>29013</v>
      </c>
      <c r="C122" s="30" t="s">
        <v>2197</v>
      </c>
      <c r="D122" s="30"/>
      <c r="E122" s="30" t="s">
        <v>2180</v>
      </c>
      <c r="F122" s="31" t="s">
        <v>2186</v>
      </c>
      <c r="G122" s="30" t="s">
        <v>1482</v>
      </c>
      <c r="H122" s="30"/>
      <c r="I122" s="30"/>
      <c r="J122" s="30"/>
      <c r="K122" s="30" t="s">
        <v>2184</v>
      </c>
      <c r="L122" s="30" t="s">
        <v>2187</v>
      </c>
      <c r="M122" s="30" t="s">
        <v>2180</v>
      </c>
      <c r="N122" s="30"/>
      <c r="P122" s="30"/>
      <c r="Q122" s="30"/>
      <c r="R122" s="30"/>
      <c r="S122" s="30"/>
      <c r="T122" s="31"/>
      <c r="U122" s="30"/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 t="str">
        <f t="shared" si="11"/>
        <v>SP_AC30             KS_CPR_C</v>
      </c>
      <c r="AG122" s="30" t="s">
        <v>2182</v>
      </c>
      <c r="AH122">
        <v>3</v>
      </c>
      <c r="AI122">
        <v>29013</v>
      </c>
      <c r="AJ122" t="s">
        <v>1485</v>
      </c>
      <c r="AK122" t="s">
        <v>19</v>
      </c>
      <c r="AL122" t="s">
        <v>19</v>
      </c>
      <c r="AM122" t="s">
        <v>1480</v>
      </c>
      <c r="AN122" t="s">
        <v>1481</v>
      </c>
      <c r="AO122" t="s">
        <v>1482</v>
      </c>
      <c r="AP122">
        <v>1</v>
      </c>
      <c r="AQ122" t="s">
        <v>1483</v>
      </c>
      <c r="AR122" t="s">
        <v>19</v>
      </c>
      <c r="AS122" t="s">
        <v>19</v>
      </c>
      <c r="AT122" t="s">
        <v>19</v>
      </c>
      <c r="AU122" t="s">
        <v>96</v>
      </c>
      <c r="AV122" t="s">
        <v>96</v>
      </c>
      <c r="AW122" t="s">
        <v>103</v>
      </c>
      <c r="AX122" t="s">
        <v>104</v>
      </c>
      <c r="AY122">
        <v>5</v>
      </c>
      <c r="AZ122" t="s">
        <v>105</v>
      </c>
      <c r="BA122" t="s">
        <v>35</v>
      </c>
      <c r="BB122" t="s">
        <v>19</v>
      </c>
      <c r="BC122" t="s">
        <v>1296</v>
      </c>
      <c r="BD122" t="s">
        <v>1115</v>
      </c>
      <c r="BE122" t="s">
        <v>19</v>
      </c>
      <c r="BF122" t="s">
        <v>19</v>
      </c>
      <c r="BG122">
        <v>1105</v>
      </c>
      <c r="BH122" t="s">
        <v>1218</v>
      </c>
      <c r="BI122">
        <v>0.35</v>
      </c>
      <c r="BJ122" t="s">
        <v>1484</v>
      </c>
      <c r="BK122" t="s">
        <v>393</v>
      </c>
      <c r="BL122" t="s">
        <v>396</v>
      </c>
      <c r="BM122" t="s">
        <v>400</v>
      </c>
      <c r="BN122">
        <v>29013</v>
      </c>
    </row>
    <row r="123" spans="1:66" ht="14.45" customHeight="1">
      <c r="A123" s="155"/>
      <c r="B123" s="30">
        <f t="shared" si="10"/>
        <v>29014</v>
      </c>
      <c r="C123" s="30" t="s">
        <v>2197</v>
      </c>
      <c r="D123" s="30"/>
      <c r="E123" s="30" t="s">
        <v>2180</v>
      </c>
      <c r="F123" s="31" t="s">
        <v>2183</v>
      </c>
      <c r="G123" s="30" t="s">
        <v>1489</v>
      </c>
      <c r="H123" s="30"/>
      <c r="I123" s="30"/>
      <c r="J123" s="30"/>
      <c r="K123" s="30" t="s">
        <v>2184</v>
      </c>
      <c r="L123" s="30" t="s">
        <v>2187</v>
      </c>
      <c r="M123" s="30" t="s">
        <v>2180</v>
      </c>
      <c r="N123" s="30"/>
      <c r="P123" s="30"/>
      <c r="Q123" s="30"/>
      <c r="R123" s="30"/>
      <c r="S123" s="30"/>
      <c r="T123" s="31"/>
      <c r="U123" s="30"/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 t="str">
        <f t="shared" si="11"/>
        <v>SP_ACLIN3           KS_CPM_F</v>
      </c>
      <c r="AG123" s="30" t="s">
        <v>2182</v>
      </c>
      <c r="AH123">
        <v>3</v>
      </c>
      <c r="AI123">
        <v>29014</v>
      </c>
      <c r="AJ123" t="s">
        <v>1486</v>
      </c>
      <c r="AK123" t="s">
        <v>19</v>
      </c>
      <c r="AL123" t="s">
        <v>19</v>
      </c>
      <c r="AM123" t="s">
        <v>1487</v>
      </c>
      <c r="AN123" t="s">
        <v>1488</v>
      </c>
      <c r="AO123" t="s">
        <v>1489</v>
      </c>
      <c r="AP123">
        <v>1</v>
      </c>
      <c r="AQ123" t="s">
        <v>303</v>
      </c>
      <c r="AR123" t="s">
        <v>19</v>
      </c>
      <c r="AS123" t="s">
        <v>19</v>
      </c>
      <c r="AT123" t="s">
        <v>19</v>
      </c>
      <c r="AU123" t="s">
        <v>81</v>
      </c>
      <c r="AV123" t="s">
        <v>92</v>
      </c>
      <c r="AW123" t="s">
        <v>91</v>
      </c>
      <c r="AX123" t="s">
        <v>93</v>
      </c>
      <c r="AY123">
        <v>9</v>
      </c>
      <c r="AZ123" t="s">
        <v>94</v>
      </c>
      <c r="BA123" t="s">
        <v>35</v>
      </c>
      <c r="BB123" t="s">
        <v>19</v>
      </c>
      <c r="BC123" t="s">
        <v>1490</v>
      </c>
      <c r="BD123" t="s">
        <v>1115</v>
      </c>
      <c r="BE123" t="s">
        <v>19</v>
      </c>
      <c r="BF123" t="s">
        <v>19</v>
      </c>
      <c r="BG123">
        <v>575</v>
      </c>
      <c r="BH123" t="s">
        <v>1491</v>
      </c>
      <c r="BI123">
        <v>0.35</v>
      </c>
      <c r="BJ123" t="s">
        <v>1492</v>
      </c>
      <c r="BK123" t="s">
        <v>393</v>
      </c>
      <c r="BL123" t="s">
        <v>396</v>
      </c>
      <c r="BM123" t="s">
        <v>400</v>
      </c>
      <c r="BN123">
        <v>29014</v>
      </c>
    </row>
    <row r="124" spans="1:66" ht="14.45" customHeight="1">
      <c r="A124" s="155"/>
      <c r="B124" s="30">
        <f t="shared" si="10"/>
        <v>29015</v>
      </c>
      <c r="C124" s="30" t="s">
        <v>2197</v>
      </c>
      <c r="D124" s="30"/>
      <c r="E124" s="30" t="s">
        <v>2180</v>
      </c>
      <c r="F124" s="31" t="s">
        <v>2186</v>
      </c>
      <c r="G124" s="30" t="s">
        <v>1482</v>
      </c>
      <c r="H124" s="30"/>
      <c r="I124" s="30"/>
      <c r="J124" s="30"/>
      <c r="K124" s="30" t="s">
        <v>2184</v>
      </c>
      <c r="L124" s="30" t="s">
        <v>2180</v>
      </c>
      <c r="M124" s="30" t="s">
        <v>2187</v>
      </c>
      <c r="N124" s="30"/>
      <c r="P124" s="30"/>
      <c r="Q124" s="30"/>
      <c r="R124" s="30"/>
      <c r="S124" s="30"/>
      <c r="T124" s="31"/>
      <c r="U124" s="30"/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 t="str">
        <f t="shared" si="11"/>
        <v>SGKG102P_B          SP_AC30</v>
      </c>
      <c r="AG124" s="30" t="s">
        <v>2182</v>
      </c>
      <c r="AH124">
        <v>3</v>
      </c>
      <c r="AI124">
        <v>29015</v>
      </c>
      <c r="AJ124" t="s">
        <v>1493</v>
      </c>
      <c r="AK124" t="s">
        <v>19</v>
      </c>
      <c r="AL124" t="s">
        <v>241</v>
      </c>
      <c r="AM124" t="s">
        <v>241</v>
      </c>
      <c r="AN124" t="s">
        <v>240</v>
      </c>
      <c r="AO124" t="s">
        <v>242</v>
      </c>
      <c r="AP124">
        <v>40</v>
      </c>
      <c r="AQ124" t="s">
        <v>243</v>
      </c>
      <c r="AR124" t="s">
        <v>47</v>
      </c>
      <c r="AS124" t="s">
        <v>19</v>
      </c>
      <c r="AT124" t="s">
        <v>19</v>
      </c>
      <c r="AU124" t="s">
        <v>19</v>
      </c>
      <c r="AV124" t="s">
        <v>1480</v>
      </c>
      <c r="AW124" t="s">
        <v>1481</v>
      </c>
      <c r="AX124" t="s">
        <v>1482</v>
      </c>
      <c r="AY124">
        <v>1</v>
      </c>
      <c r="AZ124" t="s">
        <v>1483</v>
      </c>
      <c r="BA124" t="s">
        <v>19</v>
      </c>
      <c r="BB124" t="s">
        <v>19</v>
      </c>
      <c r="BC124" t="s">
        <v>1494</v>
      </c>
      <c r="BD124" t="s">
        <v>1115</v>
      </c>
      <c r="BE124" t="s">
        <v>19</v>
      </c>
      <c r="BF124" t="s">
        <v>19</v>
      </c>
      <c r="BG124">
        <v>944</v>
      </c>
      <c r="BH124" t="s">
        <v>1218</v>
      </c>
      <c r="BI124">
        <v>0.75</v>
      </c>
      <c r="BJ124" t="s">
        <v>1484</v>
      </c>
      <c r="BK124" t="s">
        <v>393</v>
      </c>
      <c r="BL124" t="s">
        <v>396</v>
      </c>
      <c r="BM124" t="s">
        <v>400</v>
      </c>
      <c r="BN124">
        <v>29015</v>
      </c>
    </row>
    <row r="125" spans="1:66" ht="14.45" customHeight="1">
      <c r="A125" s="155"/>
      <c r="B125" s="30">
        <f t="shared" si="10"/>
        <v>29016</v>
      </c>
      <c r="C125" s="30" t="s">
        <v>2197</v>
      </c>
      <c r="D125" s="30"/>
      <c r="E125" s="35" t="s">
        <v>2180</v>
      </c>
      <c r="F125" s="31" t="s">
        <v>2186</v>
      </c>
      <c r="G125" s="30" t="s">
        <v>1444</v>
      </c>
      <c r="H125" s="30"/>
      <c r="I125" s="30"/>
      <c r="J125" s="30"/>
      <c r="K125" s="30" t="s">
        <v>2184</v>
      </c>
      <c r="L125" s="35" t="s">
        <v>2180</v>
      </c>
      <c r="M125" s="30" t="s">
        <v>2187</v>
      </c>
      <c r="N125" s="30"/>
      <c r="P125" s="30"/>
      <c r="Q125" s="30"/>
      <c r="R125" s="30"/>
      <c r="S125" s="30"/>
      <c r="T125" s="31"/>
      <c r="U125" s="30"/>
      <c r="V125" s="30"/>
      <c r="W125" s="195" t="s">
        <v>2399</v>
      </c>
      <c r="X125" s="30"/>
      <c r="Y125" s="30"/>
      <c r="Z125" s="30"/>
      <c r="AA125" s="30"/>
      <c r="AB125" s="30"/>
      <c r="AC125" s="30"/>
      <c r="AD125" s="30"/>
      <c r="AE125" s="30"/>
      <c r="AF125" s="30" t="str">
        <f t="shared" si="11"/>
        <v>LIO3P_A             SP_ACLIN2</v>
      </c>
      <c r="AG125" s="30" t="s">
        <v>2182</v>
      </c>
      <c r="AH125">
        <v>3</v>
      </c>
      <c r="AI125">
        <v>29016</v>
      </c>
      <c r="AJ125" t="s">
        <v>1495</v>
      </c>
      <c r="AK125" t="s">
        <v>19</v>
      </c>
      <c r="AL125" t="s">
        <v>446</v>
      </c>
      <c r="AM125" t="s">
        <v>446</v>
      </c>
      <c r="AN125" t="s">
        <v>445</v>
      </c>
      <c r="AO125" t="s">
        <v>447</v>
      </c>
      <c r="AP125">
        <v>2</v>
      </c>
      <c r="AQ125" t="s">
        <v>448</v>
      </c>
      <c r="AR125" t="s">
        <v>404</v>
      </c>
      <c r="AS125" t="s">
        <v>19</v>
      </c>
      <c r="AT125" t="s">
        <v>19</v>
      </c>
      <c r="AU125" t="s">
        <v>19</v>
      </c>
      <c r="AV125" t="s">
        <v>1442</v>
      </c>
      <c r="AW125" t="s">
        <v>1443</v>
      </c>
      <c r="AX125" t="s">
        <v>1444</v>
      </c>
      <c r="AY125">
        <v>1</v>
      </c>
      <c r="AZ125" t="s">
        <v>1445</v>
      </c>
      <c r="BA125" t="s">
        <v>19</v>
      </c>
      <c r="BB125" t="s">
        <v>19</v>
      </c>
      <c r="BC125" t="s">
        <v>1212</v>
      </c>
      <c r="BD125" t="s">
        <v>1115</v>
      </c>
      <c r="BE125" t="s">
        <v>19</v>
      </c>
      <c r="BF125" t="s">
        <v>19</v>
      </c>
      <c r="BG125">
        <v>411</v>
      </c>
      <c r="BH125" t="s">
        <v>1213</v>
      </c>
      <c r="BI125">
        <v>0.13</v>
      </c>
      <c r="BJ125" t="s">
        <v>1446</v>
      </c>
      <c r="BK125" t="s">
        <v>393</v>
      </c>
      <c r="BL125" t="s">
        <v>19</v>
      </c>
      <c r="BM125" t="s">
        <v>400</v>
      </c>
      <c r="BN125">
        <v>29016</v>
      </c>
    </row>
    <row r="126" spans="1:66" ht="14.45" customHeight="1">
      <c r="A126" s="155"/>
      <c r="B126" s="30">
        <f t="shared" si="10"/>
        <v>29017</v>
      </c>
      <c r="C126" s="30" t="s">
        <v>2197</v>
      </c>
      <c r="D126" s="30"/>
      <c r="E126" s="30" t="s">
        <v>2180</v>
      </c>
      <c r="F126" s="31"/>
      <c r="G126" s="30"/>
      <c r="H126" s="30"/>
      <c r="I126" s="30"/>
      <c r="J126" s="30"/>
      <c r="K126" s="30"/>
      <c r="L126" s="30" t="s">
        <v>2180</v>
      </c>
      <c r="M126" s="30" t="s">
        <v>2180</v>
      </c>
      <c r="N126" s="30"/>
      <c r="P126" s="30"/>
      <c r="Q126" s="30"/>
      <c r="R126" s="30"/>
      <c r="S126" s="30"/>
      <c r="T126" s="31"/>
      <c r="U126" s="30"/>
      <c r="V126" s="30"/>
      <c r="W126" s="30"/>
      <c r="X126" s="30"/>
      <c r="Y126" s="30"/>
      <c r="Z126" s="30"/>
      <c r="AA126" s="30"/>
      <c r="AB126" s="30"/>
      <c r="AC126" s="30"/>
      <c r="AD126" s="30"/>
      <c r="AE126" s="30"/>
      <c r="AF126" s="30" t="str">
        <f t="shared" si="11"/>
        <v>KS_CPL_A            KS_CPM_F</v>
      </c>
      <c r="AG126" s="30" t="s">
        <v>2182</v>
      </c>
      <c r="AH126">
        <v>3</v>
      </c>
      <c r="AI126">
        <v>29017</v>
      </c>
      <c r="AJ126" t="s">
        <v>1496</v>
      </c>
      <c r="AK126" t="s">
        <v>19</v>
      </c>
      <c r="AL126" t="s">
        <v>55</v>
      </c>
      <c r="AM126" t="s">
        <v>55</v>
      </c>
      <c r="AN126" t="s">
        <v>54</v>
      </c>
      <c r="AO126" t="s">
        <v>56</v>
      </c>
      <c r="AP126">
        <v>5</v>
      </c>
      <c r="AQ126" t="s">
        <v>57</v>
      </c>
      <c r="AR126" t="s">
        <v>36</v>
      </c>
      <c r="AS126" t="s">
        <v>19</v>
      </c>
      <c r="AT126" t="s">
        <v>19</v>
      </c>
      <c r="AU126" t="s">
        <v>81</v>
      </c>
      <c r="AV126" t="s">
        <v>92</v>
      </c>
      <c r="AW126" t="s">
        <v>91</v>
      </c>
      <c r="AX126" t="s">
        <v>93</v>
      </c>
      <c r="AY126">
        <v>13</v>
      </c>
      <c r="AZ126" t="s">
        <v>94</v>
      </c>
      <c r="BA126" t="s">
        <v>36</v>
      </c>
      <c r="BB126" t="s">
        <v>19</v>
      </c>
      <c r="BC126" t="s">
        <v>1317</v>
      </c>
      <c r="BD126" t="s">
        <v>1115</v>
      </c>
      <c r="BE126" t="s">
        <v>19</v>
      </c>
      <c r="BF126" t="s">
        <v>19</v>
      </c>
      <c r="BG126">
        <v>1662</v>
      </c>
      <c r="BH126" t="s">
        <v>1318</v>
      </c>
      <c r="BI126">
        <v>0.5</v>
      </c>
      <c r="BJ126" t="s">
        <v>1497</v>
      </c>
      <c r="BK126" t="s">
        <v>393</v>
      </c>
      <c r="BL126" t="s">
        <v>396</v>
      </c>
      <c r="BM126" t="s">
        <v>400</v>
      </c>
      <c r="BN126">
        <v>29017</v>
      </c>
    </row>
    <row r="127" spans="1:66" ht="14.45" customHeight="1">
      <c r="A127" s="155"/>
      <c r="B127" s="30">
        <f t="shared" si="10"/>
        <v>29018</v>
      </c>
      <c r="C127" s="30" t="s">
        <v>2197</v>
      </c>
      <c r="D127" s="30"/>
      <c r="E127" s="35" t="s">
        <v>2180</v>
      </c>
      <c r="F127" s="31" t="s">
        <v>2186</v>
      </c>
      <c r="G127" s="30" t="s">
        <v>1444</v>
      </c>
      <c r="H127" s="30"/>
      <c r="I127" s="30"/>
      <c r="J127" s="30"/>
      <c r="K127" s="30" t="s">
        <v>2184</v>
      </c>
      <c r="L127" s="35" t="s">
        <v>2180</v>
      </c>
      <c r="M127" s="30" t="s">
        <v>2187</v>
      </c>
      <c r="N127" s="30"/>
      <c r="P127" s="30"/>
      <c r="Q127" s="30"/>
      <c r="R127" s="30"/>
      <c r="S127" s="30"/>
      <c r="T127" s="31"/>
      <c r="U127" s="30"/>
      <c r="V127" s="30"/>
      <c r="W127" s="30"/>
      <c r="X127" s="30"/>
      <c r="Y127" s="30"/>
      <c r="Z127" s="30"/>
      <c r="AA127" s="30"/>
      <c r="AB127" s="30"/>
      <c r="AC127" s="30"/>
      <c r="AD127" s="30"/>
      <c r="AE127" s="30"/>
      <c r="AF127" s="30" t="str">
        <f t="shared" si="11"/>
        <v>GBR26P              SP_ACLIN2</v>
      </c>
      <c r="AG127" s="30" t="s">
        <v>2182</v>
      </c>
      <c r="AH127">
        <v>3</v>
      </c>
      <c r="AI127">
        <v>29018</v>
      </c>
      <c r="AJ127" t="s">
        <v>1498</v>
      </c>
      <c r="AK127" t="s">
        <v>19</v>
      </c>
      <c r="AL127" t="s">
        <v>473</v>
      </c>
      <c r="AM127" t="s">
        <v>473</v>
      </c>
      <c r="AN127" t="s">
        <v>472</v>
      </c>
      <c r="AO127" t="s">
        <v>474</v>
      </c>
      <c r="AP127">
        <v>4</v>
      </c>
      <c r="AQ127" t="s">
        <v>475</v>
      </c>
      <c r="AR127" t="s">
        <v>27</v>
      </c>
      <c r="AS127" t="s">
        <v>19</v>
      </c>
      <c r="AT127" t="s">
        <v>19</v>
      </c>
      <c r="AU127" t="s">
        <v>19</v>
      </c>
      <c r="AV127" t="s">
        <v>1442</v>
      </c>
      <c r="AW127" t="s">
        <v>1443</v>
      </c>
      <c r="AX127" t="s">
        <v>1444</v>
      </c>
      <c r="AY127">
        <v>1</v>
      </c>
      <c r="AZ127" t="s">
        <v>1445</v>
      </c>
      <c r="BA127" t="s">
        <v>19</v>
      </c>
      <c r="BB127" t="s">
        <v>19</v>
      </c>
      <c r="BC127" t="s">
        <v>1448</v>
      </c>
      <c r="BD127" t="s">
        <v>1115</v>
      </c>
      <c r="BE127" t="s">
        <v>19</v>
      </c>
      <c r="BF127" t="s">
        <v>19</v>
      </c>
      <c r="BG127">
        <v>385</v>
      </c>
      <c r="BH127" t="s">
        <v>1213</v>
      </c>
      <c r="BI127">
        <v>0.35</v>
      </c>
      <c r="BJ127" t="s">
        <v>1446</v>
      </c>
      <c r="BK127" t="s">
        <v>393</v>
      </c>
      <c r="BL127" t="s">
        <v>396</v>
      </c>
      <c r="BM127" t="s">
        <v>400</v>
      </c>
      <c r="BN127">
        <v>29018</v>
      </c>
    </row>
    <row r="128" spans="1:66" ht="14.45" customHeight="1">
      <c r="A128" s="155"/>
      <c r="B128" s="30">
        <f t="shared" si="10"/>
        <v>29019</v>
      </c>
      <c r="C128" s="30" t="s">
        <v>2197</v>
      </c>
      <c r="D128" s="30"/>
      <c r="E128" s="30" t="s">
        <v>2180</v>
      </c>
      <c r="F128" s="31" t="s">
        <v>2186</v>
      </c>
      <c r="G128" s="30" t="s">
        <v>1452</v>
      </c>
      <c r="H128" s="30"/>
      <c r="I128" s="30"/>
      <c r="J128" s="30"/>
      <c r="K128" s="30" t="s">
        <v>2184</v>
      </c>
      <c r="L128" s="30" t="s">
        <v>2187</v>
      </c>
      <c r="M128" s="30" t="s">
        <v>2180</v>
      </c>
      <c r="N128" s="30"/>
      <c r="P128" s="30"/>
      <c r="Q128" s="30"/>
      <c r="R128" s="30"/>
      <c r="S128" s="30"/>
      <c r="T128" s="31"/>
      <c r="U128" s="30"/>
      <c r="V128" s="30"/>
      <c r="W128" s="30"/>
      <c r="X128" s="30"/>
      <c r="Y128" s="30"/>
      <c r="Z128" s="30"/>
      <c r="AA128" s="30"/>
      <c r="AB128" s="30"/>
      <c r="AC128" s="30"/>
      <c r="AD128" s="30"/>
      <c r="AE128" s="30"/>
      <c r="AF128" s="30" t="str">
        <f t="shared" si="11"/>
        <v>SP_AC31             KS_CPR_C</v>
      </c>
      <c r="AG128" s="30" t="s">
        <v>2182</v>
      </c>
      <c r="AH128">
        <v>3</v>
      </c>
      <c r="AI128">
        <v>29019</v>
      </c>
      <c r="AJ128" t="s">
        <v>1499</v>
      </c>
      <c r="AK128" t="s">
        <v>19</v>
      </c>
      <c r="AL128" t="s">
        <v>19</v>
      </c>
      <c r="AM128" t="s">
        <v>1451</v>
      </c>
      <c r="AN128">
        <v>170</v>
      </c>
      <c r="AO128" t="s">
        <v>1452</v>
      </c>
      <c r="AP128">
        <v>1</v>
      </c>
      <c r="AQ128" t="s">
        <v>1453</v>
      </c>
      <c r="AR128" t="s">
        <v>19</v>
      </c>
      <c r="AS128" t="s">
        <v>19</v>
      </c>
      <c r="AT128" t="s">
        <v>19</v>
      </c>
      <c r="AU128" t="s">
        <v>96</v>
      </c>
      <c r="AV128" t="s">
        <v>96</v>
      </c>
      <c r="AW128" t="s">
        <v>103</v>
      </c>
      <c r="AX128" t="s">
        <v>104</v>
      </c>
      <c r="AY128">
        <v>4</v>
      </c>
      <c r="AZ128" t="s">
        <v>105</v>
      </c>
      <c r="BA128" t="s">
        <v>35</v>
      </c>
      <c r="BB128" t="s">
        <v>19</v>
      </c>
      <c r="BC128" t="s">
        <v>1287</v>
      </c>
      <c r="BD128" t="s">
        <v>1115</v>
      </c>
      <c r="BE128" t="s">
        <v>19</v>
      </c>
      <c r="BF128" t="s">
        <v>19</v>
      </c>
      <c r="BG128">
        <v>1049</v>
      </c>
      <c r="BH128" t="s">
        <v>1094</v>
      </c>
      <c r="BI128">
        <v>0.35</v>
      </c>
      <c r="BJ128" t="s">
        <v>1454</v>
      </c>
      <c r="BK128" t="s">
        <v>393</v>
      </c>
      <c r="BL128" t="s">
        <v>396</v>
      </c>
      <c r="BM128" t="s">
        <v>400</v>
      </c>
      <c r="BN128">
        <v>29019</v>
      </c>
    </row>
    <row r="129" spans="1:66" ht="14.45" customHeight="1">
      <c r="A129" s="155"/>
      <c r="B129" s="30">
        <f t="shared" si="10"/>
        <v>29020</v>
      </c>
      <c r="C129" s="30" t="s">
        <v>2197</v>
      </c>
      <c r="D129" s="30"/>
      <c r="E129" s="30" t="s">
        <v>2180</v>
      </c>
      <c r="F129" s="31"/>
      <c r="G129" s="30"/>
      <c r="H129" s="30"/>
      <c r="I129" s="30"/>
      <c r="J129" s="30"/>
      <c r="K129" s="30"/>
      <c r="L129" s="30" t="s">
        <v>2180</v>
      </c>
      <c r="M129" s="30" t="s">
        <v>2180</v>
      </c>
      <c r="N129" s="30"/>
      <c r="P129" s="30"/>
      <c r="Q129" s="30"/>
      <c r="R129" s="30"/>
      <c r="S129" s="30"/>
      <c r="T129" s="31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  <c r="AF129" s="30" t="str">
        <f t="shared" si="11"/>
        <v>KS_CPL_A            KS_CPM_F</v>
      </c>
      <c r="AG129" s="30" t="s">
        <v>2182</v>
      </c>
      <c r="AH129">
        <v>3</v>
      </c>
      <c r="AI129">
        <v>29020</v>
      </c>
      <c r="AJ129" t="s">
        <v>1500</v>
      </c>
      <c r="AK129" t="s">
        <v>19</v>
      </c>
      <c r="AL129" t="s">
        <v>55</v>
      </c>
      <c r="AM129" t="s">
        <v>55</v>
      </c>
      <c r="AN129" t="s">
        <v>54</v>
      </c>
      <c r="AO129" t="s">
        <v>56</v>
      </c>
      <c r="AP129">
        <v>16</v>
      </c>
      <c r="AQ129" t="s">
        <v>57</v>
      </c>
      <c r="AR129" t="s">
        <v>32</v>
      </c>
      <c r="AS129" t="s">
        <v>19</v>
      </c>
      <c r="AT129" t="s">
        <v>19</v>
      </c>
      <c r="AU129" t="s">
        <v>81</v>
      </c>
      <c r="AV129" t="s">
        <v>92</v>
      </c>
      <c r="AW129" t="s">
        <v>91</v>
      </c>
      <c r="AX129" t="s">
        <v>93</v>
      </c>
      <c r="AY129">
        <v>15</v>
      </c>
      <c r="AZ129" t="s">
        <v>94</v>
      </c>
      <c r="BA129" t="s">
        <v>30</v>
      </c>
      <c r="BB129" t="s">
        <v>19</v>
      </c>
      <c r="BC129" t="s">
        <v>1501</v>
      </c>
      <c r="BD129" t="s">
        <v>1115</v>
      </c>
      <c r="BE129" t="s">
        <v>19</v>
      </c>
      <c r="BF129" t="s">
        <v>19</v>
      </c>
      <c r="BG129">
        <v>1662</v>
      </c>
      <c r="BH129" t="s">
        <v>1502</v>
      </c>
      <c r="BI129">
        <v>1.5</v>
      </c>
      <c r="BJ129" t="s">
        <v>1503</v>
      </c>
      <c r="BK129" t="s">
        <v>393</v>
      </c>
      <c r="BL129" t="s">
        <v>396</v>
      </c>
      <c r="BM129" t="s">
        <v>400</v>
      </c>
      <c r="BN129">
        <v>29020</v>
      </c>
    </row>
    <row r="130" spans="1:66" ht="14.45" customHeight="1">
      <c r="A130" s="155"/>
      <c r="B130" s="30">
        <f t="shared" si="10"/>
        <v>29021</v>
      </c>
      <c r="C130" s="30" t="s">
        <v>2197</v>
      </c>
      <c r="D130" s="30"/>
      <c r="E130" s="30" t="s">
        <v>2180</v>
      </c>
      <c r="F130" s="31"/>
      <c r="G130" s="30"/>
      <c r="H130" s="30"/>
      <c r="I130" s="30"/>
      <c r="J130" s="30"/>
      <c r="K130" s="30"/>
      <c r="L130" s="30" t="s">
        <v>2180</v>
      </c>
      <c r="M130" s="30" t="s">
        <v>2180</v>
      </c>
      <c r="N130" s="30"/>
      <c r="P130" s="30"/>
      <c r="Q130" s="30"/>
      <c r="R130" s="30"/>
      <c r="S130" s="30"/>
      <c r="T130" s="31"/>
      <c r="U130" s="30"/>
      <c r="V130" s="30"/>
      <c r="W130" s="30"/>
      <c r="X130" s="30"/>
      <c r="Y130" s="30"/>
      <c r="Z130" s="30"/>
      <c r="AA130" s="30"/>
      <c r="AB130" s="30"/>
      <c r="AC130" s="30"/>
      <c r="AD130" s="30"/>
      <c r="AE130" s="30"/>
      <c r="AF130" s="30" t="str">
        <f t="shared" si="11"/>
        <v>KS_CPR_B            KS_CPM_F</v>
      </c>
      <c r="AG130" s="30" t="s">
        <v>2182</v>
      </c>
      <c r="AH130">
        <v>3</v>
      </c>
      <c r="AI130">
        <v>29021</v>
      </c>
      <c r="AJ130" t="s">
        <v>1504</v>
      </c>
      <c r="AK130" t="s">
        <v>19</v>
      </c>
      <c r="AL130" t="s">
        <v>96</v>
      </c>
      <c r="AM130" t="s">
        <v>96</v>
      </c>
      <c r="AN130" t="s">
        <v>100</v>
      </c>
      <c r="AO130" t="s">
        <v>101</v>
      </c>
      <c r="AP130">
        <v>12</v>
      </c>
      <c r="AQ130" t="s">
        <v>102</v>
      </c>
      <c r="AR130" t="s">
        <v>36</v>
      </c>
      <c r="AS130" t="s">
        <v>19</v>
      </c>
      <c r="AT130" t="s">
        <v>19</v>
      </c>
      <c r="AU130" t="s">
        <v>81</v>
      </c>
      <c r="AV130" t="s">
        <v>92</v>
      </c>
      <c r="AW130" t="s">
        <v>91</v>
      </c>
      <c r="AX130" t="s">
        <v>93</v>
      </c>
      <c r="AY130">
        <v>14</v>
      </c>
      <c r="AZ130" t="s">
        <v>94</v>
      </c>
      <c r="BA130" t="s">
        <v>36</v>
      </c>
      <c r="BB130" t="s">
        <v>19</v>
      </c>
      <c r="BC130" t="s">
        <v>1505</v>
      </c>
      <c r="BD130" t="s">
        <v>1115</v>
      </c>
      <c r="BE130" t="s">
        <v>19</v>
      </c>
      <c r="BF130" t="s">
        <v>19</v>
      </c>
      <c r="BG130">
        <v>1682</v>
      </c>
      <c r="BH130" t="s">
        <v>1502</v>
      </c>
      <c r="BI130">
        <v>0.5</v>
      </c>
      <c r="BJ130" t="s">
        <v>1506</v>
      </c>
      <c r="BK130" t="s">
        <v>393</v>
      </c>
      <c r="BL130" t="s">
        <v>396</v>
      </c>
      <c r="BM130" t="s">
        <v>400</v>
      </c>
      <c r="BN130">
        <v>29021</v>
      </c>
    </row>
    <row r="131" spans="1:66" ht="14.45" customHeight="1">
      <c r="A131" s="155"/>
      <c r="B131" s="30">
        <f t="shared" si="10"/>
        <v>29022</v>
      </c>
      <c r="C131" s="30" t="s">
        <v>2197</v>
      </c>
      <c r="D131" s="30"/>
      <c r="E131" s="35" t="s">
        <v>2180</v>
      </c>
      <c r="F131" s="31"/>
      <c r="G131" s="30"/>
      <c r="H131" s="30"/>
      <c r="I131" s="30"/>
      <c r="J131" s="30"/>
      <c r="K131" s="30"/>
      <c r="L131" s="35" t="s">
        <v>2180</v>
      </c>
      <c r="M131" s="30" t="s">
        <v>2180</v>
      </c>
      <c r="N131" s="30"/>
      <c r="P131" s="30"/>
      <c r="Q131" s="30"/>
      <c r="R131" s="30"/>
      <c r="S131" s="30"/>
      <c r="T131" s="31"/>
      <c r="U131" s="30"/>
      <c r="V131" s="30"/>
      <c r="W131" s="30"/>
      <c r="X131" s="30"/>
      <c r="Y131" s="30"/>
      <c r="Z131" s="30"/>
      <c r="AA131" s="30"/>
      <c r="AB131" s="30"/>
      <c r="AC131" s="30"/>
      <c r="AD131" s="30"/>
      <c r="AE131" s="30"/>
      <c r="AF131" s="30" t="str">
        <f t="shared" si="11"/>
        <v>KS_CPR_A            KS_CPM_F</v>
      </c>
      <c r="AG131" s="30" t="s">
        <v>2182</v>
      </c>
      <c r="AH131">
        <v>3</v>
      </c>
      <c r="AI131">
        <v>29022</v>
      </c>
      <c r="AJ131" t="s">
        <v>1507</v>
      </c>
      <c r="AK131" t="s">
        <v>19</v>
      </c>
      <c r="AL131" t="s">
        <v>96</v>
      </c>
      <c r="AM131" t="s">
        <v>96</v>
      </c>
      <c r="AN131" t="s">
        <v>95</v>
      </c>
      <c r="AO131" t="s">
        <v>97</v>
      </c>
      <c r="AP131">
        <v>17</v>
      </c>
      <c r="AQ131" t="s">
        <v>98</v>
      </c>
      <c r="AR131" t="s">
        <v>30</v>
      </c>
      <c r="AS131" t="s">
        <v>19</v>
      </c>
      <c r="AT131" t="s">
        <v>19</v>
      </c>
      <c r="AU131" t="s">
        <v>81</v>
      </c>
      <c r="AV131" t="s">
        <v>92</v>
      </c>
      <c r="AW131" t="s">
        <v>91</v>
      </c>
      <c r="AX131" t="s">
        <v>93</v>
      </c>
      <c r="AY131">
        <v>17</v>
      </c>
      <c r="AZ131" t="s">
        <v>94</v>
      </c>
      <c r="BA131" t="s">
        <v>30</v>
      </c>
      <c r="BB131" t="s">
        <v>19</v>
      </c>
      <c r="BC131" t="s">
        <v>1508</v>
      </c>
      <c r="BD131" t="s">
        <v>1115</v>
      </c>
      <c r="BE131" t="s">
        <v>19</v>
      </c>
      <c r="BF131" t="s">
        <v>19</v>
      </c>
      <c r="BG131">
        <v>1668</v>
      </c>
      <c r="BH131" t="s">
        <v>1318</v>
      </c>
      <c r="BI131">
        <v>1.5</v>
      </c>
      <c r="BJ131" t="s">
        <v>1509</v>
      </c>
      <c r="BK131" t="s">
        <v>393</v>
      </c>
      <c r="BL131" t="s">
        <v>396</v>
      </c>
      <c r="BM131" t="s">
        <v>400</v>
      </c>
      <c r="BN131">
        <v>29022</v>
      </c>
    </row>
    <row r="132" spans="1:66" ht="14.45" customHeight="1">
      <c r="A132" s="155"/>
      <c r="B132" s="30">
        <f t="shared" si="10"/>
        <v>29023</v>
      </c>
      <c r="C132" s="30" t="s">
        <v>2197</v>
      </c>
      <c r="D132" s="30"/>
      <c r="E132" s="30" t="s">
        <v>2180</v>
      </c>
      <c r="F132" s="31" t="s">
        <v>2186</v>
      </c>
      <c r="G132" s="30" t="s">
        <v>1475</v>
      </c>
      <c r="H132" s="30"/>
      <c r="I132" s="30"/>
      <c r="J132" s="30"/>
      <c r="K132" s="30" t="s">
        <v>2184</v>
      </c>
      <c r="L132" s="30" t="s">
        <v>2187</v>
      </c>
      <c r="M132" s="30" t="s">
        <v>2180</v>
      </c>
      <c r="N132" s="30"/>
      <c r="P132" s="30"/>
      <c r="Q132" s="30"/>
      <c r="R132" s="30"/>
      <c r="S132" s="30"/>
      <c r="T132" s="31"/>
      <c r="U132" s="30"/>
      <c r="V132" s="30"/>
      <c r="W132" s="30"/>
      <c r="X132" s="195" t="s">
        <v>2399</v>
      </c>
      <c r="Y132" s="30"/>
      <c r="Z132" s="30"/>
      <c r="AA132" s="30"/>
      <c r="AB132" s="30"/>
      <c r="AC132" s="30"/>
      <c r="AD132" s="30"/>
      <c r="AE132" s="30"/>
      <c r="AF132" s="30" t="str">
        <f t="shared" si="11"/>
        <v>SP_31SM             TMPF100P</v>
      </c>
      <c r="AG132" s="30" t="s">
        <v>2182</v>
      </c>
      <c r="AH132">
        <v>3</v>
      </c>
      <c r="AI132">
        <v>29023</v>
      </c>
      <c r="AJ132" t="s">
        <v>1510</v>
      </c>
      <c r="AK132" t="s">
        <v>19</v>
      </c>
      <c r="AL132" t="s">
        <v>19</v>
      </c>
      <c r="AM132" t="s">
        <v>1473</v>
      </c>
      <c r="AN132" t="s">
        <v>1474</v>
      </c>
      <c r="AO132" t="s">
        <v>1475</v>
      </c>
      <c r="AP132">
        <v>1</v>
      </c>
      <c r="AQ132" t="s">
        <v>1476</v>
      </c>
      <c r="AR132" t="s">
        <v>19</v>
      </c>
      <c r="AS132" t="s">
        <v>19</v>
      </c>
      <c r="AT132" t="s">
        <v>19</v>
      </c>
      <c r="AU132" t="s">
        <v>454</v>
      </c>
      <c r="AV132" t="s">
        <v>454</v>
      </c>
      <c r="AW132" t="s">
        <v>453</v>
      </c>
      <c r="AX132" t="s">
        <v>455</v>
      </c>
      <c r="AY132">
        <v>2</v>
      </c>
      <c r="AZ132" t="s">
        <v>456</v>
      </c>
      <c r="BA132" t="s">
        <v>404</v>
      </c>
      <c r="BB132" t="s">
        <v>19</v>
      </c>
      <c r="BC132" t="s">
        <v>1511</v>
      </c>
      <c r="BD132" t="s">
        <v>1115</v>
      </c>
      <c r="BE132" t="s">
        <v>19</v>
      </c>
      <c r="BF132" t="s">
        <v>19</v>
      </c>
      <c r="BG132">
        <v>527</v>
      </c>
      <c r="BH132" t="s">
        <v>1164</v>
      </c>
      <c r="BI132">
        <v>0.13</v>
      </c>
      <c r="BJ132" t="s">
        <v>1478</v>
      </c>
      <c r="BK132" t="s">
        <v>393</v>
      </c>
      <c r="BL132" t="s">
        <v>396</v>
      </c>
      <c r="BM132" t="s">
        <v>400</v>
      </c>
      <c r="BN132">
        <v>29023</v>
      </c>
    </row>
    <row r="133" spans="1:66" ht="14.45" customHeight="1">
      <c r="A133" s="155"/>
      <c r="B133" s="30">
        <f t="shared" si="10"/>
        <v>29024</v>
      </c>
      <c r="C133" s="30" t="s">
        <v>2197</v>
      </c>
      <c r="D133" s="30"/>
      <c r="E133" s="30" t="s">
        <v>2180</v>
      </c>
      <c r="F133" s="31" t="s">
        <v>2186</v>
      </c>
      <c r="G133" s="30" t="s">
        <v>1482</v>
      </c>
      <c r="H133" s="30"/>
      <c r="I133" s="30"/>
      <c r="J133" s="30"/>
      <c r="K133" s="30" t="s">
        <v>2184</v>
      </c>
      <c r="L133" s="30" t="s">
        <v>2180</v>
      </c>
      <c r="M133" s="30" t="s">
        <v>2187</v>
      </c>
      <c r="N133" s="30"/>
      <c r="P133" s="30"/>
      <c r="Q133" s="30"/>
      <c r="R133" s="30"/>
      <c r="S133" s="30"/>
      <c r="T133" s="31"/>
      <c r="U133" s="30"/>
      <c r="V133" s="30"/>
      <c r="W133" s="30"/>
      <c r="X133" s="30"/>
      <c r="Y133" s="30"/>
      <c r="Z133" s="30"/>
      <c r="AA133" s="30"/>
      <c r="AB133" s="30"/>
      <c r="AC133" s="30"/>
      <c r="AD133" s="30"/>
      <c r="AE133" s="30"/>
      <c r="AF133" s="30" t="str">
        <f t="shared" si="11"/>
        <v>FSSE                SP_AC30</v>
      </c>
      <c r="AG133" s="30" t="s">
        <v>2182</v>
      </c>
      <c r="AH133">
        <v>3</v>
      </c>
      <c r="AI133">
        <v>29024</v>
      </c>
      <c r="AJ133" t="s">
        <v>1512</v>
      </c>
      <c r="AK133" t="s">
        <v>19</v>
      </c>
      <c r="AL133" t="s">
        <v>417</v>
      </c>
      <c r="AM133" t="s">
        <v>417</v>
      </c>
      <c r="AN133" t="s">
        <v>416</v>
      </c>
      <c r="AO133" t="s">
        <v>418</v>
      </c>
      <c r="AP133">
        <v>1</v>
      </c>
      <c r="AQ133" t="s">
        <v>419</v>
      </c>
      <c r="AR133" t="s">
        <v>46</v>
      </c>
      <c r="AS133" t="s">
        <v>19</v>
      </c>
      <c r="AT133" t="s">
        <v>19</v>
      </c>
      <c r="AU133" t="s">
        <v>19</v>
      </c>
      <c r="AV133" t="s">
        <v>1480</v>
      </c>
      <c r="AW133" t="s">
        <v>1481</v>
      </c>
      <c r="AX133" t="s">
        <v>1482</v>
      </c>
      <c r="AY133">
        <v>1</v>
      </c>
      <c r="AZ133" t="s">
        <v>1483</v>
      </c>
      <c r="BA133" t="s">
        <v>19</v>
      </c>
      <c r="BB133" t="s">
        <v>19</v>
      </c>
      <c r="BC133" t="s">
        <v>1296</v>
      </c>
      <c r="BD133" t="s">
        <v>1115</v>
      </c>
      <c r="BE133" t="s">
        <v>19</v>
      </c>
      <c r="BF133" t="s">
        <v>19</v>
      </c>
      <c r="BG133">
        <v>1025</v>
      </c>
      <c r="BH133" t="s">
        <v>1218</v>
      </c>
      <c r="BI133">
        <v>0.35</v>
      </c>
      <c r="BJ133" t="s">
        <v>1484</v>
      </c>
      <c r="BK133" t="s">
        <v>393</v>
      </c>
      <c r="BL133" t="s">
        <v>396</v>
      </c>
      <c r="BM133" t="s">
        <v>400</v>
      </c>
      <c r="BN133">
        <v>29024</v>
      </c>
    </row>
    <row r="134" spans="1:66" ht="14.45" customHeight="1">
      <c r="A134" s="155"/>
      <c r="B134" s="30">
        <f t="shared" si="10"/>
        <v>29025</v>
      </c>
      <c r="C134" s="30" t="s">
        <v>2197</v>
      </c>
      <c r="D134" s="30"/>
      <c r="E134" s="30" t="s">
        <v>2180</v>
      </c>
      <c r="F134" s="31" t="s">
        <v>2186</v>
      </c>
      <c r="G134" s="30" t="s">
        <v>1452</v>
      </c>
      <c r="H134" s="30"/>
      <c r="I134" s="30"/>
      <c r="J134" s="30"/>
      <c r="K134" s="30" t="s">
        <v>2184</v>
      </c>
      <c r="L134" s="30" t="s">
        <v>2180</v>
      </c>
      <c r="M134" s="30" t="s">
        <v>2187</v>
      </c>
      <c r="N134" s="30"/>
      <c r="P134" s="30"/>
      <c r="Q134" s="30"/>
      <c r="R134" s="30"/>
      <c r="S134" s="30"/>
      <c r="T134" s="31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  <c r="AF134" s="30" t="str">
        <f t="shared" si="11"/>
        <v>FSSE                SP_AC31</v>
      </c>
      <c r="AG134" s="30" t="s">
        <v>2182</v>
      </c>
      <c r="AH134">
        <v>3</v>
      </c>
      <c r="AI134">
        <v>29025</v>
      </c>
      <c r="AJ134" t="s">
        <v>1513</v>
      </c>
      <c r="AK134" t="s">
        <v>19</v>
      </c>
      <c r="AL134" t="s">
        <v>417</v>
      </c>
      <c r="AM134" t="s">
        <v>417</v>
      </c>
      <c r="AN134" t="s">
        <v>416</v>
      </c>
      <c r="AO134" t="s">
        <v>418</v>
      </c>
      <c r="AP134">
        <v>2</v>
      </c>
      <c r="AQ134" t="s">
        <v>419</v>
      </c>
      <c r="AR134" t="s">
        <v>46</v>
      </c>
      <c r="AS134" t="s">
        <v>19</v>
      </c>
      <c r="AT134" t="s">
        <v>19</v>
      </c>
      <c r="AU134" t="s">
        <v>19</v>
      </c>
      <c r="AV134" t="s">
        <v>1451</v>
      </c>
      <c r="AW134">
        <v>170</v>
      </c>
      <c r="AX134" t="s">
        <v>1452</v>
      </c>
      <c r="AY134">
        <v>1</v>
      </c>
      <c r="AZ134" t="s">
        <v>1453</v>
      </c>
      <c r="BA134" t="s">
        <v>19</v>
      </c>
      <c r="BB134" t="s">
        <v>19</v>
      </c>
      <c r="BC134" t="s">
        <v>1287</v>
      </c>
      <c r="BD134" t="s">
        <v>1115</v>
      </c>
      <c r="BE134" t="s">
        <v>19</v>
      </c>
      <c r="BF134" t="s">
        <v>19</v>
      </c>
      <c r="BG134">
        <v>969</v>
      </c>
      <c r="BH134" t="s">
        <v>1094</v>
      </c>
      <c r="BI134">
        <v>0.35</v>
      </c>
      <c r="BJ134" t="s">
        <v>1454</v>
      </c>
      <c r="BK134" t="s">
        <v>393</v>
      </c>
      <c r="BL134" t="s">
        <v>396</v>
      </c>
      <c r="BM134" t="s">
        <v>400</v>
      </c>
      <c r="BN134">
        <v>29025</v>
      </c>
    </row>
    <row r="135" spans="1:66" ht="14.45" customHeight="1">
      <c r="A135" s="155"/>
      <c r="B135" s="30">
        <f t="shared" si="10"/>
        <v>29026</v>
      </c>
      <c r="C135" s="30" t="s">
        <v>2197</v>
      </c>
      <c r="D135" s="30"/>
      <c r="E135" s="35" t="s">
        <v>2180</v>
      </c>
      <c r="F135" s="31" t="s">
        <v>2186</v>
      </c>
      <c r="G135" s="30" t="s">
        <v>1444</v>
      </c>
      <c r="H135" s="30"/>
      <c r="I135" s="30"/>
      <c r="J135" s="30"/>
      <c r="K135" s="30" t="s">
        <v>2184</v>
      </c>
      <c r="L135" s="30" t="s">
        <v>2180</v>
      </c>
      <c r="M135" s="30" t="s">
        <v>2187</v>
      </c>
      <c r="N135" s="30"/>
      <c r="P135" s="30"/>
      <c r="Q135" s="30"/>
      <c r="R135" s="30"/>
      <c r="S135" s="30"/>
      <c r="T135" s="31"/>
      <c r="U135" s="30"/>
      <c r="V135" s="30"/>
      <c r="W135" s="30"/>
      <c r="X135" s="30"/>
      <c r="Y135" s="30"/>
      <c r="Z135" s="30"/>
      <c r="AA135" s="30"/>
      <c r="AB135" s="30"/>
      <c r="AC135" s="30"/>
      <c r="AD135" s="30"/>
      <c r="AE135" s="30"/>
      <c r="AF135" s="30" t="str">
        <f t="shared" si="11"/>
        <v>FSSE                SP_ACLIN2</v>
      </c>
      <c r="AG135" s="30" t="s">
        <v>2182</v>
      </c>
      <c r="AH135">
        <v>3</v>
      </c>
      <c r="AI135">
        <v>29026</v>
      </c>
      <c r="AJ135" t="s">
        <v>1514</v>
      </c>
      <c r="AK135" t="s">
        <v>19</v>
      </c>
      <c r="AL135" t="s">
        <v>417</v>
      </c>
      <c r="AM135" t="s">
        <v>417</v>
      </c>
      <c r="AN135" t="s">
        <v>416</v>
      </c>
      <c r="AO135" t="s">
        <v>418</v>
      </c>
      <c r="AP135">
        <v>4</v>
      </c>
      <c r="AQ135" t="s">
        <v>419</v>
      </c>
      <c r="AR135" t="s">
        <v>41</v>
      </c>
      <c r="AS135" t="s">
        <v>19</v>
      </c>
      <c r="AT135" t="s">
        <v>19</v>
      </c>
      <c r="AU135" t="s">
        <v>19</v>
      </c>
      <c r="AV135" t="s">
        <v>1442</v>
      </c>
      <c r="AW135" t="s">
        <v>1443</v>
      </c>
      <c r="AX135" t="s">
        <v>1444</v>
      </c>
      <c r="AY135">
        <v>1</v>
      </c>
      <c r="AZ135" t="s">
        <v>1445</v>
      </c>
      <c r="BA135" t="s">
        <v>19</v>
      </c>
      <c r="BB135" t="s">
        <v>19</v>
      </c>
      <c r="BC135" t="s">
        <v>1212</v>
      </c>
      <c r="BD135" t="s">
        <v>1115</v>
      </c>
      <c r="BE135" t="s">
        <v>19</v>
      </c>
      <c r="BF135" t="s">
        <v>19</v>
      </c>
      <c r="BG135">
        <v>694</v>
      </c>
      <c r="BH135" t="s">
        <v>1213</v>
      </c>
      <c r="BI135">
        <v>0.13</v>
      </c>
      <c r="BJ135" t="s">
        <v>1446</v>
      </c>
      <c r="BK135" t="s">
        <v>393</v>
      </c>
      <c r="BL135" t="s">
        <v>396</v>
      </c>
      <c r="BM135" t="s">
        <v>400</v>
      </c>
      <c r="BN135">
        <v>29026</v>
      </c>
    </row>
    <row r="136" spans="1:66" ht="14.45" customHeight="1">
      <c r="A136" s="155"/>
      <c r="B136" s="30">
        <f t="shared" si="10"/>
        <v>29027</v>
      </c>
      <c r="C136" s="30" t="s">
        <v>2197</v>
      </c>
      <c r="D136" s="30"/>
      <c r="E136" s="35" t="s">
        <v>2180</v>
      </c>
      <c r="F136" s="31" t="s">
        <v>2186</v>
      </c>
      <c r="G136" s="30" t="s">
        <v>1444</v>
      </c>
      <c r="H136" s="30"/>
      <c r="I136" s="30"/>
      <c r="J136" s="30"/>
      <c r="K136" s="30" t="s">
        <v>2184</v>
      </c>
      <c r="L136" s="30" t="s">
        <v>2187</v>
      </c>
      <c r="M136" s="30" t="s">
        <v>2180</v>
      </c>
      <c r="N136" s="30"/>
      <c r="P136" s="30"/>
      <c r="Q136" s="30"/>
      <c r="R136" s="30"/>
      <c r="S136" s="30"/>
      <c r="T136" s="31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 t="str">
        <f t="shared" si="11"/>
        <v>SP_ACLIN2           KS_CPR_C</v>
      </c>
      <c r="AG136" s="30" t="s">
        <v>2182</v>
      </c>
      <c r="AH136">
        <v>3</v>
      </c>
      <c r="AI136">
        <v>29027</v>
      </c>
      <c r="AJ136" t="s">
        <v>1515</v>
      </c>
      <c r="AK136" t="s">
        <v>19</v>
      </c>
      <c r="AL136" t="s">
        <v>19</v>
      </c>
      <c r="AM136" t="s">
        <v>1442</v>
      </c>
      <c r="AN136" t="s">
        <v>1443</v>
      </c>
      <c r="AO136" t="s">
        <v>1444</v>
      </c>
      <c r="AP136">
        <v>1</v>
      </c>
      <c r="AQ136" t="s">
        <v>1445</v>
      </c>
      <c r="AR136" t="s">
        <v>19</v>
      </c>
      <c r="AS136" t="s">
        <v>19</v>
      </c>
      <c r="AT136" t="s">
        <v>19</v>
      </c>
      <c r="AU136" t="s">
        <v>96</v>
      </c>
      <c r="AV136" t="s">
        <v>96</v>
      </c>
      <c r="AW136" t="s">
        <v>103</v>
      </c>
      <c r="AX136" t="s">
        <v>104</v>
      </c>
      <c r="AY136">
        <v>3</v>
      </c>
      <c r="AZ136" t="s">
        <v>105</v>
      </c>
      <c r="BA136" t="s">
        <v>35</v>
      </c>
      <c r="BB136" t="s">
        <v>19</v>
      </c>
      <c r="BC136" t="s">
        <v>1448</v>
      </c>
      <c r="BD136" t="s">
        <v>1115</v>
      </c>
      <c r="BE136" t="s">
        <v>19</v>
      </c>
      <c r="BF136" t="s">
        <v>19</v>
      </c>
      <c r="BG136">
        <v>774</v>
      </c>
      <c r="BH136" t="s">
        <v>1213</v>
      </c>
      <c r="BI136">
        <v>0.35</v>
      </c>
      <c r="BJ136" t="s">
        <v>1446</v>
      </c>
      <c r="BK136" t="s">
        <v>393</v>
      </c>
      <c r="BL136" t="s">
        <v>396</v>
      </c>
      <c r="BM136" t="s">
        <v>400</v>
      </c>
      <c r="BN136">
        <v>29027</v>
      </c>
    </row>
    <row r="137" spans="1:66" ht="14.45" customHeight="1">
      <c r="A137" s="155"/>
      <c r="B137" s="30">
        <f t="shared" si="10"/>
        <v>29028</v>
      </c>
      <c r="C137" s="30" t="s">
        <v>2197</v>
      </c>
      <c r="D137" s="30"/>
      <c r="E137" s="30" t="s">
        <v>2180</v>
      </c>
      <c r="F137" s="31" t="s">
        <v>2183</v>
      </c>
      <c r="G137" s="30" t="s">
        <v>1410</v>
      </c>
      <c r="H137" s="30"/>
      <c r="I137" s="30" t="s">
        <v>2196</v>
      </c>
      <c r="J137" s="30"/>
      <c r="K137" s="30" t="s">
        <v>2184</v>
      </c>
      <c r="L137" s="30" t="s">
        <v>2180</v>
      </c>
      <c r="M137" s="30" t="s">
        <v>2180</v>
      </c>
      <c r="N137" s="30"/>
      <c r="P137" s="30"/>
      <c r="Q137" s="30"/>
      <c r="R137" s="30"/>
      <c r="S137" s="30"/>
      <c r="T137" s="31"/>
      <c r="U137" s="30"/>
      <c r="V137" s="30"/>
      <c r="W137" s="30"/>
      <c r="X137" s="30"/>
      <c r="Y137" s="30"/>
      <c r="Z137" s="30"/>
      <c r="AA137" s="30"/>
      <c r="AB137" s="30"/>
      <c r="AC137" s="30"/>
      <c r="AD137" s="30"/>
      <c r="AE137" s="30"/>
      <c r="AF137" s="30" t="str">
        <f t="shared" si="11"/>
        <v>BAKV                SP_ACLIN5</v>
      </c>
      <c r="AG137" s="30" t="s">
        <v>2182</v>
      </c>
      <c r="AH137">
        <v>3</v>
      </c>
      <c r="AI137">
        <v>29028</v>
      </c>
      <c r="AJ137" t="s">
        <v>1516</v>
      </c>
      <c r="AK137" t="s">
        <v>19</v>
      </c>
      <c r="AL137" t="s">
        <v>409</v>
      </c>
      <c r="AM137" t="s">
        <v>409</v>
      </c>
      <c r="AN137" t="s">
        <v>408</v>
      </c>
      <c r="AO137" t="s">
        <v>410</v>
      </c>
      <c r="AP137">
        <v>2</v>
      </c>
      <c r="AQ137" t="s">
        <v>411</v>
      </c>
      <c r="AR137" t="s">
        <v>41</v>
      </c>
      <c r="AS137" t="s">
        <v>19</v>
      </c>
      <c r="AT137" t="s">
        <v>19</v>
      </c>
      <c r="AU137" t="s">
        <v>19</v>
      </c>
      <c r="AV137" t="s">
        <v>1408</v>
      </c>
      <c r="AW137" t="s">
        <v>1409</v>
      </c>
      <c r="AX137" t="s">
        <v>1410</v>
      </c>
      <c r="AY137">
        <v>1</v>
      </c>
      <c r="AZ137" t="s">
        <v>1411</v>
      </c>
      <c r="BA137" t="s">
        <v>19</v>
      </c>
      <c r="BB137" t="s">
        <v>19</v>
      </c>
      <c r="BC137" t="s">
        <v>1292</v>
      </c>
      <c r="BD137" t="s">
        <v>1115</v>
      </c>
      <c r="BE137" t="s">
        <v>19</v>
      </c>
      <c r="BF137" t="s">
        <v>19</v>
      </c>
      <c r="BG137">
        <v>455</v>
      </c>
      <c r="BH137" t="s">
        <v>1293</v>
      </c>
      <c r="BI137">
        <v>0.13</v>
      </c>
      <c r="BJ137" t="s">
        <v>1412</v>
      </c>
      <c r="BK137" t="s">
        <v>393</v>
      </c>
      <c r="BL137" t="s">
        <v>396</v>
      </c>
      <c r="BM137" t="s">
        <v>400</v>
      </c>
      <c r="BN137">
        <v>29028</v>
      </c>
    </row>
    <row r="138" spans="1:66" ht="14.45" customHeight="1">
      <c r="A138" s="155">
        <v>504</v>
      </c>
      <c r="B138" s="30">
        <f t="shared" ref="B138:B201" si="12">AI138</f>
        <v>29029</v>
      </c>
      <c r="C138" s="30" t="s">
        <v>2197</v>
      </c>
      <c r="D138" s="30"/>
      <c r="E138" s="30" t="s">
        <v>2180</v>
      </c>
      <c r="F138" s="31"/>
      <c r="G138" s="30"/>
      <c r="H138" s="30"/>
      <c r="I138" s="30"/>
      <c r="J138" s="30"/>
      <c r="K138" s="30"/>
      <c r="L138" s="30" t="s">
        <v>2180</v>
      </c>
      <c r="M138" s="30" t="s">
        <v>2180</v>
      </c>
      <c r="N138" s="30"/>
      <c r="P138" s="30"/>
      <c r="Q138" s="30"/>
      <c r="R138" s="30"/>
      <c r="S138" s="30"/>
      <c r="T138" s="31"/>
      <c r="U138" s="30"/>
      <c r="V138" s="30"/>
      <c r="W138" s="30"/>
      <c r="X138" s="30"/>
      <c r="Y138" s="30"/>
      <c r="Z138" s="30"/>
      <c r="AA138" s="30"/>
      <c r="AB138" s="30"/>
      <c r="AC138" s="30"/>
      <c r="AD138" s="30"/>
      <c r="AE138" s="30"/>
      <c r="AF138" s="30" t="str">
        <f t="shared" ref="AF138:AF201" si="13" xml:space="preserve"> AO138 &amp; REPT(" ",20-LEN(AO138)) &amp; AX138</f>
        <v>STO51A              BAKV</v>
      </c>
      <c r="AG138" s="30" t="s">
        <v>2182</v>
      </c>
      <c r="AH138">
        <v>3</v>
      </c>
      <c r="AI138">
        <v>29029</v>
      </c>
      <c r="AJ138" t="s">
        <v>1517</v>
      </c>
      <c r="AK138" t="s">
        <v>19</v>
      </c>
      <c r="AL138" t="s">
        <v>171</v>
      </c>
      <c r="AM138" t="s">
        <v>171</v>
      </c>
      <c r="AN138" t="s">
        <v>170</v>
      </c>
      <c r="AO138" t="s">
        <v>172</v>
      </c>
      <c r="AP138" t="s">
        <v>1518</v>
      </c>
      <c r="AQ138" t="s">
        <v>173</v>
      </c>
      <c r="AR138" t="s">
        <v>42</v>
      </c>
      <c r="AS138" t="s">
        <v>19</v>
      </c>
      <c r="AT138" t="s">
        <v>19</v>
      </c>
      <c r="AU138" t="s">
        <v>409</v>
      </c>
      <c r="AV138" t="s">
        <v>409</v>
      </c>
      <c r="AW138" t="s">
        <v>408</v>
      </c>
      <c r="AX138" t="s">
        <v>410</v>
      </c>
      <c r="AY138">
        <v>1</v>
      </c>
      <c r="AZ138" t="s">
        <v>411</v>
      </c>
      <c r="BA138" t="s">
        <v>46</v>
      </c>
      <c r="BB138" t="s">
        <v>19</v>
      </c>
      <c r="BC138" t="s">
        <v>1296</v>
      </c>
      <c r="BD138" t="s">
        <v>1115</v>
      </c>
      <c r="BE138" t="s">
        <v>19</v>
      </c>
      <c r="BF138" t="s">
        <v>19</v>
      </c>
      <c r="BG138" s="153">
        <v>1427</v>
      </c>
      <c r="BH138" t="s">
        <v>1218</v>
      </c>
      <c r="BI138">
        <v>0.35</v>
      </c>
      <c r="BJ138" t="s">
        <v>1519</v>
      </c>
      <c r="BK138" t="s">
        <v>393</v>
      </c>
      <c r="BL138" t="s">
        <v>396</v>
      </c>
      <c r="BM138" t="s">
        <v>400</v>
      </c>
      <c r="BN138">
        <v>29029</v>
      </c>
    </row>
    <row r="139" spans="1:66" ht="14.45" customHeight="1">
      <c r="A139" s="155"/>
      <c r="B139" s="30">
        <f t="shared" si="12"/>
        <v>29030</v>
      </c>
      <c r="C139" s="30" t="s">
        <v>2197</v>
      </c>
      <c r="D139" s="30"/>
      <c r="E139" s="30" t="s">
        <v>2180</v>
      </c>
      <c r="F139" s="31" t="s">
        <v>2183</v>
      </c>
      <c r="G139" s="30" t="s">
        <v>1240</v>
      </c>
      <c r="H139" s="30"/>
      <c r="I139" s="30"/>
      <c r="J139" s="30"/>
      <c r="K139" s="30" t="s">
        <v>2184</v>
      </c>
      <c r="L139" s="30" t="s">
        <v>2180</v>
      </c>
      <c r="M139" s="30" t="s">
        <v>2187</v>
      </c>
      <c r="N139" s="30"/>
      <c r="P139" s="30"/>
      <c r="Q139" s="30"/>
      <c r="R139" s="30"/>
      <c r="S139" s="30"/>
      <c r="T139" s="31"/>
      <c r="U139" s="30"/>
      <c r="V139" s="30"/>
      <c r="W139" s="30"/>
      <c r="X139" s="30"/>
      <c r="Y139" s="30"/>
      <c r="Z139" s="30"/>
      <c r="AA139" s="30"/>
      <c r="AB139" s="30"/>
      <c r="AC139" s="30"/>
      <c r="AD139" s="30"/>
      <c r="AE139" s="30"/>
      <c r="AF139" s="30" t="str">
        <f t="shared" si="13"/>
        <v>BAKV                SP_MB31_B2</v>
      </c>
      <c r="AG139" s="30" t="s">
        <v>2182</v>
      </c>
      <c r="AH139">
        <v>3</v>
      </c>
      <c r="AI139">
        <v>29030</v>
      </c>
      <c r="AJ139" t="s">
        <v>1520</v>
      </c>
      <c r="AK139" t="s">
        <v>19</v>
      </c>
      <c r="AL139" t="s">
        <v>409</v>
      </c>
      <c r="AM139" t="s">
        <v>409</v>
      </c>
      <c r="AN139" t="s">
        <v>408</v>
      </c>
      <c r="AO139" t="s">
        <v>410</v>
      </c>
      <c r="AP139">
        <v>3</v>
      </c>
      <c r="AQ139" t="s">
        <v>411</v>
      </c>
      <c r="AR139" t="s">
        <v>46</v>
      </c>
      <c r="AS139" t="s">
        <v>19</v>
      </c>
      <c r="AT139" t="s">
        <v>19</v>
      </c>
      <c r="AU139" t="s">
        <v>19</v>
      </c>
      <c r="AV139" t="s">
        <v>1239</v>
      </c>
      <c r="AW139">
        <v>213</v>
      </c>
      <c r="AX139" t="s">
        <v>1240</v>
      </c>
      <c r="AY139">
        <v>1</v>
      </c>
      <c r="AZ139" t="s">
        <v>1241</v>
      </c>
      <c r="BA139" t="s">
        <v>19</v>
      </c>
      <c r="BB139" t="s">
        <v>19</v>
      </c>
      <c r="BC139" t="s">
        <v>1287</v>
      </c>
      <c r="BD139" t="s">
        <v>1115</v>
      </c>
      <c r="BE139" t="s">
        <v>19</v>
      </c>
      <c r="BF139" t="s">
        <v>19</v>
      </c>
      <c r="BG139">
        <v>685</v>
      </c>
      <c r="BH139" t="s">
        <v>1094</v>
      </c>
      <c r="BI139">
        <v>0.35</v>
      </c>
      <c r="BJ139" t="s">
        <v>1122</v>
      </c>
      <c r="BK139" t="s">
        <v>393</v>
      </c>
      <c r="BL139" t="s">
        <v>396</v>
      </c>
      <c r="BM139" t="s">
        <v>400</v>
      </c>
      <c r="BN139">
        <v>29030</v>
      </c>
    </row>
    <row r="140" spans="1:66" ht="14.45" customHeight="1">
      <c r="A140" s="155"/>
      <c r="B140" s="30">
        <f t="shared" si="12"/>
        <v>29031</v>
      </c>
      <c r="C140" s="30" t="s">
        <v>2197</v>
      </c>
      <c r="D140" s="30"/>
      <c r="E140" s="30" t="s">
        <v>2180</v>
      </c>
      <c r="F140" s="31" t="s">
        <v>2183</v>
      </c>
      <c r="G140" s="30" t="s">
        <v>1489</v>
      </c>
      <c r="H140" s="30"/>
      <c r="I140" s="30"/>
      <c r="J140" s="30"/>
      <c r="K140" s="30" t="s">
        <v>2184</v>
      </c>
      <c r="L140" s="30" t="s">
        <v>2187</v>
      </c>
      <c r="M140" s="30" t="s">
        <v>2180</v>
      </c>
      <c r="N140" s="30"/>
      <c r="P140" s="30"/>
      <c r="Q140" s="30"/>
      <c r="R140" s="30"/>
      <c r="S140" s="30"/>
      <c r="T140" s="31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  <c r="AF140" s="30" t="str">
        <f t="shared" si="13"/>
        <v>SP_ACLIN3           SGKG102P_B</v>
      </c>
      <c r="AG140" s="30" t="s">
        <v>2182</v>
      </c>
      <c r="AH140">
        <v>3</v>
      </c>
      <c r="AI140">
        <v>29031</v>
      </c>
      <c r="AJ140" t="s">
        <v>1521</v>
      </c>
      <c r="AK140" t="s">
        <v>19</v>
      </c>
      <c r="AL140" t="s">
        <v>19</v>
      </c>
      <c r="AM140" t="s">
        <v>1487</v>
      </c>
      <c r="AN140" t="s">
        <v>1488</v>
      </c>
      <c r="AO140" t="s">
        <v>1489</v>
      </c>
      <c r="AP140">
        <v>1</v>
      </c>
      <c r="AQ140" t="s">
        <v>303</v>
      </c>
      <c r="AR140" t="s">
        <v>19</v>
      </c>
      <c r="AS140" t="s">
        <v>19</v>
      </c>
      <c r="AT140" t="s">
        <v>19</v>
      </c>
      <c r="AU140" t="s">
        <v>241</v>
      </c>
      <c r="AV140" t="s">
        <v>241</v>
      </c>
      <c r="AW140" t="s">
        <v>240</v>
      </c>
      <c r="AX140" t="s">
        <v>242</v>
      </c>
      <c r="AY140">
        <v>15</v>
      </c>
      <c r="AZ140" t="s">
        <v>243</v>
      </c>
      <c r="BA140" t="s">
        <v>41</v>
      </c>
      <c r="BB140" t="s">
        <v>19</v>
      </c>
      <c r="BC140" t="s">
        <v>1522</v>
      </c>
      <c r="BD140" t="s">
        <v>1115</v>
      </c>
      <c r="BE140" t="s">
        <v>19</v>
      </c>
      <c r="BF140" t="s">
        <v>19</v>
      </c>
      <c r="BG140">
        <v>581</v>
      </c>
      <c r="BH140" t="s">
        <v>1491</v>
      </c>
      <c r="BI140">
        <v>0.13</v>
      </c>
      <c r="BJ140" t="s">
        <v>1492</v>
      </c>
      <c r="BK140" t="s">
        <v>393</v>
      </c>
      <c r="BL140" t="s">
        <v>396</v>
      </c>
      <c r="BM140" t="s">
        <v>400</v>
      </c>
      <c r="BN140">
        <v>29031</v>
      </c>
    </row>
    <row r="141" spans="1:66" ht="14.45" customHeight="1">
      <c r="A141" s="155"/>
      <c r="B141" s="30">
        <f t="shared" si="12"/>
        <v>29036</v>
      </c>
      <c r="C141" s="30" t="s">
        <v>2197</v>
      </c>
      <c r="D141" s="30"/>
      <c r="E141" s="30" t="s">
        <v>2180</v>
      </c>
      <c r="F141" s="31" t="s">
        <v>2183</v>
      </c>
      <c r="G141" s="30" t="s">
        <v>1152</v>
      </c>
      <c r="H141" s="30"/>
      <c r="I141" s="30"/>
      <c r="J141" s="30"/>
      <c r="K141" s="30" t="s">
        <v>2184</v>
      </c>
      <c r="L141" s="30" t="s">
        <v>2187</v>
      </c>
      <c r="M141" s="35" t="s">
        <v>2180</v>
      </c>
      <c r="N141" s="30"/>
      <c r="P141" s="30"/>
      <c r="Q141" s="30"/>
      <c r="R141" s="30"/>
      <c r="S141" s="30"/>
      <c r="T141" s="31"/>
      <c r="U141" s="30"/>
      <c r="V141" s="30"/>
      <c r="W141" s="30"/>
      <c r="X141" s="195" t="s">
        <v>2399</v>
      </c>
      <c r="Y141" s="30"/>
      <c r="Z141" s="30"/>
      <c r="AA141" s="30"/>
      <c r="AB141" s="30"/>
      <c r="AC141" s="30"/>
      <c r="AD141" s="30"/>
      <c r="AE141" s="30"/>
      <c r="AF141" s="30" t="str">
        <f t="shared" si="13"/>
        <v>SP_MB32_B2          LIO3P_A</v>
      </c>
      <c r="AG141" s="30" t="s">
        <v>2182</v>
      </c>
      <c r="AH141">
        <v>3</v>
      </c>
      <c r="AI141">
        <v>29036</v>
      </c>
      <c r="AJ141" t="s">
        <v>1523</v>
      </c>
      <c r="AK141" t="s">
        <v>19</v>
      </c>
      <c r="AL141" t="s">
        <v>19</v>
      </c>
      <c r="AM141" t="s">
        <v>1151</v>
      </c>
      <c r="AN141">
        <v>135</v>
      </c>
      <c r="AO141" t="s">
        <v>1152</v>
      </c>
      <c r="AP141">
        <v>1</v>
      </c>
      <c r="AQ141" t="s">
        <v>358</v>
      </c>
      <c r="AR141" t="s">
        <v>19</v>
      </c>
      <c r="AS141" t="s">
        <v>19</v>
      </c>
      <c r="AT141" t="s">
        <v>19</v>
      </c>
      <c r="AU141" t="s">
        <v>446</v>
      </c>
      <c r="AV141" t="s">
        <v>446</v>
      </c>
      <c r="AW141" t="s">
        <v>445</v>
      </c>
      <c r="AX141" t="s">
        <v>447</v>
      </c>
      <c r="AY141">
        <v>3</v>
      </c>
      <c r="AZ141" t="s">
        <v>448</v>
      </c>
      <c r="BA141" t="s">
        <v>406</v>
      </c>
      <c r="BB141" t="s">
        <v>19</v>
      </c>
      <c r="BC141" t="s">
        <v>1287</v>
      </c>
      <c r="BD141" t="s">
        <v>1115</v>
      </c>
      <c r="BE141" t="s">
        <v>19</v>
      </c>
      <c r="BF141" t="s">
        <v>19</v>
      </c>
      <c r="BG141">
        <v>454</v>
      </c>
      <c r="BH141" t="s">
        <v>1094</v>
      </c>
      <c r="BI141">
        <v>0.35</v>
      </c>
      <c r="BJ141" t="s">
        <v>1153</v>
      </c>
      <c r="BK141" t="s">
        <v>393</v>
      </c>
      <c r="BL141" t="s">
        <v>19</v>
      </c>
      <c r="BM141" t="s">
        <v>400</v>
      </c>
      <c r="BN141">
        <v>29036</v>
      </c>
    </row>
    <row r="142" spans="1:66" ht="14.45" customHeight="1">
      <c r="A142" s="155"/>
      <c r="B142" s="30">
        <f t="shared" si="12"/>
        <v>29039</v>
      </c>
      <c r="C142" s="30" t="s">
        <v>2197</v>
      </c>
      <c r="D142" s="30"/>
      <c r="E142" s="30" t="s">
        <v>2180</v>
      </c>
      <c r="F142" s="31" t="s">
        <v>2183</v>
      </c>
      <c r="G142" s="30" t="s">
        <v>1245</v>
      </c>
      <c r="H142" s="30"/>
      <c r="I142" s="30"/>
      <c r="J142" s="30"/>
      <c r="K142" s="30" t="s">
        <v>2184</v>
      </c>
      <c r="L142" s="30" t="s">
        <v>2180</v>
      </c>
      <c r="M142" s="30" t="s">
        <v>2187</v>
      </c>
      <c r="N142" s="30"/>
      <c r="P142" s="30"/>
      <c r="Q142" s="30"/>
      <c r="R142" s="30"/>
      <c r="S142" s="30"/>
      <c r="T142" s="31"/>
      <c r="U142" s="30"/>
      <c r="V142" s="30"/>
      <c r="W142" s="30"/>
      <c r="X142" s="30"/>
      <c r="Y142" s="30"/>
      <c r="Z142" s="30"/>
      <c r="AA142" s="30"/>
      <c r="AB142" s="30"/>
      <c r="AC142" s="30"/>
      <c r="AD142" s="30"/>
      <c r="AE142" s="30"/>
      <c r="AF142" s="30" t="str">
        <f t="shared" si="13"/>
        <v>GBR26P              SP_MB32_B1</v>
      </c>
      <c r="AG142" s="30" t="s">
        <v>2182</v>
      </c>
      <c r="AH142">
        <v>3</v>
      </c>
      <c r="AI142">
        <v>29039</v>
      </c>
      <c r="AJ142" t="s">
        <v>1524</v>
      </c>
      <c r="AK142" t="s">
        <v>19</v>
      </c>
      <c r="AL142" t="s">
        <v>473</v>
      </c>
      <c r="AM142" t="s">
        <v>473</v>
      </c>
      <c r="AN142" t="s">
        <v>472</v>
      </c>
      <c r="AO142" t="s">
        <v>474</v>
      </c>
      <c r="AP142">
        <v>1</v>
      </c>
      <c r="AQ142" t="s">
        <v>475</v>
      </c>
      <c r="AR142" t="s">
        <v>32</v>
      </c>
      <c r="AS142" t="s">
        <v>19</v>
      </c>
      <c r="AT142" t="s">
        <v>19</v>
      </c>
      <c r="AU142" t="s">
        <v>19</v>
      </c>
      <c r="AV142" t="s">
        <v>1244</v>
      </c>
      <c r="AW142">
        <v>199</v>
      </c>
      <c r="AX142" t="s">
        <v>1245</v>
      </c>
      <c r="AY142">
        <v>1</v>
      </c>
      <c r="AZ142" t="s">
        <v>1246</v>
      </c>
      <c r="BA142" t="s">
        <v>19</v>
      </c>
      <c r="BB142" t="s">
        <v>19</v>
      </c>
      <c r="BC142" t="s">
        <v>1187</v>
      </c>
      <c r="BD142" t="s">
        <v>1115</v>
      </c>
      <c r="BE142" t="s">
        <v>19</v>
      </c>
      <c r="BF142" t="s">
        <v>19</v>
      </c>
      <c r="BG142">
        <v>323</v>
      </c>
      <c r="BH142" t="s">
        <v>1094</v>
      </c>
      <c r="BI142">
        <v>2.5</v>
      </c>
      <c r="BJ142" t="s">
        <v>1153</v>
      </c>
      <c r="BK142" t="s">
        <v>393</v>
      </c>
      <c r="BL142" t="s">
        <v>396</v>
      </c>
      <c r="BM142" t="s">
        <v>400</v>
      </c>
      <c r="BN142">
        <v>29039</v>
      </c>
    </row>
    <row r="143" spans="1:66" ht="14.45" customHeight="1">
      <c r="A143" s="155"/>
      <c r="B143" s="30">
        <f t="shared" si="12"/>
        <v>29040</v>
      </c>
      <c r="C143" s="30" t="s">
        <v>2197</v>
      </c>
      <c r="D143" s="30"/>
      <c r="E143" s="30" t="s">
        <v>2180</v>
      </c>
      <c r="F143" s="31"/>
      <c r="G143" s="30"/>
      <c r="H143" s="30"/>
      <c r="I143" s="30"/>
      <c r="J143" s="30"/>
      <c r="K143" s="30"/>
      <c r="L143" s="30" t="s">
        <v>2180</v>
      </c>
      <c r="M143" s="30" t="s">
        <v>2180</v>
      </c>
      <c r="N143" s="30"/>
      <c r="P143" s="30"/>
      <c r="Q143" s="30"/>
      <c r="R143" s="30"/>
      <c r="S143" s="30"/>
      <c r="T143" s="31"/>
      <c r="U143" s="30"/>
      <c r="V143" s="30"/>
      <c r="W143" s="30"/>
      <c r="X143" s="30"/>
      <c r="Y143" s="30"/>
      <c r="Z143" s="30"/>
      <c r="AA143" s="30"/>
      <c r="AB143" s="30"/>
      <c r="AC143" s="30"/>
      <c r="AD143" s="30"/>
      <c r="AE143" s="30"/>
      <c r="AF143" s="30" t="str">
        <f t="shared" si="13"/>
        <v>SGKG102P_B          KS_CPM_A</v>
      </c>
      <c r="AG143" s="30" t="s">
        <v>2182</v>
      </c>
      <c r="AH143">
        <v>3</v>
      </c>
      <c r="AI143">
        <v>29040</v>
      </c>
      <c r="AJ143" t="s">
        <v>1525</v>
      </c>
      <c r="AK143" t="s">
        <v>19</v>
      </c>
      <c r="AL143" t="s">
        <v>241</v>
      </c>
      <c r="AM143" t="s">
        <v>241</v>
      </c>
      <c r="AN143" t="s">
        <v>240</v>
      </c>
      <c r="AO143" t="s">
        <v>242</v>
      </c>
      <c r="AP143">
        <v>9</v>
      </c>
      <c r="AQ143" t="s">
        <v>243</v>
      </c>
      <c r="AR143" t="s">
        <v>46</v>
      </c>
      <c r="AS143" t="s">
        <v>19</v>
      </c>
      <c r="AT143" t="s">
        <v>19</v>
      </c>
      <c r="AU143" t="s">
        <v>81</v>
      </c>
      <c r="AV143" t="s">
        <v>81</v>
      </c>
      <c r="AW143" t="s">
        <v>80</v>
      </c>
      <c r="AX143" t="s">
        <v>82</v>
      </c>
      <c r="AY143">
        <v>6</v>
      </c>
      <c r="AZ143" t="s">
        <v>83</v>
      </c>
      <c r="BA143" t="s">
        <v>35</v>
      </c>
      <c r="BB143" t="s">
        <v>19</v>
      </c>
      <c r="BC143" t="s">
        <v>1526</v>
      </c>
      <c r="BD143" t="s">
        <v>1115</v>
      </c>
      <c r="BE143" t="s">
        <v>19</v>
      </c>
      <c r="BF143" t="s">
        <v>19</v>
      </c>
      <c r="BG143">
        <v>1138</v>
      </c>
      <c r="BH143" t="s">
        <v>1527</v>
      </c>
      <c r="BI143">
        <v>0.35</v>
      </c>
      <c r="BJ143" t="s">
        <v>1528</v>
      </c>
      <c r="BK143" t="s">
        <v>393</v>
      </c>
      <c r="BL143" t="s">
        <v>396</v>
      </c>
      <c r="BM143" t="s">
        <v>400</v>
      </c>
      <c r="BN143">
        <v>29040</v>
      </c>
    </row>
    <row r="144" spans="1:66" ht="14.45" customHeight="1">
      <c r="A144" s="155"/>
      <c r="B144" s="30">
        <f t="shared" si="12"/>
        <v>29041</v>
      </c>
      <c r="C144" s="30" t="s">
        <v>2197</v>
      </c>
      <c r="D144" s="30"/>
      <c r="E144" s="30" t="s">
        <v>2180</v>
      </c>
      <c r="F144" s="31"/>
      <c r="G144" s="30"/>
      <c r="H144" s="30"/>
      <c r="I144" s="30"/>
      <c r="J144" s="30"/>
      <c r="K144" s="30"/>
      <c r="L144" s="30" t="s">
        <v>2180</v>
      </c>
      <c r="M144" s="30" t="s">
        <v>2180</v>
      </c>
      <c r="N144" s="30"/>
      <c r="P144" s="30"/>
      <c r="Q144" s="30"/>
      <c r="R144" s="30"/>
      <c r="S144" s="30"/>
      <c r="T144" s="31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  <c r="AF144" s="30" t="str">
        <f t="shared" si="13"/>
        <v>SGKG102P_B          KS_CPM_A</v>
      </c>
      <c r="AG144" s="30" t="s">
        <v>2182</v>
      </c>
      <c r="AH144">
        <v>3</v>
      </c>
      <c r="AI144">
        <v>29041</v>
      </c>
      <c r="AJ144" t="s">
        <v>1529</v>
      </c>
      <c r="AK144" t="s">
        <v>19</v>
      </c>
      <c r="AL144" t="s">
        <v>241</v>
      </c>
      <c r="AM144" t="s">
        <v>241</v>
      </c>
      <c r="AN144" t="s">
        <v>240</v>
      </c>
      <c r="AO144" t="s">
        <v>242</v>
      </c>
      <c r="AP144">
        <v>5</v>
      </c>
      <c r="AQ144" t="s">
        <v>243</v>
      </c>
      <c r="AR144" t="s">
        <v>46</v>
      </c>
      <c r="AS144" t="s">
        <v>19</v>
      </c>
      <c r="AT144" t="s">
        <v>19</v>
      </c>
      <c r="AU144" t="s">
        <v>81</v>
      </c>
      <c r="AV144" t="s">
        <v>81</v>
      </c>
      <c r="AW144" t="s">
        <v>80</v>
      </c>
      <c r="AX144" t="s">
        <v>82</v>
      </c>
      <c r="AY144">
        <v>7</v>
      </c>
      <c r="AZ144" t="s">
        <v>83</v>
      </c>
      <c r="BA144" t="s">
        <v>35</v>
      </c>
      <c r="BB144" t="s">
        <v>19</v>
      </c>
      <c r="BC144" t="s">
        <v>1530</v>
      </c>
      <c r="BD144" t="s">
        <v>1115</v>
      </c>
      <c r="BE144" t="s">
        <v>19</v>
      </c>
      <c r="BF144" t="s">
        <v>19</v>
      </c>
      <c r="BG144">
        <v>1138</v>
      </c>
      <c r="BH144" t="s">
        <v>1181</v>
      </c>
      <c r="BI144">
        <v>0.35</v>
      </c>
      <c r="BJ144" t="s">
        <v>1531</v>
      </c>
      <c r="BK144" t="s">
        <v>393</v>
      </c>
      <c r="BL144" t="s">
        <v>396</v>
      </c>
      <c r="BM144" t="s">
        <v>400</v>
      </c>
      <c r="BN144">
        <v>29041</v>
      </c>
    </row>
    <row r="145" spans="1:66" ht="14.45" customHeight="1">
      <c r="A145" s="155"/>
      <c r="B145" s="30">
        <f t="shared" si="12"/>
        <v>29042</v>
      </c>
      <c r="C145" s="30" t="s">
        <v>2197</v>
      </c>
      <c r="D145" s="30"/>
      <c r="E145" s="35" t="s">
        <v>2180</v>
      </c>
      <c r="F145" s="31"/>
      <c r="G145" s="30"/>
      <c r="H145" s="30"/>
      <c r="I145" s="30"/>
      <c r="J145" s="30"/>
      <c r="K145" s="30"/>
      <c r="L145" s="30" t="s">
        <v>2180</v>
      </c>
      <c r="M145" s="35" t="s">
        <v>2180</v>
      </c>
      <c r="N145" s="30"/>
      <c r="P145" s="30"/>
      <c r="Q145" s="30"/>
      <c r="R145" s="30"/>
      <c r="S145" s="30"/>
      <c r="T145" s="31"/>
      <c r="U145" s="30"/>
      <c r="V145" s="30"/>
      <c r="W145" s="30"/>
      <c r="X145" s="30"/>
      <c r="Y145" s="30"/>
      <c r="Z145" s="30"/>
      <c r="AA145" s="30"/>
      <c r="AB145" s="30"/>
      <c r="AC145" s="30"/>
      <c r="AD145" s="30"/>
      <c r="AE145" s="30"/>
      <c r="AF145" s="30" t="str">
        <f t="shared" si="13"/>
        <v>STO52A              GBR26P</v>
      </c>
      <c r="AG145" s="30" t="s">
        <v>2182</v>
      </c>
      <c r="AH145">
        <v>3</v>
      </c>
      <c r="AI145">
        <v>29042</v>
      </c>
      <c r="AJ145" t="s">
        <v>1532</v>
      </c>
      <c r="AK145" t="s">
        <v>19</v>
      </c>
      <c r="AL145" t="s">
        <v>199</v>
      </c>
      <c r="AM145" t="s">
        <v>199</v>
      </c>
      <c r="AN145" t="s">
        <v>198</v>
      </c>
      <c r="AO145" t="s">
        <v>200</v>
      </c>
      <c r="AP145" t="s">
        <v>1533</v>
      </c>
      <c r="AQ145" t="s">
        <v>201</v>
      </c>
      <c r="AR145" t="s">
        <v>44</v>
      </c>
      <c r="AS145" t="s">
        <v>19</v>
      </c>
      <c r="AT145" t="s">
        <v>19</v>
      </c>
      <c r="AU145" t="s">
        <v>473</v>
      </c>
      <c r="AV145" t="s">
        <v>473</v>
      </c>
      <c r="AW145" t="s">
        <v>472</v>
      </c>
      <c r="AX145" t="s">
        <v>474</v>
      </c>
      <c r="AY145">
        <v>3</v>
      </c>
      <c r="AZ145" t="s">
        <v>475</v>
      </c>
      <c r="BA145" t="s">
        <v>32</v>
      </c>
      <c r="BB145" t="s">
        <v>19</v>
      </c>
      <c r="BC145" t="s">
        <v>1534</v>
      </c>
      <c r="BD145" t="s">
        <v>1115</v>
      </c>
      <c r="BE145" t="s">
        <v>19</v>
      </c>
      <c r="BF145" t="s">
        <v>19</v>
      </c>
      <c r="BG145">
        <v>933</v>
      </c>
      <c r="BH145" t="s">
        <v>1535</v>
      </c>
      <c r="BI145">
        <v>2.5</v>
      </c>
      <c r="BJ145" t="s">
        <v>1536</v>
      </c>
      <c r="BK145" t="s">
        <v>393</v>
      </c>
      <c r="BL145" t="s">
        <v>396</v>
      </c>
      <c r="BM145" t="s">
        <v>400</v>
      </c>
      <c r="BN145">
        <v>29042</v>
      </c>
    </row>
    <row r="146" spans="1:66" ht="14.45" customHeight="1">
      <c r="A146" s="155"/>
      <c r="B146" s="30">
        <f t="shared" si="12"/>
        <v>29044</v>
      </c>
      <c r="C146" s="30" t="s">
        <v>2197</v>
      </c>
      <c r="D146" s="30"/>
      <c r="E146" s="30" t="s">
        <v>2180</v>
      </c>
      <c r="F146" s="31"/>
      <c r="G146" s="30"/>
      <c r="H146" s="30"/>
      <c r="I146" s="30"/>
      <c r="J146" s="30"/>
      <c r="K146" s="30"/>
      <c r="L146" s="30" t="s">
        <v>2180</v>
      </c>
      <c r="M146" s="30" t="s">
        <v>2180</v>
      </c>
      <c r="N146" s="30"/>
      <c r="P146" s="30"/>
      <c r="Q146" s="30"/>
      <c r="R146" s="30"/>
      <c r="S146" s="30"/>
      <c r="T146" s="31"/>
      <c r="U146" s="30"/>
      <c r="V146" s="30"/>
      <c r="W146" s="30"/>
      <c r="X146" s="30"/>
      <c r="Y146" s="30"/>
      <c r="Z146" s="30"/>
      <c r="AA146" s="30"/>
      <c r="AB146" s="30"/>
      <c r="AC146" s="30"/>
      <c r="AD146" s="30"/>
      <c r="AE146" s="30"/>
      <c r="AF146" s="30" t="str">
        <f t="shared" si="13"/>
        <v>STO51A              SGKG102P_C</v>
      </c>
      <c r="AG146" s="30" t="s">
        <v>2182</v>
      </c>
      <c r="AH146">
        <v>3</v>
      </c>
      <c r="AI146">
        <v>29044</v>
      </c>
      <c r="AJ146" t="s">
        <v>1537</v>
      </c>
      <c r="AK146" t="s">
        <v>19</v>
      </c>
      <c r="AL146" t="s">
        <v>171</v>
      </c>
      <c r="AM146" t="s">
        <v>171</v>
      </c>
      <c r="AN146" t="s">
        <v>170</v>
      </c>
      <c r="AO146" t="s">
        <v>172</v>
      </c>
      <c r="AP146" t="s">
        <v>1538</v>
      </c>
      <c r="AQ146" t="s">
        <v>173</v>
      </c>
      <c r="AR146" t="s">
        <v>44</v>
      </c>
      <c r="AS146" t="s">
        <v>19</v>
      </c>
      <c r="AT146" t="s">
        <v>19</v>
      </c>
      <c r="AU146" t="s">
        <v>241</v>
      </c>
      <c r="AV146" t="s">
        <v>241</v>
      </c>
      <c r="AW146" t="s">
        <v>500</v>
      </c>
      <c r="AX146" t="s">
        <v>501</v>
      </c>
      <c r="AY146">
        <v>3</v>
      </c>
      <c r="AZ146" t="s">
        <v>502</v>
      </c>
      <c r="BA146" t="s">
        <v>30</v>
      </c>
      <c r="BB146" t="s">
        <v>19</v>
      </c>
      <c r="BC146" t="s">
        <v>1534</v>
      </c>
      <c r="BD146" t="s">
        <v>1115</v>
      </c>
      <c r="BE146" t="s">
        <v>19</v>
      </c>
      <c r="BF146" t="s">
        <v>19</v>
      </c>
      <c r="BG146">
        <v>847</v>
      </c>
      <c r="BH146" t="s">
        <v>1535</v>
      </c>
      <c r="BI146">
        <v>2.5</v>
      </c>
      <c r="BJ146" t="s">
        <v>1539</v>
      </c>
      <c r="BK146" t="s">
        <v>393</v>
      </c>
      <c r="BL146" t="s">
        <v>396</v>
      </c>
      <c r="BM146" t="s">
        <v>400</v>
      </c>
      <c r="BN146">
        <v>29044</v>
      </c>
    </row>
    <row r="147" spans="1:66" ht="14.45" customHeight="1">
      <c r="A147" s="155"/>
      <c r="B147" s="30">
        <f t="shared" si="12"/>
        <v>29047</v>
      </c>
      <c r="C147" s="30" t="s">
        <v>2197</v>
      </c>
      <c r="D147" s="30"/>
      <c r="E147" s="35" t="s">
        <v>2180</v>
      </c>
      <c r="F147" s="31" t="s">
        <v>2186</v>
      </c>
      <c r="G147" s="30" t="s">
        <v>1543</v>
      </c>
      <c r="H147" s="30"/>
      <c r="I147" s="30"/>
      <c r="J147" s="30"/>
      <c r="K147" s="30" t="s">
        <v>2184</v>
      </c>
      <c r="L147" s="35" t="s">
        <v>2180</v>
      </c>
      <c r="M147" s="30" t="s">
        <v>2187</v>
      </c>
      <c r="N147" s="30"/>
      <c r="P147" s="30"/>
      <c r="Q147" s="30"/>
      <c r="R147" s="30"/>
      <c r="S147" s="30"/>
      <c r="T147" s="31"/>
      <c r="U147" s="30"/>
      <c r="V147" s="30"/>
      <c r="W147" s="195" t="s">
        <v>2399</v>
      </c>
      <c r="X147" s="30"/>
      <c r="Y147" s="30"/>
      <c r="Z147" s="30"/>
      <c r="AA147" s="30"/>
      <c r="AB147" s="30"/>
      <c r="AC147" s="30"/>
      <c r="AD147" s="30"/>
      <c r="AE147" s="30"/>
      <c r="AF147" s="30" t="str">
        <f t="shared" si="13"/>
        <v>LIO3P_A             SP_15AS</v>
      </c>
      <c r="AG147" s="30" t="s">
        <v>2182</v>
      </c>
      <c r="AH147">
        <v>3</v>
      </c>
      <c r="AI147">
        <v>29047</v>
      </c>
      <c r="AJ147" t="s">
        <v>1540</v>
      </c>
      <c r="AK147" t="s">
        <v>19</v>
      </c>
      <c r="AL147" t="s">
        <v>446</v>
      </c>
      <c r="AM147" t="s">
        <v>446</v>
      </c>
      <c r="AN147" t="s">
        <v>445</v>
      </c>
      <c r="AO147" t="s">
        <v>447</v>
      </c>
      <c r="AP147">
        <v>1</v>
      </c>
      <c r="AQ147" t="s">
        <v>448</v>
      </c>
      <c r="AR147" t="s">
        <v>406</v>
      </c>
      <c r="AS147" t="s">
        <v>19</v>
      </c>
      <c r="AT147" t="s">
        <v>19</v>
      </c>
      <c r="AU147" t="s">
        <v>19</v>
      </c>
      <c r="AV147" t="s">
        <v>1541</v>
      </c>
      <c r="AW147" t="s">
        <v>1542</v>
      </c>
      <c r="AX147" t="s">
        <v>1543</v>
      </c>
      <c r="AY147">
        <v>1</v>
      </c>
      <c r="AZ147" t="s">
        <v>1544</v>
      </c>
      <c r="BA147" t="s">
        <v>19</v>
      </c>
      <c r="BB147" t="s">
        <v>19</v>
      </c>
      <c r="BC147" t="s">
        <v>1545</v>
      </c>
      <c r="BD147" t="s">
        <v>1115</v>
      </c>
      <c r="BE147" t="s">
        <v>19</v>
      </c>
      <c r="BF147" t="s">
        <v>19</v>
      </c>
      <c r="BG147">
        <v>514</v>
      </c>
      <c r="BH147" t="s">
        <v>1458</v>
      </c>
      <c r="BI147">
        <v>0.35</v>
      </c>
      <c r="BJ147" t="s">
        <v>1546</v>
      </c>
      <c r="BK147" t="s">
        <v>393</v>
      </c>
      <c r="BL147" t="s">
        <v>19</v>
      </c>
      <c r="BM147" t="s">
        <v>400</v>
      </c>
      <c r="BN147">
        <v>29047</v>
      </c>
    </row>
    <row r="148" spans="1:66" ht="14.45" customHeight="1">
      <c r="A148" s="155"/>
      <c r="B148" s="30">
        <f t="shared" si="12"/>
        <v>29048</v>
      </c>
      <c r="C148" s="30" t="s">
        <v>2197</v>
      </c>
      <c r="D148" s="30"/>
      <c r="E148" s="30" t="s">
        <v>2180</v>
      </c>
      <c r="F148" s="31" t="s">
        <v>2183</v>
      </c>
      <c r="G148" s="30" t="s">
        <v>1245</v>
      </c>
      <c r="H148" s="30"/>
      <c r="I148" s="30"/>
      <c r="J148" s="30"/>
      <c r="K148" s="30" t="s">
        <v>2184</v>
      </c>
      <c r="L148" s="30" t="s">
        <v>2180</v>
      </c>
      <c r="M148" s="30" t="s">
        <v>2187</v>
      </c>
      <c r="N148" s="30"/>
      <c r="P148" s="30"/>
      <c r="Q148" s="30"/>
      <c r="R148" s="30"/>
      <c r="S148" s="30"/>
      <c r="T148" s="31"/>
      <c r="U148" s="30"/>
      <c r="V148" s="30"/>
      <c r="W148" s="30"/>
      <c r="X148" s="30"/>
      <c r="Y148" s="30"/>
      <c r="Z148" s="30"/>
      <c r="AA148" s="30"/>
      <c r="AB148" s="30"/>
      <c r="AC148" s="30"/>
      <c r="AD148" s="30"/>
      <c r="AE148" s="30"/>
      <c r="AF148" s="30" t="str">
        <f t="shared" si="13"/>
        <v>SGKG102P_C          SP_MB32_B1</v>
      </c>
      <c r="AG148" s="30" t="s">
        <v>2182</v>
      </c>
      <c r="AH148">
        <v>3</v>
      </c>
      <c r="AI148">
        <v>29048</v>
      </c>
      <c r="AJ148" t="s">
        <v>1547</v>
      </c>
      <c r="AK148" t="s">
        <v>19</v>
      </c>
      <c r="AL148" t="s">
        <v>241</v>
      </c>
      <c r="AM148" t="s">
        <v>241</v>
      </c>
      <c r="AN148" t="s">
        <v>500</v>
      </c>
      <c r="AO148" t="s">
        <v>501</v>
      </c>
      <c r="AP148">
        <v>6</v>
      </c>
      <c r="AQ148" t="s">
        <v>502</v>
      </c>
      <c r="AR148" t="s">
        <v>30</v>
      </c>
      <c r="AS148" t="s">
        <v>19</v>
      </c>
      <c r="AT148" t="s">
        <v>19</v>
      </c>
      <c r="AU148" t="s">
        <v>19</v>
      </c>
      <c r="AV148" t="s">
        <v>1244</v>
      </c>
      <c r="AW148">
        <v>199</v>
      </c>
      <c r="AX148" t="s">
        <v>1245</v>
      </c>
      <c r="AY148">
        <v>1</v>
      </c>
      <c r="AZ148" t="s">
        <v>1246</v>
      </c>
      <c r="BA148" t="s">
        <v>19</v>
      </c>
      <c r="BB148" t="s">
        <v>19</v>
      </c>
      <c r="BC148" t="s">
        <v>1187</v>
      </c>
      <c r="BD148" t="s">
        <v>1115</v>
      </c>
      <c r="BE148" t="s">
        <v>19</v>
      </c>
      <c r="BF148" t="s">
        <v>19</v>
      </c>
      <c r="BG148">
        <v>1112</v>
      </c>
      <c r="BH148" t="s">
        <v>1094</v>
      </c>
      <c r="BI148">
        <v>2.5</v>
      </c>
      <c r="BJ148" t="s">
        <v>1153</v>
      </c>
      <c r="BK148" t="s">
        <v>393</v>
      </c>
      <c r="BL148" t="s">
        <v>396</v>
      </c>
      <c r="BM148" t="s">
        <v>400</v>
      </c>
      <c r="BN148">
        <v>29048</v>
      </c>
    </row>
    <row r="149" spans="1:66" ht="14.45" customHeight="1">
      <c r="A149" s="155"/>
      <c r="B149" s="30">
        <f t="shared" si="12"/>
        <v>29052</v>
      </c>
      <c r="C149" s="30" t="s">
        <v>2197</v>
      </c>
      <c r="D149" s="30"/>
      <c r="E149" s="30" t="s">
        <v>2180</v>
      </c>
      <c r="F149" s="31"/>
      <c r="G149" s="30"/>
      <c r="H149" s="30"/>
      <c r="I149" s="30"/>
      <c r="J149" s="30"/>
      <c r="K149" s="30"/>
      <c r="L149" s="30" t="s">
        <v>2180</v>
      </c>
      <c r="M149" s="30" t="s">
        <v>2180</v>
      </c>
      <c r="N149" s="30"/>
      <c r="P149" s="30"/>
      <c r="Q149" s="30"/>
      <c r="R149" s="30"/>
      <c r="S149" s="30"/>
      <c r="T149" s="31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 t="str">
        <f t="shared" si="13"/>
        <v>TF_MS_VRE           SGKG102P_B</v>
      </c>
      <c r="AG149" s="30" t="s">
        <v>2182</v>
      </c>
      <c r="AH149">
        <v>3</v>
      </c>
      <c r="AI149">
        <v>29052</v>
      </c>
      <c r="AJ149" t="s">
        <v>1548</v>
      </c>
      <c r="AK149" t="s">
        <v>19</v>
      </c>
      <c r="AL149" t="s">
        <v>433</v>
      </c>
      <c r="AM149" t="s">
        <v>433</v>
      </c>
      <c r="AN149" t="s">
        <v>432</v>
      </c>
      <c r="AO149" t="s">
        <v>434</v>
      </c>
      <c r="AP149">
        <v>2</v>
      </c>
      <c r="AQ149" t="s">
        <v>435</v>
      </c>
      <c r="AR149" t="s">
        <v>405</v>
      </c>
      <c r="AS149" t="s">
        <v>19</v>
      </c>
      <c r="AT149" t="s">
        <v>19</v>
      </c>
      <c r="AU149" t="s">
        <v>241</v>
      </c>
      <c r="AV149" t="s">
        <v>241</v>
      </c>
      <c r="AW149" t="s">
        <v>240</v>
      </c>
      <c r="AX149" t="s">
        <v>242</v>
      </c>
      <c r="AY149">
        <v>12</v>
      </c>
      <c r="AZ149" t="s">
        <v>243</v>
      </c>
      <c r="BA149" t="s">
        <v>41</v>
      </c>
      <c r="BB149" t="s">
        <v>19</v>
      </c>
      <c r="BC149" t="s">
        <v>1549</v>
      </c>
      <c r="BD149" t="s">
        <v>1115</v>
      </c>
      <c r="BE149" t="s">
        <v>19</v>
      </c>
      <c r="BF149" t="s">
        <v>19</v>
      </c>
      <c r="BG149">
        <v>1961</v>
      </c>
      <c r="BH149" t="s">
        <v>1375</v>
      </c>
      <c r="BI149">
        <v>0.13</v>
      </c>
      <c r="BJ149" t="s">
        <v>1550</v>
      </c>
      <c r="BK149" t="s">
        <v>393</v>
      </c>
      <c r="BL149" t="s">
        <v>396</v>
      </c>
      <c r="BM149" t="s">
        <v>400</v>
      </c>
      <c r="BN149">
        <v>29052</v>
      </c>
    </row>
    <row r="150" spans="1:66" ht="14.45" customHeight="1">
      <c r="A150" s="155"/>
      <c r="B150" s="30">
        <f t="shared" si="12"/>
        <v>29053</v>
      </c>
      <c r="C150" s="30" t="s">
        <v>2197</v>
      </c>
      <c r="D150" s="30"/>
      <c r="E150" s="30" t="s">
        <v>2180</v>
      </c>
      <c r="F150" s="31" t="s">
        <v>2186</v>
      </c>
      <c r="G150" s="30" t="s">
        <v>1475</v>
      </c>
      <c r="H150" s="30"/>
      <c r="I150" s="30"/>
      <c r="J150" s="30"/>
      <c r="K150" s="30" t="s">
        <v>2184</v>
      </c>
      <c r="L150" s="30" t="s">
        <v>2187</v>
      </c>
      <c r="M150" s="30" t="s">
        <v>2180</v>
      </c>
      <c r="N150" s="30"/>
      <c r="P150" s="30"/>
      <c r="Q150" s="30"/>
      <c r="R150" s="30"/>
      <c r="S150" s="30"/>
      <c r="T150" s="31"/>
      <c r="U150" s="30"/>
      <c r="V150" s="30"/>
      <c r="W150" s="30"/>
      <c r="X150" s="30"/>
      <c r="Y150" s="30"/>
      <c r="Z150" s="30"/>
      <c r="AA150" s="30"/>
      <c r="AB150" s="30"/>
      <c r="AC150" s="30"/>
      <c r="AD150" s="30"/>
      <c r="AE150" s="30"/>
      <c r="AF150" s="30" t="str">
        <f t="shared" si="13"/>
        <v>SP_31SM             TF_MS_VLI</v>
      </c>
      <c r="AG150" s="30" t="s">
        <v>2182</v>
      </c>
      <c r="AH150">
        <v>3</v>
      </c>
      <c r="AI150">
        <v>29053</v>
      </c>
      <c r="AJ150" t="s">
        <v>1551</v>
      </c>
      <c r="AK150" t="s">
        <v>19</v>
      </c>
      <c r="AL150" t="s">
        <v>19</v>
      </c>
      <c r="AM150" t="s">
        <v>1473</v>
      </c>
      <c r="AN150" t="s">
        <v>1474</v>
      </c>
      <c r="AO150" t="s">
        <v>1475</v>
      </c>
      <c r="AP150">
        <v>1</v>
      </c>
      <c r="AQ150" t="s">
        <v>1476</v>
      </c>
      <c r="AR150" t="s">
        <v>19</v>
      </c>
      <c r="AS150" t="s">
        <v>19</v>
      </c>
      <c r="AT150" t="s">
        <v>19</v>
      </c>
      <c r="AU150" t="s">
        <v>425</v>
      </c>
      <c r="AV150" t="s">
        <v>425</v>
      </c>
      <c r="AW150" t="s">
        <v>424</v>
      </c>
      <c r="AX150" t="s">
        <v>426</v>
      </c>
      <c r="AY150">
        <v>1</v>
      </c>
      <c r="AZ150" t="s">
        <v>427</v>
      </c>
      <c r="BA150" t="s">
        <v>405</v>
      </c>
      <c r="BB150" t="s">
        <v>19</v>
      </c>
      <c r="BC150" t="s">
        <v>1511</v>
      </c>
      <c r="BD150" t="s">
        <v>1115</v>
      </c>
      <c r="BE150" t="s">
        <v>19</v>
      </c>
      <c r="BF150" t="s">
        <v>19</v>
      </c>
      <c r="BG150">
        <v>1413</v>
      </c>
      <c r="BH150" t="s">
        <v>1164</v>
      </c>
      <c r="BI150">
        <v>0.13</v>
      </c>
      <c r="BJ150" t="s">
        <v>1478</v>
      </c>
      <c r="BK150" t="s">
        <v>393</v>
      </c>
      <c r="BL150" t="s">
        <v>396</v>
      </c>
      <c r="BM150" t="s">
        <v>400</v>
      </c>
      <c r="BN150">
        <v>29053</v>
      </c>
    </row>
    <row r="151" spans="1:66" ht="14.45" customHeight="1">
      <c r="A151" s="155"/>
      <c r="B151" s="30">
        <f t="shared" si="12"/>
        <v>29054</v>
      </c>
      <c r="C151" s="30" t="s">
        <v>2197</v>
      </c>
      <c r="D151" s="30"/>
      <c r="E151" s="30" t="s">
        <v>2180</v>
      </c>
      <c r="F151" s="31"/>
      <c r="G151" s="30"/>
      <c r="H151" s="30"/>
      <c r="I151" s="30"/>
      <c r="J151" s="30"/>
      <c r="K151" s="30"/>
      <c r="L151" s="30" t="s">
        <v>2180</v>
      </c>
      <c r="M151" s="30" t="s">
        <v>2180</v>
      </c>
      <c r="N151" s="30"/>
      <c r="P151" s="30"/>
      <c r="Q151" s="30"/>
      <c r="R151" s="30"/>
      <c r="S151" s="30"/>
      <c r="T151" s="31"/>
      <c r="U151" s="30"/>
      <c r="V151" s="30"/>
      <c r="W151" s="30"/>
      <c r="X151" s="30"/>
      <c r="Y151" s="30"/>
      <c r="Z151" s="30"/>
      <c r="AA151" s="30"/>
      <c r="AB151" s="30"/>
      <c r="AC151" s="30"/>
      <c r="AD151" s="30"/>
      <c r="AE151" s="30"/>
      <c r="AF151" s="30" t="str">
        <f t="shared" si="13"/>
        <v>TF_MS_VLI           SGKG102P_B</v>
      </c>
      <c r="AG151" s="30" t="s">
        <v>2182</v>
      </c>
      <c r="AH151">
        <v>3</v>
      </c>
      <c r="AI151">
        <v>29054</v>
      </c>
      <c r="AJ151" t="s">
        <v>1552</v>
      </c>
      <c r="AK151" t="s">
        <v>19</v>
      </c>
      <c r="AL151" t="s">
        <v>425</v>
      </c>
      <c r="AM151" t="s">
        <v>425</v>
      </c>
      <c r="AN151" t="s">
        <v>424</v>
      </c>
      <c r="AO151" t="s">
        <v>426</v>
      </c>
      <c r="AP151">
        <v>2</v>
      </c>
      <c r="AQ151" t="s">
        <v>427</v>
      </c>
      <c r="AR151" t="s">
        <v>405</v>
      </c>
      <c r="AS151" t="s">
        <v>19</v>
      </c>
      <c r="AT151" t="s">
        <v>19</v>
      </c>
      <c r="AU151" t="s">
        <v>241</v>
      </c>
      <c r="AV151" t="s">
        <v>241</v>
      </c>
      <c r="AW151" t="s">
        <v>240</v>
      </c>
      <c r="AX151" t="s">
        <v>242</v>
      </c>
      <c r="AY151">
        <v>11</v>
      </c>
      <c r="AZ151" t="s">
        <v>243</v>
      </c>
      <c r="BA151" t="s">
        <v>41</v>
      </c>
      <c r="BB151" t="s">
        <v>19</v>
      </c>
      <c r="BC151" t="s">
        <v>1553</v>
      </c>
      <c r="BD151" t="s">
        <v>1115</v>
      </c>
      <c r="BE151" t="s">
        <v>19</v>
      </c>
      <c r="BF151" t="s">
        <v>19</v>
      </c>
      <c r="BG151">
        <v>1059</v>
      </c>
      <c r="BH151" t="s">
        <v>1236</v>
      </c>
      <c r="BI151">
        <v>0.13</v>
      </c>
      <c r="BJ151" t="s">
        <v>1554</v>
      </c>
      <c r="BK151" t="s">
        <v>393</v>
      </c>
      <c r="BL151" t="s">
        <v>396</v>
      </c>
      <c r="BM151" t="s">
        <v>400</v>
      </c>
      <c r="BN151">
        <v>29054</v>
      </c>
    </row>
    <row r="152" spans="1:66" ht="14.45" customHeight="1">
      <c r="A152" s="155"/>
      <c r="B152" s="30">
        <f t="shared" si="12"/>
        <v>29055</v>
      </c>
      <c r="C152" s="30" t="s">
        <v>2197</v>
      </c>
      <c r="D152" s="30"/>
      <c r="E152" s="30" t="s">
        <v>2180</v>
      </c>
      <c r="F152" s="31" t="s">
        <v>2186</v>
      </c>
      <c r="G152" s="30" t="s">
        <v>1557</v>
      </c>
      <c r="H152" s="30"/>
      <c r="I152" s="30"/>
      <c r="J152" s="30"/>
      <c r="K152" s="30" t="s">
        <v>2184</v>
      </c>
      <c r="L152" s="30" t="s">
        <v>2180</v>
      </c>
      <c r="M152" s="30" t="s">
        <v>2187</v>
      </c>
      <c r="N152" s="30"/>
      <c r="P152" s="30"/>
      <c r="Q152" s="30"/>
      <c r="R152" s="30"/>
      <c r="S152" s="30"/>
      <c r="T152" s="31"/>
      <c r="U152" s="30"/>
      <c r="V152" s="30"/>
      <c r="W152" s="30"/>
      <c r="X152" s="30"/>
      <c r="Y152" s="30"/>
      <c r="Z152" s="30"/>
      <c r="AA152" s="30"/>
      <c r="AB152" s="30"/>
      <c r="AC152" s="30"/>
      <c r="AD152" s="30"/>
      <c r="AE152" s="30"/>
      <c r="AF152" s="30" t="str">
        <f t="shared" si="13"/>
        <v>TF_MS_VRE           SP_31SM_1</v>
      </c>
      <c r="AG152" s="30" t="s">
        <v>2182</v>
      </c>
      <c r="AH152">
        <v>3</v>
      </c>
      <c r="AI152">
        <v>29055</v>
      </c>
      <c r="AJ152" t="s">
        <v>1555</v>
      </c>
      <c r="AK152" t="s">
        <v>19</v>
      </c>
      <c r="AL152" t="s">
        <v>433</v>
      </c>
      <c r="AM152" t="s">
        <v>433</v>
      </c>
      <c r="AN152" t="s">
        <v>432</v>
      </c>
      <c r="AO152" t="s">
        <v>434</v>
      </c>
      <c r="AP152">
        <v>1</v>
      </c>
      <c r="AQ152" t="s">
        <v>435</v>
      </c>
      <c r="AR152" t="s">
        <v>405</v>
      </c>
      <c r="AS152" t="s">
        <v>19</v>
      </c>
      <c r="AT152" t="s">
        <v>19</v>
      </c>
      <c r="AU152" t="s">
        <v>19</v>
      </c>
      <c r="AV152" t="s">
        <v>1556</v>
      </c>
      <c r="AW152">
        <v>97</v>
      </c>
      <c r="AX152" t="s">
        <v>1557</v>
      </c>
      <c r="AY152">
        <v>1</v>
      </c>
      <c r="AZ152" t="s">
        <v>1558</v>
      </c>
      <c r="BA152" t="s">
        <v>19</v>
      </c>
      <c r="BB152" t="s">
        <v>19</v>
      </c>
      <c r="BC152" t="s">
        <v>1511</v>
      </c>
      <c r="BD152" t="s">
        <v>1115</v>
      </c>
      <c r="BE152" t="s">
        <v>19</v>
      </c>
      <c r="BF152" t="s">
        <v>19</v>
      </c>
      <c r="BG152">
        <v>1252</v>
      </c>
      <c r="BH152" t="s">
        <v>1164</v>
      </c>
      <c r="BI152">
        <v>0.13</v>
      </c>
      <c r="BJ152" t="s">
        <v>1478</v>
      </c>
      <c r="BK152" t="s">
        <v>393</v>
      </c>
      <c r="BL152" t="s">
        <v>396</v>
      </c>
      <c r="BM152" t="s">
        <v>400</v>
      </c>
      <c r="BN152">
        <v>29055</v>
      </c>
    </row>
    <row r="153" spans="1:66" ht="14.45" customHeight="1">
      <c r="A153" s="155"/>
      <c r="B153" s="30">
        <f t="shared" si="12"/>
        <v>29063</v>
      </c>
      <c r="C153" s="30" t="s">
        <v>2197</v>
      </c>
      <c r="D153" s="30"/>
      <c r="E153" s="30" t="s">
        <v>2180</v>
      </c>
      <c r="F153" s="31"/>
      <c r="G153" s="30"/>
      <c r="H153" s="30"/>
      <c r="I153" s="30"/>
      <c r="J153" s="30"/>
      <c r="K153" s="30"/>
      <c r="L153" s="30" t="s">
        <v>2181</v>
      </c>
      <c r="M153" s="30" t="s">
        <v>2181</v>
      </c>
      <c r="N153" s="30"/>
      <c r="P153" s="30"/>
      <c r="Q153" s="30"/>
      <c r="R153" s="30"/>
      <c r="S153" s="30"/>
      <c r="T153" s="31"/>
      <c r="U153" s="30"/>
      <c r="V153" s="30"/>
      <c r="W153" s="30"/>
      <c r="X153" s="195" t="s">
        <v>2399</v>
      </c>
      <c r="Y153" s="30"/>
      <c r="Z153" s="30"/>
      <c r="AA153" s="30"/>
      <c r="AB153" s="30"/>
      <c r="AC153" s="30"/>
      <c r="AD153" s="30"/>
      <c r="AE153" s="30" t="s">
        <v>2198</v>
      </c>
      <c r="AF153" s="30" t="str">
        <f t="shared" si="13"/>
        <v>EMI2P_A             LIO3P_B</v>
      </c>
      <c r="AG153" s="30" t="s">
        <v>2182</v>
      </c>
      <c r="AH153">
        <v>3</v>
      </c>
      <c r="AI153">
        <v>29063</v>
      </c>
      <c r="AJ153" t="s">
        <v>1559</v>
      </c>
      <c r="AK153" t="s">
        <v>19</v>
      </c>
      <c r="AL153" t="s">
        <v>1560</v>
      </c>
      <c r="AM153" t="s">
        <v>1560</v>
      </c>
      <c r="AN153" t="s">
        <v>1561</v>
      </c>
      <c r="AO153" t="s">
        <v>1562</v>
      </c>
      <c r="AP153">
        <v>1</v>
      </c>
      <c r="AQ153" t="s">
        <v>516</v>
      </c>
      <c r="AR153" t="s">
        <v>19</v>
      </c>
      <c r="AS153" t="s">
        <v>19</v>
      </c>
      <c r="AT153" t="s">
        <v>19</v>
      </c>
      <c r="AU153" t="s">
        <v>446</v>
      </c>
      <c r="AV153" t="s">
        <v>446</v>
      </c>
      <c r="AW153" t="s">
        <v>1563</v>
      </c>
      <c r="AX153" t="s">
        <v>1564</v>
      </c>
      <c r="AY153">
        <v>1</v>
      </c>
      <c r="AZ153" t="s">
        <v>1565</v>
      </c>
      <c r="BA153" t="s">
        <v>19</v>
      </c>
      <c r="BB153" t="s">
        <v>19</v>
      </c>
      <c r="BC153" t="s">
        <v>1566</v>
      </c>
      <c r="BD153" t="s">
        <v>1115</v>
      </c>
      <c r="BE153" t="s">
        <v>19</v>
      </c>
      <c r="BF153" t="s">
        <v>19</v>
      </c>
      <c r="BG153">
        <v>736</v>
      </c>
      <c r="BH153" t="s">
        <v>1236</v>
      </c>
      <c r="BI153">
        <v>0.5</v>
      </c>
      <c r="BJ153" t="s">
        <v>1567</v>
      </c>
      <c r="BK153" t="s">
        <v>393</v>
      </c>
      <c r="BL153" t="s">
        <v>19</v>
      </c>
      <c r="BM153" t="s">
        <v>400</v>
      </c>
      <c r="BN153">
        <v>29063</v>
      </c>
    </row>
    <row r="154" spans="1:66" ht="14.45" customHeight="1">
      <c r="A154" s="155"/>
      <c r="B154" s="30">
        <f t="shared" si="12"/>
        <v>29064</v>
      </c>
      <c r="C154" s="30" t="s">
        <v>2197</v>
      </c>
      <c r="D154" s="30"/>
      <c r="E154" s="30" t="s">
        <v>2180</v>
      </c>
      <c r="F154" s="31"/>
      <c r="G154" s="30"/>
      <c r="H154" s="30"/>
      <c r="I154" s="30"/>
      <c r="J154" s="30"/>
      <c r="K154" s="30"/>
      <c r="L154" s="30" t="s">
        <v>2181</v>
      </c>
      <c r="M154" s="30" t="s">
        <v>2181</v>
      </c>
      <c r="N154" s="30"/>
      <c r="P154" s="30"/>
      <c r="Q154" s="30"/>
      <c r="R154" s="30"/>
      <c r="S154" s="30"/>
      <c r="T154" s="31"/>
      <c r="U154" s="30"/>
      <c r="V154" s="30"/>
      <c r="W154" s="30"/>
      <c r="X154" s="195" t="s">
        <v>2399</v>
      </c>
      <c r="Y154" s="30"/>
      <c r="Z154" s="30"/>
      <c r="AA154" s="30"/>
      <c r="AB154" s="30"/>
      <c r="AC154" s="30"/>
      <c r="AD154" s="30"/>
      <c r="AE154" s="30" t="s">
        <v>2198</v>
      </c>
      <c r="AF154" s="30" t="str">
        <f t="shared" si="13"/>
        <v>EMI2P_B             LIO3P_C</v>
      </c>
      <c r="AG154" s="30" t="s">
        <v>2182</v>
      </c>
      <c r="AH154">
        <v>3</v>
      </c>
      <c r="AI154">
        <v>29064</v>
      </c>
      <c r="AJ154" t="s">
        <v>1568</v>
      </c>
      <c r="AK154" t="s">
        <v>19</v>
      </c>
      <c r="AL154" t="s">
        <v>1560</v>
      </c>
      <c r="AM154" t="s">
        <v>1560</v>
      </c>
      <c r="AN154" t="s">
        <v>1569</v>
      </c>
      <c r="AO154" t="s">
        <v>1570</v>
      </c>
      <c r="AP154">
        <v>2</v>
      </c>
      <c r="AQ154" t="s">
        <v>1571</v>
      </c>
      <c r="AR154" t="s">
        <v>19</v>
      </c>
      <c r="AS154" t="s">
        <v>19</v>
      </c>
      <c r="AT154" t="s">
        <v>19</v>
      </c>
      <c r="AU154" t="s">
        <v>446</v>
      </c>
      <c r="AV154" t="s">
        <v>446</v>
      </c>
      <c r="AW154" t="s">
        <v>1572</v>
      </c>
      <c r="AX154" t="s">
        <v>1573</v>
      </c>
      <c r="AY154">
        <v>1</v>
      </c>
      <c r="AZ154" t="s">
        <v>1574</v>
      </c>
      <c r="BA154" t="s">
        <v>19</v>
      </c>
      <c r="BB154" t="s">
        <v>19</v>
      </c>
      <c r="BC154" t="s">
        <v>1566</v>
      </c>
      <c r="BD154" t="s">
        <v>1115</v>
      </c>
      <c r="BE154" t="s">
        <v>19</v>
      </c>
      <c r="BF154" t="s">
        <v>19</v>
      </c>
      <c r="BG154">
        <v>547</v>
      </c>
      <c r="BH154" t="s">
        <v>1094</v>
      </c>
      <c r="BI154">
        <v>0.5</v>
      </c>
      <c r="BJ154" t="s">
        <v>1575</v>
      </c>
      <c r="BK154" t="s">
        <v>393</v>
      </c>
      <c r="BL154" t="s">
        <v>19</v>
      </c>
      <c r="BM154" t="s">
        <v>400</v>
      </c>
      <c r="BN154">
        <v>29064</v>
      </c>
    </row>
    <row r="155" spans="1:66" ht="14.45" customHeight="1">
      <c r="A155" s="155"/>
      <c r="B155" s="30">
        <f t="shared" si="12"/>
        <v>29065</v>
      </c>
      <c r="C155" s="30" t="s">
        <v>2197</v>
      </c>
      <c r="D155" s="30"/>
      <c r="E155" s="30" t="s">
        <v>2180</v>
      </c>
      <c r="F155" s="31"/>
      <c r="G155" s="30"/>
      <c r="H155" s="30"/>
      <c r="I155" s="30"/>
      <c r="J155" s="30"/>
      <c r="K155" s="30"/>
      <c r="L155" s="30" t="s">
        <v>2181</v>
      </c>
      <c r="M155" s="30" t="s">
        <v>2181</v>
      </c>
      <c r="N155" s="30"/>
      <c r="P155" s="30"/>
      <c r="Q155" s="30"/>
      <c r="R155" s="30"/>
      <c r="S155" s="30"/>
      <c r="T155" s="31"/>
      <c r="U155" s="30"/>
      <c r="V155" s="30"/>
      <c r="W155" s="30"/>
      <c r="X155" s="195" t="s">
        <v>2399</v>
      </c>
      <c r="Y155" s="30"/>
      <c r="Z155" s="30"/>
      <c r="AA155" s="30"/>
      <c r="AB155" s="30"/>
      <c r="AC155" s="30"/>
      <c r="AD155" s="30"/>
      <c r="AE155" s="30" t="s">
        <v>2198</v>
      </c>
      <c r="AF155" s="30" t="str">
        <f t="shared" si="13"/>
        <v>EMI2P_B             LIO3P_B</v>
      </c>
      <c r="AG155" s="30" t="s">
        <v>2182</v>
      </c>
      <c r="AH155">
        <v>3</v>
      </c>
      <c r="AI155">
        <v>29065</v>
      </c>
      <c r="AJ155" t="s">
        <v>1576</v>
      </c>
      <c r="AK155" t="s">
        <v>19</v>
      </c>
      <c r="AL155" t="s">
        <v>1560</v>
      </c>
      <c r="AM155" t="s">
        <v>1560</v>
      </c>
      <c r="AN155" t="s">
        <v>1569</v>
      </c>
      <c r="AO155" t="s">
        <v>1570</v>
      </c>
      <c r="AP155">
        <v>1</v>
      </c>
      <c r="AQ155" t="s">
        <v>1571</v>
      </c>
      <c r="AR155" t="s">
        <v>19</v>
      </c>
      <c r="AS155" t="s">
        <v>19</v>
      </c>
      <c r="AT155" t="s">
        <v>19</v>
      </c>
      <c r="AU155" t="s">
        <v>446</v>
      </c>
      <c r="AV155" t="s">
        <v>446</v>
      </c>
      <c r="AW155" t="s">
        <v>1563</v>
      </c>
      <c r="AX155" t="s">
        <v>1564</v>
      </c>
      <c r="AY155">
        <v>4</v>
      </c>
      <c r="AZ155" t="s">
        <v>1565</v>
      </c>
      <c r="BA155" t="s">
        <v>19</v>
      </c>
      <c r="BB155" t="s">
        <v>19</v>
      </c>
      <c r="BC155" t="s">
        <v>1566</v>
      </c>
      <c r="BD155" t="s">
        <v>1115</v>
      </c>
      <c r="BE155" t="s">
        <v>19</v>
      </c>
      <c r="BF155" t="s">
        <v>19</v>
      </c>
      <c r="BG155">
        <v>577</v>
      </c>
      <c r="BH155" t="s">
        <v>1098</v>
      </c>
      <c r="BI155">
        <v>0.5</v>
      </c>
      <c r="BJ155" t="s">
        <v>1577</v>
      </c>
      <c r="BK155" t="s">
        <v>393</v>
      </c>
      <c r="BL155" t="s">
        <v>19</v>
      </c>
      <c r="BM155" t="s">
        <v>400</v>
      </c>
      <c r="BN155">
        <v>29065</v>
      </c>
    </row>
    <row r="156" spans="1:66" ht="14.45" customHeight="1">
      <c r="A156" s="155"/>
      <c r="B156" s="30">
        <f t="shared" si="12"/>
        <v>29066</v>
      </c>
      <c r="C156" s="30" t="s">
        <v>2197</v>
      </c>
      <c r="D156" s="30"/>
      <c r="E156" s="30" t="s">
        <v>2180</v>
      </c>
      <c r="F156" s="31"/>
      <c r="G156" s="30"/>
      <c r="H156" s="30"/>
      <c r="I156" s="30"/>
      <c r="J156" s="30"/>
      <c r="K156" s="30"/>
      <c r="L156" s="30" t="s">
        <v>2181</v>
      </c>
      <c r="M156" s="30" t="s">
        <v>2181</v>
      </c>
      <c r="N156" s="30"/>
      <c r="P156" s="30"/>
      <c r="Q156" s="30"/>
      <c r="R156" s="30"/>
      <c r="S156" s="30"/>
      <c r="T156" s="31"/>
      <c r="U156" s="30"/>
      <c r="V156" s="30"/>
      <c r="W156" s="30"/>
      <c r="X156" s="195" t="s">
        <v>2399</v>
      </c>
      <c r="Y156" s="30"/>
      <c r="Z156" s="30"/>
      <c r="AA156" s="30"/>
      <c r="AB156" s="30"/>
      <c r="AC156" s="30"/>
      <c r="AD156" s="30"/>
      <c r="AE156" s="30" t="s">
        <v>2198</v>
      </c>
      <c r="AF156" s="30" t="str">
        <f t="shared" si="13"/>
        <v>EMI2P_A             LIO3P_C</v>
      </c>
      <c r="AG156" s="30" t="s">
        <v>2182</v>
      </c>
      <c r="AH156">
        <v>3</v>
      </c>
      <c r="AI156">
        <v>29066</v>
      </c>
      <c r="AJ156" t="s">
        <v>1578</v>
      </c>
      <c r="AK156" t="s">
        <v>19</v>
      </c>
      <c r="AL156" t="s">
        <v>1560</v>
      </c>
      <c r="AM156" t="s">
        <v>1560</v>
      </c>
      <c r="AN156" t="s">
        <v>1561</v>
      </c>
      <c r="AO156" t="s">
        <v>1562</v>
      </c>
      <c r="AP156">
        <v>2</v>
      </c>
      <c r="AQ156" t="s">
        <v>516</v>
      </c>
      <c r="AR156" t="s">
        <v>19</v>
      </c>
      <c r="AS156" t="s">
        <v>19</v>
      </c>
      <c r="AT156" t="s">
        <v>19</v>
      </c>
      <c r="AU156" t="s">
        <v>446</v>
      </c>
      <c r="AV156" t="s">
        <v>446</v>
      </c>
      <c r="AW156" t="s">
        <v>1572</v>
      </c>
      <c r="AX156" t="s">
        <v>1573</v>
      </c>
      <c r="AY156">
        <v>4</v>
      </c>
      <c r="AZ156" t="s">
        <v>1574</v>
      </c>
      <c r="BA156" t="s">
        <v>19</v>
      </c>
      <c r="BB156" t="s">
        <v>19</v>
      </c>
      <c r="BC156" t="s">
        <v>1566</v>
      </c>
      <c r="BD156" t="s">
        <v>1115</v>
      </c>
      <c r="BE156" t="s">
        <v>19</v>
      </c>
      <c r="BF156" t="s">
        <v>19</v>
      </c>
      <c r="BG156">
        <v>706</v>
      </c>
      <c r="BH156" t="s">
        <v>1173</v>
      </c>
      <c r="BI156">
        <v>0.5</v>
      </c>
      <c r="BJ156" t="s">
        <v>1579</v>
      </c>
      <c r="BK156" t="s">
        <v>393</v>
      </c>
      <c r="BL156" t="s">
        <v>19</v>
      </c>
      <c r="BM156" t="s">
        <v>400</v>
      </c>
      <c r="BN156">
        <v>29066</v>
      </c>
    </row>
    <row r="157" spans="1:66" ht="14.45" customHeight="1">
      <c r="A157" s="155"/>
      <c r="B157" s="30">
        <f t="shared" si="12"/>
        <v>29067</v>
      </c>
      <c r="C157" s="30" t="s">
        <v>2197</v>
      </c>
      <c r="D157" s="30"/>
      <c r="E157" s="30" t="s">
        <v>2180</v>
      </c>
      <c r="F157" s="31" t="s">
        <v>2186</v>
      </c>
      <c r="G157" s="30" t="s">
        <v>1452</v>
      </c>
      <c r="H157" s="30"/>
      <c r="I157" s="30"/>
      <c r="J157" s="30"/>
      <c r="K157" s="30" t="s">
        <v>2184</v>
      </c>
      <c r="L157" s="30" t="s">
        <v>2187</v>
      </c>
      <c r="M157" s="30" t="s">
        <v>2180</v>
      </c>
      <c r="N157" s="30"/>
      <c r="P157" s="30"/>
      <c r="Q157" s="30"/>
      <c r="R157" s="30"/>
      <c r="S157" s="30"/>
      <c r="T157" s="31"/>
      <c r="U157" s="30"/>
      <c r="V157" s="30"/>
      <c r="W157" s="30"/>
      <c r="X157" s="30"/>
      <c r="Y157" s="30"/>
      <c r="Z157" s="30"/>
      <c r="AA157" s="30"/>
      <c r="AB157" s="30"/>
      <c r="AC157" s="30"/>
      <c r="AD157" s="30"/>
      <c r="AE157" s="30"/>
      <c r="AF157" s="30" t="str">
        <f t="shared" si="13"/>
        <v>SP_AC31             SGKG102P_B</v>
      </c>
      <c r="AG157" s="30" t="s">
        <v>2182</v>
      </c>
      <c r="AH157">
        <v>3</v>
      </c>
      <c r="AI157">
        <v>29067</v>
      </c>
      <c r="AJ157" t="s">
        <v>1580</v>
      </c>
      <c r="AK157" t="s">
        <v>19</v>
      </c>
      <c r="AL157" t="s">
        <v>19</v>
      </c>
      <c r="AM157" t="s">
        <v>1451</v>
      </c>
      <c r="AN157">
        <v>170</v>
      </c>
      <c r="AO157" t="s">
        <v>1452</v>
      </c>
      <c r="AP157">
        <v>1</v>
      </c>
      <c r="AQ157" t="s">
        <v>1453</v>
      </c>
      <c r="AR157" t="s">
        <v>19</v>
      </c>
      <c r="AS157" t="s">
        <v>19</v>
      </c>
      <c r="AT157" t="s">
        <v>19</v>
      </c>
      <c r="AU157" t="s">
        <v>241</v>
      </c>
      <c r="AV157" t="s">
        <v>241</v>
      </c>
      <c r="AW157" t="s">
        <v>240</v>
      </c>
      <c r="AX157" t="s">
        <v>242</v>
      </c>
      <c r="AY157">
        <v>20</v>
      </c>
      <c r="AZ157" t="s">
        <v>243</v>
      </c>
      <c r="BA157" t="s">
        <v>47</v>
      </c>
      <c r="BB157" t="s">
        <v>19</v>
      </c>
      <c r="BC157" t="s">
        <v>1121</v>
      </c>
      <c r="BD157" t="s">
        <v>1115</v>
      </c>
      <c r="BE157" t="s">
        <v>19</v>
      </c>
      <c r="BF157" t="s">
        <v>19</v>
      </c>
      <c r="BG157">
        <v>888</v>
      </c>
      <c r="BH157" t="s">
        <v>1094</v>
      </c>
      <c r="BI157">
        <v>0.5</v>
      </c>
      <c r="BJ157" t="s">
        <v>1454</v>
      </c>
      <c r="BK157" t="s">
        <v>393</v>
      </c>
      <c r="BL157" t="s">
        <v>396</v>
      </c>
      <c r="BM157" t="s">
        <v>400</v>
      </c>
      <c r="BN157">
        <v>29067</v>
      </c>
    </row>
    <row r="158" spans="1:66" ht="14.45" customHeight="1">
      <c r="A158" s="155"/>
      <c r="B158" s="30">
        <f t="shared" si="12"/>
        <v>29079</v>
      </c>
      <c r="C158" s="30" t="s">
        <v>2197</v>
      </c>
      <c r="D158" s="30"/>
      <c r="E158" s="30" t="s">
        <v>2180</v>
      </c>
      <c r="F158" s="31" t="s">
        <v>2186</v>
      </c>
      <c r="G158" s="30" t="s">
        <v>1557</v>
      </c>
      <c r="H158" s="30"/>
      <c r="I158" s="30"/>
      <c r="J158" s="30"/>
      <c r="K158" s="30" t="s">
        <v>2184</v>
      </c>
      <c r="L158" s="30" t="s">
        <v>2187</v>
      </c>
      <c r="M158" s="30" t="s">
        <v>2180</v>
      </c>
      <c r="N158" s="30"/>
      <c r="P158" s="30"/>
      <c r="Q158" s="30"/>
      <c r="R158" s="30"/>
      <c r="S158" s="30"/>
      <c r="T158" s="31"/>
      <c r="U158" s="30"/>
      <c r="V158" s="30"/>
      <c r="W158" s="30"/>
      <c r="X158" s="30"/>
      <c r="Y158" s="30"/>
      <c r="Z158" s="30"/>
      <c r="AA158" s="30"/>
      <c r="AB158" s="30"/>
      <c r="AC158" s="30"/>
      <c r="AD158" s="30"/>
      <c r="AE158" s="30"/>
      <c r="AF158" s="30" t="str">
        <f t="shared" si="13"/>
        <v>SP_31SM_1           KS_CPM_A</v>
      </c>
      <c r="AG158" s="30" t="s">
        <v>2182</v>
      </c>
      <c r="AH158">
        <v>3</v>
      </c>
      <c r="AI158">
        <v>29079</v>
      </c>
      <c r="AJ158" t="s">
        <v>1581</v>
      </c>
      <c r="AK158" t="s">
        <v>19</v>
      </c>
      <c r="AL158" t="s">
        <v>19</v>
      </c>
      <c r="AM158" t="s">
        <v>1556</v>
      </c>
      <c r="AN158">
        <v>97</v>
      </c>
      <c r="AO158" t="s">
        <v>1557</v>
      </c>
      <c r="AP158">
        <v>1</v>
      </c>
      <c r="AQ158" t="s">
        <v>1558</v>
      </c>
      <c r="AR158" t="s">
        <v>19</v>
      </c>
      <c r="AS158" t="s">
        <v>19</v>
      </c>
      <c r="AT158" t="s">
        <v>19</v>
      </c>
      <c r="AU158" t="s">
        <v>81</v>
      </c>
      <c r="AV158" t="s">
        <v>81</v>
      </c>
      <c r="AW158" t="s">
        <v>80</v>
      </c>
      <c r="AX158" t="s">
        <v>82</v>
      </c>
      <c r="AY158">
        <v>5</v>
      </c>
      <c r="AZ158" t="s">
        <v>83</v>
      </c>
      <c r="BA158" t="s">
        <v>35</v>
      </c>
      <c r="BB158" t="s">
        <v>19</v>
      </c>
      <c r="BC158" t="s">
        <v>1477</v>
      </c>
      <c r="BD158" t="s">
        <v>1115</v>
      </c>
      <c r="BE158" t="s">
        <v>19</v>
      </c>
      <c r="BF158" t="s">
        <v>19</v>
      </c>
      <c r="BG158">
        <v>479</v>
      </c>
      <c r="BH158" t="s">
        <v>1164</v>
      </c>
      <c r="BI158">
        <v>0.35</v>
      </c>
      <c r="BJ158" t="s">
        <v>1478</v>
      </c>
      <c r="BK158" t="s">
        <v>393</v>
      </c>
      <c r="BL158" t="s">
        <v>396</v>
      </c>
      <c r="BM158" t="s">
        <v>400</v>
      </c>
      <c r="BN158">
        <v>29079</v>
      </c>
    </row>
    <row r="159" spans="1:66" ht="14.45" customHeight="1">
      <c r="A159" s="155"/>
      <c r="B159" s="30">
        <f t="shared" si="12"/>
        <v>29099</v>
      </c>
      <c r="C159" s="30" t="s">
        <v>2197</v>
      </c>
      <c r="D159" s="30"/>
      <c r="E159" s="35" t="s">
        <v>2180</v>
      </c>
      <c r="F159" s="31" t="s">
        <v>2186</v>
      </c>
      <c r="G159" s="30" t="s">
        <v>1543</v>
      </c>
      <c r="H159" s="30"/>
      <c r="I159" s="30"/>
      <c r="J159" s="30"/>
      <c r="K159" s="30" t="s">
        <v>2184</v>
      </c>
      <c r="L159" s="35" t="s">
        <v>2180</v>
      </c>
      <c r="M159" s="30" t="s">
        <v>2187</v>
      </c>
      <c r="N159" s="30"/>
      <c r="P159" s="30"/>
      <c r="Q159" s="30"/>
      <c r="R159" s="30"/>
      <c r="S159" s="30"/>
      <c r="T159" s="31"/>
      <c r="U159" s="30"/>
      <c r="V159" s="30"/>
      <c r="W159" s="30"/>
      <c r="X159" s="30"/>
      <c r="Y159" s="30"/>
      <c r="Z159" s="30"/>
      <c r="AA159" s="30"/>
      <c r="AB159" s="30"/>
      <c r="AC159" s="30"/>
      <c r="AD159" s="30"/>
      <c r="AE159" s="30"/>
      <c r="AF159" s="30" t="str">
        <f t="shared" si="13"/>
        <v>FSS03A              SP_15AS</v>
      </c>
      <c r="AG159" s="30" t="s">
        <v>2182</v>
      </c>
      <c r="AH159">
        <v>3</v>
      </c>
      <c r="AI159">
        <v>29099</v>
      </c>
      <c r="AJ159" t="s">
        <v>1582</v>
      </c>
      <c r="AK159" t="s">
        <v>19</v>
      </c>
      <c r="AL159" t="s">
        <v>438</v>
      </c>
      <c r="AM159" t="s">
        <v>438</v>
      </c>
      <c r="AN159" t="s">
        <v>437</v>
      </c>
      <c r="AO159" t="s">
        <v>439</v>
      </c>
      <c r="AP159">
        <v>1</v>
      </c>
      <c r="AQ159" t="s">
        <v>440</v>
      </c>
      <c r="AR159" t="s">
        <v>46</v>
      </c>
      <c r="AS159" t="s">
        <v>19</v>
      </c>
      <c r="AT159" t="s">
        <v>19</v>
      </c>
      <c r="AU159" t="s">
        <v>19</v>
      </c>
      <c r="AV159" t="s">
        <v>1541</v>
      </c>
      <c r="AW159" t="s">
        <v>1542</v>
      </c>
      <c r="AX159" t="s">
        <v>1543</v>
      </c>
      <c r="AY159">
        <v>1</v>
      </c>
      <c r="AZ159" t="s">
        <v>1544</v>
      </c>
      <c r="BA159" t="s">
        <v>19</v>
      </c>
      <c r="BB159" t="s">
        <v>19</v>
      </c>
      <c r="BC159" t="s">
        <v>1545</v>
      </c>
      <c r="BD159" t="s">
        <v>1115</v>
      </c>
      <c r="BE159" t="s">
        <v>19</v>
      </c>
      <c r="BF159" t="s">
        <v>19</v>
      </c>
      <c r="BG159">
        <v>501</v>
      </c>
      <c r="BH159" t="s">
        <v>1458</v>
      </c>
      <c r="BI159">
        <v>0.35</v>
      </c>
      <c r="BJ159" t="s">
        <v>1546</v>
      </c>
      <c r="BK159" t="s">
        <v>393</v>
      </c>
      <c r="BL159" t="s">
        <v>19</v>
      </c>
      <c r="BM159" t="s">
        <v>19</v>
      </c>
      <c r="BN159">
        <v>29099</v>
      </c>
    </row>
    <row r="160" spans="1:66" ht="14.45" customHeight="1">
      <c r="A160" s="155"/>
      <c r="B160" s="30">
        <f t="shared" si="12"/>
        <v>29100</v>
      </c>
      <c r="C160" s="30" t="s">
        <v>2197</v>
      </c>
      <c r="D160" s="30"/>
      <c r="E160" s="35" t="s">
        <v>2180</v>
      </c>
      <c r="F160" s="31" t="s">
        <v>2186</v>
      </c>
      <c r="G160" s="30" t="s">
        <v>1444</v>
      </c>
      <c r="H160" s="30"/>
      <c r="I160" s="30"/>
      <c r="J160" s="30"/>
      <c r="K160" s="30" t="s">
        <v>2184</v>
      </c>
      <c r="L160" s="35" t="s">
        <v>2180</v>
      </c>
      <c r="M160" s="30" t="s">
        <v>2187</v>
      </c>
      <c r="N160" s="30"/>
      <c r="P160" s="30"/>
      <c r="Q160" s="30"/>
      <c r="R160" s="30"/>
      <c r="S160" s="30"/>
      <c r="T160" s="31"/>
      <c r="U160" s="30"/>
      <c r="V160" s="30"/>
      <c r="W160" s="30"/>
      <c r="X160" s="30"/>
      <c r="Y160" s="30"/>
      <c r="Z160" s="30"/>
      <c r="AA160" s="30"/>
      <c r="AB160" s="30"/>
      <c r="AC160" s="30"/>
      <c r="AD160" s="30"/>
      <c r="AE160" s="30"/>
      <c r="AF160" s="30" t="str">
        <f t="shared" si="13"/>
        <v>FSS03A              SP_ACLIN2</v>
      </c>
      <c r="AG160" s="30" t="s">
        <v>2182</v>
      </c>
      <c r="AH160">
        <v>3</v>
      </c>
      <c r="AI160">
        <v>29100</v>
      </c>
      <c r="AJ160" t="s">
        <v>1583</v>
      </c>
      <c r="AK160" t="s">
        <v>19</v>
      </c>
      <c r="AL160" t="s">
        <v>438</v>
      </c>
      <c r="AM160" t="s">
        <v>438</v>
      </c>
      <c r="AN160" t="s">
        <v>437</v>
      </c>
      <c r="AO160" t="s">
        <v>439</v>
      </c>
      <c r="AP160">
        <v>2</v>
      </c>
      <c r="AQ160" t="s">
        <v>440</v>
      </c>
      <c r="AR160" t="s">
        <v>41</v>
      </c>
      <c r="AS160" t="s">
        <v>19</v>
      </c>
      <c r="AT160" t="s">
        <v>19</v>
      </c>
      <c r="AU160" t="s">
        <v>19</v>
      </c>
      <c r="AV160" t="s">
        <v>1442</v>
      </c>
      <c r="AW160" t="s">
        <v>1443</v>
      </c>
      <c r="AX160" t="s">
        <v>1444</v>
      </c>
      <c r="AY160">
        <v>1</v>
      </c>
      <c r="AZ160" t="s">
        <v>1445</v>
      </c>
      <c r="BA160" t="s">
        <v>19</v>
      </c>
      <c r="BB160" t="s">
        <v>19</v>
      </c>
      <c r="BC160" t="s">
        <v>1212</v>
      </c>
      <c r="BD160" t="s">
        <v>1115</v>
      </c>
      <c r="BE160" t="s">
        <v>19</v>
      </c>
      <c r="BF160" t="s">
        <v>19</v>
      </c>
      <c r="BG160">
        <v>654</v>
      </c>
      <c r="BH160" t="s">
        <v>1213</v>
      </c>
      <c r="BI160">
        <v>0.13</v>
      </c>
      <c r="BJ160" t="s">
        <v>1446</v>
      </c>
      <c r="BK160" t="s">
        <v>393</v>
      </c>
      <c r="BL160" t="s">
        <v>19</v>
      </c>
      <c r="BM160" t="s">
        <v>19</v>
      </c>
      <c r="BN160">
        <v>29100</v>
      </c>
    </row>
    <row r="161" spans="1:66" ht="14.45" customHeight="1">
      <c r="A161" s="155"/>
      <c r="B161" s="30">
        <f t="shared" si="12"/>
        <v>29101</v>
      </c>
      <c r="C161" s="30" t="s">
        <v>2197</v>
      </c>
      <c r="D161" s="30"/>
      <c r="E161" s="30" t="s">
        <v>2180</v>
      </c>
      <c r="F161" s="31" t="s">
        <v>2183</v>
      </c>
      <c r="G161" s="30" t="s">
        <v>1152</v>
      </c>
      <c r="H161" s="30"/>
      <c r="I161" s="30"/>
      <c r="J161" s="30"/>
      <c r="K161" s="30" t="s">
        <v>2184</v>
      </c>
      <c r="L161" s="30" t="s">
        <v>2180</v>
      </c>
      <c r="M161" s="35" t="s">
        <v>2180</v>
      </c>
      <c r="N161" s="30"/>
      <c r="P161" s="30"/>
      <c r="Q161" s="30"/>
      <c r="R161" s="30"/>
      <c r="S161" s="30"/>
      <c r="T161" s="31"/>
      <c r="U161" s="30"/>
      <c r="V161" s="30"/>
      <c r="W161" s="30"/>
      <c r="X161" s="30"/>
      <c r="Y161" s="30"/>
      <c r="Z161" s="30"/>
      <c r="AA161" s="30"/>
      <c r="AB161" s="30"/>
      <c r="AC161" s="30"/>
      <c r="AD161" s="30"/>
      <c r="AE161" s="30"/>
      <c r="AF161" s="30" t="str">
        <f t="shared" si="13"/>
        <v>SP_MB32_B2          FSS03A</v>
      </c>
      <c r="AG161" s="30" t="s">
        <v>2182</v>
      </c>
      <c r="AH161">
        <v>3</v>
      </c>
      <c r="AI161">
        <v>29101</v>
      </c>
      <c r="AJ161" t="s">
        <v>1584</v>
      </c>
      <c r="AK161" t="s">
        <v>19</v>
      </c>
      <c r="AL161" t="s">
        <v>19</v>
      </c>
      <c r="AM161" t="s">
        <v>1151</v>
      </c>
      <c r="AN161">
        <v>135</v>
      </c>
      <c r="AO161" t="s">
        <v>1152</v>
      </c>
      <c r="AP161">
        <v>1</v>
      </c>
      <c r="AQ161" t="s">
        <v>358</v>
      </c>
      <c r="AR161" t="s">
        <v>19</v>
      </c>
      <c r="AS161" t="s">
        <v>19</v>
      </c>
      <c r="AT161" t="s">
        <v>19</v>
      </c>
      <c r="AU161" t="s">
        <v>438</v>
      </c>
      <c r="AV161" t="s">
        <v>438</v>
      </c>
      <c r="AW161" t="s">
        <v>437</v>
      </c>
      <c r="AX161" t="s">
        <v>439</v>
      </c>
      <c r="AY161">
        <v>3</v>
      </c>
      <c r="AZ161" t="s">
        <v>440</v>
      </c>
      <c r="BA161" t="s">
        <v>46</v>
      </c>
      <c r="BB161" t="s">
        <v>19</v>
      </c>
      <c r="BC161" t="s">
        <v>1287</v>
      </c>
      <c r="BD161" t="s">
        <v>1115</v>
      </c>
      <c r="BE161" t="s">
        <v>19</v>
      </c>
      <c r="BF161" t="s">
        <v>19</v>
      </c>
      <c r="BG161">
        <v>561</v>
      </c>
      <c r="BH161" t="s">
        <v>1094</v>
      </c>
      <c r="BI161">
        <v>0.35</v>
      </c>
      <c r="BJ161" t="s">
        <v>1153</v>
      </c>
      <c r="BK161" t="s">
        <v>393</v>
      </c>
      <c r="BL161" t="s">
        <v>19</v>
      </c>
      <c r="BM161" t="s">
        <v>19</v>
      </c>
      <c r="BN161">
        <v>29101</v>
      </c>
    </row>
    <row r="162" spans="1:66" ht="14.45" customHeight="1">
      <c r="A162" s="155"/>
      <c r="B162" s="30">
        <f t="shared" si="12"/>
        <v>29102</v>
      </c>
      <c r="C162" s="30" t="s">
        <v>2197</v>
      </c>
      <c r="D162" s="30"/>
      <c r="E162" s="35" t="s">
        <v>2180</v>
      </c>
      <c r="F162" s="31" t="s">
        <v>2186</v>
      </c>
      <c r="G162" s="30" t="s">
        <v>1543</v>
      </c>
      <c r="H162" s="30"/>
      <c r="I162" s="30"/>
      <c r="J162" s="30"/>
      <c r="K162" s="30" t="s">
        <v>2184</v>
      </c>
      <c r="L162" s="30" t="s">
        <v>2187</v>
      </c>
      <c r="M162" s="35" t="s">
        <v>2180</v>
      </c>
      <c r="N162" s="30"/>
      <c r="P162" s="30"/>
      <c r="Q162" s="30"/>
      <c r="R162" s="30"/>
      <c r="S162" s="30"/>
      <c r="T162" s="31"/>
      <c r="U162" s="30"/>
      <c r="V162" s="30"/>
      <c r="W162" s="30"/>
      <c r="X162" s="30"/>
      <c r="Y162" s="30"/>
      <c r="Z162" s="30"/>
      <c r="AA162" s="30"/>
      <c r="AB162" s="30"/>
      <c r="AC162" s="30"/>
      <c r="AD162" s="30"/>
      <c r="AE162" s="30"/>
      <c r="AF162" s="30" t="str">
        <f t="shared" si="13"/>
        <v>SP_15AS             KS_CPR_A</v>
      </c>
      <c r="AG162" s="30" t="s">
        <v>2182</v>
      </c>
      <c r="AH162">
        <v>3</v>
      </c>
      <c r="AI162">
        <v>29102</v>
      </c>
      <c r="AJ162" t="s">
        <v>1585</v>
      </c>
      <c r="AK162" t="s">
        <v>19</v>
      </c>
      <c r="AL162" t="s">
        <v>19</v>
      </c>
      <c r="AM162" t="s">
        <v>1541</v>
      </c>
      <c r="AN162" t="s">
        <v>1542</v>
      </c>
      <c r="AO162" t="s">
        <v>1543</v>
      </c>
      <c r="AP162">
        <v>1</v>
      </c>
      <c r="AQ162" t="s">
        <v>1544</v>
      </c>
      <c r="AR162" t="s">
        <v>19</v>
      </c>
      <c r="AS162" t="s">
        <v>19</v>
      </c>
      <c r="AT162" t="s">
        <v>19</v>
      </c>
      <c r="AU162" t="s">
        <v>96</v>
      </c>
      <c r="AV162" t="s">
        <v>96</v>
      </c>
      <c r="AW162" t="s">
        <v>95</v>
      </c>
      <c r="AX162" t="s">
        <v>97</v>
      </c>
      <c r="AY162">
        <v>3</v>
      </c>
      <c r="AZ162" t="s">
        <v>98</v>
      </c>
      <c r="BA162" t="s">
        <v>35</v>
      </c>
      <c r="BB162" t="s">
        <v>19</v>
      </c>
      <c r="BC162" t="s">
        <v>1545</v>
      </c>
      <c r="BD162" t="s">
        <v>1115</v>
      </c>
      <c r="BE162" t="s">
        <v>19</v>
      </c>
      <c r="BF162" t="s">
        <v>19</v>
      </c>
      <c r="BG162">
        <v>754</v>
      </c>
      <c r="BH162" t="s">
        <v>1458</v>
      </c>
      <c r="BI162">
        <v>0.35</v>
      </c>
      <c r="BJ162" t="s">
        <v>1546</v>
      </c>
      <c r="BK162" t="s">
        <v>393</v>
      </c>
      <c r="BL162" t="s">
        <v>19</v>
      </c>
      <c r="BM162" t="s">
        <v>400</v>
      </c>
      <c r="BN162">
        <v>29102</v>
      </c>
    </row>
    <row r="163" spans="1:66" ht="14.45" customHeight="1">
      <c r="A163" s="155"/>
      <c r="B163" s="30">
        <f t="shared" si="12"/>
        <v>29108</v>
      </c>
      <c r="C163" s="30" t="s">
        <v>2197</v>
      </c>
      <c r="D163" s="30"/>
      <c r="E163" s="30" t="s">
        <v>2180</v>
      </c>
      <c r="F163" s="31" t="s">
        <v>2186</v>
      </c>
      <c r="G163" s="30" t="s">
        <v>1475</v>
      </c>
      <c r="H163" s="30"/>
      <c r="I163" s="30"/>
      <c r="J163" s="30"/>
      <c r="K163" s="30" t="s">
        <v>2184</v>
      </c>
      <c r="L163" s="30" t="s">
        <v>2180</v>
      </c>
      <c r="M163" s="30" t="s">
        <v>2187</v>
      </c>
      <c r="N163" s="30"/>
      <c r="P163" s="30"/>
      <c r="Q163" s="30"/>
      <c r="R163" s="30"/>
      <c r="S163" s="30"/>
      <c r="T163" s="31"/>
      <c r="U163" s="30"/>
      <c r="V163" s="30"/>
      <c r="W163" s="30"/>
      <c r="X163" s="30"/>
      <c r="Y163" s="30"/>
      <c r="Z163" s="30"/>
      <c r="AA163" s="30"/>
      <c r="AB163" s="30"/>
      <c r="AC163" s="30"/>
      <c r="AD163" s="30"/>
      <c r="AE163" s="30"/>
      <c r="AF163" s="30" t="str">
        <f t="shared" si="13"/>
        <v>ASS_LI              SP_31SM</v>
      </c>
      <c r="AG163" s="30" t="s">
        <v>2182</v>
      </c>
      <c r="AH163">
        <v>3</v>
      </c>
      <c r="AI163">
        <v>29108</v>
      </c>
      <c r="AJ163" t="s">
        <v>1586</v>
      </c>
      <c r="AK163" t="s">
        <v>19</v>
      </c>
      <c r="AL163" t="s">
        <v>481</v>
      </c>
      <c r="AM163" t="s">
        <v>481</v>
      </c>
      <c r="AN163" t="s">
        <v>480</v>
      </c>
      <c r="AO163" t="s">
        <v>482</v>
      </c>
      <c r="AP163">
        <v>2</v>
      </c>
      <c r="AQ163" t="s">
        <v>483</v>
      </c>
      <c r="AR163" t="s">
        <v>46</v>
      </c>
      <c r="AS163" t="s">
        <v>19</v>
      </c>
      <c r="AT163" t="s">
        <v>19</v>
      </c>
      <c r="AU163" t="s">
        <v>19</v>
      </c>
      <c r="AV163" t="s">
        <v>1473</v>
      </c>
      <c r="AW163" t="s">
        <v>1474</v>
      </c>
      <c r="AX163" t="s">
        <v>1475</v>
      </c>
      <c r="AY163">
        <v>1</v>
      </c>
      <c r="AZ163" t="s">
        <v>1476</v>
      </c>
      <c r="BA163" t="s">
        <v>19</v>
      </c>
      <c r="BB163" t="s">
        <v>19</v>
      </c>
      <c r="BC163" t="s">
        <v>1477</v>
      </c>
      <c r="BD163" t="s">
        <v>1115</v>
      </c>
      <c r="BE163" t="s">
        <v>19</v>
      </c>
      <c r="BF163" t="s">
        <v>19</v>
      </c>
      <c r="BG163">
        <v>1388</v>
      </c>
      <c r="BH163" t="s">
        <v>1164</v>
      </c>
      <c r="BI163">
        <v>0.35</v>
      </c>
      <c r="BJ163" t="s">
        <v>1478</v>
      </c>
      <c r="BK163" t="s">
        <v>393</v>
      </c>
      <c r="BL163" t="s">
        <v>396</v>
      </c>
      <c r="BM163" t="s">
        <v>400</v>
      </c>
      <c r="BN163">
        <v>29108</v>
      </c>
    </row>
    <row r="164" spans="1:66" ht="14.45" customHeight="1">
      <c r="A164" s="155"/>
      <c r="B164" s="30">
        <f t="shared" si="12"/>
        <v>29109</v>
      </c>
      <c r="C164" s="30" t="s">
        <v>2197</v>
      </c>
      <c r="D164" s="30"/>
      <c r="E164" s="30" t="s">
        <v>2180</v>
      </c>
      <c r="F164" s="31" t="s">
        <v>2186</v>
      </c>
      <c r="G164" s="30" t="s">
        <v>1557</v>
      </c>
      <c r="H164" s="30"/>
      <c r="I164" s="30"/>
      <c r="J164" s="30"/>
      <c r="K164" s="30" t="s">
        <v>2184</v>
      </c>
      <c r="L164" s="30" t="s">
        <v>2187</v>
      </c>
      <c r="M164" s="30" t="s">
        <v>2180</v>
      </c>
      <c r="N164" s="30"/>
      <c r="P164" s="30"/>
      <c r="Q164" s="30"/>
      <c r="R164" s="30"/>
      <c r="S164" s="30"/>
      <c r="T164" s="31"/>
      <c r="U164" s="30"/>
      <c r="V164" s="30"/>
      <c r="W164" s="30"/>
      <c r="X164" s="30"/>
      <c r="Y164" s="30"/>
      <c r="Z164" s="30"/>
      <c r="AA164" s="30"/>
      <c r="AB164" s="30"/>
      <c r="AC164" s="30"/>
      <c r="AD164" s="30"/>
      <c r="AE164" s="30"/>
      <c r="AF164" s="30" t="str">
        <f t="shared" si="13"/>
        <v>SP_31SM_1           ASS_RE</v>
      </c>
      <c r="AG164" s="30" t="s">
        <v>2182</v>
      </c>
      <c r="AH164">
        <v>3</v>
      </c>
      <c r="AI164">
        <v>29109</v>
      </c>
      <c r="AJ164" t="s">
        <v>1587</v>
      </c>
      <c r="AK164" t="s">
        <v>19</v>
      </c>
      <c r="AL164" t="s">
        <v>19</v>
      </c>
      <c r="AM164" t="s">
        <v>1556</v>
      </c>
      <c r="AN164">
        <v>97</v>
      </c>
      <c r="AO164" t="s">
        <v>1557</v>
      </c>
      <c r="AP164">
        <v>1</v>
      </c>
      <c r="AQ164" t="s">
        <v>1558</v>
      </c>
      <c r="AR164" t="s">
        <v>19</v>
      </c>
      <c r="AS164" t="s">
        <v>19</v>
      </c>
      <c r="AT164" t="s">
        <v>19</v>
      </c>
      <c r="AU164" t="s">
        <v>488</v>
      </c>
      <c r="AV164" t="s">
        <v>488</v>
      </c>
      <c r="AW164" t="s">
        <v>487</v>
      </c>
      <c r="AX164" t="s">
        <v>489</v>
      </c>
      <c r="AY164">
        <v>2</v>
      </c>
      <c r="AZ164" t="s">
        <v>490</v>
      </c>
      <c r="BA164" t="s">
        <v>46</v>
      </c>
      <c r="BB164" t="s">
        <v>19</v>
      </c>
      <c r="BC164" t="s">
        <v>1477</v>
      </c>
      <c r="BD164" t="s">
        <v>1115</v>
      </c>
      <c r="BE164" t="s">
        <v>19</v>
      </c>
      <c r="BF164" t="s">
        <v>19</v>
      </c>
      <c r="BG164">
        <v>1192</v>
      </c>
      <c r="BH164" t="s">
        <v>1164</v>
      </c>
      <c r="BI164">
        <v>0.35</v>
      </c>
      <c r="BJ164" t="s">
        <v>1478</v>
      </c>
      <c r="BK164" t="s">
        <v>393</v>
      </c>
      <c r="BL164" t="s">
        <v>396</v>
      </c>
      <c r="BM164" t="s">
        <v>400</v>
      </c>
      <c r="BN164">
        <v>29109</v>
      </c>
    </row>
    <row r="165" spans="1:66" ht="14.45" customHeight="1">
      <c r="A165" s="155">
        <v>501</v>
      </c>
      <c r="B165" s="30">
        <f t="shared" si="12"/>
        <v>29110</v>
      </c>
      <c r="C165" s="30" t="s">
        <v>2197</v>
      </c>
      <c r="D165" s="30"/>
      <c r="E165" s="30" t="s">
        <v>2180</v>
      </c>
      <c r="F165" s="31" t="s">
        <v>2186</v>
      </c>
      <c r="G165" s="30" t="s">
        <v>1475</v>
      </c>
      <c r="H165" s="30"/>
      <c r="I165" s="30"/>
      <c r="J165" s="30"/>
      <c r="K165" s="30" t="s">
        <v>2184</v>
      </c>
      <c r="L165" s="30" t="s">
        <v>2180</v>
      </c>
      <c r="M165" s="30" t="s">
        <v>2187</v>
      </c>
      <c r="N165" s="30"/>
      <c r="P165" s="30"/>
      <c r="Q165" s="30"/>
      <c r="R165" s="30"/>
      <c r="S165" s="30"/>
      <c r="T165" s="31"/>
      <c r="U165" s="30"/>
      <c r="V165" s="30"/>
      <c r="W165" s="30"/>
      <c r="X165" s="30"/>
      <c r="Y165" s="30"/>
      <c r="Z165" s="30"/>
      <c r="AA165" s="30"/>
      <c r="AB165" s="30"/>
      <c r="AC165" s="30"/>
      <c r="AD165" s="30"/>
      <c r="AE165" s="30"/>
      <c r="AF165" s="30" t="str">
        <f t="shared" si="13"/>
        <v>ASM                 SP_31SM</v>
      </c>
      <c r="AG165" s="30" t="s">
        <v>2182</v>
      </c>
      <c r="AH165">
        <v>3</v>
      </c>
      <c r="AI165">
        <v>29110</v>
      </c>
      <c r="AJ165" t="s">
        <v>1588</v>
      </c>
      <c r="AK165" t="s">
        <v>19</v>
      </c>
      <c r="AL165" t="s">
        <v>494</v>
      </c>
      <c r="AM165" t="s">
        <v>494</v>
      </c>
      <c r="AN165" t="s">
        <v>493</v>
      </c>
      <c r="AO165" t="s">
        <v>495</v>
      </c>
      <c r="AP165">
        <v>2</v>
      </c>
      <c r="AQ165" s="161" t="s">
        <v>2348</v>
      </c>
      <c r="AR165" t="s">
        <v>46</v>
      </c>
      <c r="AS165" t="s">
        <v>19</v>
      </c>
      <c r="AT165" t="s">
        <v>19</v>
      </c>
      <c r="AU165" t="s">
        <v>19</v>
      </c>
      <c r="AV165" t="s">
        <v>1473</v>
      </c>
      <c r="AW165" t="s">
        <v>1474</v>
      </c>
      <c r="AX165" t="s">
        <v>1475</v>
      </c>
      <c r="AY165">
        <v>1</v>
      </c>
      <c r="AZ165" t="s">
        <v>1476</v>
      </c>
      <c r="BA165" t="s">
        <v>19</v>
      </c>
      <c r="BB165" t="s">
        <v>19</v>
      </c>
      <c r="BC165" t="s">
        <v>1477</v>
      </c>
      <c r="BD165" t="s">
        <v>1115</v>
      </c>
      <c r="BE165" t="s">
        <v>19</v>
      </c>
      <c r="BF165" t="s">
        <v>19</v>
      </c>
      <c r="BG165" s="161">
        <v>444</v>
      </c>
      <c r="BH165" t="s">
        <v>1164</v>
      </c>
      <c r="BI165">
        <v>0.35</v>
      </c>
      <c r="BJ165" t="s">
        <v>1478</v>
      </c>
      <c r="BK165" t="s">
        <v>393</v>
      </c>
      <c r="BL165" t="s">
        <v>396</v>
      </c>
      <c r="BM165" t="s">
        <v>400</v>
      </c>
      <c r="BN165">
        <v>29110</v>
      </c>
    </row>
    <row r="166" spans="1:66" ht="14.45" customHeight="1">
      <c r="A166" s="155"/>
      <c r="B166" s="30">
        <f t="shared" si="12"/>
        <v>29112</v>
      </c>
      <c r="C166" s="30" t="s">
        <v>2197</v>
      </c>
      <c r="D166" s="30"/>
      <c r="E166" s="30" t="s">
        <v>2180</v>
      </c>
      <c r="F166" s="31"/>
      <c r="G166" s="30"/>
      <c r="H166" s="30"/>
      <c r="I166" s="30"/>
      <c r="J166" s="30"/>
      <c r="K166" s="30"/>
      <c r="L166" s="30" t="s">
        <v>2180</v>
      </c>
      <c r="M166" s="30" t="s">
        <v>2180</v>
      </c>
      <c r="N166" s="30"/>
      <c r="P166" s="30"/>
      <c r="Q166" s="30"/>
      <c r="R166" s="30"/>
      <c r="S166" s="30"/>
      <c r="T166" s="31"/>
      <c r="U166" s="30"/>
      <c r="V166" s="30"/>
      <c r="W166" s="30"/>
      <c r="X166" s="30"/>
      <c r="Y166" s="30"/>
      <c r="Z166" s="30"/>
      <c r="AA166" s="30"/>
      <c r="AB166" s="30"/>
      <c r="AC166" s="30"/>
      <c r="AD166" s="30"/>
      <c r="AE166" s="30"/>
      <c r="AF166" s="30" t="str">
        <f t="shared" si="13"/>
        <v>ASS_LI              SGKG102P_B</v>
      </c>
      <c r="AG166" s="30" t="s">
        <v>2182</v>
      </c>
      <c r="AH166">
        <v>3</v>
      </c>
      <c r="AI166">
        <v>29112</v>
      </c>
      <c r="AJ166" t="s">
        <v>1589</v>
      </c>
      <c r="AK166" t="s">
        <v>19</v>
      </c>
      <c r="AL166" t="s">
        <v>481</v>
      </c>
      <c r="AM166" t="s">
        <v>481</v>
      </c>
      <c r="AN166" t="s">
        <v>480</v>
      </c>
      <c r="AO166" t="s">
        <v>482</v>
      </c>
      <c r="AP166">
        <v>3</v>
      </c>
      <c r="AQ166" t="s">
        <v>483</v>
      </c>
      <c r="AR166" t="s">
        <v>46</v>
      </c>
      <c r="AS166" t="s">
        <v>19</v>
      </c>
      <c r="AT166" t="s">
        <v>19</v>
      </c>
      <c r="AU166" t="s">
        <v>241</v>
      </c>
      <c r="AV166" t="s">
        <v>241</v>
      </c>
      <c r="AW166" t="s">
        <v>240</v>
      </c>
      <c r="AX166" t="s">
        <v>242</v>
      </c>
      <c r="AY166">
        <v>23</v>
      </c>
      <c r="AZ166" t="s">
        <v>243</v>
      </c>
      <c r="BA166" t="s">
        <v>46</v>
      </c>
      <c r="BB166" t="s">
        <v>19</v>
      </c>
      <c r="BC166" t="s">
        <v>1590</v>
      </c>
      <c r="BD166" t="s">
        <v>1115</v>
      </c>
      <c r="BE166" t="s">
        <v>19</v>
      </c>
      <c r="BF166" t="s">
        <v>19</v>
      </c>
      <c r="BG166">
        <v>1034</v>
      </c>
      <c r="BH166" t="s">
        <v>1156</v>
      </c>
      <c r="BI166">
        <v>0.35</v>
      </c>
      <c r="BJ166" t="s">
        <v>1591</v>
      </c>
      <c r="BK166" t="s">
        <v>393</v>
      </c>
      <c r="BL166" t="s">
        <v>396</v>
      </c>
      <c r="BM166" t="s">
        <v>400</v>
      </c>
      <c r="BN166">
        <v>29112</v>
      </c>
    </row>
    <row r="167" spans="1:66" ht="14.45" customHeight="1">
      <c r="A167" s="155">
        <v>501</v>
      </c>
      <c r="B167" s="30">
        <f t="shared" si="12"/>
        <v>29113</v>
      </c>
      <c r="C167" s="30" t="s">
        <v>2197</v>
      </c>
      <c r="D167" s="30"/>
      <c r="E167" s="30" t="s">
        <v>2180</v>
      </c>
      <c r="F167" s="31"/>
      <c r="G167" s="30"/>
      <c r="H167" s="30"/>
      <c r="I167" s="30"/>
      <c r="J167" s="30"/>
      <c r="K167" s="30"/>
      <c r="L167" s="30" t="s">
        <v>2180</v>
      </c>
      <c r="M167" s="30" t="s">
        <v>2180</v>
      </c>
      <c r="N167" s="30"/>
      <c r="P167" s="30"/>
      <c r="Q167" s="30"/>
      <c r="R167" s="30"/>
      <c r="S167" s="30"/>
      <c r="T167" s="31"/>
      <c r="U167" s="30"/>
      <c r="V167" s="30"/>
      <c r="W167" s="30"/>
      <c r="X167" s="30"/>
      <c r="Y167" s="30"/>
      <c r="Z167" s="30"/>
      <c r="AA167" s="30"/>
      <c r="AB167" s="30"/>
      <c r="AC167" s="30"/>
      <c r="AD167" s="30"/>
      <c r="AE167" s="30"/>
      <c r="AF167" s="30" t="str">
        <f t="shared" si="13"/>
        <v>SGKG102P_B          ASM</v>
      </c>
      <c r="AG167" s="30" t="s">
        <v>2182</v>
      </c>
      <c r="AH167">
        <v>3</v>
      </c>
      <c r="AI167">
        <v>29113</v>
      </c>
      <c r="AJ167" t="s">
        <v>1592</v>
      </c>
      <c r="AK167" t="s">
        <v>19</v>
      </c>
      <c r="AL167" t="s">
        <v>241</v>
      </c>
      <c r="AM167" t="s">
        <v>241</v>
      </c>
      <c r="AN167" t="s">
        <v>240</v>
      </c>
      <c r="AO167" t="s">
        <v>242</v>
      </c>
      <c r="AP167">
        <v>24</v>
      </c>
      <c r="AQ167" t="s">
        <v>243</v>
      </c>
      <c r="AR167" t="s">
        <v>46</v>
      </c>
      <c r="AS167" t="s">
        <v>19</v>
      </c>
      <c r="AT167" t="s">
        <v>19</v>
      </c>
      <c r="AU167" t="s">
        <v>494</v>
      </c>
      <c r="AV167" t="s">
        <v>494</v>
      </c>
      <c r="AW167" t="s">
        <v>493</v>
      </c>
      <c r="AX167" t="s">
        <v>495</v>
      </c>
      <c r="AY167">
        <v>3</v>
      </c>
      <c r="AZ167" s="161" t="s">
        <v>2348</v>
      </c>
      <c r="BA167" t="s">
        <v>46</v>
      </c>
      <c r="BB167" t="s">
        <v>19</v>
      </c>
      <c r="BC167" t="s">
        <v>1448</v>
      </c>
      <c r="BD167" t="s">
        <v>1115</v>
      </c>
      <c r="BE167" t="s">
        <v>19</v>
      </c>
      <c r="BF167" t="s">
        <v>19</v>
      </c>
      <c r="BG167" s="161">
        <v>999</v>
      </c>
      <c r="BH167" t="s">
        <v>1213</v>
      </c>
      <c r="BI167">
        <v>0.35</v>
      </c>
      <c r="BJ167" t="s">
        <v>1593</v>
      </c>
      <c r="BK167" t="s">
        <v>393</v>
      </c>
      <c r="BL167" t="s">
        <v>396</v>
      </c>
      <c r="BM167" t="s">
        <v>400</v>
      </c>
      <c r="BN167">
        <v>29113</v>
      </c>
    </row>
    <row r="168" spans="1:66" ht="14.45" customHeight="1">
      <c r="A168" s="155">
        <v>501</v>
      </c>
      <c r="B168" s="30">
        <f t="shared" si="12"/>
        <v>29114</v>
      </c>
      <c r="C168" s="30" t="s">
        <v>2197</v>
      </c>
      <c r="D168" s="30"/>
      <c r="E168" s="30" t="s">
        <v>2180</v>
      </c>
      <c r="F168" s="31" t="s">
        <v>2186</v>
      </c>
      <c r="G168" s="30" t="s">
        <v>1597</v>
      </c>
      <c r="H168" s="30"/>
      <c r="I168" s="30"/>
      <c r="J168" s="30"/>
      <c r="K168" s="30" t="s">
        <v>2184</v>
      </c>
      <c r="L168" s="30" t="s">
        <v>2180</v>
      </c>
      <c r="M168" s="30" t="s">
        <v>2187</v>
      </c>
      <c r="N168" s="30"/>
      <c r="P168" s="30"/>
      <c r="Q168" s="30"/>
      <c r="R168" s="30"/>
      <c r="S168" s="30"/>
      <c r="T168" s="31"/>
      <c r="U168" s="30"/>
      <c r="V168" s="30"/>
      <c r="W168" s="30"/>
      <c r="X168" s="30"/>
      <c r="Y168" s="30"/>
      <c r="Z168" s="30"/>
      <c r="AA168" s="30"/>
      <c r="AB168" s="30"/>
      <c r="AC168" s="30"/>
      <c r="AD168" s="30"/>
      <c r="AE168" s="30"/>
      <c r="AF168" s="30" t="str">
        <f t="shared" si="13"/>
        <v>ASM                 SP_SIG_5V</v>
      </c>
      <c r="AG168" s="30" t="s">
        <v>2182</v>
      </c>
      <c r="AH168">
        <v>3</v>
      </c>
      <c r="AI168">
        <v>29114</v>
      </c>
      <c r="AJ168" t="s">
        <v>1594</v>
      </c>
      <c r="AK168" t="s">
        <v>19</v>
      </c>
      <c r="AL168" t="s">
        <v>494</v>
      </c>
      <c r="AM168" t="s">
        <v>494</v>
      </c>
      <c r="AN168" t="s">
        <v>493</v>
      </c>
      <c r="AO168" t="s">
        <v>495</v>
      </c>
      <c r="AP168">
        <v>4</v>
      </c>
      <c r="AQ168" s="161" t="s">
        <v>2348</v>
      </c>
      <c r="AR168" t="s">
        <v>46</v>
      </c>
      <c r="AS168" t="s">
        <v>19</v>
      </c>
      <c r="AT168" t="s">
        <v>19</v>
      </c>
      <c r="AU168" t="s">
        <v>19</v>
      </c>
      <c r="AV168" t="s">
        <v>1595</v>
      </c>
      <c r="AW168" t="s">
        <v>1596</v>
      </c>
      <c r="AX168" t="s">
        <v>1597</v>
      </c>
      <c r="AY168">
        <v>1</v>
      </c>
      <c r="AZ168" t="s">
        <v>362</v>
      </c>
      <c r="BA168" t="s">
        <v>19</v>
      </c>
      <c r="BB168" t="s">
        <v>19</v>
      </c>
      <c r="BC168" t="s">
        <v>1598</v>
      </c>
      <c r="BD168" t="s">
        <v>1115</v>
      </c>
      <c r="BE168" t="s">
        <v>19</v>
      </c>
      <c r="BF168" t="s">
        <v>19</v>
      </c>
      <c r="BG168" s="161">
        <v>799</v>
      </c>
      <c r="BH168" t="s">
        <v>1371</v>
      </c>
      <c r="BI168">
        <v>0.35</v>
      </c>
      <c r="BJ168" t="s">
        <v>1599</v>
      </c>
      <c r="BK168" t="s">
        <v>393</v>
      </c>
      <c r="BL168" t="s">
        <v>396</v>
      </c>
      <c r="BM168" t="s">
        <v>400</v>
      </c>
      <c r="BN168">
        <v>29114</v>
      </c>
    </row>
    <row r="169" spans="1:66" ht="14.45" customHeight="1">
      <c r="A169" s="155"/>
      <c r="B169" s="30">
        <f t="shared" si="12"/>
        <v>29115</v>
      </c>
      <c r="C169" s="30" t="s">
        <v>2197</v>
      </c>
      <c r="D169" s="30"/>
      <c r="E169" s="30" t="s">
        <v>2180</v>
      </c>
      <c r="F169" s="31" t="s">
        <v>2186</v>
      </c>
      <c r="G169" s="30" t="s">
        <v>1597</v>
      </c>
      <c r="H169" s="30"/>
      <c r="I169" s="30"/>
      <c r="J169" s="30"/>
      <c r="K169" s="30" t="s">
        <v>2184</v>
      </c>
      <c r="L169" s="30" t="s">
        <v>2180</v>
      </c>
      <c r="M169" s="30" t="s">
        <v>2187</v>
      </c>
      <c r="N169" s="30"/>
      <c r="P169" s="30"/>
      <c r="Q169" s="30"/>
      <c r="R169" s="30"/>
      <c r="S169" s="30"/>
      <c r="T169" s="31"/>
      <c r="U169" s="30"/>
      <c r="V169" s="30"/>
      <c r="W169" s="30"/>
      <c r="X169" s="30"/>
      <c r="Y169" s="30"/>
      <c r="Z169" s="30"/>
      <c r="AA169" s="30"/>
      <c r="AB169" s="30"/>
      <c r="AC169" s="30"/>
      <c r="AD169" s="30"/>
      <c r="AE169" s="30"/>
      <c r="AF169" s="30" t="str">
        <f t="shared" si="13"/>
        <v>ASS_LI              SP_SIG_5V</v>
      </c>
      <c r="AG169" s="30" t="s">
        <v>2182</v>
      </c>
      <c r="AH169">
        <v>3</v>
      </c>
      <c r="AI169">
        <v>29115</v>
      </c>
      <c r="AJ169" t="s">
        <v>1600</v>
      </c>
      <c r="AK169" t="s">
        <v>19</v>
      </c>
      <c r="AL169" t="s">
        <v>481</v>
      </c>
      <c r="AM169" t="s">
        <v>481</v>
      </c>
      <c r="AN169" t="s">
        <v>480</v>
      </c>
      <c r="AO169" t="s">
        <v>482</v>
      </c>
      <c r="AP169">
        <v>1</v>
      </c>
      <c r="AQ169" t="s">
        <v>483</v>
      </c>
      <c r="AR169" t="s">
        <v>46</v>
      </c>
      <c r="AS169" t="s">
        <v>19</v>
      </c>
      <c r="AT169" t="s">
        <v>19</v>
      </c>
      <c r="AU169" t="s">
        <v>19</v>
      </c>
      <c r="AV169" t="s">
        <v>1595</v>
      </c>
      <c r="AW169" t="s">
        <v>1596</v>
      </c>
      <c r="AX169" t="s">
        <v>1597</v>
      </c>
      <c r="AY169">
        <v>1</v>
      </c>
      <c r="AZ169" t="s">
        <v>362</v>
      </c>
      <c r="BA169" t="s">
        <v>19</v>
      </c>
      <c r="BB169" t="s">
        <v>19</v>
      </c>
      <c r="BC169" t="s">
        <v>1598</v>
      </c>
      <c r="BD169" t="s">
        <v>1115</v>
      </c>
      <c r="BE169" t="s">
        <v>19</v>
      </c>
      <c r="BF169" t="s">
        <v>19</v>
      </c>
      <c r="BG169">
        <v>896</v>
      </c>
      <c r="BH169" t="s">
        <v>1371</v>
      </c>
      <c r="BI169">
        <v>0.35</v>
      </c>
      <c r="BJ169" t="s">
        <v>1599</v>
      </c>
      <c r="BK169" t="s">
        <v>393</v>
      </c>
      <c r="BL169" t="s">
        <v>396</v>
      </c>
      <c r="BM169" t="s">
        <v>400</v>
      </c>
      <c r="BN169">
        <v>29115</v>
      </c>
    </row>
    <row r="170" spans="1:66" ht="14.45" customHeight="1">
      <c r="A170" s="155">
        <v>501</v>
      </c>
      <c r="B170" s="30">
        <f t="shared" si="12"/>
        <v>29116</v>
      </c>
      <c r="C170" s="30" t="s">
        <v>2197</v>
      </c>
      <c r="D170" s="30"/>
      <c r="E170" s="30" t="s">
        <v>2180</v>
      </c>
      <c r="F170" s="31" t="s">
        <v>2186</v>
      </c>
      <c r="G170" s="30" t="s">
        <v>1597</v>
      </c>
      <c r="H170" s="30"/>
      <c r="I170" s="30"/>
      <c r="J170" s="30"/>
      <c r="K170" s="30" t="s">
        <v>2184</v>
      </c>
      <c r="L170" s="30" t="s">
        <v>2180</v>
      </c>
      <c r="M170" s="30" t="s">
        <v>2187</v>
      </c>
      <c r="N170" s="30"/>
      <c r="P170" s="30"/>
      <c r="Q170" s="30"/>
      <c r="R170" s="30"/>
      <c r="S170" s="30"/>
      <c r="T170" s="31"/>
      <c r="U170" s="30"/>
      <c r="V170" s="30"/>
      <c r="W170" s="30"/>
      <c r="X170" s="30"/>
      <c r="Y170" s="30"/>
      <c r="Z170" s="30"/>
      <c r="AA170" s="30"/>
      <c r="AB170" s="30"/>
      <c r="AC170" s="30"/>
      <c r="AD170" s="30"/>
      <c r="AE170" s="30"/>
      <c r="AF170" s="30" t="str">
        <f t="shared" si="13"/>
        <v>ASM                 SP_SIG_5V</v>
      </c>
      <c r="AG170" s="30" t="s">
        <v>2182</v>
      </c>
      <c r="AH170">
        <v>3</v>
      </c>
      <c r="AI170">
        <v>29116</v>
      </c>
      <c r="AJ170" t="s">
        <v>1601</v>
      </c>
      <c r="AK170" t="s">
        <v>19</v>
      </c>
      <c r="AL170" t="s">
        <v>494</v>
      </c>
      <c r="AM170" t="s">
        <v>494</v>
      </c>
      <c r="AN170" t="s">
        <v>493</v>
      </c>
      <c r="AO170" t="s">
        <v>495</v>
      </c>
      <c r="AP170">
        <v>1</v>
      </c>
      <c r="AQ170" s="161" t="s">
        <v>2348</v>
      </c>
      <c r="AR170" t="s">
        <v>46</v>
      </c>
      <c r="AS170" t="s">
        <v>19</v>
      </c>
      <c r="AT170" t="s">
        <v>19</v>
      </c>
      <c r="AU170" t="s">
        <v>19</v>
      </c>
      <c r="AV170" t="s">
        <v>1595</v>
      </c>
      <c r="AW170" t="s">
        <v>1596</v>
      </c>
      <c r="AX170" t="s">
        <v>1597</v>
      </c>
      <c r="AY170">
        <v>1</v>
      </c>
      <c r="AZ170" t="s">
        <v>362</v>
      </c>
      <c r="BA170" t="s">
        <v>19</v>
      </c>
      <c r="BB170" t="s">
        <v>19</v>
      </c>
      <c r="BC170" t="s">
        <v>1598</v>
      </c>
      <c r="BD170" t="s">
        <v>1115</v>
      </c>
      <c r="BE170" t="s">
        <v>19</v>
      </c>
      <c r="BF170" t="s">
        <v>19</v>
      </c>
      <c r="BG170" s="161">
        <v>799</v>
      </c>
      <c r="BH170" t="s">
        <v>1371</v>
      </c>
      <c r="BI170">
        <v>0.35</v>
      </c>
      <c r="BJ170" t="s">
        <v>1599</v>
      </c>
      <c r="BK170" t="s">
        <v>393</v>
      </c>
      <c r="BL170" t="s">
        <v>396</v>
      </c>
      <c r="BM170" t="s">
        <v>400</v>
      </c>
      <c r="BN170">
        <v>29116</v>
      </c>
    </row>
    <row r="171" spans="1:66" ht="14.45" customHeight="1">
      <c r="A171" s="155"/>
      <c r="B171" s="30">
        <f t="shared" si="12"/>
        <v>29117</v>
      </c>
      <c r="C171" s="30" t="s">
        <v>2197</v>
      </c>
      <c r="D171" s="30"/>
      <c r="E171" s="30" t="s">
        <v>2180</v>
      </c>
      <c r="F171" s="31" t="s">
        <v>2186</v>
      </c>
      <c r="G171" s="30" t="s">
        <v>1597</v>
      </c>
      <c r="H171" s="30"/>
      <c r="I171" s="30"/>
      <c r="J171" s="30"/>
      <c r="K171" s="30" t="s">
        <v>2184</v>
      </c>
      <c r="L171" s="30" t="s">
        <v>2180</v>
      </c>
      <c r="M171" s="30" t="s">
        <v>2187</v>
      </c>
      <c r="N171" s="30"/>
      <c r="P171" s="30"/>
      <c r="Q171" s="30"/>
      <c r="R171" s="30"/>
      <c r="S171" s="30"/>
      <c r="T171" s="31"/>
      <c r="U171" s="30"/>
      <c r="V171" s="30"/>
      <c r="W171" s="30"/>
      <c r="X171" s="30"/>
      <c r="Y171" s="30"/>
      <c r="Z171" s="30"/>
      <c r="AA171" s="30"/>
      <c r="AB171" s="30"/>
      <c r="AC171" s="30"/>
      <c r="AD171" s="30"/>
      <c r="AE171" s="30"/>
      <c r="AF171" s="30" t="str">
        <f t="shared" si="13"/>
        <v>SGKG102P_B          SP_SIG_5V</v>
      </c>
      <c r="AG171" s="30" t="s">
        <v>2182</v>
      </c>
      <c r="AH171">
        <v>3</v>
      </c>
      <c r="AI171">
        <v>29117</v>
      </c>
      <c r="AJ171" t="s">
        <v>1602</v>
      </c>
      <c r="AK171" t="s">
        <v>19</v>
      </c>
      <c r="AL171" t="s">
        <v>241</v>
      </c>
      <c r="AM171" t="s">
        <v>241</v>
      </c>
      <c r="AN171" t="s">
        <v>240</v>
      </c>
      <c r="AO171" t="s">
        <v>242</v>
      </c>
      <c r="AP171">
        <v>10</v>
      </c>
      <c r="AQ171" t="s">
        <v>243</v>
      </c>
      <c r="AR171" t="s">
        <v>46</v>
      </c>
      <c r="AS171" t="s">
        <v>19</v>
      </c>
      <c r="AT171" t="s">
        <v>19</v>
      </c>
      <c r="AU171" t="s">
        <v>19</v>
      </c>
      <c r="AV171" t="s">
        <v>1595</v>
      </c>
      <c r="AW171" t="s">
        <v>1596</v>
      </c>
      <c r="AX171" t="s">
        <v>1597</v>
      </c>
      <c r="AY171">
        <v>1</v>
      </c>
      <c r="AZ171" t="s">
        <v>362</v>
      </c>
      <c r="BA171" t="s">
        <v>19</v>
      </c>
      <c r="BB171" t="s">
        <v>19</v>
      </c>
      <c r="BC171" t="s">
        <v>1598</v>
      </c>
      <c r="BD171" t="s">
        <v>1115</v>
      </c>
      <c r="BE171" t="s">
        <v>19</v>
      </c>
      <c r="BF171" t="s">
        <v>19</v>
      </c>
      <c r="BG171">
        <v>262</v>
      </c>
      <c r="BH171" t="s">
        <v>1371</v>
      </c>
      <c r="BI171">
        <v>0.35</v>
      </c>
      <c r="BJ171" t="s">
        <v>1599</v>
      </c>
      <c r="BK171" t="s">
        <v>393</v>
      </c>
      <c r="BL171" t="s">
        <v>396</v>
      </c>
      <c r="BM171" t="s">
        <v>400</v>
      </c>
      <c r="BN171">
        <v>29117</v>
      </c>
    </row>
    <row r="172" spans="1:66" ht="14.45" customHeight="1">
      <c r="A172" s="155"/>
      <c r="B172" s="30">
        <f t="shared" si="12"/>
        <v>29118</v>
      </c>
      <c r="C172" s="30" t="s">
        <v>2197</v>
      </c>
      <c r="D172" s="30"/>
      <c r="E172" s="30" t="s">
        <v>2180</v>
      </c>
      <c r="F172" s="31" t="s">
        <v>2186</v>
      </c>
      <c r="G172" s="30" t="s">
        <v>1597</v>
      </c>
      <c r="H172" s="30"/>
      <c r="I172" s="30"/>
      <c r="J172" s="30"/>
      <c r="K172" s="30" t="s">
        <v>2184</v>
      </c>
      <c r="L172" s="30" t="s">
        <v>2180</v>
      </c>
      <c r="M172" s="30" t="s">
        <v>2187</v>
      </c>
      <c r="N172" s="30"/>
      <c r="P172" s="30"/>
      <c r="Q172" s="30"/>
      <c r="R172" s="30"/>
      <c r="S172" s="30"/>
      <c r="T172" s="31"/>
      <c r="U172" s="30"/>
      <c r="V172" s="30"/>
      <c r="W172" s="30"/>
      <c r="X172" s="30"/>
      <c r="Y172" s="30"/>
      <c r="Z172" s="30"/>
      <c r="AA172" s="30"/>
      <c r="AB172" s="30"/>
      <c r="AC172" s="30"/>
      <c r="AD172" s="30"/>
      <c r="AE172" s="30"/>
      <c r="AF172" s="30" t="str">
        <f t="shared" si="13"/>
        <v>ASS_RE              SP_SIG_5V</v>
      </c>
      <c r="AG172" s="30" t="s">
        <v>2182</v>
      </c>
      <c r="AH172">
        <v>3</v>
      </c>
      <c r="AI172">
        <v>29118</v>
      </c>
      <c r="AJ172" t="s">
        <v>1603</v>
      </c>
      <c r="AK172" t="s">
        <v>19</v>
      </c>
      <c r="AL172" t="s">
        <v>488</v>
      </c>
      <c r="AM172" t="s">
        <v>488</v>
      </c>
      <c r="AN172" t="s">
        <v>487</v>
      </c>
      <c r="AO172" t="s">
        <v>489</v>
      </c>
      <c r="AP172">
        <v>1</v>
      </c>
      <c r="AQ172" t="s">
        <v>490</v>
      </c>
      <c r="AR172" t="s">
        <v>46</v>
      </c>
      <c r="AS172" t="s">
        <v>19</v>
      </c>
      <c r="AT172" t="s">
        <v>19</v>
      </c>
      <c r="AU172" t="s">
        <v>19</v>
      </c>
      <c r="AV172" t="s">
        <v>1595</v>
      </c>
      <c r="AW172" t="s">
        <v>1596</v>
      </c>
      <c r="AX172" t="s">
        <v>1597</v>
      </c>
      <c r="AY172">
        <v>1</v>
      </c>
      <c r="AZ172" t="s">
        <v>362</v>
      </c>
      <c r="BA172" t="s">
        <v>19</v>
      </c>
      <c r="BB172" t="s">
        <v>19</v>
      </c>
      <c r="BC172" t="s">
        <v>1598</v>
      </c>
      <c r="BD172" t="s">
        <v>1115</v>
      </c>
      <c r="BE172" t="s">
        <v>19</v>
      </c>
      <c r="BF172" t="s">
        <v>19</v>
      </c>
      <c r="BG172">
        <v>1702</v>
      </c>
      <c r="BH172" t="s">
        <v>1371</v>
      </c>
      <c r="BI172">
        <v>0.35</v>
      </c>
      <c r="BJ172" t="s">
        <v>1599</v>
      </c>
      <c r="BK172" t="s">
        <v>393</v>
      </c>
      <c r="BL172" t="s">
        <v>396</v>
      </c>
      <c r="BM172" t="s">
        <v>400</v>
      </c>
      <c r="BN172">
        <v>29118</v>
      </c>
    </row>
    <row r="173" spans="1:66" ht="14.45" customHeight="1">
      <c r="A173" s="155">
        <v>501</v>
      </c>
      <c r="B173" s="30">
        <f t="shared" si="12"/>
        <v>29123</v>
      </c>
      <c r="C173" s="30" t="s">
        <v>2197</v>
      </c>
      <c r="D173" s="30"/>
      <c r="E173" s="30" t="s">
        <v>2180</v>
      </c>
      <c r="F173" s="31"/>
      <c r="G173" s="30"/>
      <c r="H173" s="30"/>
      <c r="I173" s="30"/>
      <c r="J173" s="30"/>
      <c r="K173" s="30"/>
      <c r="L173" s="30" t="s">
        <v>2180</v>
      </c>
      <c r="M173" s="30" t="s">
        <v>2180</v>
      </c>
      <c r="N173" s="30"/>
      <c r="P173" s="30"/>
      <c r="Q173" s="30"/>
      <c r="R173" s="30"/>
      <c r="S173" s="30"/>
      <c r="T173" s="31"/>
      <c r="U173" s="30"/>
      <c r="V173" s="30"/>
      <c r="W173" s="30"/>
      <c r="X173" s="30"/>
      <c r="Y173" s="30"/>
      <c r="Z173" s="30"/>
      <c r="AA173" s="30"/>
      <c r="AB173" s="30"/>
      <c r="AC173" s="30"/>
      <c r="AD173" s="30"/>
      <c r="AE173" s="30"/>
      <c r="AF173" s="30" t="str">
        <f t="shared" si="13"/>
        <v>ASM                 SGKG102P_B</v>
      </c>
      <c r="AG173" s="30" t="s">
        <v>2182</v>
      </c>
      <c r="AH173">
        <v>3</v>
      </c>
      <c r="AI173">
        <v>29123</v>
      </c>
      <c r="AJ173" t="s">
        <v>1604</v>
      </c>
      <c r="AK173" t="s">
        <v>19</v>
      </c>
      <c r="AL173" t="s">
        <v>494</v>
      </c>
      <c r="AM173" t="s">
        <v>494</v>
      </c>
      <c r="AN173" t="s">
        <v>493</v>
      </c>
      <c r="AO173" t="s">
        <v>495</v>
      </c>
      <c r="AP173">
        <v>5</v>
      </c>
      <c r="AQ173" s="161" t="s">
        <v>2348</v>
      </c>
      <c r="AR173" t="s">
        <v>46</v>
      </c>
      <c r="AS173" t="s">
        <v>19</v>
      </c>
      <c r="AT173" t="s">
        <v>19</v>
      </c>
      <c r="AU173" t="s">
        <v>241</v>
      </c>
      <c r="AV173" t="s">
        <v>241</v>
      </c>
      <c r="AW173" t="s">
        <v>240</v>
      </c>
      <c r="AX173" t="s">
        <v>242</v>
      </c>
      <c r="AY173">
        <v>34</v>
      </c>
      <c r="AZ173" t="s">
        <v>243</v>
      </c>
      <c r="BA173" t="s">
        <v>46</v>
      </c>
      <c r="BB173" t="s">
        <v>19</v>
      </c>
      <c r="BC173" t="s">
        <v>1374</v>
      </c>
      <c r="BD173" t="s">
        <v>1115</v>
      </c>
      <c r="BE173" t="s">
        <v>19</v>
      </c>
      <c r="BF173" t="s">
        <v>19</v>
      </c>
      <c r="BG173" s="161">
        <v>999</v>
      </c>
      <c r="BH173" t="s">
        <v>1375</v>
      </c>
      <c r="BI173">
        <v>0.35</v>
      </c>
      <c r="BJ173" t="s">
        <v>1605</v>
      </c>
      <c r="BK173" t="s">
        <v>393</v>
      </c>
      <c r="BL173" t="s">
        <v>396</v>
      </c>
      <c r="BM173" t="s">
        <v>400</v>
      </c>
      <c r="BN173">
        <v>29123</v>
      </c>
    </row>
    <row r="174" spans="1:66" ht="14.45" customHeight="1">
      <c r="A174" s="155"/>
      <c r="B174" s="30">
        <f t="shared" si="12"/>
        <v>29124</v>
      </c>
      <c r="C174" s="30" t="s">
        <v>2197</v>
      </c>
      <c r="D174" s="30"/>
      <c r="E174" s="30" t="s">
        <v>2180</v>
      </c>
      <c r="F174" s="31"/>
      <c r="G174" s="30"/>
      <c r="H174" s="30"/>
      <c r="I174" s="30"/>
      <c r="J174" s="30"/>
      <c r="K174" s="30"/>
      <c r="L174" s="30" t="s">
        <v>2180</v>
      </c>
      <c r="M174" s="30" t="s">
        <v>2180</v>
      </c>
      <c r="N174" s="30"/>
      <c r="P174" s="30"/>
      <c r="Q174" s="30"/>
      <c r="R174" s="30"/>
      <c r="S174" s="30"/>
      <c r="T174" s="31"/>
      <c r="U174" s="30"/>
      <c r="V174" s="30"/>
      <c r="W174" s="30"/>
      <c r="X174" s="30"/>
      <c r="Y174" s="30"/>
      <c r="Z174" s="30"/>
      <c r="AA174" s="30"/>
      <c r="AB174" s="30"/>
      <c r="AC174" s="30"/>
      <c r="AD174" s="30"/>
      <c r="AE174" s="30"/>
      <c r="AF174" s="30" t="str">
        <f t="shared" si="13"/>
        <v>ASS_RE              SGKG102P_B</v>
      </c>
      <c r="AG174" s="30" t="s">
        <v>2182</v>
      </c>
      <c r="AH174">
        <v>3</v>
      </c>
      <c r="AI174">
        <v>29124</v>
      </c>
      <c r="AJ174" t="s">
        <v>1606</v>
      </c>
      <c r="AK174" t="s">
        <v>19</v>
      </c>
      <c r="AL174" t="s">
        <v>488</v>
      </c>
      <c r="AM174" t="s">
        <v>488</v>
      </c>
      <c r="AN174" t="s">
        <v>487</v>
      </c>
      <c r="AO174" t="s">
        <v>489</v>
      </c>
      <c r="AP174">
        <v>3</v>
      </c>
      <c r="AQ174" t="s">
        <v>490</v>
      </c>
      <c r="AR174" t="s">
        <v>46</v>
      </c>
      <c r="AS174" t="s">
        <v>19</v>
      </c>
      <c r="AT174" t="s">
        <v>19</v>
      </c>
      <c r="AU174" t="s">
        <v>241</v>
      </c>
      <c r="AV174" t="s">
        <v>241</v>
      </c>
      <c r="AW174" t="s">
        <v>240</v>
      </c>
      <c r="AX174" t="s">
        <v>242</v>
      </c>
      <c r="AY174">
        <v>32</v>
      </c>
      <c r="AZ174" t="s">
        <v>243</v>
      </c>
      <c r="BA174" t="s">
        <v>46</v>
      </c>
      <c r="BB174" t="s">
        <v>19</v>
      </c>
      <c r="BC174" t="s">
        <v>1607</v>
      </c>
      <c r="BD174" t="s">
        <v>1115</v>
      </c>
      <c r="BE174" t="s">
        <v>19</v>
      </c>
      <c r="BF174" t="s">
        <v>19</v>
      </c>
      <c r="BG174">
        <v>1901</v>
      </c>
      <c r="BH174" t="s">
        <v>1608</v>
      </c>
      <c r="BI174">
        <v>0.35</v>
      </c>
      <c r="BJ174" t="s">
        <v>1609</v>
      </c>
      <c r="BK174" t="s">
        <v>393</v>
      </c>
      <c r="BL174" t="s">
        <v>396</v>
      </c>
      <c r="BM174" t="s">
        <v>400</v>
      </c>
      <c r="BN174">
        <v>29124</v>
      </c>
    </row>
    <row r="175" spans="1:66" ht="14.45" customHeight="1">
      <c r="A175" s="155"/>
      <c r="B175" s="30">
        <f t="shared" si="12"/>
        <v>29125</v>
      </c>
      <c r="C175" s="30" t="s">
        <v>2197</v>
      </c>
      <c r="D175" s="30"/>
      <c r="E175" s="30" t="s">
        <v>2180</v>
      </c>
      <c r="F175" s="31" t="s">
        <v>2186</v>
      </c>
      <c r="G175" s="30" t="s">
        <v>2199</v>
      </c>
      <c r="H175" s="30"/>
      <c r="I175" s="30"/>
      <c r="J175" s="30"/>
      <c r="K175" s="30" t="s">
        <v>2184</v>
      </c>
      <c r="L175" s="30" t="s">
        <v>2187</v>
      </c>
      <c r="M175" s="30" t="s">
        <v>2187</v>
      </c>
      <c r="N175" s="30"/>
      <c r="P175" s="30"/>
      <c r="Q175" s="30"/>
      <c r="R175" s="30"/>
      <c r="S175" s="30"/>
      <c r="T175" s="31"/>
      <c r="U175" s="30"/>
      <c r="V175" s="30"/>
      <c r="W175" s="30"/>
      <c r="X175" s="30"/>
      <c r="Y175" s="30"/>
      <c r="Z175" s="30"/>
      <c r="AA175" s="30"/>
      <c r="AB175" s="30"/>
      <c r="AC175" s="30"/>
      <c r="AD175" s="30"/>
      <c r="AE175" s="30"/>
      <c r="AF175" s="30" t="str">
        <f t="shared" si="13"/>
        <v>SP_31SM_1           SP_31SM</v>
      </c>
      <c r="AG175" s="30" t="s">
        <v>2182</v>
      </c>
      <c r="AH175">
        <v>3</v>
      </c>
      <c r="AI175">
        <v>29125</v>
      </c>
      <c r="AJ175" t="s">
        <v>1610</v>
      </c>
      <c r="AK175" t="s">
        <v>19</v>
      </c>
      <c r="AL175" t="s">
        <v>19</v>
      </c>
      <c r="AM175" t="s">
        <v>1556</v>
      </c>
      <c r="AN175">
        <v>97</v>
      </c>
      <c r="AO175" t="s">
        <v>1557</v>
      </c>
      <c r="AP175">
        <v>1</v>
      </c>
      <c r="AQ175" t="s">
        <v>1558</v>
      </c>
      <c r="AR175" t="s">
        <v>19</v>
      </c>
      <c r="AS175" t="s">
        <v>19</v>
      </c>
      <c r="AT175" t="s">
        <v>19</v>
      </c>
      <c r="AU175" t="s">
        <v>19</v>
      </c>
      <c r="AV175" t="s">
        <v>1473</v>
      </c>
      <c r="AW175" t="s">
        <v>1474</v>
      </c>
      <c r="AX175" t="s">
        <v>1475</v>
      </c>
      <c r="AY175">
        <v>1</v>
      </c>
      <c r="AZ175" t="s">
        <v>1476</v>
      </c>
      <c r="BA175" t="s">
        <v>19</v>
      </c>
      <c r="BB175" t="s">
        <v>19</v>
      </c>
      <c r="BC175" t="s">
        <v>1477</v>
      </c>
      <c r="BD175" t="s">
        <v>1115</v>
      </c>
      <c r="BE175" t="s">
        <v>19</v>
      </c>
      <c r="BF175" t="s">
        <v>19</v>
      </c>
      <c r="BG175">
        <v>455</v>
      </c>
      <c r="BH175" t="s">
        <v>1164</v>
      </c>
      <c r="BI175">
        <v>0.35</v>
      </c>
      <c r="BJ175" t="s">
        <v>1478</v>
      </c>
      <c r="BK175" t="s">
        <v>393</v>
      </c>
      <c r="BL175" t="s">
        <v>396</v>
      </c>
      <c r="BM175" t="s">
        <v>400</v>
      </c>
      <c r="BN175">
        <v>29125</v>
      </c>
    </row>
    <row r="176" spans="1:66" ht="14.45" customHeight="1">
      <c r="A176" s="155"/>
      <c r="B176" s="30"/>
      <c r="C176" s="30" t="s">
        <v>2200</v>
      </c>
      <c r="D176" s="30"/>
      <c r="E176" s="30"/>
      <c r="F176" s="31"/>
      <c r="G176" s="30"/>
      <c r="H176" s="30"/>
      <c r="I176" s="30"/>
      <c r="J176" s="30"/>
      <c r="K176" s="30"/>
      <c r="L176" s="30"/>
      <c r="M176" s="30"/>
      <c r="N176" s="30"/>
      <c r="P176" s="30"/>
      <c r="Q176" s="30"/>
      <c r="R176" s="30"/>
      <c r="S176" s="30"/>
      <c r="T176" s="31"/>
      <c r="U176" s="30"/>
      <c r="V176" s="30"/>
      <c r="W176" s="30"/>
      <c r="X176" s="30"/>
      <c r="Y176" s="30"/>
      <c r="Z176" s="30"/>
      <c r="AA176" s="30"/>
      <c r="AB176" s="30"/>
      <c r="AC176" s="30"/>
      <c r="AD176" s="30"/>
      <c r="AE176" s="30"/>
      <c r="AF176" s="30" t="str">
        <f t="shared" si="13"/>
        <v xml:space="preserve">                    </v>
      </c>
      <c r="AG176" s="30"/>
      <c r="AH176">
        <v>1</v>
      </c>
      <c r="AI176" t="s">
        <v>518</v>
      </c>
    </row>
    <row r="177" spans="1:65" ht="14.45" customHeight="1">
      <c r="A177" s="155"/>
      <c r="B177" s="30"/>
      <c r="C177" s="30" t="s">
        <v>2200</v>
      </c>
      <c r="D177" s="30"/>
      <c r="E177" s="30"/>
      <c r="F177" s="31"/>
      <c r="G177" s="30"/>
      <c r="H177" s="30"/>
      <c r="I177" s="30"/>
      <c r="J177" s="30"/>
      <c r="K177" s="30"/>
      <c r="L177" s="30"/>
      <c r="M177" s="30"/>
      <c r="N177" s="30"/>
      <c r="P177" s="30"/>
      <c r="Q177" s="30"/>
      <c r="R177" s="30"/>
      <c r="S177" s="30"/>
      <c r="T177" s="31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>
        <v>2</v>
      </c>
      <c r="AI177" t="s">
        <v>1</v>
      </c>
      <c r="AJ177" t="s">
        <v>519</v>
      </c>
      <c r="AK177" t="s">
        <v>520</v>
      </c>
      <c r="AL177" t="s">
        <v>521</v>
      </c>
      <c r="AN177" t="s">
        <v>1611</v>
      </c>
      <c r="AO177" t="s">
        <v>1074</v>
      </c>
    </row>
    <row r="178" spans="1:65" ht="14.45" customHeight="1">
      <c r="A178" s="155"/>
      <c r="B178" s="30"/>
      <c r="C178" s="30" t="s">
        <v>2200</v>
      </c>
      <c r="D178" s="30"/>
      <c r="E178" s="30"/>
      <c r="F178" s="31"/>
      <c r="G178" s="30"/>
      <c r="H178" s="30"/>
      <c r="I178" s="30"/>
      <c r="J178" s="30"/>
      <c r="K178" s="30"/>
      <c r="L178" s="30"/>
      <c r="M178" s="30"/>
      <c r="N178" s="30"/>
      <c r="P178" s="30"/>
      <c r="Q178" s="30"/>
      <c r="R178" s="30"/>
      <c r="S178" s="30"/>
      <c r="T178" s="31"/>
      <c r="U178" s="30"/>
      <c r="V178" s="30"/>
      <c r="W178" s="30"/>
      <c r="X178" s="30"/>
      <c r="Y178" s="30"/>
      <c r="Z178" s="30"/>
      <c r="AA178" s="30"/>
      <c r="AB178" s="30"/>
      <c r="AC178" s="30"/>
      <c r="AD178" s="30"/>
      <c r="AE178" s="30"/>
      <c r="AF178" s="30" t="str">
        <f t="shared" si="13"/>
        <v>Kurzname            Kurzname</v>
      </c>
      <c r="AG178" s="30"/>
      <c r="AH178">
        <v>0</v>
      </c>
      <c r="AI178" t="s">
        <v>1075</v>
      </c>
      <c r="AJ178" t="s">
        <v>1076</v>
      </c>
      <c r="AK178" t="s">
        <v>1077</v>
      </c>
      <c r="AL178" t="s">
        <v>8</v>
      </c>
      <c r="AM178" t="s">
        <v>8</v>
      </c>
      <c r="AN178" t="s">
        <v>1078</v>
      </c>
      <c r="AO178" t="s">
        <v>9</v>
      </c>
      <c r="AP178" t="s">
        <v>1079</v>
      </c>
      <c r="AQ178" t="s">
        <v>10</v>
      </c>
      <c r="AR178" t="s">
        <v>26</v>
      </c>
      <c r="AS178" t="s">
        <v>1080</v>
      </c>
      <c r="AT178" t="s">
        <v>1077</v>
      </c>
      <c r="AU178" t="s">
        <v>8</v>
      </c>
      <c r="AV178" t="s">
        <v>8</v>
      </c>
      <c r="AW178" t="s">
        <v>1081</v>
      </c>
      <c r="AX178" t="s">
        <v>9</v>
      </c>
      <c r="AY178" t="s">
        <v>1079</v>
      </c>
      <c r="AZ178" t="s">
        <v>10</v>
      </c>
      <c r="BA178" t="s">
        <v>26</v>
      </c>
      <c r="BB178" t="s">
        <v>1080</v>
      </c>
      <c r="BC178" t="s">
        <v>1082</v>
      </c>
      <c r="BD178" t="s">
        <v>1083</v>
      </c>
      <c r="BE178" t="s">
        <v>1084</v>
      </c>
      <c r="BF178" t="s">
        <v>1085</v>
      </c>
      <c r="BG178" t="s">
        <v>1086</v>
      </c>
      <c r="BH178" t="s">
        <v>14</v>
      </c>
      <c r="BI178" t="s">
        <v>1087</v>
      </c>
      <c r="BJ178" t="s">
        <v>1088</v>
      </c>
      <c r="BK178" t="s">
        <v>1</v>
      </c>
      <c r="BL178" t="s">
        <v>1075</v>
      </c>
    </row>
    <row r="179" spans="1:65" ht="14.45" customHeight="1">
      <c r="A179" s="155"/>
      <c r="B179" s="30">
        <f t="shared" si="12"/>
        <v>72001</v>
      </c>
      <c r="C179" s="30" t="s">
        <v>2200</v>
      </c>
      <c r="D179" s="30"/>
      <c r="E179" s="30" t="s">
        <v>2180</v>
      </c>
      <c r="F179" s="31"/>
      <c r="G179" s="30"/>
      <c r="H179" s="30"/>
      <c r="I179" s="30"/>
      <c r="J179" s="30"/>
      <c r="K179" s="30"/>
      <c r="L179" s="30" t="s">
        <v>2180</v>
      </c>
      <c r="M179" s="30" t="s">
        <v>2180</v>
      </c>
      <c r="N179" s="30"/>
      <c r="P179" s="30"/>
      <c r="Q179" s="30"/>
      <c r="R179" s="30"/>
      <c r="S179" s="30"/>
      <c r="T179" s="31"/>
      <c r="U179" s="30"/>
      <c r="V179" s="30"/>
      <c r="W179" s="30"/>
      <c r="X179" s="30"/>
      <c r="Y179" s="30"/>
      <c r="Z179" s="30"/>
      <c r="AA179" s="30"/>
      <c r="AB179" s="30"/>
      <c r="AC179" s="30"/>
      <c r="AD179" s="30"/>
      <c r="AE179" s="30"/>
      <c r="AF179" s="30" t="str">
        <f t="shared" si="13"/>
        <v>ESG04A              LSVS01P</v>
      </c>
      <c r="AG179" s="30" t="s">
        <v>2182</v>
      </c>
      <c r="AH179">
        <v>3</v>
      </c>
      <c r="AI179">
        <v>72001</v>
      </c>
      <c r="AJ179" t="s">
        <v>1612</v>
      </c>
      <c r="AK179" t="s">
        <v>19</v>
      </c>
      <c r="AL179" t="s">
        <v>530</v>
      </c>
      <c r="AM179" t="s">
        <v>530</v>
      </c>
      <c r="AN179" t="s">
        <v>529</v>
      </c>
      <c r="AO179" t="s">
        <v>531</v>
      </c>
      <c r="AP179">
        <v>4</v>
      </c>
      <c r="AQ179" t="s">
        <v>532</v>
      </c>
      <c r="AR179" t="s">
        <v>47</v>
      </c>
      <c r="AS179" t="s">
        <v>19</v>
      </c>
      <c r="AT179" t="s">
        <v>19</v>
      </c>
      <c r="AU179" t="s">
        <v>523</v>
      </c>
      <c r="AV179" t="s">
        <v>523</v>
      </c>
      <c r="AW179" t="s">
        <v>522</v>
      </c>
      <c r="AX179" t="s">
        <v>524</v>
      </c>
      <c r="AY179">
        <v>1</v>
      </c>
      <c r="AZ179" t="s">
        <v>525</v>
      </c>
      <c r="BA179" t="s">
        <v>47</v>
      </c>
      <c r="BB179" t="s">
        <v>19</v>
      </c>
      <c r="BC179" t="s">
        <v>1159</v>
      </c>
      <c r="BD179" t="s">
        <v>1115</v>
      </c>
      <c r="BE179" t="s">
        <v>19</v>
      </c>
      <c r="BF179" t="s">
        <v>19</v>
      </c>
      <c r="BG179">
        <v>1433</v>
      </c>
      <c r="BH179" t="s">
        <v>1160</v>
      </c>
      <c r="BI179">
        <v>0.5</v>
      </c>
      <c r="BJ179" t="s">
        <v>1613</v>
      </c>
      <c r="BK179" t="s">
        <v>519</v>
      </c>
      <c r="BL179">
        <v>72001</v>
      </c>
    </row>
    <row r="180" spans="1:65" ht="14.45" customHeight="1">
      <c r="A180" s="155"/>
      <c r="B180" s="30">
        <f t="shared" si="12"/>
        <v>72002</v>
      </c>
      <c r="C180" s="30" t="s">
        <v>2200</v>
      </c>
      <c r="D180" s="30"/>
      <c r="E180" s="30" t="s">
        <v>2180</v>
      </c>
      <c r="F180" s="31"/>
      <c r="G180" s="30"/>
      <c r="H180" s="30"/>
      <c r="I180" s="30"/>
      <c r="J180" s="30"/>
      <c r="K180" s="30"/>
      <c r="L180" s="30" t="s">
        <v>2180</v>
      </c>
      <c r="M180" s="30" t="s">
        <v>2180</v>
      </c>
      <c r="N180" s="30"/>
      <c r="P180" s="30"/>
      <c r="Q180" s="30"/>
      <c r="R180" s="30"/>
      <c r="S180" s="30"/>
      <c r="T180" s="31"/>
      <c r="U180" s="30"/>
      <c r="V180" s="30"/>
      <c r="W180" s="30"/>
      <c r="X180" s="30"/>
      <c r="Y180" s="30"/>
      <c r="Z180" s="30"/>
      <c r="AA180" s="30"/>
      <c r="AB180" s="30"/>
      <c r="AC180" s="30"/>
      <c r="AD180" s="30"/>
      <c r="AE180" s="30"/>
      <c r="AF180" s="30" t="str">
        <f t="shared" si="13"/>
        <v>ESG04A              LSVS01P</v>
      </c>
      <c r="AG180" s="30" t="s">
        <v>2182</v>
      </c>
      <c r="AH180">
        <v>3</v>
      </c>
      <c r="AI180">
        <v>72002</v>
      </c>
      <c r="AJ180" t="s">
        <v>1614</v>
      </c>
      <c r="AK180" t="s">
        <v>19</v>
      </c>
      <c r="AL180" t="s">
        <v>530</v>
      </c>
      <c r="AM180" t="s">
        <v>530</v>
      </c>
      <c r="AN180" t="s">
        <v>529</v>
      </c>
      <c r="AO180" t="s">
        <v>531</v>
      </c>
      <c r="AP180">
        <v>1</v>
      </c>
      <c r="AQ180" t="s">
        <v>532</v>
      </c>
      <c r="AR180" t="s">
        <v>47</v>
      </c>
      <c r="AS180" t="s">
        <v>19</v>
      </c>
      <c r="AT180" t="s">
        <v>19</v>
      </c>
      <c r="AU180" t="s">
        <v>523</v>
      </c>
      <c r="AV180" t="s">
        <v>523</v>
      </c>
      <c r="AW180" t="s">
        <v>522</v>
      </c>
      <c r="AX180" t="s">
        <v>524</v>
      </c>
      <c r="AY180">
        <v>2</v>
      </c>
      <c r="AZ180" t="s">
        <v>525</v>
      </c>
      <c r="BA180" t="s">
        <v>47</v>
      </c>
      <c r="BB180" t="s">
        <v>19</v>
      </c>
      <c r="BC180" t="s">
        <v>1163</v>
      </c>
      <c r="BD180" t="s">
        <v>1115</v>
      </c>
      <c r="BE180" t="s">
        <v>19</v>
      </c>
      <c r="BF180" t="s">
        <v>19</v>
      </c>
      <c r="BG180">
        <v>1433</v>
      </c>
      <c r="BH180" t="s">
        <v>1164</v>
      </c>
      <c r="BI180">
        <v>0.5</v>
      </c>
      <c r="BJ180" t="s">
        <v>1615</v>
      </c>
      <c r="BK180" t="s">
        <v>519</v>
      </c>
      <c r="BL180">
        <v>72002</v>
      </c>
    </row>
    <row r="181" spans="1:65" ht="14.45" customHeight="1">
      <c r="A181" s="155"/>
      <c r="B181" s="30">
        <f t="shared" si="12"/>
        <v>72003</v>
      </c>
      <c r="C181" s="30" t="s">
        <v>2200</v>
      </c>
      <c r="D181" s="30"/>
      <c r="E181" s="30" t="s">
        <v>2180</v>
      </c>
      <c r="F181" s="31" t="s">
        <v>2183</v>
      </c>
      <c r="G181" s="30" t="s">
        <v>1120</v>
      </c>
      <c r="H181" s="30"/>
      <c r="I181" s="30"/>
      <c r="J181" s="30"/>
      <c r="K181" s="30" t="s">
        <v>2184</v>
      </c>
      <c r="L181" s="30" t="s">
        <v>2180</v>
      </c>
      <c r="M181" s="30" t="s">
        <v>2180</v>
      </c>
      <c r="N181" s="30"/>
      <c r="O181" s="192" t="s">
        <v>2436</v>
      </c>
      <c r="P181" s="30"/>
      <c r="Q181" s="30"/>
      <c r="R181" s="30"/>
      <c r="S181" s="30"/>
      <c r="T181" s="31"/>
      <c r="U181" s="30"/>
      <c r="V181" s="30"/>
      <c r="W181" s="30"/>
      <c r="X181" s="30"/>
      <c r="Y181" s="30"/>
      <c r="Z181" s="30"/>
      <c r="AA181" s="30"/>
      <c r="AB181" s="30"/>
      <c r="AC181" s="30"/>
      <c r="AD181" s="30"/>
      <c r="AE181" s="30"/>
      <c r="AF181" s="30" t="str">
        <f t="shared" si="13"/>
        <v>SP_MB31_B1          ESG04A</v>
      </c>
      <c r="AG181" s="30" t="s">
        <v>2182</v>
      </c>
      <c r="AH181">
        <v>3</v>
      </c>
      <c r="AI181">
        <v>72003</v>
      </c>
      <c r="AJ181" t="s">
        <v>1616</v>
      </c>
      <c r="AK181" t="s">
        <v>19</v>
      </c>
      <c r="AL181" t="s">
        <v>19</v>
      </c>
      <c r="AM181" t="s">
        <v>1119</v>
      </c>
      <c r="AN181">
        <v>332</v>
      </c>
      <c r="AO181" t="s">
        <v>1120</v>
      </c>
      <c r="AP181">
        <v>1</v>
      </c>
      <c r="AQ181" t="s">
        <v>362</v>
      </c>
      <c r="AR181" t="s">
        <v>19</v>
      </c>
      <c r="AS181" t="s">
        <v>19</v>
      </c>
      <c r="AT181" t="s">
        <v>19</v>
      </c>
      <c r="AU181" t="s">
        <v>530</v>
      </c>
      <c r="AV181" t="s">
        <v>530</v>
      </c>
      <c r="AW181" t="s">
        <v>529</v>
      </c>
      <c r="AX181" t="s">
        <v>531</v>
      </c>
      <c r="AY181">
        <v>3</v>
      </c>
      <c r="AZ181" t="s">
        <v>532</v>
      </c>
      <c r="BA181" t="s">
        <v>29</v>
      </c>
      <c r="BB181" t="s">
        <v>19</v>
      </c>
      <c r="BC181" t="s">
        <v>1617</v>
      </c>
      <c r="BD181" t="s">
        <v>1115</v>
      </c>
      <c r="BE181" t="s">
        <v>19</v>
      </c>
      <c r="BF181" t="s">
        <v>19</v>
      </c>
      <c r="BG181">
        <v>1080</v>
      </c>
      <c r="BH181" t="s">
        <v>1094</v>
      </c>
      <c r="BI181">
        <v>1</v>
      </c>
      <c r="BJ181" t="s">
        <v>1122</v>
      </c>
      <c r="BK181" t="s">
        <v>519</v>
      </c>
      <c r="BL181">
        <v>72003</v>
      </c>
    </row>
    <row r="182" spans="1:65" ht="14.45" customHeight="1">
      <c r="A182" s="155"/>
      <c r="B182" s="30">
        <f t="shared" si="12"/>
        <v>72004</v>
      </c>
      <c r="C182" s="30" t="s">
        <v>2200</v>
      </c>
      <c r="D182" s="30"/>
      <c r="E182" s="30" t="s">
        <v>2180</v>
      </c>
      <c r="F182" s="31"/>
      <c r="G182" s="30"/>
      <c r="H182" s="30"/>
      <c r="I182" s="30"/>
      <c r="J182" s="30"/>
      <c r="K182" s="30"/>
      <c r="L182" s="30" t="s">
        <v>2180</v>
      </c>
      <c r="M182" s="30" t="s">
        <v>2180</v>
      </c>
      <c r="N182" s="30"/>
      <c r="P182" s="30"/>
      <c r="Q182" s="30"/>
      <c r="R182" s="30"/>
      <c r="S182" s="30"/>
      <c r="T182" s="31"/>
      <c r="U182" s="30"/>
      <c r="V182" s="30"/>
      <c r="W182" s="30"/>
      <c r="X182" s="30"/>
      <c r="Y182" s="30"/>
      <c r="Z182" s="30"/>
      <c r="AA182" s="30"/>
      <c r="AB182" s="30"/>
      <c r="AC182" s="30"/>
      <c r="AD182" s="30"/>
      <c r="AE182" s="30"/>
      <c r="AF182" s="30" t="str">
        <f t="shared" si="13"/>
        <v>ESG04A              KS_CPL_C</v>
      </c>
      <c r="AG182" s="30" t="s">
        <v>2182</v>
      </c>
      <c r="AH182">
        <v>3</v>
      </c>
      <c r="AI182">
        <v>72004</v>
      </c>
      <c r="AJ182" t="s">
        <v>1618</v>
      </c>
      <c r="AK182" t="s">
        <v>19</v>
      </c>
      <c r="AL182" t="s">
        <v>530</v>
      </c>
      <c r="AM182" t="s">
        <v>530</v>
      </c>
      <c r="AN182" t="s">
        <v>529</v>
      </c>
      <c r="AO182" t="s">
        <v>531</v>
      </c>
      <c r="AP182">
        <v>5</v>
      </c>
      <c r="AQ182" t="s">
        <v>532</v>
      </c>
      <c r="AR182" t="s">
        <v>41</v>
      </c>
      <c r="AS182" t="s">
        <v>19</v>
      </c>
      <c r="AT182" t="s">
        <v>19</v>
      </c>
      <c r="AU182" t="s">
        <v>55</v>
      </c>
      <c r="AV182" t="s">
        <v>55</v>
      </c>
      <c r="AW182" t="s">
        <v>69</v>
      </c>
      <c r="AX182" t="s">
        <v>70</v>
      </c>
      <c r="AY182">
        <v>7</v>
      </c>
      <c r="AZ182" t="s">
        <v>71</v>
      </c>
      <c r="BA182" t="s">
        <v>40</v>
      </c>
      <c r="BB182" t="s">
        <v>19</v>
      </c>
      <c r="BC182" t="s">
        <v>1212</v>
      </c>
      <c r="BD182" t="s">
        <v>1115</v>
      </c>
      <c r="BE182" t="s">
        <v>19</v>
      </c>
      <c r="BF182" t="s">
        <v>19</v>
      </c>
      <c r="BG182">
        <v>631</v>
      </c>
      <c r="BH182" t="s">
        <v>1213</v>
      </c>
      <c r="BI182">
        <v>0.13</v>
      </c>
      <c r="BJ182" t="s">
        <v>1619</v>
      </c>
      <c r="BK182" t="s">
        <v>519</v>
      </c>
      <c r="BL182">
        <v>72004</v>
      </c>
    </row>
    <row r="183" spans="1:65" ht="14.45" customHeight="1">
      <c r="A183" s="155"/>
      <c r="B183" s="30">
        <f t="shared" si="12"/>
        <v>72005</v>
      </c>
      <c r="C183" s="30" t="s">
        <v>2200</v>
      </c>
      <c r="D183" s="30"/>
      <c r="E183" s="30" t="s">
        <v>2180</v>
      </c>
      <c r="F183" s="31"/>
      <c r="G183" s="30"/>
      <c r="H183" s="30"/>
      <c r="I183" s="30"/>
      <c r="J183" s="30"/>
      <c r="K183" s="30"/>
      <c r="L183" s="30" t="s">
        <v>2180</v>
      </c>
      <c r="M183" s="30" t="s">
        <v>2180</v>
      </c>
      <c r="N183" s="30"/>
      <c r="P183" s="30"/>
      <c r="Q183" s="30"/>
      <c r="R183" s="30"/>
      <c r="S183" s="30"/>
      <c r="T183" s="31"/>
      <c r="U183" s="30"/>
      <c r="V183" s="30"/>
      <c r="W183" s="30"/>
      <c r="X183" s="30"/>
      <c r="Y183" s="30"/>
      <c r="Z183" s="30"/>
      <c r="AA183" s="30"/>
      <c r="AB183" s="30"/>
      <c r="AC183" s="30"/>
      <c r="AD183" s="30"/>
      <c r="AE183" s="30"/>
      <c r="AF183" s="30" t="str">
        <f t="shared" si="13"/>
        <v>STO51A              ESG04A</v>
      </c>
      <c r="AG183" s="30" t="s">
        <v>2182</v>
      </c>
      <c r="AH183">
        <v>3</v>
      </c>
      <c r="AI183">
        <v>72005</v>
      </c>
      <c r="AJ183" t="s">
        <v>1620</v>
      </c>
      <c r="AK183" t="s">
        <v>19</v>
      </c>
      <c r="AL183" t="s">
        <v>171</v>
      </c>
      <c r="AM183" t="s">
        <v>171</v>
      </c>
      <c r="AN183" t="s">
        <v>170</v>
      </c>
      <c r="AO183" t="s">
        <v>172</v>
      </c>
      <c r="AP183" t="s">
        <v>1533</v>
      </c>
      <c r="AQ183" t="s">
        <v>173</v>
      </c>
      <c r="AR183" t="s">
        <v>43</v>
      </c>
      <c r="AS183" t="s">
        <v>19</v>
      </c>
      <c r="AT183" t="s">
        <v>19</v>
      </c>
      <c r="AU183" t="s">
        <v>530</v>
      </c>
      <c r="AV183" t="s">
        <v>530</v>
      </c>
      <c r="AW183" t="s">
        <v>529</v>
      </c>
      <c r="AX183" t="s">
        <v>531</v>
      </c>
      <c r="AY183">
        <v>6</v>
      </c>
      <c r="AZ183" t="s">
        <v>532</v>
      </c>
      <c r="BA183" t="s">
        <v>29</v>
      </c>
      <c r="BB183" t="s">
        <v>19</v>
      </c>
      <c r="BC183" t="s">
        <v>1621</v>
      </c>
      <c r="BD183" t="s">
        <v>1115</v>
      </c>
      <c r="BE183" t="s">
        <v>19</v>
      </c>
      <c r="BF183" t="s">
        <v>19</v>
      </c>
      <c r="BG183">
        <v>587</v>
      </c>
      <c r="BH183" t="s">
        <v>1156</v>
      </c>
      <c r="BI183">
        <v>1</v>
      </c>
      <c r="BJ183" t="s">
        <v>1622</v>
      </c>
      <c r="BK183" t="s">
        <v>519</v>
      </c>
      <c r="BL183">
        <v>72005</v>
      </c>
    </row>
    <row r="184" spans="1:65" ht="14.45" customHeight="1">
      <c r="A184" s="155"/>
      <c r="B184" s="30"/>
      <c r="C184" s="30" t="s">
        <v>2201</v>
      </c>
      <c r="D184" s="30"/>
      <c r="E184" s="30"/>
      <c r="F184" s="31"/>
      <c r="G184" s="30"/>
      <c r="H184" s="30"/>
      <c r="I184" s="30"/>
      <c r="J184" s="30"/>
      <c r="K184" s="30"/>
      <c r="L184" s="30"/>
      <c r="M184" s="30"/>
      <c r="N184" s="30"/>
      <c r="P184" s="30"/>
      <c r="Q184" s="30"/>
      <c r="R184" s="30"/>
      <c r="S184" s="30"/>
      <c r="T184" s="31"/>
      <c r="U184" s="30"/>
      <c r="V184" s="30"/>
      <c r="W184" s="30"/>
      <c r="X184" s="30"/>
      <c r="Y184" s="30"/>
      <c r="Z184" s="30"/>
      <c r="AA184" s="30"/>
      <c r="AB184" s="30"/>
      <c r="AC184" s="30"/>
      <c r="AD184" s="30"/>
      <c r="AE184" s="30"/>
      <c r="AF184" s="30" t="str">
        <f t="shared" si="13"/>
        <v xml:space="preserve">                    </v>
      </c>
      <c r="AG184" s="30"/>
      <c r="AH184">
        <v>1</v>
      </c>
      <c r="AI184" t="s">
        <v>540</v>
      </c>
    </row>
    <row r="185" spans="1:65" ht="14.45" customHeight="1">
      <c r="A185" s="155">
        <v>504</v>
      </c>
      <c r="B185" s="30"/>
      <c r="C185" s="30" t="s">
        <v>2201</v>
      </c>
      <c r="D185" s="30"/>
      <c r="E185" s="30"/>
      <c r="F185" s="31"/>
      <c r="G185" s="30"/>
      <c r="H185" s="30"/>
      <c r="I185" s="30"/>
      <c r="J185" s="30"/>
      <c r="K185" s="30"/>
      <c r="L185" s="30"/>
      <c r="M185" s="30"/>
      <c r="N185" s="30"/>
      <c r="P185" s="30"/>
      <c r="Q185" s="30"/>
      <c r="R185" s="30"/>
      <c r="S185" s="30"/>
      <c r="T185" s="31"/>
      <c r="U185" s="30"/>
      <c r="V185" s="30"/>
      <c r="W185" s="30"/>
      <c r="X185" s="30"/>
      <c r="Y185" s="30"/>
      <c r="Z185" s="30"/>
      <c r="AA185" s="30"/>
      <c r="AB185" s="30"/>
      <c r="AC185" s="30"/>
      <c r="AD185" s="30"/>
      <c r="AE185" s="32">
        <v>1</v>
      </c>
      <c r="AF185" s="30"/>
      <c r="AG185" s="30"/>
      <c r="AH185">
        <v>2</v>
      </c>
      <c r="AI185" t="s">
        <v>1</v>
      </c>
      <c r="AJ185" t="s">
        <v>541</v>
      </c>
      <c r="AK185" t="s">
        <v>542</v>
      </c>
      <c r="AL185" s="153" t="s">
        <v>2363</v>
      </c>
      <c r="AN185" s="153" t="s">
        <v>2365</v>
      </c>
      <c r="AO185" t="s">
        <v>1074</v>
      </c>
    </row>
    <row r="186" spans="1:65" ht="14.45" customHeight="1">
      <c r="A186" s="155">
        <v>504</v>
      </c>
      <c r="B186" s="30"/>
      <c r="C186" s="30" t="s">
        <v>2201</v>
      </c>
      <c r="D186" s="30"/>
      <c r="E186" s="30"/>
      <c r="F186" s="31"/>
      <c r="G186" s="30"/>
      <c r="H186" s="30"/>
      <c r="I186" s="30"/>
      <c r="J186" s="30"/>
      <c r="K186" s="30"/>
      <c r="L186" s="30"/>
      <c r="M186" s="30"/>
      <c r="N186" s="30"/>
      <c r="P186" s="30"/>
      <c r="Q186" s="30"/>
      <c r="R186" s="30"/>
      <c r="S186" s="30"/>
      <c r="T186" s="31"/>
      <c r="U186" s="30"/>
      <c r="V186" s="30"/>
      <c r="W186" s="30"/>
      <c r="X186" s="30"/>
      <c r="Y186" s="30"/>
      <c r="Z186" s="30"/>
      <c r="AA186" s="30"/>
      <c r="AB186" s="30"/>
      <c r="AC186" s="30"/>
      <c r="AD186" s="30"/>
      <c r="AE186" s="32">
        <v>1</v>
      </c>
      <c r="AF186" s="30"/>
      <c r="AG186" s="30"/>
      <c r="AH186">
        <v>2</v>
      </c>
      <c r="AI186" t="s">
        <v>395</v>
      </c>
      <c r="AJ186" t="s">
        <v>544</v>
      </c>
      <c r="AK186" t="s">
        <v>545</v>
      </c>
      <c r="AL186" s="153" t="s">
        <v>2364</v>
      </c>
      <c r="AN186" t="s">
        <v>1623</v>
      </c>
      <c r="AO186" t="s">
        <v>1074</v>
      </c>
    </row>
    <row r="187" spans="1:65" ht="14.45" customHeight="1">
      <c r="A187" s="155"/>
      <c r="B187" s="30"/>
      <c r="C187" s="30" t="s">
        <v>2201</v>
      </c>
      <c r="D187" s="30"/>
      <c r="E187" s="30"/>
      <c r="F187" s="31"/>
      <c r="G187" s="30"/>
      <c r="H187" s="30"/>
      <c r="I187" s="30"/>
      <c r="J187" s="30"/>
      <c r="K187" s="30"/>
      <c r="L187" s="30"/>
      <c r="M187" s="30"/>
      <c r="N187" s="30"/>
      <c r="P187" s="30"/>
      <c r="Q187" s="30"/>
      <c r="R187" s="30"/>
      <c r="S187" s="30"/>
      <c r="T187" s="31"/>
      <c r="U187" s="30"/>
      <c r="V187" s="30"/>
      <c r="W187" s="30"/>
      <c r="X187" s="30"/>
      <c r="Y187" s="30"/>
      <c r="Z187" s="30"/>
      <c r="AA187" s="30"/>
      <c r="AB187" s="30"/>
      <c r="AC187" s="30"/>
      <c r="AD187" s="30"/>
      <c r="AE187" s="30"/>
      <c r="AF187" s="30" t="str">
        <f t="shared" si="13"/>
        <v>Kurzname            Kurzname</v>
      </c>
      <c r="AG187" s="30"/>
      <c r="AH187">
        <v>0</v>
      </c>
      <c r="AI187" t="s">
        <v>1075</v>
      </c>
      <c r="AJ187" t="s">
        <v>1076</v>
      </c>
      <c r="AK187" t="s">
        <v>1077</v>
      </c>
      <c r="AL187" t="s">
        <v>8</v>
      </c>
      <c r="AM187" t="s">
        <v>8</v>
      </c>
      <c r="AN187" t="s">
        <v>1078</v>
      </c>
      <c r="AO187" t="s">
        <v>9</v>
      </c>
      <c r="AP187" t="s">
        <v>1079</v>
      </c>
      <c r="AQ187" t="s">
        <v>10</v>
      </c>
      <c r="AR187" t="s">
        <v>26</v>
      </c>
      <c r="AS187" t="s">
        <v>1080</v>
      </c>
      <c r="AT187" t="s">
        <v>1077</v>
      </c>
      <c r="AU187" t="s">
        <v>8</v>
      </c>
      <c r="AV187" t="s">
        <v>8</v>
      </c>
      <c r="AW187" t="s">
        <v>1081</v>
      </c>
      <c r="AX187" t="s">
        <v>9</v>
      </c>
      <c r="AY187" t="s">
        <v>1079</v>
      </c>
      <c r="AZ187" t="s">
        <v>10</v>
      </c>
      <c r="BA187" t="s">
        <v>26</v>
      </c>
      <c r="BB187" t="s">
        <v>1080</v>
      </c>
      <c r="BC187" t="s">
        <v>1082</v>
      </c>
      <c r="BD187" t="s">
        <v>1083</v>
      </c>
      <c r="BE187" t="s">
        <v>1084</v>
      </c>
      <c r="BF187" t="s">
        <v>1085</v>
      </c>
      <c r="BG187" t="s">
        <v>1086</v>
      </c>
      <c r="BH187" t="s">
        <v>14</v>
      </c>
      <c r="BI187" t="s">
        <v>1087</v>
      </c>
      <c r="BJ187" t="s">
        <v>1088</v>
      </c>
      <c r="BK187" t="s">
        <v>1</v>
      </c>
      <c r="BL187" t="s">
        <v>395</v>
      </c>
      <c r="BM187" t="s">
        <v>1075</v>
      </c>
    </row>
    <row r="188" spans="1:65" ht="14.45" customHeight="1">
      <c r="A188" s="155"/>
      <c r="B188" s="30">
        <f t="shared" si="12"/>
        <v>76005</v>
      </c>
      <c r="C188" s="30" t="s">
        <v>2201</v>
      </c>
      <c r="D188" s="30"/>
      <c r="E188" s="30" t="s">
        <v>2180</v>
      </c>
      <c r="F188" s="31" t="s">
        <v>2186</v>
      </c>
      <c r="G188" s="30" t="s">
        <v>1627</v>
      </c>
      <c r="H188" s="30"/>
      <c r="I188" s="30"/>
      <c r="J188" s="30"/>
      <c r="K188" s="30" t="s">
        <v>2184</v>
      </c>
      <c r="L188" s="30" t="s">
        <v>2187</v>
      </c>
      <c r="M188" s="30" t="s">
        <v>2180</v>
      </c>
      <c r="N188" s="30"/>
      <c r="P188" s="30"/>
      <c r="Q188" s="30"/>
      <c r="R188" s="30"/>
      <c r="S188" s="30"/>
      <c r="T188" s="31"/>
      <c r="U188" s="30"/>
      <c r="V188" s="30"/>
      <c r="W188" s="30"/>
      <c r="X188" s="30"/>
      <c r="Y188" s="30"/>
      <c r="Z188" s="30"/>
      <c r="AA188" s="30"/>
      <c r="AB188" s="30"/>
      <c r="AC188" s="30"/>
      <c r="AD188" s="30"/>
      <c r="AE188" s="30"/>
      <c r="AF188" s="30" t="str">
        <f t="shared" si="13"/>
        <v>SP_MTVR_P           MIB_A</v>
      </c>
      <c r="AG188" s="30" t="s">
        <v>2182</v>
      </c>
      <c r="AH188">
        <v>3</v>
      </c>
      <c r="AI188">
        <v>76005</v>
      </c>
      <c r="AJ188" t="s">
        <v>1624</v>
      </c>
      <c r="AK188" t="s">
        <v>19</v>
      </c>
      <c r="AL188" t="s">
        <v>19</v>
      </c>
      <c r="AM188" t="s">
        <v>1625</v>
      </c>
      <c r="AN188" t="s">
        <v>1626</v>
      </c>
      <c r="AO188" t="s">
        <v>1627</v>
      </c>
      <c r="AP188">
        <v>1</v>
      </c>
      <c r="AQ188" t="s">
        <v>391</v>
      </c>
      <c r="AR188" t="s">
        <v>19</v>
      </c>
      <c r="AS188" t="s">
        <v>19</v>
      </c>
      <c r="AT188" t="s">
        <v>19</v>
      </c>
      <c r="AU188" t="s">
        <v>249</v>
      </c>
      <c r="AV188" t="s">
        <v>250</v>
      </c>
      <c r="AW188" t="s">
        <v>605</v>
      </c>
      <c r="AX188" t="s">
        <v>606</v>
      </c>
      <c r="AY188">
        <v>2</v>
      </c>
      <c r="AZ188" t="s">
        <v>270</v>
      </c>
      <c r="BA188" t="s">
        <v>548</v>
      </c>
      <c r="BB188" t="s">
        <v>19</v>
      </c>
      <c r="BC188" t="s">
        <v>1628</v>
      </c>
      <c r="BD188" t="s">
        <v>1115</v>
      </c>
      <c r="BE188" t="s">
        <v>1629</v>
      </c>
      <c r="BF188" t="s">
        <v>1630</v>
      </c>
      <c r="BG188">
        <v>1294</v>
      </c>
      <c r="BH188" t="s">
        <v>1608</v>
      </c>
      <c r="BI188">
        <v>0.75</v>
      </c>
      <c r="BJ188" t="s">
        <v>1631</v>
      </c>
      <c r="BK188" t="s">
        <v>541</v>
      </c>
      <c r="BL188" t="s">
        <v>19</v>
      </c>
      <c r="BM188">
        <v>76005</v>
      </c>
    </row>
    <row r="189" spans="1:65" ht="14.45" customHeight="1">
      <c r="A189" s="155"/>
      <c r="B189" s="30">
        <f t="shared" si="12"/>
        <v>76006</v>
      </c>
      <c r="C189" s="30" t="s">
        <v>2201</v>
      </c>
      <c r="D189" s="30"/>
      <c r="E189" s="30" t="s">
        <v>2180</v>
      </c>
      <c r="F189" s="31" t="s">
        <v>2186</v>
      </c>
      <c r="G189" s="30" t="s">
        <v>1635</v>
      </c>
      <c r="H189" s="30"/>
      <c r="I189" s="30"/>
      <c r="J189" s="30"/>
      <c r="K189" s="30" t="s">
        <v>2184</v>
      </c>
      <c r="L189" s="30" t="s">
        <v>2187</v>
      </c>
      <c r="M189" s="30" t="s">
        <v>2180</v>
      </c>
      <c r="N189" s="30"/>
      <c r="P189" s="30"/>
      <c r="Q189" s="30"/>
      <c r="R189" s="30"/>
      <c r="S189" s="30"/>
      <c r="T189" s="31"/>
      <c r="U189" s="30"/>
      <c r="V189" s="30"/>
      <c r="W189" s="30"/>
      <c r="X189" s="30"/>
      <c r="Y189" s="30"/>
      <c r="Z189" s="30"/>
      <c r="AA189" s="30"/>
      <c r="AB189" s="30"/>
      <c r="AC189" s="30"/>
      <c r="AD189" s="30"/>
      <c r="AE189" s="30"/>
      <c r="AF189" s="30" t="str">
        <f t="shared" si="13"/>
        <v>SP_MTVR_M           MIB_A</v>
      </c>
      <c r="AG189" s="30" t="s">
        <v>2182</v>
      </c>
      <c r="AH189">
        <v>3</v>
      </c>
      <c r="AI189">
        <v>76006</v>
      </c>
      <c r="AJ189" t="s">
        <v>1632</v>
      </c>
      <c r="AK189" t="s">
        <v>19</v>
      </c>
      <c r="AL189" t="s">
        <v>19</v>
      </c>
      <c r="AM189" t="s">
        <v>1633</v>
      </c>
      <c r="AN189" t="s">
        <v>1634</v>
      </c>
      <c r="AO189" t="s">
        <v>1635</v>
      </c>
      <c r="AP189">
        <v>1</v>
      </c>
      <c r="AQ189" t="s">
        <v>391</v>
      </c>
      <c r="AR189" t="s">
        <v>19</v>
      </c>
      <c r="AS189" t="s">
        <v>19</v>
      </c>
      <c r="AT189" t="s">
        <v>19</v>
      </c>
      <c r="AU189" t="s">
        <v>249</v>
      </c>
      <c r="AV189" t="s">
        <v>250</v>
      </c>
      <c r="AW189" t="s">
        <v>605</v>
      </c>
      <c r="AX189" t="s">
        <v>606</v>
      </c>
      <c r="AY189">
        <v>6</v>
      </c>
      <c r="AZ189" t="s">
        <v>270</v>
      </c>
      <c r="BA189" t="s">
        <v>548</v>
      </c>
      <c r="BB189" t="s">
        <v>19</v>
      </c>
      <c r="BC189" t="s">
        <v>1628</v>
      </c>
      <c r="BD189" t="s">
        <v>1115</v>
      </c>
      <c r="BE189" t="s">
        <v>1629</v>
      </c>
      <c r="BF189" t="s">
        <v>1636</v>
      </c>
      <c r="BG189">
        <v>1264</v>
      </c>
      <c r="BH189" t="s">
        <v>1637</v>
      </c>
      <c r="BI189">
        <v>0.75</v>
      </c>
      <c r="BJ189" t="s">
        <v>1638</v>
      </c>
      <c r="BK189" t="s">
        <v>541</v>
      </c>
      <c r="BL189" t="s">
        <v>19</v>
      </c>
      <c r="BM189">
        <v>76006</v>
      </c>
    </row>
    <row r="190" spans="1:65" ht="14.45" customHeight="1">
      <c r="A190" s="155"/>
      <c r="B190" s="30">
        <f t="shared" si="12"/>
        <v>76007</v>
      </c>
      <c r="C190" s="30" t="s">
        <v>2201</v>
      </c>
      <c r="D190" s="30"/>
      <c r="E190" s="30" t="s">
        <v>2180</v>
      </c>
      <c r="F190" s="31" t="s">
        <v>2186</v>
      </c>
      <c r="G190" s="30" t="s">
        <v>1642</v>
      </c>
      <c r="H190" s="30"/>
      <c r="I190" s="30"/>
      <c r="J190" s="30"/>
      <c r="K190" s="30" t="s">
        <v>2184</v>
      </c>
      <c r="L190" s="30" t="s">
        <v>2187</v>
      </c>
      <c r="M190" s="30" t="s">
        <v>2180</v>
      </c>
      <c r="N190" s="30"/>
      <c r="P190" s="30"/>
      <c r="Q190" s="30"/>
      <c r="R190" s="30"/>
      <c r="S190" s="30"/>
      <c r="T190" s="31"/>
      <c r="U190" s="30"/>
      <c r="V190" s="30"/>
      <c r="W190" s="30"/>
      <c r="X190" s="30"/>
      <c r="Y190" s="30"/>
      <c r="Z190" s="30"/>
      <c r="AA190" s="30"/>
      <c r="AB190" s="30"/>
      <c r="AC190" s="30"/>
      <c r="AD190" s="30"/>
      <c r="AE190" s="30"/>
      <c r="AF190" s="30" t="str">
        <f t="shared" si="13"/>
        <v>SP_MTVL_P           MIB_A</v>
      </c>
      <c r="AG190" s="30" t="s">
        <v>2182</v>
      </c>
      <c r="AH190">
        <v>3</v>
      </c>
      <c r="AI190">
        <v>76007</v>
      </c>
      <c r="AJ190" t="s">
        <v>1639</v>
      </c>
      <c r="AK190" t="s">
        <v>19</v>
      </c>
      <c r="AL190" t="s">
        <v>19</v>
      </c>
      <c r="AM190" t="s">
        <v>1640</v>
      </c>
      <c r="AN190" t="s">
        <v>1641</v>
      </c>
      <c r="AO190" t="s">
        <v>1642</v>
      </c>
      <c r="AP190">
        <v>1</v>
      </c>
      <c r="AQ190" t="s">
        <v>349</v>
      </c>
      <c r="AR190" t="s">
        <v>19</v>
      </c>
      <c r="AS190" t="s">
        <v>19</v>
      </c>
      <c r="AT190" t="s">
        <v>19</v>
      </c>
      <c r="AU190" t="s">
        <v>249</v>
      </c>
      <c r="AV190" t="s">
        <v>250</v>
      </c>
      <c r="AW190" t="s">
        <v>605</v>
      </c>
      <c r="AX190" t="s">
        <v>606</v>
      </c>
      <c r="AY190">
        <v>3</v>
      </c>
      <c r="AZ190" t="s">
        <v>270</v>
      </c>
      <c r="BA190" t="s">
        <v>548</v>
      </c>
      <c r="BB190" t="s">
        <v>19</v>
      </c>
      <c r="BC190" t="s">
        <v>1643</v>
      </c>
      <c r="BD190" t="s">
        <v>1115</v>
      </c>
      <c r="BE190" t="s">
        <v>1644</v>
      </c>
      <c r="BF190" t="s">
        <v>1630</v>
      </c>
      <c r="BG190">
        <v>1479</v>
      </c>
      <c r="BH190" t="s">
        <v>1608</v>
      </c>
      <c r="BI190">
        <v>0.75</v>
      </c>
      <c r="BJ190" t="s">
        <v>1645</v>
      </c>
      <c r="BK190" t="s">
        <v>541</v>
      </c>
      <c r="BL190" t="s">
        <v>19</v>
      </c>
      <c r="BM190">
        <v>76007</v>
      </c>
    </row>
    <row r="191" spans="1:65" ht="14.45" customHeight="1">
      <c r="A191" s="155"/>
      <c r="B191" s="30">
        <f t="shared" si="12"/>
        <v>76008</v>
      </c>
      <c r="C191" s="30" t="s">
        <v>2201</v>
      </c>
      <c r="D191" s="30"/>
      <c r="E191" s="30" t="s">
        <v>2180</v>
      </c>
      <c r="F191" s="31" t="s">
        <v>2186</v>
      </c>
      <c r="G191" s="30" t="s">
        <v>1649</v>
      </c>
      <c r="H191" s="30"/>
      <c r="I191" s="30"/>
      <c r="J191" s="30"/>
      <c r="K191" s="30" t="s">
        <v>2184</v>
      </c>
      <c r="L191" s="30" t="s">
        <v>2187</v>
      </c>
      <c r="M191" s="30" t="s">
        <v>2180</v>
      </c>
      <c r="N191" s="30"/>
      <c r="P191" s="30"/>
      <c r="Q191" s="30"/>
      <c r="R191" s="30"/>
      <c r="S191" s="30"/>
      <c r="T191" s="31"/>
      <c r="U191" s="30"/>
      <c r="V191" s="30"/>
      <c r="W191" s="30"/>
      <c r="X191" s="30"/>
      <c r="Y191" s="30"/>
      <c r="Z191" s="30"/>
      <c r="AA191" s="30"/>
      <c r="AB191" s="30"/>
      <c r="AC191" s="30"/>
      <c r="AD191" s="30"/>
      <c r="AE191" s="30"/>
      <c r="AF191" s="30" t="str">
        <f t="shared" si="13"/>
        <v>SP_MTVL_M           MIB_A</v>
      </c>
      <c r="AG191" s="30" t="s">
        <v>2182</v>
      </c>
      <c r="AH191">
        <v>3</v>
      </c>
      <c r="AI191">
        <v>76008</v>
      </c>
      <c r="AJ191" t="s">
        <v>1646</v>
      </c>
      <c r="AK191" t="s">
        <v>19</v>
      </c>
      <c r="AL191" t="s">
        <v>19</v>
      </c>
      <c r="AM191" t="s">
        <v>1647</v>
      </c>
      <c r="AN191" t="s">
        <v>1648</v>
      </c>
      <c r="AO191" t="s">
        <v>1649</v>
      </c>
      <c r="AP191">
        <v>1</v>
      </c>
      <c r="AQ191" t="s">
        <v>1650</v>
      </c>
      <c r="AR191" t="s">
        <v>19</v>
      </c>
      <c r="AS191" t="s">
        <v>19</v>
      </c>
      <c r="AT191" t="s">
        <v>19</v>
      </c>
      <c r="AU191" t="s">
        <v>249</v>
      </c>
      <c r="AV191" t="s">
        <v>250</v>
      </c>
      <c r="AW191" t="s">
        <v>605</v>
      </c>
      <c r="AX191" t="s">
        <v>606</v>
      </c>
      <c r="AY191">
        <v>7</v>
      </c>
      <c r="AZ191" t="s">
        <v>270</v>
      </c>
      <c r="BA191" t="s">
        <v>548</v>
      </c>
      <c r="BB191" t="s">
        <v>19</v>
      </c>
      <c r="BC191" t="s">
        <v>1643</v>
      </c>
      <c r="BD191" t="s">
        <v>1115</v>
      </c>
      <c r="BE191" t="s">
        <v>1644</v>
      </c>
      <c r="BF191" t="s">
        <v>1651</v>
      </c>
      <c r="BG191">
        <v>1509</v>
      </c>
      <c r="BH191" t="s">
        <v>1491</v>
      </c>
      <c r="BI191">
        <v>0.75</v>
      </c>
      <c r="BJ191" t="s">
        <v>1652</v>
      </c>
      <c r="BK191" t="s">
        <v>541</v>
      </c>
      <c r="BL191" t="s">
        <v>19</v>
      </c>
      <c r="BM191">
        <v>76008</v>
      </c>
    </row>
    <row r="192" spans="1:65" ht="14.45" customHeight="1">
      <c r="A192" s="155"/>
      <c r="B192" s="30">
        <f t="shared" si="12"/>
        <v>76013</v>
      </c>
      <c r="C192" s="30" t="s">
        <v>2201</v>
      </c>
      <c r="D192" s="30"/>
      <c r="E192" s="30" t="s">
        <v>2180</v>
      </c>
      <c r="F192" s="31"/>
      <c r="G192" s="30"/>
      <c r="H192" s="30"/>
      <c r="I192" s="30"/>
      <c r="J192" s="30"/>
      <c r="K192" s="30"/>
      <c r="L192" s="30" t="s">
        <v>2180</v>
      </c>
      <c r="M192" s="30" t="s">
        <v>2180</v>
      </c>
      <c r="N192" s="30"/>
      <c r="P192" s="30"/>
      <c r="Q192" s="30"/>
      <c r="R192" s="30"/>
      <c r="S192" s="30"/>
      <c r="T192" s="31"/>
      <c r="U192" s="30"/>
      <c r="V192" s="30"/>
      <c r="W192" s="30"/>
      <c r="X192" s="30"/>
      <c r="Y192" s="30"/>
      <c r="Z192" s="30"/>
      <c r="AA192" s="30"/>
      <c r="AB192" s="30"/>
      <c r="AC192" s="30"/>
      <c r="AD192" s="30"/>
      <c r="AE192" s="30"/>
      <c r="AF192" s="30" t="str">
        <f t="shared" si="13"/>
        <v>KS_CPR_B            MIB_A</v>
      </c>
      <c r="AG192" s="30" t="s">
        <v>2182</v>
      </c>
      <c r="AH192">
        <v>3</v>
      </c>
      <c r="AI192">
        <v>76013</v>
      </c>
      <c r="AJ192" t="s">
        <v>1653</v>
      </c>
      <c r="AK192" t="s">
        <v>19</v>
      </c>
      <c r="AL192" t="s">
        <v>96</v>
      </c>
      <c r="AM192" t="s">
        <v>96</v>
      </c>
      <c r="AN192" t="s">
        <v>100</v>
      </c>
      <c r="AO192" t="s">
        <v>101</v>
      </c>
      <c r="AP192">
        <v>3</v>
      </c>
      <c r="AQ192" t="s">
        <v>102</v>
      </c>
      <c r="AR192" t="s">
        <v>547</v>
      </c>
      <c r="AS192" t="s">
        <v>19</v>
      </c>
      <c r="AT192" t="s">
        <v>19</v>
      </c>
      <c r="AU192" t="s">
        <v>249</v>
      </c>
      <c r="AV192" t="s">
        <v>250</v>
      </c>
      <c r="AW192" t="s">
        <v>605</v>
      </c>
      <c r="AX192" t="s">
        <v>606</v>
      </c>
      <c r="AY192">
        <v>1</v>
      </c>
      <c r="AZ192" t="s">
        <v>270</v>
      </c>
      <c r="BA192" t="s">
        <v>549</v>
      </c>
      <c r="BB192" t="s">
        <v>19</v>
      </c>
      <c r="BC192" t="s">
        <v>1654</v>
      </c>
      <c r="BD192" t="s">
        <v>1115</v>
      </c>
      <c r="BE192" t="s">
        <v>1655</v>
      </c>
      <c r="BF192" t="s">
        <v>1656</v>
      </c>
      <c r="BG192">
        <v>1761</v>
      </c>
      <c r="BH192" t="s">
        <v>1657</v>
      </c>
      <c r="BI192">
        <v>1.5</v>
      </c>
      <c r="BJ192" t="s">
        <v>1658</v>
      </c>
      <c r="BK192" t="s">
        <v>541</v>
      </c>
      <c r="BL192" t="s">
        <v>19</v>
      </c>
      <c r="BM192">
        <v>76013</v>
      </c>
    </row>
    <row r="193" spans="1:65" ht="14.45" customHeight="1">
      <c r="A193" s="155"/>
      <c r="B193" s="30">
        <f t="shared" si="12"/>
        <v>76014</v>
      </c>
      <c r="C193" s="30" t="s">
        <v>2201</v>
      </c>
      <c r="D193" s="30"/>
      <c r="E193" s="30" t="s">
        <v>2180</v>
      </c>
      <c r="F193" s="31"/>
      <c r="G193" s="30"/>
      <c r="H193" s="30"/>
      <c r="I193" s="30"/>
      <c r="J193" s="30"/>
      <c r="K193" s="30"/>
      <c r="L193" s="30" t="s">
        <v>2180</v>
      </c>
      <c r="M193" s="30" t="s">
        <v>2180</v>
      </c>
      <c r="N193" s="30"/>
      <c r="P193" s="30"/>
      <c r="Q193" s="30"/>
      <c r="R193" s="30"/>
      <c r="S193" s="30"/>
      <c r="T193" s="31"/>
      <c r="U193" s="30"/>
      <c r="V193" s="30"/>
      <c r="W193" s="30"/>
      <c r="X193" s="30"/>
      <c r="Y193" s="30"/>
      <c r="Z193" s="30"/>
      <c r="AA193" s="30"/>
      <c r="AB193" s="30"/>
      <c r="AC193" s="30"/>
      <c r="AD193" s="30"/>
      <c r="AE193" s="30"/>
      <c r="AF193" s="30" t="str">
        <f t="shared" si="13"/>
        <v>KS_CPL_A            MIB_A</v>
      </c>
      <c r="AG193" s="30" t="s">
        <v>2182</v>
      </c>
      <c r="AH193">
        <v>3</v>
      </c>
      <c r="AI193">
        <v>76014</v>
      </c>
      <c r="AJ193" t="s">
        <v>1659</v>
      </c>
      <c r="AK193" t="s">
        <v>19</v>
      </c>
      <c r="AL193" t="s">
        <v>55</v>
      </c>
      <c r="AM193" t="s">
        <v>55</v>
      </c>
      <c r="AN193" t="s">
        <v>54</v>
      </c>
      <c r="AO193" t="s">
        <v>56</v>
      </c>
      <c r="AP193">
        <v>3</v>
      </c>
      <c r="AQ193" t="s">
        <v>57</v>
      </c>
      <c r="AR193" t="s">
        <v>547</v>
      </c>
      <c r="AS193" t="s">
        <v>19</v>
      </c>
      <c r="AT193" t="s">
        <v>19</v>
      </c>
      <c r="AU193" t="s">
        <v>249</v>
      </c>
      <c r="AV193" t="s">
        <v>250</v>
      </c>
      <c r="AW193" t="s">
        <v>605</v>
      </c>
      <c r="AX193" t="s">
        <v>606</v>
      </c>
      <c r="AY193">
        <v>4</v>
      </c>
      <c r="AZ193" t="s">
        <v>270</v>
      </c>
      <c r="BA193" t="s">
        <v>549</v>
      </c>
      <c r="BB193" t="s">
        <v>19</v>
      </c>
      <c r="BC193" t="s">
        <v>1660</v>
      </c>
      <c r="BD193" t="s">
        <v>1115</v>
      </c>
      <c r="BE193" t="s">
        <v>1661</v>
      </c>
      <c r="BF193" t="s">
        <v>1656</v>
      </c>
      <c r="BG193">
        <v>1860</v>
      </c>
      <c r="BH193" t="s">
        <v>1657</v>
      </c>
      <c r="BI193">
        <v>1.5</v>
      </c>
      <c r="BJ193" t="s">
        <v>1662</v>
      </c>
      <c r="BK193" t="s">
        <v>541</v>
      </c>
      <c r="BL193" t="s">
        <v>19</v>
      </c>
      <c r="BM193">
        <v>76014</v>
      </c>
    </row>
    <row r="194" spans="1:65" ht="14.45" customHeight="1">
      <c r="A194" s="155"/>
      <c r="B194" s="30">
        <f t="shared" si="12"/>
        <v>76015</v>
      </c>
      <c r="C194" s="30" t="s">
        <v>2201</v>
      </c>
      <c r="D194" s="30"/>
      <c r="E194" s="30" t="s">
        <v>2180</v>
      </c>
      <c r="F194" s="31"/>
      <c r="G194" s="30"/>
      <c r="H194" s="30"/>
      <c r="I194" s="30"/>
      <c r="J194" s="30"/>
      <c r="K194" s="30"/>
      <c r="L194" s="30" t="s">
        <v>2180</v>
      </c>
      <c r="M194" s="30" t="s">
        <v>2180</v>
      </c>
      <c r="N194" s="30"/>
      <c r="P194" s="30"/>
      <c r="Q194" s="30"/>
      <c r="R194" s="30"/>
      <c r="S194" s="30"/>
      <c r="T194" s="31"/>
      <c r="U194" s="30"/>
      <c r="V194" s="30"/>
      <c r="W194" s="30"/>
      <c r="X194" s="30"/>
      <c r="Y194" s="30"/>
      <c r="Z194" s="30"/>
      <c r="AA194" s="30"/>
      <c r="AB194" s="30"/>
      <c r="AC194" s="30"/>
      <c r="AD194" s="30"/>
      <c r="AE194" s="30"/>
      <c r="AF194" s="30" t="str">
        <f t="shared" si="13"/>
        <v>KS_CPR_B            MIB_A</v>
      </c>
      <c r="AG194" s="30" t="s">
        <v>2182</v>
      </c>
      <c r="AH194">
        <v>3</v>
      </c>
      <c r="AI194">
        <v>76015</v>
      </c>
      <c r="AJ194" t="s">
        <v>1663</v>
      </c>
      <c r="AK194" t="s">
        <v>19</v>
      </c>
      <c r="AL194" t="s">
        <v>96</v>
      </c>
      <c r="AM194" t="s">
        <v>96</v>
      </c>
      <c r="AN194" t="s">
        <v>100</v>
      </c>
      <c r="AO194" t="s">
        <v>101</v>
      </c>
      <c r="AP194">
        <v>4</v>
      </c>
      <c r="AQ194" t="s">
        <v>102</v>
      </c>
      <c r="AR194" t="s">
        <v>547</v>
      </c>
      <c r="AS194" t="s">
        <v>19</v>
      </c>
      <c r="AT194" t="s">
        <v>19</v>
      </c>
      <c r="AU194" t="s">
        <v>249</v>
      </c>
      <c r="AV194" t="s">
        <v>250</v>
      </c>
      <c r="AW194" t="s">
        <v>605</v>
      </c>
      <c r="AX194" t="s">
        <v>606</v>
      </c>
      <c r="AY194">
        <v>5</v>
      </c>
      <c r="AZ194" t="s">
        <v>270</v>
      </c>
      <c r="BA194" t="s">
        <v>549</v>
      </c>
      <c r="BB194" t="s">
        <v>19</v>
      </c>
      <c r="BC194" t="s">
        <v>1654</v>
      </c>
      <c r="BD194" t="s">
        <v>1115</v>
      </c>
      <c r="BE194" t="s">
        <v>1655</v>
      </c>
      <c r="BF194" t="s">
        <v>1664</v>
      </c>
      <c r="BG194">
        <v>1761</v>
      </c>
      <c r="BH194" t="s">
        <v>1164</v>
      </c>
      <c r="BI194">
        <v>1.5</v>
      </c>
      <c r="BJ194" t="s">
        <v>1665</v>
      </c>
      <c r="BK194" t="s">
        <v>541</v>
      </c>
      <c r="BL194" t="s">
        <v>19</v>
      </c>
      <c r="BM194">
        <v>76015</v>
      </c>
    </row>
    <row r="195" spans="1:65" ht="14.45" customHeight="1">
      <c r="A195" s="155"/>
      <c r="B195" s="30">
        <f t="shared" si="12"/>
        <v>76016</v>
      </c>
      <c r="C195" s="30" t="s">
        <v>2201</v>
      </c>
      <c r="D195" s="30"/>
      <c r="E195" s="30" t="s">
        <v>2180</v>
      </c>
      <c r="F195" s="31"/>
      <c r="G195" s="30"/>
      <c r="H195" s="30"/>
      <c r="I195" s="30"/>
      <c r="J195" s="30"/>
      <c r="K195" s="30"/>
      <c r="L195" s="30" t="s">
        <v>2180</v>
      </c>
      <c r="M195" s="30" t="s">
        <v>2180</v>
      </c>
      <c r="N195" s="30"/>
      <c r="P195" s="30"/>
      <c r="Q195" s="30"/>
      <c r="R195" s="30"/>
      <c r="S195" s="30"/>
      <c r="T195" s="31"/>
      <c r="U195" s="30"/>
      <c r="V195" s="30"/>
      <c r="W195" s="30"/>
      <c r="X195" s="30"/>
      <c r="Y195" s="30"/>
      <c r="Z195" s="30"/>
      <c r="AA195" s="30"/>
      <c r="AB195" s="30"/>
      <c r="AC195" s="30"/>
      <c r="AD195" s="30"/>
      <c r="AE195" s="30"/>
      <c r="AF195" s="30" t="str">
        <f t="shared" si="13"/>
        <v>KS_CPL_A            MIB_A</v>
      </c>
      <c r="AG195" s="30" t="s">
        <v>2182</v>
      </c>
      <c r="AH195">
        <v>3</v>
      </c>
      <c r="AI195">
        <v>76016</v>
      </c>
      <c r="AJ195" t="s">
        <v>1666</v>
      </c>
      <c r="AK195" t="s">
        <v>19</v>
      </c>
      <c r="AL195" t="s">
        <v>55</v>
      </c>
      <c r="AM195" t="s">
        <v>55</v>
      </c>
      <c r="AN195" t="s">
        <v>54</v>
      </c>
      <c r="AO195" t="s">
        <v>56</v>
      </c>
      <c r="AP195">
        <v>4</v>
      </c>
      <c r="AQ195" t="s">
        <v>57</v>
      </c>
      <c r="AR195" t="s">
        <v>547</v>
      </c>
      <c r="AS195" t="s">
        <v>19</v>
      </c>
      <c r="AT195" t="s">
        <v>19</v>
      </c>
      <c r="AU195" t="s">
        <v>249</v>
      </c>
      <c r="AV195" t="s">
        <v>250</v>
      </c>
      <c r="AW195" t="s">
        <v>605</v>
      </c>
      <c r="AX195" t="s">
        <v>606</v>
      </c>
      <c r="AY195">
        <v>8</v>
      </c>
      <c r="AZ195" t="s">
        <v>270</v>
      </c>
      <c r="BA195" t="s">
        <v>549</v>
      </c>
      <c r="BB195" t="s">
        <v>19</v>
      </c>
      <c r="BC195" t="s">
        <v>1660</v>
      </c>
      <c r="BD195" t="s">
        <v>1115</v>
      </c>
      <c r="BE195" t="s">
        <v>1661</v>
      </c>
      <c r="BF195" t="s">
        <v>1667</v>
      </c>
      <c r="BG195">
        <v>1860</v>
      </c>
      <c r="BH195" t="s">
        <v>1668</v>
      </c>
      <c r="BI195">
        <v>1.5</v>
      </c>
      <c r="BJ195" t="s">
        <v>1669</v>
      </c>
      <c r="BK195" t="s">
        <v>541</v>
      </c>
      <c r="BL195" t="s">
        <v>19</v>
      </c>
      <c r="BM195">
        <v>76016</v>
      </c>
    </row>
    <row r="196" spans="1:65" ht="14.45" customHeight="1">
      <c r="A196" s="155" t="s">
        <v>2340</v>
      </c>
      <c r="B196" s="30">
        <f t="shared" si="12"/>
        <v>76017</v>
      </c>
      <c r="C196" s="30" t="s">
        <v>2201</v>
      </c>
      <c r="D196" s="30"/>
      <c r="E196" s="30" t="s">
        <v>2180</v>
      </c>
      <c r="F196" s="31"/>
      <c r="G196" s="30"/>
      <c r="H196" s="30"/>
      <c r="I196" s="30"/>
      <c r="J196" s="30"/>
      <c r="K196" s="30"/>
      <c r="L196" s="30" t="s">
        <v>2180</v>
      </c>
      <c r="M196" s="30" t="s">
        <v>2180</v>
      </c>
      <c r="N196" s="30"/>
      <c r="P196" s="30"/>
      <c r="Q196" s="30"/>
      <c r="R196" s="30"/>
      <c r="S196" s="30"/>
      <c r="T196" s="31"/>
      <c r="U196" s="30"/>
      <c r="V196" s="30"/>
      <c r="W196" s="30"/>
      <c r="X196" s="30"/>
      <c r="Y196" s="30"/>
      <c r="Z196" s="30"/>
      <c r="AA196" s="30"/>
      <c r="AB196" s="30"/>
      <c r="AC196" s="30"/>
      <c r="AD196" s="30"/>
      <c r="AE196" s="30"/>
      <c r="AF196" s="30" t="str">
        <f t="shared" si="13"/>
        <v>MIB_A               LS_HT_VL</v>
      </c>
      <c r="AG196" s="30" t="s">
        <v>2182</v>
      </c>
      <c r="AH196">
        <v>3</v>
      </c>
      <c r="AI196">
        <v>76017</v>
      </c>
      <c r="AJ196" t="s">
        <v>1670</v>
      </c>
      <c r="AK196" t="s">
        <v>19</v>
      </c>
      <c r="AL196" t="s">
        <v>249</v>
      </c>
      <c r="AM196" t="s">
        <v>250</v>
      </c>
      <c r="AN196" t="s">
        <v>605</v>
      </c>
      <c r="AO196" t="s">
        <v>606</v>
      </c>
      <c r="AP196">
        <v>1</v>
      </c>
      <c r="AQ196" t="s">
        <v>270</v>
      </c>
      <c r="AR196" t="s">
        <v>548</v>
      </c>
      <c r="AS196" t="s">
        <v>19</v>
      </c>
      <c r="AT196" t="s">
        <v>19</v>
      </c>
      <c r="AU196" t="s">
        <v>552</v>
      </c>
      <c r="AV196" t="s">
        <v>553</v>
      </c>
      <c r="AW196" t="s">
        <v>562</v>
      </c>
      <c r="AX196" t="s">
        <v>563</v>
      </c>
      <c r="AY196">
        <v>1</v>
      </c>
      <c r="AZ196" t="s">
        <v>555</v>
      </c>
      <c r="BA196" t="s">
        <v>47</v>
      </c>
      <c r="BB196" t="s">
        <v>19</v>
      </c>
      <c r="BC196" t="s">
        <v>1671</v>
      </c>
      <c r="BD196" t="s">
        <v>1115</v>
      </c>
      <c r="BE196" t="s">
        <v>1672</v>
      </c>
      <c r="BF196" t="s">
        <v>1673</v>
      </c>
      <c r="BG196" s="153">
        <v>1629</v>
      </c>
      <c r="BH196" t="s">
        <v>1173</v>
      </c>
      <c r="BI196">
        <v>0.75</v>
      </c>
      <c r="BJ196" t="s">
        <v>1674</v>
      </c>
      <c r="BK196" t="s">
        <v>19</v>
      </c>
      <c r="BL196" t="s">
        <v>544</v>
      </c>
      <c r="BM196">
        <v>76017</v>
      </c>
    </row>
    <row r="197" spans="1:65" ht="14.45" customHeight="1">
      <c r="A197" s="155" t="s">
        <v>2340</v>
      </c>
      <c r="B197" s="30">
        <f t="shared" si="12"/>
        <v>76018</v>
      </c>
      <c r="C197" s="30" t="s">
        <v>2201</v>
      </c>
      <c r="D197" s="30"/>
      <c r="E197" s="30" t="s">
        <v>2180</v>
      </c>
      <c r="F197" s="31"/>
      <c r="G197" s="30"/>
      <c r="H197" s="30"/>
      <c r="I197" s="30"/>
      <c r="J197" s="30"/>
      <c r="K197" s="30"/>
      <c r="L197" s="30" t="s">
        <v>2180</v>
      </c>
      <c r="M197" s="30" t="s">
        <v>2180</v>
      </c>
      <c r="N197" s="30"/>
      <c r="P197" s="30"/>
      <c r="Q197" s="30"/>
      <c r="R197" s="30"/>
      <c r="S197" s="30"/>
      <c r="T197" s="31"/>
      <c r="U197" s="30"/>
      <c r="V197" s="30"/>
      <c r="W197" s="30"/>
      <c r="X197" s="30"/>
      <c r="Y197" s="30"/>
      <c r="Z197" s="30"/>
      <c r="AA197" s="30"/>
      <c r="AB197" s="30"/>
      <c r="AC197" s="30"/>
      <c r="AD197" s="30"/>
      <c r="AE197" s="30"/>
      <c r="AF197" s="30" t="str">
        <f t="shared" si="13"/>
        <v>LS_HT_VL            MIB_A</v>
      </c>
      <c r="AG197" s="30" t="s">
        <v>2182</v>
      </c>
      <c r="AH197">
        <v>3</v>
      </c>
      <c r="AI197">
        <v>76018</v>
      </c>
      <c r="AJ197" t="s">
        <v>1675</v>
      </c>
      <c r="AK197" t="s">
        <v>19</v>
      </c>
      <c r="AL197" t="s">
        <v>552</v>
      </c>
      <c r="AM197" t="s">
        <v>553</v>
      </c>
      <c r="AN197" t="s">
        <v>562</v>
      </c>
      <c r="AO197" t="s">
        <v>563</v>
      </c>
      <c r="AP197">
        <v>2</v>
      </c>
      <c r="AQ197" t="s">
        <v>555</v>
      </c>
      <c r="AR197" t="s">
        <v>47</v>
      </c>
      <c r="AS197" t="s">
        <v>19</v>
      </c>
      <c r="AT197" t="s">
        <v>19</v>
      </c>
      <c r="AU197" t="s">
        <v>249</v>
      </c>
      <c r="AV197" t="s">
        <v>250</v>
      </c>
      <c r="AW197" t="s">
        <v>605</v>
      </c>
      <c r="AX197" t="s">
        <v>606</v>
      </c>
      <c r="AY197">
        <v>5</v>
      </c>
      <c r="AZ197" t="s">
        <v>270</v>
      </c>
      <c r="BA197" t="s">
        <v>548</v>
      </c>
      <c r="BB197" t="s">
        <v>19</v>
      </c>
      <c r="BC197" t="s">
        <v>1671</v>
      </c>
      <c r="BD197" t="s">
        <v>1115</v>
      </c>
      <c r="BE197" t="s">
        <v>1672</v>
      </c>
      <c r="BF197" t="s">
        <v>1676</v>
      </c>
      <c r="BG197" s="153">
        <v>1629</v>
      </c>
      <c r="BH197" t="s">
        <v>1677</v>
      </c>
      <c r="BI197">
        <v>0.75</v>
      </c>
      <c r="BJ197" t="s">
        <v>1678</v>
      </c>
      <c r="BK197" t="s">
        <v>19</v>
      </c>
      <c r="BL197" t="s">
        <v>544</v>
      </c>
      <c r="BM197">
        <v>76018</v>
      </c>
    </row>
    <row r="198" spans="1:65" ht="14.45" customHeight="1">
      <c r="A198" s="155"/>
      <c r="B198" s="30">
        <f t="shared" si="12"/>
        <v>76019</v>
      </c>
      <c r="C198" s="30" t="s">
        <v>2201</v>
      </c>
      <c r="D198" s="30"/>
      <c r="E198" s="30" t="s">
        <v>2180</v>
      </c>
      <c r="F198" s="31"/>
      <c r="G198" s="30"/>
      <c r="H198" s="30"/>
      <c r="I198" s="30"/>
      <c r="J198" s="30"/>
      <c r="K198" s="30"/>
      <c r="L198" s="30" t="s">
        <v>2180</v>
      </c>
      <c r="M198" s="30" t="s">
        <v>2180</v>
      </c>
      <c r="N198" s="30"/>
      <c r="P198" s="30"/>
      <c r="Q198" s="30"/>
      <c r="R198" s="30"/>
      <c r="S198" s="30"/>
      <c r="T198" s="31"/>
      <c r="U198" s="30"/>
      <c r="V198" s="30"/>
      <c r="W198" s="30"/>
      <c r="X198" s="30"/>
      <c r="Y198" s="30"/>
      <c r="Z198" s="30"/>
      <c r="AA198" s="30"/>
      <c r="AB198" s="30"/>
      <c r="AC198" s="30"/>
      <c r="AD198" s="30"/>
      <c r="AE198" s="30"/>
      <c r="AF198" s="30" t="str">
        <f t="shared" si="13"/>
        <v>LS_HT_VR            MIB_A</v>
      </c>
      <c r="AG198" s="30" t="s">
        <v>2182</v>
      </c>
      <c r="AH198">
        <v>3</v>
      </c>
      <c r="AI198">
        <v>76019</v>
      </c>
      <c r="AJ198" t="s">
        <v>1679</v>
      </c>
      <c r="AK198" t="s">
        <v>19</v>
      </c>
      <c r="AL198" t="s">
        <v>568</v>
      </c>
      <c r="AM198" t="s">
        <v>569</v>
      </c>
      <c r="AN198" t="s">
        <v>573</v>
      </c>
      <c r="AO198" t="s">
        <v>574</v>
      </c>
      <c r="AP198">
        <v>1</v>
      </c>
      <c r="AQ198" s="153" t="s">
        <v>2366</v>
      </c>
      <c r="AR198" t="s">
        <v>47</v>
      </c>
      <c r="AS198" t="s">
        <v>19</v>
      </c>
      <c r="AT198" t="s">
        <v>19</v>
      </c>
      <c r="AU198" t="s">
        <v>249</v>
      </c>
      <c r="AV198" t="s">
        <v>250</v>
      </c>
      <c r="AW198" t="s">
        <v>605</v>
      </c>
      <c r="AX198" t="s">
        <v>606</v>
      </c>
      <c r="AY198">
        <v>2</v>
      </c>
      <c r="AZ198" t="s">
        <v>270</v>
      </c>
      <c r="BA198" t="s">
        <v>548</v>
      </c>
      <c r="BB198" t="s">
        <v>19</v>
      </c>
      <c r="BC198" t="s">
        <v>1680</v>
      </c>
      <c r="BD198" t="s">
        <v>1115</v>
      </c>
      <c r="BE198" t="s">
        <v>1681</v>
      </c>
      <c r="BF198" t="s">
        <v>1673</v>
      </c>
      <c r="BG198" s="153">
        <v>1518</v>
      </c>
      <c r="BH198" t="s">
        <v>1173</v>
      </c>
      <c r="BI198">
        <v>0.75</v>
      </c>
      <c r="BJ198" t="s">
        <v>1682</v>
      </c>
      <c r="BK198" t="s">
        <v>19</v>
      </c>
      <c r="BL198" t="s">
        <v>544</v>
      </c>
      <c r="BM198">
        <v>76019</v>
      </c>
    </row>
    <row r="199" spans="1:65" ht="14.45" customHeight="1">
      <c r="A199" s="155"/>
      <c r="B199" s="30">
        <f t="shared" si="12"/>
        <v>76020</v>
      </c>
      <c r="C199" s="30" t="s">
        <v>2201</v>
      </c>
      <c r="D199" s="30"/>
      <c r="E199" s="30" t="s">
        <v>2180</v>
      </c>
      <c r="F199" s="31"/>
      <c r="G199" s="30"/>
      <c r="H199" s="30"/>
      <c r="I199" s="30"/>
      <c r="J199" s="30"/>
      <c r="K199" s="30"/>
      <c r="L199" s="30" t="s">
        <v>2180</v>
      </c>
      <c r="M199" s="30" t="s">
        <v>2180</v>
      </c>
      <c r="N199" s="30"/>
      <c r="P199" s="30"/>
      <c r="Q199" s="30"/>
      <c r="R199" s="30"/>
      <c r="S199" s="30"/>
      <c r="T199" s="31"/>
      <c r="U199" s="30"/>
      <c r="V199" s="30"/>
      <c r="W199" s="30"/>
      <c r="X199" s="30"/>
      <c r="Y199" s="30"/>
      <c r="Z199" s="30"/>
      <c r="AA199" s="30"/>
      <c r="AB199" s="30"/>
      <c r="AC199" s="30"/>
      <c r="AD199" s="30"/>
      <c r="AE199" s="30"/>
      <c r="AF199" s="30" t="str">
        <f t="shared" si="13"/>
        <v>LS_HT_VR            MIB_A</v>
      </c>
      <c r="AG199" s="30" t="s">
        <v>2182</v>
      </c>
      <c r="AH199">
        <v>3</v>
      </c>
      <c r="AI199">
        <v>76020</v>
      </c>
      <c r="AJ199" t="s">
        <v>1683</v>
      </c>
      <c r="AK199" t="s">
        <v>19</v>
      </c>
      <c r="AL199" t="s">
        <v>568</v>
      </c>
      <c r="AM199" t="s">
        <v>569</v>
      </c>
      <c r="AN199" t="s">
        <v>573</v>
      </c>
      <c r="AO199" t="s">
        <v>574</v>
      </c>
      <c r="AP199">
        <v>2</v>
      </c>
      <c r="AQ199" s="153" t="s">
        <v>2366</v>
      </c>
      <c r="AR199" t="s">
        <v>47</v>
      </c>
      <c r="AS199" t="s">
        <v>19</v>
      </c>
      <c r="AT199" t="s">
        <v>19</v>
      </c>
      <c r="AU199" t="s">
        <v>249</v>
      </c>
      <c r="AV199" t="s">
        <v>250</v>
      </c>
      <c r="AW199" t="s">
        <v>605</v>
      </c>
      <c r="AX199" t="s">
        <v>606</v>
      </c>
      <c r="AY199">
        <v>6</v>
      </c>
      <c r="AZ199" t="s">
        <v>270</v>
      </c>
      <c r="BA199" t="s">
        <v>548</v>
      </c>
      <c r="BB199" t="s">
        <v>19</v>
      </c>
      <c r="BC199" t="s">
        <v>1680</v>
      </c>
      <c r="BD199" t="s">
        <v>1115</v>
      </c>
      <c r="BE199" t="s">
        <v>1681</v>
      </c>
      <c r="BF199" t="s">
        <v>1684</v>
      </c>
      <c r="BG199" s="153">
        <v>1518</v>
      </c>
      <c r="BH199" t="s">
        <v>1685</v>
      </c>
      <c r="BI199">
        <v>0.75</v>
      </c>
      <c r="BJ199" t="s">
        <v>1686</v>
      </c>
      <c r="BK199" t="s">
        <v>19</v>
      </c>
      <c r="BL199" t="s">
        <v>544</v>
      </c>
      <c r="BM199">
        <v>76020</v>
      </c>
    </row>
    <row r="200" spans="1:65" ht="14.45" customHeight="1">
      <c r="A200" s="155"/>
      <c r="B200" s="30">
        <f t="shared" si="12"/>
        <v>76021</v>
      </c>
      <c r="C200" s="30" t="s">
        <v>2201</v>
      </c>
      <c r="D200" s="30"/>
      <c r="E200" s="30" t="s">
        <v>2180</v>
      </c>
      <c r="F200" s="31"/>
      <c r="G200" s="30"/>
      <c r="H200" s="30"/>
      <c r="I200" s="30"/>
      <c r="J200" s="30"/>
      <c r="K200" s="30"/>
      <c r="L200" s="30" t="s">
        <v>2180</v>
      </c>
      <c r="M200" s="30" t="s">
        <v>2180</v>
      </c>
      <c r="N200" s="30"/>
      <c r="P200" s="30"/>
      <c r="Q200" s="30"/>
      <c r="R200" s="30"/>
      <c r="S200" s="30"/>
      <c r="T200" s="31"/>
      <c r="U200" s="30"/>
      <c r="V200" s="30"/>
      <c r="W200" s="30"/>
      <c r="X200" s="30"/>
      <c r="Y200" s="30"/>
      <c r="Z200" s="30"/>
      <c r="AA200" s="30"/>
      <c r="AB200" s="30"/>
      <c r="AC200" s="30"/>
      <c r="AD200" s="30"/>
      <c r="AE200" s="30"/>
      <c r="AF200" s="30" t="str">
        <f t="shared" si="13"/>
        <v>KS_CPR_B            MIB_C</v>
      </c>
      <c r="AG200" s="30" t="s">
        <v>2182</v>
      </c>
      <c r="AH200">
        <v>3</v>
      </c>
      <c r="AI200">
        <v>76021</v>
      </c>
      <c r="AJ200" t="s">
        <v>1687</v>
      </c>
      <c r="AK200" t="s">
        <v>19</v>
      </c>
      <c r="AL200" t="s">
        <v>96</v>
      </c>
      <c r="AM200" t="s">
        <v>96</v>
      </c>
      <c r="AN200" t="s">
        <v>100</v>
      </c>
      <c r="AO200" t="s">
        <v>101</v>
      </c>
      <c r="AP200">
        <v>7</v>
      </c>
      <c r="AQ200" t="s">
        <v>102</v>
      </c>
      <c r="AR200" t="s">
        <v>35</v>
      </c>
      <c r="AS200" t="s">
        <v>19</v>
      </c>
      <c r="AT200" t="s">
        <v>19</v>
      </c>
      <c r="AU200" t="s">
        <v>249</v>
      </c>
      <c r="AV200" t="s">
        <v>250</v>
      </c>
      <c r="AW200" t="s">
        <v>262</v>
      </c>
      <c r="AX200" t="s">
        <v>263</v>
      </c>
      <c r="AY200">
        <v>1</v>
      </c>
      <c r="AZ200" t="s">
        <v>264</v>
      </c>
      <c r="BA200" t="s">
        <v>46</v>
      </c>
      <c r="BB200" t="s">
        <v>19</v>
      </c>
      <c r="BC200" t="s">
        <v>1204</v>
      </c>
      <c r="BD200" t="s">
        <v>1115</v>
      </c>
      <c r="BE200" t="s">
        <v>1688</v>
      </c>
      <c r="BF200" t="s">
        <v>1206</v>
      </c>
      <c r="BG200">
        <v>1761</v>
      </c>
      <c r="BH200" t="s">
        <v>1207</v>
      </c>
      <c r="BI200">
        <v>0.35</v>
      </c>
      <c r="BJ200" t="s">
        <v>1689</v>
      </c>
      <c r="BK200" t="s">
        <v>19</v>
      </c>
      <c r="BL200" t="s">
        <v>544</v>
      </c>
      <c r="BM200">
        <v>76021</v>
      </c>
    </row>
    <row r="201" spans="1:65" ht="14.45" customHeight="1">
      <c r="A201" s="155"/>
      <c r="B201" s="30">
        <f t="shared" si="12"/>
        <v>76022</v>
      </c>
      <c r="C201" s="30" t="s">
        <v>2201</v>
      </c>
      <c r="D201" s="30"/>
      <c r="E201" s="30" t="s">
        <v>2180</v>
      </c>
      <c r="F201" s="31"/>
      <c r="G201" s="30"/>
      <c r="H201" s="30"/>
      <c r="I201" s="30"/>
      <c r="J201" s="30"/>
      <c r="K201" s="30"/>
      <c r="L201" s="30" t="s">
        <v>2180</v>
      </c>
      <c r="M201" s="30" t="s">
        <v>2180</v>
      </c>
      <c r="N201" s="30"/>
      <c r="P201" s="30"/>
      <c r="Q201" s="30"/>
      <c r="R201" s="30"/>
      <c r="S201" s="30"/>
      <c r="T201" s="31"/>
      <c r="U201" s="30"/>
      <c r="V201" s="30"/>
      <c r="W201" s="30"/>
      <c r="X201" s="30"/>
      <c r="Y201" s="30"/>
      <c r="Z201" s="30"/>
      <c r="AA201" s="30"/>
      <c r="AB201" s="30"/>
      <c r="AC201" s="30"/>
      <c r="AD201" s="30"/>
      <c r="AE201" s="30"/>
      <c r="AF201" s="30" t="str">
        <f t="shared" si="13"/>
        <v>KS_CPR_B            MIB_C</v>
      </c>
      <c r="AG201" s="30" t="s">
        <v>2182</v>
      </c>
      <c r="AH201">
        <v>3</v>
      </c>
      <c r="AI201">
        <v>76022</v>
      </c>
      <c r="AJ201" t="s">
        <v>1690</v>
      </c>
      <c r="AK201" t="s">
        <v>19</v>
      </c>
      <c r="AL201" t="s">
        <v>96</v>
      </c>
      <c r="AM201" t="s">
        <v>96</v>
      </c>
      <c r="AN201" t="s">
        <v>100</v>
      </c>
      <c r="AO201" t="s">
        <v>101</v>
      </c>
      <c r="AP201">
        <v>8</v>
      </c>
      <c r="AQ201" t="s">
        <v>102</v>
      </c>
      <c r="AR201" t="s">
        <v>35</v>
      </c>
      <c r="AS201" t="s">
        <v>19</v>
      </c>
      <c r="AT201" t="s">
        <v>19</v>
      </c>
      <c r="AU201" t="s">
        <v>249</v>
      </c>
      <c r="AV201" t="s">
        <v>250</v>
      </c>
      <c r="AW201" t="s">
        <v>262</v>
      </c>
      <c r="AX201" t="s">
        <v>263</v>
      </c>
      <c r="AY201">
        <v>7</v>
      </c>
      <c r="AZ201" t="s">
        <v>264</v>
      </c>
      <c r="BA201" t="s">
        <v>46</v>
      </c>
      <c r="BB201" t="s">
        <v>19</v>
      </c>
      <c r="BC201" t="s">
        <v>1204</v>
      </c>
      <c r="BD201" t="s">
        <v>1115</v>
      </c>
      <c r="BE201" t="s">
        <v>1688</v>
      </c>
      <c r="BF201" t="s">
        <v>1097</v>
      </c>
      <c r="BG201">
        <v>1761</v>
      </c>
      <c r="BH201" t="s">
        <v>1098</v>
      </c>
      <c r="BI201">
        <v>0.35</v>
      </c>
      <c r="BJ201" t="s">
        <v>1691</v>
      </c>
      <c r="BK201" t="s">
        <v>19</v>
      </c>
      <c r="BL201" t="s">
        <v>544</v>
      </c>
      <c r="BM201">
        <v>76022</v>
      </c>
    </row>
    <row r="202" spans="1:65" ht="14.45" customHeight="1">
      <c r="A202" s="155"/>
      <c r="B202" s="30">
        <f t="shared" ref="B202:B261" si="14">AI202</f>
        <v>76025</v>
      </c>
      <c r="C202" s="30" t="s">
        <v>2201</v>
      </c>
      <c r="D202" s="30"/>
      <c r="E202" s="30" t="s">
        <v>2180</v>
      </c>
      <c r="F202" s="31"/>
      <c r="G202" s="30"/>
      <c r="H202" s="30"/>
      <c r="I202" s="30"/>
      <c r="J202" s="30"/>
      <c r="K202" s="30"/>
      <c r="L202" s="30" t="s">
        <v>2180</v>
      </c>
      <c r="M202" s="30" t="s">
        <v>2180</v>
      </c>
      <c r="N202" s="30"/>
      <c r="P202" s="30"/>
      <c r="Q202" s="30"/>
      <c r="R202" s="30"/>
      <c r="S202" s="30"/>
      <c r="T202" s="31"/>
      <c r="U202" s="30"/>
      <c r="V202" s="30"/>
      <c r="W202" s="30"/>
      <c r="X202" s="30"/>
      <c r="Y202" s="30"/>
      <c r="Z202" s="30"/>
      <c r="AA202" s="30"/>
      <c r="AB202" s="30"/>
      <c r="AC202" s="30"/>
      <c r="AD202" s="30"/>
      <c r="AE202" s="30"/>
      <c r="AF202" s="30" t="str">
        <f t="shared" ref="AF202:AF266" si="15" xml:space="preserve"> AO202 &amp; REPT(" ",20-LEN(AO202)) &amp; AX202</f>
        <v>KS_CPL_A            MIB_D</v>
      </c>
      <c r="AG202" s="30" t="s">
        <v>2182</v>
      </c>
      <c r="AH202">
        <v>3</v>
      </c>
      <c r="AI202">
        <v>76025</v>
      </c>
      <c r="AJ202" t="s">
        <v>1692</v>
      </c>
      <c r="AK202" t="s">
        <v>19</v>
      </c>
      <c r="AL202" t="s">
        <v>55</v>
      </c>
      <c r="AM202" t="s">
        <v>55</v>
      </c>
      <c r="AN202" t="s">
        <v>54</v>
      </c>
      <c r="AO202" t="s">
        <v>56</v>
      </c>
      <c r="AP202">
        <v>3</v>
      </c>
      <c r="AQ202" t="s">
        <v>57</v>
      </c>
      <c r="AR202" t="s">
        <v>547</v>
      </c>
      <c r="AS202" t="s">
        <v>19</v>
      </c>
      <c r="AT202" t="s">
        <v>19</v>
      </c>
      <c r="AU202" t="s">
        <v>249</v>
      </c>
      <c r="AV202" t="s">
        <v>250</v>
      </c>
      <c r="AW202" t="s">
        <v>268</v>
      </c>
      <c r="AX202" t="s">
        <v>269</v>
      </c>
      <c r="AY202">
        <v>9</v>
      </c>
      <c r="AZ202" t="s">
        <v>270</v>
      </c>
      <c r="BA202" t="s">
        <v>549</v>
      </c>
      <c r="BB202" t="s">
        <v>19</v>
      </c>
      <c r="BC202" t="s">
        <v>1660</v>
      </c>
      <c r="BD202" t="s">
        <v>1115</v>
      </c>
      <c r="BE202" t="s">
        <v>1693</v>
      </c>
      <c r="BF202" t="s">
        <v>1656</v>
      </c>
      <c r="BG202">
        <v>1860</v>
      </c>
      <c r="BH202" t="s">
        <v>1657</v>
      </c>
      <c r="BI202">
        <v>1.5</v>
      </c>
      <c r="BJ202" t="s">
        <v>1694</v>
      </c>
      <c r="BK202" t="s">
        <v>19</v>
      </c>
      <c r="BL202" t="s">
        <v>544</v>
      </c>
      <c r="BM202">
        <v>76025</v>
      </c>
    </row>
    <row r="203" spans="1:65" ht="14.45" customHeight="1">
      <c r="A203" s="155"/>
      <c r="B203" s="30">
        <f t="shared" si="14"/>
        <v>76026</v>
      </c>
      <c r="C203" s="30" t="s">
        <v>2201</v>
      </c>
      <c r="D203" s="30"/>
      <c r="E203" s="30" t="s">
        <v>2180</v>
      </c>
      <c r="F203" s="31"/>
      <c r="G203" s="30"/>
      <c r="H203" s="30"/>
      <c r="I203" s="30"/>
      <c r="J203" s="30"/>
      <c r="K203" s="30"/>
      <c r="L203" s="30" t="s">
        <v>2180</v>
      </c>
      <c r="M203" s="30" t="s">
        <v>2180</v>
      </c>
      <c r="N203" s="30"/>
      <c r="P203" s="30"/>
      <c r="Q203" s="30"/>
      <c r="R203" s="30"/>
      <c r="S203" s="30"/>
      <c r="T203" s="31"/>
      <c r="U203" s="30"/>
      <c r="V203" s="30"/>
      <c r="W203" s="30"/>
      <c r="X203" s="30"/>
      <c r="Y203" s="30"/>
      <c r="Z203" s="30"/>
      <c r="AA203" s="30"/>
      <c r="AB203" s="30"/>
      <c r="AC203" s="30"/>
      <c r="AD203" s="30"/>
      <c r="AE203" s="30"/>
      <c r="AF203" s="30" t="str">
        <f t="shared" si="15"/>
        <v>KS_CPL_A            MIB_D</v>
      </c>
      <c r="AG203" s="30" t="s">
        <v>2182</v>
      </c>
      <c r="AH203">
        <v>3</v>
      </c>
      <c r="AI203">
        <v>76026</v>
      </c>
      <c r="AJ203" t="s">
        <v>1695</v>
      </c>
      <c r="AK203" t="s">
        <v>19</v>
      </c>
      <c r="AL203" t="s">
        <v>55</v>
      </c>
      <c r="AM203" t="s">
        <v>55</v>
      </c>
      <c r="AN203" t="s">
        <v>54</v>
      </c>
      <c r="AO203" t="s">
        <v>56</v>
      </c>
      <c r="AP203">
        <v>4</v>
      </c>
      <c r="AQ203" t="s">
        <v>57</v>
      </c>
      <c r="AR203" t="s">
        <v>547</v>
      </c>
      <c r="AS203" t="s">
        <v>19</v>
      </c>
      <c r="AT203" t="s">
        <v>19</v>
      </c>
      <c r="AU203" t="s">
        <v>249</v>
      </c>
      <c r="AV203" t="s">
        <v>250</v>
      </c>
      <c r="AW203" t="s">
        <v>268</v>
      </c>
      <c r="AX203" t="s">
        <v>269</v>
      </c>
      <c r="AY203">
        <v>13</v>
      </c>
      <c r="AZ203" t="s">
        <v>270</v>
      </c>
      <c r="BA203" t="s">
        <v>549</v>
      </c>
      <c r="BB203" t="s">
        <v>19</v>
      </c>
      <c r="BC203" t="s">
        <v>1660</v>
      </c>
      <c r="BD203" t="s">
        <v>1115</v>
      </c>
      <c r="BE203" t="s">
        <v>1693</v>
      </c>
      <c r="BF203" t="s">
        <v>1667</v>
      </c>
      <c r="BG203">
        <v>1860</v>
      </c>
      <c r="BH203" t="s">
        <v>1668</v>
      </c>
      <c r="BI203">
        <v>1.5</v>
      </c>
      <c r="BJ203" t="s">
        <v>1696</v>
      </c>
      <c r="BK203" t="s">
        <v>19</v>
      </c>
      <c r="BL203" t="s">
        <v>544</v>
      </c>
      <c r="BM203">
        <v>76026</v>
      </c>
    </row>
    <row r="204" spans="1:65" ht="14.45" customHeight="1">
      <c r="A204" s="155"/>
      <c r="B204" s="30">
        <f t="shared" si="14"/>
        <v>76027</v>
      </c>
      <c r="C204" s="30" t="s">
        <v>2201</v>
      </c>
      <c r="D204" s="30"/>
      <c r="E204" s="30" t="s">
        <v>2180</v>
      </c>
      <c r="F204" s="31"/>
      <c r="G204" s="30"/>
      <c r="H204" s="30"/>
      <c r="I204" s="30"/>
      <c r="J204" s="30"/>
      <c r="K204" s="30"/>
      <c r="L204" s="30" t="s">
        <v>2180</v>
      </c>
      <c r="M204" s="30" t="s">
        <v>2180</v>
      </c>
      <c r="N204" s="30"/>
      <c r="P204" s="30"/>
      <c r="Q204" s="30"/>
      <c r="R204" s="30"/>
      <c r="S204" s="30"/>
      <c r="T204" s="31"/>
      <c r="U204" s="30"/>
      <c r="V204" s="30"/>
      <c r="W204" s="30"/>
      <c r="X204" s="30"/>
      <c r="Y204" s="30"/>
      <c r="Z204" s="30"/>
      <c r="AA204" s="30"/>
      <c r="AB204" s="30"/>
      <c r="AC204" s="30"/>
      <c r="AD204" s="30"/>
      <c r="AE204" s="30"/>
      <c r="AF204" s="30" t="str">
        <f t="shared" si="15"/>
        <v>LS_CENT             MIB_A</v>
      </c>
      <c r="AG204" s="30" t="s">
        <v>2182</v>
      </c>
      <c r="AH204">
        <v>3</v>
      </c>
      <c r="AI204">
        <v>76027</v>
      </c>
      <c r="AJ204" t="s">
        <v>1697</v>
      </c>
      <c r="AK204" t="s">
        <v>19</v>
      </c>
      <c r="AL204" t="s">
        <v>596</v>
      </c>
      <c r="AM204" t="s">
        <v>597</v>
      </c>
      <c r="AN204" t="s">
        <v>595</v>
      </c>
      <c r="AO204" t="s">
        <v>598</v>
      </c>
      <c r="AP204">
        <v>1</v>
      </c>
      <c r="AQ204" t="s">
        <v>599</v>
      </c>
      <c r="AR204" t="s">
        <v>546</v>
      </c>
      <c r="AS204" t="s">
        <v>19</v>
      </c>
      <c r="AT204" t="s">
        <v>19</v>
      </c>
      <c r="AU204" t="s">
        <v>249</v>
      </c>
      <c r="AV204" t="s">
        <v>250</v>
      </c>
      <c r="AW204" t="s">
        <v>605</v>
      </c>
      <c r="AX204" t="s">
        <v>606</v>
      </c>
      <c r="AY204">
        <v>3</v>
      </c>
      <c r="AZ204" t="s">
        <v>270</v>
      </c>
      <c r="BA204" t="s">
        <v>548</v>
      </c>
      <c r="BB204" t="s">
        <v>19</v>
      </c>
      <c r="BC204" t="s">
        <v>1698</v>
      </c>
      <c r="BD204" t="s">
        <v>1115</v>
      </c>
      <c r="BE204" t="s">
        <v>1699</v>
      </c>
      <c r="BF204" t="s">
        <v>1700</v>
      </c>
      <c r="BG204">
        <v>1609</v>
      </c>
      <c r="BH204" t="s">
        <v>1106</v>
      </c>
      <c r="BI204">
        <v>0.75</v>
      </c>
      <c r="BJ204" t="s">
        <v>1701</v>
      </c>
      <c r="BK204" t="s">
        <v>19</v>
      </c>
      <c r="BL204" t="s">
        <v>544</v>
      </c>
      <c r="BM204">
        <v>76027</v>
      </c>
    </row>
    <row r="205" spans="1:65" ht="14.45" customHeight="1">
      <c r="A205" s="155"/>
      <c r="B205" s="30">
        <f t="shared" si="14"/>
        <v>76028</v>
      </c>
      <c r="C205" s="30" t="s">
        <v>2201</v>
      </c>
      <c r="D205" s="30"/>
      <c r="E205" s="30" t="s">
        <v>2180</v>
      </c>
      <c r="F205" s="31"/>
      <c r="G205" s="30"/>
      <c r="H205" s="30"/>
      <c r="I205" s="30"/>
      <c r="J205" s="30"/>
      <c r="K205" s="30"/>
      <c r="L205" s="30" t="s">
        <v>2180</v>
      </c>
      <c r="M205" s="30" t="s">
        <v>2180</v>
      </c>
      <c r="N205" s="30"/>
      <c r="P205" s="30"/>
      <c r="Q205" s="30"/>
      <c r="R205" s="30"/>
      <c r="S205" s="30"/>
      <c r="T205" s="31"/>
      <c r="U205" s="30"/>
      <c r="V205" s="30"/>
      <c r="W205" s="30"/>
      <c r="X205" s="30"/>
      <c r="Y205" s="30"/>
      <c r="Z205" s="30"/>
      <c r="AA205" s="30"/>
      <c r="AB205" s="30"/>
      <c r="AC205" s="30"/>
      <c r="AD205" s="30"/>
      <c r="AE205" s="30"/>
      <c r="AF205" s="30" t="str">
        <f t="shared" si="15"/>
        <v>MIB_A               LS_CENT</v>
      </c>
      <c r="AG205" s="30" t="s">
        <v>2182</v>
      </c>
      <c r="AH205">
        <v>3</v>
      </c>
      <c r="AI205">
        <v>76028</v>
      </c>
      <c r="AJ205" t="s">
        <v>1702</v>
      </c>
      <c r="AK205" t="s">
        <v>19</v>
      </c>
      <c r="AL205" t="s">
        <v>249</v>
      </c>
      <c r="AM205" t="s">
        <v>250</v>
      </c>
      <c r="AN205" t="s">
        <v>605</v>
      </c>
      <c r="AO205" t="s">
        <v>606</v>
      </c>
      <c r="AP205">
        <v>7</v>
      </c>
      <c r="AQ205" t="s">
        <v>270</v>
      </c>
      <c r="AR205" t="s">
        <v>548</v>
      </c>
      <c r="AS205" t="s">
        <v>19</v>
      </c>
      <c r="AT205" t="s">
        <v>19</v>
      </c>
      <c r="AU205" t="s">
        <v>596</v>
      </c>
      <c r="AV205" t="s">
        <v>597</v>
      </c>
      <c r="AW205" t="s">
        <v>595</v>
      </c>
      <c r="AX205" t="s">
        <v>598</v>
      </c>
      <c r="AY205">
        <v>2</v>
      </c>
      <c r="AZ205" t="s">
        <v>599</v>
      </c>
      <c r="BA205" t="s">
        <v>546</v>
      </c>
      <c r="BB205" t="s">
        <v>19</v>
      </c>
      <c r="BC205" t="s">
        <v>1698</v>
      </c>
      <c r="BD205" t="s">
        <v>1115</v>
      </c>
      <c r="BE205" t="s">
        <v>1699</v>
      </c>
      <c r="BF205" t="s">
        <v>1703</v>
      </c>
      <c r="BG205">
        <v>1609</v>
      </c>
      <c r="BH205" t="s">
        <v>1181</v>
      </c>
      <c r="BI205">
        <v>0.75</v>
      </c>
      <c r="BJ205" t="s">
        <v>1704</v>
      </c>
      <c r="BK205" t="s">
        <v>19</v>
      </c>
      <c r="BL205" t="s">
        <v>544</v>
      </c>
      <c r="BM205">
        <v>76028</v>
      </c>
    </row>
    <row r="206" spans="1:65" ht="14.45" customHeight="1">
      <c r="A206" s="155"/>
      <c r="B206" s="30">
        <f t="shared" si="14"/>
        <v>76029</v>
      </c>
      <c r="C206" s="30" t="s">
        <v>2201</v>
      </c>
      <c r="D206" s="30"/>
      <c r="E206" s="30" t="s">
        <v>2180</v>
      </c>
      <c r="F206" s="31"/>
      <c r="G206" s="30"/>
      <c r="H206" s="30"/>
      <c r="I206" s="30"/>
      <c r="J206" s="30"/>
      <c r="K206" s="30"/>
      <c r="L206" s="30" t="s">
        <v>2180</v>
      </c>
      <c r="M206" s="30" t="s">
        <v>2180</v>
      </c>
      <c r="N206" s="30"/>
      <c r="P206" s="30"/>
      <c r="Q206" s="30"/>
      <c r="R206" s="30"/>
      <c r="S206" s="30"/>
      <c r="T206" s="31"/>
      <c r="U206" s="30"/>
      <c r="V206" s="30"/>
      <c r="W206" s="30"/>
      <c r="X206" s="30"/>
      <c r="Y206" s="30"/>
      <c r="Z206" s="30"/>
      <c r="AA206" s="30"/>
      <c r="AB206" s="30"/>
      <c r="AC206" s="30"/>
      <c r="AD206" s="30"/>
      <c r="AE206" s="30"/>
      <c r="AF206" s="30" t="str">
        <f t="shared" si="15"/>
        <v>MIB_B               KS_CPL_D</v>
      </c>
      <c r="AG206" s="30" t="s">
        <v>2182</v>
      </c>
      <c r="AH206">
        <v>3</v>
      </c>
      <c r="AI206">
        <v>76029</v>
      </c>
      <c r="AJ206" t="s">
        <v>1705</v>
      </c>
      <c r="AK206" t="s">
        <v>19</v>
      </c>
      <c r="AL206" t="s">
        <v>249</v>
      </c>
      <c r="AM206" t="s">
        <v>250</v>
      </c>
      <c r="AN206" t="s">
        <v>248</v>
      </c>
      <c r="AO206" t="s">
        <v>251</v>
      </c>
      <c r="AP206">
        <v>9</v>
      </c>
      <c r="AQ206" t="s">
        <v>252</v>
      </c>
      <c r="AR206" t="s">
        <v>46</v>
      </c>
      <c r="AS206" t="s">
        <v>19</v>
      </c>
      <c r="AT206" t="s">
        <v>19</v>
      </c>
      <c r="AU206" t="s">
        <v>55</v>
      </c>
      <c r="AV206" t="s">
        <v>55</v>
      </c>
      <c r="AW206" t="s">
        <v>75</v>
      </c>
      <c r="AX206" t="s">
        <v>76</v>
      </c>
      <c r="AY206">
        <v>8</v>
      </c>
      <c r="AZ206" t="s">
        <v>77</v>
      </c>
      <c r="BA206" t="s">
        <v>35</v>
      </c>
      <c r="BB206" t="s">
        <v>19</v>
      </c>
      <c r="BC206" t="s">
        <v>1706</v>
      </c>
      <c r="BD206" t="s">
        <v>1115</v>
      </c>
      <c r="BE206" t="s">
        <v>1707</v>
      </c>
      <c r="BF206" t="s">
        <v>1708</v>
      </c>
      <c r="BG206">
        <v>1695</v>
      </c>
      <c r="BH206" t="s">
        <v>1709</v>
      </c>
      <c r="BI206">
        <v>0.35</v>
      </c>
      <c r="BJ206" t="s">
        <v>1710</v>
      </c>
      <c r="BK206" t="s">
        <v>541</v>
      </c>
      <c r="BL206" t="s">
        <v>544</v>
      </c>
      <c r="BM206">
        <v>76029</v>
      </c>
    </row>
    <row r="207" spans="1:65" ht="14.45" customHeight="1">
      <c r="A207" s="155"/>
      <c r="B207" s="30">
        <f t="shared" si="14"/>
        <v>76030</v>
      </c>
      <c r="C207" s="30" t="s">
        <v>2201</v>
      </c>
      <c r="D207" s="30"/>
      <c r="E207" s="30" t="s">
        <v>2180</v>
      </c>
      <c r="F207" s="31"/>
      <c r="G207" s="30"/>
      <c r="H207" s="30"/>
      <c r="I207" s="30"/>
      <c r="J207" s="30"/>
      <c r="K207" s="30"/>
      <c r="L207" s="30" t="s">
        <v>2180</v>
      </c>
      <c r="M207" s="30" t="s">
        <v>2180</v>
      </c>
      <c r="N207" s="30"/>
      <c r="P207" s="30"/>
      <c r="Q207" s="30"/>
      <c r="R207" s="30"/>
      <c r="S207" s="30"/>
      <c r="T207" s="31"/>
      <c r="U207" s="30"/>
      <c r="V207" s="30"/>
      <c r="W207" s="30"/>
      <c r="X207" s="30"/>
      <c r="Y207" s="30"/>
      <c r="Z207" s="30"/>
      <c r="AA207" s="30"/>
      <c r="AB207" s="30"/>
      <c r="AC207" s="30"/>
      <c r="AD207" s="30"/>
      <c r="AE207" s="30"/>
      <c r="AF207" s="30" t="str">
        <f t="shared" si="15"/>
        <v>MIB_B               KS_CPL_D</v>
      </c>
      <c r="AG207" s="30" t="s">
        <v>2182</v>
      </c>
      <c r="AH207">
        <v>3</v>
      </c>
      <c r="AI207">
        <v>76030</v>
      </c>
      <c r="AJ207" t="s">
        <v>1711</v>
      </c>
      <c r="AK207" t="s">
        <v>19</v>
      </c>
      <c r="AL207" t="s">
        <v>249</v>
      </c>
      <c r="AM207" t="s">
        <v>250</v>
      </c>
      <c r="AN207" t="s">
        <v>248</v>
      </c>
      <c r="AO207" t="s">
        <v>251</v>
      </c>
      <c r="AP207">
        <v>3</v>
      </c>
      <c r="AQ207" t="s">
        <v>252</v>
      </c>
      <c r="AR207" t="s">
        <v>46</v>
      </c>
      <c r="AS207" t="s">
        <v>19</v>
      </c>
      <c r="AT207" t="s">
        <v>19</v>
      </c>
      <c r="AU207" t="s">
        <v>55</v>
      </c>
      <c r="AV207" t="s">
        <v>55</v>
      </c>
      <c r="AW207" t="s">
        <v>75</v>
      </c>
      <c r="AX207" t="s">
        <v>76</v>
      </c>
      <c r="AY207">
        <v>1</v>
      </c>
      <c r="AZ207" t="s">
        <v>77</v>
      </c>
      <c r="BA207" t="s">
        <v>35</v>
      </c>
      <c r="BB207" t="s">
        <v>19</v>
      </c>
      <c r="BC207" t="s">
        <v>1706</v>
      </c>
      <c r="BD207" t="s">
        <v>1115</v>
      </c>
      <c r="BE207" t="s">
        <v>1707</v>
      </c>
      <c r="BF207" t="s">
        <v>1327</v>
      </c>
      <c r="BG207">
        <v>1695</v>
      </c>
      <c r="BH207" t="s">
        <v>1173</v>
      </c>
      <c r="BI207">
        <v>0.35</v>
      </c>
      <c r="BJ207" t="s">
        <v>1712</v>
      </c>
      <c r="BK207" t="s">
        <v>541</v>
      </c>
      <c r="BL207" t="s">
        <v>544</v>
      </c>
      <c r="BM207">
        <v>76030</v>
      </c>
    </row>
    <row r="208" spans="1:65" ht="14.45" customHeight="1">
      <c r="A208" s="155"/>
      <c r="B208" s="30">
        <f t="shared" si="14"/>
        <v>76031</v>
      </c>
      <c r="C208" s="30" t="s">
        <v>2201</v>
      </c>
      <c r="D208" s="30"/>
      <c r="E208" s="30" t="s">
        <v>2180</v>
      </c>
      <c r="F208" s="31"/>
      <c r="G208" s="30"/>
      <c r="H208" s="30"/>
      <c r="I208" s="30"/>
      <c r="J208" s="30"/>
      <c r="K208" s="30"/>
      <c r="L208" s="30" t="s">
        <v>2180</v>
      </c>
      <c r="M208" s="30" t="s">
        <v>2180</v>
      </c>
      <c r="N208" s="30"/>
      <c r="P208" s="30"/>
      <c r="Q208" s="30"/>
      <c r="R208" s="30"/>
      <c r="S208" s="30"/>
      <c r="T208" s="31"/>
      <c r="U208" s="30"/>
      <c r="V208" s="30"/>
      <c r="W208" s="30"/>
      <c r="X208" s="30"/>
      <c r="Y208" s="30"/>
      <c r="Z208" s="30"/>
      <c r="AA208" s="30"/>
      <c r="AB208" s="30"/>
      <c r="AC208" s="30"/>
      <c r="AD208" s="30"/>
      <c r="AE208" s="30"/>
      <c r="AF208" s="30" t="str">
        <f t="shared" si="15"/>
        <v>KS_CPL_C            MIB_A</v>
      </c>
      <c r="AG208" s="30" t="s">
        <v>2182</v>
      </c>
      <c r="AH208">
        <v>3</v>
      </c>
      <c r="AI208">
        <v>76031</v>
      </c>
      <c r="AJ208" t="s">
        <v>1713</v>
      </c>
      <c r="AK208" t="s">
        <v>19</v>
      </c>
      <c r="AL208" t="s">
        <v>55</v>
      </c>
      <c r="AM208" t="s">
        <v>55</v>
      </c>
      <c r="AN208" t="s">
        <v>69</v>
      </c>
      <c r="AO208" t="s">
        <v>70</v>
      </c>
      <c r="AP208">
        <v>14</v>
      </c>
      <c r="AQ208" t="s">
        <v>71</v>
      </c>
      <c r="AR208" t="s">
        <v>36</v>
      </c>
      <c r="AS208" t="s">
        <v>19</v>
      </c>
      <c r="AT208" t="s">
        <v>19</v>
      </c>
      <c r="AU208" t="s">
        <v>249</v>
      </c>
      <c r="AV208" t="s">
        <v>250</v>
      </c>
      <c r="AW208" t="s">
        <v>605</v>
      </c>
      <c r="AX208" t="s">
        <v>606</v>
      </c>
      <c r="AY208">
        <v>4</v>
      </c>
      <c r="AZ208" t="s">
        <v>270</v>
      </c>
      <c r="BA208" t="s">
        <v>548</v>
      </c>
      <c r="BB208" t="s">
        <v>19</v>
      </c>
      <c r="BC208" t="s">
        <v>1714</v>
      </c>
      <c r="BD208" t="s">
        <v>1115</v>
      </c>
      <c r="BE208" t="s">
        <v>1715</v>
      </c>
      <c r="BF208" t="s">
        <v>1716</v>
      </c>
      <c r="BG208">
        <v>1695</v>
      </c>
      <c r="BH208" t="s">
        <v>1129</v>
      </c>
      <c r="BI208">
        <v>0.5</v>
      </c>
      <c r="BJ208" t="s">
        <v>1717</v>
      </c>
      <c r="BK208" t="s">
        <v>19</v>
      </c>
      <c r="BL208" t="s">
        <v>544</v>
      </c>
      <c r="BM208">
        <v>76031</v>
      </c>
    </row>
    <row r="209" spans="1:65" ht="14.45" customHeight="1">
      <c r="A209" s="155"/>
      <c r="B209" s="30">
        <f t="shared" si="14"/>
        <v>76032</v>
      </c>
      <c r="C209" s="30" t="s">
        <v>2201</v>
      </c>
      <c r="D209" s="30"/>
      <c r="E209" s="30" t="s">
        <v>2180</v>
      </c>
      <c r="F209" s="31"/>
      <c r="G209" s="30"/>
      <c r="H209" s="30"/>
      <c r="I209" s="30"/>
      <c r="J209" s="30"/>
      <c r="K209" s="30"/>
      <c r="L209" s="30" t="s">
        <v>2180</v>
      </c>
      <c r="M209" s="30" t="s">
        <v>2180</v>
      </c>
      <c r="N209" s="30"/>
      <c r="P209" s="30"/>
      <c r="Q209" s="30"/>
      <c r="R209" s="30"/>
      <c r="S209" s="30"/>
      <c r="T209" s="31"/>
      <c r="U209" s="30"/>
      <c r="V209" s="30"/>
      <c r="W209" s="30"/>
      <c r="X209" s="30"/>
      <c r="Y209" s="30"/>
      <c r="Z209" s="30"/>
      <c r="AA209" s="30"/>
      <c r="AB209" s="30"/>
      <c r="AC209" s="30"/>
      <c r="AD209" s="30"/>
      <c r="AE209" s="30"/>
      <c r="AF209" s="30" t="str">
        <f t="shared" si="15"/>
        <v>KS_CPL_C            MIB_A</v>
      </c>
      <c r="AG209" s="30" t="s">
        <v>2182</v>
      </c>
      <c r="AH209">
        <v>3</v>
      </c>
      <c r="AI209">
        <v>76032</v>
      </c>
      <c r="AJ209" t="s">
        <v>1718</v>
      </c>
      <c r="AK209" t="s">
        <v>19</v>
      </c>
      <c r="AL209" t="s">
        <v>55</v>
      </c>
      <c r="AM209" t="s">
        <v>55</v>
      </c>
      <c r="AN209" t="s">
        <v>69</v>
      </c>
      <c r="AO209" t="s">
        <v>70</v>
      </c>
      <c r="AP209">
        <v>13</v>
      </c>
      <c r="AQ209" t="s">
        <v>71</v>
      </c>
      <c r="AR209" t="s">
        <v>36</v>
      </c>
      <c r="AS209" t="s">
        <v>19</v>
      </c>
      <c r="AT209" t="s">
        <v>19</v>
      </c>
      <c r="AU209" t="s">
        <v>249</v>
      </c>
      <c r="AV209" t="s">
        <v>250</v>
      </c>
      <c r="AW209" t="s">
        <v>605</v>
      </c>
      <c r="AX209" t="s">
        <v>606</v>
      </c>
      <c r="AY209">
        <v>8</v>
      </c>
      <c r="AZ209" t="s">
        <v>270</v>
      </c>
      <c r="BA209" t="s">
        <v>548</v>
      </c>
      <c r="BB209" t="s">
        <v>19</v>
      </c>
      <c r="BC209" t="s">
        <v>1714</v>
      </c>
      <c r="BD209" t="s">
        <v>1115</v>
      </c>
      <c r="BE209" t="s">
        <v>1715</v>
      </c>
      <c r="BF209" t="s">
        <v>1719</v>
      </c>
      <c r="BG209">
        <v>1695</v>
      </c>
      <c r="BH209" t="s">
        <v>1371</v>
      </c>
      <c r="BI209">
        <v>0.5</v>
      </c>
      <c r="BJ209" t="s">
        <v>1720</v>
      </c>
      <c r="BK209" t="s">
        <v>19</v>
      </c>
      <c r="BL209" t="s">
        <v>544</v>
      </c>
      <c r="BM209">
        <v>76032</v>
      </c>
    </row>
    <row r="210" spans="1:65" ht="14.45" customHeight="1">
      <c r="A210" s="155"/>
      <c r="B210" s="30">
        <f t="shared" si="14"/>
        <v>76035</v>
      </c>
      <c r="C210" s="30" t="s">
        <v>2201</v>
      </c>
      <c r="D210" s="30"/>
      <c r="E210" s="30" t="s">
        <v>2180</v>
      </c>
      <c r="F210" s="31"/>
      <c r="G210" s="30"/>
      <c r="H210" s="30"/>
      <c r="I210" s="30"/>
      <c r="J210" s="30"/>
      <c r="K210" s="30"/>
      <c r="L210" s="30" t="s">
        <v>2180</v>
      </c>
      <c r="M210" s="30" t="s">
        <v>2180</v>
      </c>
      <c r="N210" s="30"/>
      <c r="P210" s="30"/>
      <c r="Q210" s="30"/>
      <c r="R210" s="30"/>
      <c r="S210" s="30"/>
      <c r="T210" s="31"/>
      <c r="U210" s="30"/>
      <c r="V210" s="30"/>
      <c r="W210" s="30"/>
      <c r="X210" s="30"/>
      <c r="Y210" s="30"/>
      <c r="Z210" s="30"/>
      <c r="AA210" s="30"/>
      <c r="AB210" s="30"/>
      <c r="AC210" s="30"/>
      <c r="AD210" s="30"/>
      <c r="AE210" s="30"/>
      <c r="AF210" s="30" t="str">
        <f t="shared" si="15"/>
        <v>MIB_D               LSMT10P</v>
      </c>
      <c r="AG210" s="30" t="s">
        <v>2182</v>
      </c>
      <c r="AH210">
        <v>3</v>
      </c>
      <c r="AI210">
        <v>76035</v>
      </c>
      <c r="AJ210" t="s">
        <v>1721</v>
      </c>
      <c r="AK210" t="s">
        <v>19</v>
      </c>
      <c r="AL210" t="s">
        <v>249</v>
      </c>
      <c r="AM210" t="s">
        <v>250</v>
      </c>
      <c r="AN210" t="s">
        <v>268</v>
      </c>
      <c r="AO210" t="s">
        <v>269</v>
      </c>
      <c r="AP210">
        <v>10</v>
      </c>
      <c r="AQ210" t="s">
        <v>270</v>
      </c>
      <c r="AR210" t="s">
        <v>548</v>
      </c>
      <c r="AS210" t="s">
        <v>19</v>
      </c>
      <c r="AT210" t="s">
        <v>19</v>
      </c>
      <c r="AU210" t="s">
        <v>578</v>
      </c>
      <c r="AV210" t="s">
        <v>579</v>
      </c>
      <c r="AW210" t="s">
        <v>577</v>
      </c>
      <c r="AX210" t="s">
        <v>580</v>
      </c>
      <c r="AY210">
        <v>1</v>
      </c>
      <c r="AZ210" t="s">
        <v>581</v>
      </c>
      <c r="BA210" t="s">
        <v>47</v>
      </c>
      <c r="BB210" t="s">
        <v>19</v>
      </c>
      <c r="BC210" t="s">
        <v>1722</v>
      </c>
      <c r="BD210" t="s">
        <v>1115</v>
      </c>
      <c r="BE210" t="s">
        <v>1723</v>
      </c>
      <c r="BF210" t="s">
        <v>1724</v>
      </c>
      <c r="BG210">
        <v>1954</v>
      </c>
      <c r="BH210" t="s">
        <v>1218</v>
      </c>
      <c r="BI210">
        <v>0.5</v>
      </c>
      <c r="BJ210" t="s">
        <v>1725</v>
      </c>
      <c r="BK210" t="s">
        <v>19</v>
      </c>
      <c r="BL210" t="s">
        <v>544</v>
      </c>
      <c r="BM210">
        <v>76035</v>
      </c>
    </row>
    <row r="211" spans="1:65" ht="14.45" customHeight="1">
      <c r="A211" s="155"/>
      <c r="B211" s="30">
        <f t="shared" si="14"/>
        <v>76036</v>
      </c>
      <c r="C211" s="30" t="s">
        <v>2201</v>
      </c>
      <c r="D211" s="30"/>
      <c r="E211" s="30" t="s">
        <v>2180</v>
      </c>
      <c r="F211" s="31"/>
      <c r="G211" s="30"/>
      <c r="H211" s="30"/>
      <c r="I211" s="30"/>
      <c r="J211" s="30"/>
      <c r="K211" s="30"/>
      <c r="L211" s="30" t="s">
        <v>2180</v>
      </c>
      <c r="M211" s="30" t="s">
        <v>2180</v>
      </c>
      <c r="N211" s="30"/>
      <c r="P211" s="30"/>
      <c r="Q211" s="30"/>
      <c r="R211" s="30"/>
      <c r="S211" s="30"/>
      <c r="T211" s="31"/>
      <c r="U211" s="30"/>
      <c r="V211" s="30"/>
      <c r="W211" s="30"/>
      <c r="X211" s="30"/>
      <c r="Y211" s="30"/>
      <c r="Z211" s="30"/>
      <c r="AA211" s="30"/>
      <c r="AB211" s="30"/>
      <c r="AC211" s="30"/>
      <c r="AD211" s="30"/>
      <c r="AE211" s="30"/>
      <c r="AF211" s="30" t="str">
        <f t="shared" si="15"/>
        <v>MIB_D               LSMT10P</v>
      </c>
      <c r="AG211" s="30" t="s">
        <v>2182</v>
      </c>
      <c r="AH211">
        <v>3</v>
      </c>
      <c r="AI211">
        <v>76036</v>
      </c>
      <c r="AJ211" t="s">
        <v>1726</v>
      </c>
      <c r="AK211" t="s">
        <v>19</v>
      </c>
      <c r="AL211" t="s">
        <v>249</v>
      </c>
      <c r="AM211" t="s">
        <v>250</v>
      </c>
      <c r="AN211" t="s">
        <v>268</v>
      </c>
      <c r="AO211" t="s">
        <v>269</v>
      </c>
      <c r="AP211">
        <v>14</v>
      </c>
      <c r="AQ211" t="s">
        <v>270</v>
      </c>
      <c r="AR211" t="s">
        <v>548</v>
      </c>
      <c r="AS211" t="s">
        <v>19</v>
      </c>
      <c r="AT211" t="s">
        <v>19</v>
      </c>
      <c r="AU211" t="s">
        <v>578</v>
      </c>
      <c r="AV211" t="s">
        <v>579</v>
      </c>
      <c r="AW211" t="s">
        <v>577</v>
      </c>
      <c r="AX211" t="s">
        <v>580</v>
      </c>
      <c r="AY211">
        <v>2</v>
      </c>
      <c r="AZ211" t="s">
        <v>581</v>
      </c>
      <c r="BA211" t="s">
        <v>47</v>
      </c>
      <c r="BB211" t="s">
        <v>19</v>
      </c>
      <c r="BC211" t="s">
        <v>1722</v>
      </c>
      <c r="BD211" t="s">
        <v>1115</v>
      </c>
      <c r="BE211" t="s">
        <v>1723</v>
      </c>
      <c r="BF211" t="s">
        <v>1727</v>
      </c>
      <c r="BG211">
        <v>1954</v>
      </c>
      <c r="BH211" t="s">
        <v>1728</v>
      </c>
      <c r="BI211">
        <v>0.5</v>
      </c>
      <c r="BJ211" t="s">
        <v>1729</v>
      </c>
      <c r="BK211" t="s">
        <v>19</v>
      </c>
      <c r="BL211" t="s">
        <v>544</v>
      </c>
      <c r="BM211">
        <v>76036</v>
      </c>
    </row>
    <row r="212" spans="1:65" ht="14.45" customHeight="1">
      <c r="A212" s="155"/>
      <c r="B212" s="30">
        <f t="shared" si="14"/>
        <v>76039</v>
      </c>
      <c r="C212" s="30" t="s">
        <v>2201</v>
      </c>
      <c r="D212" s="30"/>
      <c r="E212" s="30" t="s">
        <v>2180</v>
      </c>
      <c r="F212" s="31"/>
      <c r="G212" s="30"/>
      <c r="H212" s="30"/>
      <c r="I212" s="30"/>
      <c r="J212" s="30"/>
      <c r="K212" s="30"/>
      <c r="L212" s="30" t="s">
        <v>2180</v>
      </c>
      <c r="M212" s="30" t="s">
        <v>2180</v>
      </c>
      <c r="N212" s="30"/>
      <c r="P212" s="30"/>
      <c r="Q212" s="30"/>
      <c r="R212" s="30"/>
      <c r="S212" s="30"/>
      <c r="T212" s="31"/>
      <c r="U212" s="30"/>
      <c r="V212" s="30"/>
      <c r="W212" s="30"/>
      <c r="X212" s="30"/>
      <c r="Y212" s="30"/>
      <c r="Z212" s="30"/>
      <c r="AA212" s="30"/>
      <c r="AB212" s="30"/>
      <c r="AC212" s="30"/>
      <c r="AD212" s="30"/>
      <c r="AE212" s="30"/>
      <c r="AF212" s="30" t="str">
        <f t="shared" si="15"/>
        <v>KS_CPR_B            MIB_D</v>
      </c>
      <c r="AG212" s="30" t="s">
        <v>2182</v>
      </c>
      <c r="AH212">
        <v>3</v>
      </c>
      <c r="AI212">
        <v>76039</v>
      </c>
      <c r="AJ212" t="s">
        <v>1730</v>
      </c>
      <c r="AK212" t="s">
        <v>19</v>
      </c>
      <c r="AL212" t="s">
        <v>96</v>
      </c>
      <c r="AM212" t="s">
        <v>96</v>
      </c>
      <c r="AN212" t="s">
        <v>100</v>
      </c>
      <c r="AO212" t="s">
        <v>101</v>
      </c>
      <c r="AP212">
        <v>5</v>
      </c>
      <c r="AQ212" t="s">
        <v>102</v>
      </c>
      <c r="AR212" t="s">
        <v>36</v>
      </c>
      <c r="AS212" t="s">
        <v>19</v>
      </c>
      <c r="AT212" t="s">
        <v>19</v>
      </c>
      <c r="AU212" t="s">
        <v>249</v>
      </c>
      <c r="AV212" t="s">
        <v>250</v>
      </c>
      <c r="AW212" t="s">
        <v>268</v>
      </c>
      <c r="AX212" t="s">
        <v>269</v>
      </c>
      <c r="AY212">
        <v>11</v>
      </c>
      <c r="AZ212" t="s">
        <v>270</v>
      </c>
      <c r="BA212" t="s">
        <v>548</v>
      </c>
      <c r="BB212" t="s">
        <v>19</v>
      </c>
      <c r="BC212" t="s">
        <v>1731</v>
      </c>
      <c r="BD212" t="s">
        <v>1115</v>
      </c>
      <c r="BE212" t="s">
        <v>1732</v>
      </c>
      <c r="BF212" t="s">
        <v>1733</v>
      </c>
      <c r="BG212">
        <v>1761</v>
      </c>
      <c r="BH212" t="s">
        <v>1266</v>
      </c>
      <c r="BI212">
        <v>0.75</v>
      </c>
      <c r="BJ212" t="s">
        <v>1734</v>
      </c>
      <c r="BK212" t="s">
        <v>541</v>
      </c>
      <c r="BL212" t="s">
        <v>19</v>
      </c>
      <c r="BM212">
        <v>76039</v>
      </c>
    </row>
    <row r="213" spans="1:65" ht="14.45" customHeight="1">
      <c r="A213" s="155"/>
      <c r="B213" s="30">
        <f t="shared" si="14"/>
        <v>76040</v>
      </c>
      <c r="C213" s="30" t="s">
        <v>2201</v>
      </c>
      <c r="D213" s="30"/>
      <c r="E213" s="30" t="s">
        <v>2180</v>
      </c>
      <c r="F213" s="31"/>
      <c r="G213" s="30"/>
      <c r="H213" s="30"/>
      <c r="I213" s="30"/>
      <c r="J213" s="30"/>
      <c r="K213" s="30"/>
      <c r="L213" s="30" t="s">
        <v>2180</v>
      </c>
      <c r="M213" s="30" t="s">
        <v>2180</v>
      </c>
      <c r="N213" s="30"/>
      <c r="P213" s="30"/>
      <c r="Q213" s="30"/>
      <c r="R213" s="30"/>
      <c r="S213" s="30"/>
      <c r="T213" s="31"/>
      <c r="U213" s="30"/>
      <c r="V213" s="30"/>
      <c r="W213" s="30"/>
      <c r="X213" s="30"/>
      <c r="Y213" s="30"/>
      <c r="Z213" s="30"/>
      <c r="AA213" s="30"/>
      <c r="AB213" s="30"/>
      <c r="AC213" s="30"/>
      <c r="AD213" s="30"/>
      <c r="AE213" s="30"/>
      <c r="AF213" s="30" t="str">
        <f t="shared" si="15"/>
        <v>KS_CPR_B            MIB_D</v>
      </c>
      <c r="AG213" s="30" t="s">
        <v>2182</v>
      </c>
      <c r="AH213">
        <v>3</v>
      </c>
      <c r="AI213">
        <v>76040</v>
      </c>
      <c r="AJ213" t="s">
        <v>1735</v>
      </c>
      <c r="AK213" t="s">
        <v>19</v>
      </c>
      <c r="AL213" t="s">
        <v>96</v>
      </c>
      <c r="AM213" t="s">
        <v>96</v>
      </c>
      <c r="AN213" t="s">
        <v>100</v>
      </c>
      <c r="AO213" t="s">
        <v>101</v>
      </c>
      <c r="AP213">
        <v>6</v>
      </c>
      <c r="AQ213" t="s">
        <v>102</v>
      </c>
      <c r="AR213" t="s">
        <v>36</v>
      </c>
      <c r="AS213" t="s">
        <v>19</v>
      </c>
      <c r="AT213" t="s">
        <v>19</v>
      </c>
      <c r="AU213" t="s">
        <v>249</v>
      </c>
      <c r="AV213" t="s">
        <v>250</v>
      </c>
      <c r="AW213" t="s">
        <v>268</v>
      </c>
      <c r="AX213" t="s">
        <v>269</v>
      </c>
      <c r="AY213">
        <v>12</v>
      </c>
      <c r="AZ213" t="s">
        <v>270</v>
      </c>
      <c r="BA213" t="s">
        <v>548</v>
      </c>
      <c r="BB213" t="s">
        <v>19</v>
      </c>
      <c r="BC213" t="s">
        <v>1731</v>
      </c>
      <c r="BD213" t="s">
        <v>1115</v>
      </c>
      <c r="BE213" t="s">
        <v>1732</v>
      </c>
      <c r="BF213" t="s">
        <v>1664</v>
      </c>
      <c r="BG213">
        <v>1761</v>
      </c>
      <c r="BH213" t="s">
        <v>1164</v>
      </c>
      <c r="BI213">
        <v>0.75</v>
      </c>
      <c r="BJ213" t="s">
        <v>1736</v>
      </c>
      <c r="BK213" t="s">
        <v>541</v>
      </c>
      <c r="BL213" t="s">
        <v>19</v>
      </c>
      <c r="BM213">
        <v>76040</v>
      </c>
    </row>
    <row r="214" spans="1:65" ht="14.45" customHeight="1">
      <c r="A214" s="155"/>
      <c r="B214" s="30">
        <f t="shared" si="14"/>
        <v>76041</v>
      </c>
      <c r="C214" s="30" t="s">
        <v>2201</v>
      </c>
      <c r="D214" s="30"/>
      <c r="E214" s="30" t="s">
        <v>2180</v>
      </c>
      <c r="F214" s="31"/>
      <c r="G214" s="30"/>
      <c r="H214" s="30"/>
      <c r="I214" s="30"/>
      <c r="J214" s="30"/>
      <c r="K214" s="30"/>
      <c r="L214" s="30" t="s">
        <v>2180</v>
      </c>
      <c r="M214" s="30" t="s">
        <v>2180</v>
      </c>
      <c r="N214" s="30"/>
      <c r="P214" s="30"/>
      <c r="Q214" s="30"/>
      <c r="R214" s="30"/>
      <c r="S214" s="30"/>
      <c r="T214" s="31"/>
      <c r="U214" s="30"/>
      <c r="V214" s="30"/>
      <c r="W214" s="30"/>
      <c r="X214" s="30"/>
      <c r="Y214" s="30"/>
      <c r="Z214" s="30"/>
      <c r="AA214" s="30"/>
      <c r="AB214" s="30"/>
      <c r="AC214" s="30"/>
      <c r="AD214" s="30"/>
      <c r="AE214" s="30"/>
      <c r="AF214" s="30" t="str">
        <f t="shared" si="15"/>
        <v>MIB_D               KS_CPL_B</v>
      </c>
      <c r="AG214" s="30" t="s">
        <v>2182</v>
      </c>
      <c r="AH214">
        <v>3</v>
      </c>
      <c r="AI214">
        <v>76041</v>
      </c>
      <c r="AJ214" t="s">
        <v>1737</v>
      </c>
      <c r="AK214" t="s">
        <v>19</v>
      </c>
      <c r="AL214" t="s">
        <v>249</v>
      </c>
      <c r="AM214" t="s">
        <v>250</v>
      </c>
      <c r="AN214" t="s">
        <v>268</v>
      </c>
      <c r="AO214" t="s">
        <v>269</v>
      </c>
      <c r="AP214">
        <v>9</v>
      </c>
      <c r="AQ214" t="s">
        <v>270</v>
      </c>
      <c r="AR214" t="s">
        <v>548</v>
      </c>
      <c r="AS214" t="s">
        <v>19</v>
      </c>
      <c r="AT214" t="s">
        <v>19</v>
      </c>
      <c r="AU214" t="s">
        <v>55</v>
      </c>
      <c r="AV214" t="s">
        <v>55</v>
      </c>
      <c r="AW214" t="s">
        <v>63</v>
      </c>
      <c r="AX214" t="s">
        <v>64</v>
      </c>
      <c r="AY214">
        <v>15</v>
      </c>
      <c r="AZ214" t="s">
        <v>65</v>
      </c>
      <c r="BA214" t="s">
        <v>29</v>
      </c>
      <c r="BB214" t="s">
        <v>19</v>
      </c>
      <c r="BC214" t="s">
        <v>1738</v>
      </c>
      <c r="BD214" t="s">
        <v>1115</v>
      </c>
      <c r="BE214" t="s">
        <v>1739</v>
      </c>
      <c r="BF214" t="s">
        <v>1733</v>
      </c>
      <c r="BG214">
        <v>1860</v>
      </c>
      <c r="BH214" t="s">
        <v>1266</v>
      </c>
      <c r="BI214">
        <v>0.75</v>
      </c>
      <c r="BJ214" t="s">
        <v>1740</v>
      </c>
      <c r="BK214" t="s">
        <v>541</v>
      </c>
      <c r="BL214" t="s">
        <v>19</v>
      </c>
      <c r="BM214">
        <v>76041</v>
      </c>
    </row>
    <row r="215" spans="1:65" ht="14.45" customHeight="1">
      <c r="A215" s="155"/>
      <c r="B215" s="30">
        <f t="shared" si="14"/>
        <v>76042</v>
      </c>
      <c r="C215" s="30" t="s">
        <v>2201</v>
      </c>
      <c r="D215" s="30"/>
      <c r="E215" s="30" t="s">
        <v>2180</v>
      </c>
      <c r="F215" s="31"/>
      <c r="G215" s="30"/>
      <c r="H215" s="30"/>
      <c r="I215" s="30"/>
      <c r="J215" s="30"/>
      <c r="K215" s="30"/>
      <c r="L215" s="30" t="s">
        <v>2180</v>
      </c>
      <c r="M215" s="30" t="s">
        <v>2180</v>
      </c>
      <c r="N215" s="30"/>
      <c r="P215" s="30"/>
      <c r="Q215" s="30"/>
      <c r="R215" s="30"/>
      <c r="S215" s="30"/>
      <c r="T215" s="31"/>
      <c r="U215" s="30"/>
      <c r="V215" s="30"/>
      <c r="W215" s="30"/>
      <c r="X215" s="30"/>
      <c r="Y215" s="30"/>
      <c r="Z215" s="30"/>
      <c r="AA215" s="30"/>
      <c r="AB215" s="30"/>
      <c r="AC215" s="30"/>
      <c r="AD215" s="30"/>
      <c r="AE215" s="30"/>
      <c r="AF215" s="30" t="str">
        <f t="shared" si="15"/>
        <v>KS_CPL_B            MIB_D</v>
      </c>
      <c r="AG215" s="30" t="s">
        <v>2182</v>
      </c>
      <c r="AH215">
        <v>3</v>
      </c>
      <c r="AI215">
        <v>76042</v>
      </c>
      <c r="AJ215" t="s">
        <v>1741</v>
      </c>
      <c r="AK215" t="s">
        <v>19</v>
      </c>
      <c r="AL215" t="s">
        <v>55</v>
      </c>
      <c r="AM215" t="s">
        <v>55</v>
      </c>
      <c r="AN215" t="s">
        <v>63</v>
      </c>
      <c r="AO215" t="s">
        <v>64</v>
      </c>
      <c r="AP215">
        <v>17</v>
      </c>
      <c r="AQ215" t="s">
        <v>65</v>
      </c>
      <c r="AR215" t="s">
        <v>29</v>
      </c>
      <c r="AS215" t="s">
        <v>19</v>
      </c>
      <c r="AT215" t="s">
        <v>19</v>
      </c>
      <c r="AU215" t="s">
        <v>249</v>
      </c>
      <c r="AV215" t="s">
        <v>250</v>
      </c>
      <c r="AW215" t="s">
        <v>268</v>
      </c>
      <c r="AX215" t="s">
        <v>269</v>
      </c>
      <c r="AY215">
        <v>13</v>
      </c>
      <c r="AZ215" t="s">
        <v>270</v>
      </c>
      <c r="BA215" t="s">
        <v>548</v>
      </c>
      <c r="BB215" t="s">
        <v>19</v>
      </c>
      <c r="BC215" t="s">
        <v>1738</v>
      </c>
      <c r="BD215" t="s">
        <v>1115</v>
      </c>
      <c r="BE215" t="s">
        <v>1739</v>
      </c>
      <c r="BF215" t="s">
        <v>1667</v>
      </c>
      <c r="BG215">
        <v>1860</v>
      </c>
      <c r="BH215" t="s">
        <v>1668</v>
      </c>
      <c r="BI215">
        <v>0.75</v>
      </c>
      <c r="BJ215" t="s">
        <v>1742</v>
      </c>
      <c r="BK215" t="s">
        <v>541</v>
      </c>
      <c r="BL215" t="s">
        <v>19</v>
      </c>
      <c r="BM215">
        <v>76042</v>
      </c>
    </row>
    <row r="216" spans="1:65" ht="14.45" customHeight="1">
      <c r="A216" s="155"/>
      <c r="B216" s="30">
        <f t="shared" si="14"/>
        <v>76045</v>
      </c>
      <c r="C216" s="30" t="s">
        <v>2201</v>
      </c>
      <c r="D216" s="30"/>
      <c r="E216" s="30" t="s">
        <v>2180</v>
      </c>
      <c r="F216" s="31"/>
      <c r="G216" s="30"/>
      <c r="H216" s="30"/>
      <c r="I216" s="30"/>
      <c r="J216" s="30"/>
      <c r="K216" s="30"/>
      <c r="L216" s="30" t="s">
        <v>2180</v>
      </c>
      <c r="M216" s="30" t="s">
        <v>2180</v>
      </c>
      <c r="N216" s="30"/>
      <c r="P216" s="30"/>
      <c r="Q216" s="30"/>
      <c r="R216" s="30"/>
      <c r="S216" s="30"/>
      <c r="T216" s="31"/>
      <c r="U216" s="30"/>
      <c r="V216" s="30"/>
      <c r="W216" s="30"/>
      <c r="X216" s="30"/>
      <c r="Y216" s="30"/>
      <c r="Z216" s="30"/>
      <c r="AA216" s="30"/>
      <c r="AB216" s="30"/>
      <c r="AC216" s="30"/>
      <c r="AD216" s="30"/>
      <c r="AE216" s="30"/>
      <c r="AF216" s="30" t="str">
        <f t="shared" si="15"/>
        <v>KS_CPR_B            MIB_D</v>
      </c>
      <c r="AG216" s="30" t="s">
        <v>2182</v>
      </c>
      <c r="AH216">
        <v>3</v>
      </c>
      <c r="AI216">
        <v>76045</v>
      </c>
      <c r="AJ216" t="s">
        <v>1743</v>
      </c>
      <c r="AK216" t="s">
        <v>19</v>
      </c>
      <c r="AL216" t="s">
        <v>96</v>
      </c>
      <c r="AM216" t="s">
        <v>96</v>
      </c>
      <c r="AN216" t="s">
        <v>100</v>
      </c>
      <c r="AO216" t="s">
        <v>101</v>
      </c>
      <c r="AP216">
        <v>3</v>
      </c>
      <c r="AQ216" t="s">
        <v>102</v>
      </c>
      <c r="AR216" t="s">
        <v>547</v>
      </c>
      <c r="AS216" t="s">
        <v>19</v>
      </c>
      <c r="AT216" t="s">
        <v>19</v>
      </c>
      <c r="AU216" t="s">
        <v>249</v>
      </c>
      <c r="AV216" t="s">
        <v>250</v>
      </c>
      <c r="AW216" t="s">
        <v>268</v>
      </c>
      <c r="AX216" t="s">
        <v>269</v>
      </c>
      <c r="AY216">
        <v>11</v>
      </c>
      <c r="AZ216" t="s">
        <v>270</v>
      </c>
      <c r="BA216" t="s">
        <v>549</v>
      </c>
      <c r="BB216" t="s">
        <v>19</v>
      </c>
      <c r="BC216" t="s">
        <v>1654</v>
      </c>
      <c r="BD216" t="s">
        <v>1115</v>
      </c>
      <c r="BE216" t="s">
        <v>1744</v>
      </c>
      <c r="BF216" t="s">
        <v>1656</v>
      </c>
      <c r="BG216">
        <v>1761</v>
      </c>
      <c r="BH216" t="s">
        <v>1657</v>
      </c>
      <c r="BI216">
        <v>1.5</v>
      </c>
      <c r="BJ216" t="s">
        <v>1745</v>
      </c>
      <c r="BK216" t="s">
        <v>19</v>
      </c>
      <c r="BL216" t="s">
        <v>544</v>
      </c>
      <c r="BM216">
        <v>76045</v>
      </c>
    </row>
    <row r="217" spans="1:65" ht="14.45" customHeight="1">
      <c r="A217" s="155"/>
      <c r="B217" s="30">
        <f t="shared" si="14"/>
        <v>76046</v>
      </c>
      <c r="C217" s="30" t="s">
        <v>2201</v>
      </c>
      <c r="D217" s="30"/>
      <c r="E217" s="30" t="s">
        <v>2180</v>
      </c>
      <c r="F217" s="31"/>
      <c r="G217" s="30"/>
      <c r="H217" s="30"/>
      <c r="I217" s="30"/>
      <c r="J217" s="30"/>
      <c r="K217" s="30"/>
      <c r="L217" s="30" t="s">
        <v>2180</v>
      </c>
      <c r="M217" s="30" t="s">
        <v>2180</v>
      </c>
      <c r="N217" s="30"/>
      <c r="P217" s="30"/>
      <c r="Q217" s="30"/>
      <c r="R217" s="30"/>
      <c r="S217" s="30"/>
      <c r="T217" s="31"/>
      <c r="U217" s="30"/>
      <c r="V217" s="30"/>
      <c r="W217" s="30"/>
      <c r="X217" s="30"/>
      <c r="Y217" s="30"/>
      <c r="Z217" s="30"/>
      <c r="AA217" s="30"/>
      <c r="AB217" s="30"/>
      <c r="AC217" s="30"/>
      <c r="AD217" s="30"/>
      <c r="AE217" s="30"/>
      <c r="AF217" s="30" t="str">
        <f t="shared" si="15"/>
        <v>KS_CPR_B            MIB_D</v>
      </c>
      <c r="AG217" s="30" t="s">
        <v>2182</v>
      </c>
      <c r="AH217">
        <v>3</v>
      </c>
      <c r="AI217">
        <v>76046</v>
      </c>
      <c r="AJ217" t="s">
        <v>1746</v>
      </c>
      <c r="AK217" t="s">
        <v>19</v>
      </c>
      <c r="AL217" t="s">
        <v>96</v>
      </c>
      <c r="AM217" t="s">
        <v>96</v>
      </c>
      <c r="AN217" t="s">
        <v>100</v>
      </c>
      <c r="AO217" t="s">
        <v>101</v>
      </c>
      <c r="AP217">
        <v>4</v>
      </c>
      <c r="AQ217" t="s">
        <v>102</v>
      </c>
      <c r="AR217" t="s">
        <v>547</v>
      </c>
      <c r="AS217" t="s">
        <v>19</v>
      </c>
      <c r="AT217" t="s">
        <v>19</v>
      </c>
      <c r="AU217" t="s">
        <v>249</v>
      </c>
      <c r="AV217" t="s">
        <v>250</v>
      </c>
      <c r="AW217" t="s">
        <v>268</v>
      </c>
      <c r="AX217" t="s">
        <v>269</v>
      </c>
      <c r="AY217">
        <v>12</v>
      </c>
      <c r="AZ217" t="s">
        <v>270</v>
      </c>
      <c r="BA217" t="s">
        <v>549</v>
      </c>
      <c r="BB217" t="s">
        <v>19</v>
      </c>
      <c r="BC217" t="s">
        <v>1654</v>
      </c>
      <c r="BD217" t="s">
        <v>1115</v>
      </c>
      <c r="BE217" t="s">
        <v>1744</v>
      </c>
      <c r="BF217" t="s">
        <v>1664</v>
      </c>
      <c r="BG217">
        <v>1761</v>
      </c>
      <c r="BH217" t="s">
        <v>1164</v>
      </c>
      <c r="BI217">
        <v>1.5</v>
      </c>
      <c r="BJ217" t="s">
        <v>1747</v>
      </c>
      <c r="BK217" t="s">
        <v>19</v>
      </c>
      <c r="BL217" t="s">
        <v>544</v>
      </c>
      <c r="BM217">
        <v>76046</v>
      </c>
    </row>
    <row r="218" spans="1:65" ht="14.45" customHeight="1">
      <c r="A218" s="155">
        <v>504</v>
      </c>
      <c r="B218" s="30">
        <f t="shared" si="14"/>
        <v>76047</v>
      </c>
      <c r="C218" s="30" t="s">
        <v>2201</v>
      </c>
      <c r="D218" s="30"/>
      <c r="E218" s="30" t="s">
        <v>2180</v>
      </c>
      <c r="F218" s="31" t="s">
        <v>2186</v>
      </c>
      <c r="G218" s="30" t="s">
        <v>1627</v>
      </c>
      <c r="H218" s="30"/>
      <c r="I218" s="30"/>
      <c r="J218" s="30"/>
      <c r="K218" s="30" t="s">
        <v>2184</v>
      </c>
      <c r="L218" s="30" t="s">
        <v>2180</v>
      </c>
      <c r="M218" s="30" t="s">
        <v>2187</v>
      </c>
      <c r="N218" s="30"/>
      <c r="P218" s="30"/>
      <c r="Q218" s="30"/>
      <c r="R218" s="30"/>
      <c r="S218" s="30"/>
      <c r="T218" s="31"/>
      <c r="U218" s="30"/>
      <c r="V218" s="30"/>
      <c r="W218" s="30"/>
      <c r="X218" s="30"/>
      <c r="Y218" s="30"/>
      <c r="Z218" s="30"/>
      <c r="AA218" s="30"/>
      <c r="AB218" s="30"/>
      <c r="AC218" s="30"/>
      <c r="AD218" s="30"/>
      <c r="AE218" s="30"/>
      <c r="AF218" s="30" t="str">
        <f t="shared" si="15"/>
        <v>LS_HT1_VR           SP_MTVR_P</v>
      </c>
      <c r="AG218" s="30" t="s">
        <v>2182</v>
      </c>
      <c r="AH218">
        <v>3</v>
      </c>
      <c r="AI218">
        <v>76047</v>
      </c>
      <c r="AJ218" t="s">
        <v>1748</v>
      </c>
      <c r="AK218" t="s">
        <v>19</v>
      </c>
      <c r="AL218" t="s">
        <v>568</v>
      </c>
      <c r="AM218" t="s">
        <v>569</v>
      </c>
      <c r="AN218" t="s">
        <v>567</v>
      </c>
      <c r="AO218" t="s">
        <v>570</v>
      </c>
      <c r="AP218">
        <v>1</v>
      </c>
      <c r="AQ218" s="153" t="s">
        <v>2366</v>
      </c>
      <c r="AR218" t="s">
        <v>47</v>
      </c>
      <c r="AS218" t="s">
        <v>19</v>
      </c>
      <c r="AT218" t="s">
        <v>19</v>
      </c>
      <c r="AU218" t="s">
        <v>19</v>
      </c>
      <c r="AV218" t="s">
        <v>1625</v>
      </c>
      <c r="AW218" t="s">
        <v>1626</v>
      </c>
      <c r="AX218" t="s">
        <v>1627</v>
      </c>
      <c r="AY218">
        <v>1</v>
      </c>
      <c r="AZ218" t="s">
        <v>391</v>
      </c>
      <c r="BA218" t="s">
        <v>19</v>
      </c>
      <c r="BB218" t="s">
        <v>19</v>
      </c>
      <c r="BC218" t="s">
        <v>1628</v>
      </c>
      <c r="BD218" t="s">
        <v>1115</v>
      </c>
      <c r="BE218" t="s">
        <v>1749</v>
      </c>
      <c r="BF218" t="s">
        <v>1630</v>
      </c>
      <c r="BG218" s="153">
        <v>424</v>
      </c>
      <c r="BH218" t="s">
        <v>1608</v>
      </c>
      <c r="BI218">
        <v>0.75</v>
      </c>
      <c r="BJ218" t="s">
        <v>1631</v>
      </c>
      <c r="BK218" t="s">
        <v>541</v>
      </c>
      <c r="BL218" t="s">
        <v>19</v>
      </c>
      <c r="BM218">
        <v>76047</v>
      </c>
    </row>
    <row r="219" spans="1:65" ht="14.45" customHeight="1">
      <c r="A219" s="155">
        <v>504</v>
      </c>
      <c r="B219" s="30">
        <f t="shared" si="14"/>
        <v>76048</v>
      </c>
      <c r="C219" s="30" t="s">
        <v>2201</v>
      </c>
      <c r="D219" s="30"/>
      <c r="E219" s="30" t="s">
        <v>2180</v>
      </c>
      <c r="F219" s="31" t="s">
        <v>2186</v>
      </c>
      <c r="G219" s="30" t="s">
        <v>1635</v>
      </c>
      <c r="H219" s="30"/>
      <c r="I219" s="30"/>
      <c r="J219" s="30"/>
      <c r="K219" s="30" t="s">
        <v>2184</v>
      </c>
      <c r="L219" s="30" t="s">
        <v>2180</v>
      </c>
      <c r="M219" s="30" t="s">
        <v>2187</v>
      </c>
      <c r="N219" s="30"/>
      <c r="P219" s="30"/>
      <c r="Q219" s="30"/>
      <c r="R219" s="30"/>
      <c r="S219" s="30"/>
      <c r="T219" s="31"/>
      <c r="U219" s="30"/>
      <c r="V219" s="30"/>
      <c r="W219" s="30"/>
      <c r="X219" s="30"/>
      <c r="Y219" s="30"/>
      <c r="Z219" s="30"/>
      <c r="AA219" s="30"/>
      <c r="AB219" s="30"/>
      <c r="AC219" s="30"/>
      <c r="AD219" s="30"/>
      <c r="AE219" s="30"/>
      <c r="AF219" s="30" t="str">
        <f t="shared" si="15"/>
        <v>LS_HT1_VR           SP_MTVR_M</v>
      </c>
      <c r="AG219" s="30" t="s">
        <v>2182</v>
      </c>
      <c r="AH219">
        <v>3</v>
      </c>
      <c r="AI219">
        <v>76048</v>
      </c>
      <c r="AJ219" t="s">
        <v>1750</v>
      </c>
      <c r="AK219" t="s">
        <v>19</v>
      </c>
      <c r="AL219" t="s">
        <v>568</v>
      </c>
      <c r="AM219" t="s">
        <v>569</v>
      </c>
      <c r="AN219" t="s">
        <v>567</v>
      </c>
      <c r="AO219" t="s">
        <v>570</v>
      </c>
      <c r="AP219">
        <v>2</v>
      </c>
      <c r="AQ219" s="153" t="s">
        <v>2366</v>
      </c>
      <c r="AR219" t="s">
        <v>47</v>
      </c>
      <c r="AS219" t="s">
        <v>19</v>
      </c>
      <c r="AT219" t="s">
        <v>19</v>
      </c>
      <c r="AU219" t="s">
        <v>19</v>
      </c>
      <c r="AV219" t="s">
        <v>1633</v>
      </c>
      <c r="AW219" t="s">
        <v>1634</v>
      </c>
      <c r="AX219" t="s">
        <v>1635</v>
      </c>
      <c r="AY219">
        <v>1</v>
      </c>
      <c r="AZ219" t="s">
        <v>391</v>
      </c>
      <c r="BA219" t="s">
        <v>19</v>
      </c>
      <c r="BB219" t="s">
        <v>19</v>
      </c>
      <c r="BC219" t="s">
        <v>1628</v>
      </c>
      <c r="BD219" t="s">
        <v>1115</v>
      </c>
      <c r="BE219" t="s">
        <v>1749</v>
      </c>
      <c r="BF219" t="s">
        <v>1636</v>
      </c>
      <c r="BG219" s="153">
        <v>454</v>
      </c>
      <c r="BH219" t="s">
        <v>1637</v>
      </c>
      <c r="BI219">
        <v>0.75</v>
      </c>
      <c r="BJ219" t="s">
        <v>1638</v>
      </c>
      <c r="BK219" t="s">
        <v>541</v>
      </c>
      <c r="BL219" t="s">
        <v>19</v>
      </c>
      <c r="BM219">
        <v>76048</v>
      </c>
    </row>
    <row r="220" spans="1:65" ht="14.45" customHeight="1">
      <c r="A220" s="155"/>
      <c r="B220" s="30">
        <f t="shared" si="14"/>
        <v>76049</v>
      </c>
      <c r="C220" s="30" t="s">
        <v>2201</v>
      </c>
      <c r="D220" s="30"/>
      <c r="E220" s="30" t="s">
        <v>2180</v>
      </c>
      <c r="F220" s="31" t="s">
        <v>2186</v>
      </c>
      <c r="G220" s="30" t="s">
        <v>1627</v>
      </c>
      <c r="H220" s="30"/>
      <c r="I220" s="30"/>
      <c r="J220" s="30"/>
      <c r="K220" s="30" t="s">
        <v>2184</v>
      </c>
      <c r="L220" s="30" t="s">
        <v>2187</v>
      </c>
      <c r="M220" s="30" t="s">
        <v>2180</v>
      </c>
      <c r="N220" s="30"/>
      <c r="P220" s="30"/>
      <c r="Q220" s="30"/>
      <c r="R220" s="30"/>
      <c r="S220" s="30"/>
      <c r="T220" s="31"/>
      <c r="U220" s="30"/>
      <c r="V220" s="30"/>
      <c r="W220" s="30"/>
      <c r="X220" s="30"/>
      <c r="Y220" s="30"/>
      <c r="Z220" s="30"/>
      <c r="AA220" s="30"/>
      <c r="AB220" s="30"/>
      <c r="AC220" s="30"/>
      <c r="AD220" s="30"/>
      <c r="AE220" s="30"/>
      <c r="AF220" s="30" t="str">
        <f t="shared" si="15"/>
        <v>SP_MTVR_P           KS_CPR_B</v>
      </c>
      <c r="AG220" s="30" t="s">
        <v>2182</v>
      </c>
      <c r="AH220">
        <v>3</v>
      </c>
      <c r="AI220">
        <v>76049</v>
      </c>
      <c r="AJ220" t="s">
        <v>1751</v>
      </c>
      <c r="AK220" t="s">
        <v>19</v>
      </c>
      <c r="AL220" t="s">
        <v>19</v>
      </c>
      <c r="AM220" t="s">
        <v>1625</v>
      </c>
      <c r="AN220" t="s">
        <v>1626</v>
      </c>
      <c r="AO220" t="s">
        <v>1627</v>
      </c>
      <c r="AP220">
        <v>1</v>
      </c>
      <c r="AQ220" t="s">
        <v>391</v>
      </c>
      <c r="AR220" t="s">
        <v>19</v>
      </c>
      <c r="AS220" t="s">
        <v>19</v>
      </c>
      <c r="AT220" t="s">
        <v>19</v>
      </c>
      <c r="AU220" t="s">
        <v>96</v>
      </c>
      <c r="AV220" t="s">
        <v>96</v>
      </c>
      <c r="AW220" t="s">
        <v>100</v>
      </c>
      <c r="AX220" t="s">
        <v>101</v>
      </c>
      <c r="AY220">
        <v>1</v>
      </c>
      <c r="AZ220" t="s">
        <v>102</v>
      </c>
      <c r="BA220" t="s">
        <v>36</v>
      </c>
      <c r="BB220" t="s">
        <v>19</v>
      </c>
      <c r="BC220" t="s">
        <v>1628</v>
      </c>
      <c r="BD220" t="s">
        <v>1115</v>
      </c>
      <c r="BE220" t="s">
        <v>1752</v>
      </c>
      <c r="BF220" t="s">
        <v>1630</v>
      </c>
      <c r="BG220">
        <v>666</v>
      </c>
      <c r="BH220" t="s">
        <v>1608</v>
      </c>
      <c r="BI220">
        <v>0.75</v>
      </c>
      <c r="BJ220" t="s">
        <v>1631</v>
      </c>
      <c r="BK220" t="s">
        <v>541</v>
      </c>
      <c r="BL220" t="s">
        <v>19</v>
      </c>
      <c r="BM220">
        <v>76049</v>
      </c>
    </row>
    <row r="221" spans="1:65" ht="14.45" customHeight="1">
      <c r="A221" s="155"/>
      <c r="B221" s="30">
        <f t="shared" si="14"/>
        <v>76050</v>
      </c>
      <c r="C221" s="30" t="s">
        <v>2201</v>
      </c>
      <c r="D221" s="30"/>
      <c r="E221" s="30" t="s">
        <v>2180</v>
      </c>
      <c r="F221" s="31" t="s">
        <v>2186</v>
      </c>
      <c r="G221" s="30" t="s">
        <v>1635</v>
      </c>
      <c r="H221" s="30"/>
      <c r="I221" s="30"/>
      <c r="J221" s="30"/>
      <c r="K221" s="30" t="s">
        <v>2184</v>
      </c>
      <c r="L221" s="30" t="s">
        <v>2187</v>
      </c>
      <c r="M221" s="30" t="s">
        <v>2180</v>
      </c>
      <c r="N221" s="30"/>
      <c r="P221" s="30"/>
      <c r="Q221" s="30"/>
      <c r="R221" s="30"/>
      <c r="S221" s="30"/>
      <c r="T221" s="31"/>
      <c r="U221" s="30"/>
      <c r="V221" s="30"/>
      <c r="W221" s="30"/>
      <c r="X221" s="30"/>
      <c r="Y221" s="30"/>
      <c r="Z221" s="30"/>
      <c r="AA221" s="30"/>
      <c r="AB221" s="30"/>
      <c r="AC221" s="30"/>
      <c r="AD221" s="30"/>
      <c r="AE221" s="30"/>
      <c r="AF221" s="30" t="str">
        <f t="shared" si="15"/>
        <v>SP_MTVR_M           KS_CPR_B</v>
      </c>
      <c r="AG221" s="30" t="s">
        <v>2182</v>
      </c>
      <c r="AH221">
        <v>3</v>
      </c>
      <c r="AI221">
        <v>76050</v>
      </c>
      <c r="AJ221" t="s">
        <v>1753</v>
      </c>
      <c r="AK221" t="s">
        <v>19</v>
      </c>
      <c r="AL221" t="s">
        <v>19</v>
      </c>
      <c r="AM221" t="s">
        <v>1633</v>
      </c>
      <c r="AN221" t="s">
        <v>1634</v>
      </c>
      <c r="AO221" t="s">
        <v>1635</v>
      </c>
      <c r="AP221">
        <v>1</v>
      </c>
      <c r="AQ221" t="s">
        <v>391</v>
      </c>
      <c r="AR221" t="s">
        <v>19</v>
      </c>
      <c r="AS221" t="s">
        <v>19</v>
      </c>
      <c r="AT221" t="s">
        <v>19</v>
      </c>
      <c r="AU221" t="s">
        <v>96</v>
      </c>
      <c r="AV221" t="s">
        <v>96</v>
      </c>
      <c r="AW221" t="s">
        <v>100</v>
      </c>
      <c r="AX221" t="s">
        <v>101</v>
      </c>
      <c r="AY221">
        <v>2</v>
      </c>
      <c r="AZ221" t="s">
        <v>102</v>
      </c>
      <c r="BA221" t="s">
        <v>36</v>
      </c>
      <c r="BB221" t="s">
        <v>19</v>
      </c>
      <c r="BC221" t="s">
        <v>1628</v>
      </c>
      <c r="BD221" t="s">
        <v>1115</v>
      </c>
      <c r="BE221" t="s">
        <v>1752</v>
      </c>
      <c r="BF221" t="s">
        <v>1636</v>
      </c>
      <c r="BG221">
        <v>696</v>
      </c>
      <c r="BH221" t="s">
        <v>1637</v>
      </c>
      <c r="BI221">
        <v>0.75</v>
      </c>
      <c r="BJ221" t="s">
        <v>1638</v>
      </c>
      <c r="BK221" t="s">
        <v>541</v>
      </c>
      <c r="BL221" t="s">
        <v>19</v>
      </c>
      <c r="BM221">
        <v>76050</v>
      </c>
    </row>
    <row r="222" spans="1:65" ht="14.45" customHeight="1">
      <c r="A222" s="155" t="s">
        <v>2340</v>
      </c>
      <c r="B222" s="30">
        <f t="shared" si="14"/>
        <v>76051</v>
      </c>
      <c r="C222" s="30" t="s">
        <v>2201</v>
      </c>
      <c r="D222" s="30"/>
      <c r="E222" s="30" t="s">
        <v>2180</v>
      </c>
      <c r="F222" s="31" t="s">
        <v>2186</v>
      </c>
      <c r="G222" s="30" t="s">
        <v>1642</v>
      </c>
      <c r="H222" s="30"/>
      <c r="I222" s="30"/>
      <c r="J222" s="30"/>
      <c r="K222" s="30" t="s">
        <v>2184</v>
      </c>
      <c r="L222" s="30" t="s">
        <v>2187</v>
      </c>
      <c r="M222" s="30" t="s">
        <v>2180</v>
      </c>
      <c r="N222" s="30"/>
      <c r="P222" s="30"/>
      <c r="Q222" s="30"/>
      <c r="R222" s="30"/>
      <c r="S222" s="30"/>
      <c r="T222" s="31"/>
      <c r="U222" s="30"/>
      <c r="V222" s="30"/>
      <c r="W222" s="30"/>
      <c r="X222" s="30"/>
      <c r="Y222" s="30"/>
      <c r="Z222" s="30"/>
      <c r="AA222" s="30"/>
      <c r="AB222" s="30"/>
      <c r="AC222" s="30"/>
      <c r="AD222" s="30"/>
      <c r="AE222" s="30"/>
      <c r="AF222" s="30" t="str">
        <f t="shared" si="15"/>
        <v>SP_MTVL_P           LS_HT1_VL</v>
      </c>
      <c r="AG222" s="30" t="s">
        <v>2182</v>
      </c>
      <c r="AH222">
        <v>3</v>
      </c>
      <c r="AI222">
        <v>76051</v>
      </c>
      <c r="AJ222" t="s">
        <v>1754</v>
      </c>
      <c r="AK222" t="s">
        <v>19</v>
      </c>
      <c r="AL222" t="s">
        <v>19</v>
      </c>
      <c r="AM222" t="s">
        <v>1640</v>
      </c>
      <c r="AN222" t="s">
        <v>1641</v>
      </c>
      <c r="AO222" t="s">
        <v>1642</v>
      </c>
      <c r="AP222">
        <v>1</v>
      </c>
      <c r="AQ222" t="s">
        <v>349</v>
      </c>
      <c r="AR222" t="s">
        <v>19</v>
      </c>
      <c r="AS222" t="s">
        <v>19</v>
      </c>
      <c r="AT222" t="s">
        <v>19</v>
      </c>
      <c r="AU222" t="s">
        <v>552</v>
      </c>
      <c r="AV222" t="s">
        <v>553</v>
      </c>
      <c r="AW222" t="s">
        <v>551</v>
      </c>
      <c r="AX222" t="s">
        <v>554</v>
      </c>
      <c r="AY222">
        <v>1</v>
      </c>
      <c r="AZ222" t="s">
        <v>555</v>
      </c>
      <c r="BA222" t="s">
        <v>47</v>
      </c>
      <c r="BB222" t="s">
        <v>19</v>
      </c>
      <c r="BC222" t="s">
        <v>1643</v>
      </c>
      <c r="BD222" t="s">
        <v>1115</v>
      </c>
      <c r="BE222" t="s">
        <v>1755</v>
      </c>
      <c r="BF222" t="s">
        <v>1630</v>
      </c>
      <c r="BG222" s="153">
        <v>350</v>
      </c>
      <c r="BH222" t="s">
        <v>1608</v>
      </c>
      <c r="BI222">
        <v>0.75</v>
      </c>
      <c r="BJ222" t="s">
        <v>1645</v>
      </c>
      <c r="BK222" t="s">
        <v>541</v>
      </c>
      <c r="BL222" t="s">
        <v>19</v>
      </c>
      <c r="BM222">
        <v>76051</v>
      </c>
    </row>
    <row r="223" spans="1:65" ht="14.45" customHeight="1">
      <c r="A223" s="155" t="s">
        <v>2340</v>
      </c>
      <c r="B223" s="30">
        <f t="shared" si="14"/>
        <v>76052</v>
      </c>
      <c r="C223" s="30" t="s">
        <v>2201</v>
      </c>
      <c r="D223" s="30"/>
      <c r="E223" s="30" t="s">
        <v>2180</v>
      </c>
      <c r="F223" s="31" t="s">
        <v>2186</v>
      </c>
      <c r="G223" s="30" t="s">
        <v>1649</v>
      </c>
      <c r="H223" s="30"/>
      <c r="I223" s="30"/>
      <c r="J223" s="30"/>
      <c r="K223" s="30" t="s">
        <v>2184</v>
      </c>
      <c r="L223" s="30" t="s">
        <v>2187</v>
      </c>
      <c r="M223" s="30" t="s">
        <v>2180</v>
      </c>
      <c r="N223" s="30"/>
      <c r="P223" s="30"/>
      <c r="Q223" s="30"/>
      <c r="R223" s="30"/>
      <c r="S223" s="30"/>
      <c r="T223" s="31"/>
      <c r="U223" s="30"/>
      <c r="V223" s="30"/>
      <c r="W223" s="30"/>
      <c r="X223" s="30"/>
      <c r="Y223" s="30"/>
      <c r="Z223" s="30"/>
      <c r="AA223" s="30"/>
      <c r="AB223" s="30"/>
      <c r="AC223" s="30"/>
      <c r="AD223" s="30"/>
      <c r="AE223" s="30"/>
      <c r="AF223" s="30" t="str">
        <f t="shared" si="15"/>
        <v>SP_MTVL_M           LS_HT1_VL</v>
      </c>
      <c r="AG223" s="30" t="s">
        <v>2182</v>
      </c>
      <c r="AH223">
        <v>3</v>
      </c>
      <c r="AI223">
        <v>76052</v>
      </c>
      <c r="AJ223" t="s">
        <v>1756</v>
      </c>
      <c r="AK223" t="s">
        <v>19</v>
      </c>
      <c r="AL223" t="s">
        <v>19</v>
      </c>
      <c r="AM223" t="s">
        <v>1647</v>
      </c>
      <c r="AN223" t="s">
        <v>1648</v>
      </c>
      <c r="AO223" t="s">
        <v>1649</v>
      </c>
      <c r="AP223">
        <v>1</v>
      </c>
      <c r="AQ223" t="s">
        <v>1650</v>
      </c>
      <c r="AR223" t="s">
        <v>19</v>
      </c>
      <c r="AS223" t="s">
        <v>19</v>
      </c>
      <c r="AT223" t="s">
        <v>19</v>
      </c>
      <c r="AU223" t="s">
        <v>552</v>
      </c>
      <c r="AV223" t="s">
        <v>553</v>
      </c>
      <c r="AW223" t="s">
        <v>551</v>
      </c>
      <c r="AX223" t="s">
        <v>554</v>
      </c>
      <c r="AY223">
        <v>2</v>
      </c>
      <c r="AZ223" t="s">
        <v>555</v>
      </c>
      <c r="BA223" t="s">
        <v>47</v>
      </c>
      <c r="BB223" t="s">
        <v>19</v>
      </c>
      <c r="BC223" t="s">
        <v>1643</v>
      </c>
      <c r="BD223" t="s">
        <v>1115</v>
      </c>
      <c r="BE223" t="s">
        <v>1755</v>
      </c>
      <c r="BF223" t="s">
        <v>1651</v>
      </c>
      <c r="BG223" s="153">
        <v>320</v>
      </c>
      <c r="BH223" t="s">
        <v>1491</v>
      </c>
      <c r="BI223">
        <v>0.75</v>
      </c>
      <c r="BJ223" t="s">
        <v>1652</v>
      </c>
      <c r="BK223" t="s">
        <v>541</v>
      </c>
      <c r="BL223" t="s">
        <v>19</v>
      </c>
      <c r="BM223">
        <v>76052</v>
      </c>
    </row>
    <row r="224" spans="1:65" ht="14.45" customHeight="1">
      <c r="A224" s="155"/>
      <c r="B224" s="30">
        <f t="shared" si="14"/>
        <v>76053</v>
      </c>
      <c r="C224" s="30" t="s">
        <v>2201</v>
      </c>
      <c r="D224" s="30"/>
      <c r="E224" s="30" t="s">
        <v>2180</v>
      </c>
      <c r="F224" s="31" t="s">
        <v>2186</v>
      </c>
      <c r="G224" s="30" t="s">
        <v>1642</v>
      </c>
      <c r="H224" s="30"/>
      <c r="I224" s="30"/>
      <c r="J224" s="30"/>
      <c r="K224" s="30" t="s">
        <v>2184</v>
      </c>
      <c r="L224" s="30" t="s">
        <v>2187</v>
      </c>
      <c r="M224" s="30" t="s">
        <v>2180</v>
      </c>
      <c r="N224" s="30"/>
      <c r="P224" s="30"/>
      <c r="Q224" s="30"/>
      <c r="R224" s="30"/>
      <c r="S224" s="30"/>
      <c r="T224" s="31"/>
      <c r="U224" s="30"/>
      <c r="V224" s="30"/>
      <c r="W224" s="30"/>
      <c r="X224" s="30"/>
      <c r="Y224" s="30"/>
      <c r="Z224" s="30"/>
      <c r="AA224" s="30"/>
      <c r="AB224" s="30"/>
      <c r="AC224" s="30"/>
      <c r="AD224" s="30"/>
      <c r="AE224" s="30"/>
      <c r="AF224" s="30" t="str">
        <f t="shared" si="15"/>
        <v>SP_MTVL_P           KS_CPL_A</v>
      </c>
      <c r="AG224" s="30" t="s">
        <v>2182</v>
      </c>
      <c r="AH224">
        <v>3</v>
      </c>
      <c r="AI224">
        <v>76053</v>
      </c>
      <c r="AJ224" t="s">
        <v>1757</v>
      </c>
      <c r="AK224" t="s">
        <v>19</v>
      </c>
      <c r="AL224" t="s">
        <v>19</v>
      </c>
      <c r="AM224" t="s">
        <v>1640</v>
      </c>
      <c r="AN224" t="s">
        <v>1641</v>
      </c>
      <c r="AO224" t="s">
        <v>1642</v>
      </c>
      <c r="AP224">
        <v>1</v>
      </c>
      <c r="AQ224" t="s">
        <v>349</v>
      </c>
      <c r="AR224" t="s">
        <v>19</v>
      </c>
      <c r="AS224" t="s">
        <v>19</v>
      </c>
      <c r="AT224" t="s">
        <v>19</v>
      </c>
      <c r="AU224" t="s">
        <v>55</v>
      </c>
      <c r="AV224" t="s">
        <v>55</v>
      </c>
      <c r="AW224" t="s">
        <v>54</v>
      </c>
      <c r="AX224" t="s">
        <v>56</v>
      </c>
      <c r="AY224">
        <v>1</v>
      </c>
      <c r="AZ224" t="s">
        <v>57</v>
      </c>
      <c r="BA224" t="s">
        <v>36</v>
      </c>
      <c r="BB224" t="s">
        <v>19</v>
      </c>
      <c r="BC224" t="s">
        <v>1643</v>
      </c>
      <c r="BD224" t="s">
        <v>1115</v>
      </c>
      <c r="BE224" t="s">
        <v>1758</v>
      </c>
      <c r="BF224" t="s">
        <v>1630</v>
      </c>
      <c r="BG224">
        <v>581</v>
      </c>
      <c r="BH224" t="s">
        <v>1608</v>
      </c>
      <c r="BI224">
        <v>0.75</v>
      </c>
      <c r="BJ224" t="s">
        <v>1645</v>
      </c>
      <c r="BK224" t="s">
        <v>541</v>
      </c>
      <c r="BL224" t="s">
        <v>19</v>
      </c>
      <c r="BM224">
        <v>76053</v>
      </c>
    </row>
    <row r="225" spans="1:65" ht="14.45" customHeight="1">
      <c r="A225" s="155"/>
      <c r="B225" s="30">
        <f t="shared" si="14"/>
        <v>76054</v>
      </c>
      <c r="C225" s="30" t="s">
        <v>2201</v>
      </c>
      <c r="D225" s="30"/>
      <c r="E225" s="30" t="s">
        <v>2180</v>
      </c>
      <c r="F225" s="31" t="s">
        <v>2186</v>
      </c>
      <c r="G225" s="30" t="s">
        <v>1649</v>
      </c>
      <c r="H225" s="30"/>
      <c r="I225" s="30"/>
      <c r="J225" s="30"/>
      <c r="K225" s="30" t="s">
        <v>2184</v>
      </c>
      <c r="L225" s="30" t="s">
        <v>2187</v>
      </c>
      <c r="M225" s="30" t="s">
        <v>2180</v>
      </c>
      <c r="N225" s="30"/>
      <c r="P225" s="30"/>
      <c r="Q225" s="30"/>
      <c r="R225" s="30"/>
      <c r="S225" s="30"/>
      <c r="T225" s="31"/>
      <c r="U225" s="30"/>
      <c r="V225" s="30"/>
      <c r="W225" s="30"/>
      <c r="X225" s="30"/>
      <c r="Y225" s="30"/>
      <c r="Z225" s="30"/>
      <c r="AA225" s="30"/>
      <c r="AB225" s="30"/>
      <c r="AC225" s="30"/>
      <c r="AD225" s="30"/>
      <c r="AE225" s="30"/>
      <c r="AF225" s="30" t="str">
        <f t="shared" si="15"/>
        <v>SP_MTVL_M           KS_CPL_A</v>
      </c>
      <c r="AG225" s="30" t="s">
        <v>2182</v>
      </c>
      <c r="AH225">
        <v>3</v>
      </c>
      <c r="AI225">
        <v>76054</v>
      </c>
      <c r="AJ225" t="s">
        <v>1759</v>
      </c>
      <c r="AK225" t="s">
        <v>19</v>
      </c>
      <c r="AL225" t="s">
        <v>19</v>
      </c>
      <c r="AM225" t="s">
        <v>1647</v>
      </c>
      <c r="AN225" t="s">
        <v>1648</v>
      </c>
      <c r="AO225" t="s">
        <v>1649</v>
      </c>
      <c r="AP225">
        <v>1</v>
      </c>
      <c r="AQ225" t="s">
        <v>1650</v>
      </c>
      <c r="AR225" t="s">
        <v>19</v>
      </c>
      <c r="AS225" t="s">
        <v>19</v>
      </c>
      <c r="AT225" t="s">
        <v>19</v>
      </c>
      <c r="AU225" t="s">
        <v>55</v>
      </c>
      <c r="AV225" t="s">
        <v>55</v>
      </c>
      <c r="AW225" t="s">
        <v>54</v>
      </c>
      <c r="AX225" t="s">
        <v>56</v>
      </c>
      <c r="AY225">
        <v>2</v>
      </c>
      <c r="AZ225" t="s">
        <v>57</v>
      </c>
      <c r="BA225" t="s">
        <v>36</v>
      </c>
      <c r="BB225" t="s">
        <v>19</v>
      </c>
      <c r="BC225" t="s">
        <v>1643</v>
      </c>
      <c r="BD225" t="s">
        <v>1115</v>
      </c>
      <c r="BE225" t="s">
        <v>1758</v>
      </c>
      <c r="BF225" t="s">
        <v>1651</v>
      </c>
      <c r="BG225">
        <v>551</v>
      </c>
      <c r="BH225" t="s">
        <v>1491</v>
      </c>
      <c r="BI225">
        <v>0.75</v>
      </c>
      <c r="BJ225" t="s">
        <v>1652</v>
      </c>
      <c r="BK225" t="s">
        <v>541</v>
      </c>
      <c r="BL225" t="s">
        <v>19</v>
      </c>
      <c r="BM225">
        <v>76054</v>
      </c>
    </row>
    <row r="226" spans="1:65" ht="14.45" customHeight="1">
      <c r="A226" s="155"/>
      <c r="B226" s="30">
        <f t="shared" si="14"/>
        <v>76055</v>
      </c>
      <c r="C226" s="30" t="s">
        <v>2201</v>
      </c>
      <c r="D226" s="30"/>
      <c r="E226" s="30" t="s">
        <v>2180</v>
      </c>
      <c r="F226" s="31"/>
      <c r="G226" s="30"/>
      <c r="H226" s="30"/>
      <c r="I226" s="30"/>
      <c r="J226" s="30"/>
      <c r="K226" s="30"/>
      <c r="L226" s="30"/>
      <c r="M226" s="30"/>
      <c r="N226" s="30"/>
      <c r="P226" s="30"/>
      <c r="Q226" s="30"/>
      <c r="R226" s="30"/>
      <c r="S226" s="30"/>
      <c r="T226" s="31"/>
      <c r="U226" s="30"/>
      <c r="V226" s="30"/>
      <c r="W226" s="30"/>
      <c r="X226" s="30"/>
      <c r="Y226" s="30"/>
      <c r="Z226" s="30"/>
      <c r="AA226" s="30"/>
      <c r="AB226" s="30"/>
      <c r="AC226" s="30"/>
      <c r="AD226" s="30"/>
      <c r="AE226" s="30"/>
      <c r="AF226" s="30" t="str">
        <f t="shared" si="15"/>
        <v>LSEPH               KS_CPL_D</v>
      </c>
      <c r="AG226" s="30" t="s">
        <v>2182</v>
      </c>
      <c r="AH226">
        <v>3</v>
      </c>
      <c r="AI226">
        <v>76055</v>
      </c>
      <c r="AJ226" t="s">
        <v>1760</v>
      </c>
      <c r="AK226" t="s">
        <v>19</v>
      </c>
      <c r="AL226" t="s">
        <v>586</v>
      </c>
      <c r="AM226" t="s">
        <v>587</v>
      </c>
      <c r="AN226" t="s">
        <v>585</v>
      </c>
      <c r="AO226" t="s">
        <v>588</v>
      </c>
      <c r="AP226">
        <v>1</v>
      </c>
      <c r="AQ226" t="s">
        <v>589</v>
      </c>
      <c r="AR226" t="s">
        <v>46</v>
      </c>
      <c r="AS226" t="s">
        <v>19</v>
      </c>
      <c r="AT226" t="s">
        <v>19</v>
      </c>
      <c r="AU226" t="s">
        <v>55</v>
      </c>
      <c r="AV226" t="s">
        <v>55</v>
      </c>
      <c r="AW226" t="s">
        <v>75</v>
      </c>
      <c r="AX226" t="s">
        <v>76</v>
      </c>
      <c r="AY226">
        <v>6</v>
      </c>
      <c r="AZ226" t="s">
        <v>77</v>
      </c>
      <c r="BA226" t="s">
        <v>35</v>
      </c>
      <c r="BB226" t="s">
        <v>19</v>
      </c>
      <c r="BC226" t="s">
        <v>1398</v>
      </c>
      <c r="BD226" t="s">
        <v>1115</v>
      </c>
      <c r="BE226" t="s">
        <v>19</v>
      </c>
      <c r="BF226" t="s">
        <v>19</v>
      </c>
      <c r="BG226">
        <v>577</v>
      </c>
      <c r="BH226" t="s">
        <v>1399</v>
      </c>
      <c r="BI226">
        <v>0.35</v>
      </c>
      <c r="BJ226" t="s">
        <v>1761</v>
      </c>
      <c r="BK226" t="s">
        <v>541</v>
      </c>
      <c r="BL226" t="s">
        <v>544</v>
      </c>
      <c r="BM226">
        <v>76055</v>
      </c>
    </row>
    <row r="227" spans="1:65" ht="14.45" customHeight="1">
      <c r="A227" s="155"/>
      <c r="B227" s="30">
        <f t="shared" si="14"/>
        <v>76056</v>
      </c>
      <c r="C227" s="30" t="s">
        <v>2201</v>
      </c>
      <c r="D227" s="30"/>
      <c r="E227" s="30" t="s">
        <v>2180</v>
      </c>
      <c r="F227" s="31"/>
      <c r="G227" s="30"/>
      <c r="H227" s="30"/>
      <c r="I227" s="30"/>
      <c r="J227" s="30"/>
      <c r="K227" s="30"/>
      <c r="L227" s="30"/>
      <c r="M227" s="30"/>
      <c r="N227" s="30"/>
      <c r="P227" s="30"/>
      <c r="Q227" s="30"/>
      <c r="R227" s="30"/>
      <c r="S227" s="30"/>
      <c r="T227" s="31"/>
      <c r="U227" s="30"/>
      <c r="V227" s="30"/>
      <c r="W227" s="30"/>
      <c r="X227" s="30"/>
      <c r="Y227" s="30"/>
      <c r="Z227" s="30"/>
      <c r="AA227" s="30"/>
      <c r="AB227" s="30"/>
      <c r="AC227" s="30"/>
      <c r="AD227" s="30"/>
      <c r="AE227" s="30"/>
      <c r="AF227" s="30" t="str">
        <f t="shared" si="15"/>
        <v>LSEPH               KS_CPL_D</v>
      </c>
      <c r="AG227" s="30" t="s">
        <v>2182</v>
      </c>
      <c r="AH227">
        <v>3</v>
      </c>
      <c r="AI227">
        <v>76056</v>
      </c>
      <c r="AJ227" t="s">
        <v>1762</v>
      </c>
      <c r="AK227" t="s">
        <v>19</v>
      </c>
      <c r="AL227" t="s">
        <v>586</v>
      </c>
      <c r="AM227" t="s">
        <v>587</v>
      </c>
      <c r="AN227" t="s">
        <v>585</v>
      </c>
      <c r="AO227" t="s">
        <v>588</v>
      </c>
      <c r="AP227">
        <v>2</v>
      </c>
      <c r="AQ227" t="s">
        <v>589</v>
      </c>
      <c r="AR227" t="s">
        <v>46</v>
      </c>
      <c r="AS227" t="s">
        <v>19</v>
      </c>
      <c r="AT227" t="s">
        <v>19</v>
      </c>
      <c r="AU227" t="s">
        <v>55</v>
      </c>
      <c r="AV227" t="s">
        <v>55</v>
      </c>
      <c r="AW227" t="s">
        <v>75</v>
      </c>
      <c r="AX227" t="s">
        <v>76</v>
      </c>
      <c r="AY227">
        <v>7</v>
      </c>
      <c r="AZ227" t="s">
        <v>77</v>
      </c>
      <c r="BA227" t="s">
        <v>35</v>
      </c>
      <c r="BB227" t="s">
        <v>19</v>
      </c>
      <c r="BC227" t="s">
        <v>1394</v>
      </c>
      <c r="BD227" t="s">
        <v>1115</v>
      </c>
      <c r="BE227" t="s">
        <v>19</v>
      </c>
      <c r="BF227" t="s">
        <v>19</v>
      </c>
      <c r="BG227">
        <v>577</v>
      </c>
      <c r="BH227" t="s">
        <v>1395</v>
      </c>
      <c r="BI227">
        <v>0.35</v>
      </c>
      <c r="BJ227" t="s">
        <v>1763</v>
      </c>
      <c r="BK227" t="s">
        <v>541</v>
      </c>
      <c r="BL227" t="s">
        <v>544</v>
      </c>
      <c r="BM227">
        <v>76056</v>
      </c>
    </row>
    <row r="228" spans="1:65" ht="14.45" customHeight="1">
      <c r="A228" s="155"/>
      <c r="B228" s="30">
        <f t="shared" si="14"/>
        <v>76057</v>
      </c>
      <c r="C228" s="30" t="s">
        <v>2201</v>
      </c>
      <c r="D228" s="30"/>
      <c r="E228" s="30" t="s">
        <v>2180</v>
      </c>
      <c r="F228" s="31"/>
      <c r="G228" s="30"/>
      <c r="H228" s="30"/>
      <c r="I228" s="30"/>
      <c r="J228" s="30"/>
      <c r="K228" s="30"/>
      <c r="L228" s="30" t="s">
        <v>2180</v>
      </c>
      <c r="M228" s="30" t="s">
        <v>2180</v>
      </c>
      <c r="N228" s="30"/>
      <c r="P228" s="30"/>
      <c r="Q228" s="30"/>
      <c r="R228" s="30"/>
      <c r="S228" s="30"/>
      <c r="T228" s="31"/>
      <c r="U228" s="30"/>
      <c r="V228" s="30"/>
      <c r="W228" s="30"/>
      <c r="X228" s="30"/>
      <c r="Y228" s="30"/>
      <c r="Z228" s="30"/>
      <c r="AA228" s="30"/>
      <c r="AB228" s="30"/>
      <c r="AC228" s="30"/>
      <c r="AD228" s="30"/>
      <c r="AE228" s="30"/>
      <c r="AF228" s="30" t="str">
        <f t="shared" si="15"/>
        <v>KS_CPR_C            MIB_C</v>
      </c>
      <c r="AG228" s="30" t="s">
        <v>2182</v>
      </c>
      <c r="AH228">
        <v>3</v>
      </c>
      <c r="AI228">
        <v>76057</v>
      </c>
      <c r="AJ228" t="s">
        <v>1764</v>
      </c>
      <c r="AK228" t="s">
        <v>19</v>
      </c>
      <c r="AL228" t="s">
        <v>96</v>
      </c>
      <c r="AM228" t="s">
        <v>96</v>
      </c>
      <c r="AN228" t="s">
        <v>103</v>
      </c>
      <c r="AO228" t="s">
        <v>104</v>
      </c>
      <c r="AP228">
        <v>14</v>
      </c>
      <c r="AQ228" t="s">
        <v>105</v>
      </c>
      <c r="AR228" t="s">
        <v>35</v>
      </c>
      <c r="AS228" t="s">
        <v>19</v>
      </c>
      <c r="AT228" t="s">
        <v>19</v>
      </c>
      <c r="AU228" t="s">
        <v>249</v>
      </c>
      <c r="AV228" t="s">
        <v>250</v>
      </c>
      <c r="AW228" t="s">
        <v>262</v>
      </c>
      <c r="AX228" t="s">
        <v>263</v>
      </c>
      <c r="AY228">
        <v>1</v>
      </c>
      <c r="AZ228" t="s">
        <v>264</v>
      </c>
      <c r="BA228" t="s">
        <v>46</v>
      </c>
      <c r="BB228" t="s">
        <v>19</v>
      </c>
      <c r="BC228" t="s">
        <v>1204</v>
      </c>
      <c r="BD228" t="s">
        <v>1115</v>
      </c>
      <c r="BE228" t="s">
        <v>1765</v>
      </c>
      <c r="BF228" t="s">
        <v>1206</v>
      </c>
      <c r="BG228">
        <v>1674</v>
      </c>
      <c r="BH228" t="s">
        <v>1207</v>
      </c>
      <c r="BI228">
        <v>0.35</v>
      </c>
      <c r="BJ228" t="s">
        <v>1766</v>
      </c>
      <c r="BK228" t="s">
        <v>541</v>
      </c>
      <c r="BL228" t="s">
        <v>19</v>
      </c>
      <c r="BM228">
        <v>76057</v>
      </c>
    </row>
    <row r="229" spans="1:65" ht="14.45" customHeight="1">
      <c r="A229" s="155"/>
      <c r="B229" s="30">
        <f t="shared" si="14"/>
        <v>76058</v>
      </c>
      <c r="C229" s="30" t="s">
        <v>2201</v>
      </c>
      <c r="D229" s="30"/>
      <c r="E229" s="30" t="s">
        <v>2180</v>
      </c>
      <c r="F229" s="31"/>
      <c r="G229" s="30"/>
      <c r="H229" s="30"/>
      <c r="I229" s="30"/>
      <c r="J229" s="30"/>
      <c r="K229" s="30"/>
      <c r="L229" s="30" t="s">
        <v>2180</v>
      </c>
      <c r="M229" s="30" t="s">
        <v>2180</v>
      </c>
      <c r="N229" s="30"/>
      <c r="P229" s="30"/>
      <c r="Q229" s="30"/>
      <c r="R229" s="30"/>
      <c r="S229" s="30"/>
      <c r="T229" s="31"/>
      <c r="U229" s="30"/>
      <c r="V229" s="30"/>
      <c r="W229" s="30"/>
      <c r="X229" s="30"/>
      <c r="Y229" s="30"/>
      <c r="Z229" s="30"/>
      <c r="AA229" s="30"/>
      <c r="AB229" s="30"/>
      <c r="AC229" s="30"/>
      <c r="AD229" s="30"/>
      <c r="AE229" s="30"/>
      <c r="AF229" s="30" t="str">
        <f t="shared" si="15"/>
        <v>KS_CPR_C            MIB_C</v>
      </c>
      <c r="AG229" s="30" t="s">
        <v>2182</v>
      </c>
      <c r="AH229">
        <v>3</v>
      </c>
      <c r="AI229">
        <v>76058</v>
      </c>
      <c r="AJ229" t="s">
        <v>1767</v>
      </c>
      <c r="AK229" t="s">
        <v>19</v>
      </c>
      <c r="AL229" t="s">
        <v>96</v>
      </c>
      <c r="AM229" t="s">
        <v>96</v>
      </c>
      <c r="AN229" t="s">
        <v>103</v>
      </c>
      <c r="AO229" t="s">
        <v>104</v>
      </c>
      <c r="AP229">
        <v>13</v>
      </c>
      <c r="AQ229" t="s">
        <v>105</v>
      </c>
      <c r="AR229" t="s">
        <v>35</v>
      </c>
      <c r="AS229" t="s">
        <v>19</v>
      </c>
      <c r="AT229" t="s">
        <v>19</v>
      </c>
      <c r="AU229" t="s">
        <v>249</v>
      </c>
      <c r="AV229" t="s">
        <v>250</v>
      </c>
      <c r="AW229" t="s">
        <v>262</v>
      </c>
      <c r="AX229" t="s">
        <v>263</v>
      </c>
      <c r="AY229">
        <v>7</v>
      </c>
      <c r="AZ229" t="s">
        <v>264</v>
      </c>
      <c r="BA229" t="s">
        <v>46</v>
      </c>
      <c r="BB229" t="s">
        <v>19</v>
      </c>
      <c r="BC229" t="s">
        <v>1204</v>
      </c>
      <c r="BD229" t="s">
        <v>1115</v>
      </c>
      <c r="BE229" t="s">
        <v>1765</v>
      </c>
      <c r="BF229" t="s">
        <v>1097</v>
      </c>
      <c r="BG229">
        <v>1674</v>
      </c>
      <c r="BH229" t="s">
        <v>1098</v>
      </c>
      <c r="BI229">
        <v>0.35</v>
      </c>
      <c r="BJ229" t="s">
        <v>1768</v>
      </c>
      <c r="BK229" t="s">
        <v>541</v>
      </c>
      <c r="BL229" t="s">
        <v>19</v>
      </c>
      <c r="BM229">
        <v>76058</v>
      </c>
    </row>
    <row r="230" spans="1:65" ht="14.45" customHeight="1">
      <c r="A230" s="155"/>
      <c r="B230" s="30"/>
      <c r="C230" s="30" t="s">
        <v>2202</v>
      </c>
      <c r="D230" s="30"/>
      <c r="E230" s="30"/>
      <c r="F230" s="31"/>
      <c r="G230" s="30"/>
      <c r="H230" s="30"/>
      <c r="I230" s="30"/>
      <c r="J230" s="30"/>
      <c r="K230" s="30"/>
      <c r="L230" s="30"/>
      <c r="M230" s="30"/>
      <c r="N230" s="30"/>
      <c r="P230" s="30"/>
      <c r="Q230" s="30"/>
      <c r="R230" s="30"/>
      <c r="S230" s="30"/>
      <c r="T230" s="31"/>
      <c r="U230" s="30"/>
      <c r="V230" s="30"/>
      <c r="W230" s="30"/>
      <c r="X230" s="30"/>
      <c r="Y230" s="30"/>
      <c r="Z230" s="30"/>
      <c r="AA230" s="30"/>
      <c r="AB230" s="30"/>
      <c r="AC230" s="30"/>
      <c r="AD230" s="30"/>
      <c r="AE230" s="30"/>
      <c r="AF230" s="30" t="str">
        <f t="shared" si="15"/>
        <v xml:space="preserve">                    </v>
      </c>
      <c r="AG230" s="30"/>
      <c r="AH230">
        <v>1</v>
      </c>
      <c r="AI230" t="s">
        <v>608</v>
      </c>
    </row>
    <row r="231" spans="1:65" ht="14.45" customHeight="1">
      <c r="A231" s="155"/>
      <c r="B231" s="30"/>
      <c r="C231" s="30" t="s">
        <v>2202</v>
      </c>
      <c r="D231" s="30"/>
      <c r="E231" s="30"/>
      <c r="F231" s="31"/>
      <c r="G231" s="30"/>
      <c r="H231" s="30"/>
      <c r="I231" s="30"/>
      <c r="J231" s="30"/>
      <c r="K231" s="30"/>
      <c r="L231" s="30"/>
      <c r="M231" s="30"/>
      <c r="N231" s="30"/>
      <c r="P231" s="30"/>
      <c r="Q231" s="30"/>
      <c r="R231" s="30"/>
      <c r="S231" s="30"/>
      <c r="T231" s="31"/>
      <c r="U231" s="30"/>
      <c r="V231" s="30"/>
      <c r="W231" s="30"/>
      <c r="X231" s="30"/>
      <c r="Y231" s="30"/>
      <c r="Z231" s="30"/>
      <c r="AA231" s="30"/>
      <c r="AB231" s="30"/>
      <c r="AC231" s="30"/>
      <c r="AD231" s="30"/>
      <c r="AE231" s="30"/>
      <c r="AF231" s="30"/>
      <c r="AG231" s="30"/>
      <c r="AH231">
        <v>2</v>
      </c>
      <c r="AI231" t="s">
        <v>1</v>
      </c>
      <c r="AJ231" t="s">
        <v>609</v>
      </c>
      <c r="AK231" t="s">
        <v>610</v>
      </c>
      <c r="AL231" t="s">
        <v>611</v>
      </c>
      <c r="AM231" t="s">
        <v>4</v>
      </c>
      <c r="AN231" t="s">
        <v>1769</v>
      </c>
      <c r="AO231" t="s">
        <v>1074</v>
      </c>
    </row>
    <row r="232" spans="1:65" ht="14.45" customHeight="1">
      <c r="A232" s="155"/>
      <c r="B232" s="30"/>
      <c r="C232" s="30" t="s">
        <v>2202</v>
      </c>
      <c r="D232" s="30"/>
      <c r="E232" s="30"/>
      <c r="F232" s="31"/>
      <c r="G232" s="30"/>
      <c r="H232" s="30"/>
      <c r="I232" s="30"/>
      <c r="J232" s="30"/>
      <c r="K232" s="30"/>
      <c r="L232" s="30"/>
      <c r="M232" s="30"/>
      <c r="N232" s="30"/>
      <c r="P232" s="30"/>
      <c r="Q232" s="30"/>
      <c r="R232" s="30"/>
      <c r="S232" s="30"/>
      <c r="T232" s="31"/>
      <c r="U232" s="30"/>
      <c r="V232" s="30"/>
      <c r="W232" s="30"/>
      <c r="X232" s="30"/>
      <c r="Y232" s="30"/>
      <c r="Z232" s="30"/>
      <c r="AA232" s="30"/>
      <c r="AB232" s="30"/>
      <c r="AC232" s="30"/>
      <c r="AD232" s="30"/>
      <c r="AE232" s="30"/>
      <c r="AF232" s="30"/>
      <c r="AG232" s="30"/>
      <c r="AH232">
        <v>2</v>
      </c>
      <c r="AI232" t="s">
        <v>395</v>
      </c>
      <c r="AJ232" t="s">
        <v>612</v>
      </c>
      <c r="AK232" t="s">
        <v>613</v>
      </c>
      <c r="AL232" t="s">
        <v>614</v>
      </c>
      <c r="AN232" t="s">
        <v>1770</v>
      </c>
      <c r="AO232" t="s">
        <v>1074</v>
      </c>
    </row>
    <row r="233" spans="1:65" ht="14.45" customHeight="1">
      <c r="A233" s="155"/>
      <c r="B233" s="30"/>
      <c r="C233" s="30" t="s">
        <v>2202</v>
      </c>
      <c r="D233" s="30"/>
      <c r="E233" s="30"/>
      <c r="F233" s="31"/>
      <c r="G233" s="30"/>
      <c r="H233" s="30"/>
      <c r="I233" s="30"/>
      <c r="J233" s="30"/>
      <c r="K233" s="30"/>
      <c r="L233" s="30"/>
      <c r="M233" s="30"/>
      <c r="N233" s="30"/>
      <c r="P233" s="30"/>
      <c r="Q233" s="30"/>
      <c r="R233" s="30"/>
      <c r="S233" s="30"/>
      <c r="T233" s="31"/>
      <c r="U233" s="30"/>
      <c r="V233" s="30"/>
      <c r="W233" s="30"/>
      <c r="X233" s="30"/>
      <c r="Y233" s="30"/>
      <c r="Z233" s="30"/>
      <c r="AA233" s="30"/>
      <c r="AB233" s="30"/>
      <c r="AC233" s="30"/>
      <c r="AD233" s="30"/>
      <c r="AE233" s="30"/>
      <c r="AF233" s="30" t="str">
        <f t="shared" si="15"/>
        <v>Kurzname            Kurzname</v>
      </c>
      <c r="AG233" s="30"/>
      <c r="AH233">
        <v>0</v>
      </c>
      <c r="AI233" t="s">
        <v>1075</v>
      </c>
      <c r="AJ233" t="s">
        <v>1076</v>
      </c>
      <c r="AK233" t="s">
        <v>1077</v>
      </c>
      <c r="AL233" t="s">
        <v>8</v>
      </c>
      <c r="AM233" t="s">
        <v>8</v>
      </c>
      <c r="AN233" t="s">
        <v>1078</v>
      </c>
      <c r="AO233" t="s">
        <v>9</v>
      </c>
      <c r="AP233" t="s">
        <v>1079</v>
      </c>
      <c r="AQ233" t="s">
        <v>10</v>
      </c>
      <c r="AR233" t="s">
        <v>26</v>
      </c>
      <c r="AS233" t="s">
        <v>1080</v>
      </c>
      <c r="AT233" t="s">
        <v>1077</v>
      </c>
      <c r="AU233" t="s">
        <v>8</v>
      </c>
      <c r="AV233" t="s">
        <v>8</v>
      </c>
      <c r="AW233" t="s">
        <v>1081</v>
      </c>
      <c r="AX233" t="s">
        <v>9</v>
      </c>
      <c r="AY233" t="s">
        <v>1079</v>
      </c>
      <c r="AZ233" t="s">
        <v>10</v>
      </c>
      <c r="BA233" t="s">
        <v>26</v>
      </c>
      <c r="BB233" t="s">
        <v>1080</v>
      </c>
      <c r="BC233" t="s">
        <v>1082</v>
      </c>
      <c r="BD233" t="s">
        <v>1083</v>
      </c>
      <c r="BE233" t="s">
        <v>1084</v>
      </c>
      <c r="BF233" t="s">
        <v>1085</v>
      </c>
      <c r="BG233" t="s">
        <v>1086</v>
      </c>
      <c r="BH233" t="s">
        <v>14</v>
      </c>
      <c r="BI233" t="s">
        <v>1087</v>
      </c>
      <c r="BJ233" t="s">
        <v>1088</v>
      </c>
      <c r="BK233" t="s">
        <v>1</v>
      </c>
      <c r="BL233" t="s">
        <v>395</v>
      </c>
      <c r="BM233" t="s">
        <v>1075</v>
      </c>
    </row>
    <row r="234" spans="1:65" ht="14.45" customHeight="1">
      <c r="A234" s="155"/>
      <c r="B234" s="30">
        <f t="shared" si="14"/>
        <v>77001</v>
      </c>
      <c r="C234" s="30" t="s">
        <v>2202</v>
      </c>
      <c r="D234" s="30"/>
      <c r="E234" s="30" t="s">
        <v>2194</v>
      </c>
      <c r="F234" s="31" t="s">
        <v>2186</v>
      </c>
      <c r="G234" s="30" t="s">
        <v>1344</v>
      </c>
      <c r="H234" s="30"/>
      <c r="I234" s="30"/>
      <c r="J234" s="30"/>
      <c r="K234" s="30" t="s">
        <v>2184</v>
      </c>
      <c r="L234" s="30" t="s">
        <v>2180</v>
      </c>
      <c r="M234" s="30" t="s">
        <v>2187</v>
      </c>
      <c r="N234" s="30"/>
      <c r="P234" s="30"/>
      <c r="Q234" s="30"/>
      <c r="R234" s="30"/>
      <c r="S234" s="30"/>
      <c r="T234" s="31"/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 t="s">
        <v>2188</v>
      </c>
      <c r="AF234" s="30" t="str">
        <f t="shared" si="15"/>
        <v>KS_CPM_E            SP_CANL_MIB</v>
      </c>
      <c r="AG234" s="30" t="s">
        <v>2189</v>
      </c>
      <c r="AH234">
        <v>3</v>
      </c>
      <c r="AI234">
        <v>77001</v>
      </c>
      <c r="AJ234" t="s">
        <v>1771</v>
      </c>
      <c r="AK234" t="s">
        <v>19</v>
      </c>
      <c r="AL234" t="s">
        <v>81</v>
      </c>
      <c r="AM234" t="s">
        <v>81</v>
      </c>
      <c r="AN234" t="s">
        <v>88</v>
      </c>
      <c r="AO234" t="s">
        <v>89</v>
      </c>
      <c r="AP234">
        <v>2</v>
      </c>
      <c r="AQ234" t="s">
        <v>90</v>
      </c>
      <c r="AR234" t="s">
        <v>35</v>
      </c>
      <c r="AS234" t="s">
        <v>19</v>
      </c>
      <c r="AT234" t="s">
        <v>19</v>
      </c>
      <c r="AU234" t="s">
        <v>19</v>
      </c>
      <c r="AV234" t="s">
        <v>1342</v>
      </c>
      <c r="AW234" t="s">
        <v>1343</v>
      </c>
      <c r="AX234" t="s">
        <v>1344</v>
      </c>
      <c r="AY234">
        <v>1</v>
      </c>
      <c r="AZ234" t="s">
        <v>1345</v>
      </c>
      <c r="BA234" t="s">
        <v>19</v>
      </c>
      <c r="BB234" t="s">
        <v>19</v>
      </c>
      <c r="BC234" t="s">
        <v>1346</v>
      </c>
      <c r="BD234" t="s">
        <v>1115</v>
      </c>
      <c r="BE234" t="s">
        <v>1772</v>
      </c>
      <c r="BF234" t="s">
        <v>1137</v>
      </c>
      <c r="BG234">
        <v>586</v>
      </c>
      <c r="BH234" t="s">
        <v>1138</v>
      </c>
      <c r="BI234">
        <v>0.35</v>
      </c>
      <c r="BJ234" t="s">
        <v>1348</v>
      </c>
      <c r="BK234" t="s">
        <v>609</v>
      </c>
      <c r="BL234" t="s">
        <v>612</v>
      </c>
      <c r="BM234">
        <v>77001</v>
      </c>
    </row>
    <row r="235" spans="1:65" ht="14.45" customHeight="1">
      <c r="A235" s="155"/>
      <c r="B235" s="30">
        <f t="shared" si="14"/>
        <v>77004</v>
      </c>
      <c r="C235" s="30" t="s">
        <v>2202</v>
      </c>
      <c r="D235" s="30"/>
      <c r="E235" s="30" t="s">
        <v>2194</v>
      </c>
      <c r="F235" s="31" t="s">
        <v>2186</v>
      </c>
      <c r="G235" s="30" t="s">
        <v>1356</v>
      </c>
      <c r="H235" s="30"/>
      <c r="I235" s="30"/>
      <c r="J235" s="30"/>
      <c r="K235" s="30" t="s">
        <v>2184</v>
      </c>
      <c r="L235" s="30" t="s">
        <v>2180</v>
      </c>
      <c r="M235" s="30" t="s">
        <v>2187</v>
      </c>
      <c r="N235" s="30"/>
      <c r="P235" s="30"/>
      <c r="Q235" s="30"/>
      <c r="R235" s="30"/>
      <c r="S235" s="30"/>
      <c r="T235" s="31"/>
      <c r="U235" s="30"/>
      <c r="V235" s="30"/>
      <c r="W235" s="30"/>
      <c r="X235" s="30"/>
      <c r="Y235" s="30"/>
      <c r="Z235" s="30"/>
      <c r="AA235" s="30"/>
      <c r="AB235" s="30"/>
      <c r="AC235" s="30"/>
      <c r="AD235" s="30"/>
      <c r="AE235" s="30" t="s">
        <v>2188</v>
      </c>
      <c r="AF235" s="30" t="str">
        <f t="shared" si="15"/>
        <v>KS_CPM_E            SP_CANH_MIB</v>
      </c>
      <c r="AG235" s="30" t="s">
        <v>2189</v>
      </c>
      <c r="AH235">
        <v>3</v>
      </c>
      <c r="AI235">
        <v>77004</v>
      </c>
      <c r="AJ235" t="s">
        <v>1773</v>
      </c>
      <c r="AK235" t="s">
        <v>19</v>
      </c>
      <c r="AL235" t="s">
        <v>81</v>
      </c>
      <c r="AM235" t="s">
        <v>81</v>
      </c>
      <c r="AN235" t="s">
        <v>88</v>
      </c>
      <c r="AO235" t="s">
        <v>89</v>
      </c>
      <c r="AP235">
        <v>1</v>
      </c>
      <c r="AQ235" t="s">
        <v>90</v>
      </c>
      <c r="AR235" t="s">
        <v>35</v>
      </c>
      <c r="AS235" t="s">
        <v>19</v>
      </c>
      <c r="AT235" t="s">
        <v>19</v>
      </c>
      <c r="AU235" t="s">
        <v>19</v>
      </c>
      <c r="AV235" t="s">
        <v>1354</v>
      </c>
      <c r="AW235" t="s">
        <v>1355</v>
      </c>
      <c r="AX235" t="s">
        <v>1356</v>
      </c>
      <c r="AY235">
        <v>1</v>
      </c>
      <c r="AZ235" t="s">
        <v>1260</v>
      </c>
      <c r="BA235" t="s">
        <v>19</v>
      </c>
      <c r="BB235" t="s">
        <v>19</v>
      </c>
      <c r="BC235" t="s">
        <v>1346</v>
      </c>
      <c r="BD235" t="s">
        <v>1115</v>
      </c>
      <c r="BE235" t="s">
        <v>1772</v>
      </c>
      <c r="BF235" t="s">
        <v>1357</v>
      </c>
      <c r="BG235">
        <v>586</v>
      </c>
      <c r="BH235" t="s">
        <v>1102</v>
      </c>
      <c r="BI235">
        <v>0.35</v>
      </c>
      <c r="BJ235" t="s">
        <v>1358</v>
      </c>
      <c r="BK235" t="s">
        <v>609</v>
      </c>
      <c r="BL235" t="s">
        <v>612</v>
      </c>
      <c r="BM235">
        <v>77004</v>
      </c>
    </row>
    <row r="236" spans="1:65" ht="14.45" customHeight="1">
      <c r="A236" s="155"/>
      <c r="B236" s="30">
        <f t="shared" si="14"/>
        <v>77005</v>
      </c>
      <c r="C236" s="30" t="s">
        <v>2202</v>
      </c>
      <c r="D236" s="30"/>
      <c r="E236" s="30" t="s">
        <v>2180</v>
      </c>
      <c r="F236" s="31"/>
      <c r="G236" s="30"/>
      <c r="H236" s="30"/>
      <c r="I236" s="30"/>
      <c r="J236" s="30"/>
      <c r="K236" s="30"/>
      <c r="L236" s="30" t="s">
        <v>2181</v>
      </c>
      <c r="M236" s="30" t="s">
        <v>2181</v>
      </c>
      <c r="N236" s="30"/>
      <c r="P236" s="30"/>
      <c r="Q236" s="30"/>
      <c r="R236" s="30"/>
      <c r="S236" s="30"/>
      <c r="T236" s="31">
        <v>980017971</v>
      </c>
      <c r="U236" s="30"/>
      <c r="V236" s="30"/>
      <c r="W236" s="30"/>
      <c r="X236" s="30"/>
      <c r="Y236" s="30"/>
      <c r="Z236" s="30"/>
      <c r="AA236" s="30"/>
      <c r="AB236" s="30"/>
      <c r="AC236" s="30"/>
      <c r="AD236" s="30"/>
      <c r="AE236" s="30"/>
      <c r="AF236" s="30" t="str">
        <f t="shared" si="15"/>
        <v>KS_CPM_C            KS_CPR_H</v>
      </c>
      <c r="AG236" s="30" t="s">
        <v>2182</v>
      </c>
      <c r="AH236">
        <v>3</v>
      </c>
      <c r="AI236">
        <v>77005</v>
      </c>
      <c r="AJ236" t="s">
        <v>1774</v>
      </c>
      <c r="AK236" t="s">
        <v>19</v>
      </c>
      <c r="AL236" t="s">
        <v>81</v>
      </c>
      <c r="AM236" t="s">
        <v>81</v>
      </c>
      <c r="AN236" t="s">
        <v>617</v>
      </c>
      <c r="AO236" t="s">
        <v>618</v>
      </c>
      <c r="AP236">
        <v>1</v>
      </c>
      <c r="AQ236" t="s">
        <v>619</v>
      </c>
      <c r="AR236" t="s">
        <v>615</v>
      </c>
      <c r="AS236" t="s">
        <v>19</v>
      </c>
      <c r="AT236" t="s">
        <v>19</v>
      </c>
      <c r="AU236" t="s">
        <v>96</v>
      </c>
      <c r="AV236" t="s">
        <v>624</v>
      </c>
      <c r="AW236" t="s">
        <v>623</v>
      </c>
      <c r="AX236" t="s">
        <v>625</v>
      </c>
      <c r="AY236">
        <v>1</v>
      </c>
      <c r="AZ236" t="s">
        <v>440</v>
      </c>
      <c r="BA236" t="s">
        <v>37</v>
      </c>
      <c r="BB236" t="s">
        <v>19</v>
      </c>
      <c r="BC236" t="s">
        <v>1360</v>
      </c>
      <c r="BD236" t="s">
        <v>1361</v>
      </c>
      <c r="BE236" t="s">
        <v>1775</v>
      </c>
      <c r="BF236" t="s">
        <v>1363</v>
      </c>
      <c r="BG236">
        <v>1536</v>
      </c>
      <c r="BH236" t="s">
        <v>1364</v>
      </c>
      <c r="BI236">
        <v>0.37</v>
      </c>
      <c r="BJ236" t="s">
        <v>1776</v>
      </c>
      <c r="BK236" t="s">
        <v>609</v>
      </c>
      <c r="BL236" t="s">
        <v>19</v>
      </c>
      <c r="BM236">
        <v>77005</v>
      </c>
    </row>
    <row r="237" spans="1:65" ht="14.45" customHeight="1">
      <c r="A237" s="155"/>
      <c r="B237" s="30">
        <f t="shared" si="14"/>
        <v>77006</v>
      </c>
      <c r="C237" s="30" t="s">
        <v>2202</v>
      </c>
      <c r="D237" s="30"/>
      <c r="E237" s="30" t="s">
        <v>2180</v>
      </c>
      <c r="F237" s="31"/>
      <c r="G237" s="30"/>
      <c r="H237" s="30"/>
      <c r="I237" s="30"/>
      <c r="J237" s="30"/>
      <c r="K237" s="30"/>
      <c r="L237" s="30" t="s">
        <v>2181</v>
      </c>
      <c r="M237" s="30" t="s">
        <v>2181</v>
      </c>
      <c r="N237" s="30"/>
      <c r="P237" s="30"/>
      <c r="Q237" s="30"/>
      <c r="R237" s="30"/>
      <c r="S237" s="30"/>
      <c r="T237" s="31">
        <v>980017971</v>
      </c>
      <c r="U237" s="30"/>
      <c r="V237" s="30"/>
      <c r="W237" s="30"/>
      <c r="X237" s="30"/>
      <c r="Y237" s="30"/>
      <c r="Z237" s="30"/>
      <c r="AA237" s="30"/>
      <c r="AB237" s="30"/>
      <c r="AC237" s="30"/>
      <c r="AD237" s="30"/>
      <c r="AE237" s="30"/>
      <c r="AF237" s="30" t="str">
        <f t="shared" si="15"/>
        <v>KS_CPM_C            KS_CPR_H</v>
      </c>
      <c r="AG237" s="30" t="s">
        <v>2182</v>
      </c>
      <c r="AH237">
        <v>3</v>
      </c>
      <c r="AI237">
        <v>77006</v>
      </c>
      <c r="AJ237" t="s">
        <v>1777</v>
      </c>
      <c r="AK237" t="s">
        <v>19</v>
      </c>
      <c r="AL237" t="s">
        <v>81</v>
      </c>
      <c r="AM237" t="s">
        <v>81</v>
      </c>
      <c r="AN237" t="s">
        <v>617</v>
      </c>
      <c r="AO237" t="s">
        <v>618</v>
      </c>
      <c r="AP237">
        <v>2</v>
      </c>
      <c r="AQ237" t="s">
        <v>619</v>
      </c>
      <c r="AR237" t="s">
        <v>49</v>
      </c>
      <c r="AS237" t="s">
        <v>19</v>
      </c>
      <c r="AT237" t="s">
        <v>19</v>
      </c>
      <c r="AU237" t="s">
        <v>96</v>
      </c>
      <c r="AV237" t="s">
        <v>624</v>
      </c>
      <c r="AW237" t="s">
        <v>623</v>
      </c>
      <c r="AX237" t="s">
        <v>625</v>
      </c>
      <c r="AY237">
        <v>2</v>
      </c>
      <c r="AZ237" t="s">
        <v>440</v>
      </c>
      <c r="BA237" t="s">
        <v>49</v>
      </c>
      <c r="BB237" t="s">
        <v>19</v>
      </c>
      <c r="BC237" t="s">
        <v>1360</v>
      </c>
      <c r="BD237" t="s">
        <v>49</v>
      </c>
      <c r="BE237" t="s">
        <v>1775</v>
      </c>
      <c r="BF237" t="s">
        <v>1367</v>
      </c>
      <c r="BG237">
        <v>1536</v>
      </c>
      <c r="BH237" t="s">
        <v>1111</v>
      </c>
      <c r="BI237">
        <v>0.5</v>
      </c>
      <c r="BJ237" t="s">
        <v>1778</v>
      </c>
      <c r="BK237" t="s">
        <v>609</v>
      </c>
      <c r="BL237" t="s">
        <v>19</v>
      </c>
      <c r="BM237">
        <v>77006</v>
      </c>
    </row>
    <row r="238" spans="1:65" ht="14.45" customHeight="1">
      <c r="A238" s="155"/>
      <c r="B238" s="30">
        <f t="shared" si="14"/>
        <v>77007</v>
      </c>
      <c r="C238" s="30" t="s">
        <v>2202</v>
      </c>
      <c r="D238" s="30"/>
      <c r="E238" s="30" t="s">
        <v>2180</v>
      </c>
      <c r="F238" s="31" t="s">
        <v>2186</v>
      </c>
      <c r="G238" s="30" t="s">
        <v>1782</v>
      </c>
      <c r="H238" s="30"/>
      <c r="I238" s="30"/>
      <c r="J238" s="30"/>
      <c r="K238" s="30" t="s">
        <v>2184</v>
      </c>
      <c r="L238" s="30" t="s">
        <v>2187</v>
      </c>
      <c r="M238" s="30" t="s">
        <v>2180</v>
      </c>
      <c r="N238" s="30"/>
      <c r="P238" s="30"/>
      <c r="Q238" s="30"/>
      <c r="R238" s="30"/>
      <c r="S238" s="30"/>
      <c r="T238" s="31"/>
      <c r="U238" s="30"/>
      <c r="V238" s="30"/>
      <c r="W238" s="30"/>
      <c r="X238" s="30"/>
      <c r="Y238" s="30"/>
      <c r="Z238" s="30"/>
      <c r="AA238" s="30"/>
      <c r="AB238" s="30"/>
      <c r="AC238" s="30"/>
      <c r="AD238" s="30"/>
      <c r="AE238" s="30"/>
      <c r="AF238" s="30" t="str">
        <f t="shared" si="15"/>
        <v>SP_30A              KS_CPM_E</v>
      </c>
      <c r="AG238" s="30" t="s">
        <v>2182</v>
      </c>
      <c r="AH238">
        <v>3</v>
      </c>
      <c r="AI238">
        <v>77007</v>
      </c>
      <c r="AJ238" t="s">
        <v>1779</v>
      </c>
      <c r="AK238" t="s">
        <v>19</v>
      </c>
      <c r="AL238" t="s">
        <v>19</v>
      </c>
      <c r="AM238" t="s">
        <v>1780</v>
      </c>
      <c r="AN238" t="s">
        <v>1781</v>
      </c>
      <c r="AO238" t="s">
        <v>1782</v>
      </c>
      <c r="AP238">
        <v>1</v>
      </c>
      <c r="AQ238" t="s">
        <v>201</v>
      </c>
      <c r="AR238" t="s">
        <v>19</v>
      </c>
      <c r="AS238" t="s">
        <v>19</v>
      </c>
      <c r="AT238" t="s">
        <v>19</v>
      </c>
      <c r="AU238" t="s">
        <v>81</v>
      </c>
      <c r="AV238" t="s">
        <v>81</v>
      </c>
      <c r="AW238" t="s">
        <v>88</v>
      </c>
      <c r="AX238" t="s">
        <v>89</v>
      </c>
      <c r="AY238">
        <v>3</v>
      </c>
      <c r="AZ238" t="s">
        <v>90</v>
      </c>
      <c r="BA238" t="s">
        <v>35</v>
      </c>
      <c r="BB238" t="s">
        <v>19</v>
      </c>
      <c r="BC238" t="s">
        <v>1783</v>
      </c>
      <c r="BD238" t="s">
        <v>1115</v>
      </c>
      <c r="BE238" t="s">
        <v>19</v>
      </c>
      <c r="BF238" t="s">
        <v>19</v>
      </c>
      <c r="BG238">
        <v>1337</v>
      </c>
      <c r="BH238" t="s">
        <v>1784</v>
      </c>
      <c r="BI238">
        <v>0.35</v>
      </c>
      <c r="BJ238" t="s">
        <v>1785</v>
      </c>
      <c r="BK238" t="s">
        <v>609</v>
      </c>
      <c r="BL238" t="s">
        <v>612</v>
      </c>
      <c r="BM238">
        <v>77007</v>
      </c>
    </row>
    <row r="239" spans="1:65" ht="14.45" customHeight="1">
      <c r="A239" s="155"/>
      <c r="B239" s="30">
        <f t="shared" si="14"/>
        <v>77008</v>
      </c>
      <c r="C239" s="30" t="s">
        <v>2202</v>
      </c>
      <c r="D239" s="30"/>
      <c r="E239" s="30" t="s">
        <v>2180</v>
      </c>
      <c r="F239" s="31" t="s">
        <v>2186</v>
      </c>
      <c r="G239" s="30" t="s">
        <v>1782</v>
      </c>
      <c r="H239" s="30"/>
      <c r="I239" s="30"/>
      <c r="J239" s="30"/>
      <c r="K239" s="30" t="s">
        <v>2184</v>
      </c>
      <c r="L239" s="30" t="s">
        <v>2180</v>
      </c>
      <c r="M239" s="30" t="s">
        <v>2187</v>
      </c>
      <c r="N239" s="30"/>
      <c r="P239" s="30"/>
      <c r="Q239" s="30"/>
      <c r="R239" s="30"/>
      <c r="S239" s="30"/>
      <c r="T239" s="31"/>
      <c r="U239" s="30"/>
      <c r="V239" s="30"/>
      <c r="W239" s="30"/>
      <c r="X239" s="30"/>
      <c r="Y239" s="30"/>
      <c r="Z239" s="30"/>
      <c r="AA239" s="30"/>
      <c r="AB239" s="30"/>
      <c r="AC239" s="30"/>
      <c r="AD239" s="30"/>
      <c r="AE239" s="30"/>
      <c r="AF239" s="30" t="str">
        <f t="shared" si="15"/>
        <v>STO52A              SP_30A</v>
      </c>
      <c r="AG239" s="30" t="s">
        <v>2182</v>
      </c>
      <c r="AH239">
        <v>3</v>
      </c>
      <c r="AI239">
        <v>77008</v>
      </c>
      <c r="AJ239" t="s">
        <v>1786</v>
      </c>
      <c r="AK239" t="s">
        <v>19</v>
      </c>
      <c r="AL239" t="s">
        <v>199</v>
      </c>
      <c r="AM239" t="s">
        <v>199</v>
      </c>
      <c r="AN239" t="s">
        <v>198</v>
      </c>
      <c r="AO239" t="s">
        <v>200</v>
      </c>
      <c r="AP239" t="s">
        <v>1518</v>
      </c>
      <c r="AQ239" t="s">
        <v>201</v>
      </c>
      <c r="AR239" t="s">
        <v>42</v>
      </c>
      <c r="AS239" t="s">
        <v>19</v>
      </c>
      <c r="AT239" t="s">
        <v>19</v>
      </c>
      <c r="AU239" t="s">
        <v>19</v>
      </c>
      <c r="AV239" t="s">
        <v>1780</v>
      </c>
      <c r="AW239" t="s">
        <v>1781</v>
      </c>
      <c r="AX239" t="s">
        <v>1782</v>
      </c>
      <c r="AY239">
        <v>1</v>
      </c>
      <c r="AZ239" t="s">
        <v>201</v>
      </c>
      <c r="BA239" t="s">
        <v>19</v>
      </c>
      <c r="BB239" t="s">
        <v>19</v>
      </c>
      <c r="BC239" t="s">
        <v>1783</v>
      </c>
      <c r="BD239" t="s">
        <v>1115</v>
      </c>
      <c r="BE239" t="s">
        <v>19</v>
      </c>
      <c r="BF239" t="s">
        <v>19</v>
      </c>
      <c r="BG239">
        <v>63</v>
      </c>
      <c r="BH239" t="s">
        <v>1784</v>
      </c>
      <c r="BI239">
        <v>0.35</v>
      </c>
      <c r="BJ239" t="s">
        <v>1785</v>
      </c>
      <c r="BK239" t="s">
        <v>609</v>
      </c>
      <c r="BL239" t="s">
        <v>612</v>
      </c>
      <c r="BM239">
        <v>77008</v>
      </c>
    </row>
    <row r="240" spans="1:65" ht="14.45" customHeight="1">
      <c r="A240" s="155"/>
      <c r="B240" s="30">
        <f t="shared" si="14"/>
        <v>77009</v>
      </c>
      <c r="C240" s="30" t="s">
        <v>2202</v>
      </c>
      <c r="D240" s="30"/>
      <c r="E240" s="30" t="s">
        <v>2180</v>
      </c>
      <c r="F240" s="31" t="s">
        <v>2186</v>
      </c>
      <c r="G240" s="30" t="s">
        <v>1782</v>
      </c>
      <c r="H240" s="30"/>
      <c r="I240" s="30"/>
      <c r="J240" s="30"/>
      <c r="K240" s="30" t="s">
        <v>2184</v>
      </c>
      <c r="L240" s="30" t="s">
        <v>2187</v>
      </c>
      <c r="M240" s="30" t="s">
        <v>2180</v>
      </c>
      <c r="N240" s="30"/>
      <c r="P240" s="30"/>
      <c r="Q240" s="30"/>
      <c r="R240" s="30"/>
      <c r="S240" s="30"/>
      <c r="T240" s="31"/>
      <c r="U240" s="30"/>
      <c r="V240" s="30"/>
      <c r="W240" s="30"/>
      <c r="X240" s="30"/>
      <c r="Y240" s="30"/>
      <c r="Z240" s="30"/>
      <c r="AA240" s="30"/>
      <c r="AB240" s="30"/>
      <c r="AC240" s="30"/>
      <c r="AD240" s="30"/>
      <c r="AE240" s="30"/>
      <c r="AF240" s="30" t="str">
        <f t="shared" si="15"/>
        <v>SP_30A              KS_CPR_C</v>
      </c>
      <c r="AG240" s="30" t="s">
        <v>2182</v>
      </c>
      <c r="AH240">
        <v>3</v>
      </c>
      <c r="AI240">
        <v>77009</v>
      </c>
      <c r="AJ240" t="s">
        <v>1787</v>
      </c>
      <c r="AK240" t="s">
        <v>19</v>
      </c>
      <c r="AL240" t="s">
        <v>19</v>
      </c>
      <c r="AM240" t="s">
        <v>1780</v>
      </c>
      <c r="AN240" t="s">
        <v>1781</v>
      </c>
      <c r="AO240" t="s">
        <v>1782</v>
      </c>
      <c r="AP240">
        <v>1</v>
      </c>
      <c r="AQ240" t="s">
        <v>201</v>
      </c>
      <c r="AR240" t="s">
        <v>19</v>
      </c>
      <c r="AS240" t="s">
        <v>19</v>
      </c>
      <c r="AT240" t="s">
        <v>19</v>
      </c>
      <c r="AU240" t="s">
        <v>96</v>
      </c>
      <c r="AV240" t="s">
        <v>96</v>
      </c>
      <c r="AW240" t="s">
        <v>103</v>
      </c>
      <c r="AX240" t="s">
        <v>104</v>
      </c>
      <c r="AY240">
        <v>11</v>
      </c>
      <c r="AZ240" t="s">
        <v>105</v>
      </c>
      <c r="BA240" t="s">
        <v>35</v>
      </c>
      <c r="BB240" t="s">
        <v>19</v>
      </c>
      <c r="BC240" t="s">
        <v>1783</v>
      </c>
      <c r="BD240" t="s">
        <v>1115</v>
      </c>
      <c r="BE240" t="s">
        <v>19</v>
      </c>
      <c r="BF240" t="s">
        <v>19</v>
      </c>
      <c r="BG240">
        <v>266</v>
      </c>
      <c r="BH240" t="s">
        <v>1784</v>
      </c>
      <c r="BI240">
        <v>0.35</v>
      </c>
      <c r="BJ240" t="s">
        <v>1785</v>
      </c>
      <c r="BK240" t="s">
        <v>609</v>
      </c>
      <c r="BL240" t="s">
        <v>19</v>
      </c>
      <c r="BM240">
        <v>77009</v>
      </c>
    </row>
    <row r="241" spans="1:65" ht="14.45" customHeight="1">
      <c r="A241" s="155"/>
      <c r="B241" s="30">
        <f t="shared" si="14"/>
        <v>77010</v>
      </c>
      <c r="C241" s="30" t="s">
        <v>2202</v>
      </c>
      <c r="D241" s="30"/>
      <c r="E241" s="30" t="s">
        <v>2180</v>
      </c>
      <c r="F241" s="31"/>
      <c r="G241" s="30"/>
      <c r="H241" s="30"/>
      <c r="I241" s="30"/>
      <c r="J241" s="30"/>
      <c r="K241" s="30"/>
      <c r="L241" s="30" t="s">
        <v>2180</v>
      </c>
      <c r="M241" s="30" t="s">
        <v>2180</v>
      </c>
      <c r="N241" s="30"/>
      <c r="P241" s="30"/>
      <c r="Q241" s="30"/>
      <c r="R241" s="30"/>
      <c r="S241" s="30"/>
      <c r="T241" s="31"/>
      <c r="U241" s="30"/>
      <c r="V241" s="30"/>
      <c r="W241" s="30"/>
      <c r="X241" s="30"/>
      <c r="Y241" s="30"/>
      <c r="Z241" s="30"/>
      <c r="AA241" s="30"/>
      <c r="AB241" s="30"/>
      <c r="AC241" s="30"/>
      <c r="AD241" s="30"/>
      <c r="AE241" s="30"/>
      <c r="AF241" s="30" t="str">
        <f t="shared" si="15"/>
        <v>KS_CPR_C            MIB_E</v>
      </c>
      <c r="AG241" s="30" t="s">
        <v>2182</v>
      </c>
      <c r="AH241">
        <v>3</v>
      </c>
      <c r="AI241">
        <v>77010</v>
      </c>
      <c r="AJ241" t="s">
        <v>1788</v>
      </c>
      <c r="AK241" t="s">
        <v>19</v>
      </c>
      <c r="AL241" t="s">
        <v>96</v>
      </c>
      <c r="AM241" t="s">
        <v>96</v>
      </c>
      <c r="AN241" t="s">
        <v>103</v>
      </c>
      <c r="AO241" t="s">
        <v>104</v>
      </c>
      <c r="AP241">
        <v>6</v>
      </c>
      <c r="AQ241" t="s">
        <v>105</v>
      </c>
      <c r="AR241" t="s">
        <v>40</v>
      </c>
      <c r="AS241" t="s">
        <v>19</v>
      </c>
      <c r="AT241" t="s">
        <v>19</v>
      </c>
      <c r="AU241" t="s">
        <v>249</v>
      </c>
      <c r="AV241" t="s">
        <v>250</v>
      </c>
      <c r="AW241" t="s">
        <v>272</v>
      </c>
      <c r="AX241" t="s">
        <v>273</v>
      </c>
      <c r="AY241">
        <v>5</v>
      </c>
      <c r="AZ241" t="s">
        <v>264</v>
      </c>
      <c r="BA241" t="s">
        <v>41</v>
      </c>
      <c r="BB241" t="s">
        <v>19</v>
      </c>
      <c r="BC241" t="s">
        <v>1789</v>
      </c>
      <c r="BD241" t="s">
        <v>1115</v>
      </c>
      <c r="BE241" t="s">
        <v>19</v>
      </c>
      <c r="BF241" t="s">
        <v>19</v>
      </c>
      <c r="BG241">
        <v>1674</v>
      </c>
      <c r="BH241" t="s">
        <v>1304</v>
      </c>
      <c r="BI241">
        <v>0.13</v>
      </c>
      <c r="BJ241" t="s">
        <v>1790</v>
      </c>
      <c r="BK241" t="s">
        <v>609</v>
      </c>
      <c r="BL241" t="s">
        <v>19</v>
      </c>
      <c r="BM241">
        <v>77010</v>
      </c>
    </row>
    <row r="242" spans="1:65" ht="14.45" customHeight="1">
      <c r="A242" s="155"/>
      <c r="B242" s="30"/>
      <c r="C242" s="30" t="s">
        <v>2203</v>
      </c>
      <c r="D242" s="30"/>
      <c r="E242" s="30"/>
      <c r="F242" s="31"/>
      <c r="G242" s="30"/>
      <c r="H242" s="30"/>
      <c r="I242" s="30"/>
      <c r="J242" s="30"/>
      <c r="K242" s="30"/>
      <c r="L242" s="30"/>
      <c r="M242" s="30"/>
      <c r="N242" s="30"/>
      <c r="P242" s="30"/>
      <c r="Q242" s="30"/>
      <c r="R242" s="30"/>
      <c r="S242" s="30"/>
      <c r="T242" s="31"/>
      <c r="U242" s="30"/>
      <c r="V242" s="30"/>
      <c r="W242" s="30"/>
      <c r="X242" s="30"/>
      <c r="Y242" s="30"/>
      <c r="Z242" s="30"/>
      <c r="AA242" s="30"/>
      <c r="AB242" s="30"/>
      <c r="AC242" s="30"/>
      <c r="AD242" s="30"/>
      <c r="AE242" s="30"/>
      <c r="AF242" s="30" t="str">
        <f t="shared" si="15"/>
        <v xml:space="preserve">                    </v>
      </c>
      <c r="AG242" s="30"/>
      <c r="AH242">
        <v>1</v>
      </c>
      <c r="AI242" t="s">
        <v>630</v>
      </c>
    </row>
    <row r="243" spans="1:65" ht="14.45" customHeight="1">
      <c r="A243" s="155"/>
      <c r="B243" s="30"/>
      <c r="C243" s="30" t="s">
        <v>2203</v>
      </c>
      <c r="D243" s="30"/>
      <c r="E243" s="30"/>
      <c r="F243" s="31"/>
      <c r="G243" s="30"/>
      <c r="H243" s="30"/>
      <c r="I243" s="30"/>
      <c r="J243" s="30"/>
      <c r="K243" s="30"/>
      <c r="L243" s="30"/>
      <c r="M243" s="30"/>
      <c r="N243" s="30"/>
      <c r="P243" s="30"/>
      <c r="Q243" s="30"/>
      <c r="R243" s="30"/>
      <c r="S243" s="30"/>
      <c r="T243" s="31"/>
      <c r="U243" s="30"/>
      <c r="V243" s="30"/>
      <c r="W243" s="30"/>
      <c r="X243" s="30"/>
      <c r="Y243" s="30"/>
      <c r="Z243" s="30"/>
      <c r="AA243" s="30"/>
      <c r="AB243" s="30"/>
      <c r="AC243" s="30"/>
      <c r="AD243" s="30"/>
      <c r="AE243" s="32">
        <v>1</v>
      </c>
      <c r="AF243" s="30"/>
      <c r="AG243" s="30"/>
      <c r="AH243">
        <v>2</v>
      </c>
      <c r="AI243" t="s">
        <v>1</v>
      </c>
      <c r="AJ243" t="s">
        <v>631</v>
      </c>
      <c r="AK243" t="s">
        <v>632</v>
      </c>
      <c r="AL243" t="s">
        <v>633</v>
      </c>
      <c r="AN243" t="s">
        <v>1770</v>
      </c>
      <c r="AO243" t="s">
        <v>1074</v>
      </c>
    </row>
    <row r="244" spans="1:65" ht="14.45" customHeight="1">
      <c r="A244" s="155"/>
      <c r="B244" s="30"/>
      <c r="C244" s="30" t="s">
        <v>2203</v>
      </c>
      <c r="D244" s="30"/>
      <c r="E244" s="30"/>
      <c r="F244" s="31"/>
      <c r="G244" s="30"/>
      <c r="H244" s="30"/>
      <c r="I244" s="30"/>
      <c r="J244" s="30"/>
      <c r="K244" s="30"/>
      <c r="L244" s="30"/>
      <c r="M244" s="30"/>
      <c r="N244" s="30"/>
      <c r="P244" s="30"/>
      <c r="Q244" s="30"/>
      <c r="R244" s="30"/>
      <c r="S244" s="30"/>
      <c r="T244" s="31"/>
      <c r="U244" s="30"/>
      <c r="V244" s="30"/>
      <c r="W244" s="30"/>
      <c r="X244" s="30"/>
      <c r="Y244" s="30"/>
      <c r="Z244" s="30"/>
      <c r="AA244" s="30"/>
      <c r="AB244" s="30"/>
      <c r="AC244" s="30"/>
      <c r="AD244" s="30"/>
      <c r="AE244" s="30"/>
      <c r="AF244" s="30" t="str">
        <f t="shared" si="15"/>
        <v>Kurzname            Kurzname</v>
      </c>
      <c r="AG244" s="30"/>
      <c r="AH244">
        <v>0</v>
      </c>
      <c r="AI244" t="s">
        <v>1075</v>
      </c>
      <c r="AJ244" t="s">
        <v>1076</v>
      </c>
      <c r="AK244" t="s">
        <v>1077</v>
      </c>
      <c r="AL244" t="s">
        <v>8</v>
      </c>
      <c r="AM244" t="s">
        <v>8</v>
      </c>
      <c r="AN244" t="s">
        <v>1078</v>
      </c>
      <c r="AO244" t="s">
        <v>9</v>
      </c>
      <c r="AP244" t="s">
        <v>1079</v>
      </c>
      <c r="AQ244" t="s">
        <v>10</v>
      </c>
      <c r="AR244" t="s">
        <v>26</v>
      </c>
      <c r="AS244" t="s">
        <v>1080</v>
      </c>
      <c r="AT244" t="s">
        <v>1077</v>
      </c>
      <c r="AU244" t="s">
        <v>8</v>
      </c>
      <c r="AV244" t="s">
        <v>8</v>
      </c>
      <c r="AW244" t="s">
        <v>1081</v>
      </c>
      <c r="AX244" t="s">
        <v>9</v>
      </c>
      <c r="AY244" t="s">
        <v>1079</v>
      </c>
      <c r="AZ244" t="s">
        <v>10</v>
      </c>
      <c r="BA244" t="s">
        <v>26</v>
      </c>
      <c r="BB244" t="s">
        <v>1080</v>
      </c>
      <c r="BC244" t="s">
        <v>1082</v>
      </c>
      <c r="BD244" t="s">
        <v>1083</v>
      </c>
      <c r="BE244" t="s">
        <v>1084</v>
      </c>
      <c r="BF244" t="s">
        <v>1085</v>
      </c>
      <c r="BG244" t="s">
        <v>1086</v>
      </c>
      <c r="BH244" t="s">
        <v>14</v>
      </c>
      <c r="BI244" t="s">
        <v>1087</v>
      </c>
      <c r="BJ244" t="s">
        <v>1088</v>
      </c>
      <c r="BK244" t="s">
        <v>1</v>
      </c>
      <c r="BL244" t="s">
        <v>1075</v>
      </c>
    </row>
    <row r="245" spans="1:65" ht="14.45" customHeight="1">
      <c r="A245" s="155"/>
      <c r="B245" s="30">
        <f t="shared" si="14"/>
        <v>89001</v>
      </c>
      <c r="C245" s="30" t="s">
        <v>2203</v>
      </c>
      <c r="D245" s="30"/>
      <c r="E245" s="30" t="s">
        <v>2180</v>
      </c>
      <c r="F245" s="31"/>
      <c r="G245" s="30"/>
      <c r="H245" s="30"/>
      <c r="I245" s="30"/>
      <c r="J245" s="30"/>
      <c r="K245" s="30"/>
      <c r="L245" s="30" t="s">
        <v>2180</v>
      </c>
      <c r="M245" s="30" t="s">
        <v>2180</v>
      </c>
      <c r="N245" s="30"/>
      <c r="P245" s="30"/>
      <c r="Q245" s="30"/>
      <c r="R245" s="30"/>
      <c r="S245" s="30"/>
      <c r="T245" s="31"/>
      <c r="U245" s="30"/>
      <c r="V245" s="30"/>
      <c r="W245" s="30"/>
      <c r="X245" s="30"/>
      <c r="Y245" s="30"/>
      <c r="Z245" s="30"/>
      <c r="AA245" s="30"/>
      <c r="AB245" s="30"/>
      <c r="AC245" s="30"/>
      <c r="AD245" s="30"/>
      <c r="AE245" s="30"/>
      <c r="AF245" s="30" t="str">
        <f t="shared" si="15"/>
        <v>STO51A              SMLS02P</v>
      </c>
      <c r="AG245" s="30" t="s">
        <v>2182</v>
      </c>
      <c r="AH245">
        <v>3</v>
      </c>
      <c r="AI245">
        <v>89001</v>
      </c>
      <c r="AJ245" t="s">
        <v>1791</v>
      </c>
      <c r="AK245" t="s">
        <v>19</v>
      </c>
      <c r="AL245" t="s">
        <v>171</v>
      </c>
      <c r="AM245" t="s">
        <v>171</v>
      </c>
      <c r="AN245" t="s">
        <v>170</v>
      </c>
      <c r="AO245" t="s">
        <v>172</v>
      </c>
      <c r="AP245" t="s">
        <v>1335</v>
      </c>
      <c r="AQ245" t="s">
        <v>173</v>
      </c>
      <c r="AR245" t="s">
        <v>43</v>
      </c>
      <c r="AS245" t="s">
        <v>19</v>
      </c>
      <c r="AT245" t="s">
        <v>19</v>
      </c>
      <c r="AU245" t="s">
        <v>140</v>
      </c>
      <c r="AV245" t="s">
        <v>140</v>
      </c>
      <c r="AW245" t="s">
        <v>139</v>
      </c>
      <c r="AX245" t="s">
        <v>141</v>
      </c>
      <c r="AY245">
        <v>15</v>
      </c>
      <c r="AZ245" t="s">
        <v>142</v>
      </c>
      <c r="BA245" t="s">
        <v>29</v>
      </c>
      <c r="BB245" t="s">
        <v>19</v>
      </c>
      <c r="BC245" t="s">
        <v>1792</v>
      </c>
      <c r="BD245" t="s">
        <v>1115</v>
      </c>
      <c r="BE245" t="s">
        <v>19</v>
      </c>
      <c r="BF245" t="s">
        <v>19</v>
      </c>
      <c r="BG245">
        <v>1240</v>
      </c>
      <c r="BH245" t="s">
        <v>1284</v>
      </c>
      <c r="BI245">
        <v>0.75</v>
      </c>
      <c r="BJ245" t="s">
        <v>1793</v>
      </c>
      <c r="BK245" t="s">
        <v>631</v>
      </c>
      <c r="BL245">
        <v>89001</v>
      </c>
    </row>
    <row r="246" spans="1:65" ht="14.45" customHeight="1">
      <c r="A246" s="155"/>
      <c r="B246" s="30"/>
      <c r="C246" s="30" t="s">
        <v>2204</v>
      </c>
      <c r="D246" s="30"/>
      <c r="E246" s="30"/>
      <c r="F246" s="31"/>
      <c r="G246" s="30"/>
      <c r="H246" s="30"/>
      <c r="I246" s="30"/>
      <c r="J246" s="30"/>
      <c r="K246" s="30"/>
      <c r="L246" s="30"/>
      <c r="M246" s="30"/>
      <c r="N246" s="30"/>
      <c r="P246" s="30"/>
      <c r="Q246" s="30"/>
      <c r="R246" s="30"/>
      <c r="S246" s="30"/>
      <c r="T246" s="31"/>
      <c r="U246" s="30"/>
      <c r="V246" s="30"/>
      <c r="W246" s="30"/>
      <c r="X246" s="30"/>
      <c r="Y246" s="30"/>
      <c r="Z246" s="30"/>
      <c r="AA246" s="30"/>
      <c r="AB246" s="30"/>
      <c r="AC246" s="30"/>
      <c r="AD246" s="30"/>
      <c r="AE246" s="30"/>
      <c r="AF246" s="30" t="str">
        <f t="shared" si="15"/>
        <v xml:space="preserve">                    </v>
      </c>
      <c r="AG246" s="30"/>
      <c r="AH246">
        <v>1</v>
      </c>
      <c r="AI246" t="s">
        <v>636</v>
      </c>
    </row>
    <row r="247" spans="1:65" ht="14.45" customHeight="1">
      <c r="A247" s="155"/>
      <c r="B247" s="30"/>
      <c r="C247" s="30" t="s">
        <v>2204</v>
      </c>
      <c r="D247" s="30"/>
      <c r="E247" s="30"/>
      <c r="F247" s="31"/>
      <c r="G247" s="30"/>
      <c r="H247" s="30"/>
      <c r="I247" s="30"/>
      <c r="J247" s="30"/>
      <c r="K247" s="30"/>
      <c r="L247" s="30"/>
      <c r="M247" s="30"/>
      <c r="N247" s="30"/>
      <c r="P247" s="30"/>
      <c r="Q247" s="30"/>
      <c r="R247" s="30"/>
      <c r="S247" s="30"/>
      <c r="T247" s="31"/>
      <c r="U247" s="30"/>
      <c r="V247" s="30"/>
      <c r="W247" s="30"/>
      <c r="X247" s="30"/>
      <c r="Y247" s="30"/>
      <c r="Z247" s="30"/>
      <c r="AA247" s="30"/>
      <c r="AB247" s="30"/>
      <c r="AC247" s="30"/>
      <c r="AD247" s="30"/>
      <c r="AE247" s="30"/>
      <c r="AF247" s="30"/>
      <c r="AG247" s="30"/>
      <c r="AH247">
        <v>2</v>
      </c>
      <c r="AI247" t="s">
        <v>1</v>
      </c>
      <c r="AJ247" t="s">
        <v>637</v>
      </c>
      <c r="AK247" t="s">
        <v>638</v>
      </c>
      <c r="AL247" t="s">
        <v>639</v>
      </c>
      <c r="AN247" t="s">
        <v>1794</v>
      </c>
      <c r="AO247" t="s">
        <v>1074</v>
      </c>
    </row>
    <row r="248" spans="1:65" ht="14.45" customHeight="1">
      <c r="A248" s="155"/>
      <c r="B248" s="30"/>
      <c r="C248" s="30" t="s">
        <v>2204</v>
      </c>
      <c r="D248" s="30"/>
      <c r="E248" s="30"/>
      <c r="F248" s="31"/>
      <c r="G248" s="30"/>
      <c r="H248" s="30"/>
      <c r="I248" s="30"/>
      <c r="J248" s="30"/>
      <c r="K248" s="30"/>
      <c r="L248" s="30"/>
      <c r="M248" s="30"/>
      <c r="N248" s="30"/>
      <c r="P248" s="30"/>
      <c r="Q248" s="30"/>
      <c r="R248" s="30"/>
      <c r="S248" s="30"/>
      <c r="T248" s="31"/>
      <c r="U248" s="30"/>
      <c r="V248" s="30"/>
      <c r="W248" s="30"/>
      <c r="X248" s="30"/>
      <c r="Y248" s="30"/>
      <c r="Z248" s="30"/>
      <c r="AA248" s="30"/>
      <c r="AB248" s="30"/>
      <c r="AC248" s="30"/>
      <c r="AD248" s="30"/>
      <c r="AE248" s="30"/>
      <c r="AF248" s="30" t="str">
        <f t="shared" si="15"/>
        <v>Kurzname            Kurzname</v>
      </c>
      <c r="AG248" s="30"/>
      <c r="AH248">
        <v>0</v>
      </c>
      <c r="AI248" t="s">
        <v>1075</v>
      </c>
      <c r="AJ248" t="s">
        <v>1076</v>
      </c>
      <c r="AK248" t="s">
        <v>1077</v>
      </c>
      <c r="AL248" t="s">
        <v>8</v>
      </c>
      <c r="AM248" t="s">
        <v>8</v>
      </c>
      <c r="AN248" t="s">
        <v>1078</v>
      </c>
      <c r="AO248" t="s">
        <v>9</v>
      </c>
      <c r="AP248" t="s">
        <v>1079</v>
      </c>
      <c r="AQ248" t="s">
        <v>10</v>
      </c>
      <c r="AR248" t="s">
        <v>26</v>
      </c>
      <c r="AS248" t="s">
        <v>1080</v>
      </c>
      <c r="AT248" t="s">
        <v>1077</v>
      </c>
      <c r="AU248" t="s">
        <v>8</v>
      </c>
      <c r="AV248" t="s">
        <v>8</v>
      </c>
      <c r="AW248" t="s">
        <v>1081</v>
      </c>
      <c r="AX248" t="s">
        <v>9</v>
      </c>
      <c r="AY248" t="s">
        <v>1079</v>
      </c>
      <c r="AZ248" t="s">
        <v>10</v>
      </c>
      <c r="BA248" t="s">
        <v>26</v>
      </c>
      <c r="BB248" t="s">
        <v>1080</v>
      </c>
      <c r="BC248" t="s">
        <v>1082</v>
      </c>
      <c r="BD248" t="s">
        <v>1083</v>
      </c>
      <c r="BE248" t="s">
        <v>1084</v>
      </c>
      <c r="BF248" t="s">
        <v>1085</v>
      </c>
      <c r="BG248" t="s">
        <v>1086</v>
      </c>
      <c r="BH248" t="s">
        <v>14</v>
      </c>
      <c r="BI248" t="s">
        <v>1087</v>
      </c>
      <c r="BJ248" t="s">
        <v>1088</v>
      </c>
      <c r="BK248" t="s">
        <v>1</v>
      </c>
      <c r="BL248" t="s">
        <v>1075</v>
      </c>
    </row>
    <row r="249" spans="1:65" ht="14.45" customHeight="1">
      <c r="A249" s="155"/>
      <c r="B249" s="30">
        <f t="shared" si="14"/>
        <v>128001</v>
      </c>
      <c r="C249" s="30" t="s">
        <v>2204</v>
      </c>
      <c r="D249" s="30"/>
      <c r="E249" s="30" t="s">
        <v>2180</v>
      </c>
      <c r="F249" s="31"/>
      <c r="G249" s="30"/>
      <c r="H249" s="30"/>
      <c r="I249" s="30"/>
      <c r="J249" s="30"/>
      <c r="K249" s="30"/>
      <c r="L249" s="30" t="s">
        <v>2180</v>
      </c>
      <c r="M249" s="30" t="s">
        <v>2180</v>
      </c>
      <c r="N249" s="30"/>
      <c r="P249" s="30"/>
      <c r="Q249" s="30"/>
      <c r="R249" s="30"/>
      <c r="S249" s="30"/>
      <c r="T249" s="31"/>
      <c r="U249" s="30"/>
      <c r="V249" s="30"/>
      <c r="W249" s="30"/>
      <c r="X249" s="30"/>
      <c r="Y249" s="30"/>
      <c r="Z249" s="30"/>
      <c r="AA249" s="30"/>
      <c r="AB249" s="30"/>
      <c r="AC249" s="30"/>
      <c r="AD249" s="30"/>
      <c r="AE249" s="30"/>
      <c r="AF249" s="30" t="str">
        <f t="shared" si="15"/>
        <v>LSP21P              KS_CPL_B</v>
      </c>
      <c r="AG249" s="30" t="s">
        <v>2182</v>
      </c>
      <c r="AH249">
        <v>3</v>
      </c>
      <c r="AI249">
        <v>128001</v>
      </c>
      <c r="AJ249" t="s">
        <v>1795</v>
      </c>
      <c r="AK249" t="s">
        <v>19</v>
      </c>
      <c r="AL249" t="s">
        <v>642</v>
      </c>
      <c r="AM249" t="s">
        <v>643</v>
      </c>
      <c r="AN249" t="s">
        <v>641</v>
      </c>
      <c r="AO249" t="s">
        <v>644</v>
      </c>
      <c r="AP249">
        <v>1</v>
      </c>
      <c r="AQ249" t="s">
        <v>645</v>
      </c>
      <c r="AR249" t="s">
        <v>27</v>
      </c>
      <c r="AS249" t="s">
        <v>19</v>
      </c>
      <c r="AT249" t="s">
        <v>19</v>
      </c>
      <c r="AU249" t="s">
        <v>55</v>
      </c>
      <c r="AV249" t="s">
        <v>55</v>
      </c>
      <c r="AW249" t="s">
        <v>63</v>
      </c>
      <c r="AX249" t="s">
        <v>64</v>
      </c>
      <c r="AY249">
        <v>13</v>
      </c>
      <c r="AZ249" t="s">
        <v>65</v>
      </c>
      <c r="BA249" t="s">
        <v>35</v>
      </c>
      <c r="BB249" t="s">
        <v>19</v>
      </c>
      <c r="BC249" t="s">
        <v>1796</v>
      </c>
      <c r="BD249" t="s">
        <v>1115</v>
      </c>
      <c r="BE249" t="s">
        <v>1797</v>
      </c>
      <c r="BF249" t="s">
        <v>1798</v>
      </c>
      <c r="BG249">
        <v>535</v>
      </c>
      <c r="BH249" t="s">
        <v>1608</v>
      </c>
      <c r="BI249">
        <v>0.35</v>
      </c>
      <c r="BJ249" t="s">
        <v>1799</v>
      </c>
      <c r="BK249" t="s">
        <v>637</v>
      </c>
      <c r="BL249">
        <v>128001</v>
      </c>
    </row>
    <row r="250" spans="1:65" ht="14.45" customHeight="1">
      <c r="A250" s="155"/>
      <c r="B250" s="30">
        <f t="shared" si="14"/>
        <v>128002</v>
      </c>
      <c r="C250" s="30" t="s">
        <v>2204</v>
      </c>
      <c r="D250" s="30"/>
      <c r="E250" s="30" t="s">
        <v>2180</v>
      </c>
      <c r="F250" s="31"/>
      <c r="G250" s="30"/>
      <c r="H250" s="30"/>
      <c r="I250" s="30"/>
      <c r="J250" s="30"/>
      <c r="K250" s="30"/>
      <c r="L250" s="30" t="s">
        <v>2180</v>
      </c>
      <c r="M250" s="30" t="s">
        <v>2180</v>
      </c>
      <c r="N250" s="30"/>
      <c r="P250" s="30"/>
      <c r="Q250" s="30"/>
      <c r="R250" s="30"/>
      <c r="S250" s="30"/>
      <c r="T250" s="31"/>
      <c r="U250" s="30"/>
      <c r="V250" s="30"/>
      <c r="W250" s="30"/>
      <c r="X250" s="30"/>
      <c r="Y250" s="30"/>
      <c r="Z250" s="30"/>
      <c r="AA250" s="30"/>
      <c r="AB250" s="30"/>
      <c r="AC250" s="30"/>
      <c r="AD250" s="30"/>
      <c r="AE250" s="30"/>
      <c r="AF250" s="30" t="str">
        <f t="shared" si="15"/>
        <v>LSP21P              KS_CPL_B</v>
      </c>
      <c r="AG250" s="30" t="s">
        <v>2182</v>
      </c>
      <c r="AH250">
        <v>3</v>
      </c>
      <c r="AI250">
        <v>128002</v>
      </c>
      <c r="AJ250" t="s">
        <v>1800</v>
      </c>
      <c r="AK250" t="s">
        <v>19</v>
      </c>
      <c r="AL250" t="s">
        <v>642</v>
      </c>
      <c r="AM250" t="s">
        <v>643</v>
      </c>
      <c r="AN250" t="s">
        <v>641</v>
      </c>
      <c r="AO250" t="s">
        <v>644</v>
      </c>
      <c r="AP250">
        <v>2</v>
      </c>
      <c r="AQ250" t="s">
        <v>645</v>
      </c>
      <c r="AR250" t="s">
        <v>27</v>
      </c>
      <c r="AS250" t="s">
        <v>19</v>
      </c>
      <c r="AT250" t="s">
        <v>19</v>
      </c>
      <c r="AU250" t="s">
        <v>55</v>
      </c>
      <c r="AV250" t="s">
        <v>55</v>
      </c>
      <c r="AW250" t="s">
        <v>63</v>
      </c>
      <c r="AX250" t="s">
        <v>64</v>
      </c>
      <c r="AY250">
        <v>14</v>
      </c>
      <c r="AZ250" t="s">
        <v>65</v>
      </c>
      <c r="BA250" t="s">
        <v>35</v>
      </c>
      <c r="BB250" t="s">
        <v>19</v>
      </c>
      <c r="BC250" t="s">
        <v>1796</v>
      </c>
      <c r="BD250" t="s">
        <v>1115</v>
      </c>
      <c r="BE250" t="s">
        <v>1797</v>
      </c>
      <c r="BF250" t="s">
        <v>1801</v>
      </c>
      <c r="BG250">
        <v>535</v>
      </c>
      <c r="BH250" t="s">
        <v>1637</v>
      </c>
      <c r="BI250">
        <v>0.35</v>
      </c>
      <c r="BJ250" t="s">
        <v>1802</v>
      </c>
      <c r="BK250" t="s">
        <v>637</v>
      </c>
      <c r="BL250">
        <v>128002</v>
      </c>
    </row>
    <row r="251" spans="1:65" ht="14.45" customHeight="1">
      <c r="A251" s="155"/>
      <c r="B251" s="30"/>
      <c r="C251" s="30" t="s">
        <v>2205</v>
      </c>
      <c r="D251" s="30"/>
      <c r="E251" s="30"/>
      <c r="F251" s="31"/>
      <c r="G251" s="30"/>
      <c r="H251" s="30"/>
      <c r="I251" s="30"/>
      <c r="J251" s="30"/>
      <c r="K251" s="30"/>
      <c r="L251" s="30"/>
      <c r="M251" s="30"/>
      <c r="N251" s="30"/>
      <c r="P251" s="30"/>
      <c r="Q251" s="30"/>
      <c r="R251" s="30"/>
      <c r="S251" s="30"/>
      <c r="T251" s="31"/>
      <c r="U251" s="30"/>
      <c r="V251" s="30"/>
      <c r="W251" s="30"/>
      <c r="X251" s="30"/>
      <c r="Y251" s="30"/>
      <c r="Z251" s="30"/>
      <c r="AA251" s="30"/>
      <c r="AB251" s="30"/>
      <c r="AC251" s="30"/>
      <c r="AD251" s="30"/>
      <c r="AE251" s="30"/>
      <c r="AF251" s="30" t="str">
        <f t="shared" si="15"/>
        <v xml:space="preserve">                    </v>
      </c>
      <c r="AG251" s="30"/>
      <c r="AH251">
        <v>1</v>
      </c>
      <c r="AI251" t="s">
        <v>649</v>
      </c>
    </row>
    <row r="252" spans="1:65" ht="14.45" customHeight="1">
      <c r="A252" s="155"/>
      <c r="B252" s="30"/>
      <c r="C252" s="30" t="s">
        <v>2205</v>
      </c>
      <c r="D252" s="30"/>
      <c r="E252" s="30"/>
      <c r="F252" s="31"/>
      <c r="G252" s="30"/>
      <c r="H252" s="30"/>
      <c r="I252" s="30"/>
      <c r="J252" s="30"/>
      <c r="K252" s="30"/>
      <c r="L252" s="30"/>
      <c r="M252" s="30"/>
      <c r="N252" s="30"/>
      <c r="P252" s="30"/>
      <c r="Q252" s="30"/>
      <c r="R252" s="30"/>
      <c r="S252" s="30"/>
      <c r="T252" s="31"/>
      <c r="U252" s="30"/>
      <c r="V252" s="30"/>
      <c r="W252" s="30"/>
      <c r="X252" s="30"/>
      <c r="Y252" s="30"/>
      <c r="Z252" s="30"/>
      <c r="AA252" s="30"/>
      <c r="AB252" s="30"/>
      <c r="AC252" s="30"/>
      <c r="AD252" s="30"/>
      <c r="AE252" s="30"/>
      <c r="AF252" s="30"/>
      <c r="AG252" s="30"/>
      <c r="AH252">
        <v>2</v>
      </c>
      <c r="AI252" t="s">
        <v>1</v>
      </c>
      <c r="AJ252" t="s">
        <v>650</v>
      </c>
      <c r="AK252" t="s">
        <v>651</v>
      </c>
      <c r="AL252" t="s">
        <v>652</v>
      </c>
      <c r="AN252" t="s">
        <v>1803</v>
      </c>
      <c r="AO252" t="s">
        <v>1074</v>
      </c>
    </row>
    <row r="253" spans="1:65" ht="14.45" customHeight="1">
      <c r="A253" s="155"/>
      <c r="B253" s="30"/>
      <c r="C253" s="30" t="s">
        <v>2205</v>
      </c>
      <c r="D253" s="30"/>
      <c r="E253" s="30"/>
      <c r="F253" s="31"/>
      <c r="G253" s="30"/>
      <c r="H253" s="30"/>
      <c r="I253" s="30"/>
      <c r="J253" s="30"/>
      <c r="K253" s="30"/>
      <c r="L253" s="30"/>
      <c r="M253" s="30"/>
      <c r="N253" s="30"/>
      <c r="P253" s="30"/>
      <c r="Q253" s="30"/>
      <c r="R253" s="30"/>
      <c r="S253" s="30"/>
      <c r="T253" s="31"/>
      <c r="U253" s="30"/>
      <c r="V253" s="30"/>
      <c r="W253" s="30"/>
      <c r="X253" s="30"/>
      <c r="Y253" s="30"/>
      <c r="Z253" s="30"/>
      <c r="AA253" s="30"/>
      <c r="AB253" s="30"/>
      <c r="AC253" s="30"/>
      <c r="AD253" s="30"/>
      <c r="AE253" s="30"/>
      <c r="AF253" s="30"/>
      <c r="AG253" s="30"/>
      <c r="AH253">
        <v>2</v>
      </c>
      <c r="AI253" t="s">
        <v>395</v>
      </c>
      <c r="AJ253" t="s">
        <v>653</v>
      </c>
      <c r="AK253" t="s">
        <v>654</v>
      </c>
      <c r="AL253" t="s">
        <v>655</v>
      </c>
      <c r="AN253" t="s">
        <v>1804</v>
      </c>
      <c r="AO253" t="s">
        <v>1074</v>
      </c>
    </row>
    <row r="254" spans="1:65" ht="14.45" customHeight="1">
      <c r="A254" s="155"/>
      <c r="B254" s="30"/>
      <c r="C254" s="30" t="s">
        <v>2205</v>
      </c>
      <c r="D254" s="30"/>
      <c r="E254" s="30"/>
      <c r="F254" s="31"/>
      <c r="G254" s="30"/>
      <c r="H254" s="30"/>
      <c r="I254" s="30"/>
      <c r="J254" s="30"/>
      <c r="K254" s="30"/>
      <c r="L254" s="30"/>
      <c r="M254" s="30"/>
      <c r="N254" s="30"/>
      <c r="P254" s="30"/>
      <c r="Q254" s="30"/>
      <c r="R254" s="30"/>
      <c r="S254" s="30"/>
      <c r="T254" s="31"/>
      <c r="U254" s="30"/>
      <c r="V254" s="30"/>
      <c r="W254" s="30"/>
      <c r="X254" s="30"/>
      <c r="Y254" s="30"/>
      <c r="Z254" s="30"/>
      <c r="AA254" s="30"/>
      <c r="AB254" s="30"/>
      <c r="AC254" s="30"/>
      <c r="AD254" s="30"/>
      <c r="AE254" s="30"/>
      <c r="AF254" s="30" t="str">
        <f t="shared" si="15"/>
        <v>Kurzname            Kurzname</v>
      </c>
      <c r="AG254" s="30"/>
      <c r="AH254">
        <v>0</v>
      </c>
      <c r="AI254" t="s">
        <v>1075</v>
      </c>
      <c r="AJ254" t="s">
        <v>1076</v>
      </c>
      <c r="AK254" t="s">
        <v>1077</v>
      </c>
      <c r="AL254" t="s">
        <v>8</v>
      </c>
      <c r="AM254" t="s">
        <v>8</v>
      </c>
      <c r="AN254" t="s">
        <v>1078</v>
      </c>
      <c r="AO254" t="s">
        <v>9</v>
      </c>
      <c r="AP254" t="s">
        <v>1079</v>
      </c>
      <c r="AQ254" t="s">
        <v>10</v>
      </c>
      <c r="AR254" t="s">
        <v>26</v>
      </c>
      <c r="AS254" t="s">
        <v>1080</v>
      </c>
      <c r="AT254" t="s">
        <v>1077</v>
      </c>
      <c r="AU254" t="s">
        <v>8</v>
      </c>
      <c r="AV254" t="s">
        <v>8</v>
      </c>
      <c r="AW254" t="s">
        <v>1081</v>
      </c>
      <c r="AX254" t="s">
        <v>9</v>
      </c>
      <c r="AY254" t="s">
        <v>1079</v>
      </c>
      <c r="AZ254" t="s">
        <v>10</v>
      </c>
      <c r="BA254" t="s">
        <v>26</v>
      </c>
      <c r="BB254" t="s">
        <v>1080</v>
      </c>
      <c r="BC254" t="s">
        <v>1082</v>
      </c>
      <c r="BD254" t="s">
        <v>1083</v>
      </c>
      <c r="BE254" t="s">
        <v>1084</v>
      </c>
      <c r="BF254" t="s">
        <v>1085</v>
      </c>
      <c r="BG254" t="s">
        <v>1086</v>
      </c>
      <c r="BH254" t="s">
        <v>14</v>
      </c>
      <c r="BI254" t="s">
        <v>1087</v>
      </c>
      <c r="BJ254" t="s">
        <v>1088</v>
      </c>
      <c r="BK254" t="s">
        <v>1</v>
      </c>
      <c r="BL254" t="s">
        <v>395</v>
      </c>
      <c r="BM254" t="s">
        <v>1075</v>
      </c>
    </row>
    <row r="255" spans="1:65" ht="14.45" customHeight="1">
      <c r="A255" s="155"/>
      <c r="B255" s="30">
        <f t="shared" si="14"/>
        <v>161001</v>
      </c>
      <c r="C255" s="30" t="s">
        <v>2205</v>
      </c>
      <c r="D255" s="30"/>
      <c r="E255" s="30" t="s">
        <v>2180</v>
      </c>
      <c r="F255" s="31"/>
      <c r="G255" s="30"/>
      <c r="H255" s="30"/>
      <c r="I255" s="30"/>
      <c r="J255" s="30"/>
      <c r="K255" s="30"/>
      <c r="L255" s="30" t="s">
        <v>2181</v>
      </c>
      <c r="M255" s="30" t="s">
        <v>2181</v>
      </c>
      <c r="N255" s="30"/>
      <c r="P255" s="30"/>
      <c r="Q255" s="30"/>
      <c r="R255" s="30"/>
      <c r="S255" s="30"/>
      <c r="T255" s="31">
        <v>980017952</v>
      </c>
      <c r="U255" s="30"/>
      <c r="V255" s="30"/>
      <c r="W255" s="30"/>
      <c r="X255" s="30"/>
      <c r="Y255" s="30"/>
      <c r="Z255" s="30"/>
      <c r="AA255" s="30"/>
      <c r="AB255" s="30"/>
      <c r="AC255" s="30"/>
      <c r="AD255" s="30"/>
      <c r="AE255" s="38"/>
      <c r="AF255" s="30" t="str">
        <f t="shared" si="15"/>
        <v>MIB_O               KS_CPL_H</v>
      </c>
      <c r="AG255" s="30" t="s">
        <v>2182</v>
      </c>
      <c r="AH255">
        <v>3</v>
      </c>
      <c r="AI255">
        <v>161001</v>
      </c>
      <c r="AJ255" t="s">
        <v>1805</v>
      </c>
      <c r="AK255" t="s">
        <v>19</v>
      </c>
      <c r="AL255" t="s">
        <v>249</v>
      </c>
      <c r="AM255" t="s">
        <v>250</v>
      </c>
      <c r="AN255" t="s">
        <v>674</v>
      </c>
      <c r="AO255" t="s">
        <v>675</v>
      </c>
      <c r="AP255">
        <v>1</v>
      </c>
      <c r="AQ255" t="s">
        <v>676</v>
      </c>
      <c r="AR255" t="s">
        <v>656</v>
      </c>
      <c r="AS255" t="s">
        <v>19</v>
      </c>
      <c r="AT255" t="s">
        <v>19</v>
      </c>
      <c r="AU255" t="s">
        <v>55</v>
      </c>
      <c r="AV255" t="s">
        <v>659</v>
      </c>
      <c r="AW255" t="s">
        <v>658</v>
      </c>
      <c r="AX255" t="s">
        <v>660</v>
      </c>
      <c r="AY255">
        <v>1</v>
      </c>
      <c r="AZ255" t="s">
        <v>661</v>
      </c>
      <c r="BA255" t="s">
        <v>656</v>
      </c>
      <c r="BB255" t="s">
        <v>19</v>
      </c>
      <c r="BC255" t="s">
        <v>1806</v>
      </c>
      <c r="BD255" t="s">
        <v>1807</v>
      </c>
      <c r="BE255" t="s">
        <v>1808</v>
      </c>
      <c r="BF255" t="s">
        <v>1809</v>
      </c>
      <c r="BG255">
        <v>1829</v>
      </c>
      <c r="BH255" t="s">
        <v>1810</v>
      </c>
      <c r="BI255">
        <v>0.14000000000000001</v>
      </c>
      <c r="BJ255" t="s">
        <v>1811</v>
      </c>
      <c r="BK255" t="s">
        <v>650</v>
      </c>
      <c r="BL255" t="s">
        <v>19</v>
      </c>
      <c r="BM255">
        <v>161001</v>
      </c>
    </row>
    <row r="256" spans="1:65" ht="14.45" customHeight="1">
      <c r="A256" s="155"/>
      <c r="B256" s="30">
        <f t="shared" si="14"/>
        <v>161002</v>
      </c>
      <c r="C256" s="30" t="s">
        <v>2205</v>
      </c>
      <c r="D256" s="30"/>
      <c r="E256" s="30" t="s">
        <v>2180</v>
      </c>
      <c r="F256" s="31"/>
      <c r="G256" s="30"/>
      <c r="H256" s="30"/>
      <c r="I256" s="30"/>
      <c r="J256" s="30"/>
      <c r="K256" s="30"/>
      <c r="L256" s="30" t="s">
        <v>2181</v>
      </c>
      <c r="M256" s="30" t="s">
        <v>2181</v>
      </c>
      <c r="N256" s="30"/>
      <c r="P256" s="30"/>
      <c r="Q256" s="30"/>
      <c r="R256" s="30"/>
      <c r="S256" s="30"/>
      <c r="T256" s="31">
        <v>980017952</v>
      </c>
      <c r="U256" s="30"/>
      <c r="V256" s="30"/>
      <c r="W256" s="30"/>
      <c r="X256" s="30"/>
      <c r="Y256" s="30"/>
      <c r="Z256" s="30"/>
      <c r="AA256" s="30"/>
      <c r="AB256" s="30"/>
      <c r="AC256" s="30"/>
      <c r="AD256" s="30"/>
      <c r="AE256" s="38"/>
      <c r="AF256" s="30" t="str">
        <f t="shared" si="15"/>
        <v>MIB_O               KS_CPL_H</v>
      </c>
      <c r="AG256" s="30" t="s">
        <v>2182</v>
      </c>
      <c r="AH256">
        <v>3</v>
      </c>
      <c r="AI256">
        <v>161002</v>
      </c>
      <c r="AJ256" t="s">
        <v>1812</v>
      </c>
      <c r="AK256" t="s">
        <v>19</v>
      </c>
      <c r="AL256" t="s">
        <v>249</v>
      </c>
      <c r="AM256" t="s">
        <v>250</v>
      </c>
      <c r="AN256" t="s">
        <v>674</v>
      </c>
      <c r="AO256" t="s">
        <v>675</v>
      </c>
      <c r="AP256">
        <v>2</v>
      </c>
      <c r="AQ256" t="s">
        <v>676</v>
      </c>
      <c r="AR256" t="s">
        <v>49</v>
      </c>
      <c r="AS256" t="s">
        <v>19</v>
      </c>
      <c r="AT256" t="s">
        <v>19</v>
      </c>
      <c r="AU256" t="s">
        <v>55</v>
      </c>
      <c r="AV256" t="s">
        <v>659</v>
      </c>
      <c r="AW256" t="s">
        <v>658</v>
      </c>
      <c r="AX256" t="s">
        <v>660</v>
      </c>
      <c r="AY256">
        <v>2</v>
      </c>
      <c r="AZ256" t="s">
        <v>661</v>
      </c>
      <c r="BA256" t="s">
        <v>49</v>
      </c>
      <c r="BB256" t="s">
        <v>19</v>
      </c>
      <c r="BC256" t="s">
        <v>1806</v>
      </c>
      <c r="BD256" t="s">
        <v>49</v>
      </c>
      <c r="BE256" t="s">
        <v>1808</v>
      </c>
      <c r="BF256" t="s">
        <v>1813</v>
      </c>
      <c r="BG256">
        <v>1829</v>
      </c>
      <c r="BH256" t="s">
        <v>1111</v>
      </c>
      <c r="BI256">
        <v>0.5</v>
      </c>
      <c r="BJ256" t="s">
        <v>1814</v>
      </c>
      <c r="BK256" t="s">
        <v>650</v>
      </c>
      <c r="BL256" t="s">
        <v>19</v>
      </c>
      <c r="BM256">
        <v>161002</v>
      </c>
    </row>
    <row r="257" spans="1:65" ht="14.45" customHeight="1">
      <c r="A257" s="155"/>
      <c r="B257" s="30">
        <f t="shared" si="14"/>
        <v>161003</v>
      </c>
      <c r="C257" s="30" t="s">
        <v>2205</v>
      </c>
      <c r="D257" s="30"/>
      <c r="E257" s="30" t="s">
        <v>2180</v>
      </c>
      <c r="F257" s="31"/>
      <c r="G257" s="30"/>
      <c r="H257" s="30"/>
      <c r="I257" s="30"/>
      <c r="J257" s="30"/>
      <c r="K257" s="30"/>
      <c r="L257" s="30" t="s">
        <v>2181</v>
      </c>
      <c r="M257" s="30" t="s">
        <v>2181</v>
      </c>
      <c r="N257" s="30"/>
      <c r="P257" s="30"/>
      <c r="Q257" s="30"/>
      <c r="R257" s="30"/>
      <c r="S257" s="30"/>
      <c r="T257" s="31">
        <v>980017363</v>
      </c>
      <c r="U257" s="30"/>
      <c r="V257" s="30"/>
      <c r="W257" s="30"/>
      <c r="X257" s="30"/>
      <c r="Y257" s="30"/>
      <c r="Z257" s="30"/>
      <c r="AA257" s="30"/>
      <c r="AB257" s="30"/>
      <c r="AC257" s="30"/>
      <c r="AD257" s="30"/>
      <c r="AE257" s="30"/>
      <c r="AF257" s="30" t="str">
        <f t="shared" si="15"/>
        <v>MIB_M               KS_CPR_D</v>
      </c>
      <c r="AG257" s="30" t="s">
        <v>2182</v>
      </c>
      <c r="AH257">
        <v>3</v>
      </c>
      <c r="AI257">
        <v>161003</v>
      </c>
      <c r="AJ257" t="s">
        <v>1815</v>
      </c>
      <c r="AK257" t="s">
        <v>19</v>
      </c>
      <c r="AL257" t="s">
        <v>249</v>
      </c>
      <c r="AM257" t="s">
        <v>250</v>
      </c>
      <c r="AN257" t="s">
        <v>670</v>
      </c>
      <c r="AO257" t="s">
        <v>671</v>
      </c>
      <c r="AP257">
        <v>1</v>
      </c>
      <c r="AQ257" t="s">
        <v>672</v>
      </c>
      <c r="AR257" t="s">
        <v>50</v>
      </c>
      <c r="AS257" t="s">
        <v>19</v>
      </c>
      <c r="AT257" t="s">
        <v>19</v>
      </c>
      <c r="AU257" t="s">
        <v>96</v>
      </c>
      <c r="AV257" t="s">
        <v>96</v>
      </c>
      <c r="AW257" t="s">
        <v>665</v>
      </c>
      <c r="AX257" t="s">
        <v>666</v>
      </c>
      <c r="AY257">
        <v>4</v>
      </c>
      <c r="AZ257" t="s">
        <v>371</v>
      </c>
      <c r="BA257" t="s">
        <v>50</v>
      </c>
      <c r="BB257" t="s">
        <v>19</v>
      </c>
      <c r="BC257" t="s">
        <v>1090</v>
      </c>
      <c r="BD257" t="s">
        <v>1091</v>
      </c>
      <c r="BE257" t="s">
        <v>1816</v>
      </c>
      <c r="BF257" t="s">
        <v>1093</v>
      </c>
      <c r="BG257">
        <v>1774</v>
      </c>
      <c r="BH257" t="s">
        <v>1094</v>
      </c>
      <c r="BI257">
        <v>0.14000000000000001</v>
      </c>
      <c r="BJ257" t="s">
        <v>1817</v>
      </c>
      <c r="BK257" t="s">
        <v>19</v>
      </c>
      <c r="BL257" t="s">
        <v>653</v>
      </c>
      <c r="BM257">
        <v>161003</v>
      </c>
    </row>
    <row r="258" spans="1:65" ht="14.45" customHeight="1">
      <c r="A258" s="155"/>
      <c r="B258" s="30">
        <f t="shared" si="14"/>
        <v>161004</v>
      </c>
      <c r="C258" s="30" t="s">
        <v>2205</v>
      </c>
      <c r="D258" s="30"/>
      <c r="E258" s="30" t="s">
        <v>2180</v>
      </c>
      <c r="F258" s="31"/>
      <c r="G258" s="30"/>
      <c r="H258" s="30"/>
      <c r="I258" s="30"/>
      <c r="J258" s="30"/>
      <c r="K258" s="30"/>
      <c r="L258" s="30" t="s">
        <v>2181</v>
      </c>
      <c r="M258" s="30" t="s">
        <v>2181</v>
      </c>
      <c r="N258" s="30"/>
      <c r="P258" s="30"/>
      <c r="Q258" s="30"/>
      <c r="R258" s="30"/>
      <c r="S258" s="30"/>
      <c r="T258" s="31">
        <v>980017363</v>
      </c>
      <c r="U258" s="30"/>
      <c r="V258" s="30"/>
      <c r="W258" s="30"/>
      <c r="X258" s="30"/>
      <c r="Y258" s="30"/>
      <c r="Z258" s="30"/>
      <c r="AA258" s="30"/>
      <c r="AB258" s="30"/>
      <c r="AC258" s="30"/>
      <c r="AD258" s="30"/>
      <c r="AE258" s="30"/>
      <c r="AF258" s="30" t="str">
        <f t="shared" si="15"/>
        <v>MIB_M               KS_CPR_D</v>
      </c>
      <c r="AG258" s="30" t="s">
        <v>2182</v>
      </c>
      <c r="AH258">
        <v>3</v>
      </c>
      <c r="AI258">
        <v>161004</v>
      </c>
      <c r="AJ258" t="s">
        <v>1818</v>
      </c>
      <c r="AK258" t="s">
        <v>19</v>
      </c>
      <c r="AL258" t="s">
        <v>249</v>
      </c>
      <c r="AM258" t="s">
        <v>250</v>
      </c>
      <c r="AN258" t="s">
        <v>670</v>
      </c>
      <c r="AO258" t="s">
        <v>671</v>
      </c>
      <c r="AP258">
        <v>2</v>
      </c>
      <c r="AQ258" t="s">
        <v>672</v>
      </c>
      <c r="AR258" t="s">
        <v>50</v>
      </c>
      <c r="AS258" t="s">
        <v>19</v>
      </c>
      <c r="AT258" t="s">
        <v>19</v>
      </c>
      <c r="AU258" t="s">
        <v>96</v>
      </c>
      <c r="AV258" t="s">
        <v>96</v>
      </c>
      <c r="AW258" t="s">
        <v>665</v>
      </c>
      <c r="AX258" t="s">
        <v>666</v>
      </c>
      <c r="AY258">
        <v>3</v>
      </c>
      <c r="AZ258" t="s">
        <v>371</v>
      </c>
      <c r="BA258" t="s">
        <v>50</v>
      </c>
      <c r="BB258" t="s">
        <v>19</v>
      </c>
      <c r="BC258" t="s">
        <v>1090</v>
      </c>
      <c r="BD258" t="s">
        <v>1091</v>
      </c>
      <c r="BE258" t="s">
        <v>1816</v>
      </c>
      <c r="BF258" t="s">
        <v>1097</v>
      </c>
      <c r="BG258">
        <v>1774</v>
      </c>
      <c r="BH258" t="s">
        <v>1098</v>
      </c>
      <c r="BI258">
        <v>0.14000000000000001</v>
      </c>
      <c r="BJ258" t="s">
        <v>1819</v>
      </c>
      <c r="BK258" t="s">
        <v>19</v>
      </c>
      <c r="BL258" t="s">
        <v>653</v>
      </c>
      <c r="BM258">
        <v>161004</v>
      </c>
    </row>
    <row r="259" spans="1:65" ht="14.45" customHeight="1">
      <c r="A259" s="155"/>
      <c r="B259" s="30">
        <f t="shared" si="14"/>
        <v>161005</v>
      </c>
      <c r="C259" s="30" t="s">
        <v>2205</v>
      </c>
      <c r="D259" s="30"/>
      <c r="E259" s="30" t="s">
        <v>2180</v>
      </c>
      <c r="F259" s="31"/>
      <c r="G259" s="30"/>
      <c r="H259" s="30"/>
      <c r="I259" s="30"/>
      <c r="J259" s="30"/>
      <c r="K259" s="30"/>
      <c r="L259" s="30" t="s">
        <v>2181</v>
      </c>
      <c r="M259" s="30" t="s">
        <v>2181</v>
      </c>
      <c r="N259" s="30"/>
      <c r="P259" s="30"/>
      <c r="Q259" s="30"/>
      <c r="R259" s="30"/>
      <c r="S259" s="30"/>
      <c r="T259" s="31">
        <v>980017363</v>
      </c>
      <c r="U259" s="30"/>
      <c r="V259" s="30"/>
      <c r="W259" s="30"/>
      <c r="X259" s="30"/>
      <c r="Y259" s="30"/>
      <c r="Z259" s="30"/>
      <c r="AA259" s="30"/>
      <c r="AB259" s="30"/>
      <c r="AC259" s="30"/>
      <c r="AD259" s="30"/>
      <c r="AE259" s="30"/>
      <c r="AF259" s="30" t="str">
        <f t="shared" si="15"/>
        <v>MIB_M               KS_CPR_D</v>
      </c>
      <c r="AG259" s="30" t="s">
        <v>2182</v>
      </c>
      <c r="AH259">
        <v>3</v>
      </c>
      <c r="AI259">
        <v>161005</v>
      </c>
      <c r="AJ259" t="s">
        <v>1820</v>
      </c>
      <c r="AK259" t="s">
        <v>19</v>
      </c>
      <c r="AL259" t="s">
        <v>249</v>
      </c>
      <c r="AM259" t="s">
        <v>250</v>
      </c>
      <c r="AN259" t="s">
        <v>670</v>
      </c>
      <c r="AO259" t="s">
        <v>671</v>
      </c>
      <c r="AP259">
        <v>3</v>
      </c>
      <c r="AQ259" t="s">
        <v>672</v>
      </c>
      <c r="AR259" t="s">
        <v>50</v>
      </c>
      <c r="AS259" t="s">
        <v>19</v>
      </c>
      <c r="AT259" t="s">
        <v>19</v>
      </c>
      <c r="AU259" t="s">
        <v>96</v>
      </c>
      <c r="AV259" t="s">
        <v>96</v>
      </c>
      <c r="AW259" t="s">
        <v>665</v>
      </c>
      <c r="AX259" t="s">
        <v>666</v>
      </c>
      <c r="AY259">
        <v>2</v>
      </c>
      <c r="AZ259" t="s">
        <v>371</v>
      </c>
      <c r="BA259" t="s">
        <v>50</v>
      </c>
      <c r="BB259" t="s">
        <v>19</v>
      </c>
      <c r="BC259" t="s">
        <v>1090</v>
      </c>
      <c r="BD259" t="s">
        <v>1091</v>
      </c>
      <c r="BE259" t="s">
        <v>1816</v>
      </c>
      <c r="BF259" t="s">
        <v>1101</v>
      </c>
      <c r="BG259">
        <v>1774</v>
      </c>
      <c r="BH259" t="s">
        <v>1102</v>
      </c>
      <c r="BI259">
        <v>0.14000000000000001</v>
      </c>
      <c r="BJ259" t="s">
        <v>1821</v>
      </c>
      <c r="BK259" t="s">
        <v>19</v>
      </c>
      <c r="BL259" t="s">
        <v>653</v>
      </c>
      <c r="BM259">
        <v>161005</v>
      </c>
    </row>
    <row r="260" spans="1:65" ht="14.45" customHeight="1">
      <c r="A260" s="155"/>
      <c r="B260" s="30">
        <f t="shared" si="14"/>
        <v>161006</v>
      </c>
      <c r="C260" s="30" t="s">
        <v>2205</v>
      </c>
      <c r="D260" s="30"/>
      <c r="E260" s="30" t="s">
        <v>2180</v>
      </c>
      <c r="F260" s="31"/>
      <c r="G260" s="30"/>
      <c r="H260" s="30"/>
      <c r="I260" s="30"/>
      <c r="J260" s="30"/>
      <c r="K260" s="30"/>
      <c r="L260" s="30" t="s">
        <v>2181</v>
      </c>
      <c r="M260" s="30" t="s">
        <v>2181</v>
      </c>
      <c r="N260" s="30"/>
      <c r="P260" s="30"/>
      <c r="Q260" s="30"/>
      <c r="R260" s="30"/>
      <c r="S260" s="30"/>
      <c r="T260" s="31">
        <v>980017363</v>
      </c>
      <c r="U260" s="30"/>
      <c r="V260" s="30"/>
      <c r="W260" s="30"/>
      <c r="X260" s="30"/>
      <c r="Y260" s="30"/>
      <c r="Z260" s="30"/>
      <c r="AA260" s="30"/>
      <c r="AB260" s="30"/>
      <c r="AC260" s="30"/>
      <c r="AD260" s="30"/>
      <c r="AE260" s="30"/>
      <c r="AF260" s="30" t="str">
        <f t="shared" si="15"/>
        <v>MIB_M               KS_CPR_D</v>
      </c>
      <c r="AG260" s="30" t="s">
        <v>2182</v>
      </c>
      <c r="AH260">
        <v>3</v>
      </c>
      <c r="AI260">
        <v>161006</v>
      </c>
      <c r="AJ260" t="s">
        <v>1822</v>
      </c>
      <c r="AK260" t="s">
        <v>19</v>
      </c>
      <c r="AL260" t="s">
        <v>249</v>
      </c>
      <c r="AM260" t="s">
        <v>250</v>
      </c>
      <c r="AN260" t="s">
        <v>670</v>
      </c>
      <c r="AO260" t="s">
        <v>671</v>
      </c>
      <c r="AP260">
        <v>4</v>
      </c>
      <c r="AQ260" t="s">
        <v>672</v>
      </c>
      <c r="AR260" t="s">
        <v>50</v>
      </c>
      <c r="AS260" t="s">
        <v>19</v>
      </c>
      <c r="AT260" t="s">
        <v>19</v>
      </c>
      <c r="AU260" t="s">
        <v>96</v>
      </c>
      <c r="AV260" t="s">
        <v>96</v>
      </c>
      <c r="AW260" t="s">
        <v>665</v>
      </c>
      <c r="AX260" t="s">
        <v>666</v>
      </c>
      <c r="AY260">
        <v>1</v>
      </c>
      <c r="AZ260" t="s">
        <v>371</v>
      </c>
      <c r="BA260" t="s">
        <v>50</v>
      </c>
      <c r="BB260" t="s">
        <v>19</v>
      </c>
      <c r="BC260" t="s">
        <v>1090</v>
      </c>
      <c r="BD260" t="s">
        <v>1091</v>
      </c>
      <c r="BE260" t="s">
        <v>1816</v>
      </c>
      <c r="BF260" t="s">
        <v>1105</v>
      </c>
      <c r="BG260">
        <v>1774</v>
      </c>
      <c r="BH260" t="s">
        <v>1106</v>
      </c>
      <c r="BI260">
        <v>0.14000000000000001</v>
      </c>
      <c r="BJ260" t="s">
        <v>1823</v>
      </c>
      <c r="BK260" t="s">
        <v>19</v>
      </c>
      <c r="BL260" t="s">
        <v>653</v>
      </c>
      <c r="BM260">
        <v>161006</v>
      </c>
    </row>
    <row r="261" spans="1:65" ht="14.45" customHeight="1">
      <c r="A261" s="155"/>
      <c r="B261" s="30">
        <f t="shared" si="14"/>
        <v>161007</v>
      </c>
      <c r="C261" s="30" t="s">
        <v>2205</v>
      </c>
      <c r="D261" s="30"/>
      <c r="E261" s="30" t="s">
        <v>2180</v>
      </c>
      <c r="F261" s="31"/>
      <c r="G261" s="30"/>
      <c r="H261" s="30"/>
      <c r="I261" s="30"/>
      <c r="J261" s="30"/>
      <c r="K261" s="30"/>
      <c r="L261" s="30" t="s">
        <v>2181</v>
      </c>
      <c r="M261" s="30" t="s">
        <v>2181</v>
      </c>
      <c r="N261" s="30"/>
      <c r="P261" s="30"/>
      <c r="Q261" s="30"/>
      <c r="R261" s="30"/>
      <c r="S261" s="30"/>
      <c r="T261" s="31">
        <v>980017363</v>
      </c>
      <c r="U261" s="30"/>
      <c r="V261" s="30"/>
      <c r="W261" s="30"/>
      <c r="X261" s="30"/>
      <c r="Y261" s="30"/>
      <c r="Z261" s="30"/>
      <c r="AA261" s="30"/>
      <c r="AB261" s="30"/>
      <c r="AC261" s="30"/>
      <c r="AD261" s="30"/>
      <c r="AE261" s="30"/>
      <c r="AF261" s="30" t="str">
        <f t="shared" si="15"/>
        <v>MIB_M               KS_CPR_D</v>
      </c>
      <c r="AG261" s="30" t="s">
        <v>2182</v>
      </c>
      <c r="AH261">
        <v>3</v>
      </c>
      <c r="AI261">
        <v>161007</v>
      </c>
      <c r="AJ261" t="s">
        <v>1824</v>
      </c>
      <c r="AK261" t="s">
        <v>19</v>
      </c>
      <c r="AL261" t="s">
        <v>249</v>
      </c>
      <c r="AM261" t="s">
        <v>250</v>
      </c>
      <c r="AN261" t="s">
        <v>670</v>
      </c>
      <c r="AO261" t="s">
        <v>671</v>
      </c>
      <c r="AP261" t="s">
        <v>1109</v>
      </c>
      <c r="AQ261" t="s">
        <v>672</v>
      </c>
      <c r="AR261" t="s">
        <v>38</v>
      </c>
      <c r="AS261" t="s">
        <v>19</v>
      </c>
      <c r="AT261" t="s">
        <v>19</v>
      </c>
      <c r="AU261" t="s">
        <v>96</v>
      </c>
      <c r="AV261" t="s">
        <v>96</v>
      </c>
      <c r="AW261" t="s">
        <v>665</v>
      </c>
      <c r="AX261" t="s">
        <v>666</v>
      </c>
      <c r="AY261" t="s">
        <v>1109</v>
      </c>
      <c r="AZ261" t="s">
        <v>371</v>
      </c>
      <c r="BA261" t="s">
        <v>38</v>
      </c>
      <c r="BB261" t="s">
        <v>19</v>
      </c>
      <c r="BC261" t="s">
        <v>1090</v>
      </c>
      <c r="BD261" t="s">
        <v>49</v>
      </c>
      <c r="BE261" t="s">
        <v>1816</v>
      </c>
      <c r="BF261" t="s">
        <v>1110</v>
      </c>
      <c r="BG261">
        <v>1774</v>
      </c>
      <c r="BH261" t="s">
        <v>1111</v>
      </c>
      <c r="BI261">
        <v>1</v>
      </c>
      <c r="BJ261" t="s">
        <v>1825</v>
      </c>
      <c r="BK261" t="s">
        <v>19</v>
      </c>
      <c r="BL261" t="s">
        <v>653</v>
      </c>
      <c r="BM261">
        <v>161007</v>
      </c>
    </row>
    <row r="262" spans="1:65" ht="14.45" customHeight="1">
      <c r="A262" s="155"/>
      <c r="B262" s="30"/>
      <c r="C262" s="30" t="s">
        <v>2206</v>
      </c>
      <c r="D262" s="30"/>
      <c r="E262" s="30"/>
      <c r="F262" s="31"/>
      <c r="G262" s="30"/>
      <c r="H262" s="30"/>
      <c r="I262" s="30"/>
      <c r="J262" s="30"/>
      <c r="K262" s="30"/>
      <c r="L262" s="30"/>
      <c r="M262" s="30"/>
      <c r="N262" s="30"/>
      <c r="P262" s="30"/>
      <c r="Q262" s="30"/>
      <c r="R262" s="30"/>
      <c r="S262" s="30"/>
      <c r="T262" s="31"/>
      <c r="U262" s="30"/>
      <c r="V262" s="30"/>
      <c r="W262" s="30"/>
      <c r="X262" s="30"/>
      <c r="Y262" s="30"/>
      <c r="Z262" s="30"/>
      <c r="AA262" s="30"/>
      <c r="AB262" s="30"/>
      <c r="AC262" s="30"/>
      <c r="AD262" s="30"/>
      <c r="AE262" s="30"/>
      <c r="AF262" s="30" t="str">
        <f t="shared" si="15"/>
        <v xml:space="preserve">                    </v>
      </c>
      <c r="AG262" s="30"/>
      <c r="AH262">
        <v>1</v>
      </c>
      <c r="AI262" t="s">
        <v>677</v>
      </c>
    </row>
    <row r="263" spans="1:65" ht="14.45" customHeight="1">
      <c r="A263" s="155"/>
      <c r="B263" s="30"/>
      <c r="C263" s="30" t="s">
        <v>2206</v>
      </c>
      <c r="D263" s="30"/>
      <c r="E263" s="30"/>
      <c r="F263" s="31"/>
      <c r="G263" s="30"/>
      <c r="H263" s="30"/>
      <c r="I263" s="30"/>
      <c r="J263" s="30"/>
      <c r="K263" s="30"/>
      <c r="L263" s="30"/>
      <c r="M263" s="30"/>
      <c r="N263" s="30"/>
      <c r="P263" s="30"/>
      <c r="Q263" s="30"/>
      <c r="R263" s="30"/>
      <c r="S263" s="30"/>
      <c r="T263" s="31"/>
      <c r="U263" s="30"/>
      <c r="V263" s="30"/>
      <c r="W263" s="30"/>
      <c r="X263" s="30"/>
      <c r="Y263" s="30"/>
      <c r="Z263" s="30"/>
      <c r="AA263" s="30"/>
      <c r="AB263" s="30"/>
      <c r="AC263" s="30"/>
      <c r="AD263" s="30"/>
      <c r="AE263" s="32">
        <v>1</v>
      </c>
      <c r="AF263" s="30"/>
      <c r="AG263" s="30"/>
      <c r="AH263">
        <v>2</v>
      </c>
      <c r="AI263" t="s">
        <v>1</v>
      </c>
      <c r="AJ263" t="s">
        <v>678</v>
      </c>
      <c r="AK263" t="s">
        <v>679</v>
      </c>
      <c r="AL263" t="s">
        <v>680</v>
      </c>
      <c r="AN263" t="s">
        <v>1826</v>
      </c>
      <c r="AO263" t="s">
        <v>1074</v>
      </c>
    </row>
    <row r="264" spans="1:65" ht="14.45" customHeight="1">
      <c r="A264" s="155"/>
      <c r="B264" s="30"/>
      <c r="C264" s="30" t="s">
        <v>2206</v>
      </c>
      <c r="D264" s="30"/>
      <c r="E264" s="30"/>
      <c r="F264" s="31"/>
      <c r="G264" s="30"/>
      <c r="H264" s="30"/>
      <c r="I264" s="30"/>
      <c r="J264" s="30"/>
      <c r="K264" s="30"/>
      <c r="L264" s="30"/>
      <c r="M264" s="30"/>
      <c r="N264" s="30"/>
      <c r="P264" s="30"/>
      <c r="Q264" s="30"/>
      <c r="R264" s="30"/>
      <c r="S264" s="30"/>
      <c r="T264" s="31"/>
      <c r="U264" s="30"/>
      <c r="V264" s="30"/>
      <c r="W264" s="30"/>
      <c r="X264" s="30"/>
      <c r="Y264" s="30"/>
      <c r="Z264" s="30"/>
      <c r="AA264" s="30"/>
      <c r="AB264" s="30"/>
      <c r="AC264" s="30"/>
      <c r="AD264" s="30"/>
      <c r="AE264" s="32">
        <v>1</v>
      </c>
      <c r="AF264" s="30"/>
      <c r="AG264" s="30"/>
      <c r="AH264">
        <v>2</v>
      </c>
      <c r="AI264" t="s">
        <v>395</v>
      </c>
      <c r="AJ264" t="s">
        <v>681</v>
      </c>
      <c r="AK264" t="s">
        <v>682</v>
      </c>
      <c r="AL264" t="s">
        <v>683</v>
      </c>
      <c r="AN264" t="s">
        <v>1827</v>
      </c>
      <c r="AO264" t="s">
        <v>1074</v>
      </c>
    </row>
    <row r="265" spans="1:65" ht="14.45" customHeight="1">
      <c r="A265" s="155"/>
      <c r="B265" s="30"/>
      <c r="C265" s="30" t="s">
        <v>2206</v>
      </c>
      <c r="D265" s="30"/>
      <c r="E265" s="30"/>
      <c r="F265" s="31"/>
      <c r="G265" s="30"/>
      <c r="H265" s="30"/>
      <c r="I265" s="30"/>
      <c r="J265" s="30"/>
      <c r="K265" s="30"/>
      <c r="L265" s="30"/>
      <c r="M265" s="30"/>
      <c r="N265" s="30"/>
      <c r="P265" s="30"/>
      <c r="Q265" s="30"/>
      <c r="R265" s="30"/>
      <c r="S265" s="30"/>
      <c r="T265" s="31"/>
      <c r="U265" s="30"/>
      <c r="V265" s="30"/>
      <c r="W265" s="30"/>
      <c r="X265" s="30"/>
      <c r="Y265" s="30"/>
      <c r="Z265" s="30"/>
      <c r="AA265" s="30"/>
      <c r="AB265" s="30"/>
      <c r="AC265" s="30"/>
      <c r="AD265" s="30"/>
      <c r="AE265" s="30"/>
      <c r="AF265" s="30" t="str">
        <f t="shared" si="15"/>
        <v>Kurzname            Kurzname</v>
      </c>
      <c r="AG265" s="30"/>
      <c r="AH265">
        <v>0</v>
      </c>
      <c r="AI265" t="s">
        <v>1075</v>
      </c>
      <c r="AJ265" t="s">
        <v>1076</v>
      </c>
      <c r="AK265" t="s">
        <v>1077</v>
      </c>
      <c r="AL265" t="s">
        <v>8</v>
      </c>
      <c r="AM265" t="s">
        <v>8</v>
      </c>
      <c r="AN265" t="s">
        <v>1078</v>
      </c>
      <c r="AO265" t="s">
        <v>9</v>
      </c>
      <c r="AP265" t="s">
        <v>1079</v>
      </c>
      <c r="AQ265" t="s">
        <v>10</v>
      </c>
      <c r="AR265" t="s">
        <v>26</v>
      </c>
      <c r="AS265" t="s">
        <v>1080</v>
      </c>
      <c r="AT265" t="s">
        <v>1077</v>
      </c>
      <c r="AU265" t="s">
        <v>8</v>
      </c>
      <c r="AV265" t="s">
        <v>8</v>
      </c>
      <c r="AW265" t="s">
        <v>1081</v>
      </c>
      <c r="AX265" t="s">
        <v>9</v>
      </c>
      <c r="AY265" t="s">
        <v>1079</v>
      </c>
      <c r="AZ265" t="s">
        <v>10</v>
      </c>
      <c r="BA265" t="s">
        <v>26</v>
      </c>
      <c r="BB265" t="s">
        <v>1080</v>
      </c>
      <c r="BC265" t="s">
        <v>1082</v>
      </c>
      <c r="BD265" t="s">
        <v>1083</v>
      </c>
      <c r="BE265" t="s">
        <v>1084</v>
      </c>
      <c r="BF265" t="s">
        <v>1085</v>
      </c>
      <c r="BG265" t="s">
        <v>1086</v>
      </c>
      <c r="BH265" t="s">
        <v>14</v>
      </c>
      <c r="BI265" t="s">
        <v>1087</v>
      </c>
      <c r="BJ265" t="s">
        <v>1088</v>
      </c>
      <c r="BK265" t="s">
        <v>1</v>
      </c>
      <c r="BL265" t="s">
        <v>395</v>
      </c>
      <c r="BM265" t="s">
        <v>1075</v>
      </c>
    </row>
    <row r="266" spans="1:65" ht="14.45" customHeight="1">
      <c r="A266" s="155"/>
      <c r="B266" s="30">
        <f t="shared" ref="B266:B336" si="16">AI266</f>
        <v>216001</v>
      </c>
      <c r="C266" s="30" t="s">
        <v>2206</v>
      </c>
      <c r="D266" s="30"/>
      <c r="E266" s="30" t="s">
        <v>2180</v>
      </c>
      <c r="F266" s="31"/>
      <c r="G266" s="30"/>
      <c r="H266" s="30"/>
      <c r="I266" s="30"/>
      <c r="J266" s="30"/>
      <c r="K266" s="30"/>
      <c r="L266" s="30" t="s">
        <v>2180</v>
      </c>
      <c r="M266" s="30" t="s">
        <v>2180</v>
      </c>
      <c r="N266" s="30"/>
      <c r="P266" s="30"/>
      <c r="Q266" s="30"/>
      <c r="R266" s="30"/>
      <c r="S266" s="30"/>
      <c r="T266" s="31"/>
      <c r="U266" s="30"/>
      <c r="V266" s="30"/>
      <c r="W266" s="30"/>
      <c r="X266" s="30"/>
      <c r="Y266" s="30"/>
      <c r="Z266" s="30"/>
      <c r="AA266" s="30"/>
      <c r="AB266" s="30"/>
      <c r="AC266" s="30"/>
      <c r="AD266" s="30"/>
      <c r="AE266" s="30" t="s">
        <v>2207</v>
      </c>
      <c r="AF266" s="30" t="str">
        <f t="shared" si="15"/>
        <v>AMI                 STO52A</v>
      </c>
      <c r="AG266" s="30" t="s">
        <v>2182</v>
      </c>
      <c r="AH266">
        <v>3</v>
      </c>
      <c r="AI266">
        <v>216001</v>
      </c>
      <c r="AJ266" t="s">
        <v>1828</v>
      </c>
      <c r="AK266" t="s">
        <v>19</v>
      </c>
      <c r="AL266" t="s">
        <v>694</v>
      </c>
      <c r="AM266" t="s">
        <v>694</v>
      </c>
      <c r="AN266" t="s">
        <v>693</v>
      </c>
      <c r="AO266" t="s">
        <v>695</v>
      </c>
      <c r="AP266" t="s">
        <v>1829</v>
      </c>
      <c r="AQ266" t="s">
        <v>696</v>
      </c>
      <c r="AR266" t="s">
        <v>47</v>
      </c>
      <c r="AS266" t="s">
        <v>19</v>
      </c>
      <c r="AT266" t="s">
        <v>19</v>
      </c>
      <c r="AU266" t="s">
        <v>199</v>
      </c>
      <c r="AV266" t="s">
        <v>199</v>
      </c>
      <c r="AW266" t="s">
        <v>198</v>
      </c>
      <c r="AX266" t="s">
        <v>200</v>
      </c>
      <c r="AY266" t="s">
        <v>1538</v>
      </c>
      <c r="AZ266" t="s">
        <v>201</v>
      </c>
      <c r="BA266" t="s">
        <v>43</v>
      </c>
      <c r="BB266" t="s">
        <v>19</v>
      </c>
      <c r="BC266" t="s">
        <v>1830</v>
      </c>
      <c r="BD266" t="s">
        <v>1115</v>
      </c>
      <c r="BE266" t="s">
        <v>19</v>
      </c>
      <c r="BF266" t="s">
        <v>19</v>
      </c>
      <c r="BG266">
        <v>1364</v>
      </c>
      <c r="BH266" t="s">
        <v>1831</v>
      </c>
      <c r="BI266">
        <v>0.5</v>
      </c>
      <c r="BJ266" t="s">
        <v>1832</v>
      </c>
      <c r="BK266" t="s">
        <v>678</v>
      </c>
      <c r="BL266" t="s">
        <v>681</v>
      </c>
      <c r="BM266">
        <v>216001</v>
      </c>
    </row>
    <row r="267" spans="1:65" ht="14.45" customHeight="1">
      <c r="A267" s="155"/>
      <c r="B267" s="30">
        <f t="shared" si="16"/>
        <v>216002</v>
      </c>
      <c r="C267" s="30" t="s">
        <v>2206</v>
      </c>
      <c r="D267" s="30"/>
      <c r="E267" s="30" t="s">
        <v>2180</v>
      </c>
      <c r="F267" s="157" t="s">
        <v>2186</v>
      </c>
      <c r="G267" s="30" t="s">
        <v>1185</v>
      </c>
      <c r="H267" s="30"/>
      <c r="I267" s="30"/>
      <c r="J267" s="30"/>
      <c r="K267" s="30" t="s">
        <v>2184</v>
      </c>
      <c r="L267" s="30" t="s">
        <v>2180</v>
      </c>
      <c r="M267" s="30" t="s">
        <v>2180</v>
      </c>
      <c r="N267" s="30"/>
      <c r="P267" s="30"/>
      <c r="Q267" s="30"/>
      <c r="R267" s="30"/>
      <c r="S267" s="30"/>
      <c r="T267" s="31"/>
      <c r="U267" s="30"/>
      <c r="V267" s="30"/>
      <c r="W267" s="30"/>
      <c r="X267" s="30"/>
      <c r="Y267" s="30"/>
      <c r="Z267" s="30"/>
      <c r="AA267" s="30"/>
      <c r="AB267" s="30"/>
      <c r="AC267" s="30"/>
      <c r="AD267" s="30"/>
      <c r="AE267" s="30"/>
      <c r="AF267" s="30" t="str">
        <f t="shared" ref="AF267:AF337" si="17" xml:space="preserve"> AO267 &amp; REPT(" ",20-LEN(AO267)) &amp; AX267</f>
        <v>AMI                 SP_MB34_B1</v>
      </c>
      <c r="AG267" s="30" t="s">
        <v>2182</v>
      </c>
      <c r="AH267">
        <v>3</v>
      </c>
      <c r="AI267">
        <v>216002</v>
      </c>
      <c r="AJ267" t="s">
        <v>1833</v>
      </c>
      <c r="AK267" t="s">
        <v>19</v>
      </c>
      <c r="AL267" t="s">
        <v>694</v>
      </c>
      <c r="AM267" t="s">
        <v>694</v>
      </c>
      <c r="AN267" t="s">
        <v>693</v>
      </c>
      <c r="AO267" t="s">
        <v>695</v>
      </c>
      <c r="AP267" t="s">
        <v>1834</v>
      </c>
      <c r="AQ267" t="s">
        <v>696</v>
      </c>
      <c r="AR267" t="s">
        <v>47</v>
      </c>
      <c r="AS267" t="s">
        <v>19</v>
      </c>
      <c r="AT267" t="s">
        <v>19</v>
      </c>
      <c r="AU267" t="s">
        <v>19</v>
      </c>
      <c r="AV267" t="s">
        <v>1184</v>
      </c>
      <c r="AW267">
        <v>335</v>
      </c>
      <c r="AX267" t="s">
        <v>1185</v>
      </c>
      <c r="AY267">
        <v>1</v>
      </c>
      <c r="AZ267" t="s">
        <v>1186</v>
      </c>
      <c r="BA267" t="s">
        <v>19</v>
      </c>
      <c r="BB267" t="s">
        <v>19</v>
      </c>
      <c r="BC267" t="s">
        <v>1121</v>
      </c>
      <c r="BD267" t="s">
        <v>1115</v>
      </c>
      <c r="BE267" t="s">
        <v>19</v>
      </c>
      <c r="BF267" t="s">
        <v>19</v>
      </c>
      <c r="BG267">
        <v>715</v>
      </c>
      <c r="BH267" t="s">
        <v>1094</v>
      </c>
      <c r="BI267">
        <v>0.5</v>
      </c>
      <c r="BJ267" t="s">
        <v>1188</v>
      </c>
      <c r="BK267" t="s">
        <v>678</v>
      </c>
      <c r="BL267" t="s">
        <v>681</v>
      </c>
      <c r="BM267">
        <v>216002</v>
      </c>
    </row>
    <row r="268" spans="1:65" ht="14.45" customHeight="1">
      <c r="A268" s="155"/>
      <c r="B268" s="30">
        <f t="shared" si="16"/>
        <v>216003</v>
      </c>
      <c r="C268" s="30" t="s">
        <v>2206</v>
      </c>
      <c r="D268" s="30"/>
      <c r="E268" s="30" t="s">
        <v>2180</v>
      </c>
      <c r="F268" s="31"/>
      <c r="G268" s="30"/>
      <c r="H268" s="30"/>
      <c r="I268" s="30"/>
      <c r="J268" s="30"/>
      <c r="K268" s="30"/>
      <c r="L268" s="30" t="s">
        <v>2180</v>
      </c>
      <c r="M268" s="30" t="s">
        <v>2180</v>
      </c>
      <c r="N268" s="30"/>
      <c r="P268" s="30"/>
      <c r="Q268" s="30"/>
      <c r="R268" s="30"/>
      <c r="S268" s="30"/>
      <c r="T268" s="31"/>
      <c r="U268" s="30"/>
      <c r="V268" s="30"/>
      <c r="W268" s="30"/>
      <c r="X268" s="30"/>
      <c r="Y268" s="30"/>
      <c r="Z268" s="30"/>
      <c r="AA268" s="30"/>
      <c r="AB268" s="30"/>
      <c r="AC268" s="30"/>
      <c r="AD268" s="30"/>
      <c r="AE268" s="30" t="s">
        <v>2207</v>
      </c>
      <c r="AF268" s="30" t="str">
        <f t="shared" si="17"/>
        <v>KS_CPM_E            STO52A</v>
      </c>
      <c r="AG268" s="30" t="s">
        <v>2182</v>
      </c>
      <c r="AH268">
        <v>3</v>
      </c>
      <c r="AI268">
        <v>216003</v>
      </c>
      <c r="AJ268" t="s">
        <v>1835</v>
      </c>
      <c r="AK268" t="s">
        <v>19</v>
      </c>
      <c r="AL268" t="s">
        <v>81</v>
      </c>
      <c r="AM268" t="s">
        <v>81</v>
      </c>
      <c r="AN268" t="s">
        <v>88</v>
      </c>
      <c r="AO268" t="s">
        <v>89</v>
      </c>
      <c r="AP268">
        <v>5</v>
      </c>
      <c r="AQ268" t="s">
        <v>90</v>
      </c>
      <c r="AR268" t="s">
        <v>36</v>
      </c>
      <c r="AS268" t="s">
        <v>19</v>
      </c>
      <c r="AT268" t="s">
        <v>19</v>
      </c>
      <c r="AU268" t="s">
        <v>199</v>
      </c>
      <c r="AV268" t="s">
        <v>199</v>
      </c>
      <c r="AW268" t="s">
        <v>198</v>
      </c>
      <c r="AX268" t="s">
        <v>200</v>
      </c>
      <c r="AY268" t="s">
        <v>1538</v>
      </c>
      <c r="AZ268" t="s">
        <v>201</v>
      </c>
      <c r="BA268" t="s">
        <v>1836</v>
      </c>
      <c r="BB268" t="s">
        <v>19</v>
      </c>
      <c r="BC268" t="s">
        <v>1830</v>
      </c>
      <c r="BD268" t="s">
        <v>1115</v>
      </c>
      <c r="BE268" t="s">
        <v>19</v>
      </c>
      <c r="BF268" t="s">
        <v>19</v>
      </c>
      <c r="BG268">
        <v>1374</v>
      </c>
      <c r="BH268" t="s">
        <v>1831</v>
      </c>
      <c r="BI268">
        <v>0.5</v>
      </c>
      <c r="BJ268" t="s">
        <v>1832</v>
      </c>
      <c r="BK268" t="s">
        <v>678</v>
      </c>
      <c r="BL268" t="s">
        <v>681</v>
      </c>
      <c r="BM268">
        <v>216003</v>
      </c>
    </row>
    <row r="269" spans="1:65" ht="14.45" customHeight="1">
      <c r="A269" s="155"/>
      <c r="B269" s="30">
        <f t="shared" si="16"/>
        <v>216005</v>
      </c>
      <c r="C269" s="30" t="s">
        <v>2206</v>
      </c>
      <c r="D269" s="30"/>
      <c r="E269" s="30" t="s">
        <v>2194</v>
      </c>
      <c r="F269" s="31" t="s">
        <v>2186</v>
      </c>
      <c r="G269" s="30" t="s">
        <v>1356</v>
      </c>
      <c r="H269" s="30"/>
      <c r="I269" s="30"/>
      <c r="J269" s="30"/>
      <c r="K269" s="30" t="s">
        <v>2184</v>
      </c>
      <c r="L269" s="30" t="s">
        <v>2180</v>
      </c>
      <c r="M269" s="30" t="s">
        <v>2187</v>
      </c>
      <c r="N269" s="30"/>
      <c r="P269" s="30"/>
      <c r="Q269" s="30"/>
      <c r="R269" s="30"/>
      <c r="S269" s="30"/>
      <c r="T269" s="31"/>
      <c r="U269" s="30"/>
      <c r="V269" s="30"/>
      <c r="W269" s="30"/>
      <c r="X269" s="30"/>
      <c r="Y269" s="30"/>
      <c r="Z269" s="30"/>
      <c r="AA269" s="30"/>
      <c r="AB269" s="30"/>
      <c r="AC269" s="30"/>
      <c r="AD269" s="30"/>
      <c r="AE269" s="30" t="s">
        <v>2188</v>
      </c>
      <c r="AF269" s="30" t="str">
        <f t="shared" si="17"/>
        <v>MIB_E               SP_CANH_MIB</v>
      </c>
      <c r="AG269" s="30" t="s">
        <v>2189</v>
      </c>
      <c r="AH269">
        <v>3</v>
      </c>
      <c r="AI269">
        <v>216005</v>
      </c>
      <c r="AJ269" t="s">
        <v>1837</v>
      </c>
      <c r="AK269" t="s">
        <v>19</v>
      </c>
      <c r="AL269" t="s">
        <v>249</v>
      </c>
      <c r="AM269" t="s">
        <v>250</v>
      </c>
      <c r="AN269" t="s">
        <v>272</v>
      </c>
      <c r="AO269" t="s">
        <v>273</v>
      </c>
      <c r="AP269">
        <v>1</v>
      </c>
      <c r="AQ269" t="s">
        <v>264</v>
      </c>
      <c r="AR269" t="s">
        <v>46</v>
      </c>
      <c r="AS269" t="s">
        <v>19</v>
      </c>
      <c r="AT269" t="s">
        <v>19</v>
      </c>
      <c r="AU269" t="s">
        <v>19</v>
      </c>
      <c r="AV269" t="s">
        <v>1354</v>
      </c>
      <c r="AW269" t="s">
        <v>1355</v>
      </c>
      <c r="AX269" t="s">
        <v>1356</v>
      </c>
      <c r="AY269">
        <v>1</v>
      </c>
      <c r="AZ269" t="s">
        <v>1260</v>
      </c>
      <c r="BA269" t="s">
        <v>19</v>
      </c>
      <c r="BB269" t="s">
        <v>19</v>
      </c>
      <c r="BC269" t="s">
        <v>1346</v>
      </c>
      <c r="BD269" t="s">
        <v>1115</v>
      </c>
      <c r="BE269" t="s">
        <v>1838</v>
      </c>
      <c r="BF269" t="s">
        <v>1357</v>
      </c>
      <c r="BG269">
        <v>929</v>
      </c>
      <c r="BH269" t="s">
        <v>1102</v>
      </c>
      <c r="BI269">
        <v>0.35</v>
      </c>
      <c r="BJ269" t="s">
        <v>1358</v>
      </c>
      <c r="BK269" t="s">
        <v>678</v>
      </c>
      <c r="BL269" t="s">
        <v>681</v>
      </c>
      <c r="BM269">
        <v>216005</v>
      </c>
    </row>
    <row r="270" spans="1:65" ht="14.45" customHeight="1">
      <c r="A270" s="155"/>
      <c r="B270" s="30">
        <f t="shared" si="16"/>
        <v>216006</v>
      </c>
      <c r="C270" s="30" t="s">
        <v>2206</v>
      </c>
      <c r="D270" s="30"/>
      <c r="E270" s="30" t="s">
        <v>2194</v>
      </c>
      <c r="F270" s="31" t="s">
        <v>2186</v>
      </c>
      <c r="G270" s="30" t="s">
        <v>1344</v>
      </c>
      <c r="H270" s="30"/>
      <c r="I270" s="30"/>
      <c r="J270" s="30"/>
      <c r="K270" s="30" t="s">
        <v>2184</v>
      </c>
      <c r="L270" s="30" t="s">
        <v>2180</v>
      </c>
      <c r="M270" s="30" t="s">
        <v>2187</v>
      </c>
      <c r="N270" s="30"/>
      <c r="P270" s="30"/>
      <c r="Q270" s="30"/>
      <c r="R270" s="30"/>
      <c r="S270" s="30"/>
      <c r="T270" s="31"/>
      <c r="U270" s="30"/>
      <c r="V270" s="30"/>
      <c r="W270" s="30"/>
      <c r="X270" s="30"/>
      <c r="Y270" s="30"/>
      <c r="Z270" s="30"/>
      <c r="AA270" s="30"/>
      <c r="AB270" s="30"/>
      <c r="AC270" s="30"/>
      <c r="AD270" s="30"/>
      <c r="AE270" s="30" t="s">
        <v>2188</v>
      </c>
      <c r="AF270" s="30" t="str">
        <f t="shared" si="17"/>
        <v>MIB_E               SP_CANL_MIB</v>
      </c>
      <c r="AG270" s="30" t="s">
        <v>2189</v>
      </c>
      <c r="AH270">
        <v>3</v>
      </c>
      <c r="AI270">
        <v>216006</v>
      </c>
      <c r="AJ270" t="s">
        <v>1839</v>
      </c>
      <c r="AK270" t="s">
        <v>19</v>
      </c>
      <c r="AL270" t="s">
        <v>249</v>
      </c>
      <c r="AM270" t="s">
        <v>250</v>
      </c>
      <c r="AN270" t="s">
        <v>272</v>
      </c>
      <c r="AO270" t="s">
        <v>273</v>
      </c>
      <c r="AP270">
        <v>7</v>
      </c>
      <c r="AQ270" t="s">
        <v>264</v>
      </c>
      <c r="AR270" t="s">
        <v>46</v>
      </c>
      <c r="AS270" t="s">
        <v>19</v>
      </c>
      <c r="AT270" t="s">
        <v>19</v>
      </c>
      <c r="AU270" t="s">
        <v>19</v>
      </c>
      <c r="AV270" t="s">
        <v>1342</v>
      </c>
      <c r="AW270" t="s">
        <v>1343</v>
      </c>
      <c r="AX270" t="s">
        <v>1344</v>
      </c>
      <c r="AY270">
        <v>1</v>
      </c>
      <c r="AZ270" t="s">
        <v>1345</v>
      </c>
      <c r="BA270" t="s">
        <v>19</v>
      </c>
      <c r="BB270" t="s">
        <v>19</v>
      </c>
      <c r="BC270" t="s">
        <v>1346</v>
      </c>
      <c r="BD270" t="s">
        <v>1115</v>
      </c>
      <c r="BE270" t="s">
        <v>1838</v>
      </c>
      <c r="BF270" t="s">
        <v>1137</v>
      </c>
      <c r="BG270">
        <v>929</v>
      </c>
      <c r="BH270" t="s">
        <v>1138</v>
      </c>
      <c r="BI270">
        <v>0.35</v>
      </c>
      <c r="BJ270" t="s">
        <v>1348</v>
      </c>
      <c r="BK270" t="s">
        <v>678</v>
      </c>
      <c r="BL270" t="s">
        <v>681</v>
      </c>
      <c r="BM270">
        <v>216006</v>
      </c>
    </row>
    <row r="271" spans="1:65" ht="14.45" customHeight="1">
      <c r="A271" s="155"/>
      <c r="B271" s="30">
        <f t="shared" si="16"/>
        <v>216018</v>
      </c>
      <c r="C271" s="30" t="s">
        <v>2206</v>
      </c>
      <c r="D271" s="30"/>
      <c r="E271" s="30" t="s">
        <v>2194</v>
      </c>
      <c r="F271" s="31" t="s">
        <v>2186</v>
      </c>
      <c r="G271" s="30" t="s">
        <v>1356</v>
      </c>
      <c r="H271" s="30"/>
      <c r="I271" s="30"/>
      <c r="J271" s="30"/>
      <c r="K271" s="30" t="s">
        <v>2184</v>
      </c>
      <c r="L271" s="30" t="s">
        <v>2180</v>
      </c>
      <c r="M271" s="30" t="s">
        <v>2187</v>
      </c>
      <c r="N271" s="30"/>
      <c r="P271" s="30"/>
      <c r="Q271" s="30"/>
      <c r="R271" s="30"/>
      <c r="S271" s="30"/>
      <c r="T271" s="31"/>
      <c r="U271" s="30"/>
      <c r="V271" s="30"/>
      <c r="W271" s="30"/>
      <c r="X271" s="30"/>
      <c r="Y271" s="30"/>
      <c r="Z271" s="30"/>
      <c r="AA271" s="30"/>
      <c r="AB271" s="30"/>
      <c r="AC271" s="30"/>
      <c r="AD271" s="30"/>
      <c r="AE271" s="30" t="s">
        <v>2188</v>
      </c>
      <c r="AF271" s="30" t="str">
        <f t="shared" si="17"/>
        <v>AMI                 SP_CANH_MIB</v>
      </c>
      <c r="AG271" s="30" t="s">
        <v>2189</v>
      </c>
      <c r="AH271">
        <v>3</v>
      </c>
      <c r="AI271">
        <v>216018</v>
      </c>
      <c r="AJ271" t="s">
        <v>1840</v>
      </c>
      <c r="AK271" t="s">
        <v>19</v>
      </c>
      <c r="AL271" t="s">
        <v>694</v>
      </c>
      <c r="AM271" t="s">
        <v>694</v>
      </c>
      <c r="AN271" t="s">
        <v>693</v>
      </c>
      <c r="AO271" t="s">
        <v>695</v>
      </c>
      <c r="AP271" t="s">
        <v>1841</v>
      </c>
      <c r="AQ271" t="s">
        <v>696</v>
      </c>
      <c r="AR271" t="s">
        <v>46</v>
      </c>
      <c r="AS271" t="s">
        <v>19</v>
      </c>
      <c r="AT271" t="s">
        <v>19</v>
      </c>
      <c r="AU271" t="s">
        <v>19</v>
      </c>
      <c r="AV271" t="s">
        <v>1354</v>
      </c>
      <c r="AW271" t="s">
        <v>1355</v>
      </c>
      <c r="AX271" t="s">
        <v>1356</v>
      </c>
      <c r="AY271">
        <v>1</v>
      </c>
      <c r="AZ271" t="s">
        <v>1260</v>
      </c>
      <c r="BA271" t="s">
        <v>19</v>
      </c>
      <c r="BB271" t="s">
        <v>19</v>
      </c>
      <c r="BC271" t="s">
        <v>1346</v>
      </c>
      <c r="BD271" t="s">
        <v>1115</v>
      </c>
      <c r="BE271" t="s">
        <v>1842</v>
      </c>
      <c r="BF271" t="s">
        <v>1357</v>
      </c>
      <c r="BG271">
        <v>477</v>
      </c>
      <c r="BH271" t="s">
        <v>1102</v>
      </c>
      <c r="BI271">
        <v>0.35</v>
      </c>
      <c r="BJ271" t="s">
        <v>1358</v>
      </c>
      <c r="BK271" t="s">
        <v>678</v>
      </c>
      <c r="BL271" t="s">
        <v>681</v>
      </c>
      <c r="BM271">
        <v>216018</v>
      </c>
    </row>
    <row r="272" spans="1:65" ht="14.45" customHeight="1">
      <c r="A272" s="155"/>
      <c r="B272" s="30">
        <f t="shared" si="16"/>
        <v>216019</v>
      </c>
      <c r="C272" s="30" t="s">
        <v>2206</v>
      </c>
      <c r="D272" s="30"/>
      <c r="E272" s="30" t="s">
        <v>2194</v>
      </c>
      <c r="F272" s="31" t="s">
        <v>2186</v>
      </c>
      <c r="G272" s="30" t="s">
        <v>1344</v>
      </c>
      <c r="H272" s="30"/>
      <c r="I272" s="30"/>
      <c r="J272" s="30"/>
      <c r="K272" s="30" t="s">
        <v>2184</v>
      </c>
      <c r="L272" s="30" t="s">
        <v>2180</v>
      </c>
      <c r="M272" s="30" t="s">
        <v>2187</v>
      </c>
      <c r="N272" s="30"/>
      <c r="P272" s="30"/>
      <c r="Q272" s="30"/>
      <c r="R272" s="30"/>
      <c r="S272" s="30"/>
      <c r="T272" s="31"/>
      <c r="U272" s="30"/>
      <c r="V272" s="30"/>
      <c r="W272" s="30"/>
      <c r="X272" s="30"/>
      <c r="Y272" s="30"/>
      <c r="Z272" s="30"/>
      <c r="AA272" s="30"/>
      <c r="AB272" s="30"/>
      <c r="AC272" s="30"/>
      <c r="AD272" s="30"/>
      <c r="AE272" s="30" t="s">
        <v>2188</v>
      </c>
      <c r="AF272" s="30" t="str">
        <f t="shared" si="17"/>
        <v>AMI                 SP_CANL_MIB</v>
      </c>
      <c r="AG272" s="30" t="s">
        <v>2189</v>
      </c>
      <c r="AH272">
        <v>3</v>
      </c>
      <c r="AI272">
        <v>216019</v>
      </c>
      <c r="AJ272" t="s">
        <v>1843</v>
      </c>
      <c r="AK272" t="s">
        <v>19</v>
      </c>
      <c r="AL272" t="s">
        <v>694</v>
      </c>
      <c r="AM272" t="s">
        <v>694</v>
      </c>
      <c r="AN272" t="s">
        <v>693</v>
      </c>
      <c r="AO272" t="s">
        <v>695</v>
      </c>
      <c r="AP272" t="s">
        <v>1844</v>
      </c>
      <c r="AQ272" t="s">
        <v>696</v>
      </c>
      <c r="AR272" t="s">
        <v>46</v>
      </c>
      <c r="AS272" t="s">
        <v>19</v>
      </c>
      <c r="AT272" t="s">
        <v>19</v>
      </c>
      <c r="AU272" t="s">
        <v>19</v>
      </c>
      <c r="AV272" t="s">
        <v>1342</v>
      </c>
      <c r="AW272" t="s">
        <v>1343</v>
      </c>
      <c r="AX272" t="s">
        <v>1344</v>
      </c>
      <c r="AY272">
        <v>1</v>
      </c>
      <c r="AZ272" t="s">
        <v>1345</v>
      </c>
      <c r="BA272" t="s">
        <v>19</v>
      </c>
      <c r="BB272" t="s">
        <v>19</v>
      </c>
      <c r="BC272" t="s">
        <v>1346</v>
      </c>
      <c r="BD272" t="s">
        <v>1115</v>
      </c>
      <c r="BE272" t="s">
        <v>1842</v>
      </c>
      <c r="BF272" t="s">
        <v>1137</v>
      </c>
      <c r="BG272">
        <v>477</v>
      </c>
      <c r="BH272" t="s">
        <v>1138</v>
      </c>
      <c r="BI272">
        <v>0.35</v>
      </c>
      <c r="BJ272" t="s">
        <v>1348</v>
      </c>
      <c r="BK272" t="s">
        <v>678</v>
      </c>
      <c r="BL272" t="s">
        <v>681</v>
      </c>
      <c r="BM272">
        <v>216019</v>
      </c>
    </row>
    <row r="273" spans="1:65" ht="14.45" customHeight="1">
      <c r="A273" s="155"/>
      <c r="B273" s="30">
        <f t="shared" si="16"/>
        <v>216024</v>
      </c>
      <c r="C273" s="30" t="s">
        <v>2206</v>
      </c>
      <c r="D273" s="30"/>
      <c r="E273" s="30" t="s">
        <v>2180</v>
      </c>
      <c r="F273" s="31"/>
      <c r="G273" s="30"/>
      <c r="H273" s="30"/>
      <c r="I273" s="30"/>
      <c r="J273" s="30"/>
      <c r="K273" s="30"/>
      <c r="L273" s="30" t="s">
        <v>2181</v>
      </c>
      <c r="M273" s="30" t="s">
        <v>2181</v>
      </c>
      <c r="N273" s="30"/>
      <c r="P273" s="30"/>
      <c r="Q273" s="30"/>
      <c r="R273" s="30"/>
      <c r="S273" s="30"/>
      <c r="T273" s="31">
        <v>980017972</v>
      </c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  <c r="AF273" s="30" t="str">
        <f t="shared" si="17"/>
        <v>MIB_G               AMI</v>
      </c>
      <c r="AG273" s="30" t="s">
        <v>2182</v>
      </c>
      <c r="AH273">
        <v>3</v>
      </c>
      <c r="AI273">
        <v>216024</v>
      </c>
      <c r="AJ273" t="s">
        <v>1845</v>
      </c>
      <c r="AK273" t="s">
        <v>19</v>
      </c>
      <c r="AL273" t="s">
        <v>249</v>
      </c>
      <c r="AM273" t="s">
        <v>250</v>
      </c>
      <c r="AN273" t="s">
        <v>703</v>
      </c>
      <c r="AO273" t="s">
        <v>704</v>
      </c>
      <c r="AP273">
        <v>4</v>
      </c>
      <c r="AQ273" t="s">
        <v>705</v>
      </c>
      <c r="AR273" t="s">
        <v>50</v>
      </c>
      <c r="AS273" t="s">
        <v>19</v>
      </c>
      <c r="AT273" t="s">
        <v>19</v>
      </c>
      <c r="AU273" t="s">
        <v>694</v>
      </c>
      <c r="AV273" t="s">
        <v>694</v>
      </c>
      <c r="AW273" t="s">
        <v>693</v>
      </c>
      <c r="AX273" t="s">
        <v>695</v>
      </c>
      <c r="AY273">
        <v>1</v>
      </c>
      <c r="AZ273" t="s">
        <v>696</v>
      </c>
      <c r="BA273" t="s">
        <v>50</v>
      </c>
      <c r="BB273" t="s">
        <v>19</v>
      </c>
      <c r="BC273" t="s">
        <v>1846</v>
      </c>
      <c r="BD273" t="s">
        <v>1091</v>
      </c>
      <c r="BE273" t="s">
        <v>1847</v>
      </c>
      <c r="BF273" t="s">
        <v>1093</v>
      </c>
      <c r="BG273">
        <v>1335</v>
      </c>
      <c r="BH273" t="s">
        <v>1094</v>
      </c>
      <c r="BI273">
        <v>0.14000000000000001</v>
      </c>
      <c r="BJ273" t="s">
        <v>1848</v>
      </c>
      <c r="BK273" t="s">
        <v>678</v>
      </c>
      <c r="BL273" t="s">
        <v>681</v>
      </c>
      <c r="BM273">
        <v>216024</v>
      </c>
    </row>
    <row r="274" spans="1:65" ht="14.45" customHeight="1">
      <c r="A274" s="155"/>
      <c r="B274" s="30">
        <f t="shared" si="16"/>
        <v>216025</v>
      </c>
      <c r="C274" s="30" t="s">
        <v>2206</v>
      </c>
      <c r="D274" s="30"/>
      <c r="E274" s="30" t="s">
        <v>2180</v>
      </c>
      <c r="F274" s="31"/>
      <c r="G274" s="30"/>
      <c r="H274" s="30"/>
      <c r="I274" s="30"/>
      <c r="J274" s="30"/>
      <c r="K274" s="30"/>
      <c r="L274" s="30" t="s">
        <v>2181</v>
      </c>
      <c r="M274" s="30" t="s">
        <v>2181</v>
      </c>
      <c r="N274" s="30"/>
      <c r="P274" s="30"/>
      <c r="Q274" s="30"/>
      <c r="R274" s="30"/>
      <c r="S274" s="30"/>
      <c r="T274" s="31">
        <v>980017972</v>
      </c>
      <c r="U274" s="30"/>
      <c r="V274" s="30"/>
      <c r="W274" s="30"/>
      <c r="X274" s="30"/>
      <c r="Y274" s="30"/>
      <c r="Z274" s="30"/>
      <c r="AA274" s="30"/>
      <c r="AB274" s="30"/>
      <c r="AC274" s="30"/>
      <c r="AD274" s="30"/>
      <c r="AE274" s="30"/>
      <c r="AF274" s="30" t="str">
        <f t="shared" si="17"/>
        <v>MIB_G               AMI</v>
      </c>
      <c r="AG274" s="30" t="s">
        <v>2182</v>
      </c>
      <c r="AH274">
        <v>3</v>
      </c>
      <c r="AI274">
        <v>216025</v>
      </c>
      <c r="AJ274" t="s">
        <v>1849</v>
      </c>
      <c r="AK274" t="s">
        <v>19</v>
      </c>
      <c r="AL274" t="s">
        <v>249</v>
      </c>
      <c r="AM274" t="s">
        <v>250</v>
      </c>
      <c r="AN274" t="s">
        <v>703</v>
      </c>
      <c r="AO274" t="s">
        <v>704</v>
      </c>
      <c r="AP274">
        <v>3</v>
      </c>
      <c r="AQ274" t="s">
        <v>705</v>
      </c>
      <c r="AR274" t="s">
        <v>50</v>
      </c>
      <c r="AS274" t="s">
        <v>19</v>
      </c>
      <c r="AT274" t="s">
        <v>19</v>
      </c>
      <c r="AU274" t="s">
        <v>694</v>
      </c>
      <c r="AV274" t="s">
        <v>694</v>
      </c>
      <c r="AW274" t="s">
        <v>693</v>
      </c>
      <c r="AX274" t="s">
        <v>695</v>
      </c>
      <c r="AY274">
        <v>2</v>
      </c>
      <c r="AZ274" t="s">
        <v>696</v>
      </c>
      <c r="BA274" t="s">
        <v>50</v>
      </c>
      <c r="BB274" t="s">
        <v>19</v>
      </c>
      <c r="BC274" t="s">
        <v>1846</v>
      </c>
      <c r="BD274" t="s">
        <v>1091</v>
      </c>
      <c r="BE274" t="s">
        <v>1847</v>
      </c>
      <c r="BF274" t="s">
        <v>1097</v>
      </c>
      <c r="BG274">
        <v>1335</v>
      </c>
      <c r="BH274" t="s">
        <v>1098</v>
      </c>
      <c r="BI274">
        <v>0.14000000000000001</v>
      </c>
      <c r="BJ274" t="s">
        <v>1850</v>
      </c>
      <c r="BK274" t="s">
        <v>678</v>
      </c>
      <c r="BL274" t="s">
        <v>681</v>
      </c>
      <c r="BM274">
        <v>216025</v>
      </c>
    </row>
    <row r="275" spans="1:65" ht="14.45" customHeight="1">
      <c r="A275" s="155"/>
      <c r="B275" s="30">
        <f t="shared" si="16"/>
        <v>216026</v>
      </c>
      <c r="C275" s="30" t="s">
        <v>2206</v>
      </c>
      <c r="D275" s="30"/>
      <c r="E275" s="30" t="s">
        <v>2180</v>
      </c>
      <c r="F275" s="31"/>
      <c r="G275" s="30"/>
      <c r="H275" s="30"/>
      <c r="I275" s="30"/>
      <c r="J275" s="30"/>
      <c r="K275" s="30"/>
      <c r="L275" s="30" t="s">
        <v>2181</v>
      </c>
      <c r="M275" s="30" t="s">
        <v>2181</v>
      </c>
      <c r="N275" s="30"/>
      <c r="P275" s="30"/>
      <c r="Q275" s="30"/>
      <c r="R275" s="30"/>
      <c r="S275" s="30"/>
      <c r="T275" s="31">
        <v>980017972</v>
      </c>
      <c r="U275" s="30"/>
      <c r="V275" s="30"/>
      <c r="W275" s="30"/>
      <c r="X275" s="30"/>
      <c r="Y275" s="30"/>
      <c r="Z275" s="30"/>
      <c r="AA275" s="30"/>
      <c r="AB275" s="30"/>
      <c r="AC275" s="30"/>
      <c r="AD275" s="30"/>
      <c r="AE275" s="30"/>
      <c r="AF275" s="30" t="str">
        <f t="shared" si="17"/>
        <v>MIB_G               AMI</v>
      </c>
      <c r="AG275" s="30" t="s">
        <v>2182</v>
      </c>
      <c r="AH275">
        <v>3</v>
      </c>
      <c r="AI275">
        <v>216026</v>
      </c>
      <c r="AJ275" t="s">
        <v>1851</v>
      </c>
      <c r="AK275" t="s">
        <v>19</v>
      </c>
      <c r="AL275" t="s">
        <v>249</v>
      </c>
      <c r="AM275" t="s">
        <v>250</v>
      </c>
      <c r="AN275" t="s">
        <v>703</v>
      </c>
      <c r="AO275" t="s">
        <v>704</v>
      </c>
      <c r="AP275">
        <v>2</v>
      </c>
      <c r="AQ275" t="s">
        <v>705</v>
      </c>
      <c r="AR275" t="s">
        <v>50</v>
      </c>
      <c r="AS275" t="s">
        <v>19</v>
      </c>
      <c r="AT275" t="s">
        <v>19</v>
      </c>
      <c r="AU275" t="s">
        <v>694</v>
      </c>
      <c r="AV275" t="s">
        <v>694</v>
      </c>
      <c r="AW275" t="s">
        <v>693</v>
      </c>
      <c r="AX275" t="s">
        <v>695</v>
      </c>
      <c r="AY275">
        <v>3</v>
      </c>
      <c r="AZ275" t="s">
        <v>696</v>
      </c>
      <c r="BA275" t="s">
        <v>50</v>
      </c>
      <c r="BB275" t="s">
        <v>19</v>
      </c>
      <c r="BC275" t="s">
        <v>1846</v>
      </c>
      <c r="BD275" t="s">
        <v>1091</v>
      </c>
      <c r="BE275" t="s">
        <v>1847</v>
      </c>
      <c r="BF275" t="s">
        <v>1101</v>
      </c>
      <c r="BG275">
        <v>1335</v>
      </c>
      <c r="BH275" t="s">
        <v>1102</v>
      </c>
      <c r="BI275">
        <v>0.14000000000000001</v>
      </c>
      <c r="BJ275" t="s">
        <v>1852</v>
      </c>
      <c r="BK275" t="s">
        <v>678</v>
      </c>
      <c r="BL275" t="s">
        <v>681</v>
      </c>
      <c r="BM275">
        <v>216026</v>
      </c>
    </row>
    <row r="276" spans="1:65" ht="14.45" customHeight="1">
      <c r="A276" s="155"/>
      <c r="B276" s="30">
        <f t="shared" si="16"/>
        <v>216027</v>
      </c>
      <c r="C276" s="30" t="s">
        <v>2206</v>
      </c>
      <c r="D276" s="30"/>
      <c r="E276" s="30" t="s">
        <v>2180</v>
      </c>
      <c r="F276" s="31"/>
      <c r="G276" s="30"/>
      <c r="H276" s="30"/>
      <c r="I276" s="30"/>
      <c r="J276" s="30"/>
      <c r="K276" s="30"/>
      <c r="L276" s="30" t="s">
        <v>2181</v>
      </c>
      <c r="M276" s="30" t="s">
        <v>2181</v>
      </c>
      <c r="N276" s="30"/>
      <c r="P276" s="30"/>
      <c r="Q276" s="30"/>
      <c r="R276" s="30"/>
      <c r="S276" s="30"/>
      <c r="T276" s="31">
        <v>980017972</v>
      </c>
      <c r="U276" s="30"/>
      <c r="V276" s="30"/>
      <c r="W276" s="30"/>
      <c r="X276" s="30"/>
      <c r="Y276" s="30"/>
      <c r="Z276" s="30"/>
      <c r="AA276" s="30"/>
      <c r="AB276" s="30"/>
      <c r="AC276" s="30"/>
      <c r="AD276" s="30"/>
      <c r="AE276" s="30"/>
      <c r="AF276" s="30" t="str">
        <f t="shared" si="17"/>
        <v>MIB_G               AMI</v>
      </c>
      <c r="AG276" s="30" t="s">
        <v>2182</v>
      </c>
      <c r="AH276">
        <v>3</v>
      </c>
      <c r="AI276">
        <v>216027</v>
      </c>
      <c r="AJ276" t="s">
        <v>1853</v>
      </c>
      <c r="AK276" t="s">
        <v>19</v>
      </c>
      <c r="AL276" t="s">
        <v>249</v>
      </c>
      <c r="AM276" t="s">
        <v>250</v>
      </c>
      <c r="AN276" t="s">
        <v>703</v>
      </c>
      <c r="AO276" t="s">
        <v>704</v>
      </c>
      <c r="AP276">
        <v>1</v>
      </c>
      <c r="AQ276" t="s">
        <v>705</v>
      </c>
      <c r="AR276" t="s">
        <v>50</v>
      </c>
      <c r="AS276" t="s">
        <v>19</v>
      </c>
      <c r="AT276" t="s">
        <v>19</v>
      </c>
      <c r="AU276" t="s">
        <v>694</v>
      </c>
      <c r="AV276" t="s">
        <v>694</v>
      </c>
      <c r="AW276" t="s">
        <v>693</v>
      </c>
      <c r="AX276" t="s">
        <v>695</v>
      </c>
      <c r="AY276">
        <v>4</v>
      </c>
      <c r="AZ276" t="s">
        <v>696</v>
      </c>
      <c r="BA276" t="s">
        <v>50</v>
      </c>
      <c r="BB276" t="s">
        <v>19</v>
      </c>
      <c r="BC276" t="s">
        <v>1846</v>
      </c>
      <c r="BD276" t="s">
        <v>1091</v>
      </c>
      <c r="BE276" t="s">
        <v>1847</v>
      </c>
      <c r="BF276" t="s">
        <v>1105</v>
      </c>
      <c r="BG276">
        <v>1335</v>
      </c>
      <c r="BH276" t="s">
        <v>1106</v>
      </c>
      <c r="BI276">
        <v>0.14000000000000001</v>
      </c>
      <c r="BJ276" t="s">
        <v>1854</v>
      </c>
      <c r="BK276" t="s">
        <v>678</v>
      </c>
      <c r="BL276" t="s">
        <v>681</v>
      </c>
      <c r="BM276">
        <v>216027</v>
      </c>
    </row>
    <row r="277" spans="1:65" ht="14.45" customHeight="1">
      <c r="A277" s="155"/>
      <c r="B277" s="30">
        <f t="shared" si="16"/>
        <v>216028</v>
      </c>
      <c r="C277" s="30" t="s">
        <v>2206</v>
      </c>
      <c r="D277" s="30"/>
      <c r="E277" s="30" t="s">
        <v>2180</v>
      </c>
      <c r="F277" s="31"/>
      <c r="G277" s="30"/>
      <c r="H277" s="30"/>
      <c r="I277" s="30"/>
      <c r="J277" s="30"/>
      <c r="K277" s="30"/>
      <c r="L277" s="30" t="s">
        <v>2181</v>
      </c>
      <c r="M277" s="30" t="s">
        <v>2181</v>
      </c>
      <c r="N277" s="30"/>
      <c r="P277" s="30"/>
      <c r="Q277" s="30"/>
      <c r="R277" s="30"/>
      <c r="S277" s="30"/>
      <c r="T277" s="31">
        <v>980017972</v>
      </c>
      <c r="U277" s="30"/>
      <c r="V277" s="30"/>
      <c r="W277" s="30"/>
      <c r="X277" s="30"/>
      <c r="Y277" s="30"/>
      <c r="Z277" s="30"/>
      <c r="AA277" s="30"/>
      <c r="AB277" s="30"/>
      <c r="AC277" s="30"/>
      <c r="AD277" s="30"/>
      <c r="AE277" s="30"/>
      <c r="AF277" s="30" t="str">
        <f t="shared" si="17"/>
        <v>MIB_G               AMI</v>
      </c>
      <c r="AG277" s="30" t="s">
        <v>2182</v>
      </c>
      <c r="AH277">
        <v>3</v>
      </c>
      <c r="AI277">
        <v>216028</v>
      </c>
      <c r="AJ277" t="s">
        <v>1855</v>
      </c>
      <c r="AK277" t="s">
        <v>19</v>
      </c>
      <c r="AL277" t="s">
        <v>249</v>
      </c>
      <c r="AM277" t="s">
        <v>250</v>
      </c>
      <c r="AN277" t="s">
        <v>703</v>
      </c>
      <c r="AO277" t="s">
        <v>704</v>
      </c>
      <c r="AP277" t="s">
        <v>1109</v>
      </c>
      <c r="AQ277" t="s">
        <v>705</v>
      </c>
      <c r="AR277" t="s">
        <v>38</v>
      </c>
      <c r="AS277" t="s">
        <v>19</v>
      </c>
      <c r="AT277" t="s">
        <v>19</v>
      </c>
      <c r="AU277" t="s">
        <v>694</v>
      </c>
      <c r="AV277" t="s">
        <v>694</v>
      </c>
      <c r="AW277" t="s">
        <v>693</v>
      </c>
      <c r="AX277" t="s">
        <v>695</v>
      </c>
      <c r="AY277" t="s">
        <v>1109</v>
      </c>
      <c r="AZ277" t="s">
        <v>696</v>
      </c>
      <c r="BA277" t="s">
        <v>684</v>
      </c>
      <c r="BB277" t="s">
        <v>19</v>
      </c>
      <c r="BC277" t="s">
        <v>1846</v>
      </c>
      <c r="BD277" t="s">
        <v>49</v>
      </c>
      <c r="BE277" t="s">
        <v>1847</v>
      </c>
      <c r="BF277" t="s">
        <v>1856</v>
      </c>
      <c r="BG277">
        <v>1335</v>
      </c>
      <c r="BH277" t="s">
        <v>1810</v>
      </c>
      <c r="BI277">
        <v>4.8499999999999996</v>
      </c>
      <c r="BJ277" t="s">
        <v>1857</v>
      </c>
      <c r="BK277" t="s">
        <v>678</v>
      </c>
      <c r="BL277" t="s">
        <v>681</v>
      </c>
      <c r="BM277">
        <v>216028</v>
      </c>
    </row>
    <row r="278" spans="1:65" ht="14.45" customHeight="1">
      <c r="A278" s="155"/>
      <c r="B278" s="30">
        <f t="shared" si="16"/>
        <v>216029</v>
      </c>
      <c r="C278" s="30" t="s">
        <v>2206</v>
      </c>
      <c r="D278" s="30"/>
      <c r="E278" s="30" t="s">
        <v>2194</v>
      </c>
      <c r="F278" s="31" t="s">
        <v>2186</v>
      </c>
      <c r="G278" s="30" t="s">
        <v>1356</v>
      </c>
      <c r="H278" s="30"/>
      <c r="I278" s="30"/>
      <c r="J278" s="30"/>
      <c r="K278" s="30" t="s">
        <v>2184</v>
      </c>
      <c r="L278" s="30" t="s">
        <v>2187</v>
      </c>
      <c r="M278" s="30" t="s">
        <v>2180</v>
      </c>
      <c r="N278" s="30"/>
      <c r="P278" s="30"/>
      <c r="Q278" s="30"/>
      <c r="R278" s="30"/>
      <c r="S278" s="30"/>
      <c r="T278" s="31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 t="s">
        <v>2188</v>
      </c>
      <c r="AF278" s="30" t="str">
        <f t="shared" si="17"/>
        <v>SP_CANH_MIB         MESS_MIB</v>
      </c>
      <c r="AG278" s="30" t="s">
        <v>2182</v>
      </c>
      <c r="AH278">
        <v>3</v>
      </c>
      <c r="AI278">
        <v>216029</v>
      </c>
      <c r="AJ278" t="s">
        <v>1858</v>
      </c>
      <c r="AK278" t="s">
        <v>19</v>
      </c>
      <c r="AL278" t="s">
        <v>19</v>
      </c>
      <c r="AM278" t="s">
        <v>1354</v>
      </c>
      <c r="AN278" t="s">
        <v>1355</v>
      </c>
      <c r="AO278" t="s">
        <v>1356</v>
      </c>
      <c r="AP278">
        <v>1</v>
      </c>
      <c r="AQ278" t="s">
        <v>1260</v>
      </c>
      <c r="AR278" t="s">
        <v>19</v>
      </c>
      <c r="AS278" t="s">
        <v>19</v>
      </c>
      <c r="AT278" t="s">
        <v>19</v>
      </c>
      <c r="AU278" t="s">
        <v>686</v>
      </c>
      <c r="AV278" t="s">
        <v>687</v>
      </c>
      <c r="AW278" t="s">
        <v>685</v>
      </c>
      <c r="AX278" t="s">
        <v>688</v>
      </c>
      <c r="AY278">
        <v>1</v>
      </c>
      <c r="AZ278" t="s">
        <v>689</v>
      </c>
      <c r="BA278" t="s">
        <v>46</v>
      </c>
      <c r="BB278" t="s">
        <v>19</v>
      </c>
      <c r="BC278" t="s">
        <v>1346</v>
      </c>
      <c r="BD278" t="s">
        <v>1115</v>
      </c>
      <c r="BE278" t="s">
        <v>1859</v>
      </c>
      <c r="BF278" t="s">
        <v>1357</v>
      </c>
      <c r="BG278">
        <v>1177</v>
      </c>
      <c r="BH278" t="s">
        <v>1102</v>
      </c>
      <c r="BI278">
        <v>0.35</v>
      </c>
      <c r="BJ278" t="s">
        <v>1358</v>
      </c>
      <c r="BK278" t="s">
        <v>678</v>
      </c>
      <c r="BL278" t="s">
        <v>19</v>
      </c>
      <c r="BM278">
        <v>216029</v>
      </c>
    </row>
    <row r="279" spans="1:65" ht="14.45" customHeight="1">
      <c r="A279" s="155"/>
      <c r="B279" s="30">
        <f t="shared" si="16"/>
        <v>216030</v>
      </c>
      <c r="C279" s="30" t="s">
        <v>2206</v>
      </c>
      <c r="D279" s="30"/>
      <c r="E279" s="30" t="s">
        <v>2194</v>
      </c>
      <c r="F279" s="31" t="s">
        <v>2186</v>
      </c>
      <c r="G279" s="30" t="s">
        <v>1344</v>
      </c>
      <c r="H279" s="30"/>
      <c r="I279" s="30"/>
      <c r="J279" s="30"/>
      <c r="K279" s="30" t="s">
        <v>2184</v>
      </c>
      <c r="L279" s="30" t="s">
        <v>2187</v>
      </c>
      <c r="M279" s="30" t="s">
        <v>2180</v>
      </c>
      <c r="N279" s="30"/>
      <c r="P279" s="30"/>
      <c r="Q279" s="30"/>
      <c r="R279" s="30"/>
      <c r="S279" s="30"/>
      <c r="T279" s="31"/>
      <c r="U279" s="30"/>
      <c r="V279" s="30"/>
      <c r="W279" s="30"/>
      <c r="X279" s="30"/>
      <c r="Y279" s="30"/>
      <c r="Z279" s="30"/>
      <c r="AA279" s="30"/>
      <c r="AB279" s="30"/>
      <c r="AC279" s="30"/>
      <c r="AD279" s="30"/>
      <c r="AE279" s="30" t="s">
        <v>2188</v>
      </c>
      <c r="AF279" s="30" t="str">
        <f t="shared" si="17"/>
        <v>SP_CANL_MIB         MESS_MIB</v>
      </c>
      <c r="AG279" s="30" t="s">
        <v>2182</v>
      </c>
      <c r="AH279">
        <v>3</v>
      </c>
      <c r="AI279">
        <v>216030</v>
      </c>
      <c r="AJ279" t="s">
        <v>1860</v>
      </c>
      <c r="AK279" t="s">
        <v>19</v>
      </c>
      <c r="AL279" t="s">
        <v>19</v>
      </c>
      <c r="AM279" t="s">
        <v>1342</v>
      </c>
      <c r="AN279" t="s">
        <v>1343</v>
      </c>
      <c r="AO279" t="s">
        <v>1344</v>
      </c>
      <c r="AP279">
        <v>1</v>
      </c>
      <c r="AQ279" t="s">
        <v>1345</v>
      </c>
      <c r="AR279" t="s">
        <v>19</v>
      </c>
      <c r="AS279" t="s">
        <v>19</v>
      </c>
      <c r="AT279" t="s">
        <v>19</v>
      </c>
      <c r="AU279" t="s">
        <v>686</v>
      </c>
      <c r="AV279" t="s">
        <v>687</v>
      </c>
      <c r="AW279" t="s">
        <v>685</v>
      </c>
      <c r="AX279" t="s">
        <v>688</v>
      </c>
      <c r="AY279">
        <v>2</v>
      </c>
      <c r="AZ279" t="s">
        <v>689</v>
      </c>
      <c r="BA279" t="s">
        <v>46</v>
      </c>
      <c r="BB279" t="s">
        <v>19</v>
      </c>
      <c r="BC279" t="s">
        <v>1346</v>
      </c>
      <c r="BD279" t="s">
        <v>1115</v>
      </c>
      <c r="BE279" t="s">
        <v>1859</v>
      </c>
      <c r="BF279" t="s">
        <v>1137</v>
      </c>
      <c r="BG279">
        <v>1177</v>
      </c>
      <c r="BH279" t="s">
        <v>1138</v>
      </c>
      <c r="BI279">
        <v>0.35</v>
      </c>
      <c r="BJ279" t="s">
        <v>1348</v>
      </c>
      <c r="BK279" t="s">
        <v>678</v>
      </c>
      <c r="BL279" t="s">
        <v>19</v>
      </c>
      <c r="BM279">
        <v>216030</v>
      </c>
    </row>
    <row r="280" spans="1:65" ht="14.45" customHeight="1">
      <c r="A280" s="155"/>
      <c r="B280" s="30"/>
      <c r="C280" s="39" t="s">
        <v>2208</v>
      </c>
      <c r="D280" s="36"/>
      <c r="E280" s="36"/>
      <c r="F280" s="37"/>
      <c r="G280" s="36"/>
      <c r="H280" s="36"/>
      <c r="I280" s="36"/>
      <c r="J280" s="36"/>
      <c r="K280" s="36"/>
      <c r="L280" s="36"/>
      <c r="M280" s="36"/>
      <c r="N280" s="36"/>
      <c r="P280" s="36"/>
      <c r="Q280" s="36"/>
      <c r="R280" s="36"/>
      <c r="S280" s="36"/>
      <c r="T280" s="37"/>
      <c r="U280" s="36"/>
      <c r="V280" s="36"/>
      <c r="W280" s="30"/>
      <c r="X280" s="30"/>
      <c r="Y280" s="36"/>
      <c r="Z280" s="36"/>
      <c r="AA280" s="36"/>
      <c r="AB280" s="36"/>
      <c r="AC280" s="36"/>
      <c r="AD280" s="36"/>
      <c r="AE280" s="36"/>
      <c r="AF280" s="30" t="str">
        <f t="shared" si="17"/>
        <v xml:space="preserve">                    </v>
      </c>
      <c r="AG280" s="36"/>
      <c r="AH280">
        <v>1</v>
      </c>
      <c r="AI280" t="s">
        <v>710</v>
      </c>
    </row>
    <row r="281" spans="1:65" ht="14.45" customHeight="1">
      <c r="A281" s="155">
        <v>503</v>
      </c>
      <c r="B281" s="30"/>
      <c r="C281" s="39" t="s">
        <v>2208</v>
      </c>
      <c r="D281" s="39"/>
      <c r="E281" s="39"/>
      <c r="F281" s="40"/>
      <c r="G281" s="39"/>
      <c r="H281" s="39"/>
      <c r="I281" s="39"/>
      <c r="J281" s="39"/>
      <c r="K281" s="39"/>
      <c r="L281" s="39"/>
      <c r="M281" s="39"/>
      <c r="N281" s="39"/>
      <c r="P281" s="39"/>
      <c r="Q281" s="39"/>
      <c r="R281" s="39"/>
      <c r="S281" s="39"/>
      <c r="T281" s="40"/>
      <c r="U281" s="39"/>
      <c r="V281" s="39"/>
      <c r="W281" s="30"/>
      <c r="X281" s="30"/>
      <c r="Y281" s="39"/>
      <c r="Z281" s="39"/>
      <c r="AA281" s="39"/>
      <c r="AB281" s="39"/>
      <c r="AC281" s="39"/>
      <c r="AD281" s="39"/>
      <c r="AE281" s="39"/>
      <c r="AF281" s="30"/>
      <c r="AG281" s="39"/>
      <c r="AH281">
        <v>2</v>
      </c>
      <c r="AI281" t="s">
        <v>1</v>
      </c>
      <c r="AJ281" t="s">
        <v>711</v>
      </c>
      <c r="AK281" t="s">
        <v>712</v>
      </c>
      <c r="AL281" s="161" t="s">
        <v>2359</v>
      </c>
      <c r="AN281" t="s">
        <v>1861</v>
      </c>
      <c r="AO281" t="s">
        <v>1074</v>
      </c>
    </row>
    <row r="282" spans="1:65" ht="14.45" customHeight="1">
      <c r="A282" s="155"/>
      <c r="B282" s="30"/>
      <c r="C282" s="39" t="s">
        <v>2208</v>
      </c>
      <c r="D282" s="39"/>
      <c r="E282" s="39"/>
      <c r="F282" s="40"/>
      <c r="G282" s="39"/>
      <c r="H282" s="39"/>
      <c r="I282" s="39"/>
      <c r="J282" s="39"/>
      <c r="K282" s="39"/>
      <c r="L282" s="39"/>
      <c r="M282" s="39"/>
      <c r="N282" s="39"/>
      <c r="P282" s="39"/>
      <c r="Q282" s="39"/>
      <c r="R282" s="39"/>
      <c r="S282" s="39"/>
      <c r="T282" s="40"/>
      <c r="U282" s="39"/>
      <c r="V282" s="39"/>
      <c r="W282" s="30"/>
      <c r="X282" s="30"/>
      <c r="Y282" s="39"/>
      <c r="Z282" s="39"/>
      <c r="AA282" s="39"/>
      <c r="AB282" s="39"/>
      <c r="AC282" s="39"/>
      <c r="AD282" s="39"/>
      <c r="AE282" s="39"/>
      <c r="AF282" s="30" t="str">
        <f t="shared" si="17"/>
        <v>Kurzname            Kurzname</v>
      </c>
      <c r="AG282" s="39"/>
      <c r="AH282">
        <v>0</v>
      </c>
      <c r="AI282" t="s">
        <v>1075</v>
      </c>
      <c r="AJ282" t="s">
        <v>1076</v>
      </c>
      <c r="AK282" t="s">
        <v>1077</v>
      </c>
      <c r="AL282" t="s">
        <v>8</v>
      </c>
      <c r="AM282" t="s">
        <v>8</v>
      </c>
      <c r="AN282" t="s">
        <v>1078</v>
      </c>
      <c r="AO282" t="s">
        <v>9</v>
      </c>
      <c r="AP282" t="s">
        <v>1079</v>
      </c>
      <c r="AQ282" t="s">
        <v>10</v>
      </c>
      <c r="AR282" t="s">
        <v>26</v>
      </c>
      <c r="AS282" t="s">
        <v>1080</v>
      </c>
      <c r="AT282" t="s">
        <v>1077</v>
      </c>
      <c r="AU282" t="s">
        <v>8</v>
      </c>
      <c r="AV282" t="s">
        <v>8</v>
      </c>
      <c r="AW282" t="s">
        <v>1081</v>
      </c>
      <c r="AX282" t="s">
        <v>9</v>
      </c>
      <c r="AY282" t="s">
        <v>1079</v>
      </c>
      <c r="AZ282" t="s">
        <v>10</v>
      </c>
      <c r="BA282" t="s">
        <v>26</v>
      </c>
      <c r="BB282" t="s">
        <v>1080</v>
      </c>
      <c r="BC282" t="s">
        <v>1082</v>
      </c>
      <c r="BD282" t="s">
        <v>1083</v>
      </c>
      <c r="BE282" t="s">
        <v>1084</v>
      </c>
      <c r="BF282" t="s">
        <v>1085</v>
      </c>
      <c r="BG282" t="s">
        <v>1086</v>
      </c>
      <c r="BH282" t="s">
        <v>14</v>
      </c>
      <c r="BI282" t="s">
        <v>1087</v>
      </c>
      <c r="BJ282" t="s">
        <v>1088</v>
      </c>
      <c r="BK282" t="s">
        <v>1</v>
      </c>
      <c r="BL282" t="s">
        <v>1075</v>
      </c>
    </row>
    <row r="283" spans="1:65" ht="14.45" customHeight="1">
      <c r="A283" s="155"/>
      <c r="B283" s="30">
        <f t="shared" si="16"/>
        <v>218001</v>
      </c>
      <c r="C283" s="39" t="s">
        <v>2208</v>
      </c>
      <c r="D283" s="39"/>
      <c r="E283" s="39" t="s">
        <v>2180</v>
      </c>
      <c r="F283" s="40"/>
      <c r="G283" s="39"/>
      <c r="H283" s="39"/>
      <c r="I283" s="39"/>
      <c r="J283" s="39"/>
      <c r="K283" s="39"/>
      <c r="L283" s="39" t="s">
        <v>2181</v>
      </c>
      <c r="M283" s="39" t="s">
        <v>2181</v>
      </c>
      <c r="N283" s="39"/>
      <c r="P283" s="39"/>
      <c r="Q283" s="39"/>
      <c r="R283" s="39"/>
      <c r="S283" s="39"/>
      <c r="T283" s="177" t="s">
        <v>2361</v>
      </c>
      <c r="U283" s="39"/>
      <c r="V283" s="39"/>
      <c r="W283" s="30"/>
      <c r="X283" s="30"/>
      <c r="Y283" s="39"/>
      <c r="Z283" s="39"/>
      <c r="AA283" s="39"/>
      <c r="AB283" s="39"/>
      <c r="AC283" s="39"/>
      <c r="AD283" s="39"/>
      <c r="AE283" s="39"/>
      <c r="AF283" s="30" t="str">
        <f t="shared" si="17"/>
        <v>MIB_R               AED</v>
      </c>
      <c r="AG283" s="39" t="s">
        <v>2182</v>
      </c>
      <c r="AH283">
        <v>3</v>
      </c>
      <c r="AI283">
        <v>218001</v>
      </c>
      <c r="AJ283" t="s">
        <v>1862</v>
      </c>
      <c r="AK283" t="s">
        <v>19</v>
      </c>
      <c r="AL283" t="s">
        <v>249</v>
      </c>
      <c r="AM283" t="s">
        <v>727</v>
      </c>
      <c r="AN283" t="s">
        <v>726</v>
      </c>
      <c r="AO283" t="s">
        <v>728</v>
      </c>
      <c r="AP283">
        <v>1</v>
      </c>
      <c r="AQ283" t="s">
        <v>729</v>
      </c>
      <c r="AR283" t="s">
        <v>50</v>
      </c>
      <c r="AS283" t="s">
        <v>19</v>
      </c>
      <c r="AT283" t="s">
        <v>19</v>
      </c>
      <c r="AU283" t="s">
        <v>716</v>
      </c>
      <c r="AV283" t="s">
        <v>717</v>
      </c>
      <c r="AW283" t="s">
        <v>715</v>
      </c>
      <c r="AX283" t="s">
        <v>718</v>
      </c>
      <c r="AY283">
        <v>4</v>
      </c>
      <c r="AZ283" t="s">
        <v>719</v>
      </c>
      <c r="BA283" t="s">
        <v>50</v>
      </c>
      <c r="BB283" t="s">
        <v>19</v>
      </c>
      <c r="BC283" t="s">
        <v>1846</v>
      </c>
      <c r="BD283" t="s">
        <v>1091</v>
      </c>
      <c r="BE283" t="s">
        <v>1863</v>
      </c>
      <c r="BF283" t="s">
        <v>1105</v>
      </c>
      <c r="BG283">
        <v>1395</v>
      </c>
      <c r="BH283" t="s">
        <v>1106</v>
      </c>
      <c r="BI283">
        <v>0.14000000000000001</v>
      </c>
      <c r="BJ283" t="s">
        <v>1864</v>
      </c>
      <c r="BK283" t="s">
        <v>711</v>
      </c>
      <c r="BL283">
        <v>218001</v>
      </c>
    </row>
    <row r="284" spans="1:65" ht="14.45" customHeight="1">
      <c r="A284" s="155"/>
      <c r="B284" s="30">
        <f t="shared" si="16"/>
        <v>218002</v>
      </c>
      <c r="C284" s="39" t="s">
        <v>2208</v>
      </c>
      <c r="D284" s="39"/>
      <c r="E284" s="39" t="s">
        <v>2180</v>
      </c>
      <c r="F284" s="40"/>
      <c r="G284" s="39"/>
      <c r="H284" s="39"/>
      <c r="I284" s="39"/>
      <c r="J284" s="39"/>
      <c r="K284" s="39"/>
      <c r="L284" s="39" t="s">
        <v>2181</v>
      </c>
      <c r="M284" s="39" t="s">
        <v>2181</v>
      </c>
      <c r="N284" s="39"/>
      <c r="P284" s="39"/>
      <c r="Q284" s="39"/>
      <c r="R284" s="39"/>
      <c r="S284" s="39"/>
      <c r="T284" s="177" t="s">
        <v>2361</v>
      </c>
      <c r="U284" s="39"/>
      <c r="V284" s="39"/>
      <c r="W284" s="30"/>
      <c r="X284" s="30"/>
      <c r="Y284" s="39"/>
      <c r="Z284" s="39"/>
      <c r="AA284" s="39"/>
      <c r="AB284" s="39"/>
      <c r="AC284" s="39"/>
      <c r="AD284" s="39"/>
      <c r="AE284" s="39"/>
      <c r="AF284" s="30" t="str">
        <f t="shared" si="17"/>
        <v>MIB_R               AED</v>
      </c>
      <c r="AG284" s="39" t="s">
        <v>2182</v>
      </c>
      <c r="AH284">
        <v>3</v>
      </c>
      <c r="AI284">
        <v>218002</v>
      </c>
      <c r="AJ284" t="s">
        <v>1865</v>
      </c>
      <c r="AK284" t="s">
        <v>19</v>
      </c>
      <c r="AL284" t="s">
        <v>249</v>
      </c>
      <c r="AM284" t="s">
        <v>727</v>
      </c>
      <c r="AN284" t="s">
        <v>726</v>
      </c>
      <c r="AO284" t="s">
        <v>728</v>
      </c>
      <c r="AP284">
        <v>2</v>
      </c>
      <c r="AQ284" t="s">
        <v>729</v>
      </c>
      <c r="AR284" t="s">
        <v>50</v>
      </c>
      <c r="AS284" t="s">
        <v>19</v>
      </c>
      <c r="AT284" t="s">
        <v>19</v>
      </c>
      <c r="AU284" t="s">
        <v>716</v>
      </c>
      <c r="AV284" t="s">
        <v>717</v>
      </c>
      <c r="AW284" t="s">
        <v>715</v>
      </c>
      <c r="AX284" t="s">
        <v>718</v>
      </c>
      <c r="AY284">
        <v>3</v>
      </c>
      <c r="AZ284" t="s">
        <v>719</v>
      </c>
      <c r="BA284" t="s">
        <v>50</v>
      </c>
      <c r="BB284" t="s">
        <v>19</v>
      </c>
      <c r="BC284" t="s">
        <v>1846</v>
      </c>
      <c r="BD284" t="s">
        <v>1091</v>
      </c>
      <c r="BE284" t="s">
        <v>1863</v>
      </c>
      <c r="BF284" t="s">
        <v>1101</v>
      </c>
      <c r="BG284">
        <v>1395</v>
      </c>
      <c r="BH284" t="s">
        <v>1102</v>
      </c>
      <c r="BI284">
        <v>0.14000000000000001</v>
      </c>
      <c r="BJ284" t="s">
        <v>1866</v>
      </c>
      <c r="BK284" t="s">
        <v>711</v>
      </c>
      <c r="BL284">
        <v>218002</v>
      </c>
    </row>
    <row r="285" spans="1:65" ht="14.45" customHeight="1">
      <c r="A285" s="155"/>
      <c r="B285" s="30">
        <f t="shared" si="16"/>
        <v>218003</v>
      </c>
      <c r="C285" s="39" t="s">
        <v>2208</v>
      </c>
      <c r="D285" s="39"/>
      <c r="E285" s="39" t="s">
        <v>2180</v>
      </c>
      <c r="F285" s="40"/>
      <c r="G285" s="39"/>
      <c r="H285" s="39"/>
      <c r="I285" s="39"/>
      <c r="J285" s="39"/>
      <c r="K285" s="39"/>
      <c r="L285" s="39" t="s">
        <v>2181</v>
      </c>
      <c r="M285" s="39" t="s">
        <v>2181</v>
      </c>
      <c r="N285" s="39"/>
      <c r="P285" s="39"/>
      <c r="Q285" s="39"/>
      <c r="R285" s="39"/>
      <c r="S285" s="39"/>
      <c r="T285" s="177" t="s">
        <v>2361</v>
      </c>
      <c r="U285" s="39"/>
      <c r="V285" s="39"/>
      <c r="W285" s="30"/>
      <c r="X285" s="30"/>
      <c r="Y285" s="39"/>
      <c r="Z285" s="39"/>
      <c r="AA285" s="39"/>
      <c r="AB285" s="39"/>
      <c r="AC285" s="39"/>
      <c r="AD285" s="39"/>
      <c r="AE285" s="39"/>
      <c r="AF285" s="30" t="str">
        <f t="shared" si="17"/>
        <v>MIB_R               AED</v>
      </c>
      <c r="AG285" s="39" t="s">
        <v>2182</v>
      </c>
      <c r="AH285">
        <v>3</v>
      </c>
      <c r="AI285">
        <v>218003</v>
      </c>
      <c r="AJ285" t="s">
        <v>1867</v>
      </c>
      <c r="AK285" t="s">
        <v>19</v>
      </c>
      <c r="AL285" t="s">
        <v>249</v>
      </c>
      <c r="AM285" t="s">
        <v>727</v>
      </c>
      <c r="AN285" t="s">
        <v>726</v>
      </c>
      <c r="AO285" t="s">
        <v>728</v>
      </c>
      <c r="AP285">
        <v>3</v>
      </c>
      <c r="AQ285" t="s">
        <v>729</v>
      </c>
      <c r="AR285" t="s">
        <v>50</v>
      </c>
      <c r="AS285" t="s">
        <v>19</v>
      </c>
      <c r="AT285" t="s">
        <v>19</v>
      </c>
      <c r="AU285" t="s">
        <v>716</v>
      </c>
      <c r="AV285" t="s">
        <v>717</v>
      </c>
      <c r="AW285" t="s">
        <v>715</v>
      </c>
      <c r="AX285" t="s">
        <v>718</v>
      </c>
      <c r="AY285">
        <v>2</v>
      </c>
      <c r="AZ285" t="s">
        <v>719</v>
      </c>
      <c r="BA285" t="s">
        <v>50</v>
      </c>
      <c r="BB285" t="s">
        <v>19</v>
      </c>
      <c r="BC285" t="s">
        <v>1846</v>
      </c>
      <c r="BD285" t="s">
        <v>1091</v>
      </c>
      <c r="BE285" t="s">
        <v>1863</v>
      </c>
      <c r="BF285" t="s">
        <v>1097</v>
      </c>
      <c r="BG285">
        <v>1395</v>
      </c>
      <c r="BH285" t="s">
        <v>1098</v>
      </c>
      <c r="BI285">
        <v>0.14000000000000001</v>
      </c>
      <c r="BJ285" t="s">
        <v>1868</v>
      </c>
      <c r="BK285" t="s">
        <v>711</v>
      </c>
      <c r="BL285">
        <v>218003</v>
      </c>
    </row>
    <row r="286" spans="1:65" ht="14.45" customHeight="1">
      <c r="A286" s="155"/>
      <c r="B286" s="30">
        <f t="shared" si="16"/>
        <v>218004</v>
      </c>
      <c r="C286" s="39" t="s">
        <v>2208</v>
      </c>
      <c r="D286" s="39"/>
      <c r="E286" s="39" t="s">
        <v>2180</v>
      </c>
      <c r="F286" s="40"/>
      <c r="G286" s="39"/>
      <c r="H286" s="39"/>
      <c r="I286" s="39"/>
      <c r="J286" s="39"/>
      <c r="K286" s="39"/>
      <c r="L286" s="39" t="s">
        <v>2181</v>
      </c>
      <c r="M286" s="39" t="s">
        <v>2181</v>
      </c>
      <c r="N286" s="39"/>
      <c r="P286" s="39"/>
      <c r="Q286" s="39"/>
      <c r="R286" s="39"/>
      <c r="S286" s="39"/>
      <c r="T286" s="177" t="s">
        <v>2361</v>
      </c>
      <c r="U286" s="39"/>
      <c r="V286" s="39"/>
      <c r="W286" s="30"/>
      <c r="X286" s="30"/>
      <c r="Y286" s="39"/>
      <c r="Z286" s="39"/>
      <c r="AA286" s="39"/>
      <c r="AB286" s="39"/>
      <c r="AC286" s="39"/>
      <c r="AD286" s="39"/>
      <c r="AE286" s="39"/>
      <c r="AF286" s="30" t="str">
        <f t="shared" si="17"/>
        <v>MIB_R               AED</v>
      </c>
      <c r="AG286" s="39" t="s">
        <v>2182</v>
      </c>
      <c r="AH286">
        <v>3</v>
      </c>
      <c r="AI286">
        <v>218004</v>
      </c>
      <c r="AJ286" t="s">
        <v>1869</v>
      </c>
      <c r="AK286" t="s">
        <v>19</v>
      </c>
      <c r="AL286" t="s">
        <v>249</v>
      </c>
      <c r="AM286" t="s">
        <v>727</v>
      </c>
      <c r="AN286" t="s">
        <v>726</v>
      </c>
      <c r="AO286" t="s">
        <v>728</v>
      </c>
      <c r="AP286">
        <v>4</v>
      </c>
      <c r="AQ286" t="s">
        <v>729</v>
      </c>
      <c r="AR286" t="s">
        <v>50</v>
      </c>
      <c r="AS286" t="s">
        <v>19</v>
      </c>
      <c r="AT286" t="s">
        <v>19</v>
      </c>
      <c r="AU286" t="s">
        <v>716</v>
      </c>
      <c r="AV286" t="s">
        <v>717</v>
      </c>
      <c r="AW286" t="s">
        <v>715</v>
      </c>
      <c r="AX286" t="s">
        <v>718</v>
      </c>
      <c r="AY286">
        <v>1</v>
      </c>
      <c r="AZ286" t="s">
        <v>719</v>
      </c>
      <c r="BA286" t="s">
        <v>50</v>
      </c>
      <c r="BB286" t="s">
        <v>19</v>
      </c>
      <c r="BC286" t="s">
        <v>1846</v>
      </c>
      <c r="BD286" t="s">
        <v>1091</v>
      </c>
      <c r="BE286" t="s">
        <v>1863</v>
      </c>
      <c r="BF286" t="s">
        <v>1093</v>
      </c>
      <c r="BG286">
        <v>1395</v>
      </c>
      <c r="BH286" t="s">
        <v>1094</v>
      </c>
      <c r="BI286">
        <v>0.14000000000000001</v>
      </c>
      <c r="BJ286" t="s">
        <v>1870</v>
      </c>
      <c r="BK286" t="s">
        <v>711</v>
      </c>
      <c r="BL286">
        <v>218004</v>
      </c>
    </row>
    <row r="287" spans="1:65" s="173" customFormat="1" ht="14.45" customHeight="1">
      <c r="A287" s="98">
        <v>503</v>
      </c>
      <c r="B287" s="171">
        <f t="shared" si="16"/>
        <v>218005</v>
      </c>
      <c r="C287" s="50" t="s">
        <v>2208</v>
      </c>
      <c r="D287" s="50"/>
      <c r="E287" s="50" t="s">
        <v>2180</v>
      </c>
      <c r="F287" s="174"/>
      <c r="G287" s="50"/>
      <c r="H287" s="50"/>
      <c r="I287" s="50"/>
      <c r="J287" s="50"/>
      <c r="K287" s="50"/>
      <c r="L287" s="50" t="s">
        <v>2181</v>
      </c>
      <c r="M287" s="50" t="s">
        <v>2181</v>
      </c>
      <c r="N287" s="50"/>
      <c r="O287"/>
      <c r="P287" s="50"/>
      <c r="Q287" s="50"/>
      <c r="R287" s="50"/>
      <c r="S287" s="50"/>
      <c r="T287" s="174">
        <v>980018886</v>
      </c>
      <c r="U287" s="50"/>
      <c r="V287" s="50"/>
      <c r="W287" s="30"/>
      <c r="X287" s="30"/>
      <c r="Y287" s="50"/>
      <c r="Z287" s="50"/>
      <c r="AA287" s="50"/>
      <c r="AB287" s="50"/>
      <c r="AC287" s="50"/>
      <c r="AD287" s="50"/>
      <c r="AE287" s="50"/>
      <c r="AF287" s="207" t="str">
        <f t="shared" si="17"/>
        <v>MIB_R               AED</v>
      </c>
      <c r="AG287" s="50" t="s">
        <v>2182</v>
      </c>
      <c r="AH287" s="173">
        <v>3</v>
      </c>
      <c r="AI287" s="173">
        <v>218005</v>
      </c>
      <c r="AJ287" s="173" t="s">
        <v>1871</v>
      </c>
      <c r="AK287" s="173" t="s">
        <v>19</v>
      </c>
      <c r="AL287" s="173" t="s">
        <v>249</v>
      </c>
      <c r="AM287" s="173" t="s">
        <v>727</v>
      </c>
      <c r="AN287" s="173" t="s">
        <v>726</v>
      </c>
      <c r="AO287" s="173" t="s">
        <v>728</v>
      </c>
      <c r="AP287" s="173" t="s">
        <v>1109</v>
      </c>
      <c r="AQ287" s="173" t="s">
        <v>729</v>
      </c>
      <c r="AR287" s="173" t="s">
        <v>38</v>
      </c>
      <c r="AS287" s="173" t="s">
        <v>19</v>
      </c>
      <c r="AT287" s="173" t="s">
        <v>19</v>
      </c>
      <c r="AU287" s="173" t="s">
        <v>716</v>
      </c>
      <c r="AV287" s="173" t="s">
        <v>717</v>
      </c>
      <c r="AW287" s="173" t="s">
        <v>715</v>
      </c>
      <c r="AX287" s="173" t="s">
        <v>718</v>
      </c>
      <c r="AY287" s="173" t="s">
        <v>1109</v>
      </c>
      <c r="AZ287" s="173" t="s">
        <v>719</v>
      </c>
      <c r="BA287" s="173" t="s">
        <v>38</v>
      </c>
      <c r="BB287" s="173" t="s">
        <v>19</v>
      </c>
      <c r="BC287" s="173" t="s">
        <v>1846</v>
      </c>
      <c r="BD287" s="173" t="s">
        <v>49</v>
      </c>
      <c r="BE287" s="173" t="s">
        <v>1863</v>
      </c>
      <c r="BF287" s="173" t="s">
        <v>1856</v>
      </c>
      <c r="BG287" s="173">
        <v>1395</v>
      </c>
      <c r="BH287" s="173" t="s">
        <v>1810</v>
      </c>
      <c r="BI287" s="173">
        <v>4.8499999999999996</v>
      </c>
      <c r="BJ287" s="173" t="s">
        <v>1872</v>
      </c>
      <c r="BK287" s="173">
        <v>0</v>
      </c>
      <c r="BL287" s="173">
        <v>218005</v>
      </c>
    </row>
    <row r="288" spans="1:65" s="154" customFormat="1" ht="14.45" customHeight="1">
      <c r="A288" s="155">
        <v>503</v>
      </c>
      <c r="B288" s="155">
        <f t="shared" ref="B288" si="18">AI288</f>
        <v>218005</v>
      </c>
      <c r="C288" s="156" t="s">
        <v>2208</v>
      </c>
      <c r="D288" s="156"/>
      <c r="E288" s="156" t="s">
        <v>2180</v>
      </c>
      <c r="F288" s="188"/>
      <c r="G288" s="156"/>
      <c r="H288" s="156"/>
      <c r="I288" s="156"/>
      <c r="J288" s="156"/>
      <c r="K288" s="156"/>
      <c r="L288" s="156" t="s">
        <v>2181</v>
      </c>
      <c r="M288" s="156" t="s">
        <v>2181</v>
      </c>
      <c r="N288" s="156"/>
      <c r="O288"/>
      <c r="P288" s="156"/>
      <c r="Q288" s="156"/>
      <c r="R288" s="156"/>
      <c r="S288" s="156"/>
      <c r="T288" s="189" t="s">
        <v>2361</v>
      </c>
      <c r="U288" s="156"/>
      <c r="V288" s="156"/>
      <c r="W288" s="30"/>
      <c r="X288" s="30"/>
      <c r="Y288" s="156"/>
      <c r="Z288" s="156"/>
      <c r="AA288" s="156"/>
      <c r="AB288" s="156"/>
      <c r="AC288" s="156"/>
      <c r="AD288" s="156"/>
      <c r="AE288" s="156"/>
      <c r="AF288" s="30" t="str">
        <f t="shared" si="17"/>
        <v>MIB_R               AED</v>
      </c>
      <c r="AG288" s="156" t="s">
        <v>2182</v>
      </c>
      <c r="AH288" s="154">
        <v>3</v>
      </c>
      <c r="AI288" s="154">
        <v>218005</v>
      </c>
      <c r="AJ288" s="154" t="s">
        <v>1871</v>
      </c>
      <c r="AK288" s="154" t="s">
        <v>19</v>
      </c>
      <c r="AL288" s="154" t="s">
        <v>249</v>
      </c>
      <c r="AM288" s="154" t="s">
        <v>727</v>
      </c>
      <c r="AN288" s="154" t="s">
        <v>726</v>
      </c>
      <c r="AO288" s="154" t="s">
        <v>728</v>
      </c>
      <c r="AP288" s="154" t="s">
        <v>1109</v>
      </c>
      <c r="AQ288" s="154" t="s">
        <v>729</v>
      </c>
      <c r="AR288" s="154" t="s">
        <v>38</v>
      </c>
      <c r="AS288" s="154" t="s">
        <v>19</v>
      </c>
      <c r="AT288" s="154" t="s">
        <v>19</v>
      </c>
      <c r="AU288" s="154" t="s">
        <v>716</v>
      </c>
      <c r="AV288" s="154" t="s">
        <v>717</v>
      </c>
      <c r="AW288" s="154" t="s">
        <v>715</v>
      </c>
      <c r="AX288" s="154" t="s">
        <v>718</v>
      </c>
      <c r="AY288" s="154" t="s">
        <v>1109</v>
      </c>
      <c r="AZ288" s="154" t="s">
        <v>719</v>
      </c>
      <c r="BA288" s="153" t="s">
        <v>684</v>
      </c>
      <c r="BB288" s="154" t="s">
        <v>19</v>
      </c>
      <c r="BC288" s="154" t="s">
        <v>1846</v>
      </c>
      <c r="BD288" s="154" t="s">
        <v>49</v>
      </c>
      <c r="BE288" s="154" t="s">
        <v>1863</v>
      </c>
      <c r="BF288" s="154" t="s">
        <v>1856</v>
      </c>
      <c r="BG288" s="154">
        <v>1395</v>
      </c>
      <c r="BH288" s="154" t="s">
        <v>1810</v>
      </c>
      <c r="BI288" s="154">
        <v>4.8499999999999996</v>
      </c>
      <c r="BJ288" s="154" t="s">
        <v>1872</v>
      </c>
      <c r="BK288" s="154" t="s">
        <v>711</v>
      </c>
      <c r="BL288" s="154">
        <v>218005</v>
      </c>
    </row>
    <row r="289" spans="1:69" ht="14.45" customHeight="1">
      <c r="A289" s="155"/>
      <c r="B289" s="30">
        <f t="shared" si="16"/>
        <v>218006</v>
      </c>
      <c r="C289" s="39" t="s">
        <v>2208</v>
      </c>
      <c r="D289" s="39"/>
      <c r="E289" s="39" t="s">
        <v>2180</v>
      </c>
      <c r="F289" s="40" t="s">
        <v>2183</v>
      </c>
      <c r="G289" s="39" t="s">
        <v>1259</v>
      </c>
      <c r="H289" s="39"/>
      <c r="I289" s="39"/>
      <c r="J289" s="39"/>
      <c r="K289" s="39" t="s">
        <v>2184</v>
      </c>
      <c r="L289" s="39" t="s">
        <v>2180</v>
      </c>
      <c r="M289" s="39" t="s">
        <v>2187</v>
      </c>
      <c r="N289" s="39"/>
      <c r="P289" s="39"/>
      <c r="Q289" s="39"/>
      <c r="R289" s="39"/>
      <c r="S289" s="39"/>
      <c r="T289" s="40"/>
      <c r="U289" s="39"/>
      <c r="V289" s="39"/>
      <c r="W289" s="30"/>
      <c r="X289" s="30"/>
      <c r="Y289" s="39"/>
      <c r="Z289" s="39"/>
      <c r="AA289" s="39"/>
      <c r="AB289" s="39"/>
      <c r="AC289" s="39"/>
      <c r="AD289" s="39"/>
      <c r="AE289" s="39"/>
      <c r="AF289" s="30" t="str">
        <f t="shared" si="17"/>
        <v>AED                 SP_MIB_C_10</v>
      </c>
      <c r="AG289" s="36" t="s">
        <v>2182</v>
      </c>
      <c r="AH289">
        <v>3</v>
      </c>
      <c r="AI289">
        <v>218006</v>
      </c>
      <c r="AJ289" t="s">
        <v>1873</v>
      </c>
      <c r="AK289" t="s">
        <v>19</v>
      </c>
      <c r="AL289" t="s">
        <v>716</v>
      </c>
      <c r="AM289" t="s">
        <v>717</v>
      </c>
      <c r="AN289" t="s">
        <v>715</v>
      </c>
      <c r="AO289" t="s">
        <v>718</v>
      </c>
      <c r="AP289" t="s">
        <v>1829</v>
      </c>
      <c r="AQ289" t="s">
        <v>719</v>
      </c>
      <c r="AR289" t="s">
        <v>47</v>
      </c>
      <c r="AS289" t="s">
        <v>19</v>
      </c>
      <c r="AT289" t="s">
        <v>19</v>
      </c>
      <c r="AU289" t="s">
        <v>19</v>
      </c>
      <c r="AV289" t="s">
        <v>1257</v>
      </c>
      <c r="AW289" t="s">
        <v>1258</v>
      </c>
      <c r="AX289" t="s">
        <v>1259</v>
      </c>
      <c r="AY289">
        <v>1</v>
      </c>
      <c r="AZ289" t="s">
        <v>1260</v>
      </c>
      <c r="BA289" t="s">
        <v>19</v>
      </c>
      <c r="BB289" t="s">
        <v>19</v>
      </c>
      <c r="BC289" t="s">
        <v>1261</v>
      </c>
      <c r="BD289" t="s">
        <v>1115</v>
      </c>
      <c r="BE289" t="s">
        <v>19</v>
      </c>
      <c r="BF289" t="s">
        <v>19</v>
      </c>
      <c r="BG289">
        <v>557</v>
      </c>
      <c r="BH289" t="s">
        <v>1218</v>
      </c>
      <c r="BI289">
        <v>0.5</v>
      </c>
      <c r="BJ289" t="s">
        <v>1262</v>
      </c>
      <c r="BK289" t="s">
        <v>711</v>
      </c>
      <c r="BL289">
        <v>218006</v>
      </c>
    </row>
    <row r="290" spans="1:69" ht="14.45" customHeight="1">
      <c r="A290" s="155"/>
      <c r="B290" s="30">
        <f t="shared" si="16"/>
        <v>218007</v>
      </c>
      <c r="C290" s="39" t="s">
        <v>2208</v>
      </c>
      <c r="D290" s="39"/>
      <c r="E290" s="39" t="s">
        <v>2180</v>
      </c>
      <c r="F290" s="40"/>
      <c r="G290" s="39"/>
      <c r="H290" s="39"/>
      <c r="I290" s="39"/>
      <c r="J290" s="39"/>
      <c r="K290" s="39"/>
      <c r="L290" s="39" t="s">
        <v>2180</v>
      </c>
      <c r="M290" s="39" t="s">
        <v>2180</v>
      </c>
      <c r="N290" s="39"/>
      <c r="P290" s="39"/>
      <c r="Q290" s="39"/>
      <c r="R290" s="39"/>
      <c r="S290" s="39"/>
      <c r="T290" s="40"/>
      <c r="U290" s="39"/>
      <c r="V290" s="39"/>
      <c r="W290" s="30"/>
      <c r="X290" s="30"/>
      <c r="Y290" s="39"/>
      <c r="Z290" s="39"/>
      <c r="AA290" s="39"/>
      <c r="AB290" s="39"/>
      <c r="AC290" s="39"/>
      <c r="AD290" s="39"/>
      <c r="AE290" s="39"/>
      <c r="AF290" s="30" t="str">
        <f t="shared" si="17"/>
        <v>STO52A              AED</v>
      </c>
      <c r="AG290" s="36" t="s">
        <v>2182</v>
      </c>
      <c r="AH290">
        <v>3</v>
      </c>
      <c r="AI290">
        <v>218007</v>
      </c>
      <c r="AJ290" t="s">
        <v>1874</v>
      </c>
      <c r="AK290" t="s">
        <v>19</v>
      </c>
      <c r="AL290" t="s">
        <v>199</v>
      </c>
      <c r="AM290" t="s">
        <v>199</v>
      </c>
      <c r="AN290" t="s">
        <v>198</v>
      </c>
      <c r="AO290" t="s">
        <v>200</v>
      </c>
      <c r="AP290" t="s">
        <v>1875</v>
      </c>
      <c r="AQ290" t="s">
        <v>201</v>
      </c>
      <c r="AR290" t="s">
        <v>43</v>
      </c>
      <c r="AS290" t="s">
        <v>19</v>
      </c>
      <c r="AT290" t="s">
        <v>19</v>
      </c>
      <c r="AU290" t="s">
        <v>716</v>
      </c>
      <c r="AV290" t="s">
        <v>717</v>
      </c>
      <c r="AW290" t="s">
        <v>715</v>
      </c>
      <c r="AX290" t="s">
        <v>718</v>
      </c>
      <c r="AY290" t="s">
        <v>1841</v>
      </c>
      <c r="AZ290" t="s">
        <v>719</v>
      </c>
      <c r="BA290" t="s">
        <v>47</v>
      </c>
      <c r="BB290" t="s">
        <v>19</v>
      </c>
      <c r="BC290" t="s">
        <v>1261</v>
      </c>
      <c r="BD290" t="s">
        <v>1115</v>
      </c>
      <c r="BE290" t="s">
        <v>19</v>
      </c>
      <c r="BF290" t="s">
        <v>19</v>
      </c>
      <c r="BG290">
        <v>1241</v>
      </c>
      <c r="BH290" t="s">
        <v>1218</v>
      </c>
      <c r="BI290">
        <v>0.5</v>
      </c>
      <c r="BJ290" t="s">
        <v>1876</v>
      </c>
      <c r="BK290" t="s">
        <v>711</v>
      </c>
      <c r="BL290">
        <v>218007</v>
      </c>
    </row>
    <row r="291" spans="1:69" ht="14.45" customHeight="1">
      <c r="A291" s="155"/>
      <c r="B291" s="30">
        <f t="shared" si="16"/>
        <v>218008</v>
      </c>
      <c r="C291" s="39" t="s">
        <v>2208</v>
      </c>
      <c r="D291" s="39"/>
      <c r="E291" s="39" t="s">
        <v>2180</v>
      </c>
      <c r="F291" s="40" t="s">
        <v>2183</v>
      </c>
      <c r="G291" s="39" t="s">
        <v>1152</v>
      </c>
      <c r="H291" s="39"/>
      <c r="I291" s="39"/>
      <c r="J291" s="39"/>
      <c r="K291" s="39" t="s">
        <v>2184</v>
      </c>
      <c r="L291" s="39" t="s">
        <v>2187</v>
      </c>
      <c r="M291" s="39" t="s">
        <v>2180</v>
      </c>
      <c r="N291" s="39"/>
      <c r="P291" s="39"/>
      <c r="Q291" s="39"/>
      <c r="R291" s="39"/>
      <c r="S291" s="39"/>
      <c r="T291" s="40"/>
      <c r="U291" s="39"/>
      <c r="V291" s="39"/>
      <c r="W291" s="30"/>
      <c r="X291" s="30"/>
      <c r="Y291" s="39"/>
      <c r="Z291" s="39"/>
      <c r="AA291" s="39"/>
      <c r="AB291" s="39"/>
      <c r="AC291" s="39"/>
      <c r="AD291" s="39"/>
      <c r="AE291" s="39"/>
      <c r="AF291" s="30" t="str">
        <f t="shared" si="17"/>
        <v>SP_MB32_B2          AED</v>
      </c>
      <c r="AG291" s="36" t="s">
        <v>2182</v>
      </c>
      <c r="AH291">
        <v>3</v>
      </c>
      <c r="AI291">
        <v>218008</v>
      </c>
      <c r="AJ291" t="s">
        <v>1877</v>
      </c>
      <c r="AK291" t="s">
        <v>19</v>
      </c>
      <c r="AL291" t="s">
        <v>19</v>
      </c>
      <c r="AM291" t="s">
        <v>1151</v>
      </c>
      <c r="AN291">
        <v>135</v>
      </c>
      <c r="AO291" t="s">
        <v>1152</v>
      </c>
      <c r="AP291">
        <v>1</v>
      </c>
      <c r="AQ291" t="s">
        <v>358</v>
      </c>
      <c r="AR291" t="s">
        <v>19</v>
      </c>
      <c r="AS291" t="s">
        <v>19</v>
      </c>
      <c r="AT291" t="s">
        <v>19</v>
      </c>
      <c r="AU291" t="s">
        <v>716</v>
      </c>
      <c r="AV291" t="s">
        <v>717</v>
      </c>
      <c r="AW291" t="s">
        <v>715</v>
      </c>
      <c r="AX291" t="s">
        <v>718</v>
      </c>
      <c r="AY291" t="s">
        <v>1844</v>
      </c>
      <c r="AZ291" t="s">
        <v>719</v>
      </c>
      <c r="BA291" t="s">
        <v>47</v>
      </c>
      <c r="BB291" t="s">
        <v>19</v>
      </c>
      <c r="BC291" t="s">
        <v>1121</v>
      </c>
      <c r="BD291" t="s">
        <v>1115</v>
      </c>
      <c r="BE291" t="s">
        <v>19</v>
      </c>
      <c r="BF291" t="s">
        <v>19</v>
      </c>
      <c r="BG291">
        <v>540</v>
      </c>
      <c r="BH291" t="s">
        <v>1094</v>
      </c>
      <c r="BI291">
        <v>0.5</v>
      </c>
      <c r="BJ291" t="s">
        <v>1153</v>
      </c>
      <c r="BK291" t="s">
        <v>711</v>
      </c>
      <c r="BL291">
        <v>218008</v>
      </c>
    </row>
    <row r="292" spans="1:69" ht="14.45" customHeight="1">
      <c r="A292" s="155"/>
      <c r="B292" s="30"/>
      <c r="C292" s="30" t="s">
        <v>2209</v>
      </c>
      <c r="D292" s="30"/>
      <c r="E292" s="30"/>
      <c r="F292" s="31"/>
      <c r="G292" s="30"/>
      <c r="H292" s="30"/>
      <c r="I292" s="30"/>
      <c r="J292" s="30"/>
      <c r="K292" s="30"/>
      <c r="L292" s="30"/>
      <c r="M292" s="30"/>
      <c r="N292" s="30"/>
      <c r="P292" s="30"/>
      <c r="Q292" s="30"/>
      <c r="R292" s="30"/>
      <c r="S292" s="30"/>
      <c r="T292" s="31"/>
      <c r="U292" s="30"/>
      <c r="V292" s="30"/>
      <c r="W292" s="30"/>
      <c r="X292" s="30"/>
      <c r="Y292" s="30"/>
      <c r="Z292" s="30"/>
      <c r="AA292" s="30"/>
      <c r="AB292" s="30"/>
      <c r="AC292" s="30"/>
      <c r="AD292" s="30"/>
      <c r="AE292" s="30"/>
      <c r="AF292" s="30" t="str">
        <f t="shared" si="17"/>
        <v xml:space="preserve">                    </v>
      </c>
      <c r="AG292" s="30"/>
      <c r="AH292">
        <v>1</v>
      </c>
      <c r="AI292" t="s">
        <v>735</v>
      </c>
    </row>
    <row r="293" spans="1:69" ht="14.45" customHeight="1">
      <c r="A293" s="155"/>
      <c r="B293" s="30"/>
      <c r="C293" s="30" t="s">
        <v>2209</v>
      </c>
      <c r="D293" s="30"/>
      <c r="E293" s="30"/>
      <c r="F293" s="31"/>
      <c r="G293" s="30"/>
      <c r="H293" s="30"/>
      <c r="I293" s="30"/>
      <c r="J293" s="30"/>
      <c r="K293" s="30"/>
      <c r="L293" s="30"/>
      <c r="M293" s="30"/>
      <c r="N293" s="30"/>
      <c r="P293" s="30"/>
      <c r="Q293" s="30"/>
      <c r="R293" s="30"/>
      <c r="S293" s="30"/>
      <c r="T293" s="31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2">
        <v>1</v>
      </c>
      <c r="AF293" s="30"/>
      <c r="AG293" s="30"/>
      <c r="AH293">
        <v>2</v>
      </c>
      <c r="AI293" t="s">
        <v>1</v>
      </c>
      <c r="AJ293" t="s">
        <v>736</v>
      </c>
      <c r="AK293" t="s">
        <v>737</v>
      </c>
      <c r="AL293" t="s">
        <v>543</v>
      </c>
      <c r="AM293" t="s">
        <v>4</v>
      </c>
      <c r="AN293" t="s">
        <v>1878</v>
      </c>
      <c r="AO293" t="s">
        <v>1074</v>
      </c>
    </row>
    <row r="294" spans="1:69" ht="14.45" customHeight="1">
      <c r="A294" s="155"/>
      <c r="B294" s="30"/>
      <c r="C294" s="30" t="s">
        <v>2209</v>
      </c>
      <c r="D294" s="30"/>
      <c r="E294" s="30"/>
      <c r="F294" s="31"/>
      <c r="G294" s="30"/>
      <c r="H294" s="30"/>
      <c r="I294" s="30"/>
      <c r="J294" s="30"/>
      <c r="K294" s="30"/>
      <c r="L294" s="30"/>
      <c r="M294" s="30"/>
      <c r="N294" s="30"/>
      <c r="P294" s="30"/>
      <c r="Q294" s="30"/>
      <c r="R294" s="30"/>
      <c r="S294" s="30"/>
      <c r="T294" s="31"/>
      <c r="U294" s="30"/>
      <c r="V294" s="30"/>
      <c r="W294" s="30"/>
      <c r="X294" s="30"/>
      <c r="Y294" s="30"/>
      <c r="Z294" s="30"/>
      <c r="AA294" s="30"/>
      <c r="AB294" s="30"/>
      <c r="AC294" s="30"/>
      <c r="AD294" s="30"/>
      <c r="AE294" s="32">
        <v>1</v>
      </c>
      <c r="AF294" s="30"/>
      <c r="AG294" s="30"/>
      <c r="AH294">
        <v>2</v>
      </c>
      <c r="AI294" t="s">
        <v>395</v>
      </c>
      <c r="AJ294" t="s">
        <v>738</v>
      </c>
      <c r="AK294" t="s">
        <v>739</v>
      </c>
      <c r="AL294" t="s">
        <v>740</v>
      </c>
      <c r="AM294" t="s">
        <v>4</v>
      </c>
      <c r="AN294" t="s">
        <v>1879</v>
      </c>
      <c r="AO294" t="s">
        <v>1074</v>
      </c>
    </row>
    <row r="295" spans="1:69" ht="14.45" customHeight="1">
      <c r="A295" s="155"/>
      <c r="B295" s="30"/>
      <c r="C295" s="30" t="s">
        <v>2209</v>
      </c>
      <c r="D295" s="30"/>
      <c r="E295" s="30"/>
      <c r="F295" s="31"/>
      <c r="G295" s="30"/>
      <c r="H295" s="30"/>
      <c r="I295" s="30"/>
      <c r="J295" s="30"/>
      <c r="K295" s="30"/>
      <c r="L295" s="30"/>
      <c r="M295" s="30"/>
      <c r="N295" s="30"/>
      <c r="P295" s="30"/>
      <c r="Q295" s="30"/>
      <c r="R295" s="30"/>
      <c r="S295" s="30"/>
      <c r="T295" s="31"/>
      <c r="U295" s="30"/>
      <c r="V295" s="30"/>
      <c r="W295" s="30"/>
      <c r="X295" s="30"/>
      <c r="Y295" s="30"/>
      <c r="Z295" s="30"/>
      <c r="AA295" s="30"/>
      <c r="AB295" s="30"/>
      <c r="AC295" s="30"/>
      <c r="AD295" s="30"/>
      <c r="AE295" s="32">
        <v>1</v>
      </c>
      <c r="AF295" s="30"/>
      <c r="AG295" s="30"/>
      <c r="AH295">
        <v>2</v>
      </c>
      <c r="AI295" t="s">
        <v>399</v>
      </c>
      <c r="AJ295" t="s">
        <v>741</v>
      </c>
      <c r="AK295" t="s">
        <v>742</v>
      </c>
      <c r="AL295" s="192" t="s">
        <v>2402</v>
      </c>
      <c r="AM295" t="s">
        <v>4</v>
      </c>
      <c r="AN295" t="s">
        <v>1880</v>
      </c>
      <c r="AO295" t="s">
        <v>1074</v>
      </c>
    </row>
    <row r="296" spans="1:69" ht="14.45" customHeight="1">
      <c r="A296" s="155"/>
      <c r="B296" s="30"/>
      <c r="C296" s="30" t="s">
        <v>2209</v>
      </c>
      <c r="D296" s="30"/>
      <c r="E296" s="30"/>
      <c r="F296" s="31"/>
      <c r="G296" s="30"/>
      <c r="H296" s="30"/>
      <c r="I296" s="30"/>
      <c r="J296" s="30"/>
      <c r="K296" s="30"/>
      <c r="L296" s="30"/>
      <c r="M296" s="30"/>
      <c r="N296" s="30"/>
      <c r="P296" s="30"/>
      <c r="Q296" s="30"/>
      <c r="R296" s="30"/>
      <c r="S296" s="30"/>
      <c r="T296" s="31"/>
      <c r="U296" s="30"/>
      <c r="V296" s="30"/>
      <c r="W296" s="30"/>
      <c r="X296" s="30"/>
      <c r="Y296" s="30"/>
      <c r="Z296" s="30"/>
      <c r="AA296" s="30"/>
      <c r="AB296" s="30"/>
      <c r="AC296" s="30"/>
      <c r="AD296" s="30"/>
      <c r="AE296" s="32">
        <v>1</v>
      </c>
      <c r="AF296" s="30"/>
      <c r="AG296" s="30"/>
      <c r="AH296">
        <v>2</v>
      </c>
      <c r="AI296" t="s">
        <v>743</v>
      </c>
      <c r="AJ296" t="s">
        <v>744</v>
      </c>
      <c r="AK296" t="s">
        <v>745</v>
      </c>
      <c r="AL296" t="s">
        <v>740</v>
      </c>
      <c r="AM296" t="s">
        <v>4</v>
      </c>
      <c r="AN296" t="s">
        <v>1879</v>
      </c>
      <c r="AO296" t="s">
        <v>1074</v>
      </c>
    </row>
    <row r="297" spans="1:69" ht="14.45" customHeight="1">
      <c r="A297" s="155"/>
      <c r="B297" s="30"/>
      <c r="C297" s="30" t="s">
        <v>2209</v>
      </c>
      <c r="D297" s="30"/>
      <c r="E297" s="30"/>
      <c r="F297" s="31"/>
      <c r="G297" s="30"/>
      <c r="H297" s="30"/>
      <c r="I297" s="30"/>
      <c r="J297" s="30"/>
      <c r="K297" s="30"/>
      <c r="L297" s="30"/>
      <c r="M297" s="30"/>
      <c r="N297" s="30"/>
      <c r="P297" s="30"/>
      <c r="Q297" s="30"/>
      <c r="R297" s="30"/>
      <c r="S297" s="30"/>
      <c r="T297" s="31"/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>
        <v>2</v>
      </c>
      <c r="AI297" t="s">
        <v>746</v>
      </c>
      <c r="AJ297" t="s">
        <v>747</v>
      </c>
      <c r="AK297" t="s">
        <v>748</v>
      </c>
      <c r="AL297" t="s">
        <v>543</v>
      </c>
      <c r="AM297" t="s">
        <v>4</v>
      </c>
      <c r="AN297" t="s">
        <v>1878</v>
      </c>
      <c r="AO297" t="s">
        <v>1074</v>
      </c>
    </row>
    <row r="298" spans="1:69" ht="14.45" customHeight="1">
      <c r="A298" s="155"/>
      <c r="B298" s="30"/>
      <c r="C298" s="30" t="s">
        <v>2209</v>
      </c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P298" s="34"/>
      <c r="Q298" s="34"/>
      <c r="R298" s="34"/>
      <c r="S298" s="34"/>
      <c r="T298" s="34"/>
      <c r="U298" s="34"/>
      <c r="V298" s="34"/>
      <c r="W298" s="30"/>
      <c r="X298" s="30"/>
      <c r="Y298" s="34"/>
      <c r="Z298" s="34"/>
      <c r="AA298" s="34"/>
      <c r="AB298" s="34"/>
      <c r="AC298" s="34"/>
      <c r="AD298" s="34"/>
      <c r="AE298" s="34"/>
      <c r="AF298" s="30"/>
      <c r="AG298" s="30"/>
      <c r="AH298">
        <v>2</v>
      </c>
      <c r="AI298" t="s">
        <v>749</v>
      </c>
      <c r="AJ298" t="s">
        <v>750</v>
      </c>
      <c r="AK298" t="s">
        <v>751</v>
      </c>
      <c r="AL298" t="s">
        <v>740</v>
      </c>
      <c r="AM298" t="s">
        <v>4</v>
      </c>
      <c r="AN298" t="s">
        <v>1879</v>
      </c>
      <c r="AO298" t="s">
        <v>1074</v>
      </c>
    </row>
    <row r="299" spans="1:69" ht="14.45" customHeight="1">
      <c r="A299" s="155"/>
      <c r="B299" s="30"/>
      <c r="C299" s="30" t="s">
        <v>2209</v>
      </c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P299" s="34"/>
      <c r="Q299" s="34"/>
      <c r="R299" s="34"/>
      <c r="S299" s="34"/>
      <c r="T299" s="34"/>
      <c r="U299" s="34"/>
      <c r="V299" s="34"/>
      <c r="W299" s="30"/>
      <c r="X299" s="30"/>
      <c r="Y299" s="34"/>
      <c r="Z299" s="34"/>
      <c r="AA299" s="34"/>
      <c r="AB299" s="34"/>
      <c r="AC299" s="34"/>
      <c r="AD299" s="34"/>
      <c r="AE299" s="34"/>
      <c r="AF299" s="30" t="str">
        <f t="shared" si="17"/>
        <v>Kurzname            Kurzname</v>
      </c>
      <c r="AG299" s="30"/>
      <c r="AH299">
        <v>0</v>
      </c>
      <c r="AI299" t="s">
        <v>1075</v>
      </c>
      <c r="AJ299" t="s">
        <v>1076</v>
      </c>
      <c r="AK299" t="s">
        <v>1077</v>
      </c>
      <c r="AL299" t="s">
        <v>8</v>
      </c>
      <c r="AM299" t="s">
        <v>8</v>
      </c>
      <c r="AN299" t="s">
        <v>1078</v>
      </c>
      <c r="AO299" t="s">
        <v>9</v>
      </c>
      <c r="AP299" t="s">
        <v>1079</v>
      </c>
      <c r="AQ299" t="s">
        <v>10</v>
      </c>
      <c r="AR299" t="s">
        <v>26</v>
      </c>
      <c r="AS299" t="s">
        <v>1080</v>
      </c>
      <c r="AT299" t="s">
        <v>1077</v>
      </c>
      <c r="AU299" t="s">
        <v>8</v>
      </c>
      <c r="AV299" t="s">
        <v>8</v>
      </c>
      <c r="AW299" t="s">
        <v>1081</v>
      </c>
      <c r="AX299" t="s">
        <v>9</v>
      </c>
      <c r="AY299" t="s">
        <v>1079</v>
      </c>
      <c r="AZ299" t="s">
        <v>10</v>
      </c>
      <c r="BA299" t="s">
        <v>26</v>
      </c>
      <c r="BB299" t="s">
        <v>1080</v>
      </c>
      <c r="BC299" t="s">
        <v>1082</v>
      </c>
      <c r="BD299" t="s">
        <v>1083</v>
      </c>
      <c r="BE299" t="s">
        <v>1084</v>
      </c>
      <c r="BF299" t="s">
        <v>1085</v>
      </c>
      <c r="BG299" t="s">
        <v>1086</v>
      </c>
      <c r="BH299" t="s">
        <v>14</v>
      </c>
      <c r="BI299" t="s">
        <v>1087</v>
      </c>
      <c r="BJ299" t="s">
        <v>1088</v>
      </c>
      <c r="BK299" t="s">
        <v>1</v>
      </c>
      <c r="BL299" t="s">
        <v>395</v>
      </c>
      <c r="BM299" t="s">
        <v>399</v>
      </c>
      <c r="BN299" t="s">
        <v>743</v>
      </c>
      <c r="BO299" t="s">
        <v>746</v>
      </c>
      <c r="BP299" t="s">
        <v>749</v>
      </c>
      <c r="BQ299" t="s">
        <v>1075</v>
      </c>
    </row>
    <row r="300" spans="1:69" ht="14.45" customHeight="1">
      <c r="A300" s="155"/>
      <c r="B300" s="30">
        <f t="shared" si="16"/>
        <v>219001</v>
      </c>
      <c r="C300" s="30" t="s">
        <v>2209</v>
      </c>
      <c r="D300" s="30"/>
      <c r="E300" s="30" t="s">
        <v>2195</v>
      </c>
      <c r="F300" s="31"/>
      <c r="G300" s="30"/>
      <c r="H300" s="30"/>
      <c r="I300" s="30"/>
      <c r="J300" s="30"/>
      <c r="K300" s="30"/>
      <c r="L300" s="30" t="s">
        <v>2181</v>
      </c>
      <c r="M300" s="30" t="s">
        <v>2181</v>
      </c>
      <c r="N300" s="30"/>
      <c r="P300" s="30"/>
      <c r="Q300" s="30"/>
      <c r="R300" s="30"/>
      <c r="S300" s="30"/>
      <c r="T300" s="31" t="s">
        <v>2344</v>
      </c>
      <c r="U300" s="30"/>
      <c r="V300" s="30"/>
      <c r="W300" s="30"/>
      <c r="X300" s="30"/>
      <c r="Y300" s="30"/>
      <c r="Z300" s="30"/>
      <c r="AA300" s="30"/>
      <c r="AB300" s="30"/>
      <c r="AC300" s="30"/>
      <c r="AD300" s="30"/>
      <c r="AE300" s="30"/>
      <c r="AF300" s="30" t="str">
        <f t="shared" si="17"/>
        <v>MIB_F               ANTV04P</v>
      </c>
      <c r="AG300" s="30" t="s">
        <v>2189</v>
      </c>
      <c r="AH300">
        <v>3</v>
      </c>
      <c r="AI300">
        <v>219001</v>
      </c>
      <c r="AJ300" t="s">
        <v>1881</v>
      </c>
      <c r="AK300" t="s">
        <v>19</v>
      </c>
      <c r="AL300" t="s">
        <v>249</v>
      </c>
      <c r="AM300" t="s">
        <v>250</v>
      </c>
      <c r="AN300" t="s">
        <v>816</v>
      </c>
      <c r="AO300" t="s">
        <v>817</v>
      </c>
      <c r="AP300">
        <v>3</v>
      </c>
      <c r="AQ300" t="s">
        <v>818</v>
      </c>
      <c r="AR300" t="s">
        <v>752</v>
      </c>
      <c r="AS300" t="s">
        <v>19</v>
      </c>
      <c r="AT300" t="s">
        <v>19</v>
      </c>
      <c r="AU300" t="s">
        <v>801</v>
      </c>
      <c r="AV300" t="s">
        <v>801</v>
      </c>
      <c r="AW300" t="s">
        <v>800</v>
      </c>
      <c r="AX300" t="s">
        <v>802</v>
      </c>
      <c r="AY300">
        <v>1</v>
      </c>
      <c r="AZ300" t="s">
        <v>803</v>
      </c>
      <c r="BA300" t="s">
        <v>37</v>
      </c>
      <c r="BB300" t="s">
        <v>19</v>
      </c>
      <c r="BC300" t="s">
        <v>1360</v>
      </c>
      <c r="BD300" t="s">
        <v>1361</v>
      </c>
      <c r="BE300" t="s">
        <v>1882</v>
      </c>
      <c r="BF300" t="s">
        <v>1363</v>
      </c>
      <c r="BG300">
        <v>5020</v>
      </c>
      <c r="BH300" t="s">
        <v>1364</v>
      </c>
      <c r="BI300">
        <v>0.37</v>
      </c>
      <c r="BJ300" t="s">
        <v>1883</v>
      </c>
      <c r="BK300" t="s">
        <v>736</v>
      </c>
      <c r="BL300" t="s">
        <v>19</v>
      </c>
      <c r="BM300" t="s">
        <v>19</v>
      </c>
      <c r="BN300" t="s">
        <v>19</v>
      </c>
      <c r="BO300" t="s">
        <v>747</v>
      </c>
      <c r="BP300" t="s">
        <v>19</v>
      </c>
      <c r="BQ300">
        <v>219001</v>
      </c>
    </row>
    <row r="301" spans="1:69" ht="14.45" customHeight="1">
      <c r="A301" s="155"/>
      <c r="B301" s="30">
        <f t="shared" si="16"/>
        <v>219002</v>
      </c>
      <c r="C301" s="30" t="s">
        <v>2209</v>
      </c>
      <c r="D301" s="30"/>
      <c r="E301" s="30" t="s">
        <v>2195</v>
      </c>
      <c r="F301" s="31"/>
      <c r="G301" s="30"/>
      <c r="H301" s="30"/>
      <c r="I301" s="30"/>
      <c r="J301" s="30"/>
      <c r="K301" s="30"/>
      <c r="L301" s="30" t="s">
        <v>2181</v>
      </c>
      <c r="M301" s="30" t="s">
        <v>2181</v>
      </c>
      <c r="N301" s="30"/>
      <c r="P301" s="30"/>
      <c r="Q301" s="30"/>
      <c r="R301" s="30"/>
      <c r="S301" s="30"/>
      <c r="T301" s="31" t="s">
        <v>2344</v>
      </c>
      <c r="U301" s="30"/>
      <c r="V301" s="30"/>
      <c r="W301" s="30"/>
      <c r="X301" s="30"/>
      <c r="Y301" s="30"/>
      <c r="Z301" s="30"/>
      <c r="AA301" s="30"/>
      <c r="AB301" s="30"/>
      <c r="AC301" s="30"/>
      <c r="AD301" s="30"/>
      <c r="AE301" s="30"/>
      <c r="AF301" s="30" t="str">
        <f t="shared" si="17"/>
        <v>MIB_F               ANTV04P</v>
      </c>
      <c r="AG301" s="30" t="s">
        <v>2189</v>
      </c>
      <c r="AH301">
        <v>3</v>
      </c>
      <c r="AI301">
        <v>219002</v>
      </c>
      <c r="AJ301" t="s">
        <v>1884</v>
      </c>
      <c r="AK301" t="s">
        <v>19</v>
      </c>
      <c r="AL301" t="s">
        <v>249</v>
      </c>
      <c r="AM301" t="s">
        <v>250</v>
      </c>
      <c r="AN301" t="s">
        <v>816</v>
      </c>
      <c r="AO301" t="s">
        <v>817</v>
      </c>
      <c r="AP301" t="s">
        <v>1885</v>
      </c>
      <c r="AQ301" t="s">
        <v>818</v>
      </c>
      <c r="AR301" t="s">
        <v>753</v>
      </c>
      <c r="AS301" t="s">
        <v>19</v>
      </c>
      <c r="AT301" t="s">
        <v>19</v>
      </c>
      <c r="AU301" t="s">
        <v>801</v>
      </c>
      <c r="AV301" t="s">
        <v>801</v>
      </c>
      <c r="AW301" t="s">
        <v>800</v>
      </c>
      <c r="AX301" t="s">
        <v>802</v>
      </c>
      <c r="AY301">
        <v>2</v>
      </c>
      <c r="AZ301" t="s">
        <v>803</v>
      </c>
      <c r="BA301" t="s">
        <v>49</v>
      </c>
      <c r="BB301" t="s">
        <v>19</v>
      </c>
      <c r="BC301" t="s">
        <v>1360</v>
      </c>
      <c r="BD301" t="s">
        <v>49</v>
      </c>
      <c r="BE301" t="s">
        <v>1882</v>
      </c>
      <c r="BF301" t="s">
        <v>1367</v>
      </c>
      <c r="BG301">
        <v>5020</v>
      </c>
      <c r="BH301" t="s">
        <v>1111</v>
      </c>
      <c r="BI301">
        <v>0.5</v>
      </c>
      <c r="BJ301" t="s">
        <v>1886</v>
      </c>
      <c r="BK301" t="s">
        <v>736</v>
      </c>
      <c r="BL301" t="s">
        <v>19</v>
      </c>
      <c r="BM301" t="s">
        <v>19</v>
      </c>
      <c r="BN301" t="s">
        <v>19</v>
      </c>
      <c r="BO301" t="s">
        <v>747</v>
      </c>
      <c r="BP301" t="s">
        <v>19</v>
      </c>
      <c r="BQ301">
        <v>219002</v>
      </c>
    </row>
    <row r="302" spans="1:69" ht="14.45" customHeight="1">
      <c r="A302" s="171" t="s">
        <v>2411</v>
      </c>
      <c r="B302" s="171">
        <f t="shared" ref="B302" si="19">AI302</f>
        <v>219003</v>
      </c>
      <c r="C302" s="171" t="s">
        <v>2209</v>
      </c>
      <c r="D302" s="171"/>
      <c r="E302" s="171" t="s">
        <v>2195</v>
      </c>
      <c r="F302" s="172"/>
      <c r="G302" s="171"/>
      <c r="H302" s="171"/>
      <c r="I302" s="171"/>
      <c r="J302" s="171"/>
      <c r="K302" s="171"/>
      <c r="L302" s="171" t="s">
        <v>2181</v>
      </c>
      <c r="M302" s="171" t="s">
        <v>2181</v>
      </c>
      <c r="N302" s="171"/>
      <c r="P302" s="171"/>
      <c r="Q302" s="171"/>
      <c r="R302" s="171"/>
      <c r="S302" s="171"/>
      <c r="T302" s="172">
        <v>980017591</v>
      </c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 t="str">
        <f t="shared" ref="AF302" si="20" xml:space="preserve"> AO302 &amp; REPT(" ",20-LEN(AO302)) &amp; AX302</f>
        <v>MIB_F_NAR           KS_CPR_I</v>
      </c>
      <c r="AG302" s="171" t="s">
        <v>2189</v>
      </c>
      <c r="AH302" s="173">
        <v>3</v>
      </c>
      <c r="AI302" s="173">
        <v>219003</v>
      </c>
      <c r="AJ302" s="173" t="s">
        <v>1887</v>
      </c>
      <c r="AK302" s="173" t="s">
        <v>19</v>
      </c>
      <c r="AL302" s="173" t="s">
        <v>249</v>
      </c>
      <c r="AM302" s="173" t="s">
        <v>249</v>
      </c>
      <c r="AN302" s="173" t="s">
        <v>808</v>
      </c>
      <c r="AO302" s="173" t="s">
        <v>809</v>
      </c>
      <c r="AP302" s="173">
        <v>3</v>
      </c>
      <c r="AQ302" s="173" t="s">
        <v>729</v>
      </c>
      <c r="AR302" s="173" t="s">
        <v>752</v>
      </c>
      <c r="AS302" s="173" t="s">
        <v>19</v>
      </c>
      <c r="AT302" s="173" t="s">
        <v>19</v>
      </c>
      <c r="AU302" s="173" t="s">
        <v>96</v>
      </c>
      <c r="AV302" s="173" t="s">
        <v>96</v>
      </c>
      <c r="AW302" s="173" t="s">
        <v>755</v>
      </c>
      <c r="AX302" s="173" t="s">
        <v>756</v>
      </c>
      <c r="AY302" s="173">
        <v>1</v>
      </c>
      <c r="AZ302" s="173" t="s">
        <v>440</v>
      </c>
      <c r="BA302" s="173" t="s">
        <v>656</v>
      </c>
      <c r="BB302" s="173" t="s">
        <v>19</v>
      </c>
      <c r="BC302" s="173" t="s">
        <v>1806</v>
      </c>
      <c r="BD302" s="173" t="s">
        <v>1807</v>
      </c>
      <c r="BE302" s="173" t="s">
        <v>1888</v>
      </c>
      <c r="BF302" s="173" t="s">
        <v>1809</v>
      </c>
      <c r="BG302" s="173">
        <v>1819</v>
      </c>
      <c r="BH302" s="173" t="s">
        <v>1810</v>
      </c>
      <c r="BI302" s="173">
        <v>0.14000000000000001</v>
      </c>
      <c r="BJ302" s="173" t="s">
        <v>1889</v>
      </c>
      <c r="BK302" s="173" t="s">
        <v>19</v>
      </c>
      <c r="BL302" s="173" t="s">
        <v>19</v>
      </c>
      <c r="BM302" s="173" t="s">
        <v>741</v>
      </c>
      <c r="BN302" s="173" t="s">
        <v>19</v>
      </c>
      <c r="BO302" s="173" t="s">
        <v>19</v>
      </c>
      <c r="BP302" s="173" t="s">
        <v>19</v>
      </c>
      <c r="BQ302" s="173">
        <v>219003</v>
      </c>
    </row>
    <row r="303" spans="1:69" ht="14.45" customHeight="1">
      <c r="A303" s="155">
        <v>220</v>
      </c>
      <c r="B303" s="30">
        <f t="shared" si="16"/>
        <v>219003</v>
      </c>
      <c r="C303" s="30" t="s">
        <v>2209</v>
      </c>
      <c r="D303" s="30"/>
      <c r="E303" s="30" t="s">
        <v>2195</v>
      </c>
      <c r="F303" s="31"/>
      <c r="G303" s="30"/>
      <c r="H303" s="30"/>
      <c r="I303" s="30"/>
      <c r="J303" s="30"/>
      <c r="K303" s="30"/>
      <c r="L303" s="30" t="s">
        <v>2181</v>
      </c>
      <c r="M303" s="30" t="s">
        <v>2181</v>
      </c>
      <c r="N303" s="30"/>
      <c r="P303" s="30"/>
      <c r="Q303" s="30"/>
      <c r="R303" s="30"/>
      <c r="S303" s="30"/>
      <c r="T303" s="157">
        <v>980018940</v>
      </c>
      <c r="U303" s="30"/>
      <c r="V303" s="30"/>
      <c r="W303" s="30"/>
      <c r="X303" s="30"/>
      <c r="Y303" s="30"/>
      <c r="Z303" s="30"/>
      <c r="AA303" s="30"/>
      <c r="AB303" s="30"/>
      <c r="AC303" s="30"/>
      <c r="AD303" s="30"/>
      <c r="AE303" s="30"/>
      <c r="AF303" s="30" t="str">
        <f t="shared" si="17"/>
        <v>MIB_F_NAR           KS_CPR_I</v>
      </c>
      <c r="AG303" s="30" t="s">
        <v>2189</v>
      </c>
      <c r="AH303">
        <v>3</v>
      </c>
      <c r="AI303">
        <v>219003</v>
      </c>
      <c r="AJ303" t="s">
        <v>1887</v>
      </c>
      <c r="AK303" t="s">
        <v>19</v>
      </c>
      <c r="AL303" t="s">
        <v>249</v>
      </c>
      <c r="AM303" t="s">
        <v>249</v>
      </c>
      <c r="AN303" t="s">
        <v>808</v>
      </c>
      <c r="AO303" t="s">
        <v>809</v>
      </c>
      <c r="AP303">
        <v>3</v>
      </c>
      <c r="AQ303" t="s">
        <v>729</v>
      </c>
      <c r="AR303" t="s">
        <v>752</v>
      </c>
      <c r="AS303" t="s">
        <v>19</v>
      </c>
      <c r="AT303" t="s">
        <v>19</v>
      </c>
      <c r="AU303" t="s">
        <v>96</v>
      </c>
      <c r="AV303" t="s">
        <v>96</v>
      </c>
      <c r="AW303" t="s">
        <v>755</v>
      </c>
      <c r="AX303" t="s">
        <v>756</v>
      </c>
      <c r="AY303">
        <v>1</v>
      </c>
      <c r="AZ303" t="s">
        <v>440</v>
      </c>
      <c r="BA303" t="s">
        <v>656</v>
      </c>
      <c r="BB303" t="s">
        <v>19</v>
      </c>
      <c r="BC303" t="s">
        <v>1806</v>
      </c>
      <c r="BD303" t="s">
        <v>1807</v>
      </c>
      <c r="BE303" t="s">
        <v>1888</v>
      </c>
      <c r="BF303" t="s">
        <v>1809</v>
      </c>
      <c r="BG303">
        <v>1819</v>
      </c>
      <c r="BH303" t="s">
        <v>1810</v>
      </c>
      <c r="BI303">
        <v>0.14000000000000001</v>
      </c>
      <c r="BJ303" t="s">
        <v>1889</v>
      </c>
      <c r="BK303" t="s">
        <v>19</v>
      </c>
      <c r="BL303" t="s">
        <v>19</v>
      </c>
      <c r="BM303" t="s">
        <v>741</v>
      </c>
      <c r="BN303" t="s">
        <v>19</v>
      </c>
      <c r="BO303" t="s">
        <v>19</v>
      </c>
      <c r="BP303" t="s">
        <v>19</v>
      </c>
      <c r="BQ303">
        <v>219003</v>
      </c>
    </row>
    <row r="304" spans="1:69" ht="14.45" customHeight="1">
      <c r="A304" s="171" t="s">
        <v>2411</v>
      </c>
      <c r="B304" s="171">
        <f t="shared" ref="B304" si="21">AI304</f>
        <v>219004</v>
      </c>
      <c r="C304" s="171" t="s">
        <v>2209</v>
      </c>
      <c r="D304" s="171"/>
      <c r="E304" s="171" t="s">
        <v>2195</v>
      </c>
      <c r="F304" s="172"/>
      <c r="G304" s="171"/>
      <c r="H304" s="171"/>
      <c r="I304" s="171"/>
      <c r="J304" s="171"/>
      <c r="K304" s="171"/>
      <c r="L304" s="171" t="s">
        <v>2181</v>
      </c>
      <c r="M304" s="171" t="s">
        <v>2181</v>
      </c>
      <c r="N304" s="171"/>
      <c r="P304" s="171"/>
      <c r="Q304" s="171"/>
      <c r="R304" s="171"/>
      <c r="S304" s="171"/>
      <c r="T304" s="172">
        <v>980017591</v>
      </c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 t="str">
        <f t="shared" ref="AF304" si="22" xml:space="preserve"> AO304 &amp; REPT(" ",20-LEN(AO304)) &amp; AX304</f>
        <v>MIB_F_NAR           KS_CPR_I</v>
      </c>
      <c r="AG304" s="171" t="s">
        <v>2189</v>
      </c>
      <c r="AH304" s="173">
        <v>3</v>
      </c>
      <c r="AI304" s="173">
        <v>219004</v>
      </c>
      <c r="AJ304" s="173" t="s">
        <v>1890</v>
      </c>
      <c r="AK304" s="173" t="s">
        <v>19</v>
      </c>
      <c r="AL304" s="173" t="s">
        <v>249</v>
      </c>
      <c r="AM304" s="173" t="s">
        <v>249</v>
      </c>
      <c r="AN304" s="173" t="s">
        <v>808</v>
      </c>
      <c r="AO304" s="173" t="s">
        <v>809</v>
      </c>
      <c r="AP304" s="173" t="s">
        <v>1885</v>
      </c>
      <c r="AQ304" s="173" t="s">
        <v>729</v>
      </c>
      <c r="AR304" s="173" t="s">
        <v>753</v>
      </c>
      <c r="AS304" s="173" t="s">
        <v>19</v>
      </c>
      <c r="AT304" s="173" t="s">
        <v>19</v>
      </c>
      <c r="AU304" s="173" t="s">
        <v>96</v>
      </c>
      <c r="AV304" s="173" t="s">
        <v>96</v>
      </c>
      <c r="AW304" s="173" t="s">
        <v>755</v>
      </c>
      <c r="AX304" s="173" t="s">
        <v>756</v>
      </c>
      <c r="AY304" s="173">
        <v>2</v>
      </c>
      <c r="AZ304" s="173" t="s">
        <v>440</v>
      </c>
      <c r="BA304" s="173" t="s">
        <v>49</v>
      </c>
      <c r="BB304" s="173" t="s">
        <v>19</v>
      </c>
      <c r="BC304" s="173" t="s">
        <v>1806</v>
      </c>
      <c r="BD304" s="173" t="s">
        <v>49</v>
      </c>
      <c r="BE304" s="173" t="s">
        <v>1888</v>
      </c>
      <c r="BF304" s="173" t="s">
        <v>1813</v>
      </c>
      <c r="BG304" s="173">
        <v>1819</v>
      </c>
      <c r="BH304" s="173" t="s">
        <v>1111</v>
      </c>
      <c r="BI304" s="173">
        <v>0.5</v>
      </c>
      <c r="BJ304" s="173" t="s">
        <v>1891</v>
      </c>
      <c r="BK304" s="173" t="s">
        <v>19</v>
      </c>
      <c r="BL304" s="173" t="s">
        <v>19</v>
      </c>
      <c r="BM304" s="173" t="s">
        <v>741</v>
      </c>
      <c r="BN304" s="173" t="s">
        <v>19</v>
      </c>
      <c r="BO304" s="173" t="s">
        <v>19</v>
      </c>
      <c r="BP304" s="173" t="s">
        <v>19</v>
      </c>
      <c r="BQ304" s="173">
        <v>219004</v>
      </c>
    </row>
    <row r="305" spans="1:69" ht="14.45" customHeight="1">
      <c r="A305" s="155">
        <v>220</v>
      </c>
      <c r="B305" s="30">
        <f t="shared" si="16"/>
        <v>219004</v>
      </c>
      <c r="C305" s="30" t="s">
        <v>2209</v>
      </c>
      <c r="D305" s="30"/>
      <c r="E305" s="30" t="s">
        <v>2195</v>
      </c>
      <c r="F305" s="31"/>
      <c r="G305" s="30"/>
      <c r="H305" s="30"/>
      <c r="I305" s="30"/>
      <c r="J305" s="30"/>
      <c r="K305" s="30"/>
      <c r="L305" s="30" t="s">
        <v>2181</v>
      </c>
      <c r="M305" s="30" t="s">
        <v>2181</v>
      </c>
      <c r="N305" s="30"/>
      <c r="P305" s="30"/>
      <c r="Q305" s="30"/>
      <c r="R305" s="30"/>
      <c r="S305" s="30"/>
      <c r="T305" s="157">
        <v>980018940</v>
      </c>
      <c r="U305" s="30"/>
      <c r="V305" s="30"/>
      <c r="W305" s="30"/>
      <c r="X305" s="30"/>
      <c r="Y305" s="30"/>
      <c r="Z305" s="30"/>
      <c r="AA305" s="30"/>
      <c r="AB305" s="30"/>
      <c r="AC305" s="30"/>
      <c r="AD305" s="30"/>
      <c r="AE305" s="30"/>
      <c r="AF305" s="30" t="str">
        <f t="shared" si="17"/>
        <v>MIB_F_NAR           KS_CPR_I</v>
      </c>
      <c r="AG305" s="30" t="s">
        <v>2189</v>
      </c>
      <c r="AH305">
        <v>3</v>
      </c>
      <c r="AI305">
        <v>219004</v>
      </c>
      <c r="AJ305" t="s">
        <v>1890</v>
      </c>
      <c r="AK305" t="s">
        <v>19</v>
      </c>
      <c r="AL305" t="s">
        <v>249</v>
      </c>
      <c r="AM305" t="s">
        <v>249</v>
      </c>
      <c r="AN305" t="s">
        <v>808</v>
      </c>
      <c r="AO305" t="s">
        <v>809</v>
      </c>
      <c r="AP305" t="s">
        <v>1885</v>
      </c>
      <c r="AQ305" t="s">
        <v>729</v>
      </c>
      <c r="AR305" t="s">
        <v>753</v>
      </c>
      <c r="AS305" t="s">
        <v>19</v>
      </c>
      <c r="AT305" t="s">
        <v>19</v>
      </c>
      <c r="AU305" t="s">
        <v>96</v>
      </c>
      <c r="AV305" t="s">
        <v>96</v>
      </c>
      <c r="AW305" t="s">
        <v>755</v>
      </c>
      <c r="AX305" t="s">
        <v>756</v>
      </c>
      <c r="AY305">
        <v>2</v>
      </c>
      <c r="AZ305" t="s">
        <v>440</v>
      </c>
      <c r="BA305" t="s">
        <v>49</v>
      </c>
      <c r="BB305" t="s">
        <v>19</v>
      </c>
      <c r="BC305" t="s">
        <v>1806</v>
      </c>
      <c r="BD305" t="s">
        <v>49</v>
      </c>
      <c r="BE305" t="s">
        <v>1888</v>
      </c>
      <c r="BF305" t="s">
        <v>1813</v>
      </c>
      <c r="BG305">
        <v>1819</v>
      </c>
      <c r="BH305" t="s">
        <v>1111</v>
      </c>
      <c r="BI305">
        <v>0.5</v>
      </c>
      <c r="BJ305" t="s">
        <v>1891</v>
      </c>
      <c r="BK305" t="s">
        <v>19</v>
      </c>
      <c r="BL305" t="s">
        <v>19</v>
      </c>
      <c r="BM305" t="s">
        <v>741</v>
      </c>
      <c r="BN305" t="s">
        <v>19</v>
      </c>
      <c r="BO305" t="s">
        <v>19</v>
      </c>
      <c r="BP305" t="s">
        <v>19</v>
      </c>
      <c r="BQ305">
        <v>219004</v>
      </c>
    </row>
    <row r="306" spans="1:69" ht="14.45" customHeight="1">
      <c r="A306" s="155"/>
      <c r="B306" s="30">
        <f t="shared" si="16"/>
        <v>219005</v>
      </c>
      <c r="C306" s="30" t="s">
        <v>2209</v>
      </c>
      <c r="D306" s="30"/>
      <c r="E306" s="30" t="s">
        <v>2195</v>
      </c>
      <c r="F306" s="31"/>
      <c r="G306" s="30"/>
      <c r="H306" s="30"/>
      <c r="I306" s="30"/>
      <c r="J306" s="30"/>
      <c r="K306" s="30"/>
      <c r="L306" s="30" t="s">
        <v>2181</v>
      </c>
      <c r="M306" s="30" t="s">
        <v>2181</v>
      </c>
      <c r="N306" s="30"/>
      <c r="P306" s="30"/>
      <c r="Q306" s="30"/>
      <c r="R306" s="30"/>
      <c r="S306" s="30"/>
      <c r="T306" s="31">
        <v>980017590</v>
      </c>
      <c r="U306" s="30"/>
      <c r="V306" s="30"/>
      <c r="W306" s="30"/>
      <c r="X306" s="30"/>
      <c r="Y306" s="30"/>
      <c r="Z306" s="30"/>
      <c r="AA306" s="30"/>
      <c r="AB306" s="30"/>
      <c r="AC306" s="30"/>
      <c r="AD306" s="30"/>
      <c r="AE306" s="30"/>
      <c r="AF306" s="30" t="str">
        <f t="shared" si="17"/>
        <v>ANTV111P            MIB_F</v>
      </c>
      <c r="AG306" s="30" t="s">
        <v>2189</v>
      </c>
      <c r="AH306">
        <v>3</v>
      </c>
      <c r="AI306">
        <v>219005</v>
      </c>
      <c r="AJ306" t="s">
        <v>1892</v>
      </c>
      <c r="AK306" t="s">
        <v>19</v>
      </c>
      <c r="AL306" t="s">
        <v>765</v>
      </c>
      <c r="AM306" t="s">
        <v>776</v>
      </c>
      <c r="AN306" t="s">
        <v>775</v>
      </c>
      <c r="AO306" t="s">
        <v>777</v>
      </c>
      <c r="AP306">
        <v>3</v>
      </c>
      <c r="AQ306" t="s">
        <v>778</v>
      </c>
      <c r="AR306" t="s">
        <v>37</v>
      </c>
      <c r="AS306" t="s">
        <v>19</v>
      </c>
      <c r="AT306" t="s">
        <v>19</v>
      </c>
      <c r="AU306" t="s">
        <v>249</v>
      </c>
      <c r="AV306" t="s">
        <v>250</v>
      </c>
      <c r="AW306" t="s">
        <v>816</v>
      </c>
      <c r="AX306" t="s">
        <v>817</v>
      </c>
      <c r="AY306">
        <v>1</v>
      </c>
      <c r="AZ306" t="s">
        <v>818</v>
      </c>
      <c r="BA306" t="s">
        <v>752</v>
      </c>
      <c r="BB306" t="s">
        <v>19</v>
      </c>
      <c r="BC306" t="s">
        <v>1360</v>
      </c>
      <c r="BD306" t="s">
        <v>1361</v>
      </c>
      <c r="BE306" t="s">
        <v>1893</v>
      </c>
      <c r="BF306" t="s">
        <v>1363</v>
      </c>
      <c r="BG306">
        <v>4030</v>
      </c>
      <c r="BH306" t="s">
        <v>1364</v>
      </c>
      <c r="BI306">
        <v>0.37</v>
      </c>
      <c r="BJ306" t="s">
        <v>1894</v>
      </c>
      <c r="BK306" t="s">
        <v>19</v>
      </c>
      <c r="BL306" t="s">
        <v>738</v>
      </c>
      <c r="BM306" t="s">
        <v>19</v>
      </c>
      <c r="BN306" t="s">
        <v>19</v>
      </c>
      <c r="BO306" t="s">
        <v>19</v>
      </c>
      <c r="BP306" t="s">
        <v>19</v>
      </c>
      <c r="BQ306">
        <v>219005</v>
      </c>
    </row>
    <row r="307" spans="1:69" ht="14.45" customHeight="1">
      <c r="A307" s="155"/>
      <c r="B307" s="30">
        <f t="shared" si="16"/>
        <v>219006</v>
      </c>
      <c r="C307" s="30" t="s">
        <v>2209</v>
      </c>
      <c r="D307" s="30"/>
      <c r="E307" s="30" t="s">
        <v>2195</v>
      </c>
      <c r="F307" s="31"/>
      <c r="G307" s="30"/>
      <c r="H307" s="30"/>
      <c r="I307" s="30"/>
      <c r="J307" s="30"/>
      <c r="K307" s="30"/>
      <c r="L307" s="30" t="s">
        <v>2181</v>
      </c>
      <c r="M307" s="30" t="s">
        <v>2181</v>
      </c>
      <c r="N307" s="30"/>
      <c r="P307" s="30"/>
      <c r="Q307" s="30"/>
      <c r="R307" s="30"/>
      <c r="S307" s="30"/>
      <c r="T307" s="31">
        <v>980017590</v>
      </c>
      <c r="U307" s="30"/>
      <c r="V307" s="30"/>
      <c r="W307" s="30"/>
      <c r="X307" s="30"/>
      <c r="Y307" s="30"/>
      <c r="Z307" s="30"/>
      <c r="AA307" s="30"/>
      <c r="AB307" s="30"/>
      <c r="AC307" s="30"/>
      <c r="AD307" s="30"/>
      <c r="AE307" s="30"/>
      <c r="AF307" s="30" t="str">
        <f t="shared" si="17"/>
        <v>MIB_F               ANTV111P</v>
      </c>
      <c r="AG307" s="30" t="s">
        <v>2189</v>
      </c>
      <c r="AH307">
        <v>3</v>
      </c>
      <c r="AI307">
        <v>219006</v>
      </c>
      <c r="AJ307" t="s">
        <v>1895</v>
      </c>
      <c r="AK307" t="s">
        <v>19</v>
      </c>
      <c r="AL307" t="s">
        <v>249</v>
      </c>
      <c r="AM307" t="s">
        <v>250</v>
      </c>
      <c r="AN307" t="s">
        <v>816</v>
      </c>
      <c r="AO307" t="s">
        <v>817</v>
      </c>
      <c r="AP307" t="s">
        <v>1896</v>
      </c>
      <c r="AQ307" t="s">
        <v>818</v>
      </c>
      <c r="AR307" t="s">
        <v>753</v>
      </c>
      <c r="AS307" t="s">
        <v>19</v>
      </c>
      <c r="AT307" t="s">
        <v>19</v>
      </c>
      <c r="AU307" t="s">
        <v>765</v>
      </c>
      <c r="AV307" t="s">
        <v>776</v>
      </c>
      <c r="AW307" t="s">
        <v>775</v>
      </c>
      <c r="AX307" t="s">
        <v>777</v>
      </c>
      <c r="AY307">
        <v>4</v>
      </c>
      <c r="AZ307" t="s">
        <v>778</v>
      </c>
      <c r="BA307" t="s">
        <v>49</v>
      </c>
      <c r="BB307" t="s">
        <v>19</v>
      </c>
      <c r="BC307" t="s">
        <v>1360</v>
      </c>
      <c r="BD307" t="s">
        <v>49</v>
      </c>
      <c r="BE307" t="s">
        <v>1893</v>
      </c>
      <c r="BF307" t="s">
        <v>1367</v>
      </c>
      <c r="BG307">
        <v>4030</v>
      </c>
      <c r="BH307" t="s">
        <v>1111</v>
      </c>
      <c r="BI307">
        <v>0.5</v>
      </c>
      <c r="BJ307" t="s">
        <v>1897</v>
      </c>
      <c r="BK307" t="s">
        <v>19</v>
      </c>
      <c r="BL307" t="s">
        <v>738</v>
      </c>
      <c r="BM307" t="s">
        <v>19</v>
      </c>
      <c r="BN307" t="s">
        <v>19</v>
      </c>
      <c r="BO307" t="s">
        <v>19</v>
      </c>
      <c r="BP307" t="s">
        <v>19</v>
      </c>
      <c r="BQ307">
        <v>219006</v>
      </c>
    </row>
    <row r="308" spans="1:69" ht="14.45" customHeight="1">
      <c r="A308" s="155"/>
      <c r="B308" s="30">
        <f t="shared" si="16"/>
        <v>219009</v>
      </c>
      <c r="C308" s="30" t="s">
        <v>2209</v>
      </c>
      <c r="D308" s="30"/>
      <c r="E308" s="30" t="s">
        <v>2195</v>
      </c>
      <c r="F308" s="31"/>
      <c r="G308" s="30"/>
      <c r="H308" s="30"/>
      <c r="I308" s="30"/>
      <c r="J308" s="30"/>
      <c r="K308" s="30"/>
      <c r="L308" s="30" t="s">
        <v>2181</v>
      </c>
      <c r="M308" s="30" t="s">
        <v>2181</v>
      </c>
      <c r="N308" s="30"/>
      <c r="P308" s="30"/>
      <c r="Q308" s="30"/>
      <c r="R308" s="30"/>
      <c r="S308" s="30"/>
      <c r="T308" s="31" t="s">
        <v>2343</v>
      </c>
      <c r="U308" s="30"/>
      <c r="V308" s="30"/>
      <c r="W308" s="30"/>
      <c r="X308" s="30"/>
      <c r="Y308" s="30"/>
      <c r="Z308" s="30"/>
      <c r="AA308" s="30"/>
      <c r="AB308" s="30"/>
      <c r="AC308" s="30"/>
      <c r="AD308" s="30"/>
      <c r="AE308" s="30"/>
      <c r="AF308" s="30" t="str">
        <f t="shared" si="17"/>
        <v>MIB_F               ANTV02P</v>
      </c>
      <c r="AG308" s="30" t="s">
        <v>2189</v>
      </c>
      <c r="AH308">
        <v>3</v>
      </c>
      <c r="AI308">
        <v>219009</v>
      </c>
      <c r="AJ308" t="s">
        <v>1898</v>
      </c>
      <c r="AK308" t="s">
        <v>19</v>
      </c>
      <c r="AL308" t="s">
        <v>249</v>
      </c>
      <c r="AM308" t="s">
        <v>250</v>
      </c>
      <c r="AN308" t="s">
        <v>816</v>
      </c>
      <c r="AO308" t="s">
        <v>817</v>
      </c>
      <c r="AP308">
        <v>4</v>
      </c>
      <c r="AQ308" t="s">
        <v>818</v>
      </c>
      <c r="AR308" t="s">
        <v>752</v>
      </c>
      <c r="AS308" t="s">
        <v>19</v>
      </c>
      <c r="AT308" t="s">
        <v>19</v>
      </c>
      <c r="AU308" t="s">
        <v>791</v>
      </c>
      <c r="AV308" t="s">
        <v>792</v>
      </c>
      <c r="AW308" t="s">
        <v>790</v>
      </c>
      <c r="AX308" t="s">
        <v>793</v>
      </c>
      <c r="AY308">
        <v>1</v>
      </c>
      <c r="AZ308" t="s">
        <v>794</v>
      </c>
      <c r="BA308" t="s">
        <v>37</v>
      </c>
      <c r="BB308" t="s">
        <v>19</v>
      </c>
      <c r="BC308" t="s">
        <v>1360</v>
      </c>
      <c r="BD308" t="s">
        <v>1361</v>
      </c>
      <c r="BE308" t="s">
        <v>1899</v>
      </c>
      <c r="BF308" t="s">
        <v>1363</v>
      </c>
      <c r="BG308">
        <v>5020</v>
      </c>
      <c r="BH308" t="s">
        <v>1364</v>
      </c>
      <c r="BI308">
        <v>0.37</v>
      </c>
      <c r="BJ308" t="s">
        <v>1900</v>
      </c>
      <c r="BK308" t="s">
        <v>19</v>
      </c>
      <c r="BL308" t="s">
        <v>738</v>
      </c>
      <c r="BM308" t="s">
        <v>19</v>
      </c>
      <c r="BN308" t="s">
        <v>19</v>
      </c>
      <c r="BO308" t="s">
        <v>19</v>
      </c>
      <c r="BP308" t="s">
        <v>750</v>
      </c>
      <c r="BQ308">
        <v>219009</v>
      </c>
    </row>
    <row r="309" spans="1:69" ht="14.45" customHeight="1">
      <c r="A309" s="155"/>
      <c r="B309" s="30">
        <f t="shared" si="16"/>
        <v>219010</v>
      </c>
      <c r="C309" s="30" t="s">
        <v>2209</v>
      </c>
      <c r="D309" s="30"/>
      <c r="E309" s="30" t="s">
        <v>2195</v>
      </c>
      <c r="F309" s="31"/>
      <c r="G309" s="30"/>
      <c r="H309" s="30"/>
      <c r="I309" s="30"/>
      <c r="J309" s="30"/>
      <c r="K309" s="30"/>
      <c r="L309" s="30" t="s">
        <v>2181</v>
      </c>
      <c r="M309" s="30" t="s">
        <v>2181</v>
      </c>
      <c r="N309" s="30"/>
      <c r="P309" s="30"/>
      <c r="Q309" s="30"/>
      <c r="R309" s="30"/>
      <c r="S309" s="30"/>
      <c r="T309" s="31" t="s">
        <v>2343</v>
      </c>
      <c r="U309" s="30"/>
      <c r="V309" s="30"/>
      <c r="W309" s="30"/>
      <c r="X309" s="30"/>
      <c r="Y309" s="30"/>
      <c r="Z309" s="30"/>
      <c r="AA309" s="30"/>
      <c r="AB309" s="30"/>
      <c r="AC309" s="30"/>
      <c r="AD309" s="30"/>
      <c r="AE309" s="30"/>
      <c r="AF309" s="30" t="str">
        <f t="shared" si="17"/>
        <v>ANTV02P             MIB_F</v>
      </c>
      <c r="AG309" s="30" t="s">
        <v>2189</v>
      </c>
      <c r="AH309">
        <v>3</v>
      </c>
      <c r="AI309">
        <v>219010</v>
      </c>
      <c r="AJ309" t="s">
        <v>1901</v>
      </c>
      <c r="AK309" t="s">
        <v>19</v>
      </c>
      <c r="AL309" t="s">
        <v>791</v>
      </c>
      <c r="AM309" t="s">
        <v>792</v>
      </c>
      <c r="AN309" t="s">
        <v>790</v>
      </c>
      <c r="AO309" t="s">
        <v>793</v>
      </c>
      <c r="AP309">
        <v>2</v>
      </c>
      <c r="AQ309" t="s">
        <v>794</v>
      </c>
      <c r="AR309" t="s">
        <v>49</v>
      </c>
      <c r="AS309" t="s">
        <v>19</v>
      </c>
      <c r="AT309" t="s">
        <v>19</v>
      </c>
      <c r="AU309" t="s">
        <v>249</v>
      </c>
      <c r="AV309" t="s">
        <v>250</v>
      </c>
      <c r="AW309" t="s">
        <v>816</v>
      </c>
      <c r="AX309" t="s">
        <v>817</v>
      </c>
      <c r="AY309" t="s">
        <v>1902</v>
      </c>
      <c r="AZ309" t="s">
        <v>818</v>
      </c>
      <c r="BA309" t="s">
        <v>753</v>
      </c>
      <c r="BB309" t="s">
        <v>19</v>
      </c>
      <c r="BC309" t="s">
        <v>1360</v>
      </c>
      <c r="BD309" t="s">
        <v>49</v>
      </c>
      <c r="BE309" t="s">
        <v>1899</v>
      </c>
      <c r="BF309" t="s">
        <v>1367</v>
      </c>
      <c r="BG309">
        <v>5020</v>
      </c>
      <c r="BH309" t="s">
        <v>1111</v>
      </c>
      <c r="BI309">
        <v>0.5</v>
      </c>
      <c r="BJ309" t="s">
        <v>1903</v>
      </c>
      <c r="BK309" t="s">
        <v>19</v>
      </c>
      <c r="BL309" t="s">
        <v>738</v>
      </c>
      <c r="BM309" t="s">
        <v>19</v>
      </c>
      <c r="BN309" t="s">
        <v>19</v>
      </c>
      <c r="BO309" t="s">
        <v>19</v>
      </c>
      <c r="BP309" t="s">
        <v>750</v>
      </c>
      <c r="BQ309">
        <v>219010</v>
      </c>
    </row>
    <row r="310" spans="1:69" ht="28.9" customHeight="1">
      <c r="A310" s="171" t="s">
        <v>2411</v>
      </c>
      <c r="B310" s="171">
        <f t="shared" ref="B310" si="23">AI310</f>
        <v>219013</v>
      </c>
      <c r="C310" s="171" t="s">
        <v>2209</v>
      </c>
      <c r="D310" s="171"/>
      <c r="E310" s="171" t="s">
        <v>2195</v>
      </c>
      <c r="F310" s="172"/>
      <c r="G310" s="171"/>
      <c r="H310" s="171"/>
      <c r="I310" s="171"/>
      <c r="J310" s="171"/>
      <c r="K310" s="171"/>
      <c r="L310" s="171" t="s">
        <v>2181</v>
      </c>
      <c r="M310" s="171" t="s">
        <v>2181</v>
      </c>
      <c r="N310" s="171"/>
      <c r="P310" s="171"/>
      <c r="Q310" s="171"/>
      <c r="R310" s="171"/>
      <c r="S310" s="171"/>
      <c r="T310" s="211" t="s">
        <v>2412</v>
      </c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 t="str">
        <f t="shared" ref="AF310" si="24" xml:space="preserve"> AO310 &amp; REPT(" ",20-LEN(AO310)) &amp; AX310</f>
        <v>ANTV111P            KS_CR_A</v>
      </c>
      <c r="AG310" s="171" t="s">
        <v>2189</v>
      </c>
      <c r="AH310" s="173">
        <v>3</v>
      </c>
      <c r="AI310" s="173">
        <v>219013</v>
      </c>
      <c r="AJ310" s="173" t="s">
        <v>1904</v>
      </c>
      <c r="AK310" s="173" t="s">
        <v>19</v>
      </c>
      <c r="AL310" s="173" t="s">
        <v>765</v>
      </c>
      <c r="AM310" s="173" t="s">
        <v>776</v>
      </c>
      <c r="AN310" s="173" t="s">
        <v>775</v>
      </c>
      <c r="AO310" s="173" t="s">
        <v>777</v>
      </c>
      <c r="AP310" s="173">
        <v>1</v>
      </c>
      <c r="AQ310" s="173" t="s">
        <v>778</v>
      </c>
      <c r="AR310" s="173" t="s">
        <v>37</v>
      </c>
      <c r="AS310" s="173" t="s">
        <v>19</v>
      </c>
      <c r="AT310" s="173" t="s">
        <v>19</v>
      </c>
      <c r="AU310" s="173" t="s">
        <v>759</v>
      </c>
      <c r="AV310" s="173" t="s">
        <v>759</v>
      </c>
      <c r="AW310" s="173" t="s">
        <v>758</v>
      </c>
      <c r="AX310" s="173" t="s">
        <v>760</v>
      </c>
      <c r="AY310" s="173">
        <v>1</v>
      </c>
      <c r="AZ310" s="173" t="s">
        <v>761</v>
      </c>
      <c r="BA310" s="173" t="s">
        <v>37</v>
      </c>
      <c r="BB310" s="173" t="s">
        <v>19</v>
      </c>
      <c r="BC310" s="173" t="s">
        <v>1360</v>
      </c>
      <c r="BD310" s="173" t="s">
        <v>1361</v>
      </c>
      <c r="BE310" s="173" t="s">
        <v>1905</v>
      </c>
      <c r="BF310" s="173" t="s">
        <v>1363</v>
      </c>
      <c r="BG310" s="173">
        <v>299</v>
      </c>
      <c r="BH310" s="173" t="s">
        <v>1364</v>
      </c>
      <c r="BI310" s="173">
        <v>0.37</v>
      </c>
      <c r="BJ310" s="173" t="s">
        <v>1906</v>
      </c>
      <c r="BK310" s="173" t="s">
        <v>19</v>
      </c>
      <c r="BL310" s="173" t="s">
        <v>738</v>
      </c>
      <c r="BM310" s="173" t="s">
        <v>741</v>
      </c>
      <c r="BN310" s="173" t="s">
        <v>744</v>
      </c>
      <c r="BO310" s="173" t="s">
        <v>19</v>
      </c>
      <c r="BP310" s="173" t="s">
        <v>19</v>
      </c>
      <c r="BQ310" s="173">
        <v>219013</v>
      </c>
    </row>
    <row r="311" spans="1:69" ht="28.9" customHeight="1">
      <c r="A311" s="155">
        <v>220</v>
      </c>
      <c r="B311" s="30">
        <f t="shared" si="16"/>
        <v>219013</v>
      </c>
      <c r="C311" s="30" t="s">
        <v>2209</v>
      </c>
      <c r="D311" s="30"/>
      <c r="E311" s="30" t="s">
        <v>2195</v>
      </c>
      <c r="F311" s="31"/>
      <c r="G311" s="30"/>
      <c r="H311" s="30"/>
      <c r="I311" s="30"/>
      <c r="J311" s="30"/>
      <c r="K311" s="30"/>
      <c r="L311" s="30" t="s">
        <v>2181</v>
      </c>
      <c r="M311" s="30" t="s">
        <v>2181</v>
      </c>
      <c r="N311" s="30"/>
      <c r="P311" s="30"/>
      <c r="Q311" s="30"/>
      <c r="R311" s="30"/>
      <c r="S311" s="30"/>
      <c r="T311" s="212" t="s">
        <v>2413</v>
      </c>
      <c r="U311" s="30"/>
      <c r="V311" s="30"/>
      <c r="W311" s="30"/>
      <c r="X311" s="30"/>
      <c r="Y311" s="30"/>
      <c r="Z311" s="30"/>
      <c r="AA311" s="30"/>
      <c r="AB311" s="30"/>
      <c r="AC311" s="30"/>
      <c r="AD311" s="30"/>
      <c r="AE311" s="30"/>
      <c r="AF311" s="30" t="str">
        <f t="shared" si="17"/>
        <v>ANTV111P            KS_CR_A</v>
      </c>
      <c r="AG311" s="30" t="s">
        <v>2189</v>
      </c>
      <c r="AH311">
        <v>3</v>
      </c>
      <c r="AI311">
        <v>219013</v>
      </c>
      <c r="AJ311" t="s">
        <v>1904</v>
      </c>
      <c r="AK311" t="s">
        <v>19</v>
      </c>
      <c r="AL311" t="s">
        <v>765</v>
      </c>
      <c r="AM311" t="s">
        <v>776</v>
      </c>
      <c r="AN311" t="s">
        <v>775</v>
      </c>
      <c r="AO311" t="s">
        <v>777</v>
      </c>
      <c r="AP311">
        <v>1</v>
      </c>
      <c r="AQ311" t="s">
        <v>778</v>
      </c>
      <c r="AR311" t="s">
        <v>37</v>
      </c>
      <c r="AS311" t="s">
        <v>19</v>
      </c>
      <c r="AT311" t="s">
        <v>19</v>
      </c>
      <c r="AU311" t="s">
        <v>759</v>
      </c>
      <c r="AV311" t="s">
        <v>759</v>
      </c>
      <c r="AW311" t="s">
        <v>758</v>
      </c>
      <c r="AX311" t="s">
        <v>760</v>
      </c>
      <c r="AY311">
        <v>1</v>
      </c>
      <c r="AZ311" t="s">
        <v>761</v>
      </c>
      <c r="BA311" t="s">
        <v>37</v>
      </c>
      <c r="BB311" t="s">
        <v>19</v>
      </c>
      <c r="BC311" t="s">
        <v>1360</v>
      </c>
      <c r="BD311" t="s">
        <v>1361</v>
      </c>
      <c r="BE311" t="s">
        <v>1905</v>
      </c>
      <c r="BF311" t="s">
        <v>1363</v>
      </c>
      <c r="BG311">
        <v>299</v>
      </c>
      <c r="BH311" t="s">
        <v>1364</v>
      </c>
      <c r="BI311">
        <v>0.37</v>
      </c>
      <c r="BJ311" t="s">
        <v>1906</v>
      </c>
      <c r="BK311" t="s">
        <v>19</v>
      </c>
      <c r="BL311" t="s">
        <v>738</v>
      </c>
      <c r="BM311" t="s">
        <v>741</v>
      </c>
      <c r="BN311" t="s">
        <v>744</v>
      </c>
      <c r="BO311" t="s">
        <v>19</v>
      </c>
      <c r="BP311" t="s">
        <v>19</v>
      </c>
      <c r="BQ311">
        <v>219013</v>
      </c>
    </row>
    <row r="312" spans="1:69" ht="28.9" customHeight="1">
      <c r="A312" s="171" t="s">
        <v>2411</v>
      </c>
      <c r="B312" s="171">
        <f t="shared" ref="B312" si="25">AI312</f>
        <v>219014</v>
      </c>
      <c r="C312" s="171" t="s">
        <v>2209</v>
      </c>
      <c r="D312" s="171"/>
      <c r="E312" s="171" t="s">
        <v>2195</v>
      </c>
      <c r="F312" s="172"/>
      <c r="G312" s="171"/>
      <c r="H312" s="171"/>
      <c r="I312" s="171"/>
      <c r="J312" s="171"/>
      <c r="K312" s="171"/>
      <c r="L312" s="171" t="s">
        <v>2181</v>
      </c>
      <c r="M312" s="171" t="s">
        <v>2181</v>
      </c>
      <c r="N312" s="171"/>
      <c r="P312" s="171"/>
      <c r="Q312" s="171"/>
      <c r="R312" s="171"/>
      <c r="S312" s="171"/>
      <c r="T312" s="211" t="s">
        <v>2414</v>
      </c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 t="str">
        <f t="shared" ref="AF312" si="26" xml:space="preserve"> AO312 &amp; REPT(" ",20-LEN(AO312)) &amp; AX312</f>
        <v>ANTV111P            KS_CR_A</v>
      </c>
      <c r="AG312" s="171" t="s">
        <v>2189</v>
      </c>
      <c r="AH312" s="173">
        <v>3</v>
      </c>
      <c r="AI312" s="173">
        <v>219014</v>
      </c>
      <c r="AJ312" s="173" t="s">
        <v>1907</v>
      </c>
      <c r="AK312" s="173" t="s">
        <v>19</v>
      </c>
      <c r="AL312" s="173" t="s">
        <v>765</v>
      </c>
      <c r="AM312" s="173" t="s">
        <v>776</v>
      </c>
      <c r="AN312" s="173" t="s">
        <v>775</v>
      </c>
      <c r="AO312" s="173" t="s">
        <v>777</v>
      </c>
      <c r="AP312" s="173">
        <v>2</v>
      </c>
      <c r="AQ312" s="173" t="s">
        <v>778</v>
      </c>
      <c r="AR312" s="173" t="s">
        <v>49</v>
      </c>
      <c r="AS312" s="173" t="s">
        <v>19</v>
      </c>
      <c r="AT312" s="173" t="s">
        <v>19</v>
      </c>
      <c r="AU312" s="173" t="s">
        <v>759</v>
      </c>
      <c r="AV312" s="173" t="s">
        <v>759</v>
      </c>
      <c r="AW312" s="173" t="s">
        <v>758</v>
      </c>
      <c r="AX312" s="173" t="s">
        <v>760</v>
      </c>
      <c r="AY312" s="173">
        <v>2</v>
      </c>
      <c r="AZ312" s="173" t="s">
        <v>761</v>
      </c>
      <c r="BA312" s="173" t="s">
        <v>49</v>
      </c>
      <c r="BB312" s="173" t="s">
        <v>19</v>
      </c>
      <c r="BC312" s="173" t="s">
        <v>1360</v>
      </c>
      <c r="BD312" s="173" t="s">
        <v>49</v>
      </c>
      <c r="BE312" s="173" t="s">
        <v>1905</v>
      </c>
      <c r="BF312" s="173" t="s">
        <v>1367</v>
      </c>
      <c r="BG312" s="173">
        <v>299</v>
      </c>
      <c r="BH312" s="173" t="s">
        <v>1111</v>
      </c>
      <c r="BI312" s="173">
        <v>0.5</v>
      </c>
      <c r="BJ312" s="173" t="s">
        <v>1908</v>
      </c>
      <c r="BK312" s="173" t="s">
        <v>19</v>
      </c>
      <c r="BL312" s="173" t="s">
        <v>738</v>
      </c>
      <c r="BM312" s="173" t="s">
        <v>741</v>
      </c>
      <c r="BN312" s="173" t="s">
        <v>744</v>
      </c>
      <c r="BO312" s="173" t="s">
        <v>19</v>
      </c>
      <c r="BP312" s="173" t="s">
        <v>19</v>
      </c>
      <c r="BQ312" s="173">
        <v>219014</v>
      </c>
    </row>
    <row r="313" spans="1:69" ht="28.9" customHeight="1">
      <c r="A313" s="155">
        <v>220</v>
      </c>
      <c r="B313" s="30">
        <f t="shared" si="16"/>
        <v>219014</v>
      </c>
      <c r="C313" s="30" t="s">
        <v>2209</v>
      </c>
      <c r="D313" s="30"/>
      <c r="E313" s="30" t="s">
        <v>2195</v>
      </c>
      <c r="F313" s="31"/>
      <c r="G313" s="30"/>
      <c r="H313" s="30"/>
      <c r="I313" s="30"/>
      <c r="J313" s="30"/>
      <c r="K313" s="30"/>
      <c r="L313" s="30" t="s">
        <v>2181</v>
      </c>
      <c r="M313" s="30" t="s">
        <v>2181</v>
      </c>
      <c r="N313" s="30"/>
      <c r="P313" s="30"/>
      <c r="Q313" s="30"/>
      <c r="R313" s="30"/>
      <c r="S313" s="30"/>
      <c r="T313" s="212" t="s">
        <v>2413</v>
      </c>
      <c r="U313" s="30"/>
      <c r="V313" s="30"/>
      <c r="W313" s="30"/>
      <c r="X313" s="30"/>
      <c r="Y313" s="30"/>
      <c r="Z313" s="30"/>
      <c r="AA313" s="30"/>
      <c r="AB313" s="30"/>
      <c r="AC313" s="30"/>
      <c r="AD313" s="30"/>
      <c r="AE313" s="30"/>
      <c r="AF313" s="30" t="str">
        <f t="shared" si="17"/>
        <v>ANTV111P            KS_CR_A</v>
      </c>
      <c r="AG313" s="30" t="s">
        <v>2189</v>
      </c>
      <c r="AH313">
        <v>3</v>
      </c>
      <c r="AI313">
        <v>219014</v>
      </c>
      <c r="AJ313" t="s">
        <v>1907</v>
      </c>
      <c r="AK313" t="s">
        <v>19</v>
      </c>
      <c r="AL313" t="s">
        <v>765</v>
      </c>
      <c r="AM313" t="s">
        <v>776</v>
      </c>
      <c r="AN313" t="s">
        <v>775</v>
      </c>
      <c r="AO313" t="s">
        <v>777</v>
      </c>
      <c r="AP313">
        <v>2</v>
      </c>
      <c r="AQ313" t="s">
        <v>778</v>
      </c>
      <c r="AR313" t="s">
        <v>49</v>
      </c>
      <c r="AS313" t="s">
        <v>19</v>
      </c>
      <c r="AT313" t="s">
        <v>19</v>
      </c>
      <c r="AU313" t="s">
        <v>759</v>
      </c>
      <c r="AV313" t="s">
        <v>759</v>
      </c>
      <c r="AW313" t="s">
        <v>758</v>
      </c>
      <c r="AX313" t="s">
        <v>760</v>
      </c>
      <c r="AY313">
        <v>2</v>
      </c>
      <c r="AZ313" t="s">
        <v>761</v>
      </c>
      <c r="BA313" t="s">
        <v>49</v>
      </c>
      <c r="BB313" t="s">
        <v>19</v>
      </c>
      <c r="BC313" t="s">
        <v>1360</v>
      </c>
      <c r="BD313" t="s">
        <v>49</v>
      </c>
      <c r="BE313" t="s">
        <v>1905</v>
      </c>
      <c r="BF313" t="s">
        <v>1367</v>
      </c>
      <c r="BG313">
        <v>299</v>
      </c>
      <c r="BH313" t="s">
        <v>1111</v>
      </c>
      <c r="BI313">
        <v>0.5</v>
      </c>
      <c r="BJ313" t="s">
        <v>1908</v>
      </c>
      <c r="BK313" t="s">
        <v>19</v>
      </c>
      <c r="BL313" t="s">
        <v>738</v>
      </c>
      <c r="BM313" t="s">
        <v>741</v>
      </c>
      <c r="BN313" t="s">
        <v>744</v>
      </c>
      <c r="BO313" t="s">
        <v>19</v>
      </c>
      <c r="BP313" t="s">
        <v>19</v>
      </c>
      <c r="BQ313">
        <v>219014</v>
      </c>
    </row>
    <row r="314" spans="1:69" ht="14.45" customHeight="1">
      <c r="A314" s="155"/>
      <c r="B314" s="30">
        <f t="shared" si="16"/>
        <v>219021</v>
      </c>
      <c r="C314" s="30" t="s">
        <v>2209</v>
      </c>
      <c r="D314" s="30"/>
      <c r="E314" s="30" t="s">
        <v>2195</v>
      </c>
      <c r="F314" s="31"/>
      <c r="G314" s="30"/>
      <c r="H314" s="30"/>
      <c r="I314" s="30"/>
      <c r="J314" s="30"/>
      <c r="K314" s="30"/>
      <c r="L314" s="30" t="s">
        <v>2181</v>
      </c>
      <c r="M314" s="30" t="s">
        <v>2181</v>
      </c>
      <c r="N314" s="30"/>
      <c r="P314" s="30"/>
      <c r="Q314" s="30"/>
      <c r="R314" s="30"/>
      <c r="S314" s="30"/>
      <c r="T314" s="31" t="s">
        <v>2344</v>
      </c>
      <c r="U314" s="30"/>
      <c r="V314" s="30"/>
      <c r="W314" s="30"/>
      <c r="X314" s="30"/>
      <c r="Y314" s="30"/>
      <c r="Z314" s="30"/>
      <c r="AA314" s="30"/>
      <c r="AB314" s="30"/>
      <c r="AC314" s="30"/>
      <c r="AD314" s="30"/>
      <c r="AE314" s="30"/>
      <c r="AF314" s="30" t="str">
        <f t="shared" si="17"/>
        <v>ANTV04P             MIB_F</v>
      </c>
      <c r="AG314" s="30" t="s">
        <v>2189</v>
      </c>
      <c r="AH314">
        <v>3</v>
      </c>
      <c r="AI314">
        <v>219021</v>
      </c>
      <c r="AJ314" t="s">
        <v>1909</v>
      </c>
      <c r="AK314" t="s">
        <v>19</v>
      </c>
      <c r="AL314" t="s">
        <v>801</v>
      </c>
      <c r="AM314" t="s">
        <v>801</v>
      </c>
      <c r="AN314" t="s">
        <v>800</v>
      </c>
      <c r="AO314" t="s">
        <v>802</v>
      </c>
      <c r="AP314">
        <v>3</v>
      </c>
      <c r="AQ314" t="s">
        <v>803</v>
      </c>
      <c r="AR314" t="s">
        <v>37</v>
      </c>
      <c r="AS314" t="s">
        <v>19</v>
      </c>
      <c r="AT314" t="s">
        <v>19</v>
      </c>
      <c r="AU314" t="s">
        <v>249</v>
      </c>
      <c r="AV314" t="s">
        <v>250</v>
      </c>
      <c r="AW314" t="s">
        <v>816</v>
      </c>
      <c r="AX314" t="s">
        <v>817</v>
      </c>
      <c r="AY314">
        <v>4</v>
      </c>
      <c r="AZ314" t="s">
        <v>818</v>
      </c>
      <c r="BA314" t="s">
        <v>752</v>
      </c>
      <c r="BB314" t="s">
        <v>19</v>
      </c>
      <c r="BC314" t="s">
        <v>1360</v>
      </c>
      <c r="BD314" t="s">
        <v>1361</v>
      </c>
      <c r="BE314" t="s">
        <v>1910</v>
      </c>
      <c r="BF314" t="s">
        <v>1363</v>
      </c>
      <c r="BG314">
        <v>5020</v>
      </c>
      <c r="BH314" t="s">
        <v>1364</v>
      </c>
      <c r="BI314">
        <v>0.37</v>
      </c>
      <c r="BJ314" t="s">
        <v>1900</v>
      </c>
      <c r="BK314" t="s">
        <v>736</v>
      </c>
      <c r="BL314" t="s">
        <v>19</v>
      </c>
      <c r="BM314" t="s">
        <v>19</v>
      </c>
      <c r="BN314" t="s">
        <v>19</v>
      </c>
      <c r="BO314" t="s">
        <v>747</v>
      </c>
      <c r="BP314" t="s">
        <v>19</v>
      </c>
      <c r="BQ314">
        <v>219021</v>
      </c>
    </row>
    <row r="315" spans="1:69" ht="14.45" customHeight="1">
      <c r="A315" s="155"/>
      <c r="B315" s="30">
        <f t="shared" si="16"/>
        <v>219022</v>
      </c>
      <c r="C315" s="30" t="s">
        <v>2209</v>
      </c>
      <c r="D315" s="30"/>
      <c r="E315" s="30" t="s">
        <v>2195</v>
      </c>
      <c r="F315" s="31"/>
      <c r="G315" s="30"/>
      <c r="H315" s="30"/>
      <c r="I315" s="30"/>
      <c r="J315" s="30"/>
      <c r="K315" s="30"/>
      <c r="L315" s="30" t="s">
        <v>2181</v>
      </c>
      <c r="M315" s="30" t="s">
        <v>2181</v>
      </c>
      <c r="N315" s="30"/>
      <c r="P315" s="30"/>
      <c r="Q315" s="30"/>
      <c r="R315" s="30"/>
      <c r="S315" s="30"/>
      <c r="T315" s="31" t="s">
        <v>2344</v>
      </c>
      <c r="U315" s="30"/>
      <c r="V315" s="30"/>
      <c r="W315" s="30"/>
      <c r="X315" s="30"/>
      <c r="Y315" s="30"/>
      <c r="Z315" s="30"/>
      <c r="AA315" s="30"/>
      <c r="AB315" s="30"/>
      <c r="AC315" s="30"/>
      <c r="AD315" s="30"/>
      <c r="AE315" s="30"/>
      <c r="AF315" s="30" t="str">
        <f t="shared" si="17"/>
        <v>ANTV04P             MIB_F</v>
      </c>
      <c r="AG315" s="30" t="s">
        <v>2189</v>
      </c>
      <c r="AH315">
        <v>3</v>
      </c>
      <c r="AI315">
        <v>219022</v>
      </c>
      <c r="AJ315" t="s">
        <v>1911</v>
      </c>
      <c r="AK315" t="s">
        <v>19</v>
      </c>
      <c r="AL315" t="s">
        <v>801</v>
      </c>
      <c r="AM315" t="s">
        <v>801</v>
      </c>
      <c r="AN315" t="s">
        <v>800</v>
      </c>
      <c r="AO315" t="s">
        <v>802</v>
      </c>
      <c r="AP315">
        <v>4</v>
      </c>
      <c r="AQ315" t="s">
        <v>803</v>
      </c>
      <c r="AR315" t="s">
        <v>49</v>
      </c>
      <c r="AS315" t="s">
        <v>19</v>
      </c>
      <c r="AT315" t="s">
        <v>19</v>
      </c>
      <c r="AU315" t="s">
        <v>249</v>
      </c>
      <c r="AV315" t="s">
        <v>250</v>
      </c>
      <c r="AW315" t="s">
        <v>816</v>
      </c>
      <c r="AX315" t="s">
        <v>817</v>
      </c>
      <c r="AY315" t="s">
        <v>1902</v>
      </c>
      <c r="AZ315" t="s">
        <v>818</v>
      </c>
      <c r="BA315" t="s">
        <v>753</v>
      </c>
      <c r="BB315" t="s">
        <v>19</v>
      </c>
      <c r="BC315" t="s">
        <v>1360</v>
      </c>
      <c r="BD315" t="s">
        <v>49</v>
      </c>
      <c r="BE315" t="s">
        <v>1910</v>
      </c>
      <c r="BF315" t="s">
        <v>1367</v>
      </c>
      <c r="BG315">
        <v>5020</v>
      </c>
      <c r="BH315" t="s">
        <v>1111</v>
      </c>
      <c r="BI315">
        <v>0.5</v>
      </c>
      <c r="BJ315" t="s">
        <v>1903</v>
      </c>
      <c r="BK315" t="s">
        <v>736</v>
      </c>
      <c r="BL315" t="s">
        <v>19</v>
      </c>
      <c r="BM315" t="s">
        <v>19</v>
      </c>
      <c r="BN315" t="s">
        <v>19</v>
      </c>
      <c r="BO315" t="s">
        <v>747</v>
      </c>
      <c r="BP315" t="s">
        <v>19</v>
      </c>
      <c r="BQ315">
        <v>219022</v>
      </c>
    </row>
    <row r="316" spans="1:69" ht="14.45" customHeight="1">
      <c r="A316" s="155"/>
      <c r="B316" s="30">
        <f t="shared" si="16"/>
        <v>219023</v>
      </c>
      <c r="C316" s="30" t="s">
        <v>2209</v>
      </c>
      <c r="D316" s="30"/>
      <c r="E316" s="30" t="s">
        <v>2195</v>
      </c>
      <c r="F316" s="31"/>
      <c r="G316" s="30"/>
      <c r="H316" s="30"/>
      <c r="I316" s="30"/>
      <c r="J316" s="30"/>
      <c r="K316" s="30"/>
      <c r="L316" s="30" t="s">
        <v>2181</v>
      </c>
      <c r="M316" s="30" t="s">
        <v>2181</v>
      </c>
      <c r="N316" s="30"/>
      <c r="P316" s="30"/>
      <c r="Q316" s="30"/>
      <c r="R316" s="30"/>
      <c r="S316" s="30"/>
      <c r="T316" s="41">
        <v>980017589</v>
      </c>
      <c r="U316" s="30"/>
      <c r="V316" s="30"/>
      <c r="W316" s="30"/>
      <c r="X316" s="30"/>
      <c r="Y316" s="30"/>
      <c r="Z316" s="30"/>
      <c r="AA316" s="30"/>
      <c r="AB316" s="30"/>
      <c r="AC316" s="30"/>
      <c r="AD316" s="30"/>
      <c r="AE316" s="30"/>
      <c r="AF316" s="30" t="str">
        <f t="shared" si="17"/>
        <v>ANTV109P            KS_CR_A</v>
      </c>
      <c r="AG316" s="30" t="s">
        <v>2189</v>
      </c>
      <c r="AH316">
        <v>3</v>
      </c>
      <c r="AI316">
        <v>219023</v>
      </c>
      <c r="AJ316" t="s">
        <v>1912</v>
      </c>
      <c r="AK316" t="s">
        <v>19</v>
      </c>
      <c r="AL316" t="s">
        <v>765</v>
      </c>
      <c r="AM316" t="s">
        <v>766</v>
      </c>
      <c r="AN316" t="s">
        <v>764</v>
      </c>
      <c r="AO316" t="s">
        <v>767</v>
      </c>
      <c r="AP316">
        <v>1</v>
      </c>
      <c r="AQ316" t="s">
        <v>768</v>
      </c>
      <c r="AR316" t="s">
        <v>37</v>
      </c>
      <c r="AS316" t="s">
        <v>19</v>
      </c>
      <c r="AT316" t="s">
        <v>19</v>
      </c>
      <c r="AU316" t="s">
        <v>759</v>
      </c>
      <c r="AV316" t="s">
        <v>759</v>
      </c>
      <c r="AW316" t="s">
        <v>758</v>
      </c>
      <c r="AX316" t="s">
        <v>760</v>
      </c>
      <c r="AY316">
        <v>1</v>
      </c>
      <c r="AZ316" t="s">
        <v>761</v>
      </c>
      <c r="BA316" t="s">
        <v>37</v>
      </c>
      <c r="BB316" t="s">
        <v>19</v>
      </c>
      <c r="BC316" t="s">
        <v>1360</v>
      </c>
      <c r="BD316" t="s">
        <v>1361</v>
      </c>
      <c r="BE316" t="s">
        <v>1913</v>
      </c>
      <c r="BF316" t="s">
        <v>1363</v>
      </c>
      <c r="BG316">
        <v>299</v>
      </c>
      <c r="BH316" t="s">
        <v>1364</v>
      </c>
      <c r="BI316">
        <v>0.37</v>
      </c>
      <c r="BJ316" t="s">
        <v>1906</v>
      </c>
      <c r="BK316" t="s">
        <v>736</v>
      </c>
      <c r="BL316" t="s">
        <v>19</v>
      </c>
      <c r="BM316" t="s">
        <v>19</v>
      </c>
      <c r="BN316" t="s">
        <v>19</v>
      </c>
      <c r="BO316" t="s">
        <v>19</v>
      </c>
      <c r="BP316" t="s">
        <v>19</v>
      </c>
      <c r="BQ316">
        <v>219023</v>
      </c>
    </row>
    <row r="317" spans="1:69" ht="14.45" customHeight="1">
      <c r="A317" s="155"/>
      <c r="B317" s="30">
        <f t="shared" si="16"/>
        <v>219024</v>
      </c>
      <c r="C317" s="30" t="s">
        <v>2209</v>
      </c>
      <c r="D317" s="30"/>
      <c r="E317" s="30" t="s">
        <v>2195</v>
      </c>
      <c r="F317" s="31"/>
      <c r="G317" s="30"/>
      <c r="H317" s="30"/>
      <c r="I317" s="30"/>
      <c r="J317" s="30"/>
      <c r="K317" s="30"/>
      <c r="L317" s="30" t="s">
        <v>2181</v>
      </c>
      <c r="M317" s="30" t="s">
        <v>2181</v>
      </c>
      <c r="N317" s="30"/>
      <c r="P317" s="30"/>
      <c r="Q317" s="30"/>
      <c r="R317" s="30"/>
      <c r="S317" s="30"/>
      <c r="T317" s="41">
        <v>980017589</v>
      </c>
      <c r="U317" s="30"/>
      <c r="V317" s="30"/>
      <c r="W317" s="30"/>
      <c r="X317" s="30"/>
      <c r="Y317" s="30"/>
      <c r="Z317" s="30"/>
      <c r="AA317" s="30"/>
      <c r="AB317" s="30"/>
      <c r="AC317" s="30"/>
      <c r="AD317" s="30"/>
      <c r="AE317" s="30"/>
      <c r="AF317" s="30" t="str">
        <f t="shared" si="17"/>
        <v>ANTV109P            KS_CR_A</v>
      </c>
      <c r="AG317" s="30" t="s">
        <v>2189</v>
      </c>
      <c r="AH317">
        <v>3</v>
      </c>
      <c r="AI317">
        <v>219024</v>
      </c>
      <c r="AJ317" t="s">
        <v>1914</v>
      </c>
      <c r="AK317" t="s">
        <v>19</v>
      </c>
      <c r="AL317" t="s">
        <v>765</v>
      </c>
      <c r="AM317" t="s">
        <v>766</v>
      </c>
      <c r="AN317" t="s">
        <v>764</v>
      </c>
      <c r="AO317" t="s">
        <v>767</v>
      </c>
      <c r="AP317">
        <v>2</v>
      </c>
      <c r="AQ317" t="s">
        <v>768</v>
      </c>
      <c r="AR317" t="s">
        <v>49</v>
      </c>
      <c r="AS317" t="s">
        <v>19</v>
      </c>
      <c r="AT317" t="s">
        <v>19</v>
      </c>
      <c r="AU317" t="s">
        <v>759</v>
      </c>
      <c r="AV317" t="s">
        <v>759</v>
      </c>
      <c r="AW317" t="s">
        <v>758</v>
      </c>
      <c r="AX317" t="s">
        <v>760</v>
      </c>
      <c r="AY317">
        <v>2</v>
      </c>
      <c r="AZ317" t="s">
        <v>761</v>
      </c>
      <c r="BA317" t="s">
        <v>49</v>
      </c>
      <c r="BB317" t="s">
        <v>19</v>
      </c>
      <c r="BC317" t="s">
        <v>1360</v>
      </c>
      <c r="BD317" t="s">
        <v>49</v>
      </c>
      <c r="BE317" t="s">
        <v>1913</v>
      </c>
      <c r="BF317" t="s">
        <v>1367</v>
      </c>
      <c r="BG317">
        <v>299</v>
      </c>
      <c r="BH317" t="s">
        <v>1111</v>
      </c>
      <c r="BI317">
        <v>0.5</v>
      </c>
      <c r="BJ317" t="s">
        <v>1908</v>
      </c>
      <c r="BK317" t="s">
        <v>736</v>
      </c>
      <c r="BL317" t="s">
        <v>19</v>
      </c>
      <c r="BM317" t="s">
        <v>19</v>
      </c>
      <c r="BN317" t="s">
        <v>19</v>
      </c>
      <c r="BO317" t="s">
        <v>19</v>
      </c>
      <c r="BP317" t="s">
        <v>19</v>
      </c>
      <c r="BQ317">
        <v>219024</v>
      </c>
    </row>
    <row r="318" spans="1:69" ht="14.45" customHeight="1">
      <c r="A318" s="155"/>
      <c r="B318" s="30">
        <f t="shared" si="16"/>
        <v>219025</v>
      </c>
      <c r="C318" s="30" t="s">
        <v>2209</v>
      </c>
      <c r="D318" s="30"/>
      <c r="E318" s="30" t="s">
        <v>2195</v>
      </c>
      <c r="F318" s="31"/>
      <c r="G318" s="30"/>
      <c r="H318" s="30"/>
      <c r="I318" s="30"/>
      <c r="J318" s="30"/>
      <c r="K318" s="30"/>
      <c r="L318" s="30" t="s">
        <v>2181</v>
      </c>
      <c r="M318" s="30" t="s">
        <v>2181</v>
      </c>
      <c r="N318" s="30"/>
      <c r="P318" s="30"/>
      <c r="Q318" s="30"/>
      <c r="R318" s="30"/>
      <c r="S318" s="30"/>
      <c r="T318" s="31">
        <v>980017589</v>
      </c>
      <c r="U318" s="30"/>
      <c r="V318" s="30"/>
      <c r="W318" s="30"/>
      <c r="X318" s="30"/>
      <c r="Y318" s="30"/>
      <c r="Z318" s="30"/>
      <c r="AA318" s="30"/>
      <c r="AB318" s="30"/>
      <c r="AC318" s="30"/>
      <c r="AD318" s="30"/>
      <c r="AE318" s="30"/>
      <c r="AF318" s="30" t="str">
        <f t="shared" si="17"/>
        <v>ANTV109P            MIB_F</v>
      </c>
      <c r="AG318" s="30" t="s">
        <v>2189</v>
      </c>
      <c r="AH318">
        <v>3</v>
      </c>
      <c r="AI318">
        <v>219025</v>
      </c>
      <c r="AJ318" t="s">
        <v>1915</v>
      </c>
      <c r="AK318" t="s">
        <v>19</v>
      </c>
      <c r="AL318" t="s">
        <v>765</v>
      </c>
      <c r="AM318" t="s">
        <v>766</v>
      </c>
      <c r="AN318" t="s">
        <v>764</v>
      </c>
      <c r="AO318" t="s">
        <v>767</v>
      </c>
      <c r="AP318">
        <v>3</v>
      </c>
      <c r="AQ318" t="s">
        <v>768</v>
      </c>
      <c r="AR318" t="s">
        <v>37</v>
      </c>
      <c r="AS318" t="s">
        <v>19</v>
      </c>
      <c r="AT318" t="s">
        <v>19</v>
      </c>
      <c r="AU318" t="s">
        <v>249</v>
      </c>
      <c r="AV318" t="s">
        <v>250</v>
      </c>
      <c r="AW318" t="s">
        <v>816</v>
      </c>
      <c r="AX318" t="s">
        <v>817</v>
      </c>
      <c r="AY318">
        <v>1</v>
      </c>
      <c r="AZ318" t="s">
        <v>818</v>
      </c>
      <c r="BA318" t="s">
        <v>752</v>
      </c>
      <c r="BB318" t="s">
        <v>19</v>
      </c>
      <c r="BC318" t="s">
        <v>1360</v>
      </c>
      <c r="BD318" t="s">
        <v>1361</v>
      </c>
      <c r="BE318" t="s">
        <v>1916</v>
      </c>
      <c r="BF318" t="s">
        <v>1363</v>
      </c>
      <c r="BG318">
        <v>4030</v>
      </c>
      <c r="BH318" t="s">
        <v>1364</v>
      </c>
      <c r="BI318">
        <v>0.37</v>
      </c>
      <c r="BJ318" t="s">
        <v>1894</v>
      </c>
      <c r="BK318" t="s">
        <v>736</v>
      </c>
      <c r="BL318" t="s">
        <v>19</v>
      </c>
      <c r="BM318" t="s">
        <v>19</v>
      </c>
      <c r="BN318" t="s">
        <v>19</v>
      </c>
      <c r="BO318" t="s">
        <v>19</v>
      </c>
      <c r="BP318" t="s">
        <v>19</v>
      </c>
      <c r="BQ318">
        <v>219025</v>
      </c>
    </row>
    <row r="319" spans="1:69" ht="14.45" customHeight="1">
      <c r="A319" s="155"/>
      <c r="B319" s="30">
        <f t="shared" si="16"/>
        <v>219026</v>
      </c>
      <c r="C319" s="30" t="s">
        <v>2209</v>
      </c>
      <c r="D319" s="30"/>
      <c r="E319" s="30" t="s">
        <v>2195</v>
      </c>
      <c r="F319" s="31"/>
      <c r="G319" s="30"/>
      <c r="H319" s="30"/>
      <c r="I319" s="30"/>
      <c r="J319" s="30"/>
      <c r="K319" s="30"/>
      <c r="L319" s="30" t="s">
        <v>2181</v>
      </c>
      <c r="M319" s="30" t="s">
        <v>2181</v>
      </c>
      <c r="N319" s="30"/>
      <c r="P319" s="30"/>
      <c r="Q319" s="30"/>
      <c r="R319" s="30"/>
      <c r="S319" s="30"/>
      <c r="T319" s="31">
        <v>980017589</v>
      </c>
      <c r="U319" s="30"/>
      <c r="V319" s="30"/>
      <c r="W319" s="30"/>
      <c r="X319" s="30"/>
      <c r="Y319" s="30"/>
      <c r="Z319" s="30"/>
      <c r="AA319" s="30"/>
      <c r="AB319" s="30"/>
      <c r="AC319" s="30"/>
      <c r="AD319" s="30"/>
      <c r="AE319" s="30"/>
      <c r="AF319" s="30" t="str">
        <f t="shared" si="17"/>
        <v>ANTV109P            MIB_F</v>
      </c>
      <c r="AG319" s="30" t="s">
        <v>2189</v>
      </c>
      <c r="AH319">
        <v>3</v>
      </c>
      <c r="AI319">
        <v>219026</v>
      </c>
      <c r="AJ319" t="s">
        <v>1917</v>
      </c>
      <c r="AK319" t="s">
        <v>19</v>
      </c>
      <c r="AL319" t="s">
        <v>765</v>
      </c>
      <c r="AM319" t="s">
        <v>766</v>
      </c>
      <c r="AN319" t="s">
        <v>764</v>
      </c>
      <c r="AO319" t="s">
        <v>767</v>
      </c>
      <c r="AP319">
        <v>4</v>
      </c>
      <c r="AQ319" t="s">
        <v>768</v>
      </c>
      <c r="AR319" t="s">
        <v>49</v>
      </c>
      <c r="AS319" t="s">
        <v>19</v>
      </c>
      <c r="AT319" t="s">
        <v>19</v>
      </c>
      <c r="AU319" t="s">
        <v>249</v>
      </c>
      <c r="AV319" t="s">
        <v>250</v>
      </c>
      <c r="AW319" t="s">
        <v>816</v>
      </c>
      <c r="AX319" t="s">
        <v>817</v>
      </c>
      <c r="AY319" t="s">
        <v>1896</v>
      </c>
      <c r="AZ319" t="s">
        <v>818</v>
      </c>
      <c r="BA319" t="s">
        <v>753</v>
      </c>
      <c r="BB319" t="s">
        <v>19</v>
      </c>
      <c r="BC319" t="s">
        <v>1360</v>
      </c>
      <c r="BD319" t="s">
        <v>49</v>
      </c>
      <c r="BE319" t="s">
        <v>1916</v>
      </c>
      <c r="BF319" t="s">
        <v>1367</v>
      </c>
      <c r="BG319">
        <v>4030</v>
      </c>
      <c r="BH319" t="s">
        <v>1111</v>
      </c>
      <c r="BI319">
        <v>0.5</v>
      </c>
      <c r="BJ319" t="s">
        <v>1897</v>
      </c>
      <c r="BK319" t="s">
        <v>736</v>
      </c>
      <c r="BL319" t="s">
        <v>19</v>
      </c>
      <c r="BM319" t="s">
        <v>19</v>
      </c>
      <c r="BN319" t="s">
        <v>19</v>
      </c>
      <c r="BO319" t="s">
        <v>19</v>
      </c>
      <c r="BP319" t="s">
        <v>19</v>
      </c>
      <c r="BQ319">
        <v>219026</v>
      </c>
    </row>
    <row r="320" spans="1:69" ht="28.9" customHeight="1">
      <c r="A320" s="171" t="s">
        <v>2411</v>
      </c>
      <c r="B320" s="171">
        <f t="shared" ref="B320" si="27">AI320</f>
        <v>219027</v>
      </c>
      <c r="C320" s="171" t="s">
        <v>2209</v>
      </c>
      <c r="D320" s="171"/>
      <c r="E320" s="171" t="s">
        <v>2195</v>
      </c>
      <c r="F320" s="172"/>
      <c r="G320" s="171"/>
      <c r="H320" s="171"/>
      <c r="I320" s="171"/>
      <c r="J320" s="171"/>
      <c r="K320" s="171"/>
      <c r="L320" s="171" t="s">
        <v>2181</v>
      </c>
      <c r="M320" s="171" t="s">
        <v>2181</v>
      </c>
      <c r="N320" s="171"/>
      <c r="P320" s="171"/>
      <c r="Q320" s="171"/>
      <c r="R320" s="171"/>
      <c r="S320" s="171"/>
      <c r="T320" s="213" t="s">
        <v>2415</v>
      </c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 t="str">
        <f t="shared" ref="AF320" si="28" xml:space="preserve"> AO320 &amp; REPT(" ",20-LEN(AO320)) &amp; AX320</f>
        <v>MIB_F_NAR           ANTV111P</v>
      </c>
      <c r="AG320" s="171" t="s">
        <v>2189</v>
      </c>
      <c r="AH320" s="173">
        <v>3</v>
      </c>
      <c r="AI320" s="173">
        <v>219027</v>
      </c>
      <c r="AJ320" s="173" t="s">
        <v>1918</v>
      </c>
      <c r="AK320" s="173" t="s">
        <v>19</v>
      </c>
      <c r="AL320" s="173" t="s">
        <v>249</v>
      </c>
      <c r="AM320" s="173" t="s">
        <v>249</v>
      </c>
      <c r="AN320" s="173" t="s">
        <v>808</v>
      </c>
      <c r="AO320" s="173" t="s">
        <v>809</v>
      </c>
      <c r="AP320" s="173" t="s">
        <v>1896</v>
      </c>
      <c r="AQ320" s="173" t="s">
        <v>729</v>
      </c>
      <c r="AR320" s="173" t="s">
        <v>753</v>
      </c>
      <c r="AS320" s="173" t="s">
        <v>19</v>
      </c>
      <c r="AT320" s="173" t="s">
        <v>19</v>
      </c>
      <c r="AU320" s="173" t="s">
        <v>765</v>
      </c>
      <c r="AV320" s="173" t="s">
        <v>776</v>
      </c>
      <c r="AW320" s="173" t="s">
        <v>775</v>
      </c>
      <c r="AX320" s="173" t="s">
        <v>777</v>
      </c>
      <c r="AY320" s="173">
        <v>4</v>
      </c>
      <c r="AZ320" s="173" t="s">
        <v>778</v>
      </c>
      <c r="BA320" s="173" t="s">
        <v>49</v>
      </c>
      <c r="BB320" s="173" t="s">
        <v>19</v>
      </c>
      <c r="BC320" s="173" t="s">
        <v>1360</v>
      </c>
      <c r="BD320" s="173" t="s">
        <v>49</v>
      </c>
      <c r="BE320" s="173" t="s">
        <v>1919</v>
      </c>
      <c r="BF320" s="173" t="s">
        <v>1367</v>
      </c>
      <c r="BG320" s="173">
        <v>4030</v>
      </c>
      <c r="BH320" s="173" t="s">
        <v>1111</v>
      </c>
      <c r="BI320" s="173">
        <v>0.5</v>
      </c>
      <c r="BJ320" s="173" t="s">
        <v>1897</v>
      </c>
      <c r="BK320" s="173" t="s">
        <v>19</v>
      </c>
      <c r="BL320" s="173" t="s">
        <v>19</v>
      </c>
      <c r="BM320" s="173" t="s">
        <v>741</v>
      </c>
      <c r="BN320" s="173" t="s">
        <v>744</v>
      </c>
      <c r="BO320" s="173" t="s">
        <v>19</v>
      </c>
      <c r="BP320" s="173" t="s">
        <v>19</v>
      </c>
      <c r="BQ320" s="173">
        <v>219027</v>
      </c>
    </row>
    <row r="321" spans="1:69" ht="28.9" customHeight="1">
      <c r="A321" s="155">
        <v>220</v>
      </c>
      <c r="B321" s="30">
        <f t="shared" si="16"/>
        <v>219027</v>
      </c>
      <c r="C321" s="30" t="s">
        <v>2209</v>
      </c>
      <c r="D321" s="30"/>
      <c r="E321" s="30" t="s">
        <v>2195</v>
      </c>
      <c r="F321" s="31"/>
      <c r="G321" s="30"/>
      <c r="H321" s="30"/>
      <c r="I321" s="30"/>
      <c r="J321" s="30"/>
      <c r="K321" s="30"/>
      <c r="L321" s="30" t="s">
        <v>2181</v>
      </c>
      <c r="M321" s="30" t="s">
        <v>2181</v>
      </c>
      <c r="N321" s="30"/>
      <c r="P321" s="30"/>
      <c r="Q321" s="30"/>
      <c r="R321" s="30"/>
      <c r="S321" s="30"/>
      <c r="T321" s="214" t="s">
        <v>2416</v>
      </c>
      <c r="U321" s="30"/>
      <c r="V321" s="30"/>
      <c r="W321" s="30"/>
      <c r="X321" s="30"/>
      <c r="Y321" s="30"/>
      <c r="Z321" s="30"/>
      <c r="AA321" s="30"/>
      <c r="AB321" s="30"/>
      <c r="AC321" s="30"/>
      <c r="AD321" s="30"/>
      <c r="AE321" s="30"/>
      <c r="AF321" s="30" t="str">
        <f t="shared" si="17"/>
        <v>MIB_F_NAR           ANTV111P</v>
      </c>
      <c r="AG321" s="30" t="s">
        <v>2189</v>
      </c>
      <c r="AH321">
        <v>3</v>
      </c>
      <c r="AI321">
        <v>219027</v>
      </c>
      <c r="AJ321" t="s">
        <v>1918</v>
      </c>
      <c r="AK321" t="s">
        <v>19</v>
      </c>
      <c r="AL321" t="s">
        <v>249</v>
      </c>
      <c r="AM321" t="s">
        <v>249</v>
      </c>
      <c r="AN321" t="s">
        <v>808</v>
      </c>
      <c r="AO321" t="s">
        <v>809</v>
      </c>
      <c r="AP321" t="s">
        <v>1896</v>
      </c>
      <c r="AQ321" t="s">
        <v>729</v>
      </c>
      <c r="AR321" t="s">
        <v>753</v>
      </c>
      <c r="AS321" t="s">
        <v>19</v>
      </c>
      <c r="AT321" t="s">
        <v>19</v>
      </c>
      <c r="AU321" t="s">
        <v>765</v>
      </c>
      <c r="AV321" t="s">
        <v>776</v>
      </c>
      <c r="AW321" t="s">
        <v>775</v>
      </c>
      <c r="AX321" t="s">
        <v>777</v>
      </c>
      <c r="AY321">
        <v>4</v>
      </c>
      <c r="AZ321" t="s">
        <v>778</v>
      </c>
      <c r="BA321" t="s">
        <v>49</v>
      </c>
      <c r="BB321" t="s">
        <v>19</v>
      </c>
      <c r="BC321" t="s">
        <v>1360</v>
      </c>
      <c r="BD321" t="s">
        <v>49</v>
      </c>
      <c r="BE321" t="s">
        <v>1919</v>
      </c>
      <c r="BF321" t="s">
        <v>1367</v>
      </c>
      <c r="BG321">
        <v>4030</v>
      </c>
      <c r="BH321" t="s">
        <v>1111</v>
      </c>
      <c r="BI321">
        <v>0.5</v>
      </c>
      <c r="BJ321" t="s">
        <v>1897</v>
      </c>
      <c r="BK321" t="s">
        <v>19</v>
      </c>
      <c r="BL321" t="s">
        <v>19</v>
      </c>
      <c r="BM321" t="s">
        <v>741</v>
      </c>
      <c r="BN321" t="s">
        <v>744</v>
      </c>
      <c r="BO321" t="s">
        <v>19</v>
      </c>
      <c r="BP321" t="s">
        <v>19</v>
      </c>
      <c r="BQ321">
        <v>219027</v>
      </c>
    </row>
    <row r="322" spans="1:69" ht="28.9" customHeight="1">
      <c r="A322" s="171" t="s">
        <v>2411</v>
      </c>
      <c r="B322" s="171">
        <f t="shared" ref="B322" si="29">AI322</f>
        <v>219028</v>
      </c>
      <c r="C322" s="171" t="s">
        <v>2209</v>
      </c>
      <c r="D322" s="171"/>
      <c r="E322" s="171" t="s">
        <v>2195</v>
      </c>
      <c r="F322" s="172"/>
      <c r="G322" s="171"/>
      <c r="H322" s="171"/>
      <c r="I322" s="171"/>
      <c r="J322" s="171"/>
      <c r="K322" s="171"/>
      <c r="L322" s="171" t="s">
        <v>2181</v>
      </c>
      <c r="M322" s="171" t="s">
        <v>2181</v>
      </c>
      <c r="N322" s="171"/>
      <c r="P322" s="171"/>
      <c r="Q322" s="171"/>
      <c r="R322" s="171"/>
      <c r="S322" s="171"/>
      <c r="T322" s="211" t="s">
        <v>2417</v>
      </c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 t="str">
        <f t="shared" ref="AF322" si="30" xml:space="preserve"> AO322 &amp; REPT(" ",20-LEN(AO322)) &amp; AX322</f>
        <v>MIB_F_NAR           ANTV111P</v>
      </c>
      <c r="AG322" s="171" t="s">
        <v>2189</v>
      </c>
      <c r="AH322" s="173">
        <v>3</v>
      </c>
      <c r="AI322" s="173">
        <v>219028</v>
      </c>
      <c r="AJ322" s="173" t="s">
        <v>1920</v>
      </c>
      <c r="AK322" s="173" t="s">
        <v>19</v>
      </c>
      <c r="AL322" s="173" t="s">
        <v>249</v>
      </c>
      <c r="AM322" s="173" t="s">
        <v>249</v>
      </c>
      <c r="AN322" s="173" t="s">
        <v>808</v>
      </c>
      <c r="AO322" s="173" t="s">
        <v>809</v>
      </c>
      <c r="AP322" s="173">
        <v>1</v>
      </c>
      <c r="AQ322" s="173" t="s">
        <v>729</v>
      </c>
      <c r="AR322" s="173" t="s">
        <v>752</v>
      </c>
      <c r="AS322" s="173" t="s">
        <v>19</v>
      </c>
      <c r="AT322" s="173" t="s">
        <v>19</v>
      </c>
      <c r="AU322" s="173" t="s">
        <v>765</v>
      </c>
      <c r="AV322" s="173" t="s">
        <v>776</v>
      </c>
      <c r="AW322" s="173" t="s">
        <v>775</v>
      </c>
      <c r="AX322" s="173" t="s">
        <v>777</v>
      </c>
      <c r="AY322" s="173">
        <v>3</v>
      </c>
      <c r="AZ322" s="173" t="s">
        <v>778</v>
      </c>
      <c r="BA322" s="173" t="s">
        <v>37</v>
      </c>
      <c r="BB322" s="173" t="s">
        <v>19</v>
      </c>
      <c r="BC322" s="173" t="s">
        <v>1360</v>
      </c>
      <c r="BD322" s="173" t="s">
        <v>1361</v>
      </c>
      <c r="BE322" s="173" t="s">
        <v>1919</v>
      </c>
      <c r="BF322" s="173" t="s">
        <v>1363</v>
      </c>
      <c r="BG322" s="173">
        <v>4030</v>
      </c>
      <c r="BH322" s="173" t="s">
        <v>1364</v>
      </c>
      <c r="BI322" s="173">
        <v>0.37</v>
      </c>
      <c r="BJ322" s="173" t="s">
        <v>1894</v>
      </c>
      <c r="BK322" s="173" t="s">
        <v>19</v>
      </c>
      <c r="BL322" s="173" t="s">
        <v>19</v>
      </c>
      <c r="BM322" s="173" t="s">
        <v>741</v>
      </c>
      <c r="BN322" s="173" t="s">
        <v>744</v>
      </c>
      <c r="BO322" s="173" t="s">
        <v>19</v>
      </c>
      <c r="BP322" s="173" t="s">
        <v>19</v>
      </c>
      <c r="BQ322" s="173">
        <v>219028</v>
      </c>
    </row>
    <row r="323" spans="1:69" ht="28.9" customHeight="1">
      <c r="A323" s="155">
        <v>220</v>
      </c>
      <c r="B323" s="30">
        <f t="shared" si="16"/>
        <v>219028</v>
      </c>
      <c r="C323" s="30" t="s">
        <v>2209</v>
      </c>
      <c r="D323" s="30"/>
      <c r="E323" s="30" t="s">
        <v>2195</v>
      </c>
      <c r="F323" s="31"/>
      <c r="G323" s="30"/>
      <c r="H323" s="30"/>
      <c r="I323" s="30"/>
      <c r="J323" s="30"/>
      <c r="K323" s="30"/>
      <c r="L323" s="30" t="s">
        <v>2181</v>
      </c>
      <c r="M323" s="30" t="s">
        <v>2181</v>
      </c>
      <c r="N323" s="30"/>
      <c r="P323" s="30"/>
      <c r="Q323" s="30"/>
      <c r="R323" s="30"/>
      <c r="S323" s="30"/>
      <c r="T323" s="212" t="s">
        <v>2419</v>
      </c>
      <c r="U323" s="30"/>
      <c r="V323" s="30"/>
      <c r="W323" s="30"/>
      <c r="X323" s="30"/>
      <c r="Y323" s="30"/>
      <c r="Z323" s="30"/>
      <c r="AA323" s="30"/>
      <c r="AB323" s="30"/>
      <c r="AC323" s="30"/>
      <c r="AD323" s="30"/>
      <c r="AE323" s="30"/>
      <c r="AF323" s="30" t="str">
        <f t="shared" si="17"/>
        <v>MIB_F_NAR           ANTV111P</v>
      </c>
      <c r="AG323" s="30" t="s">
        <v>2189</v>
      </c>
      <c r="AH323">
        <v>3</v>
      </c>
      <c r="AI323">
        <v>219028</v>
      </c>
      <c r="AJ323" t="s">
        <v>1920</v>
      </c>
      <c r="AK323" t="s">
        <v>19</v>
      </c>
      <c r="AL323" t="s">
        <v>249</v>
      </c>
      <c r="AM323" t="s">
        <v>249</v>
      </c>
      <c r="AN323" t="s">
        <v>808</v>
      </c>
      <c r="AO323" t="s">
        <v>809</v>
      </c>
      <c r="AP323">
        <v>1</v>
      </c>
      <c r="AQ323" t="s">
        <v>729</v>
      </c>
      <c r="AR323" t="s">
        <v>752</v>
      </c>
      <c r="AS323" t="s">
        <v>19</v>
      </c>
      <c r="AT323" t="s">
        <v>19</v>
      </c>
      <c r="AU323" t="s">
        <v>765</v>
      </c>
      <c r="AV323" t="s">
        <v>776</v>
      </c>
      <c r="AW323" t="s">
        <v>775</v>
      </c>
      <c r="AX323" t="s">
        <v>777</v>
      </c>
      <c r="AY323">
        <v>3</v>
      </c>
      <c r="AZ323" t="s">
        <v>778</v>
      </c>
      <c r="BA323" t="s">
        <v>37</v>
      </c>
      <c r="BB323" t="s">
        <v>19</v>
      </c>
      <c r="BC323" t="s">
        <v>1360</v>
      </c>
      <c r="BD323" t="s">
        <v>1361</v>
      </c>
      <c r="BE323" t="s">
        <v>1919</v>
      </c>
      <c r="BF323" t="s">
        <v>1363</v>
      </c>
      <c r="BG323">
        <v>4030</v>
      </c>
      <c r="BH323" t="s">
        <v>1364</v>
      </c>
      <c r="BI323">
        <v>0.37</v>
      </c>
      <c r="BJ323" t="s">
        <v>1894</v>
      </c>
      <c r="BK323" t="s">
        <v>19</v>
      </c>
      <c r="BL323" t="s">
        <v>19</v>
      </c>
      <c r="BM323" t="s">
        <v>741</v>
      </c>
      <c r="BN323" t="s">
        <v>744</v>
      </c>
      <c r="BO323" t="s">
        <v>19</v>
      </c>
      <c r="BP323" t="s">
        <v>19</v>
      </c>
      <c r="BQ323">
        <v>219028</v>
      </c>
    </row>
    <row r="324" spans="1:69" ht="28.9" customHeight="1">
      <c r="A324" s="171" t="s">
        <v>2411</v>
      </c>
      <c r="B324" s="171">
        <f t="shared" ref="B324" si="31">AI324</f>
        <v>219029</v>
      </c>
      <c r="C324" s="171" t="s">
        <v>2209</v>
      </c>
      <c r="D324" s="171"/>
      <c r="E324" s="171" t="s">
        <v>2195</v>
      </c>
      <c r="F324" s="172"/>
      <c r="G324" s="171"/>
      <c r="H324" s="171"/>
      <c r="I324" s="171"/>
      <c r="J324" s="171"/>
      <c r="K324" s="171"/>
      <c r="L324" s="171" t="s">
        <v>2181</v>
      </c>
      <c r="M324" s="171" t="s">
        <v>2181</v>
      </c>
      <c r="N324" s="171"/>
      <c r="P324" s="171"/>
      <c r="Q324" s="171"/>
      <c r="R324" s="171"/>
      <c r="S324" s="171"/>
      <c r="T324" s="211" t="s">
        <v>2417</v>
      </c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 t="str">
        <f t="shared" ref="AF324" si="32" xml:space="preserve"> AO324 &amp; REPT(" ",20-LEN(AO324)) &amp; AX324</f>
        <v>MIB_F_NAR           ANTV02P</v>
      </c>
      <c r="AG324" s="171" t="s">
        <v>2189</v>
      </c>
      <c r="AH324" s="173">
        <v>3</v>
      </c>
      <c r="AI324" s="173">
        <v>219029</v>
      </c>
      <c r="AJ324" s="173" t="s">
        <v>1921</v>
      </c>
      <c r="AK324" s="173" t="s">
        <v>19</v>
      </c>
      <c r="AL324" s="173" t="s">
        <v>249</v>
      </c>
      <c r="AM324" s="173" t="s">
        <v>249</v>
      </c>
      <c r="AN324" s="173" t="s">
        <v>808</v>
      </c>
      <c r="AO324" s="173" t="s">
        <v>809</v>
      </c>
      <c r="AP324" s="173" t="s">
        <v>1902</v>
      </c>
      <c r="AQ324" s="173" t="s">
        <v>729</v>
      </c>
      <c r="AR324" s="173" t="s">
        <v>753</v>
      </c>
      <c r="AS324" s="173" t="s">
        <v>19</v>
      </c>
      <c r="AT324" s="173" t="s">
        <v>19</v>
      </c>
      <c r="AU324" s="173" t="s">
        <v>791</v>
      </c>
      <c r="AV324" s="173" t="s">
        <v>792</v>
      </c>
      <c r="AW324" s="173" t="s">
        <v>790</v>
      </c>
      <c r="AX324" s="173" t="s">
        <v>793</v>
      </c>
      <c r="AY324" s="173">
        <v>2</v>
      </c>
      <c r="AZ324" s="173" t="s">
        <v>794</v>
      </c>
      <c r="BA324" s="173" t="s">
        <v>49</v>
      </c>
      <c r="BB324" s="173" t="s">
        <v>19</v>
      </c>
      <c r="BC324" s="173" t="s">
        <v>1360</v>
      </c>
      <c r="BD324" s="173" t="s">
        <v>49</v>
      </c>
      <c r="BE324" s="173" t="s">
        <v>1922</v>
      </c>
      <c r="BF324" s="173" t="s">
        <v>1367</v>
      </c>
      <c r="BG324" s="173">
        <v>5020</v>
      </c>
      <c r="BH324" s="173" t="s">
        <v>1111</v>
      </c>
      <c r="BI324" s="173">
        <v>0.5</v>
      </c>
      <c r="BJ324" s="173" t="s">
        <v>1903</v>
      </c>
      <c r="BK324" s="173" t="s">
        <v>19</v>
      </c>
      <c r="BL324" s="173" t="s">
        <v>19</v>
      </c>
      <c r="BM324" s="173" t="s">
        <v>741</v>
      </c>
      <c r="BN324" s="173" t="s">
        <v>744</v>
      </c>
      <c r="BO324" s="173" t="s">
        <v>19</v>
      </c>
      <c r="BP324" s="173" t="s">
        <v>19</v>
      </c>
      <c r="BQ324" s="173">
        <v>219029</v>
      </c>
    </row>
    <row r="325" spans="1:69" ht="28.9" customHeight="1">
      <c r="A325" s="155">
        <v>220</v>
      </c>
      <c r="B325" s="30">
        <f t="shared" si="16"/>
        <v>219029</v>
      </c>
      <c r="C325" s="30" t="s">
        <v>2209</v>
      </c>
      <c r="D325" s="30"/>
      <c r="E325" s="30" t="s">
        <v>2195</v>
      </c>
      <c r="F325" s="31"/>
      <c r="G325" s="30"/>
      <c r="H325" s="30"/>
      <c r="I325" s="30"/>
      <c r="J325" s="30"/>
      <c r="K325" s="30"/>
      <c r="L325" s="30" t="s">
        <v>2181</v>
      </c>
      <c r="M325" s="30" t="s">
        <v>2181</v>
      </c>
      <c r="N325" s="30"/>
      <c r="P325" s="30"/>
      <c r="Q325" s="30"/>
      <c r="R325" s="30"/>
      <c r="S325" s="30"/>
      <c r="T325" s="212" t="s">
        <v>2422</v>
      </c>
      <c r="U325" s="30"/>
      <c r="V325" s="30"/>
      <c r="W325" s="30"/>
      <c r="X325" s="30"/>
      <c r="Y325" s="30"/>
      <c r="Z325" s="30"/>
      <c r="AA325" s="30"/>
      <c r="AB325" s="30"/>
      <c r="AC325" s="30"/>
      <c r="AD325" s="30"/>
      <c r="AE325" s="30"/>
      <c r="AF325" s="30" t="str">
        <f t="shared" si="17"/>
        <v>MIB_F_NAR           ANTV02P</v>
      </c>
      <c r="AG325" s="30" t="s">
        <v>2189</v>
      </c>
      <c r="AH325">
        <v>3</v>
      </c>
      <c r="AI325">
        <v>219029</v>
      </c>
      <c r="AJ325" t="s">
        <v>1921</v>
      </c>
      <c r="AK325" t="s">
        <v>19</v>
      </c>
      <c r="AL325" t="s">
        <v>249</v>
      </c>
      <c r="AM325" t="s">
        <v>249</v>
      </c>
      <c r="AN325" t="s">
        <v>808</v>
      </c>
      <c r="AO325" t="s">
        <v>809</v>
      </c>
      <c r="AP325" t="s">
        <v>1902</v>
      </c>
      <c r="AQ325" t="s">
        <v>729</v>
      </c>
      <c r="AR325" t="s">
        <v>753</v>
      </c>
      <c r="AS325" t="s">
        <v>19</v>
      </c>
      <c r="AT325" t="s">
        <v>19</v>
      </c>
      <c r="AU325" t="s">
        <v>791</v>
      </c>
      <c r="AV325" t="s">
        <v>792</v>
      </c>
      <c r="AW325" t="s">
        <v>790</v>
      </c>
      <c r="AX325" t="s">
        <v>793</v>
      </c>
      <c r="AY325">
        <v>2</v>
      </c>
      <c r="AZ325" t="s">
        <v>794</v>
      </c>
      <c r="BA325" t="s">
        <v>49</v>
      </c>
      <c r="BB325" t="s">
        <v>19</v>
      </c>
      <c r="BC325" t="s">
        <v>1360</v>
      </c>
      <c r="BD325" t="s">
        <v>49</v>
      </c>
      <c r="BE325" t="s">
        <v>1922</v>
      </c>
      <c r="BF325" t="s">
        <v>1367</v>
      </c>
      <c r="BG325">
        <v>5020</v>
      </c>
      <c r="BH325" t="s">
        <v>1111</v>
      </c>
      <c r="BI325">
        <v>0.5</v>
      </c>
      <c r="BJ325" t="s">
        <v>1903</v>
      </c>
      <c r="BK325" t="s">
        <v>19</v>
      </c>
      <c r="BL325" t="s">
        <v>19</v>
      </c>
      <c r="BM325" t="s">
        <v>741</v>
      </c>
      <c r="BN325" t="s">
        <v>744</v>
      </c>
      <c r="BO325" t="s">
        <v>19</v>
      </c>
      <c r="BP325" t="s">
        <v>19</v>
      </c>
      <c r="BQ325">
        <v>219029</v>
      </c>
    </row>
    <row r="326" spans="1:69" ht="28.9" customHeight="1">
      <c r="A326" s="171" t="s">
        <v>2411</v>
      </c>
      <c r="B326" s="171">
        <f t="shared" ref="B326" si="33">AI326</f>
        <v>219030</v>
      </c>
      <c r="C326" s="171" t="s">
        <v>2209</v>
      </c>
      <c r="D326" s="171"/>
      <c r="E326" s="171" t="s">
        <v>2195</v>
      </c>
      <c r="F326" s="172"/>
      <c r="G326" s="171"/>
      <c r="H326" s="171"/>
      <c r="I326" s="171"/>
      <c r="J326" s="171"/>
      <c r="K326" s="171"/>
      <c r="L326" s="171" t="s">
        <v>2181</v>
      </c>
      <c r="M326" s="171" t="s">
        <v>2181</v>
      </c>
      <c r="N326" s="171"/>
      <c r="P326" s="171"/>
      <c r="Q326" s="171"/>
      <c r="R326" s="171"/>
      <c r="S326" s="171"/>
      <c r="T326" s="211" t="s">
        <v>2420</v>
      </c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 t="str">
        <f t="shared" ref="AF326" si="34" xml:space="preserve"> AO326 &amp; REPT(" ",20-LEN(AO326)) &amp; AX326</f>
        <v>MIB_F_NAR           ANTV02P</v>
      </c>
      <c r="AG326" s="171" t="s">
        <v>2189</v>
      </c>
      <c r="AH326" s="173">
        <v>3</v>
      </c>
      <c r="AI326" s="173">
        <v>219030</v>
      </c>
      <c r="AJ326" s="173" t="s">
        <v>1923</v>
      </c>
      <c r="AK326" s="173" t="s">
        <v>19</v>
      </c>
      <c r="AL326" s="173" t="s">
        <v>249</v>
      </c>
      <c r="AM326" s="173" t="s">
        <v>249</v>
      </c>
      <c r="AN326" s="173" t="s">
        <v>808</v>
      </c>
      <c r="AO326" s="173" t="s">
        <v>809</v>
      </c>
      <c r="AP326" s="173">
        <v>4</v>
      </c>
      <c r="AQ326" s="173" t="s">
        <v>729</v>
      </c>
      <c r="AR326" s="173" t="s">
        <v>752</v>
      </c>
      <c r="AS326" s="173" t="s">
        <v>19</v>
      </c>
      <c r="AT326" s="173" t="s">
        <v>19</v>
      </c>
      <c r="AU326" s="173" t="s">
        <v>791</v>
      </c>
      <c r="AV326" s="173" t="s">
        <v>792</v>
      </c>
      <c r="AW326" s="173" t="s">
        <v>790</v>
      </c>
      <c r="AX326" s="173" t="s">
        <v>793</v>
      </c>
      <c r="AY326" s="173">
        <v>1</v>
      </c>
      <c r="AZ326" s="173" t="s">
        <v>794</v>
      </c>
      <c r="BA326" s="173" t="s">
        <v>37</v>
      </c>
      <c r="BB326" s="173" t="s">
        <v>19</v>
      </c>
      <c r="BC326" s="173" t="s">
        <v>1360</v>
      </c>
      <c r="BD326" s="173" t="s">
        <v>1361</v>
      </c>
      <c r="BE326" s="173" t="s">
        <v>1922</v>
      </c>
      <c r="BF326" s="173" t="s">
        <v>1363</v>
      </c>
      <c r="BG326" s="173">
        <v>5020</v>
      </c>
      <c r="BH326" s="173" t="s">
        <v>1364</v>
      </c>
      <c r="BI326" s="173">
        <v>0.37</v>
      </c>
      <c r="BJ326" s="173" t="s">
        <v>1900</v>
      </c>
      <c r="BK326" s="173" t="s">
        <v>19</v>
      </c>
      <c r="BL326" s="173" t="s">
        <v>19</v>
      </c>
      <c r="BM326" s="173" t="s">
        <v>741</v>
      </c>
      <c r="BN326" s="173" t="s">
        <v>744</v>
      </c>
      <c r="BO326" s="173" t="s">
        <v>19</v>
      </c>
      <c r="BP326" s="173" t="s">
        <v>19</v>
      </c>
      <c r="BQ326" s="173">
        <v>219030</v>
      </c>
    </row>
    <row r="327" spans="1:69" ht="28.9" customHeight="1">
      <c r="A327" s="155">
        <v>220</v>
      </c>
      <c r="B327" s="30">
        <f t="shared" si="16"/>
        <v>219030</v>
      </c>
      <c r="C327" s="30" t="s">
        <v>2209</v>
      </c>
      <c r="D327" s="30"/>
      <c r="E327" s="30" t="s">
        <v>2195</v>
      </c>
      <c r="F327" s="31"/>
      <c r="G327" s="30"/>
      <c r="H327" s="30"/>
      <c r="I327" s="30"/>
      <c r="J327" s="30"/>
      <c r="K327" s="30"/>
      <c r="L327" s="30" t="s">
        <v>2181</v>
      </c>
      <c r="M327" s="30" t="s">
        <v>2181</v>
      </c>
      <c r="N327" s="30"/>
      <c r="P327" s="30"/>
      <c r="Q327" s="30"/>
      <c r="R327" s="30"/>
      <c r="S327" s="30"/>
      <c r="T327" s="212" t="s">
        <v>2421</v>
      </c>
      <c r="U327" s="30"/>
      <c r="V327" s="30"/>
      <c r="W327" s="30"/>
      <c r="X327" s="30"/>
      <c r="Y327" s="30"/>
      <c r="Z327" s="30"/>
      <c r="AA327" s="30"/>
      <c r="AB327" s="30"/>
      <c r="AC327" s="30"/>
      <c r="AD327" s="30"/>
      <c r="AE327" s="30"/>
      <c r="AF327" s="30" t="str">
        <f t="shared" si="17"/>
        <v>MIB_F_NAR           ANTV02P</v>
      </c>
      <c r="AG327" s="30" t="s">
        <v>2189</v>
      </c>
      <c r="AH327">
        <v>3</v>
      </c>
      <c r="AI327">
        <v>219030</v>
      </c>
      <c r="AJ327" t="s">
        <v>1923</v>
      </c>
      <c r="AK327" t="s">
        <v>19</v>
      </c>
      <c r="AL327" t="s">
        <v>249</v>
      </c>
      <c r="AM327" t="s">
        <v>249</v>
      </c>
      <c r="AN327" t="s">
        <v>808</v>
      </c>
      <c r="AO327" t="s">
        <v>809</v>
      </c>
      <c r="AP327">
        <v>4</v>
      </c>
      <c r="AQ327" t="s">
        <v>729</v>
      </c>
      <c r="AR327" t="s">
        <v>752</v>
      </c>
      <c r="AS327" t="s">
        <v>19</v>
      </c>
      <c r="AT327" t="s">
        <v>19</v>
      </c>
      <c r="AU327" t="s">
        <v>791</v>
      </c>
      <c r="AV327" t="s">
        <v>792</v>
      </c>
      <c r="AW327" t="s">
        <v>790</v>
      </c>
      <c r="AX327" t="s">
        <v>793</v>
      </c>
      <c r="AY327">
        <v>1</v>
      </c>
      <c r="AZ327" t="s">
        <v>794</v>
      </c>
      <c r="BA327" t="s">
        <v>37</v>
      </c>
      <c r="BB327" t="s">
        <v>19</v>
      </c>
      <c r="BC327" t="s">
        <v>1360</v>
      </c>
      <c r="BD327" t="s">
        <v>1361</v>
      </c>
      <c r="BE327" t="s">
        <v>1922</v>
      </c>
      <c r="BF327" t="s">
        <v>1363</v>
      </c>
      <c r="BG327">
        <v>5020</v>
      </c>
      <c r="BH327" t="s">
        <v>1364</v>
      </c>
      <c r="BI327">
        <v>0.37</v>
      </c>
      <c r="BJ327" t="s">
        <v>1900</v>
      </c>
      <c r="BK327" t="s">
        <v>19</v>
      </c>
      <c r="BL327" t="s">
        <v>19</v>
      </c>
      <c r="BM327" t="s">
        <v>741</v>
      </c>
      <c r="BN327" t="s">
        <v>744</v>
      </c>
      <c r="BO327" t="s">
        <v>19</v>
      </c>
      <c r="BP327" t="s">
        <v>19</v>
      </c>
      <c r="BQ327">
        <v>219030</v>
      </c>
    </row>
    <row r="328" spans="1:69" ht="28.9" customHeight="1">
      <c r="A328" s="155"/>
      <c r="B328" s="30">
        <f t="shared" si="16"/>
        <v>219031</v>
      </c>
      <c r="C328" s="30" t="s">
        <v>2209</v>
      </c>
      <c r="D328" s="30"/>
      <c r="E328" s="30" t="s">
        <v>2195</v>
      </c>
      <c r="F328" s="31"/>
      <c r="G328" s="30"/>
      <c r="H328" s="30"/>
      <c r="I328" s="30"/>
      <c r="J328" s="30"/>
      <c r="K328" s="30"/>
      <c r="L328" s="30" t="s">
        <v>2181</v>
      </c>
      <c r="M328" s="30" t="s">
        <v>2181</v>
      </c>
      <c r="N328" s="30"/>
      <c r="P328" s="30"/>
      <c r="Q328" s="30"/>
      <c r="R328" s="30"/>
      <c r="S328" s="30"/>
      <c r="T328" s="42" t="s">
        <v>2418</v>
      </c>
      <c r="U328" s="30"/>
      <c r="V328" s="30"/>
      <c r="W328" s="30"/>
      <c r="X328" s="30"/>
      <c r="Y328" s="30"/>
      <c r="Z328" s="30"/>
      <c r="AA328" s="30"/>
      <c r="AB328" s="30"/>
      <c r="AC328" s="30"/>
      <c r="AD328" s="30"/>
      <c r="AE328" s="30"/>
      <c r="AF328" s="30" t="str">
        <f t="shared" si="17"/>
        <v>ANTV112             KS_CR_A</v>
      </c>
      <c r="AG328" s="30" t="s">
        <v>2182</v>
      </c>
      <c r="AH328">
        <v>3</v>
      </c>
      <c r="AI328">
        <v>219031</v>
      </c>
      <c r="AJ328" t="s">
        <v>1924</v>
      </c>
      <c r="AK328" t="s">
        <v>19</v>
      </c>
      <c r="AL328" t="s">
        <v>765</v>
      </c>
      <c r="AM328" t="s">
        <v>784</v>
      </c>
      <c r="AN328" t="s">
        <v>783</v>
      </c>
      <c r="AO328" t="s">
        <v>785</v>
      </c>
      <c r="AP328">
        <v>1</v>
      </c>
      <c r="AQ328" t="s">
        <v>768</v>
      </c>
      <c r="AR328" t="s">
        <v>37</v>
      </c>
      <c r="AS328" t="s">
        <v>19</v>
      </c>
      <c r="AT328" t="s">
        <v>19</v>
      </c>
      <c r="AU328" t="s">
        <v>759</v>
      </c>
      <c r="AV328" t="s">
        <v>759</v>
      </c>
      <c r="AW328" t="s">
        <v>758</v>
      </c>
      <c r="AX328" t="s">
        <v>760</v>
      </c>
      <c r="AY328">
        <v>1</v>
      </c>
      <c r="AZ328" t="s">
        <v>761</v>
      </c>
      <c r="BA328" t="s">
        <v>37</v>
      </c>
      <c r="BB328" t="s">
        <v>19</v>
      </c>
      <c r="BC328" t="s">
        <v>1360</v>
      </c>
      <c r="BD328" t="s">
        <v>1361</v>
      </c>
      <c r="BE328" t="s">
        <v>1925</v>
      </c>
      <c r="BF328" t="s">
        <v>1363</v>
      </c>
      <c r="BG328">
        <v>299</v>
      </c>
      <c r="BH328" t="s">
        <v>1364</v>
      </c>
      <c r="BI328">
        <v>0.37</v>
      </c>
      <c r="BJ328" t="s">
        <v>1906</v>
      </c>
      <c r="BK328" t="s">
        <v>19</v>
      </c>
      <c r="BL328" t="s">
        <v>19</v>
      </c>
      <c r="BM328" t="s">
        <v>19</v>
      </c>
      <c r="BN328" t="s">
        <v>19</v>
      </c>
      <c r="BO328" t="s">
        <v>747</v>
      </c>
      <c r="BP328" t="s">
        <v>750</v>
      </c>
      <c r="BQ328">
        <v>219031</v>
      </c>
    </row>
    <row r="329" spans="1:69" ht="28.9" customHeight="1">
      <c r="A329" s="155"/>
      <c r="B329" s="30">
        <f t="shared" si="16"/>
        <v>219032</v>
      </c>
      <c r="C329" s="30" t="s">
        <v>2209</v>
      </c>
      <c r="D329" s="30"/>
      <c r="E329" s="30" t="s">
        <v>2195</v>
      </c>
      <c r="F329" s="31"/>
      <c r="G329" s="30"/>
      <c r="H329" s="30"/>
      <c r="I329" s="30"/>
      <c r="J329" s="30"/>
      <c r="K329" s="30"/>
      <c r="L329" s="30" t="s">
        <v>2181</v>
      </c>
      <c r="M329" s="30" t="s">
        <v>2181</v>
      </c>
      <c r="N329" s="30"/>
      <c r="P329" s="30"/>
      <c r="Q329" s="30"/>
      <c r="R329" s="30"/>
      <c r="S329" s="30"/>
      <c r="T329" s="42" t="s">
        <v>2418</v>
      </c>
      <c r="U329" s="30"/>
      <c r="V329" s="30"/>
      <c r="W329" s="30"/>
      <c r="X329" s="30"/>
      <c r="Y329" s="30"/>
      <c r="Z329" s="30"/>
      <c r="AA329" s="30"/>
      <c r="AB329" s="30"/>
      <c r="AC329" s="30"/>
      <c r="AD329" s="30"/>
      <c r="AE329" s="30"/>
      <c r="AF329" s="30" t="str">
        <f t="shared" si="17"/>
        <v>ANTV112             KS_CR_A</v>
      </c>
      <c r="AG329" s="30" t="s">
        <v>2182</v>
      </c>
      <c r="AH329">
        <v>3</v>
      </c>
      <c r="AI329">
        <v>219032</v>
      </c>
      <c r="AJ329" t="s">
        <v>1926</v>
      </c>
      <c r="AK329" t="s">
        <v>19</v>
      </c>
      <c r="AL329" t="s">
        <v>765</v>
      </c>
      <c r="AM329" t="s">
        <v>784</v>
      </c>
      <c r="AN329" t="s">
        <v>783</v>
      </c>
      <c r="AO329" t="s">
        <v>785</v>
      </c>
      <c r="AP329">
        <v>2</v>
      </c>
      <c r="AQ329" t="s">
        <v>768</v>
      </c>
      <c r="AR329" t="s">
        <v>49</v>
      </c>
      <c r="AS329" t="s">
        <v>19</v>
      </c>
      <c r="AT329" t="s">
        <v>19</v>
      </c>
      <c r="AU329" t="s">
        <v>759</v>
      </c>
      <c r="AV329" t="s">
        <v>759</v>
      </c>
      <c r="AW329" t="s">
        <v>758</v>
      </c>
      <c r="AX329" t="s">
        <v>760</v>
      </c>
      <c r="AY329">
        <v>2</v>
      </c>
      <c r="AZ329" t="s">
        <v>761</v>
      </c>
      <c r="BA329" t="s">
        <v>49</v>
      </c>
      <c r="BB329" t="s">
        <v>19</v>
      </c>
      <c r="BC329" t="s">
        <v>1360</v>
      </c>
      <c r="BD329" t="s">
        <v>49</v>
      </c>
      <c r="BE329" t="s">
        <v>1925</v>
      </c>
      <c r="BF329" t="s">
        <v>1367</v>
      </c>
      <c r="BG329">
        <v>299</v>
      </c>
      <c r="BH329" t="s">
        <v>1111</v>
      </c>
      <c r="BI329">
        <v>0.5</v>
      </c>
      <c r="BJ329" t="s">
        <v>1908</v>
      </c>
      <c r="BK329" t="s">
        <v>19</v>
      </c>
      <c r="BL329" t="s">
        <v>19</v>
      </c>
      <c r="BM329" t="s">
        <v>19</v>
      </c>
      <c r="BN329" t="s">
        <v>19</v>
      </c>
      <c r="BO329" t="s">
        <v>747</v>
      </c>
      <c r="BP329" t="s">
        <v>750</v>
      </c>
      <c r="BQ329">
        <v>219032</v>
      </c>
    </row>
    <row r="330" spans="1:69" ht="28.9" customHeight="1">
      <c r="A330" s="155"/>
      <c r="B330" s="30">
        <f t="shared" si="16"/>
        <v>219033</v>
      </c>
      <c r="C330" s="30" t="s">
        <v>2209</v>
      </c>
      <c r="D330" s="30"/>
      <c r="E330" s="30" t="s">
        <v>2195</v>
      </c>
      <c r="F330" s="31"/>
      <c r="G330" s="30"/>
      <c r="H330" s="30"/>
      <c r="I330" s="30"/>
      <c r="J330" s="30"/>
      <c r="K330" s="30"/>
      <c r="L330" s="30" t="s">
        <v>2181</v>
      </c>
      <c r="M330" s="30" t="s">
        <v>2181</v>
      </c>
      <c r="N330" s="30"/>
      <c r="P330" s="30"/>
      <c r="Q330" s="30"/>
      <c r="R330" s="30"/>
      <c r="S330" s="30"/>
      <c r="T330" s="42" t="s">
        <v>2418</v>
      </c>
      <c r="U330" s="30"/>
      <c r="V330" s="30"/>
      <c r="W330" s="30"/>
      <c r="X330" s="30"/>
      <c r="Y330" s="30"/>
      <c r="Z330" s="30"/>
      <c r="AA330" s="30"/>
      <c r="AB330" s="30"/>
      <c r="AC330" s="30"/>
      <c r="AD330" s="30"/>
      <c r="AE330" s="30"/>
      <c r="AF330" s="30" t="str">
        <f t="shared" si="17"/>
        <v>ANTV112             MIB_F</v>
      </c>
      <c r="AG330" s="30" t="s">
        <v>2189</v>
      </c>
      <c r="AH330">
        <v>3</v>
      </c>
      <c r="AI330">
        <v>219033</v>
      </c>
      <c r="AJ330" t="s">
        <v>1927</v>
      </c>
      <c r="AK330" t="s">
        <v>19</v>
      </c>
      <c r="AL330" t="s">
        <v>765</v>
      </c>
      <c r="AM330" t="s">
        <v>784</v>
      </c>
      <c r="AN330" t="s">
        <v>783</v>
      </c>
      <c r="AO330" t="s">
        <v>785</v>
      </c>
      <c r="AP330">
        <v>3</v>
      </c>
      <c r="AQ330" t="s">
        <v>768</v>
      </c>
      <c r="AR330" t="s">
        <v>37</v>
      </c>
      <c r="AS330" t="s">
        <v>19</v>
      </c>
      <c r="AT330" t="s">
        <v>19</v>
      </c>
      <c r="AU330" t="s">
        <v>249</v>
      </c>
      <c r="AV330" t="s">
        <v>250</v>
      </c>
      <c r="AW330" t="s">
        <v>816</v>
      </c>
      <c r="AX330" t="s">
        <v>817</v>
      </c>
      <c r="AY330">
        <v>1</v>
      </c>
      <c r="AZ330" t="s">
        <v>818</v>
      </c>
      <c r="BA330" t="s">
        <v>752</v>
      </c>
      <c r="BB330" t="s">
        <v>19</v>
      </c>
      <c r="BC330" t="s">
        <v>1360</v>
      </c>
      <c r="BD330" t="s">
        <v>1361</v>
      </c>
      <c r="BE330" t="s">
        <v>1928</v>
      </c>
      <c r="BF330" t="s">
        <v>1363</v>
      </c>
      <c r="BG330">
        <v>4030</v>
      </c>
      <c r="BH330" t="s">
        <v>1364</v>
      </c>
      <c r="BI330">
        <v>0.37</v>
      </c>
      <c r="BJ330" t="s">
        <v>1894</v>
      </c>
      <c r="BK330" t="s">
        <v>19</v>
      </c>
      <c r="BL330" t="s">
        <v>19</v>
      </c>
      <c r="BM330" t="s">
        <v>19</v>
      </c>
      <c r="BN330" t="s">
        <v>19</v>
      </c>
      <c r="BO330" t="s">
        <v>747</v>
      </c>
      <c r="BP330" t="s">
        <v>750</v>
      </c>
      <c r="BQ330">
        <v>219033</v>
      </c>
    </row>
    <row r="331" spans="1:69" ht="28.9" customHeight="1">
      <c r="A331" s="155"/>
      <c r="B331" s="30">
        <f t="shared" si="16"/>
        <v>219034</v>
      </c>
      <c r="C331" s="30" t="s">
        <v>2209</v>
      </c>
      <c r="D331" s="30"/>
      <c r="E331" s="30" t="s">
        <v>2195</v>
      </c>
      <c r="F331" s="31"/>
      <c r="G331" s="30"/>
      <c r="H331" s="30"/>
      <c r="I331" s="30"/>
      <c r="J331" s="30"/>
      <c r="K331" s="30"/>
      <c r="L331" s="30" t="s">
        <v>2181</v>
      </c>
      <c r="M331" s="30" t="s">
        <v>2181</v>
      </c>
      <c r="N331" s="30"/>
      <c r="P331" s="30"/>
      <c r="Q331" s="30"/>
      <c r="R331" s="30"/>
      <c r="S331" s="30"/>
      <c r="T331" s="42" t="s">
        <v>2418</v>
      </c>
      <c r="U331" s="30"/>
      <c r="V331" s="30"/>
      <c r="W331" s="30"/>
      <c r="X331" s="30"/>
      <c r="Y331" s="30"/>
      <c r="Z331" s="30"/>
      <c r="AA331" s="30"/>
      <c r="AB331" s="30"/>
      <c r="AC331" s="30"/>
      <c r="AD331" s="30"/>
      <c r="AE331" s="30"/>
      <c r="AF331" s="30" t="str">
        <f t="shared" si="17"/>
        <v>ANTV112             MIB_F</v>
      </c>
      <c r="AG331" s="30" t="s">
        <v>2189</v>
      </c>
      <c r="AH331">
        <v>3</v>
      </c>
      <c r="AI331">
        <v>219034</v>
      </c>
      <c r="AJ331" t="s">
        <v>1929</v>
      </c>
      <c r="AK331" t="s">
        <v>19</v>
      </c>
      <c r="AL331" t="s">
        <v>765</v>
      </c>
      <c r="AM331" t="s">
        <v>784</v>
      </c>
      <c r="AN331" t="s">
        <v>783</v>
      </c>
      <c r="AO331" t="s">
        <v>785</v>
      </c>
      <c r="AP331">
        <v>4</v>
      </c>
      <c r="AQ331" t="s">
        <v>768</v>
      </c>
      <c r="AR331" t="s">
        <v>49</v>
      </c>
      <c r="AS331" t="s">
        <v>19</v>
      </c>
      <c r="AT331" t="s">
        <v>19</v>
      </c>
      <c r="AU331" t="s">
        <v>249</v>
      </c>
      <c r="AV331" t="s">
        <v>250</v>
      </c>
      <c r="AW331" t="s">
        <v>816</v>
      </c>
      <c r="AX331" t="s">
        <v>817</v>
      </c>
      <c r="AY331" t="s">
        <v>1896</v>
      </c>
      <c r="AZ331" t="s">
        <v>818</v>
      </c>
      <c r="BA331" t="s">
        <v>753</v>
      </c>
      <c r="BB331" t="s">
        <v>19</v>
      </c>
      <c r="BC331" t="s">
        <v>1360</v>
      </c>
      <c r="BD331" t="s">
        <v>49</v>
      </c>
      <c r="BE331" t="s">
        <v>1928</v>
      </c>
      <c r="BF331" t="s">
        <v>1367</v>
      </c>
      <c r="BG331">
        <v>4030</v>
      </c>
      <c r="BH331" t="s">
        <v>1111</v>
      </c>
      <c r="BI331">
        <v>0.5</v>
      </c>
      <c r="BJ331" t="s">
        <v>1897</v>
      </c>
      <c r="BK331" t="s">
        <v>19</v>
      </c>
      <c r="BL331" t="s">
        <v>19</v>
      </c>
      <c r="BM331" t="s">
        <v>19</v>
      </c>
      <c r="BN331" t="s">
        <v>19</v>
      </c>
      <c r="BO331" t="s">
        <v>747</v>
      </c>
      <c r="BP331" t="s">
        <v>750</v>
      </c>
      <c r="BQ331">
        <v>219034</v>
      </c>
    </row>
    <row r="332" spans="1:69" ht="14.45" customHeight="1">
      <c r="A332" s="155"/>
      <c r="B332" s="30"/>
      <c r="C332" s="30" t="s">
        <v>2210</v>
      </c>
      <c r="D332" s="30"/>
      <c r="E332" s="30"/>
      <c r="F332" s="31"/>
      <c r="G332" s="30"/>
      <c r="H332" s="30"/>
      <c r="I332" s="30"/>
      <c r="J332" s="30"/>
      <c r="K332" s="30"/>
      <c r="L332" s="30"/>
      <c r="M332" s="30"/>
      <c r="N332" s="30"/>
      <c r="P332" s="30"/>
      <c r="Q332" s="30"/>
      <c r="R332" s="30"/>
      <c r="S332" s="30"/>
      <c r="T332" s="31"/>
      <c r="U332" s="30"/>
      <c r="V332" s="30"/>
      <c r="W332" s="30"/>
      <c r="X332" s="30"/>
      <c r="Y332" s="30"/>
      <c r="Z332" s="30"/>
      <c r="AA332" s="30"/>
      <c r="AB332" s="30"/>
      <c r="AC332" s="30"/>
      <c r="AD332" s="30"/>
      <c r="AE332" s="30"/>
      <c r="AF332" s="30" t="str">
        <f t="shared" si="17"/>
        <v xml:space="preserve">                    </v>
      </c>
      <c r="AG332" s="30"/>
      <c r="AH332">
        <v>1</v>
      </c>
      <c r="AI332" t="s">
        <v>855</v>
      </c>
    </row>
    <row r="333" spans="1:69" ht="14.45" customHeight="1">
      <c r="A333" s="155"/>
      <c r="B333" s="30"/>
      <c r="C333" s="30" t="s">
        <v>2210</v>
      </c>
      <c r="D333" s="30"/>
      <c r="E333" s="30"/>
      <c r="F333" s="31"/>
      <c r="G333" s="30"/>
      <c r="H333" s="30"/>
      <c r="I333" s="30"/>
      <c r="J333" s="30"/>
      <c r="K333" s="30"/>
      <c r="L333" s="30"/>
      <c r="M333" s="30"/>
      <c r="N333" s="30"/>
      <c r="P333" s="30"/>
      <c r="Q333" s="30"/>
      <c r="R333" s="30"/>
      <c r="S333" s="30"/>
      <c r="T333" s="31"/>
      <c r="U333" s="30"/>
      <c r="V333" s="30"/>
      <c r="W333" s="30"/>
      <c r="X333" s="30"/>
      <c r="Y333" s="30"/>
      <c r="Z333" s="30"/>
      <c r="AA333" s="30"/>
      <c r="AB333" s="30"/>
      <c r="AC333" s="30"/>
      <c r="AD333" s="30"/>
      <c r="AE333" s="30"/>
      <c r="AF333" s="30"/>
      <c r="AG333" s="30"/>
      <c r="AH333">
        <v>2</v>
      </c>
      <c r="AI333" t="s">
        <v>1</v>
      </c>
      <c r="AJ333" t="s">
        <v>856</v>
      </c>
      <c r="AK333" t="s">
        <v>679</v>
      </c>
      <c r="AL333" t="s">
        <v>857</v>
      </c>
      <c r="AN333" t="s">
        <v>1930</v>
      </c>
      <c r="AO333" t="s">
        <v>1074</v>
      </c>
    </row>
    <row r="334" spans="1:69" ht="14.45" customHeight="1">
      <c r="A334" s="155"/>
      <c r="B334" s="30"/>
      <c r="C334" s="30" t="s">
        <v>2210</v>
      </c>
      <c r="D334" s="30"/>
      <c r="E334" s="30"/>
      <c r="F334" s="31"/>
      <c r="G334" s="30"/>
      <c r="H334" s="30"/>
      <c r="I334" s="30"/>
      <c r="J334" s="30"/>
      <c r="K334" s="30"/>
      <c r="L334" s="30"/>
      <c r="M334" s="30"/>
      <c r="N334" s="30"/>
      <c r="P334" s="30"/>
      <c r="Q334" s="30"/>
      <c r="R334" s="30"/>
      <c r="S334" s="30"/>
      <c r="T334" s="31"/>
      <c r="U334" s="30"/>
      <c r="V334" s="30"/>
      <c r="W334" s="30"/>
      <c r="X334" s="30"/>
      <c r="Y334" s="30"/>
      <c r="Z334" s="30"/>
      <c r="AA334" s="30"/>
      <c r="AB334" s="30"/>
      <c r="AC334" s="30"/>
      <c r="AD334" s="30"/>
      <c r="AE334" s="30"/>
      <c r="AF334" s="30" t="str">
        <f t="shared" si="17"/>
        <v>Kurzname            Kurzname</v>
      </c>
      <c r="AG334" s="30"/>
      <c r="AH334">
        <v>0</v>
      </c>
      <c r="AI334" t="s">
        <v>1075</v>
      </c>
      <c r="AJ334" t="s">
        <v>1076</v>
      </c>
      <c r="AK334" t="s">
        <v>1077</v>
      </c>
      <c r="AL334" t="s">
        <v>8</v>
      </c>
      <c r="AM334" t="s">
        <v>8</v>
      </c>
      <c r="AN334" t="s">
        <v>1078</v>
      </c>
      <c r="AO334" t="s">
        <v>9</v>
      </c>
      <c r="AP334" t="s">
        <v>1079</v>
      </c>
      <c r="AQ334" t="s">
        <v>10</v>
      </c>
      <c r="AR334" t="s">
        <v>26</v>
      </c>
      <c r="AS334" t="s">
        <v>1080</v>
      </c>
      <c r="AT334" t="s">
        <v>1077</v>
      </c>
      <c r="AU334" t="s">
        <v>8</v>
      </c>
      <c r="AV334" t="s">
        <v>8</v>
      </c>
      <c r="AW334" t="s">
        <v>1081</v>
      </c>
      <c r="AX334" t="s">
        <v>9</v>
      </c>
      <c r="AY334" t="s">
        <v>1079</v>
      </c>
      <c r="AZ334" t="s">
        <v>10</v>
      </c>
      <c r="BA334" t="s">
        <v>26</v>
      </c>
      <c r="BB334" t="s">
        <v>1080</v>
      </c>
      <c r="BC334" t="s">
        <v>1082</v>
      </c>
      <c r="BD334" t="s">
        <v>1083</v>
      </c>
      <c r="BE334" t="s">
        <v>1084</v>
      </c>
      <c r="BF334" t="s">
        <v>1085</v>
      </c>
      <c r="BG334" t="s">
        <v>1086</v>
      </c>
      <c r="BH334" t="s">
        <v>14</v>
      </c>
      <c r="BI334" t="s">
        <v>1087</v>
      </c>
      <c r="BJ334" t="s">
        <v>1088</v>
      </c>
      <c r="BK334" t="s">
        <v>1</v>
      </c>
      <c r="BL334" t="s">
        <v>1075</v>
      </c>
    </row>
    <row r="335" spans="1:69" ht="14.45" customHeight="1">
      <c r="A335" s="155"/>
      <c r="B335" s="30">
        <f t="shared" si="16"/>
        <v>230001</v>
      </c>
      <c r="C335" s="30" t="s">
        <v>2210</v>
      </c>
      <c r="D335" s="30"/>
      <c r="E335" s="30" t="s">
        <v>2180</v>
      </c>
      <c r="F335" s="31" t="s">
        <v>2183</v>
      </c>
      <c r="G335" s="30" t="s">
        <v>1410</v>
      </c>
      <c r="H335" s="30"/>
      <c r="I335" s="30"/>
      <c r="J335" s="30"/>
      <c r="K335" s="30" t="s">
        <v>2184</v>
      </c>
      <c r="L335" s="30" t="s">
        <v>2187</v>
      </c>
      <c r="M335" s="30" t="s">
        <v>2180</v>
      </c>
      <c r="N335" s="30"/>
      <c r="P335" s="30"/>
      <c r="Q335" s="30"/>
      <c r="R335" s="30"/>
      <c r="S335" s="30"/>
      <c r="T335" s="31"/>
      <c r="U335" s="30"/>
      <c r="V335" s="30"/>
      <c r="W335" s="30"/>
      <c r="X335" s="30"/>
      <c r="Y335" s="30"/>
      <c r="Z335" s="30"/>
      <c r="AA335" s="30"/>
      <c r="AB335" s="30"/>
      <c r="AC335" s="30"/>
      <c r="AD335" s="30"/>
      <c r="AE335" s="30"/>
      <c r="AF335" s="30" t="str">
        <f t="shared" si="17"/>
        <v>SP_ACLIN5           KS_CPR_A</v>
      </c>
      <c r="AG335" s="30" t="s">
        <v>2182</v>
      </c>
      <c r="AH335">
        <v>3</v>
      </c>
      <c r="AI335">
        <v>230001</v>
      </c>
      <c r="AJ335" t="s">
        <v>1931</v>
      </c>
      <c r="AK335" t="s">
        <v>19</v>
      </c>
      <c r="AL335" t="s">
        <v>19</v>
      </c>
      <c r="AM335" t="s">
        <v>1408</v>
      </c>
      <c r="AN335" t="s">
        <v>1409</v>
      </c>
      <c r="AO335" t="s">
        <v>1410</v>
      </c>
      <c r="AP335">
        <v>1</v>
      </c>
      <c r="AQ335" t="s">
        <v>1411</v>
      </c>
      <c r="AR335" t="s">
        <v>19</v>
      </c>
      <c r="AS335" t="s">
        <v>19</v>
      </c>
      <c r="AT335" t="s">
        <v>19</v>
      </c>
      <c r="AU335" t="s">
        <v>96</v>
      </c>
      <c r="AV335" t="s">
        <v>96</v>
      </c>
      <c r="AW335" t="s">
        <v>95</v>
      </c>
      <c r="AX335" t="s">
        <v>97</v>
      </c>
      <c r="AY335">
        <v>5</v>
      </c>
      <c r="AZ335" t="s">
        <v>98</v>
      </c>
      <c r="BA335" t="s">
        <v>35</v>
      </c>
      <c r="BB335" t="s">
        <v>19</v>
      </c>
      <c r="BC335" t="s">
        <v>1932</v>
      </c>
      <c r="BD335" t="s">
        <v>1115</v>
      </c>
      <c r="BE335" t="s">
        <v>19</v>
      </c>
      <c r="BF335" t="s">
        <v>19</v>
      </c>
      <c r="BG335">
        <v>1327</v>
      </c>
      <c r="BH335" t="s">
        <v>1293</v>
      </c>
      <c r="BI335">
        <v>0.35</v>
      </c>
      <c r="BJ335" t="s">
        <v>1412</v>
      </c>
      <c r="BK335" t="s">
        <v>856</v>
      </c>
      <c r="BL335">
        <v>230001</v>
      </c>
    </row>
    <row r="336" spans="1:69" ht="14.45" customHeight="1">
      <c r="A336" s="155"/>
      <c r="B336" s="30">
        <f t="shared" si="16"/>
        <v>230002</v>
      </c>
      <c r="C336" s="30" t="s">
        <v>2210</v>
      </c>
      <c r="D336" s="30"/>
      <c r="E336" s="30" t="s">
        <v>2180</v>
      </c>
      <c r="F336" s="31" t="s">
        <v>2183</v>
      </c>
      <c r="G336" s="30" t="s">
        <v>1489</v>
      </c>
      <c r="H336" s="30"/>
      <c r="I336" s="30"/>
      <c r="J336" s="30"/>
      <c r="K336" s="30" t="s">
        <v>2184</v>
      </c>
      <c r="L336" s="30" t="s">
        <v>2187</v>
      </c>
      <c r="M336" s="30" t="s">
        <v>2180</v>
      </c>
      <c r="N336" s="30"/>
      <c r="P336" s="30"/>
      <c r="Q336" s="30"/>
      <c r="R336" s="30"/>
      <c r="S336" s="30"/>
      <c r="T336" s="31"/>
      <c r="U336" s="30"/>
      <c r="V336" s="30"/>
      <c r="W336" s="30"/>
      <c r="X336" s="30"/>
      <c r="Y336" s="30"/>
      <c r="Z336" s="30"/>
      <c r="AA336" s="30"/>
      <c r="AB336" s="30"/>
      <c r="AC336" s="30"/>
      <c r="AD336" s="30"/>
      <c r="AE336" s="30"/>
      <c r="AF336" s="30" t="str">
        <f t="shared" si="17"/>
        <v>SP_ACLIN3           KS_CPR_A</v>
      </c>
      <c r="AG336" s="30" t="s">
        <v>2182</v>
      </c>
      <c r="AH336">
        <v>3</v>
      </c>
      <c r="AI336">
        <v>230002</v>
      </c>
      <c r="AJ336" t="s">
        <v>1933</v>
      </c>
      <c r="AK336" t="s">
        <v>19</v>
      </c>
      <c r="AL336" t="s">
        <v>19</v>
      </c>
      <c r="AM336" t="s">
        <v>1487</v>
      </c>
      <c r="AN336" t="s">
        <v>1488</v>
      </c>
      <c r="AO336" t="s">
        <v>1489</v>
      </c>
      <c r="AP336">
        <v>1</v>
      </c>
      <c r="AQ336" t="s">
        <v>303</v>
      </c>
      <c r="AR336" t="s">
        <v>19</v>
      </c>
      <c r="AS336" t="s">
        <v>19</v>
      </c>
      <c r="AT336" t="s">
        <v>19</v>
      </c>
      <c r="AU336" t="s">
        <v>96</v>
      </c>
      <c r="AV336" t="s">
        <v>96</v>
      </c>
      <c r="AW336" t="s">
        <v>95</v>
      </c>
      <c r="AX336" t="s">
        <v>97</v>
      </c>
      <c r="AY336">
        <v>8</v>
      </c>
      <c r="AZ336" t="s">
        <v>98</v>
      </c>
      <c r="BA336" t="s">
        <v>35</v>
      </c>
      <c r="BB336" t="s">
        <v>19</v>
      </c>
      <c r="BC336" t="s">
        <v>1490</v>
      </c>
      <c r="BD336" t="s">
        <v>1115</v>
      </c>
      <c r="BE336" t="s">
        <v>19</v>
      </c>
      <c r="BF336" t="s">
        <v>19</v>
      </c>
      <c r="BG336">
        <v>1421</v>
      </c>
      <c r="BH336" t="s">
        <v>1491</v>
      </c>
      <c r="BI336">
        <v>0.35</v>
      </c>
      <c r="BJ336" t="s">
        <v>1492</v>
      </c>
      <c r="BK336" t="s">
        <v>856</v>
      </c>
      <c r="BL336">
        <v>230002</v>
      </c>
    </row>
    <row r="337" spans="1:64" ht="14.45" customHeight="1">
      <c r="A337" s="155"/>
      <c r="B337" s="30"/>
      <c r="C337" s="30" t="s">
        <v>2211</v>
      </c>
      <c r="D337" s="30"/>
      <c r="E337" s="30"/>
      <c r="F337" s="31"/>
      <c r="G337" s="30"/>
      <c r="H337" s="30"/>
      <c r="I337" s="30"/>
      <c r="J337" s="30"/>
      <c r="K337" s="30"/>
      <c r="L337" s="30"/>
      <c r="M337" s="30"/>
      <c r="N337" s="30"/>
      <c r="P337" s="30"/>
      <c r="Q337" s="30"/>
      <c r="R337" s="30"/>
      <c r="S337" s="30"/>
      <c r="T337" s="31"/>
      <c r="U337" s="30"/>
      <c r="V337" s="30"/>
      <c r="W337" s="30"/>
      <c r="X337" s="30"/>
      <c r="Y337" s="30"/>
      <c r="Z337" s="30"/>
      <c r="AA337" s="30"/>
      <c r="AB337" s="30"/>
      <c r="AC337" s="30"/>
      <c r="AD337" s="30"/>
      <c r="AE337" s="30"/>
      <c r="AF337" s="30" t="str">
        <f t="shared" si="17"/>
        <v xml:space="preserve">                    </v>
      </c>
      <c r="AH337">
        <v>1</v>
      </c>
      <c r="AI337" t="s">
        <v>858</v>
      </c>
    </row>
    <row r="338" spans="1:64" ht="14.45" customHeight="1">
      <c r="A338" s="155"/>
      <c r="B338" s="30"/>
      <c r="C338" s="30" t="s">
        <v>2211</v>
      </c>
      <c r="D338" s="30"/>
      <c r="E338" s="30"/>
      <c r="F338" s="31"/>
      <c r="G338" s="30"/>
      <c r="H338" s="30"/>
      <c r="I338" s="30"/>
      <c r="J338" s="30"/>
      <c r="K338" s="30"/>
      <c r="L338" s="30"/>
      <c r="M338" s="30"/>
      <c r="N338" s="30"/>
      <c r="P338" s="30"/>
      <c r="Q338" s="30"/>
      <c r="R338" s="30"/>
      <c r="S338" s="30"/>
      <c r="T338" s="31"/>
      <c r="U338" s="30"/>
      <c r="V338" s="30"/>
      <c r="W338" s="30"/>
      <c r="X338" s="30"/>
      <c r="Y338" s="30"/>
      <c r="Z338" s="30"/>
      <c r="AA338" s="30"/>
      <c r="AB338" s="30"/>
      <c r="AC338" s="30"/>
      <c r="AD338" s="30"/>
      <c r="AE338" s="30"/>
      <c r="AF338" s="30"/>
      <c r="AH338">
        <v>2</v>
      </c>
      <c r="AI338" t="s">
        <v>1</v>
      </c>
      <c r="AJ338" t="s">
        <v>859</v>
      </c>
      <c r="AK338" t="s">
        <v>3</v>
      </c>
      <c r="AL338" t="s">
        <v>860</v>
      </c>
      <c r="AN338" t="s">
        <v>1934</v>
      </c>
      <c r="AO338" t="s">
        <v>1074</v>
      </c>
    </row>
    <row r="339" spans="1:64" ht="14.45" customHeight="1">
      <c r="A339" s="155"/>
      <c r="B339" s="30"/>
      <c r="C339" s="30" t="s">
        <v>2211</v>
      </c>
      <c r="D339" s="30"/>
      <c r="E339" s="30"/>
      <c r="F339" s="31"/>
      <c r="G339" s="30"/>
      <c r="H339" s="30"/>
      <c r="I339" s="30"/>
      <c r="J339" s="30"/>
      <c r="K339" s="30"/>
      <c r="L339" s="30"/>
      <c r="M339" s="30"/>
      <c r="N339" s="30"/>
      <c r="P339" s="30"/>
      <c r="Q339" s="30"/>
      <c r="R339" s="30"/>
      <c r="S339" s="30"/>
      <c r="T339" s="31"/>
      <c r="U339" s="30"/>
      <c r="V339" s="30"/>
      <c r="W339" s="30"/>
      <c r="X339" s="30"/>
      <c r="Y339" s="30"/>
      <c r="Z339" s="30"/>
      <c r="AA339" s="30"/>
      <c r="AB339" s="30"/>
      <c r="AC339" s="30"/>
      <c r="AD339" s="30"/>
      <c r="AE339" s="30"/>
      <c r="AF339" s="30" t="str">
        <f t="shared" ref="AF339:AF402" si="35" xml:space="preserve"> AO339 &amp; REPT(" ",20-LEN(AO339)) &amp; AX339</f>
        <v>Kurzname            Kurzname</v>
      </c>
      <c r="AG339" s="30"/>
      <c r="AH339">
        <v>0</v>
      </c>
      <c r="AI339" t="s">
        <v>1075</v>
      </c>
      <c r="AJ339" t="s">
        <v>1076</v>
      </c>
      <c r="AK339" t="s">
        <v>1077</v>
      </c>
      <c r="AL339" t="s">
        <v>8</v>
      </c>
      <c r="AM339" t="s">
        <v>8</v>
      </c>
      <c r="AN339" t="s">
        <v>1078</v>
      </c>
      <c r="AO339" t="s">
        <v>9</v>
      </c>
      <c r="AP339" t="s">
        <v>1079</v>
      </c>
      <c r="AQ339" t="s">
        <v>10</v>
      </c>
      <c r="AR339" t="s">
        <v>26</v>
      </c>
      <c r="AS339" t="s">
        <v>1080</v>
      </c>
      <c r="AT339" t="s">
        <v>1077</v>
      </c>
      <c r="AU339" t="s">
        <v>8</v>
      </c>
      <c r="AV339" t="s">
        <v>8</v>
      </c>
      <c r="AW339" t="s">
        <v>1081</v>
      </c>
      <c r="AX339" t="s">
        <v>9</v>
      </c>
      <c r="AY339" t="s">
        <v>1079</v>
      </c>
      <c r="AZ339" t="s">
        <v>10</v>
      </c>
      <c r="BA339" t="s">
        <v>26</v>
      </c>
      <c r="BB339" t="s">
        <v>1080</v>
      </c>
      <c r="BC339" t="s">
        <v>1082</v>
      </c>
      <c r="BD339" t="s">
        <v>1083</v>
      </c>
      <c r="BE339" t="s">
        <v>1084</v>
      </c>
      <c r="BF339" t="s">
        <v>1085</v>
      </c>
      <c r="BG339" t="s">
        <v>1086</v>
      </c>
      <c r="BH339" t="s">
        <v>14</v>
      </c>
      <c r="BI339" t="s">
        <v>1087</v>
      </c>
      <c r="BJ339" t="s">
        <v>1088</v>
      </c>
      <c r="BK339" t="s">
        <v>1</v>
      </c>
      <c r="BL339" t="s">
        <v>1075</v>
      </c>
    </row>
    <row r="340" spans="1:64" ht="14.45" customHeight="1">
      <c r="A340" s="155"/>
      <c r="B340" s="30">
        <f t="shared" ref="B340:B401" si="36">AI340</f>
        <v>267001</v>
      </c>
      <c r="C340" s="30" t="s">
        <v>2211</v>
      </c>
      <c r="D340" s="30"/>
      <c r="E340" s="30" t="s">
        <v>2180</v>
      </c>
      <c r="F340" s="31"/>
      <c r="G340" s="30"/>
      <c r="H340" s="30"/>
      <c r="I340" s="30"/>
      <c r="J340" s="30"/>
      <c r="K340" s="30"/>
      <c r="L340" s="30" t="s">
        <v>2181</v>
      </c>
      <c r="M340" s="30" t="s">
        <v>2181</v>
      </c>
      <c r="N340" s="30"/>
      <c r="P340" s="30"/>
      <c r="Q340" s="30"/>
      <c r="R340" s="30"/>
      <c r="S340" s="30"/>
      <c r="T340" s="31">
        <v>980017978</v>
      </c>
      <c r="U340" s="30"/>
      <c r="V340" s="30"/>
      <c r="W340" s="30"/>
      <c r="X340" s="30"/>
      <c r="Y340" s="30"/>
      <c r="Z340" s="30"/>
      <c r="AA340" s="30"/>
      <c r="AB340" s="30"/>
      <c r="AC340" s="30"/>
      <c r="AD340" s="30"/>
      <c r="AE340" s="30"/>
      <c r="AF340" s="30" t="str">
        <f t="shared" si="35"/>
        <v>KOMBI_B             MIB_P</v>
      </c>
      <c r="AG340" s="30" t="s">
        <v>2182</v>
      </c>
      <c r="AH340">
        <v>3</v>
      </c>
      <c r="AI340">
        <v>267001</v>
      </c>
      <c r="AJ340" t="s">
        <v>1935</v>
      </c>
      <c r="AK340" t="s">
        <v>19</v>
      </c>
      <c r="AL340" t="s">
        <v>149</v>
      </c>
      <c r="AM340" t="s">
        <v>149</v>
      </c>
      <c r="AN340" t="s">
        <v>865</v>
      </c>
      <c r="AO340" t="s">
        <v>866</v>
      </c>
      <c r="AP340">
        <v>2</v>
      </c>
      <c r="AQ340" t="s">
        <v>867</v>
      </c>
      <c r="AR340" t="s">
        <v>863</v>
      </c>
      <c r="AS340" t="s">
        <v>19</v>
      </c>
      <c r="AT340" t="s">
        <v>19</v>
      </c>
      <c r="AU340" t="s">
        <v>249</v>
      </c>
      <c r="AV340" t="s">
        <v>250</v>
      </c>
      <c r="AW340" t="s">
        <v>873</v>
      </c>
      <c r="AX340" t="s">
        <v>874</v>
      </c>
      <c r="AY340">
        <v>1</v>
      </c>
      <c r="AZ340" t="s">
        <v>875</v>
      </c>
      <c r="BA340" t="s">
        <v>863</v>
      </c>
      <c r="BB340" t="s">
        <v>19</v>
      </c>
      <c r="BC340" t="s">
        <v>1936</v>
      </c>
      <c r="BD340" t="s">
        <v>1937</v>
      </c>
      <c r="BE340" t="s">
        <v>19</v>
      </c>
      <c r="BF340" t="s">
        <v>19</v>
      </c>
      <c r="BG340">
        <v>1061</v>
      </c>
      <c r="BH340" t="s">
        <v>1098</v>
      </c>
      <c r="BI340">
        <v>0.75</v>
      </c>
      <c r="BJ340" t="s">
        <v>1938</v>
      </c>
      <c r="BK340" t="s">
        <v>859</v>
      </c>
      <c r="BL340">
        <v>267001</v>
      </c>
    </row>
    <row r="341" spans="1:64" ht="14.45" customHeight="1">
      <c r="A341" s="155"/>
      <c r="B341" s="30">
        <f t="shared" si="36"/>
        <v>267002</v>
      </c>
      <c r="C341" s="30" t="s">
        <v>2211</v>
      </c>
      <c r="D341" s="30"/>
      <c r="E341" s="30" t="s">
        <v>2180</v>
      </c>
      <c r="F341" s="31"/>
      <c r="G341" s="30"/>
      <c r="H341" s="30"/>
      <c r="I341" s="30"/>
      <c r="J341" s="30"/>
      <c r="K341" s="30"/>
      <c r="L341" s="30" t="s">
        <v>2181</v>
      </c>
      <c r="M341" s="30" t="s">
        <v>2181</v>
      </c>
      <c r="N341" s="30"/>
      <c r="P341" s="30"/>
      <c r="Q341" s="30"/>
      <c r="R341" s="30"/>
      <c r="S341" s="30"/>
      <c r="T341" s="31">
        <v>980017978</v>
      </c>
      <c r="U341" s="30"/>
      <c r="V341" s="30"/>
      <c r="W341" s="30"/>
      <c r="X341" s="30"/>
      <c r="Y341" s="30"/>
      <c r="Z341" s="30"/>
      <c r="AA341" s="30"/>
      <c r="AB341" s="30"/>
      <c r="AC341" s="30"/>
      <c r="AD341" s="30"/>
      <c r="AE341" s="30"/>
      <c r="AF341" s="30" t="str">
        <f t="shared" si="35"/>
        <v>KOMBI_B             MIB_P</v>
      </c>
      <c r="AG341" s="30" t="s">
        <v>2182</v>
      </c>
      <c r="AH341">
        <v>3</v>
      </c>
      <c r="AI341">
        <v>267002</v>
      </c>
      <c r="AJ341" t="s">
        <v>1939</v>
      </c>
      <c r="AK341" t="s">
        <v>19</v>
      </c>
      <c r="AL341" t="s">
        <v>149</v>
      </c>
      <c r="AM341" t="s">
        <v>149</v>
      </c>
      <c r="AN341" t="s">
        <v>865</v>
      </c>
      <c r="AO341" t="s">
        <v>866</v>
      </c>
      <c r="AP341">
        <v>1</v>
      </c>
      <c r="AQ341" t="s">
        <v>867</v>
      </c>
      <c r="AR341" t="s">
        <v>863</v>
      </c>
      <c r="AS341" t="s">
        <v>19</v>
      </c>
      <c r="AT341" t="s">
        <v>19</v>
      </c>
      <c r="AU341" t="s">
        <v>249</v>
      </c>
      <c r="AV341" t="s">
        <v>250</v>
      </c>
      <c r="AW341" t="s">
        <v>873</v>
      </c>
      <c r="AX341" t="s">
        <v>874</v>
      </c>
      <c r="AY341">
        <v>2</v>
      </c>
      <c r="AZ341" t="s">
        <v>875</v>
      </c>
      <c r="BA341" t="s">
        <v>863</v>
      </c>
      <c r="BB341" t="s">
        <v>19</v>
      </c>
      <c r="BC341" t="s">
        <v>1936</v>
      </c>
      <c r="BD341" t="s">
        <v>1937</v>
      </c>
      <c r="BE341" t="s">
        <v>19</v>
      </c>
      <c r="BF341" t="s">
        <v>19</v>
      </c>
      <c r="BG341">
        <v>1061</v>
      </c>
      <c r="BH341" t="s">
        <v>1098</v>
      </c>
      <c r="BI341">
        <v>0.75</v>
      </c>
      <c r="BJ341" t="s">
        <v>1940</v>
      </c>
      <c r="BK341" t="s">
        <v>859</v>
      </c>
      <c r="BL341">
        <v>267002</v>
      </c>
    </row>
    <row r="342" spans="1:64" ht="14.45" customHeight="1">
      <c r="A342" s="155"/>
      <c r="B342" s="30">
        <f t="shared" si="36"/>
        <v>267003</v>
      </c>
      <c r="C342" s="30" t="s">
        <v>2211</v>
      </c>
      <c r="D342" s="30"/>
      <c r="E342" s="30" t="s">
        <v>2180</v>
      </c>
      <c r="F342" s="31"/>
      <c r="G342" s="30"/>
      <c r="H342" s="30"/>
      <c r="I342" s="30"/>
      <c r="J342" s="30"/>
      <c r="K342" s="30"/>
      <c r="L342" s="30" t="s">
        <v>2180</v>
      </c>
      <c r="M342" s="30" t="s">
        <v>2180</v>
      </c>
      <c r="N342" s="30"/>
      <c r="P342" s="30"/>
      <c r="Q342" s="30"/>
      <c r="R342" s="30"/>
      <c r="S342" s="30"/>
      <c r="T342" s="31"/>
      <c r="U342" s="30"/>
      <c r="V342" s="30"/>
      <c r="W342" s="30"/>
      <c r="X342" s="30"/>
      <c r="Y342" s="30"/>
      <c r="Z342" s="30"/>
      <c r="AA342" s="30"/>
      <c r="AB342" s="30"/>
      <c r="AC342" s="30"/>
      <c r="AD342" s="30"/>
      <c r="AE342" s="30"/>
      <c r="AF342" s="30" t="str">
        <f t="shared" si="35"/>
        <v>KOMBI_A             MIB_E</v>
      </c>
      <c r="AG342" s="30" t="s">
        <v>2182</v>
      </c>
      <c r="AH342">
        <v>3</v>
      </c>
      <c r="AI342">
        <v>267003</v>
      </c>
      <c r="AJ342" t="s">
        <v>1941</v>
      </c>
      <c r="AK342" t="s">
        <v>19</v>
      </c>
      <c r="AL342" t="s">
        <v>149</v>
      </c>
      <c r="AM342" t="s">
        <v>149</v>
      </c>
      <c r="AN342" t="s">
        <v>148</v>
      </c>
      <c r="AO342" t="s">
        <v>150</v>
      </c>
      <c r="AP342">
        <v>16</v>
      </c>
      <c r="AQ342" t="s">
        <v>151</v>
      </c>
      <c r="AR342" t="s">
        <v>41</v>
      </c>
      <c r="AS342" t="s">
        <v>19</v>
      </c>
      <c r="AT342" t="s">
        <v>19</v>
      </c>
      <c r="AU342" t="s">
        <v>249</v>
      </c>
      <c r="AV342" t="s">
        <v>250</v>
      </c>
      <c r="AW342" t="s">
        <v>272</v>
      </c>
      <c r="AX342" t="s">
        <v>273</v>
      </c>
      <c r="AY342">
        <v>3</v>
      </c>
      <c r="AZ342" t="s">
        <v>264</v>
      </c>
      <c r="BA342" t="s">
        <v>41</v>
      </c>
      <c r="BB342" t="s">
        <v>19</v>
      </c>
      <c r="BC342" t="s">
        <v>1942</v>
      </c>
      <c r="BD342" t="s">
        <v>1115</v>
      </c>
      <c r="BE342" t="s">
        <v>19</v>
      </c>
      <c r="BF342" t="s">
        <v>19</v>
      </c>
      <c r="BG342">
        <v>1042</v>
      </c>
      <c r="BH342" t="s">
        <v>1728</v>
      </c>
      <c r="BI342">
        <v>0.13</v>
      </c>
      <c r="BJ342" t="s">
        <v>1943</v>
      </c>
      <c r="BK342" t="s">
        <v>859</v>
      </c>
      <c r="BL342">
        <v>267003</v>
      </c>
    </row>
    <row r="343" spans="1:64" ht="14.45" customHeight="1">
      <c r="A343" s="155"/>
      <c r="B343" s="30"/>
      <c r="C343" s="30" t="s">
        <v>2212</v>
      </c>
      <c r="D343" s="30"/>
      <c r="E343" s="30"/>
      <c r="F343" s="31"/>
      <c r="G343" s="30"/>
      <c r="H343" s="30"/>
      <c r="I343" s="30"/>
      <c r="J343" s="30"/>
      <c r="K343" s="30"/>
      <c r="L343" s="30"/>
      <c r="M343" s="30"/>
      <c r="N343" s="30"/>
      <c r="P343" s="30"/>
      <c r="Q343" s="30"/>
      <c r="R343" s="30"/>
      <c r="S343" s="30"/>
      <c r="T343" s="31"/>
      <c r="U343" s="30"/>
      <c r="V343" s="30"/>
      <c r="W343" s="30"/>
      <c r="X343" s="30"/>
      <c r="Y343" s="30"/>
      <c r="Z343" s="30"/>
      <c r="AA343" s="30"/>
      <c r="AB343" s="30"/>
      <c r="AC343" s="30"/>
      <c r="AD343" s="30"/>
      <c r="AE343" s="30"/>
      <c r="AF343" s="30" t="str">
        <f t="shared" si="35"/>
        <v xml:space="preserve">                    </v>
      </c>
      <c r="AH343">
        <v>1</v>
      </c>
      <c r="AI343" t="s">
        <v>877</v>
      </c>
    </row>
    <row r="344" spans="1:64" ht="14.45" customHeight="1">
      <c r="A344" s="155"/>
      <c r="B344" s="30"/>
      <c r="C344" s="30" t="s">
        <v>2212</v>
      </c>
      <c r="D344" s="30"/>
      <c r="E344" s="30"/>
      <c r="F344" s="31"/>
      <c r="G344" s="30"/>
      <c r="H344" s="30"/>
      <c r="I344" s="30"/>
      <c r="J344" s="30"/>
      <c r="K344" s="30"/>
      <c r="L344" s="30"/>
      <c r="M344" s="30"/>
      <c r="N344" s="30"/>
      <c r="P344" s="30"/>
      <c r="Q344" s="30"/>
      <c r="R344" s="30"/>
      <c r="S344" s="30"/>
      <c r="T344" s="31"/>
      <c r="U344" s="30"/>
      <c r="V344" s="30"/>
      <c r="W344" s="30"/>
      <c r="X344" s="30"/>
      <c r="Y344" s="30"/>
      <c r="Z344" s="30"/>
      <c r="AA344" s="30"/>
      <c r="AB344" s="30"/>
      <c r="AC344" s="30"/>
      <c r="AD344" s="30"/>
      <c r="AE344" s="32">
        <v>1</v>
      </c>
      <c r="AF344" s="30"/>
      <c r="AH344">
        <v>2</v>
      </c>
      <c r="AI344" t="s">
        <v>1</v>
      </c>
      <c r="AJ344" t="s">
        <v>878</v>
      </c>
      <c r="AK344" t="s">
        <v>3</v>
      </c>
      <c r="AL344" t="s">
        <v>879</v>
      </c>
      <c r="AN344" t="s">
        <v>1944</v>
      </c>
      <c r="AO344" t="s">
        <v>1074</v>
      </c>
    </row>
    <row r="345" spans="1:64" ht="14.45" customHeight="1">
      <c r="A345" s="155"/>
      <c r="B345" s="30"/>
      <c r="C345" s="30" t="s">
        <v>2212</v>
      </c>
      <c r="D345" s="30"/>
      <c r="E345" s="30"/>
      <c r="F345" s="31"/>
      <c r="G345" s="30"/>
      <c r="H345" s="30"/>
      <c r="I345" s="30"/>
      <c r="J345" s="30"/>
      <c r="K345" s="30"/>
      <c r="L345" s="30"/>
      <c r="M345" s="30"/>
      <c r="N345" s="30"/>
      <c r="P345" s="30"/>
      <c r="Q345" s="30"/>
      <c r="R345" s="30"/>
      <c r="S345" s="30"/>
      <c r="T345" s="31"/>
      <c r="U345" s="30"/>
      <c r="V345" s="30"/>
      <c r="W345" s="30"/>
      <c r="X345" s="30"/>
      <c r="Y345" s="30"/>
      <c r="Z345" s="30"/>
      <c r="AA345" s="30"/>
      <c r="AB345" s="30"/>
      <c r="AC345" s="30"/>
      <c r="AD345" s="30"/>
      <c r="AE345" s="30"/>
      <c r="AF345" s="30" t="str">
        <f t="shared" si="35"/>
        <v>Kurzname            Kurzname</v>
      </c>
      <c r="AG345" s="30"/>
      <c r="AH345">
        <v>0</v>
      </c>
      <c r="AI345" t="s">
        <v>1075</v>
      </c>
      <c r="AJ345" t="s">
        <v>1076</v>
      </c>
      <c r="AK345" t="s">
        <v>1077</v>
      </c>
      <c r="AL345" t="s">
        <v>8</v>
      </c>
      <c r="AM345" t="s">
        <v>8</v>
      </c>
      <c r="AN345" t="s">
        <v>1078</v>
      </c>
      <c r="AO345" t="s">
        <v>9</v>
      </c>
      <c r="AP345" t="s">
        <v>1079</v>
      </c>
      <c r="AQ345" t="s">
        <v>10</v>
      </c>
      <c r="AR345" t="s">
        <v>26</v>
      </c>
      <c r="AS345" t="s">
        <v>1080</v>
      </c>
      <c r="AT345" t="s">
        <v>1077</v>
      </c>
      <c r="AU345" t="s">
        <v>8</v>
      </c>
      <c r="AV345" t="s">
        <v>8</v>
      </c>
      <c r="AW345" t="s">
        <v>1081</v>
      </c>
      <c r="AX345" t="s">
        <v>9</v>
      </c>
      <c r="AY345" t="s">
        <v>1079</v>
      </c>
      <c r="AZ345" t="s">
        <v>10</v>
      </c>
      <c r="BA345" t="s">
        <v>26</v>
      </c>
      <c r="BB345" t="s">
        <v>1080</v>
      </c>
      <c r="BC345" t="s">
        <v>1082</v>
      </c>
      <c r="BD345" t="s">
        <v>1083</v>
      </c>
      <c r="BE345" t="s">
        <v>1084</v>
      </c>
      <c r="BF345" t="s">
        <v>1085</v>
      </c>
      <c r="BG345" t="s">
        <v>1086</v>
      </c>
      <c r="BH345" t="s">
        <v>14</v>
      </c>
      <c r="BI345" t="s">
        <v>1087</v>
      </c>
      <c r="BJ345" t="s">
        <v>1088</v>
      </c>
      <c r="BK345" t="s">
        <v>1</v>
      </c>
      <c r="BL345" t="s">
        <v>1075</v>
      </c>
    </row>
    <row r="346" spans="1:64" ht="14.45" customHeight="1">
      <c r="A346" s="155"/>
      <c r="B346" s="30">
        <f t="shared" si="36"/>
        <v>295001</v>
      </c>
      <c r="C346" s="30" t="s">
        <v>2212</v>
      </c>
      <c r="D346" s="30"/>
      <c r="E346" s="30" t="s">
        <v>2180</v>
      </c>
      <c r="F346" s="31"/>
      <c r="G346" s="30"/>
      <c r="H346" s="30"/>
      <c r="I346" s="30"/>
      <c r="J346" s="30"/>
      <c r="K346" s="30"/>
      <c r="L346" s="30" t="s">
        <v>2181</v>
      </c>
      <c r="M346" s="30" t="s">
        <v>2181</v>
      </c>
      <c r="N346" s="30"/>
      <c r="P346" s="30"/>
      <c r="Q346" s="30"/>
      <c r="R346" s="30"/>
      <c r="S346" s="30"/>
      <c r="T346" s="31">
        <v>980017976</v>
      </c>
      <c r="U346" s="30"/>
      <c r="V346" s="30"/>
      <c r="W346" s="30"/>
      <c r="X346" s="30"/>
      <c r="Y346" s="30"/>
      <c r="Z346" s="30"/>
      <c r="AA346" s="30"/>
      <c r="AB346" s="30"/>
      <c r="AC346" s="30"/>
      <c r="AD346" s="30"/>
      <c r="AE346" s="30"/>
      <c r="AF346" s="30" t="str">
        <f t="shared" si="35"/>
        <v>MIB_H               KS_CPM_B</v>
      </c>
      <c r="AG346" s="30" t="s">
        <v>2182</v>
      </c>
      <c r="AH346">
        <v>3</v>
      </c>
      <c r="AI346">
        <v>295001</v>
      </c>
      <c r="AJ346" t="s">
        <v>1945</v>
      </c>
      <c r="AK346" t="s">
        <v>19</v>
      </c>
      <c r="AL346" t="s">
        <v>249</v>
      </c>
      <c r="AM346" t="s">
        <v>250</v>
      </c>
      <c r="AN346" t="s">
        <v>884</v>
      </c>
      <c r="AO346" t="s">
        <v>885</v>
      </c>
      <c r="AP346">
        <v>4</v>
      </c>
      <c r="AQ346" t="s">
        <v>886</v>
      </c>
      <c r="AR346" t="s">
        <v>50</v>
      </c>
      <c r="AS346" t="s">
        <v>19</v>
      </c>
      <c r="AT346" t="s">
        <v>19</v>
      </c>
      <c r="AU346" t="s">
        <v>81</v>
      </c>
      <c r="AV346" t="s">
        <v>81</v>
      </c>
      <c r="AW346" t="s">
        <v>880</v>
      </c>
      <c r="AX346" t="s">
        <v>881</v>
      </c>
      <c r="AY346">
        <v>1</v>
      </c>
      <c r="AZ346" t="s">
        <v>882</v>
      </c>
      <c r="BA346" t="s">
        <v>50</v>
      </c>
      <c r="BB346" t="s">
        <v>19</v>
      </c>
      <c r="BC346" t="s">
        <v>1090</v>
      </c>
      <c r="BD346" t="s">
        <v>1091</v>
      </c>
      <c r="BE346" t="s">
        <v>1946</v>
      </c>
      <c r="BF346" t="s">
        <v>1105</v>
      </c>
      <c r="BG346">
        <v>1161</v>
      </c>
      <c r="BH346" t="s">
        <v>1106</v>
      </c>
      <c r="BI346">
        <v>0.14000000000000001</v>
      </c>
      <c r="BJ346" t="s">
        <v>1947</v>
      </c>
      <c r="BK346" t="s">
        <v>878</v>
      </c>
      <c r="BL346">
        <v>295001</v>
      </c>
    </row>
    <row r="347" spans="1:64" ht="14.45" customHeight="1">
      <c r="A347" s="155"/>
      <c r="B347" s="30">
        <f t="shared" si="36"/>
        <v>295002</v>
      </c>
      <c r="C347" s="30" t="s">
        <v>2212</v>
      </c>
      <c r="D347" s="30"/>
      <c r="E347" s="30" t="s">
        <v>2180</v>
      </c>
      <c r="F347" s="31"/>
      <c r="G347" s="30"/>
      <c r="H347" s="30"/>
      <c r="I347" s="30"/>
      <c r="J347" s="30"/>
      <c r="K347" s="30"/>
      <c r="L347" s="30" t="s">
        <v>2181</v>
      </c>
      <c r="M347" s="30" t="s">
        <v>2181</v>
      </c>
      <c r="N347" s="30"/>
      <c r="P347" s="30"/>
      <c r="Q347" s="30"/>
      <c r="R347" s="30"/>
      <c r="S347" s="30"/>
      <c r="T347" s="31">
        <v>980017976</v>
      </c>
      <c r="U347" s="30"/>
      <c r="V347" s="30"/>
      <c r="W347" s="30"/>
      <c r="X347" s="30"/>
      <c r="Y347" s="30"/>
      <c r="Z347" s="30"/>
      <c r="AA347" s="30"/>
      <c r="AB347" s="30"/>
      <c r="AC347" s="30"/>
      <c r="AD347" s="30"/>
      <c r="AE347" s="30"/>
      <c r="AF347" s="30" t="str">
        <f t="shared" si="35"/>
        <v>MIB_H               KS_CPM_B</v>
      </c>
      <c r="AG347" s="30" t="s">
        <v>2182</v>
      </c>
      <c r="AH347">
        <v>3</v>
      </c>
      <c r="AI347">
        <v>295002</v>
      </c>
      <c r="AJ347" t="s">
        <v>1948</v>
      </c>
      <c r="AK347" t="s">
        <v>19</v>
      </c>
      <c r="AL347" t="s">
        <v>249</v>
      </c>
      <c r="AM347" t="s">
        <v>250</v>
      </c>
      <c r="AN347" t="s">
        <v>884</v>
      </c>
      <c r="AO347" t="s">
        <v>885</v>
      </c>
      <c r="AP347" t="s">
        <v>1109</v>
      </c>
      <c r="AQ347" t="s">
        <v>886</v>
      </c>
      <c r="AR347" t="s">
        <v>38</v>
      </c>
      <c r="AS347" t="s">
        <v>19</v>
      </c>
      <c r="AT347" t="s">
        <v>19</v>
      </c>
      <c r="AU347" t="s">
        <v>81</v>
      </c>
      <c r="AV347" t="s">
        <v>81</v>
      </c>
      <c r="AW347" t="s">
        <v>880</v>
      </c>
      <c r="AX347" t="s">
        <v>881</v>
      </c>
      <c r="AY347" t="s">
        <v>1109</v>
      </c>
      <c r="AZ347" t="s">
        <v>882</v>
      </c>
      <c r="BA347" t="s">
        <v>38</v>
      </c>
      <c r="BB347" t="s">
        <v>19</v>
      </c>
      <c r="BC347" t="s">
        <v>1090</v>
      </c>
      <c r="BD347" t="s">
        <v>49</v>
      </c>
      <c r="BE347" t="s">
        <v>1946</v>
      </c>
      <c r="BF347" t="s">
        <v>1110</v>
      </c>
      <c r="BG347">
        <v>1161</v>
      </c>
      <c r="BH347" t="s">
        <v>1111</v>
      </c>
      <c r="BI347">
        <v>1</v>
      </c>
      <c r="BJ347" t="s">
        <v>1949</v>
      </c>
      <c r="BK347" t="s">
        <v>878</v>
      </c>
      <c r="BL347">
        <v>295002</v>
      </c>
    </row>
    <row r="348" spans="1:64" ht="14.45" customHeight="1">
      <c r="A348" s="155"/>
      <c r="B348" s="30">
        <f t="shared" si="36"/>
        <v>295003</v>
      </c>
      <c r="C348" s="30" t="s">
        <v>2212</v>
      </c>
      <c r="D348" s="30"/>
      <c r="E348" s="30" t="s">
        <v>2180</v>
      </c>
      <c r="F348" s="31"/>
      <c r="G348" s="30"/>
      <c r="H348" s="30"/>
      <c r="I348" s="30"/>
      <c r="J348" s="30"/>
      <c r="K348" s="30"/>
      <c r="L348" s="30" t="s">
        <v>2181</v>
      </c>
      <c r="M348" s="30" t="s">
        <v>2181</v>
      </c>
      <c r="N348" s="30"/>
      <c r="P348" s="30"/>
      <c r="Q348" s="30"/>
      <c r="R348" s="30"/>
      <c r="S348" s="30"/>
      <c r="T348" s="31">
        <v>980017976</v>
      </c>
      <c r="U348" s="30"/>
      <c r="V348" s="30"/>
      <c r="W348" s="30"/>
      <c r="X348" s="30"/>
      <c r="Y348" s="30"/>
      <c r="Z348" s="30"/>
      <c r="AA348" s="30"/>
      <c r="AB348" s="30"/>
      <c r="AC348" s="30"/>
      <c r="AD348" s="30"/>
      <c r="AE348" s="30"/>
      <c r="AF348" s="30" t="str">
        <f t="shared" si="35"/>
        <v>MIB_H               KS_CPM_B</v>
      </c>
      <c r="AG348" s="30" t="s">
        <v>2182</v>
      </c>
      <c r="AH348">
        <v>3</v>
      </c>
      <c r="AI348">
        <v>295003</v>
      </c>
      <c r="AJ348" t="s">
        <v>1950</v>
      </c>
      <c r="AK348" t="s">
        <v>19</v>
      </c>
      <c r="AL348" t="s">
        <v>249</v>
      </c>
      <c r="AM348" t="s">
        <v>250</v>
      </c>
      <c r="AN348" t="s">
        <v>884</v>
      </c>
      <c r="AO348" t="s">
        <v>885</v>
      </c>
      <c r="AP348">
        <v>3</v>
      </c>
      <c r="AQ348" t="s">
        <v>886</v>
      </c>
      <c r="AR348" t="s">
        <v>50</v>
      </c>
      <c r="AS348" t="s">
        <v>19</v>
      </c>
      <c r="AT348" t="s">
        <v>19</v>
      </c>
      <c r="AU348" t="s">
        <v>81</v>
      </c>
      <c r="AV348" t="s">
        <v>81</v>
      </c>
      <c r="AW348" t="s">
        <v>880</v>
      </c>
      <c r="AX348" t="s">
        <v>881</v>
      </c>
      <c r="AY348">
        <v>2</v>
      </c>
      <c r="AZ348" t="s">
        <v>882</v>
      </c>
      <c r="BA348" t="s">
        <v>50</v>
      </c>
      <c r="BB348" t="s">
        <v>19</v>
      </c>
      <c r="BC348" t="s">
        <v>1090</v>
      </c>
      <c r="BD348" t="s">
        <v>1091</v>
      </c>
      <c r="BE348" t="s">
        <v>1946</v>
      </c>
      <c r="BF348" t="s">
        <v>1101</v>
      </c>
      <c r="BG348">
        <v>1161</v>
      </c>
      <c r="BH348" t="s">
        <v>1102</v>
      </c>
      <c r="BI348">
        <v>0.14000000000000001</v>
      </c>
      <c r="BJ348" t="s">
        <v>1951</v>
      </c>
      <c r="BK348" t="s">
        <v>878</v>
      </c>
      <c r="BL348">
        <v>295003</v>
      </c>
    </row>
    <row r="349" spans="1:64" ht="14.45" customHeight="1">
      <c r="A349" s="155"/>
      <c r="B349" s="30">
        <f t="shared" si="36"/>
        <v>295004</v>
      </c>
      <c r="C349" s="30" t="s">
        <v>2212</v>
      </c>
      <c r="D349" s="30"/>
      <c r="E349" s="30" t="s">
        <v>2180</v>
      </c>
      <c r="F349" s="31"/>
      <c r="G349" s="30"/>
      <c r="H349" s="30"/>
      <c r="I349" s="30"/>
      <c r="J349" s="30"/>
      <c r="K349" s="30"/>
      <c r="L349" s="30" t="s">
        <v>2181</v>
      </c>
      <c r="M349" s="30" t="s">
        <v>2181</v>
      </c>
      <c r="N349" s="30"/>
      <c r="P349" s="30"/>
      <c r="Q349" s="30"/>
      <c r="R349" s="30"/>
      <c r="S349" s="30"/>
      <c r="T349" s="31">
        <v>980017976</v>
      </c>
      <c r="U349" s="30"/>
      <c r="V349" s="30"/>
      <c r="W349" s="30"/>
      <c r="X349" s="30"/>
      <c r="Y349" s="30"/>
      <c r="Z349" s="30"/>
      <c r="AA349" s="30"/>
      <c r="AB349" s="30"/>
      <c r="AC349" s="30"/>
      <c r="AD349" s="30"/>
      <c r="AE349" s="30"/>
      <c r="AF349" s="30" t="str">
        <f t="shared" si="35"/>
        <v>MIB_H               KS_CPM_B</v>
      </c>
      <c r="AG349" s="30" t="s">
        <v>2182</v>
      </c>
      <c r="AH349">
        <v>3</v>
      </c>
      <c r="AI349">
        <v>295004</v>
      </c>
      <c r="AJ349" t="s">
        <v>1952</v>
      </c>
      <c r="AK349" t="s">
        <v>19</v>
      </c>
      <c r="AL349" t="s">
        <v>249</v>
      </c>
      <c r="AM349" t="s">
        <v>250</v>
      </c>
      <c r="AN349" t="s">
        <v>884</v>
      </c>
      <c r="AO349" t="s">
        <v>885</v>
      </c>
      <c r="AP349">
        <v>1</v>
      </c>
      <c r="AQ349" t="s">
        <v>886</v>
      </c>
      <c r="AR349" t="s">
        <v>50</v>
      </c>
      <c r="AS349" t="s">
        <v>19</v>
      </c>
      <c r="AT349" t="s">
        <v>19</v>
      </c>
      <c r="AU349" t="s">
        <v>81</v>
      </c>
      <c r="AV349" t="s">
        <v>81</v>
      </c>
      <c r="AW349" t="s">
        <v>880</v>
      </c>
      <c r="AX349" t="s">
        <v>881</v>
      </c>
      <c r="AY349">
        <v>4</v>
      </c>
      <c r="AZ349" t="s">
        <v>882</v>
      </c>
      <c r="BA349" t="s">
        <v>50</v>
      </c>
      <c r="BB349" t="s">
        <v>19</v>
      </c>
      <c r="BC349" t="s">
        <v>1090</v>
      </c>
      <c r="BD349" t="s">
        <v>1091</v>
      </c>
      <c r="BE349" t="s">
        <v>1946</v>
      </c>
      <c r="BF349" t="s">
        <v>1093</v>
      </c>
      <c r="BG349">
        <v>1161</v>
      </c>
      <c r="BH349" t="s">
        <v>1094</v>
      </c>
      <c r="BI349">
        <v>0.14000000000000001</v>
      </c>
      <c r="BJ349" t="s">
        <v>1953</v>
      </c>
      <c r="BK349" t="s">
        <v>878</v>
      </c>
      <c r="BL349">
        <v>295004</v>
      </c>
    </row>
    <row r="350" spans="1:64" ht="14.45" customHeight="1">
      <c r="A350" s="155"/>
      <c r="B350" s="30">
        <f t="shared" si="36"/>
        <v>295005</v>
      </c>
      <c r="C350" s="30" t="s">
        <v>2212</v>
      </c>
      <c r="D350" s="30"/>
      <c r="E350" s="30" t="s">
        <v>2180</v>
      </c>
      <c r="F350" s="31"/>
      <c r="G350" s="30"/>
      <c r="H350" s="30"/>
      <c r="I350" s="30"/>
      <c r="J350" s="30"/>
      <c r="K350" s="30"/>
      <c r="L350" s="30" t="s">
        <v>2181</v>
      </c>
      <c r="M350" s="30" t="s">
        <v>2181</v>
      </c>
      <c r="N350" s="30"/>
      <c r="P350" s="30"/>
      <c r="Q350" s="30"/>
      <c r="R350" s="30"/>
      <c r="S350" s="30"/>
      <c r="T350" s="31">
        <v>980017976</v>
      </c>
      <c r="U350" s="30"/>
      <c r="V350" s="30"/>
      <c r="W350" s="30"/>
      <c r="X350" s="30"/>
      <c r="Y350" s="30"/>
      <c r="Z350" s="30"/>
      <c r="AA350" s="30"/>
      <c r="AB350" s="30"/>
      <c r="AC350" s="30"/>
      <c r="AD350" s="30"/>
      <c r="AE350" s="30"/>
      <c r="AF350" s="30" t="str">
        <f t="shared" si="35"/>
        <v>MIB_H               KS_CPM_B</v>
      </c>
      <c r="AG350" s="30" t="s">
        <v>2182</v>
      </c>
      <c r="AH350">
        <v>3</v>
      </c>
      <c r="AI350">
        <v>295005</v>
      </c>
      <c r="AJ350" t="s">
        <v>1954</v>
      </c>
      <c r="AK350" t="s">
        <v>19</v>
      </c>
      <c r="AL350" t="s">
        <v>249</v>
      </c>
      <c r="AM350" t="s">
        <v>250</v>
      </c>
      <c r="AN350" t="s">
        <v>884</v>
      </c>
      <c r="AO350" t="s">
        <v>885</v>
      </c>
      <c r="AP350">
        <v>2</v>
      </c>
      <c r="AQ350" t="s">
        <v>886</v>
      </c>
      <c r="AR350" t="s">
        <v>50</v>
      </c>
      <c r="AS350" t="s">
        <v>19</v>
      </c>
      <c r="AT350" t="s">
        <v>19</v>
      </c>
      <c r="AU350" t="s">
        <v>81</v>
      </c>
      <c r="AV350" t="s">
        <v>81</v>
      </c>
      <c r="AW350" t="s">
        <v>880</v>
      </c>
      <c r="AX350" t="s">
        <v>881</v>
      </c>
      <c r="AY350">
        <v>3</v>
      </c>
      <c r="AZ350" t="s">
        <v>882</v>
      </c>
      <c r="BA350" t="s">
        <v>50</v>
      </c>
      <c r="BB350" t="s">
        <v>19</v>
      </c>
      <c r="BC350" t="s">
        <v>1090</v>
      </c>
      <c r="BD350" t="s">
        <v>1091</v>
      </c>
      <c r="BE350" t="s">
        <v>1946</v>
      </c>
      <c r="BF350" t="s">
        <v>1097</v>
      </c>
      <c r="BG350">
        <v>1161</v>
      </c>
      <c r="BH350" t="s">
        <v>1098</v>
      </c>
      <c r="BI350">
        <v>0.14000000000000001</v>
      </c>
      <c r="BJ350" t="s">
        <v>1955</v>
      </c>
      <c r="BK350" t="s">
        <v>878</v>
      </c>
      <c r="BL350">
        <v>295005</v>
      </c>
    </row>
    <row r="351" spans="1:64" ht="14.45" customHeight="1">
      <c r="A351" s="155"/>
      <c r="B351" s="30"/>
      <c r="C351" s="30" t="s">
        <v>2213</v>
      </c>
      <c r="D351" s="30"/>
      <c r="E351" s="30"/>
      <c r="F351" s="31"/>
      <c r="G351" s="30"/>
      <c r="H351" s="30"/>
      <c r="I351" s="30"/>
      <c r="J351" s="30"/>
      <c r="K351" s="30"/>
      <c r="L351" s="30"/>
      <c r="M351" s="30"/>
      <c r="N351" s="30"/>
      <c r="P351" s="30"/>
      <c r="Q351" s="30"/>
      <c r="R351" s="30"/>
      <c r="S351" s="30"/>
      <c r="T351" s="31"/>
      <c r="U351" s="30"/>
      <c r="V351" s="30"/>
      <c r="W351" s="30"/>
      <c r="X351" s="30"/>
      <c r="Y351" s="30"/>
      <c r="Z351" s="30"/>
      <c r="AA351" s="30"/>
      <c r="AB351" s="30"/>
      <c r="AC351" s="30"/>
      <c r="AD351" s="30"/>
      <c r="AE351" s="30"/>
      <c r="AF351" s="30" t="str">
        <f t="shared" si="35"/>
        <v xml:space="preserve">                    </v>
      </c>
      <c r="AH351">
        <v>1</v>
      </c>
      <c r="AI351" t="s">
        <v>888</v>
      </c>
    </row>
    <row r="352" spans="1:64" ht="14.45" customHeight="1">
      <c r="A352" s="155" t="s">
        <v>2340</v>
      </c>
      <c r="B352" s="30"/>
      <c r="C352" s="30" t="s">
        <v>2213</v>
      </c>
      <c r="D352" s="30"/>
      <c r="E352" s="30"/>
      <c r="F352" s="31"/>
      <c r="G352" s="30"/>
      <c r="H352" s="30"/>
      <c r="I352" s="30"/>
      <c r="J352" s="30"/>
      <c r="K352" s="30"/>
      <c r="L352" s="30"/>
      <c r="M352" s="30"/>
      <c r="N352" s="30"/>
      <c r="P352" s="30"/>
      <c r="Q352" s="30"/>
      <c r="R352" s="30"/>
      <c r="S352" s="30"/>
      <c r="T352" s="31"/>
      <c r="U352" s="30"/>
      <c r="V352" s="30"/>
      <c r="W352" s="30"/>
      <c r="X352" s="30"/>
      <c r="Y352" s="30"/>
      <c r="Z352" s="30"/>
      <c r="AA352" s="30"/>
      <c r="AB352" s="30"/>
      <c r="AC352" s="30"/>
      <c r="AD352" s="30"/>
      <c r="AE352" s="30"/>
      <c r="AF352" s="30"/>
      <c r="AH352">
        <v>2</v>
      </c>
      <c r="AI352" t="s">
        <v>1</v>
      </c>
      <c r="AJ352" t="s">
        <v>889</v>
      </c>
      <c r="AK352" t="s">
        <v>890</v>
      </c>
      <c r="AL352" s="153" t="s">
        <v>2341</v>
      </c>
      <c r="AN352" s="153" t="s">
        <v>1803</v>
      </c>
      <c r="AO352" t="s">
        <v>1074</v>
      </c>
    </row>
    <row r="353" spans="1:64" ht="14.45" customHeight="1">
      <c r="A353" s="155"/>
      <c r="B353" s="30"/>
      <c r="C353" s="30" t="s">
        <v>2213</v>
      </c>
      <c r="D353" s="30"/>
      <c r="E353" s="30"/>
      <c r="F353" s="31"/>
      <c r="G353" s="30"/>
      <c r="H353" s="30"/>
      <c r="I353" s="30"/>
      <c r="J353" s="30"/>
      <c r="K353" s="30"/>
      <c r="L353" s="30"/>
      <c r="M353" s="30"/>
      <c r="N353" s="30"/>
      <c r="P353" s="30"/>
      <c r="Q353" s="30"/>
      <c r="R353" s="30"/>
      <c r="S353" s="30"/>
      <c r="T353" s="31"/>
      <c r="U353" s="30"/>
      <c r="V353" s="30"/>
      <c r="W353" s="30"/>
      <c r="X353" s="30"/>
      <c r="Y353" s="30"/>
      <c r="Z353" s="30"/>
      <c r="AA353" s="30"/>
      <c r="AB353" s="30"/>
      <c r="AC353" s="30"/>
      <c r="AD353" s="30"/>
      <c r="AE353" s="30"/>
      <c r="AF353" s="30" t="str">
        <f t="shared" si="35"/>
        <v>Kurzname            Kurzname</v>
      </c>
      <c r="AG353" s="30"/>
      <c r="AH353">
        <v>0</v>
      </c>
      <c r="AI353" t="s">
        <v>1075</v>
      </c>
      <c r="AJ353" t="s">
        <v>1076</v>
      </c>
      <c r="AK353" t="s">
        <v>1077</v>
      </c>
      <c r="AL353" t="s">
        <v>8</v>
      </c>
      <c r="AM353" t="s">
        <v>8</v>
      </c>
      <c r="AN353" t="s">
        <v>1078</v>
      </c>
      <c r="AO353" t="s">
        <v>9</v>
      </c>
      <c r="AP353" t="s">
        <v>1079</v>
      </c>
      <c r="AQ353" t="s">
        <v>10</v>
      </c>
      <c r="AR353" t="s">
        <v>26</v>
      </c>
      <c r="AS353" t="s">
        <v>1080</v>
      </c>
      <c r="AT353" t="s">
        <v>1077</v>
      </c>
      <c r="AU353" t="s">
        <v>8</v>
      </c>
      <c r="AV353" t="s">
        <v>8</v>
      </c>
      <c r="AW353" t="s">
        <v>1081</v>
      </c>
      <c r="AX353" t="s">
        <v>9</v>
      </c>
      <c r="AY353" t="s">
        <v>1079</v>
      </c>
      <c r="AZ353" t="s">
        <v>10</v>
      </c>
      <c r="BA353" t="s">
        <v>26</v>
      </c>
      <c r="BB353" t="s">
        <v>1080</v>
      </c>
      <c r="BC353" t="s">
        <v>1082</v>
      </c>
      <c r="BD353" t="s">
        <v>1083</v>
      </c>
      <c r="BE353" t="s">
        <v>1084</v>
      </c>
      <c r="BF353" t="s">
        <v>1085</v>
      </c>
      <c r="BG353" t="s">
        <v>1086</v>
      </c>
      <c r="BH353" t="s">
        <v>14</v>
      </c>
      <c r="BI353" t="s">
        <v>1087</v>
      </c>
      <c r="BJ353" t="s">
        <v>1088</v>
      </c>
      <c r="BK353" t="s">
        <v>1</v>
      </c>
      <c r="BL353" t="s">
        <v>1075</v>
      </c>
    </row>
    <row r="354" spans="1:64" ht="14.45" customHeight="1">
      <c r="A354" s="155" t="s">
        <v>2340</v>
      </c>
      <c r="B354" s="30">
        <f t="shared" si="36"/>
        <v>321001</v>
      </c>
      <c r="C354" s="30" t="s">
        <v>2213</v>
      </c>
      <c r="D354" s="30"/>
      <c r="E354" s="30" t="s">
        <v>2185</v>
      </c>
      <c r="F354" s="31" t="s">
        <v>2186</v>
      </c>
      <c r="G354" s="30" t="s">
        <v>1143</v>
      </c>
      <c r="H354" s="30"/>
      <c r="I354" s="30"/>
      <c r="J354" s="30"/>
      <c r="K354" s="30" t="s">
        <v>2184</v>
      </c>
      <c r="L354" s="30" t="s">
        <v>2187</v>
      </c>
      <c r="M354" s="30" t="s">
        <v>2180</v>
      </c>
      <c r="N354" s="30"/>
      <c r="P354" s="30"/>
      <c r="Q354" s="30"/>
      <c r="R354" s="30"/>
      <c r="S354" s="30"/>
      <c r="T354" s="31"/>
      <c r="U354" s="30"/>
      <c r="V354" s="30"/>
      <c r="W354" s="30"/>
      <c r="X354" s="30"/>
      <c r="Y354" s="30"/>
      <c r="Z354" s="30"/>
      <c r="AA354" s="30"/>
      <c r="AB354" s="30"/>
      <c r="AC354" s="30"/>
      <c r="AD354" s="30"/>
      <c r="AE354" s="30" t="s">
        <v>2188</v>
      </c>
      <c r="AF354" s="30" t="str">
        <f t="shared" si="35"/>
        <v>SP_CANHK            HUD3P</v>
      </c>
      <c r="AG354" s="30" t="s">
        <v>2189</v>
      </c>
      <c r="AH354">
        <v>3</v>
      </c>
      <c r="AI354">
        <v>321001</v>
      </c>
      <c r="AJ354" t="s">
        <v>1956</v>
      </c>
      <c r="AK354" t="s">
        <v>19</v>
      </c>
      <c r="AL354" t="s">
        <v>19</v>
      </c>
      <c r="AM354" t="s">
        <v>1141</v>
      </c>
      <c r="AN354" t="s">
        <v>1142</v>
      </c>
      <c r="AO354" t="s">
        <v>1143</v>
      </c>
      <c r="AP354">
        <v>1</v>
      </c>
      <c r="AQ354" t="s">
        <v>295</v>
      </c>
      <c r="AR354" t="s">
        <v>19</v>
      </c>
      <c r="AS354" t="s">
        <v>19</v>
      </c>
      <c r="AT354" t="s">
        <v>19</v>
      </c>
      <c r="AU354" t="s">
        <v>893</v>
      </c>
      <c r="AV354" t="s">
        <v>893</v>
      </c>
      <c r="AW354" t="s">
        <v>892</v>
      </c>
      <c r="AX354" t="s">
        <v>894</v>
      </c>
      <c r="AY354">
        <v>1</v>
      </c>
      <c r="AZ354" t="s">
        <v>895</v>
      </c>
      <c r="BA354" t="s">
        <v>46</v>
      </c>
      <c r="BB354" t="s">
        <v>19</v>
      </c>
      <c r="BC354" t="s">
        <v>1135</v>
      </c>
      <c r="BD354" t="s">
        <v>1115</v>
      </c>
      <c r="BE354" t="s">
        <v>1957</v>
      </c>
      <c r="BF354" t="s">
        <v>1144</v>
      </c>
      <c r="BG354" s="153">
        <v>547</v>
      </c>
      <c r="BH354" t="s">
        <v>1145</v>
      </c>
      <c r="BI354">
        <v>0.35</v>
      </c>
      <c r="BJ354" t="s">
        <v>1146</v>
      </c>
      <c r="BK354" t="s">
        <v>889</v>
      </c>
      <c r="BL354">
        <v>321001</v>
      </c>
    </row>
    <row r="355" spans="1:64" ht="14.45" customHeight="1">
      <c r="A355" s="155" t="s">
        <v>2340</v>
      </c>
      <c r="B355" s="30">
        <f t="shared" si="36"/>
        <v>321002</v>
      </c>
      <c r="C355" s="30" t="s">
        <v>2213</v>
      </c>
      <c r="D355" s="30"/>
      <c r="E355" s="30" t="s">
        <v>2185</v>
      </c>
      <c r="F355" s="31" t="s">
        <v>2186</v>
      </c>
      <c r="G355" s="30" t="s">
        <v>1134</v>
      </c>
      <c r="H355" s="30"/>
      <c r="I355" s="30"/>
      <c r="J355" s="30"/>
      <c r="K355" s="30" t="s">
        <v>2184</v>
      </c>
      <c r="L355" s="30" t="s">
        <v>2187</v>
      </c>
      <c r="M355" s="30" t="s">
        <v>2180</v>
      </c>
      <c r="N355" s="30"/>
      <c r="P355" s="30"/>
      <c r="Q355" s="30"/>
      <c r="R355" s="30"/>
      <c r="S355" s="30"/>
      <c r="T355" s="31"/>
      <c r="U355" s="30"/>
      <c r="V355" s="30"/>
      <c r="W355" s="30"/>
      <c r="X355" s="30"/>
      <c r="Y355" s="30"/>
      <c r="Z355" s="30"/>
      <c r="AA355" s="30"/>
      <c r="AB355" s="30"/>
      <c r="AC355" s="30"/>
      <c r="AD355" s="30"/>
      <c r="AE355" s="30" t="s">
        <v>2188</v>
      </c>
      <c r="AF355" s="30" t="str">
        <f t="shared" si="35"/>
        <v>SP_CANLK            HUD3P</v>
      </c>
      <c r="AG355" s="30" t="s">
        <v>2189</v>
      </c>
      <c r="AH355">
        <v>3</v>
      </c>
      <c r="AI355">
        <v>321002</v>
      </c>
      <c r="AJ355" t="s">
        <v>1958</v>
      </c>
      <c r="AK355" t="s">
        <v>19</v>
      </c>
      <c r="AL355" t="s">
        <v>19</v>
      </c>
      <c r="AM355" t="s">
        <v>1132</v>
      </c>
      <c r="AN355" t="s">
        <v>1133</v>
      </c>
      <c r="AO355" t="s">
        <v>1134</v>
      </c>
      <c r="AP355">
        <v>1</v>
      </c>
      <c r="AQ355" t="s">
        <v>295</v>
      </c>
      <c r="AR355" t="s">
        <v>19</v>
      </c>
      <c r="AS355" t="s">
        <v>19</v>
      </c>
      <c r="AT355" t="s">
        <v>19</v>
      </c>
      <c r="AU355" t="s">
        <v>893</v>
      </c>
      <c r="AV355" t="s">
        <v>893</v>
      </c>
      <c r="AW355" t="s">
        <v>892</v>
      </c>
      <c r="AX355" t="s">
        <v>894</v>
      </c>
      <c r="AY355">
        <v>2</v>
      </c>
      <c r="AZ355" t="s">
        <v>895</v>
      </c>
      <c r="BA355" t="s">
        <v>46</v>
      </c>
      <c r="BB355" t="s">
        <v>19</v>
      </c>
      <c r="BC355" t="s">
        <v>1135</v>
      </c>
      <c r="BD355" t="s">
        <v>1115</v>
      </c>
      <c r="BE355" t="s">
        <v>1957</v>
      </c>
      <c r="BF355" t="s">
        <v>1137</v>
      </c>
      <c r="BG355" s="153">
        <v>547</v>
      </c>
      <c r="BH355" t="s">
        <v>1138</v>
      </c>
      <c r="BI355">
        <v>0.35</v>
      </c>
      <c r="BJ355" t="s">
        <v>1139</v>
      </c>
      <c r="BK355" t="s">
        <v>889</v>
      </c>
      <c r="BL355">
        <v>321002</v>
      </c>
    </row>
    <row r="356" spans="1:64" ht="14.45" customHeight="1">
      <c r="A356" s="155" t="s">
        <v>2340</v>
      </c>
      <c r="B356" s="30">
        <f t="shared" si="36"/>
        <v>321003</v>
      </c>
      <c r="C356" s="30" t="s">
        <v>2213</v>
      </c>
      <c r="D356" s="30"/>
      <c r="E356" s="30" t="s">
        <v>2180</v>
      </c>
      <c r="F356" s="31"/>
      <c r="G356" s="30"/>
      <c r="H356" s="30"/>
      <c r="I356" s="30"/>
      <c r="J356" s="30"/>
      <c r="K356" s="30"/>
      <c r="L356" s="30" t="s">
        <v>2180</v>
      </c>
      <c r="M356" s="30" t="s">
        <v>2180</v>
      </c>
      <c r="N356" s="30"/>
      <c r="P356" s="30"/>
      <c r="Q356" s="30"/>
      <c r="R356" s="30"/>
      <c r="S356" s="30"/>
      <c r="T356" s="31"/>
      <c r="U356" s="30"/>
      <c r="V356" s="30"/>
      <c r="W356" s="30"/>
      <c r="X356" s="30"/>
      <c r="Y356" s="30"/>
      <c r="Z356" s="30"/>
      <c r="AA356" s="30"/>
      <c r="AB356" s="30"/>
      <c r="AC356" s="30"/>
      <c r="AD356" s="30"/>
      <c r="AE356" s="30"/>
      <c r="AF356" s="30" t="str">
        <f t="shared" si="35"/>
        <v>STO51A              HUD3P</v>
      </c>
      <c r="AG356" s="30" t="s">
        <v>2182</v>
      </c>
      <c r="AH356">
        <v>3</v>
      </c>
      <c r="AI356">
        <v>321003</v>
      </c>
      <c r="AJ356" t="s">
        <v>1959</v>
      </c>
      <c r="AK356" t="s">
        <v>19</v>
      </c>
      <c r="AL356" t="s">
        <v>171</v>
      </c>
      <c r="AM356" t="s">
        <v>171</v>
      </c>
      <c r="AN356" t="s">
        <v>170</v>
      </c>
      <c r="AO356" t="s">
        <v>172</v>
      </c>
      <c r="AP356" t="s">
        <v>1875</v>
      </c>
      <c r="AQ356" t="s">
        <v>173</v>
      </c>
      <c r="AR356" t="s">
        <v>42</v>
      </c>
      <c r="AS356" t="s">
        <v>19</v>
      </c>
      <c r="AT356" t="s">
        <v>19</v>
      </c>
      <c r="AU356" t="s">
        <v>893</v>
      </c>
      <c r="AV356" t="s">
        <v>893</v>
      </c>
      <c r="AW356" t="s">
        <v>892</v>
      </c>
      <c r="AX356" t="s">
        <v>894</v>
      </c>
      <c r="AY356">
        <v>5</v>
      </c>
      <c r="AZ356" t="s">
        <v>895</v>
      </c>
      <c r="BA356" t="s">
        <v>46</v>
      </c>
      <c r="BB356" t="s">
        <v>19</v>
      </c>
      <c r="BC356" t="s">
        <v>1960</v>
      </c>
      <c r="BD356" t="s">
        <v>1115</v>
      </c>
      <c r="BE356" t="s">
        <v>19</v>
      </c>
      <c r="BF356" t="s">
        <v>19</v>
      </c>
      <c r="BG356" s="153">
        <v>867</v>
      </c>
      <c r="BH356" t="s">
        <v>1266</v>
      </c>
      <c r="BI356">
        <v>0.35</v>
      </c>
      <c r="BJ356" t="s">
        <v>1961</v>
      </c>
      <c r="BK356" t="s">
        <v>889</v>
      </c>
      <c r="BL356">
        <v>321003</v>
      </c>
    </row>
    <row r="357" spans="1:64" ht="14.45" customHeight="1">
      <c r="A357" s="155" t="s">
        <v>2340</v>
      </c>
      <c r="B357" s="30">
        <f t="shared" si="36"/>
        <v>321004</v>
      </c>
      <c r="C357" s="30" t="s">
        <v>2213</v>
      </c>
      <c r="D357" s="30"/>
      <c r="E357" s="30" t="s">
        <v>2180</v>
      </c>
      <c r="F357" s="31"/>
      <c r="G357" s="30"/>
      <c r="H357" s="30"/>
      <c r="I357" s="30"/>
      <c r="J357" s="30"/>
      <c r="K357" s="30"/>
      <c r="L357" s="30" t="s">
        <v>2180</v>
      </c>
      <c r="M357" s="30" t="s">
        <v>2180</v>
      </c>
      <c r="N357" s="30"/>
      <c r="P357" s="30"/>
      <c r="Q357" s="30"/>
      <c r="R357" s="30"/>
      <c r="S357" s="30"/>
      <c r="T357" s="31"/>
      <c r="U357" s="30"/>
      <c r="V357" s="30"/>
      <c r="W357" s="30"/>
      <c r="X357" s="30"/>
      <c r="Y357" s="30"/>
      <c r="Z357" s="30"/>
      <c r="AA357" s="30"/>
      <c r="AB357" s="30"/>
      <c r="AC357" s="30"/>
      <c r="AD357" s="30"/>
      <c r="AE357" s="195" t="s">
        <v>2379</v>
      </c>
      <c r="AF357" s="30" t="str">
        <f t="shared" si="35"/>
        <v>HUD3P               KS_CPL_A</v>
      </c>
      <c r="AG357" s="30" t="s">
        <v>2182</v>
      </c>
      <c r="AH357">
        <v>3</v>
      </c>
      <c r="AI357">
        <v>321004</v>
      </c>
      <c r="AJ357" t="s">
        <v>1962</v>
      </c>
      <c r="AK357" t="s">
        <v>19</v>
      </c>
      <c r="AL357" t="s">
        <v>893</v>
      </c>
      <c r="AM357" t="s">
        <v>893</v>
      </c>
      <c r="AN357" t="s">
        <v>892</v>
      </c>
      <c r="AO357" t="s">
        <v>894</v>
      </c>
      <c r="AP357">
        <v>6</v>
      </c>
      <c r="AQ357" t="s">
        <v>895</v>
      </c>
      <c r="AR357" t="s">
        <v>41</v>
      </c>
      <c r="AS357" t="s">
        <v>19</v>
      </c>
      <c r="AT357" t="s">
        <v>19</v>
      </c>
      <c r="AU357" t="s">
        <v>55</v>
      </c>
      <c r="AV357" t="s">
        <v>55</v>
      </c>
      <c r="AW357" t="s">
        <v>54</v>
      </c>
      <c r="AX357" t="s">
        <v>56</v>
      </c>
      <c r="AY357">
        <v>10</v>
      </c>
      <c r="AZ357" t="s">
        <v>57</v>
      </c>
      <c r="BA357" t="s">
        <v>40</v>
      </c>
      <c r="BB357" t="s">
        <v>19</v>
      </c>
      <c r="BC357" t="s">
        <v>1414</v>
      </c>
      <c r="BD357" t="s">
        <v>1115</v>
      </c>
      <c r="BE357" t="s">
        <v>1963</v>
      </c>
      <c r="BF357" t="s">
        <v>1416</v>
      </c>
      <c r="BG357" s="153">
        <v>1076</v>
      </c>
      <c r="BH357" t="s">
        <v>1236</v>
      </c>
      <c r="BI357">
        <v>0.13</v>
      </c>
      <c r="BJ357" t="s">
        <v>1964</v>
      </c>
      <c r="BK357" t="s">
        <v>889</v>
      </c>
      <c r="BL357">
        <v>321004</v>
      </c>
    </row>
    <row r="358" spans="1:64" ht="14.45" customHeight="1">
      <c r="A358" s="155" t="s">
        <v>2340</v>
      </c>
      <c r="B358" s="30">
        <f t="shared" si="36"/>
        <v>321005</v>
      </c>
      <c r="C358" s="30" t="s">
        <v>2213</v>
      </c>
      <c r="D358" s="30"/>
      <c r="E358" s="30" t="s">
        <v>2180</v>
      </c>
      <c r="F358" s="31"/>
      <c r="G358" s="30"/>
      <c r="H358" s="30"/>
      <c r="I358" s="30"/>
      <c r="J358" s="30"/>
      <c r="K358" s="30"/>
      <c r="L358" s="30" t="s">
        <v>2180</v>
      </c>
      <c r="M358" s="30" t="s">
        <v>2180</v>
      </c>
      <c r="N358" s="30"/>
      <c r="P358" s="30"/>
      <c r="Q358" s="30"/>
      <c r="R358" s="30"/>
      <c r="S358" s="30"/>
      <c r="T358" s="31"/>
      <c r="U358" s="30"/>
      <c r="V358" s="30"/>
      <c r="W358" s="30"/>
      <c r="X358" s="30"/>
      <c r="Y358" s="30"/>
      <c r="Z358" s="30"/>
      <c r="AA358" s="30"/>
      <c r="AB358" s="30"/>
      <c r="AC358" s="30"/>
      <c r="AD358" s="30"/>
      <c r="AE358" s="195" t="s">
        <v>2379</v>
      </c>
      <c r="AF358" s="30" t="str">
        <f t="shared" si="35"/>
        <v>HUD3P               KS_CPL_A</v>
      </c>
      <c r="AG358" s="30" t="s">
        <v>2182</v>
      </c>
      <c r="AH358">
        <v>3</v>
      </c>
      <c r="AI358">
        <v>321005</v>
      </c>
      <c r="AJ358" t="s">
        <v>1965</v>
      </c>
      <c r="AK358" t="s">
        <v>19</v>
      </c>
      <c r="AL358" t="s">
        <v>893</v>
      </c>
      <c r="AM358" t="s">
        <v>893</v>
      </c>
      <c r="AN358" t="s">
        <v>892</v>
      </c>
      <c r="AO358" t="s">
        <v>894</v>
      </c>
      <c r="AP358">
        <v>7</v>
      </c>
      <c r="AQ358" t="s">
        <v>895</v>
      </c>
      <c r="AR358" t="s">
        <v>41</v>
      </c>
      <c r="AS358" t="s">
        <v>19</v>
      </c>
      <c r="AT358" t="s">
        <v>19</v>
      </c>
      <c r="AU358" t="s">
        <v>55</v>
      </c>
      <c r="AV358" t="s">
        <v>55</v>
      </c>
      <c r="AW358" t="s">
        <v>54</v>
      </c>
      <c r="AX358" t="s">
        <v>56</v>
      </c>
      <c r="AY358">
        <v>11</v>
      </c>
      <c r="AZ358" t="s">
        <v>57</v>
      </c>
      <c r="BA358" t="s">
        <v>40</v>
      </c>
      <c r="BB358" t="s">
        <v>19</v>
      </c>
      <c r="BC358" t="s">
        <v>1414</v>
      </c>
      <c r="BD358" t="s">
        <v>1115</v>
      </c>
      <c r="BE358" t="s">
        <v>1963</v>
      </c>
      <c r="BF358" t="s">
        <v>1097</v>
      </c>
      <c r="BG358" s="153">
        <v>1076</v>
      </c>
      <c r="BH358" t="s">
        <v>1098</v>
      </c>
      <c r="BI358">
        <v>0.13</v>
      </c>
      <c r="BJ358" t="s">
        <v>1966</v>
      </c>
      <c r="BK358" t="s">
        <v>889</v>
      </c>
      <c r="BL358">
        <v>321005</v>
      </c>
    </row>
    <row r="359" spans="1:64" ht="14.45" customHeight="1">
      <c r="A359" s="155" t="s">
        <v>2340</v>
      </c>
      <c r="B359" s="30">
        <f t="shared" si="36"/>
        <v>321006</v>
      </c>
      <c r="C359" s="30" t="s">
        <v>2213</v>
      </c>
      <c r="D359" s="30"/>
      <c r="E359" s="30" t="s">
        <v>2180</v>
      </c>
      <c r="F359" s="31" t="s">
        <v>2183</v>
      </c>
      <c r="G359" s="30" t="s">
        <v>1240</v>
      </c>
      <c r="H359" s="30"/>
      <c r="I359" s="30"/>
      <c r="J359" s="30"/>
      <c r="K359" s="30" t="s">
        <v>2184</v>
      </c>
      <c r="L359" s="30" t="s">
        <v>2180</v>
      </c>
      <c r="M359" s="30" t="s">
        <v>2187</v>
      </c>
      <c r="N359" s="30"/>
      <c r="P359" s="30"/>
      <c r="Q359" s="30"/>
      <c r="R359" s="30"/>
      <c r="S359" s="30"/>
      <c r="T359" s="31"/>
      <c r="U359" s="30"/>
      <c r="V359" s="30"/>
      <c r="W359" s="30"/>
      <c r="X359" s="30"/>
      <c r="Y359" s="30"/>
      <c r="Z359" s="30"/>
      <c r="AA359" s="30"/>
      <c r="AB359" s="30"/>
      <c r="AC359" s="30"/>
      <c r="AD359" s="30"/>
      <c r="AE359" s="30"/>
      <c r="AF359" s="30" t="str">
        <f t="shared" si="35"/>
        <v>HUD3P               SP_MB31_B2</v>
      </c>
      <c r="AG359" s="30" t="s">
        <v>2182</v>
      </c>
      <c r="AH359">
        <v>3</v>
      </c>
      <c r="AI359">
        <v>321006</v>
      </c>
      <c r="AJ359" t="s">
        <v>1967</v>
      </c>
      <c r="AK359" t="s">
        <v>19</v>
      </c>
      <c r="AL359" t="s">
        <v>893</v>
      </c>
      <c r="AM359" t="s">
        <v>893</v>
      </c>
      <c r="AN359" t="s">
        <v>892</v>
      </c>
      <c r="AO359" t="s">
        <v>894</v>
      </c>
      <c r="AP359">
        <v>10</v>
      </c>
      <c r="AQ359" t="s">
        <v>895</v>
      </c>
      <c r="AR359" t="s">
        <v>46</v>
      </c>
      <c r="AS359" t="s">
        <v>19</v>
      </c>
      <c r="AT359" t="s">
        <v>19</v>
      </c>
      <c r="AU359" t="s">
        <v>19</v>
      </c>
      <c r="AV359" t="s">
        <v>1239</v>
      </c>
      <c r="AW359">
        <v>213</v>
      </c>
      <c r="AX359" t="s">
        <v>1240</v>
      </c>
      <c r="AY359">
        <v>1</v>
      </c>
      <c r="AZ359" t="s">
        <v>1241</v>
      </c>
      <c r="BA359" t="s">
        <v>19</v>
      </c>
      <c r="BB359" t="s">
        <v>19</v>
      </c>
      <c r="BC359" t="s">
        <v>1287</v>
      </c>
      <c r="BD359" t="s">
        <v>1115</v>
      </c>
      <c r="BE359" t="s">
        <v>19</v>
      </c>
      <c r="BF359" t="s">
        <v>19</v>
      </c>
      <c r="BG359" s="153">
        <v>465</v>
      </c>
      <c r="BH359" t="s">
        <v>1094</v>
      </c>
      <c r="BI359">
        <v>0.35</v>
      </c>
      <c r="BJ359" t="s">
        <v>1122</v>
      </c>
      <c r="BK359" t="s">
        <v>889</v>
      </c>
      <c r="BL359">
        <v>321006</v>
      </c>
    </row>
    <row r="360" spans="1:64" ht="14.45" customHeight="1">
      <c r="A360" s="155"/>
      <c r="B360" s="30"/>
      <c r="C360" s="30" t="s">
        <v>2214</v>
      </c>
      <c r="D360" s="30"/>
      <c r="E360" s="30"/>
      <c r="F360" s="31"/>
      <c r="G360" s="30"/>
      <c r="H360" s="30"/>
      <c r="I360" s="30"/>
      <c r="J360" s="30"/>
      <c r="K360" s="30"/>
      <c r="L360" s="30"/>
      <c r="M360" s="30"/>
      <c r="N360" s="30"/>
      <c r="P360" s="30"/>
      <c r="Q360" s="30"/>
      <c r="R360" s="30"/>
      <c r="S360" s="30"/>
      <c r="T360" s="31"/>
      <c r="U360" s="30"/>
      <c r="V360" s="30"/>
      <c r="W360" s="30"/>
      <c r="X360" s="30"/>
      <c r="Y360" s="30"/>
      <c r="Z360" s="30"/>
      <c r="AA360" s="30"/>
      <c r="AB360" s="30"/>
      <c r="AC360" s="30"/>
      <c r="AD360" s="30"/>
      <c r="AE360" s="30"/>
      <c r="AF360" s="30" t="str">
        <f t="shared" si="35"/>
        <v xml:space="preserve">                    </v>
      </c>
      <c r="AH360">
        <v>1</v>
      </c>
      <c r="AI360" t="s">
        <v>901</v>
      </c>
    </row>
    <row r="361" spans="1:64" ht="14.45" customHeight="1">
      <c r="A361" s="155"/>
      <c r="B361" s="30"/>
      <c r="C361" s="30" t="s">
        <v>2214</v>
      </c>
      <c r="D361" s="30"/>
      <c r="E361" s="30"/>
      <c r="F361" s="31"/>
      <c r="G361" s="30"/>
      <c r="H361" s="30"/>
      <c r="I361" s="30"/>
      <c r="J361" s="30"/>
      <c r="K361" s="30"/>
      <c r="L361" s="30"/>
      <c r="M361" s="30"/>
      <c r="N361" s="30"/>
      <c r="P361" s="30"/>
      <c r="Q361" s="30"/>
      <c r="R361" s="30"/>
      <c r="S361" s="30"/>
      <c r="T361" s="31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H361">
        <v>2</v>
      </c>
      <c r="AI361" t="s">
        <v>1</v>
      </c>
      <c r="AJ361" t="s">
        <v>902</v>
      </c>
      <c r="AK361" t="s">
        <v>903</v>
      </c>
      <c r="AL361" t="s">
        <v>904</v>
      </c>
      <c r="AN361" t="s">
        <v>1803</v>
      </c>
      <c r="AO361" t="s">
        <v>1074</v>
      </c>
    </row>
    <row r="362" spans="1:64" ht="14.45" customHeight="1">
      <c r="A362" s="155"/>
      <c r="B362" s="30"/>
      <c r="C362" s="30" t="s">
        <v>2214</v>
      </c>
      <c r="D362" s="30"/>
      <c r="E362" s="30"/>
      <c r="F362" s="31"/>
      <c r="G362" s="30"/>
      <c r="H362" s="30"/>
      <c r="I362" s="30"/>
      <c r="J362" s="30"/>
      <c r="K362" s="30"/>
      <c r="L362" s="30"/>
      <c r="M362" s="30"/>
      <c r="N362" s="30"/>
      <c r="P362" s="30"/>
      <c r="Q362" s="30"/>
      <c r="R362" s="30"/>
      <c r="S362" s="30"/>
      <c r="T362" s="31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 t="str">
        <f t="shared" si="35"/>
        <v>Kurzname            Kurzname</v>
      </c>
      <c r="AG362" s="30"/>
      <c r="AH362">
        <v>0</v>
      </c>
      <c r="AI362" t="s">
        <v>1075</v>
      </c>
      <c r="AJ362" t="s">
        <v>1076</v>
      </c>
      <c r="AK362" t="s">
        <v>1077</v>
      </c>
      <c r="AL362" t="s">
        <v>8</v>
      </c>
      <c r="AM362" t="s">
        <v>8</v>
      </c>
      <c r="AN362" t="s">
        <v>1078</v>
      </c>
      <c r="AO362" t="s">
        <v>9</v>
      </c>
      <c r="AP362" t="s">
        <v>1079</v>
      </c>
      <c r="AQ362" t="s">
        <v>10</v>
      </c>
      <c r="AR362" t="s">
        <v>26</v>
      </c>
      <c r="AS362" t="s">
        <v>1080</v>
      </c>
      <c r="AT362" t="s">
        <v>1077</v>
      </c>
      <c r="AU362" t="s">
        <v>8</v>
      </c>
      <c r="AV362" t="s">
        <v>8</v>
      </c>
      <c r="AW362" t="s">
        <v>1081</v>
      </c>
      <c r="AX362" t="s">
        <v>9</v>
      </c>
      <c r="AY362" t="s">
        <v>1079</v>
      </c>
      <c r="AZ362" t="s">
        <v>10</v>
      </c>
      <c r="BA362" t="s">
        <v>26</v>
      </c>
      <c r="BB362" t="s">
        <v>1080</v>
      </c>
      <c r="BC362" t="s">
        <v>1082</v>
      </c>
      <c r="BD362" t="s">
        <v>1083</v>
      </c>
      <c r="BE362" t="s">
        <v>1084</v>
      </c>
      <c r="BF362" t="s">
        <v>1085</v>
      </c>
      <c r="BG362" t="s">
        <v>1086</v>
      </c>
      <c r="BH362" t="s">
        <v>14</v>
      </c>
      <c r="BI362" t="s">
        <v>1087</v>
      </c>
      <c r="BJ362" t="s">
        <v>1088</v>
      </c>
      <c r="BK362" t="s">
        <v>1</v>
      </c>
      <c r="BL362" t="s">
        <v>1075</v>
      </c>
    </row>
    <row r="363" spans="1:64" ht="14.45" customHeight="1">
      <c r="A363" s="155"/>
      <c r="B363" s="30">
        <f t="shared" si="36"/>
        <v>327001</v>
      </c>
      <c r="C363" s="30" t="s">
        <v>2214</v>
      </c>
      <c r="D363" s="30"/>
      <c r="E363" s="30" t="s">
        <v>2180</v>
      </c>
      <c r="F363" s="31"/>
      <c r="G363" s="30"/>
      <c r="H363" s="30"/>
      <c r="I363" s="30"/>
      <c r="J363" s="30"/>
      <c r="K363" s="30"/>
      <c r="L363" s="30" t="s">
        <v>2180</v>
      </c>
      <c r="M363" s="30" t="s">
        <v>2180</v>
      </c>
      <c r="N363" s="30"/>
      <c r="P363" s="30"/>
      <c r="Q363" s="30"/>
      <c r="R363" s="30"/>
      <c r="S363" s="30"/>
      <c r="T363" s="31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 t="str">
        <f t="shared" si="35"/>
        <v>KOMBI_A             KS_CPR_C</v>
      </c>
      <c r="AG363" s="30" t="s">
        <v>2182</v>
      </c>
      <c r="AH363">
        <v>3</v>
      </c>
      <c r="AI363">
        <v>327001</v>
      </c>
      <c r="AJ363" t="s">
        <v>1968</v>
      </c>
      <c r="AK363" t="s">
        <v>19</v>
      </c>
      <c r="AL363" t="s">
        <v>149</v>
      </c>
      <c r="AM363" t="s">
        <v>149</v>
      </c>
      <c r="AN363" t="s">
        <v>148</v>
      </c>
      <c r="AO363" t="s">
        <v>150</v>
      </c>
      <c r="AP363">
        <v>9</v>
      </c>
      <c r="AQ363" t="s">
        <v>151</v>
      </c>
      <c r="AR363" t="s">
        <v>46</v>
      </c>
      <c r="AS363" t="s">
        <v>19</v>
      </c>
      <c r="AT363" t="s">
        <v>19</v>
      </c>
      <c r="AU363" t="s">
        <v>96</v>
      </c>
      <c r="AV363" t="s">
        <v>96</v>
      </c>
      <c r="AW363" t="s">
        <v>103</v>
      </c>
      <c r="AX363" t="s">
        <v>104</v>
      </c>
      <c r="AY363">
        <v>1</v>
      </c>
      <c r="AZ363" t="s">
        <v>105</v>
      </c>
      <c r="BA363" t="s">
        <v>35</v>
      </c>
      <c r="BB363" t="s">
        <v>19</v>
      </c>
      <c r="BC363" t="s">
        <v>1204</v>
      </c>
      <c r="BD363" t="s">
        <v>1115</v>
      </c>
      <c r="BE363" t="s">
        <v>1969</v>
      </c>
      <c r="BF363" t="s">
        <v>1097</v>
      </c>
      <c r="BG363">
        <v>1617</v>
      </c>
      <c r="BH363" t="s">
        <v>1098</v>
      </c>
      <c r="BI363">
        <v>0.35</v>
      </c>
      <c r="BJ363" t="s">
        <v>1970</v>
      </c>
      <c r="BK363" t="s">
        <v>902</v>
      </c>
      <c r="BL363">
        <v>327001</v>
      </c>
    </row>
    <row r="364" spans="1:64" ht="14.45" customHeight="1">
      <c r="A364" s="155"/>
      <c r="B364" s="30">
        <f t="shared" si="36"/>
        <v>327002</v>
      </c>
      <c r="C364" s="30" t="s">
        <v>2214</v>
      </c>
      <c r="D364" s="30"/>
      <c r="E364" s="30" t="s">
        <v>2180</v>
      </c>
      <c r="F364" s="31"/>
      <c r="G364" s="30"/>
      <c r="H364" s="30"/>
      <c r="I364" s="30"/>
      <c r="J364" s="30"/>
      <c r="K364" s="30"/>
      <c r="L364" s="30" t="s">
        <v>2180</v>
      </c>
      <c r="M364" s="30" t="s">
        <v>2180</v>
      </c>
      <c r="N364" s="30"/>
      <c r="P364" s="30"/>
      <c r="Q364" s="30"/>
      <c r="R364" s="30"/>
      <c r="S364" s="30"/>
      <c r="T364" s="31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 t="str">
        <f t="shared" si="35"/>
        <v>KOMBI_A             KS_CPR_C</v>
      </c>
      <c r="AG364" s="30" t="s">
        <v>2182</v>
      </c>
      <c r="AH364">
        <v>3</v>
      </c>
      <c r="AI364">
        <v>327002</v>
      </c>
      <c r="AJ364" t="s">
        <v>1971</v>
      </c>
      <c r="AK364" t="s">
        <v>19</v>
      </c>
      <c r="AL364" t="s">
        <v>149</v>
      </c>
      <c r="AM364" t="s">
        <v>149</v>
      </c>
      <c r="AN364" t="s">
        <v>148</v>
      </c>
      <c r="AO364" t="s">
        <v>150</v>
      </c>
      <c r="AP364">
        <v>8</v>
      </c>
      <c r="AQ364" t="s">
        <v>151</v>
      </c>
      <c r="AR364" t="s">
        <v>46</v>
      </c>
      <c r="AS364" t="s">
        <v>19</v>
      </c>
      <c r="AT364" t="s">
        <v>19</v>
      </c>
      <c r="AU364" t="s">
        <v>96</v>
      </c>
      <c r="AV364" t="s">
        <v>96</v>
      </c>
      <c r="AW364" t="s">
        <v>103</v>
      </c>
      <c r="AX364" t="s">
        <v>104</v>
      </c>
      <c r="AY364">
        <v>2</v>
      </c>
      <c r="AZ364" t="s">
        <v>105</v>
      </c>
      <c r="BA364" t="s">
        <v>35</v>
      </c>
      <c r="BB364" t="s">
        <v>19</v>
      </c>
      <c r="BC364" t="s">
        <v>1204</v>
      </c>
      <c r="BD364" t="s">
        <v>1115</v>
      </c>
      <c r="BE364" t="s">
        <v>1969</v>
      </c>
      <c r="BF364" t="s">
        <v>1206</v>
      </c>
      <c r="BG364">
        <v>1617</v>
      </c>
      <c r="BH364" t="s">
        <v>1207</v>
      </c>
      <c r="BI364">
        <v>0.35</v>
      </c>
      <c r="BJ364" t="s">
        <v>1972</v>
      </c>
      <c r="BK364" t="s">
        <v>902</v>
      </c>
      <c r="BL364">
        <v>327002</v>
      </c>
    </row>
    <row r="365" spans="1:64" ht="14.45" customHeight="1">
      <c r="A365" s="155"/>
      <c r="B365" s="30"/>
      <c r="C365" s="30" t="s">
        <v>2215</v>
      </c>
      <c r="D365" s="30"/>
      <c r="E365" s="30"/>
      <c r="F365" s="31"/>
      <c r="G365" s="30"/>
      <c r="H365" s="30"/>
      <c r="I365" s="30"/>
      <c r="J365" s="30"/>
      <c r="K365" s="30"/>
      <c r="L365" s="30"/>
      <c r="M365" s="30"/>
      <c r="N365" s="30"/>
      <c r="P365" s="30"/>
      <c r="Q365" s="30"/>
      <c r="R365" s="30"/>
      <c r="S365" s="30"/>
      <c r="T365" s="31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 t="str">
        <f t="shared" si="35"/>
        <v xml:space="preserve">                    </v>
      </c>
      <c r="AH365">
        <v>1</v>
      </c>
      <c r="AI365" t="s">
        <v>905</v>
      </c>
    </row>
    <row r="366" spans="1:64" ht="14.45" customHeight="1">
      <c r="A366" s="155">
        <v>502</v>
      </c>
      <c r="B366" s="30"/>
      <c r="C366" s="30" t="s">
        <v>2215</v>
      </c>
      <c r="D366" s="30"/>
      <c r="E366" s="30"/>
      <c r="F366" s="31"/>
      <c r="G366" s="30"/>
      <c r="H366" s="30"/>
      <c r="I366" s="30"/>
      <c r="J366" s="30"/>
      <c r="K366" s="30"/>
      <c r="L366" s="30"/>
      <c r="M366" s="30"/>
      <c r="N366" s="30"/>
      <c r="P366" s="30"/>
      <c r="Q366" s="30"/>
      <c r="R366" s="30"/>
      <c r="S366" s="30"/>
      <c r="T366" s="31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2">
        <v>1</v>
      </c>
      <c r="AF366" s="30"/>
      <c r="AH366">
        <v>2</v>
      </c>
      <c r="AI366" t="s">
        <v>1</v>
      </c>
      <c r="AJ366" t="s">
        <v>906</v>
      </c>
      <c r="AK366" t="s">
        <v>3</v>
      </c>
      <c r="AL366" s="161" t="s">
        <v>713</v>
      </c>
      <c r="AN366" t="s">
        <v>1973</v>
      </c>
      <c r="AO366" t="s">
        <v>1074</v>
      </c>
    </row>
    <row r="367" spans="1:64" ht="14.45" customHeight="1">
      <c r="A367" s="155"/>
      <c r="B367" s="30"/>
      <c r="C367" s="30" t="s">
        <v>2215</v>
      </c>
      <c r="D367" s="30"/>
      <c r="E367" s="30"/>
      <c r="F367" s="31"/>
      <c r="G367" s="30"/>
      <c r="H367" s="30"/>
      <c r="I367" s="30"/>
      <c r="J367" s="30"/>
      <c r="K367" s="30"/>
      <c r="L367" s="30"/>
      <c r="M367" s="30"/>
      <c r="N367" s="30"/>
      <c r="P367" s="30"/>
      <c r="Q367" s="30"/>
      <c r="R367" s="30"/>
      <c r="S367" s="30"/>
      <c r="T367" s="31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 t="str">
        <f t="shared" si="35"/>
        <v>Kurzname            Kurzname</v>
      </c>
      <c r="AG367" s="30"/>
      <c r="AH367">
        <v>0</v>
      </c>
      <c r="AI367" t="s">
        <v>1075</v>
      </c>
      <c r="AJ367" t="s">
        <v>1076</v>
      </c>
      <c r="AK367" t="s">
        <v>1077</v>
      </c>
      <c r="AL367" t="s">
        <v>8</v>
      </c>
      <c r="AM367" t="s">
        <v>8</v>
      </c>
      <c r="AN367" t="s">
        <v>1078</v>
      </c>
      <c r="AO367" t="s">
        <v>9</v>
      </c>
      <c r="AP367" t="s">
        <v>1079</v>
      </c>
      <c r="AQ367" t="s">
        <v>10</v>
      </c>
      <c r="AR367" t="s">
        <v>26</v>
      </c>
      <c r="AS367" t="s">
        <v>1080</v>
      </c>
      <c r="AT367" t="s">
        <v>1077</v>
      </c>
      <c r="AU367" t="s">
        <v>8</v>
      </c>
      <c r="AV367" t="s">
        <v>8</v>
      </c>
      <c r="AW367" t="s">
        <v>1081</v>
      </c>
      <c r="AX367" t="s">
        <v>9</v>
      </c>
      <c r="AY367" t="s">
        <v>1079</v>
      </c>
      <c r="AZ367" t="s">
        <v>10</v>
      </c>
      <c r="BA367" t="s">
        <v>26</v>
      </c>
      <c r="BB367" t="s">
        <v>1080</v>
      </c>
      <c r="BC367" t="s">
        <v>1082</v>
      </c>
      <c r="BD367" t="s">
        <v>1083</v>
      </c>
      <c r="BE367" t="s">
        <v>1084</v>
      </c>
      <c r="BF367" t="s">
        <v>1085</v>
      </c>
      <c r="BG367" t="s">
        <v>1086</v>
      </c>
      <c r="BH367" t="s">
        <v>14</v>
      </c>
      <c r="BI367" t="s">
        <v>1087</v>
      </c>
      <c r="BJ367" t="s">
        <v>1088</v>
      </c>
      <c r="BK367" t="s">
        <v>1</v>
      </c>
      <c r="BL367" t="s">
        <v>1075</v>
      </c>
    </row>
    <row r="368" spans="1:64" ht="14.45" customHeight="1">
      <c r="A368" s="155"/>
      <c r="B368" s="30">
        <f t="shared" si="36"/>
        <v>329005</v>
      </c>
      <c r="C368" s="30" t="s">
        <v>2215</v>
      </c>
      <c r="D368" s="30"/>
      <c r="E368" s="30" t="s">
        <v>2195</v>
      </c>
      <c r="F368" s="31"/>
      <c r="G368" s="30"/>
      <c r="H368" s="30"/>
      <c r="I368" s="30"/>
      <c r="J368" s="30"/>
      <c r="K368" s="30"/>
      <c r="L368" s="30" t="s">
        <v>2181</v>
      </c>
      <c r="M368" s="30" t="s">
        <v>2181</v>
      </c>
      <c r="N368" s="30"/>
      <c r="P368" s="30"/>
      <c r="Q368" s="30"/>
      <c r="R368" s="30"/>
      <c r="S368" s="30"/>
      <c r="T368" s="31">
        <v>980016332</v>
      </c>
      <c r="U368" s="30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 t="str">
        <f t="shared" si="35"/>
        <v>KOO03A              ANT79P</v>
      </c>
      <c r="AG368" s="30" t="s">
        <v>2189</v>
      </c>
      <c r="AH368">
        <v>3</v>
      </c>
      <c r="AI368">
        <v>329005</v>
      </c>
      <c r="AJ368" t="s">
        <v>1974</v>
      </c>
      <c r="AK368" t="s">
        <v>19</v>
      </c>
      <c r="AL368" t="s">
        <v>919</v>
      </c>
      <c r="AM368" t="s">
        <v>919</v>
      </c>
      <c r="AN368" t="s">
        <v>918</v>
      </c>
      <c r="AO368" t="s">
        <v>920</v>
      </c>
      <c r="AP368">
        <v>1</v>
      </c>
      <c r="AQ368" t="s">
        <v>921</v>
      </c>
      <c r="AR368" t="s">
        <v>37</v>
      </c>
      <c r="AS368" t="s">
        <v>19</v>
      </c>
      <c r="AT368" t="s">
        <v>19</v>
      </c>
      <c r="AU368" t="s">
        <v>911</v>
      </c>
      <c r="AV368" t="s">
        <v>911</v>
      </c>
      <c r="AW368" t="s">
        <v>910</v>
      </c>
      <c r="AX368" t="s">
        <v>912</v>
      </c>
      <c r="AY368">
        <v>1</v>
      </c>
      <c r="AZ368" t="s">
        <v>913</v>
      </c>
      <c r="BA368" t="s">
        <v>908</v>
      </c>
      <c r="BB368" t="s">
        <v>19</v>
      </c>
      <c r="BC368" t="s">
        <v>1360</v>
      </c>
      <c r="BD368" t="s">
        <v>1361</v>
      </c>
      <c r="BE368" t="s">
        <v>1975</v>
      </c>
      <c r="BF368" t="s">
        <v>1363</v>
      </c>
      <c r="BG368">
        <v>2871</v>
      </c>
      <c r="BH368" t="s">
        <v>1364</v>
      </c>
      <c r="BI368">
        <v>0.37</v>
      </c>
      <c r="BJ368" t="s">
        <v>1976</v>
      </c>
      <c r="BK368" t="s">
        <v>906</v>
      </c>
      <c r="BL368">
        <v>329005</v>
      </c>
    </row>
    <row r="369" spans="1:65" ht="14.45" customHeight="1">
      <c r="A369" s="155"/>
      <c r="B369" s="30">
        <f t="shared" si="36"/>
        <v>329006</v>
      </c>
      <c r="C369" s="30" t="s">
        <v>2215</v>
      </c>
      <c r="D369" s="30"/>
      <c r="E369" s="30" t="s">
        <v>2195</v>
      </c>
      <c r="F369" s="31"/>
      <c r="G369" s="30"/>
      <c r="H369" s="30"/>
      <c r="I369" s="30"/>
      <c r="J369" s="30"/>
      <c r="K369" s="30"/>
      <c r="L369" s="30" t="s">
        <v>2181</v>
      </c>
      <c r="M369" s="30" t="s">
        <v>2181</v>
      </c>
      <c r="N369" s="30"/>
      <c r="P369" s="30"/>
      <c r="Q369" s="30"/>
      <c r="R369" s="30"/>
      <c r="S369" s="30"/>
      <c r="T369" s="31">
        <v>980016332</v>
      </c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 t="str">
        <f t="shared" si="35"/>
        <v>KOO03A              ANT79P</v>
      </c>
      <c r="AG369" s="30" t="s">
        <v>2189</v>
      </c>
      <c r="AH369">
        <v>3</v>
      </c>
      <c r="AI369">
        <v>329006</v>
      </c>
      <c r="AJ369" t="s">
        <v>1977</v>
      </c>
      <c r="AK369" t="s">
        <v>19</v>
      </c>
      <c r="AL369" t="s">
        <v>919</v>
      </c>
      <c r="AM369" t="s">
        <v>919</v>
      </c>
      <c r="AN369" t="s">
        <v>918</v>
      </c>
      <c r="AO369" t="s">
        <v>920</v>
      </c>
      <c r="AP369">
        <v>2</v>
      </c>
      <c r="AQ369" t="s">
        <v>921</v>
      </c>
      <c r="AR369" t="s">
        <v>49</v>
      </c>
      <c r="AS369" t="s">
        <v>19</v>
      </c>
      <c r="AT369" t="s">
        <v>19</v>
      </c>
      <c r="AU369" t="s">
        <v>911</v>
      </c>
      <c r="AV369" t="s">
        <v>911</v>
      </c>
      <c r="AW369" t="s">
        <v>910</v>
      </c>
      <c r="AX369" t="s">
        <v>912</v>
      </c>
      <c r="AY369">
        <v>2</v>
      </c>
      <c r="AZ369" t="s">
        <v>913</v>
      </c>
      <c r="BA369" t="s">
        <v>49</v>
      </c>
      <c r="BB369" t="s">
        <v>19</v>
      </c>
      <c r="BC369" t="s">
        <v>1360</v>
      </c>
      <c r="BD369" t="s">
        <v>49</v>
      </c>
      <c r="BE369" t="s">
        <v>1975</v>
      </c>
      <c r="BF369" t="s">
        <v>1367</v>
      </c>
      <c r="BG369">
        <v>2871</v>
      </c>
      <c r="BH369" t="s">
        <v>1111</v>
      </c>
      <c r="BI369">
        <v>0.5</v>
      </c>
      <c r="BJ369" t="s">
        <v>1978</v>
      </c>
      <c r="BK369" t="s">
        <v>906</v>
      </c>
      <c r="BL369">
        <v>329006</v>
      </c>
    </row>
    <row r="370" spans="1:65" ht="14.45" customHeight="1">
      <c r="A370" s="155"/>
      <c r="B370" s="30"/>
      <c r="C370" s="30" t="s">
        <v>2216</v>
      </c>
      <c r="D370" s="30"/>
      <c r="E370" s="30"/>
      <c r="F370" s="31"/>
      <c r="G370" s="30"/>
      <c r="H370" s="30"/>
      <c r="I370" s="30"/>
      <c r="J370" s="30"/>
      <c r="K370" s="30"/>
      <c r="L370" s="30"/>
      <c r="M370" s="30"/>
      <c r="N370" s="30"/>
      <c r="P370" s="30"/>
      <c r="Q370" s="30"/>
      <c r="R370" s="30"/>
      <c r="S370" s="30"/>
      <c r="T370" s="31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 t="str">
        <f t="shared" si="35"/>
        <v xml:space="preserve">                    </v>
      </c>
      <c r="AH370">
        <v>1</v>
      </c>
      <c r="AI370" t="s">
        <v>928</v>
      </c>
    </row>
    <row r="371" spans="1:65" ht="14.45" customHeight="1">
      <c r="A371" s="155">
        <v>502.50400000000002</v>
      </c>
      <c r="B371" s="30"/>
      <c r="C371" s="30" t="s">
        <v>2216</v>
      </c>
      <c r="D371" s="30"/>
      <c r="E371" s="30"/>
      <c r="F371" s="31"/>
      <c r="G371" s="30"/>
      <c r="H371" s="30"/>
      <c r="I371" s="30"/>
      <c r="J371" s="30"/>
      <c r="K371" s="30"/>
      <c r="L371" s="30"/>
      <c r="M371" s="30"/>
      <c r="N371" s="30"/>
      <c r="P371" s="30"/>
      <c r="Q371" s="30"/>
      <c r="R371" s="30"/>
      <c r="S371" s="30"/>
      <c r="T371" s="31"/>
      <c r="U371" s="30"/>
      <c r="V371" s="30"/>
      <c r="W371" s="30"/>
      <c r="X371" s="30"/>
      <c r="Y371" s="30"/>
      <c r="Z371" s="30"/>
      <c r="AA371" s="30"/>
      <c r="AB371" s="30"/>
      <c r="AC371" s="30"/>
      <c r="AD371" s="30"/>
      <c r="AE371" s="32">
        <v>1</v>
      </c>
      <c r="AF371" s="30"/>
      <c r="AH371">
        <v>2</v>
      </c>
      <c r="AI371" t="s">
        <v>1</v>
      </c>
      <c r="AJ371" t="s">
        <v>929</v>
      </c>
      <c r="AK371" t="s">
        <v>930</v>
      </c>
      <c r="AL371" s="153" t="s">
        <v>2367</v>
      </c>
      <c r="AM371" t="s">
        <v>4</v>
      </c>
      <c r="AN371" t="s">
        <v>1979</v>
      </c>
      <c r="AO371" t="s">
        <v>1074</v>
      </c>
    </row>
    <row r="372" spans="1:65" ht="14.45" customHeight="1">
      <c r="A372" s="155">
        <v>502.50400000000002</v>
      </c>
      <c r="B372" s="30"/>
      <c r="C372" s="30" t="s">
        <v>2216</v>
      </c>
      <c r="D372" s="30"/>
      <c r="E372" s="30"/>
      <c r="F372" s="31"/>
      <c r="G372" s="30"/>
      <c r="H372" s="30"/>
      <c r="I372" s="30"/>
      <c r="J372" s="30"/>
      <c r="K372" s="30"/>
      <c r="L372" s="30"/>
      <c r="M372" s="30"/>
      <c r="N372" s="30"/>
      <c r="P372" s="30"/>
      <c r="Q372" s="30"/>
      <c r="R372" s="30"/>
      <c r="S372" s="30"/>
      <c r="T372" s="31"/>
      <c r="U372" s="30"/>
      <c r="V372" s="30"/>
      <c r="W372" s="30"/>
      <c r="X372" s="30"/>
      <c r="Y372" s="30"/>
      <c r="Z372" s="30"/>
      <c r="AA372" s="30"/>
      <c r="AB372" s="30"/>
      <c r="AC372" s="30"/>
      <c r="AD372" s="30"/>
      <c r="AE372" s="32">
        <v>1</v>
      </c>
      <c r="AF372" s="30"/>
      <c r="AG372" s="30"/>
      <c r="AH372">
        <v>2</v>
      </c>
      <c r="AI372" t="s">
        <v>395</v>
      </c>
      <c r="AJ372" t="s">
        <v>931</v>
      </c>
      <c r="AK372" t="s">
        <v>932</v>
      </c>
      <c r="AL372" s="153" t="s">
        <v>2368</v>
      </c>
      <c r="AM372" t="s">
        <v>4</v>
      </c>
      <c r="AN372" s="153" t="s">
        <v>2369</v>
      </c>
      <c r="AO372" t="s">
        <v>1074</v>
      </c>
    </row>
    <row r="373" spans="1:65" ht="14.45" customHeight="1">
      <c r="A373" s="155"/>
      <c r="B373" s="30"/>
      <c r="C373" s="30" t="s">
        <v>2216</v>
      </c>
      <c r="D373" s="30"/>
      <c r="E373" s="30"/>
      <c r="F373" s="31"/>
      <c r="G373" s="30"/>
      <c r="H373" s="30"/>
      <c r="I373" s="30"/>
      <c r="J373" s="30"/>
      <c r="K373" s="30"/>
      <c r="L373" s="30"/>
      <c r="M373" s="30"/>
      <c r="N373" s="30"/>
      <c r="P373" s="30"/>
      <c r="Q373" s="30"/>
      <c r="R373" s="30"/>
      <c r="S373" s="30"/>
      <c r="T373" s="31"/>
      <c r="U373" s="30"/>
      <c r="V373" s="30"/>
      <c r="W373" s="30"/>
      <c r="X373" s="30"/>
      <c r="Y373" s="30"/>
      <c r="Z373" s="30"/>
      <c r="AA373" s="30"/>
      <c r="AB373" s="30"/>
      <c r="AC373" s="30"/>
      <c r="AD373" s="30"/>
      <c r="AE373" s="30"/>
      <c r="AF373" s="30" t="str">
        <f t="shared" si="35"/>
        <v>Kurzname            Kurzname</v>
      </c>
      <c r="AG373" s="30"/>
      <c r="AH373">
        <v>0</v>
      </c>
      <c r="AI373" t="s">
        <v>1075</v>
      </c>
      <c r="AJ373" t="s">
        <v>1076</v>
      </c>
      <c r="AK373" t="s">
        <v>1077</v>
      </c>
      <c r="AL373" t="s">
        <v>8</v>
      </c>
      <c r="AM373" t="s">
        <v>8</v>
      </c>
      <c r="AN373" t="s">
        <v>1078</v>
      </c>
      <c r="AO373" t="s">
        <v>9</v>
      </c>
      <c r="AP373" t="s">
        <v>1079</v>
      </c>
      <c r="AQ373" t="s">
        <v>10</v>
      </c>
      <c r="AR373" t="s">
        <v>26</v>
      </c>
      <c r="AS373" t="s">
        <v>1080</v>
      </c>
      <c r="AT373" t="s">
        <v>1077</v>
      </c>
      <c r="AU373" t="s">
        <v>8</v>
      </c>
      <c r="AV373" t="s">
        <v>8</v>
      </c>
      <c r="AW373" t="s">
        <v>1081</v>
      </c>
      <c r="AX373" t="s">
        <v>9</v>
      </c>
      <c r="AY373" t="s">
        <v>1079</v>
      </c>
      <c r="AZ373" t="s">
        <v>10</v>
      </c>
      <c r="BA373" t="s">
        <v>26</v>
      </c>
      <c r="BB373" t="s">
        <v>1080</v>
      </c>
      <c r="BC373" t="s">
        <v>1082</v>
      </c>
      <c r="BD373" t="s">
        <v>1083</v>
      </c>
      <c r="BE373" t="s">
        <v>1084</v>
      </c>
      <c r="BF373" t="s">
        <v>1085</v>
      </c>
      <c r="BG373" t="s">
        <v>1086</v>
      </c>
      <c r="BH373" t="s">
        <v>14</v>
      </c>
      <c r="BI373" t="s">
        <v>1087</v>
      </c>
      <c r="BJ373" t="s">
        <v>1088</v>
      </c>
      <c r="BK373" t="s">
        <v>1</v>
      </c>
      <c r="BL373" t="s">
        <v>395</v>
      </c>
      <c r="BM373" t="s">
        <v>1075</v>
      </c>
    </row>
    <row r="374" spans="1:65" ht="14.45" customHeight="1">
      <c r="A374" s="155">
        <v>504</v>
      </c>
      <c r="B374" s="30">
        <f t="shared" si="36"/>
        <v>412001</v>
      </c>
      <c r="C374" s="30" t="s">
        <v>2216</v>
      </c>
      <c r="D374" s="30"/>
      <c r="E374" s="30" t="s">
        <v>2190</v>
      </c>
      <c r="F374" s="31"/>
      <c r="G374" s="30"/>
      <c r="H374" s="30"/>
      <c r="I374" s="30"/>
      <c r="J374" s="30"/>
      <c r="K374" s="30"/>
      <c r="L374" s="30" t="s">
        <v>2190</v>
      </c>
      <c r="M374" s="30" t="s">
        <v>2181</v>
      </c>
      <c r="N374" s="30"/>
      <c r="P374" s="30"/>
      <c r="Q374" s="30"/>
      <c r="R374" s="30"/>
      <c r="S374" s="30"/>
      <c r="T374" s="176">
        <v>980018080</v>
      </c>
      <c r="U374" s="30"/>
      <c r="V374" s="30"/>
      <c r="W374" s="195" t="s">
        <v>2399</v>
      </c>
      <c r="X374" s="30"/>
      <c r="Y374" s="30"/>
      <c r="Z374" s="30"/>
      <c r="AA374" s="30"/>
      <c r="AB374" s="30"/>
      <c r="AC374" s="30"/>
      <c r="AD374" s="30" t="s">
        <v>2217</v>
      </c>
      <c r="AE374" s="30"/>
      <c r="AF374" s="30" t="str">
        <f t="shared" si="35"/>
        <v>SCG11A              ABB6P_A</v>
      </c>
      <c r="AG374" s="30" t="s">
        <v>2218</v>
      </c>
      <c r="AH374">
        <v>3</v>
      </c>
      <c r="AI374">
        <v>412001</v>
      </c>
      <c r="AJ374" t="s">
        <v>1980</v>
      </c>
      <c r="AK374" t="s">
        <v>19</v>
      </c>
      <c r="AL374" t="s">
        <v>948</v>
      </c>
      <c r="AM374" t="s">
        <v>948</v>
      </c>
      <c r="AN374" t="s">
        <v>947</v>
      </c>
      <c r="AO374" t="s">
        <v>949</v>
      </c>
      <c r="AP374">
        <v>11</v>
      </c>
      <c r="AQ374" t="s">
        <v>942</v>
      </c>
      <c r="AR374" t="s">
        <v>937</v>
      </c>
      <c r="AS374" t="s">
        <v>934</v>
      </c>
      <c r="AT374" t="s">
        <v>19</v>
      </c>
      <c r="AU374" t="s">
        <v>976</v>
      </c>
      <c r="AV374" t="s">
        <v>976</v>
      </c>
      <c r="AW374" t="s">
        <v>975</v>
      </c>
      <c r="AX374" t="s">
        <v>977</v>
      </c>
      <c r="AY374">
        <v>2</v>
      </c>
      <c r="AZ374" t="s">
        <v>978</v>
      </c>
      <c r="BA374" t="s">
        <v>938</v>
      </c>
      <c r="BB374" t="s">
        <v>19</v>
      </c>
      <c r="BC374" t="s">
        <v>1981</v>
      </c>
      <c r="BD374" t="s">
        <v>1115</v>
      </c>
      <c r="BE374" t="s">
        <v>1982</v>
      </c>
      <c r="BF374" t="s">
        <v>1983</v>
      </c>
      <c r="BG374" s="153">
        <v>1595</v>
      </c>
      <c r="BH374" t="s">
        <v>1236</v>
      </c>
      <c r="BI374">
        <v>0.35</v>
      </c>
      <c r="BJ374" t="s">
        <v>1984</v>
      </c>
      <c r="BK374" t="s">
        <v>929</v>
      </c>
      <c r="BL374" t="s">
        <v>931</v>
      </c>
      <c r="BM374">
        <v>412001</v>
      </c>
    </row>
    <row r="375" spans="1:65" ht="14.45" customHeight="1">
      <c r="A375" s="155">
        <v>504</v>
      </c>
      <c r="B375" s="30">
        <f t="shared" si="36"/>
        <v>412002</v>
      </c>
      <c r="C375" s="30" t="s">
        <v>2216</v>
      </c>
      <c r="D375" s="30"/>
      <c r="E375" s="30" t="s">
        <v>2190</v>
      </c>
      <c r="F375" s="31"/>
      <c r="G375" s="30"/>
      <c r="H375" s="30"/>
      <c r="I375" s="30"/>
      <c r="J375" s="30"/>
      <c r="K375" s="30"/>
      <c r="L375" s="30" t="s">
        <v>2190</v>
      </c>
      <c r="M375" s="30" t="s">
        <v>2181</v>
      </c>
      <c r="N375" s="30"/>
      <c r="P375" s="30"/>
      <c r="Q375" s="30"/>
      <c r="R375" s="30"/>
      <c r="S375" s="30"/>
      <c r="T375" s="176">
        <v>980018080</v>
      </c>
      <c r="U375" s="30"/>
      <c r="V375" s="30"/>
      <c r="W375" s="195" t="s">
        <v>2399</v>
      </c>
      <c r="X375" s="30"/>
      <c r="Y375" s="30"/>
      <c r="Z375" s="30"/>
      <c r="AA375" s="30"/>
      <c r="AB375" s="30"/>
      <c r="AC375" s="30"/>
      <c r="AD375" s="30" t="s">
        <v>2217</v>
      </c>
      <c r="AE375" s="30"/>
      <c r="AF375" s="30" t="str">
        <f t="shared" si="35"/>
        <v>SCG11A              ABB6P_A</v>
      </c>
      <c r="AG375" s="30" t="s">
        <v>2218</v>
      </c>
      <c r="AH375">
        <v>3</v>
      </c>
      <c r="AI375">
        <v>412002</v>
      </c>
      <c r="AJ375" t="s">
        <v>1985</v>
      </c>
      <c r="AK375" t="s">
        <v>19</v>
      </c>
      <c r="AL375" t="s">
        <v>948</v>
      </c>
      <c r="AM375" t="s">
        <v>948</v>
      </c>
      <c r="AN375" t="s">
        <v>947</v>
      </c>
      <c r="AO375" t="s">
        <v>949</v>
      </c>
      <c r="AP375">
        <v>15</v>
      </c>
      <c r="AQ375" t="s">
        <v>942</v>
      </c>
      <c r="AR375" t="s">
        <v>937</v>
      </c>
      <c r="AS375" t="s">
        <v>934</v>
      </c>
      <c r="AT375" t="s">
        <v>19</v>
      </c>
      <c r="AU375" t="s">
        <v>976</v>
      </c>
      <c r="AV375" t="s">
        <v>976</v>
      </c>
      <c r="AW375" t="s">
        <v>975</v>
      </c>
      <c r="AX375" t="s">
        <v>977</v>
      </c>
      <c r="AY375">
        <v>1</v>
      </c>
      <c r="AZ375" t="s">
        <v>978</v>
      </c>
      <c r="BA375" t="s">
        <v>938</v>
      </c>
      <c r="BB375" t="s">
        <v>19</v>
      </c>
      <c r="BC375" t="s">
        <v>1981</v>
      </c>
      <c r="BD375" t="s">
        <v>1115</v>
      </c>
      <c r="BE375" t="s">
        <v>1982</v>
      </c>
      <c r="BF375" t="s">
        <v>1986</v>
      </c>
      <c r="BG375" s="153">
        <v>1595</v>
      </c>
      <c r="BH375" t="s">
        <v>1987</v>
      </c>
      <c r="BI375">
        <v>0.35</v>
      </c>
      <c r="BJ375" t="s">
        <v>1988</v>
      </c>
      <c r="BK375" t="s">
        <v>929</v>
      </c>
      <c r="BL375" t="s">
        <v>931</v>
      </c>
      <c r="BM375">
        <v>412002</v>
      </c>
    </row>
    <row r="376" spans="1:65" ht="14.45" customHeight="1">
      <c r="A376" s="155">
        <v>504</v>
      </c>
      <c r="B376" s="30">
        <f t="shared" si="36"/>
        <v>412003</v>
      </c>
      <c r="C376" s="30" t="s">
        <v>2216</v>
      </c>
      <c r="D376" s="30"/>
      <c r="E376" s="30" t="s">
        <v>2190</v>
      </c>
      <c r="F376" s="31" t="s">
        <v>2183</v>
      </c>
      <c r="G376" s="30" t="s">
        <v>1152</v>
      </c>
      <c r="H376" s="30"/>
      <c r="I376" s="30"/>
      <c r="J376" s="30"/>
      <c r="K376" s="30" t="s">
        <v>2184</v>
      </c>
      <c r="L376" s="30" t="s">
        <v>2180</v>
      </c>
      <c r="M376" s="30" t="s">
        <v>2187</v>
      </c>
      <c r="N376" s="30"/>
      <c r="P376" s="30"/>
      <c r="Q376" s="30"/>
      <c r="R376" s="30"/>
      <c r="S376" s="30"/>
      <c r="T376" s="176">
        <v>980018080</v>
      </c>
      <c r="U376" s="30"/>
      <c r="V376" s="30"/>
      <c r="W376" s="30"/>
      <c r="X376" s="30"/>
      <c r="Y376" s="30"/>
      <c r="Z376" s="30"/>
      <c r="AA376" s="30"/>
      <c r="AB376" s="30"/>
      <c r="AC376" s="30"/>
      <c r="AD376" s="30"/>
      <c r="AE376" s="30"/>
      <c r="AF376" s="30" t="str">
        <f t="shared" si="35"/>
        <v>ABB6P_A             SP_MB32_B2</v>
      </c>
      <c r="AG376" s="30" t="s">
        <v>2218</v>
      </c>
      <c r="AH376">
        <v>3</v>
      </c>
      <c r="AI376">
        <v>412003</v>
      </c>
      <c r="AJ376" t="s">
        <v>1989</v>
      </c>
      <c r="AK376" t="s">
        <v>19</v>
      </c>
      <c r="AL376" t="s">
        <v>976</v>
      </c>
      <c r="AM376" t="s">
        <v>976</v>
      </c>
      <c r="AN376" t="s">
        <v>975</v>
      </c>
      <c r="AO376" t="s">
        <v>977</v>
      </c>
      <c r="AP376">
        <v>3</v>
      </c>
      <c r="AQ376" t="s">
        <v>978</v>
      </c>
      <c r="AR376" t="s">
        <v>938</v>
      </c>
      <c r="AS376" t="s">
        <v>19</v>
      </c>
      <c r="AT376" t="s">
        <v>19</v>
      </c>
      <c r="AU376" t="s">
        <v>19</v>
      </c>
      <c r="AV376" t="s">
        <v>1151</v>
      </c>
      <c r="AW376">
        <v>135</v>
      </c>
      <c r="AX376" t="s">
        <v>1152</v>
      </c>
      <c r="AY376">
        <v>1</v>
      </c>
      <c r="AZ376" t="s">
        <v>358</v>
      </c>
      <c r="BA376" t="s">
        <v>19</v>
      </c>
      <c r="BB376" t="s">
        <v>19</v>
      </c>
      <c r="BC376" t="s">
        <v>1287</v>
      </c>
      <c r="BD376" t="s">
        <v>1115</v>
      </c>
      <c r="BE376" t="s">
        <v>19</v>
      </c>
      <c r="BF376" t="s">
        <v>19</v>
      </c>
      <c r="BG376" s="153">
        <v>545</v>
      </c>
      <c r="BH376" t="s">
        <v>1094</v>
      </c>
      <c r="BI376">
        <v>0.35</v>
      </c>
      <c r="BJ376" t="s">
        <v>1153</v>
      </c>
      <c r="BK376" t="s">
        <v>929</v>
      </c>
      <c r="BL376" t="s">
        <v>931</v>
      </c>
      <c r="BM376">
        <v>412003</v>
      </c>
    </row>
    <row r="377" spans="1:65" ht="28.9" customHeight="1">
      <c r="A377" s="155">
        <v>504</v>
      </c>
      <c r="B377" s="30">
        <f t="shared" si="36"/>
        <v>412004</v>
      </c>
      <c r="C377" s="30" t="s">
        <v>2216</v>
      </c>
      <c r="D377" s="30"/>
      <c r="E377" s="30" t="s">
        <v>2190</v>
      </c>
      <c r="F377" s="31"/>
      <c r="G377" s="30"/>
      <c r="H377" s="30"/>
      <c r="I377" s="30"/>
      <c r="J377" s="30"/>
      <c r="K377" s="30"/>
      <c r="L377" s="30" t="s">
        <v>2190</v>
      </c>
      <c r="M377" s="30" t="s">
        <v>2181</v>
      </c>
      <c r="N377" s="30"/>
      <c r="P377" s="30"/>
      <c r="Q377" s="30"/>
      <c r="R377" s="30"/>
      <c r="S377" s="30"/>
      <c r="T377" s="43" t="s">
        <v>2219</v>
      </c>
      <c r="U377" s="30"/>
      <c r="V377" s="30"/>
      <c r="W377" s="195" t="s">
        <v>2399</v>
      </c>
      <c r="X377" s="30"/>
      <c r="Y377" s="30"/>
      <c r="Z377" s="30"/>
      <c r="AA377" s="30"/>
      <c r="AB377" s="30"/>
      <c r="AC377" s="30"/>
      <c r="AD377" s="30" t="s">
        <v>2217</v>
      </c>
      <c r="AE377" s="30"/>
      <c r="AF377" s="30" t="str">
        <f t="shared" si="35"/>
        <v>SCG11A              ABB6P_B</v>
      </c>
      <c r="AG377" s="30" t="s">
        <v>2218</v>
      </c>
      <c r="AH377">
        <v>3</v>
      </c>
      <c r="AI377">
        <v>412004</v>
      </c>
      <c r="AJ377" t="s">
        <v>1990</v>
      </c>
      <c r="AK377" t="s">
        <v>19</v>
      </c>
      <c r="AL377" t="s">
        <v>948</v>
      </c>
      <c r="AM377" t="s">
        <v>948</v>
      </c>
      <c r="AN377" t="s">
        <v>947</v>
      </c>
      <c r="AO377" t="s">
        <v>949</v>
      </c>
      <c r="AP377">
        <v>10</v>
      </c>
      <c r="AQ377" t="s">
        <v>942</v>
      </c>
      <c r="AR377" t="s">
        <v>937</v>
      </c>
      <c r="AS377" t="s">
        <v>934</v>
      </c>
      <c r="AT377" t="s">
        <v>19</v>
      </c>
      <c r="AU377" t="s">
        <v>976</v>
      </c>
      <c r="AV377" t="s">
        <v>976</v>
      </c>
      <c r="AW377" t="s">
        <v>982</v>
      </c>
      <c r="AX377" t="s">
        <v>983</v>
      </c>
      <c r="AY377">
        <v>2</v>
      </c>
      <c r="AZ377" t="s">
        <v>984</v>
      </c>
      <c r="BA377" t="s">
        <v>938</v>
      </c>
      <c r="BB377" t="s">
        <v>19</v>
      </c>
      <c r="BC377" t="s">
        <v>1991</v>
      </c>
      <c r="BD377" t="s">
        <v>1115</v>
      </c>
      <c r="BE377" t="s">
        <v>1992</v>
      </c>
      <c r="BF377" t="s">
        <v>1700</v>
      </c>
      <c r="BG377" s="153">
        <v>1555</v>
      </c>
      <c r="BH377" t="s">
        <v>1106</v>
      </c>
      <c r="BI377">
        <v>0.35</v>
      </c>
      <c r="BJ377" t="s">
        <v>1993</v>
      </c>
      <c r="BK377" t="s">
        <v>929</v>
      </c>
      <c r="BL377" t="s">
        <v>931</v>
      </c>
      <c r="BM377">
        <v>412004</v>
      </c>
    </row>
    <row r="378" spans="1:65" ht="28.9" customHeight="1">
      <c r="A378" s="155">
        <v>504</v>
      </c>
      <c r="B378" s="30">
        <f t="shared" si="36"/>
        <v>412005</v>
      </c>
      <c r="C378" s="30" t="s">
        <v>2216</v>
      </c>
      <c r="D378" s="30"/>
      <c r="E378" s="30" t="s">
        <v>2190</v>
      </c>
      <c r="F378" s="31"/>
      <c r="G378" s="30"/>
      <c r="H378" s="30"/>
      <c r="I378" s="30"/>
      <c r="J378" s="30"/>
      <c r="K378" s="30"/>
      <c r="L378" s="30" t="s">
        <v>2190</v>
      </c>
      <c r="M378" s="30" t="s">
        <v>2181</v>
      </c>
      <c r="N378" s="30"/>
      <c r="P378" s="30"/>
      <c r="Q378" s="30"/>
      <c r="R378" s="30"/>
      <c r="S378" s="30"/>
      <c r="T378" s="43" t="s">
        <v>2219</v>
      </c>
      <c r="U378" s="30"/>
      <c r="V378" s="30"/>
      <c r="W378" s="195" t="s">
        <v>2399</v>
      </c>
      <c r="X378" s="30"/>
      <c r="Y378" s="30"/>
      <c r="Z378" s="30"/>
      <c r="AA378" s="30"/>
      <c r="AB378" s="30"/>
      <c r="AC378" s="30"/>
      <c r="AD378" s="30" t="s">
        <v>2217</v>
      </c>
      <c r="AE378" s="30"/>
      <c r="AF378" s="30" t="str">
        <f t="shared" si="35"/>
        <v>SCG11A              ABB6P_B</v>
      </c>
      <c r="AG378" s="30" t="s">
        <v>2218</v>
      </c>
      <c r="AH378">
        <v>3</v>
      </c>
      <c r="AI378">
        <v>412005</v>
      </c>
      <c r="AJ378" t="s">
        <v>1994</v>
      </c>
      <c r="AK378" t="s">
        <v>19</v>
      </c>
      <c r="AL378" t="s">
        <v>948</v>
      </c>
      <c r="AM378" t="s">
        <v>948</v>
      </c>
      <c r="AN378" t="s">
        <v>947</v>
      </c>
      <c r="AO378" t="s">
        <v>949</v>
      </c>
      <c r="AP378">
        <v>14</v>
      </c>
      <c r="AQ378" t="s">
        <v>942</v>
      </c>
      <c r="AR378" t="s">
        <v>937</v>
      </c>
      <c r="AS378" t="s">
        <v>934</v>
      </c>
      <c r="AT378" t="s">
        <v>19</v>
      </c>
      <c r="AU378" t="s">
        <v>976</v>
      </c>
      <c r="AV378" t="s">
        <v>976</v>
      </c>
      <c r="AW378" t="s">
        <v>982</v>
      </c>
      <c r="AX378" t="s">
        <v>983</v>
      </c>
      <c r="AY378">
        <v>1</v>
      </c>
      <c r="AZ378" t="s">
        <v>984</v>
      </c>
      <c r="BA378" t="s">
        <v>938</v>
      </c>
      <c r="BB378" t="s">
        <v>19</v>
      </c>
      <c r="BC378" t="s">
        <v>1991</v>
      </c>
      <c r="BD378" t="s">
        <v>1115</v>
      </c>
      <c r="BE378" t="s">
        <v>1992</v>
      </c>
      <c r="BF378" t="s">
        <v>1995</v>
      </c>
      <c r="BG378" s="153">
        <v>1555</v>
      </c>
      <c r="BH378" t="s">
        <v>1987</v>
      </c>
      <c r="BI378">
        <v>0.35</v>
      </c>
      <c r="BJ378" t="s">
        <v>1996</v>
      </c>
      <c r="BK378" t="s">
        <v>929</v>
      </c>
      <c r="BL378" t="s">
        <v>931</v>
      </c>
      <c r="BM378">
        <v>412005</v>
      </c>
    </row>
    <row r="379" spans="1:65" s="173" customFormat="1" ht="14.45" customHeight="1">
      <c r="A379" s="98">
        <v>502</v>
      </c>
      <c r="B379" s="171">
        <f t="shared" si="36"/>
        <v>412006</v>
      </c>
      <c r="C379" s="171" t="s">
        <v>2216</v>
      </c>
      <c r="D379" s="171"/>
      <c r="E379" s="171" t="s">
        <v>2190</v>
      </c>
      <c r="F379" s="172"/>
      <c r="G379" s="171"/>
      <c r="H379" s="171"/>
      <c r="I379" s="171"/>
      <c r="J379" s="171"/>
      <c r="K379" s="171"/>
      <c r="L379" s="171" t="s">
        <v>2190</v>
      </c>
      <c r="M379" s="171" t="s">
        <v>2190</v>
      </c>
      <c r="N379" s="171"/>
      <c r="O379"/>
      <c r="P379" s="171"/>
      <c r="Q379" s="171"/>
      <c r="R379" s="171"/>
      <c r="S379" s="171"/>
      <c r="T379" s="172"/>
      <c r="U379" s="171"/>
      <c r="V379" s="171"/>
      <c r="W379" s="30"/>
      <c r="X379" s="30"/>
      <c r="Y379" s="171"/>
      <c r="Z379" s="171"/>
      <c r="AA379" s="171"/>
      <c r="AB379" s="171"/>
      <c r="AC379" s="171"/>
      <c r="AD379" s="171" t="s">
        <v>2217</v>
      </c>
      <c r="AE379" s="171"/>
      <c r="AF379" s="207" t="str">
        <f t="shared" si="35"/>
        <v>SCG11A              ABD13V</v>
      </c>
      <c r="AG379" s="171" t="s">
        <v>2218</v>
      </c>
      <c r="AH379" s="173">
        <v>3</v>
      </c>
      <c r="AI379" s="173">
        <v>412006</v>
      </c>
      <c r="AJ379" s="173" t="s">
        <v>1997</v>
      </c>
      <c r="AK379" s="173" t="s">
        <v>19</v>
      </c>
      <c r="AL379" s="173" t="s">
        <v>948</v>
      </c>
      <c r="AM379" s="173" t="s">
        <v>948</v>
      </c>
      <c r="AN379" s="173" t="s">
        <v>947</v>
      </c>
      <c r="AO379" s="173" t="s">
        <v>949</v>
      </c>
      <c r="AP379" s="173">
        <v>18</v>
      </c>
      <c r="AQ379" s="173" t="s">
        <v>942</v>
      </c>
      <c r="AR379" s="173" t="s">
        <v>937</v>
      </c>
      <c r="AS379" s="173" t="s">
        <v>934</v>
      </c>
      <c r="AT379" s="173" t="s">
        <v>19</v>
      </c>
      <c r="AU379" s="173" t="s">
        <v>940</v>
      </c>
      <c r="AV379" s="173" t="s">
        <v>940</v>
      </c>
      <c r="AW379" s="173" t="s">
        <v>939</v>
      </c>
      <c r="AX379" s="173" t="s">
        <v>941</v>
      </c>
      <c r="AY379" s="173">
        <v>1</v>
      </c>
      <c r="AZ379" s="173" t="s">
        <v>942</v>
      </c>
      <c r="BA379" s="173" t="s">
        <v>935</v>
      </c>
      <c r="BB379" s="173" t="s">
        <v>19</v>
      </c>
      <c r="BC379" s="173" t="s">
        <v>1448</v>
      </c>
      <c r="BD379" s="173" t="s">
        <v>1115</v>
      </c>
      <c r="BE379" s="173" t="s">
        <v>19</v>
      </c>
      <c r="BF379" s="173" t="s">
        <v>19</v>
      </c>
      <c r="BG379" s="173">
        <v>1730</v>
      </c>
      <c r="BH379" s="173" t="s">
        <v>1213</v>
      </c>
      <c r="BI379" s="173">
        <v>0.35</v>
      </c>
      <c r="BJ379" s="173" t="s">
        <v>1998</v>
      </c>
      <c r="BK379" s="173">
        <v>0</v>
      </c>
      <c r="BL379" s="173" t="s">
        <v>19</v>
      </c>
      <c r="BM379" s="173">
        <v>412006</v>
      </c>
    </row>
    <row r="380" spans="1:65" s="154" customFormat="1" ht="14.45" customHeight="1">
      <c r="A380" s="155">
        <v>502</v>
      </c>
      <c r="B380" s="155">
        <f t="shared" ref="B380" si="37">AI380</f>
        <v>412006</v>
      </c>
      <c r="C380" s="155" t="s">
        <v>2216</v>
      </c>
      <c r="D380" s="155"/>
      <c r="E380" s="155" t="s">
        <v>2190</v>
      </c>
      <c r="F380" s="187"/>
      <c r="G380" s="155"/>
      <c r="H380" s="155"/>
      <c r="I380" s="155"/>
      <c r="J380" s="155"/>
      <c r="K380" s="155"/>
      <c r="L380" s="155" t="s">
        <v>2190</v>
      </c>
      <c r="M380" s="155" t="s">
        <v>2190</v>
      </c>
      <c r="N380" s="155"/>
      <c r="O380"/>
      <c r="P380" s="155"/>
      <c r="Q380" s="155"/>
      <c r="R380" s="155"/>
      <c r="S380" s="155"/>
      <c r="T380" s="187"/>
      <c r="U380" s="155"/>
      <c r="V380" s="155"/>
      <c r="W380" s="195" t="s">
        <v>2399</v>
      </c>
      <c r="X380" s="195" t="s">
        <v>2399</v>
      </c>
      <c r="Y380" s="155"/>
      <c r="Z380" s="155"/>
      <c r="AA380" s="155"/>
      <c r="AB380" s="155"/>
      <c r="AC380" s="155"/>
      <c r="AD380" s="155" t="s">
        <v>2217</v>
      </c>
      <c r="AE380" s="155"/>
      <c r="AF380" s="208" t="str">
        <f t="shared" si="35"/>
        <v>SCG11A              ABD13V</v>
      </c>
      <c r="AG380" s="155" t="s">
        <v>2218</v>
      </c>
      <c r="AH380" s="154">
        <v>3</v>
      </c>
      <c r="AI380" s="154">
        <v>412006</v>
      </c>
      <c r="AJ380" s="154" t="s">
        <v>1997</v>
      </c>
      <c r="AK380" s="154" t="s">
        <v>19</v>
      </c>
      <c r="AL380" s="154" t="s">
        <v>948</v>
      </c>
      <c r="AM380" s="154" t="s">
        <v>948</v>
      </c>
      <c r="AN380" s="154" t="s">
        <v>947</v>
      </c>
      <c r="AO380" s="154" t="s">
        <v>949</v>
      </c>
      <c r="AP380" s="154">
        <v>18</v>
      </c>
      <c r="AQ380" s="154" t="s">
        <v>942</v>
      </c>
      <c r="AR380" s="154" t="s">
        <v>937</v>
      </c>
      <c r="AS380" s="154" t="s">
        <v>934</v>
      </c>
      <c r="AT380" s="154" t="s">
        <v>19</v>
      </c>
      <c r="AU380" s="154" t="s">
        <v>940</v>
      </c>
      <c r="AV380" s="154" t="s">
        <v>940</v>
      </c>
      <c r="AW380" s="154" t="s">
        <v>939</v>
      </c>
      <c r="AX380" s="154" t="s">
        <v>941</v>
      </c>
      <c r="AY380" s="154">
        <v>1</v>
      </c>
      <c r="AZ380" s="154" t="s">
        <v>942</v>
      </c>
      <c r="BA380" s="154" t="s">
        <v>935</v>
      </c>
      <c r="BB380" s="154" t="s">
        <v>19</v>
      </c>
      <c r="BC380" s="153" t="s">
        <v>2353</v>
      </c>
      <c r="BD380" s="154" t="s">
        <v>1115</v>
      </c>
      <c r="BE380" s="153" t="s">
        <v>2354</v>
      </c>
      <c r="BF380" s="153" t="s">
        <v>2355</v>
      </c>
      <c r="BG380" s="154">
        <v>1730</v>
      </c>
      <c r="BH380" s="153" t="s">
        <v>2356</v>
      </c>
      <c r="BI380" s="154">
        <v>0.35</v>
      </c>
      <c r="BJ380" s="154" t="s">
        <v>1998</v>
      </c>
      <c r="BK380" s="154" t="s">
        <v>929</v>
      </c>
      <c r="BL380" s="154" t="s">
        <v>19</v>
      </c>
      <c r="BM380" s="154">
        <v>412006</v>
      </c>
    </row>
    <row r="381" spans="1:65" s="173" customFormat="1" ht="14.45" customHeight="1">
      <c r="A381" s="98">
        <v>502</v>
      </c>
      <c r="B381" s="171">
        <f t="shared" si="36"/>
        <v>412007</v>
      </c>
      <c r="C381" s="171" t="s">
        <v>2216</v>
      </c>
      <c r="D381" s="171"/>
      <c r="E381" s="171" t="s">
        <v>2190</v>
      </c>
      <c r="F381" s="172"/>
      <c r="G381" s="171"/>
      <c r="H381" s="171"/>
      <c r="I381" s="171"/>
      <c r="J381" s="171"/>
      <c r="K381" s="171"/>
      <c r="L381" s="171" t="s">
        <v>2190</v>
      </c>
      <c r="M381" s="171" t="s">
        <v>2190</v>
      </c>
      <c r="N381" s="171"/>
      <c r="O381"/>
      <c r="P381" s="171"/>
      <c r="Q381" s="171"/>
      <c r="R381" s="171"/>
      <c r="S381" s="171"/>
      <c r="T381" s="172"/>
      <c r="U381" s="171"/>
      <c r="V381" s="171"/>
      <c r="W381" s="30"/>
      <c r="X381" s="30"/>
      <c r="Y381" s="171"/>
      <c r="Z381" s="171"/>
      <c r="AA381" s="171"/>
      <c r="AB381" s="171"/>
      <c r="AC381" s="171"/>
      <c r="AD381" s="171" t="s">
        <v>2217</v>
      </c>
      <c r="AE381" s="171"/>
      <c r="AF381" s="207" t="str">
        <f t="shared" si="35"/>
        <v>SCG11A              ABD13V</v>
      </c>
      <c r="AG381" s="171" t="s">
        <v>2218</v>
      </c>
      <c r="AH381" s="173">
        <v>3</v>
      </c>
      <c r="AI381" s="173">
        <v>412007</v>
      </c>
      <c r="AJ381" s="173" t="s">
        <v>1999</v>
      </c>
      <c r="AK381" s="173" t="s">
        <v>19</v>
      </c>
      <c r="AL381" s="173" t="s">
        <v>948</v>
      </c>
      <c r="AM381" s="173" t="s">
        <v>948</v>
      </c>
      <c r="AN381" s="173" t="s">
        <v>947</v>
      </c>
      <c r="AO381" s="173" t="s">
        <v>949</v>
      </c>
      <c r="AP381" s="173">
        <v>19</v>
      </c>
      <c r="AQ381" s="173" t="s">
        <v>942</v>
      </c>
      <c r="AR381" s="173" t="s">
        <v>937</v>
      </c>
      <c r="AS381" s="173" t="s">
        <v>934</v>
      </c>
      <c r="AT381" s="173" t="s">
        <v>19</v>
      </c>
      <c r="AU381" s="173" t="s">
        <v>940</v>
      </c>
      <c r="AV381" s="173" t="s">
        <v>940</v>
      </c>
      <c r="AW381" s="173" t="s">
        <v>939</v>
      </c>
      <c r="AX381" s="173" t="s">
        <v>941</v>
      </c>
      <c r="AY381" s="173">
        <v>2</v>
      </c>
      <c r="AZ381" s="173" t="s">
        <v>942</v>
      </c>
      <c r="BA381" s="173" t="s">
        <v>935</v>
      </c>
      <c r="BB381" s="173" t="s">
        <v>19</v>
      </c>
      <c r="BC381" s="173" t="s">
        <v>2000</v>
      </c>
      <c r="BD381" s="173" t="s">
        <v>1115</v>
      </c>
      <c r="BE381" s="173" t="s">
        <v>19</v>
      </c>
      <c r="BF381" s="173" t="s">
        <v>19</v>
      </c>
      <c r="BG381" s="173">
        <v>1730</v>
      </c>
      <c r="BH381" s="173" t="s">
        <v>2001</v>
      </c>
      <c r="BI381" s="173">
        <v>0.35</v>
      </c>
      <c r="BJ381" s="173" t="s">
        <v>2002</v>
      </c>
      <c r="BK381" s="173">
        <v>0</v>
      </c>
      <c r="BL381" s="173" t="s">
        <v>19</v>
      </c>
      <c r="BM381" s="173">
        <v>412007</v>
      </c>
    </row>
    <row r="382" spans="1:65" s="154" customFormat="1" ht="14.45" customHeight="1">
      <c r="A382" s="155">
        <v>502</v>
      </c>
      <c r="B382" s="155">
        <f t="shared" ref="B382" si="38">AI382</f>
        <v>412007</v>
      </c>
      <c r="C382" s="155" t="s">
        <v>2216</v>
      </c>
      <c r="D382" s="155"/>
      <c r="E382" s="155" t="s">
        <v>2190</v>
      </c>
      <c r="F382" s="187"/>
      <c r="G382" s="155"/>
      <c r="H382" s="155"/>
      <c r="I382" s="155"/>
      <c r="J382" s="155"/>
      <c r="K382" s="155"/>
      <c r="L382" s="155" t="s">
        <v>2190</v>
      </c>
      <c r="M382" s="155" t="s">
        <v>2190</v>
      </c>
      <c r="N382" s="155"/>
      <c r="O382"/>
      <c r="P382" s="155"/>
      <c r="Q382" s="155"/>
      <c r="R382" s="155"/>
      <c r="S382" s="155"/>
      <c r="T382" s="187"/>
      <c r="U382" s="155"/>
      <c r="V382" s="155"/>
      <c r="W382" s="195" t="s">
        <v>2399</v>
      </c>
      <c r="X382" s="195" t="s">
        <v>2399</v>
      </c>
      <c r="Y382" s="155"/>
      <c r="Z382" s="155"/>
      <c r="AA382" s="155"/>
      <c r="AB382" s="155"/>
      <c r="AC382" s="155"/>
      <c r="AD382" s="155" t="s">
        <v>2217</v>
      </c>
      <c r="AE382" s="155"/>
      <c r="AF382" s="208" t="str">
        <f t="shared" si="35"/>
        <v>SCG11A              ABD13V</v>
      </c>
      <c r="AG382" s="155" t="s">
        <v>2218</v>
      </c>
      <c r="AH382" s="154">
        <v>3</v>
      </c>
      <c r="AI382" s="154">
        <v>412007</v>
      </c>
      <c r="AJ382" s="154" t="s">
        <v>1999</v>
      </c>
      <c r="AK382" s="154" t="s">
        <v>19</v>
      </c>
      <c r="AL382" s="154" t="s">
        <v>948</v>
      </c>
      <c r="AM382" s="154" t="s">
        <v>948</v>
      </c>
      <c r="AN382" s="154" t="s">
        <v>947</v>
      </c>
      <c r="AO382" s="154" t="s">
        <v>949</v>
      </c>
      <c r="AP382" s="154">
        <v>19</v>
      </c>
      <c r="AQ382" s="154" t="s">
        <v>942</v>
      </c>
      <c r="AR382" s="154" t="s">
        <v>937</v>
      </c>
      <c r="AS382" s="154" t="s">
        <v>934</v>
      </c>
      <c r="AT382" s="154" t="s">
        <v>19</v>
      </c>
      <c r="AU382" s="154" t="s">
        <v>940</v>
      </c>
      <c r="AV382" s="154" t="s">
        <v>940</v>
      </c>
      <c r="AW382" s="154" t="s">
        <v>939</v>
      </c>
      <c r="AX382" s="154" t="s">
        <v>941</v>
      </c>
      <c r="AY382" s="154">
        <v>2</v>
      </c>
      <c r="AZ382" s="154" t="s">
        <v>942</v>
      </c>
      <c r="BA382" s="154" t="s">
        <v>935</v>
      </c>
      <c r="BB382" s="154" t="s">
        <v>19</v>
      </c>
      <c r="BC382" s="153" t="s">
        <v>2353</v>
      </c>
      <c r="BD382" s="154" t="s">
        <v>1115</v>
      </c>
      <c r="BE382" s="153" t="s">
        <v>2354</v>
      </c>
      <c r="BF382" s="153" t="s">
        <v>2357</v>
      </c>
      <c r="BG382" s="154">
        <v>1730</v>
      </c>
      <c r="BH382" s="154" t="s">
        <v>2001</v>
      </c>
      <c r="BI382" s="154">
        <v>0.35</v>
      </c>
      <c r="BJ382" s="154" t="s">
        <v>2002</v>
      </c>
      <c r="BK382" s="154" t="s">
        <v>929</v>
      </c>
      <c r="BL382" s="154" t="s">
        <v>19</v>
      </c>
      <c r="BM382" s="154">
        <v>412007</v>
      </c>
    </row>
    <row r="383" spans="1:65" s="173" customFormat="1" ht="14.45" customHeight="1">
      <c r="A383" s="98">
        <v>502</v>
      </c>
      <c r="B383" s="171">
        <f t="shared" si="36"/>
        <v>412008</v>
      </c>
      <c r="C383" s="171" t="s">
        <v>2216</v>
      </c>
      <c r="D383" s="171"/>
      <c r="E383" s="171" t="s">
        <v>2190</v>
      </c>
      <c r="F383" s="172"/>
      <c r="G383" s="171"/>
      <c r="H383" s="171"/>
      <c r="I383" s="171"/>
      <c r="J383" s="171"/>
      <c r="K383" s="171"/>
      <c r="L383" s="171" t="s">
        <v>2190</v>
      </c>
      <c r="M383" s="171" t="s">
        <v>2190</v>
      </c>
      <c r="N383" s="171"/>
      <c r="O383"/>
      <c r="P383" s="171"/>
      <c r="Q383" s="171"/>
      <c r="R383" s="171"/>
      <c r="S383" s="171"/>
      <c r="T383" s="172"/>
      <c r="U383" s="171"/>
      <c r="V383" s="171"/>
      <c r="W383" s="30"/>
      <c r="X383" s="30"/>
      <c r="Y383" s="171"/>
      <c r="Z383" s="171"/>
      <c r="AA383" s="171"/>
      <c r="AB383" s="171"/>
      <c r="AC383" s="171"/>
      <c r="AD383" s="171" t="s">
        <v>2217</v>
      </c>
      <c r="AE383" s="171"/>
      <c r="AF383" s="207" t="str">
        <f t="shared" si="35"/>
        <v>SCG11A              ABD13V</v>
      </c>
      <c r="AG383" s="171" t="s">
        <v>2218</v>
      </c>
      <c r="AH383" s="173">
        <v>3</v>
      </c>
      <c r="AI383" s="173">
        <v>412008</v>
      </c>
      <c r="AJ383" s="173" t="s">
        <v>2003</v>
      </c>
      <c r="AK383" s="173" t="s">
        <v>19</v>
      </c>
      <c r="AL383" s="173" t="s">
        <v>948</v>
      </c>
      <c r="AM383" s="173" t="s">
        <v>948</v>
      </c>
      <c r="AN383" s="173" t="s">
        <v>947</v>
      </c>
      <c r="AO383" s="173" t="s">
        <v>949</v>
      </c>
      <c r="AP383" s="173">
        <v>20</v>
      </c>
      <c r="AQ383" s="173" t="s">
        <v>942</v>
      </c>
      <c r="AR383" s="173" t="s">
        <v>937</v>
      </c>
      <c r="AS383" s="173" t="s">
        <v>934</v>
      </c>
      <c r="AT383" s="173" t="s">
        <v>19</v>
      </c>
      <c r="AU383" s="173" t="s">
        <v>940</v>
      </c>
      <c r="AV383" s="173" t="s">
        <v>940</v>
      </c>
      <c r="AW383" s="173" t="s">
        <v>939</v>
      </c>
      <c r="AX383" s="173" t="s">
        <v>941</v>
      </c>
      <c r="AY383" s="173">
        <v>3</v>
      </c>
      <c r="AZ383" s="173" t="s">
        <v>942</v>
      </c>
      <c r="BA383" s="173" t="s">
        <v>935</v>
      </c>
      <c r="BB383" s="173" t="s">
        <v>19</v>
      </c>
      <c r="BC383" s="173" t="s">
        <v>1287</v>
      </c>
      <c r="BD383" s="173" t="s">
        <v>1115</v>
      </c>
      <c r="BE383" s="173" t="s">
        <v>19</v>
      </c>
      <c r="BF383" s="173" t="s">
        <v>19</v>
      </c>
      <c r="BG383" s="173">
        <v>1730</v>
      </c>
      <c r="BH383" s="173" t="s">
        <v>1094</v>
      </c>
      <c r="BI383" s="173">
        <v>0.35</v>
      </c>
      <c r="BJ383" s="173" t="s">
        <v>2004</v>
      </c>
      <c r="BK383" s="173">
        <v>0</v>
      </c>
      <c r="BL383" s="173" t="s">
        <v>19</v>
      </c>
      <c r="BM383" s="173">
        <v>412008</v>
      </c>
    </row>
    <row r="384" spans="1:65" s="154" customFormat="1" ht="14.45" customHeight="1">
      <c r="A384" s="155">
        <v>502</v>
      </c>
      <c r="B384" s="155">
        <f t="shared" ref="B384" si="39">AI384</f>
        <v>412008</v>
      </c>
      <c r="C384" s="155" t="s">
        <v>2216</v>
      </c>
      <c r="D384" s="155"/>
      <c r="E384" s="155" t="s">
        <v>2190</v>
      </c>
      <c r="F384" s="187"/>
      <c r="G384" s="155"/>
      <c r="H384" s="155"/>
      <c r="I384" s="155"/>
      <c r="J384" s="155"/>
      <c r="K384" s="155"/>
      <c r="L384" s="155" t="s">
        <v>2190</v>
      </c>
      <c r="M384" s="155" t="s">
        <v>2190</v>
      </c>
      <c r="N384" s="155"/>
      <c r="O384"/>
      <c r="P384" s="155"/>
      <c r="Q384" s="155"/>
      <c r="R384" s="155"/>
      <c r="S384" s="155"/>
      <c r="T384" s="187"/>
      <c r="U384" s="155"/>
      <c r="V384" s="155"/>
      <c r="W384" s="195" t="s">
        <v>2399</v>
      </c>
      <c r="X384" s="195" t="s">
        <v>2399</v>
      </c>
      <c r="Y384" s="155"/>
      <c r="Z384" s="155"/>
      <c r="AA384" s="155"/>
      <c r="AB384" s="155"/>
      <c r="AC384" s="155"/>
      <c r="AD384" s="155" t="s">
        <v>2217</v>
      </c>
      <c r="AE384" s="155"/>
      <c r="AF384" s="208" t="str">
        <f t="shared" si="35"/>
        <v>SCG11A              ABD13V</v>
      </c>
      <c r="AG384" s="155" t="s">
        <v>2218</v>
      </c>
      <c r="AH384" s="154">
        <v>3</v>
      </c>
      <c r="AI384" s="154">
        <v>412008</v>
      </c>
      <c r="AJ384" s="154" t="s">
        <v>2003</v>
      </c>
      <c r="AK384" s="154" t="s">
        <v>19</v>
      </c>
      <c r="AL384" s="154" t="s">
        <v>948</v>
      </c>
      <c r="AM384" s="154" t="s">
        <v>948</v>
      </c>
      <c r="AN384" s="154" t="s">
        <v>947</v>
      </c>
      <c r="AO384" s="154" t="s">
        <v>949</v>
      </c>
      <c r="AP384" s="154">
        <v>20</v>
      </c>
      <c r="AQ384" s="154" t="s">
        <v>942</v>
      </c>
      <c r="AR384" s="154" t="s">
        <v>937</v>
      </c>
      <c r="AS384" s="154" t="s">
        <v>934</v>
      </c>
      <c r="AT384" s="154" t="s">
        <v>19</v>
      </c>
      <c r="AU384" s="154" t="s">
        <v>940</v>
      </c>
      <c r="AV384" s="154" t="s">
        <v>940</v>
      </c>
      <c r="AW384" s="154" t="s">
        <v>939</v>
      </c>
      <c r="AX384" s="154" t="s">
        <v>941</v>
      </c>
      <c r="AY384" s="154">
        <v>3</v>
      </c>
      <c r="AZ384" s="154" t="s">
        <v>942</v>
      </c>
      <c r="BA384" s="154" t="s">
        <v>935</v>
      </c>
      <c r="BB384" s="154" t="s">
        <v>19</v>
      </c>
      <c r="BC384" s="153" t="s">
        <v>2353</v>
      </c>
      <c r="BD384" s="154" t="s">
        <v>1115</v>
      </c>
      <c r="BE384" s="153" t="s">
        <v>2354</v>
      </c>
      <c r="BF384" s="153" t="s">
        <v>2358</v>
      </c>
      <c r="BG384" s="154">
        <v>1730</v>
      </c>
      <c r="BH384" s="154" t="s">
        <v>1094</v>
      </c>
      <c r="BI384" s="154">
        <v>0.35</v>
      </c>
      <c r="BJ384" s="154" t="s">
        <v>2004</v>
      </c>
      <c r="BK384" s="154" t="s">
        <v>929</v>
      </c>
      <c r="BL384" s="154" t="s">
        <v>19</v>
      </c>
      <c r="BM384" s="154">
        <v>412008</v>
      </c>
    </row>
    <row r="385" spans="1:65" ht="14.45" customHeight="1">
      <c r="A385" s="155"/>
      <c r="B385" s="30">
        <f t="shared" si="36"/>
        <v>412009</v>
      </c>
      <c r="C385" s="30" t="s">
        <v>2216</v>
      </c>
      <c r="D385" s="30"/>
      <c r="E385" s="30" t="s">
        <v>2190</v>
      </c>
      <c r="F385" s="31"/>
      <c r="G385" s="30"/>
      <c r="H385" s="30"/>
      <c r="I385" s="30"/>
      <c r="J385" s="30"/>
      <c r="K385" s="30"/>
      <c r="L385" s="30" t="s">
        <v>2190</v>
      </c>
      <c r="M385" s="30" t="s">
        <v>2181</v>
      </c>
      <c r="N385" s="30"/>
      <c r="P385" s="30"/>
      <c r="Q385" s="30"/>
      <c r="R385" s="30"/>
      <c r="S385" s="30"/>
      <c r="T385" s="176">
        <v>980018078</v>
      </c>
      <c r="U385" s="30"/>
      <c r="V385" s="30"/>
      <c r="W385" s="195" t="s">
        <v>2399</v>
      </c>
      <c r="X385" s="30"/>
      <c r="Y385" s="30"/>
      <c r="Z385" s="30"/>
      <c r="AA385" s="30"/>
      <c r="AB385" s="30"/>
      <c r="AC385" s="30"/>
      <c r="AD385" s="30" t="s">
        <v>2217</v>
      </c>
      <c r="AE385" s="30"/>
      <c r="AF385" s="30" t="str">
        <f t="shared" si="35"/>
        <v>SCG11A              KNAB53P</v>
      </c>
      <c r="AG385" s="30" t="s">
        <v>2218</v>
      </c>
      <c r="AH385">
        <v>3</v>
      </c>
      <c r="AI385">
        <v>412009</v>
      </c>
      <c r="AJ385" t="s">
        <v>2005</v>
      </c>
      <c r="AK385" t="s">
        <v>19</v>
      </c>
      <c r="AL385" t="s">
        <v>948</v>
      </c>
      <c r="AM385" t="s">
        <v>948</v>
      </c>
      <c r="AN385" t="s">
        <v>947</v>
      </c>
      <c r="AO385" t="s">
        <v>949</v>
      </c>
      <c r="AP385">
        <v>6</v>
      </c>
      <c r="AQ385" t="s">
        <v>942</v>
      </c>
      <c r="AR385" t="s">
        <v>937</v>
      </c>
      <c r="AS385" t="s">
        <v>934</v>
      </c>
      <c r="AT385" t="s">
        <v>19</v>
      </c>
      <c r="AU385" t="s">
        <v>961</v>
      </c>
      <c r="AV385" t="s">
        <v>961</v>
      </c>
      <c r="AW385" t="s">
        <v>960</v>
      </c>
      <c r="AX385" t="s">
        <v>962</v>
      </c>
      <c r="AY385">
        <v>2</v>
      </c>
      <c r="AZ385" t="s">
        <v>963</v>
      </c>
      <c r="BA385" t="s">
        <v>938</v>
      </c>
      <c r="BB385" t="s">
        <v>19</v>
      </c>
      <c r="BC385" t="s">
        <v>2006</v>
      </c>
      <c r="BD385" t="s">
        <v>1115</v>
      </c>
      <c r="BE385" t="s">
        <v>2007</v>
      </c>
      <c r="BF385" t="s">
        <v>1986</v>
      </c>
      <c r="BG385">
        <v>1740</v>
      </c>
      <c r="BH385" t="s">
        <v>1987</v>
      </c>
      <c r="BI385">
        <v>0.35</v>
      </c>
      <c r="BJ385" t="s">
        <v>2008</v>
      </c>
      <c r="BK385" t="s">
        <v>929</v>
      </c>
      <c r="BL385" t="s">
        <v>931</v>
      </c>
      <c r="BM385">
        <v>412009</v>
      </c>
    </row>
    <row r="386" spans="1:65" ht="14.45" customHeight="1">
      <c r="A386" s="155"/>
      <c r="B386" s="30">
        <f t="shared" si="36"/>
        <v>412010</v>
      </c>
      <c r="C386" s="30" t="s">
        <v>2216</v>
      </c>
      <c r="D386" s="30"/>
      <c r="E386" s="30" t="s">
        <v>2190</v>
      </c>
      <c r="F386" s="31"/>
      <c r="G386" s="30"/>
      <c r="H386" s="30"/>
      <c r="I386" s="30"/>
      <c r="J386" s="30"/>
      <c r="K386" s="30"/>
      <c r="L386" s="30" t="s">
        <v>2190</v>
      </c>
      <c r="M386" s="30" t="s">
        <v>2181</v>
      </c>
      <c r="N386" s="30"/>
      <c r="P386" s="30"/>
      <c r="Q386" s="30"/>
      <c r="R386" s="30"/>
      <c r="S386" s="30"/>
      <c r="T386" s="176">
        <v>980018078</v>
      </c>
      <c r="U386" s="30"/>
      <c r="V386" s="30"/>
      <c r="W386" s="195" t="s">
        <v>2399</v>
      </c>
      <c r="X386" s="30"/>
      <c r="Y386" s="30"/>
      <c r="Z386" s="30"/>
      <c r="AA386" s="30"/>
      <c r="AB386" s="30"/>
      <c r="AC386" s="30"/>
      <c r="AD386" s="30" t="s">
        <v>2217</v>
      </c>
      <c r="AE386" s="30"/>
      <c r="AF386" s="30" t="str">
        <f t="shared" si="35"/>
        <v>SCG11A              KNAB53P</v>
      </c>
      <c r="AG386" s="30" t="s">
        <v>2218</v>
      </c>
      <c r="AH386">
        <v>3</v>
      </c>
      <c r="AI386">
        <v>412010</v>
      </c>
      <c r="AJ386" t="s">
        <v>2009</v>
      </c>
      <c r="AK386" t="s">
        <v>19</v>
      </c>
      <c r="AL386" t="s">
        <v>948</v>
      </c>
      <c r="AM386" t="s">
        <v>948</v>
      </c>
      <c r="AN386" t="s">
        <v>947</v>
      </c>
      <c r="AO386" t="s">
        <v>949</v>
      </c>
      <c r="AP386">
        <v>2</v>
      </c>
      <c r="AQ386" t="s">
        <v>942</v>
      </c>
      <c r="AR386" t="s">
        <v>937</v>
      </c>
      <c r="AS386" t="s">
        <v>934</v>
      </c>
      <c r="AT386" t="s">
        <v>19</v>
      </c>
      <c r="AU386" t="s">
        <v>961</v>
      </c>
      <c r="AV386" t="s">
        <v>961</v>
      </c>
      <c r="AW386" t="s">
        <v>960</v>
      </c>
      <c r="AX386" t="s">
        <v>962</v>
      </c>
      <c r="AY386">
        <v>1</v>
      </c>
      <c r="AZ386" t="s">
        <v>963</v>
      </c>
      <c r="BA386" t="s">
        <v>938</v>
      </c>
      <c r="BB386" t="s">
        <v>19</v>
      </c>
      <c r="BC386" t="s">
        <v>2006</v>
      </c>
      <c r="BD386" t="s">
        <v>1115</v>
      </c>
      <c r="BE386" t="s">
        <v>2007</v>
      </c>
      <c r="BF386" t="s">
        <v>1673</v>
      </c>
      <c r="BG386">
        <v>1740</v>
      </c>
      <c r="BH386" t="s">
        <v>1173</v>
      </c>
      <c r="BI386">
        <v>0.35</v>
      </c>
      <c r="BJ386" t="s">
        <v>2010</v>
      </c>
      <c r="BK386" t="s">
        <v>929</v>
      </c>
      <c r="BL386" t="s">
        <v>931</v>
      </c>
      <c r="BM386">
        <v>412010</v>
      </c>
    </row>
    <row r="387" spans="1:65" ht="14.45" customHeight="1">
      <c r="A387" s="155"/>
      <c r="B387" s="30">
        <f t="shared" si="36"/>
        <v>412011</v>
      </c>
      <c r="C387" s="30" t="s">
        <v>2216</v>
      </c>
      <c r="D387" s="30"/>
      <c r="E387" s="30" t="s">
        <v>2190</v>
      </c>
      <c r="F387" s="31" t="s">
        <v>2183</v>
      </c>
      <c r="G387" s="30" t="s">
        <v>1240</v>
      </c>
      <c r="H387" s="30"/>
      <c r="I387" s="30"/>
      <c r="J387" s="30"/>
      <c r="K387" s="30" t="s">
        <v>2184</v>
      </c>
      <c r="L387" s="30" t="s">
        <v>2180</v>
      </c>
      <c r="M387" s="30" t="s">
        <v>2187</v>
      </c>
      <c r="N387" s="30"/>
      <c r="P387" s="30"/>
      <c r="Q387" s="30"/>
      <c r="R387" s="30"/>
      <c r="S387" s="30"/>
      <c r="T387" s="176">
        <v>980018078</v>
      </c>
      <c r="U387" s="30"/>
      <c r="V387" s="30"/>
      <c r="W387" s="30"/>
      <c r="X387" s="30"/>
      <c r="Y387" s="30"/>
      <c r="Z387" s="30"/>
      <c r="AA387" s="30"/>
      <c r="AB387" s="30"/>
      <c r="AC387" s="30"/>
      <c r="AD387" s="30"/>
      <c r="AE387" s="30"/>
      <c r="AF387" s="30" t="str">
        <f t="shared" si="35"/>
        <v>KNAB53P             SP_MB31_B2</v>
      </c>
      <c r="AG387" s="30" t="s">
        <v>2218</v>
      </c>
      <c r="AH387">
        <v>3</v>
      </c>
      <c r="AI387">
        <v>412011</v>
      </c>
      <c r="AJ387" t="s">
        <v>2011</v>
      </c>
      <c r="AK387" t="s">
        <v>19</v>
      </c>
      <c r="AL387" t="s">
        <v>961</v>
      </c>
      <c r="AM387" t="s">
        <v>961</v>
      </c>
      <c r="AN387" t="s">
        <v>960</v>
      </c>
      <c r="AO387" t="s">
        <v>962</v>
      </c>
      <c r="AP387">
        <v>3</v>
      </c>
      <c r="AQ387" t="s">
        <v>963</v>
      </c>
      <c r="AR387" t="s">
        <v>938</v>
      </c>
      <c r="AS387" t="s">
        <v>19</v>
      </c>
      <c r="AT387" t="s">
        <v>19</v>
      </c>
      <c r="AU387" t="s">
        <v>19</v>
      </c>
      <c r="AV387" t="s">
        <v>1239</v>
      </c>
      <c r="AW387">
        <v>213</v>
      </c>
      <c r="AX387" t="s">
        <v>1240</v>
      </c>
      <c r="AY387">
        <v>1</v>
      </c>
      <c r="AZ387" t="s">
        <v>1241</v>
      </c>
      <c r="BA387" t="s">
        <v>19</v>
      </c>
      <c r="BB387" t="s">
        <v>19</v>
      </c>
      <c r="BC387" t="s">
        <v>1287</v>
      </c>
      <c r="BD387" t="s">
        <v>1115</v>
      </c>
      <c r="BE387" t="s">
        <v>19</v>
      </c>
      <c r="BF387" t="s">
        <v>19</v>
      </c>
      <c r="BG387">
        <v>338</v>
      </c>
      <c r="BH387" t="s">
        <v>1094</v>
      </c>
      <c r="BI387">
        <v>0.35</v>
      </c>
      <c r="BJ387" t="s">
        <v>1122</v>
      </c>
      <c r="BK387" t="s">
        <v>929</v>
      </c>
      <c r="BL387" t="s">
        <v>931</v>
      </c>
      <c r="BM387">
        <v>412011</v>
      </c>
    </row>
    <row r="388" spans="1:65" ht="14.45" customHeight="1">
      <c r="A388" s="155"/>
      <c r="B388" s="30">
        <f t="shared" si="36"/>
        <v>412012</v>
      </c>
      <c r="C388" s="30" t="s">
        <v>2216</v>
      </c>
      <c r="D388" s="30"/>
      <c r="E388" s="30" t="s">
        <v>2190</v>
      </c>
      <c r="F388" s="31"/>
      <c r="G388" s="30"/>
      <c r="H388" s="30"/>
      <c r="I388" s="30"/>
      <c r="J388" s="30"/>
      <c r="K388" s="30"/>
      <c r="L388" s="30" t="s">
        <v>2190</v>
      </c>
      <c r="M388" s="30" t="s">
        <v>2181</v>
      </c>
      <c r="N388" s="30"/>
      <c r="P388" s="30"/>
      <c r="Q388" s="30"/>
      <c r="R388" s="30"/>
      <c r="S388" s="30"/>
      <c r="T388" s="176">
        <v>980018079</v>
      </c>
      <c r="U388" s="30"/>
      <c r="V388" s="30"/>
      <c r="W388" s="195" t="s">
        <v>2399</v>
      </c>
      <c r="X388" s="30"/>
      <c r="Y388" s="30"/>
      <c r="Z388" s="30"/>
      <c r="AA388" s="30"/>
      <c r="AB388" s="30"/>
      <c r="AC388" s="30"/>
      <c r="AD388" s="30" t="s">
        <v>2217</v>
      </c>
      <c r="AE388" s="30"/>
      <c r="AF388" s="30" t="str">
        <f t="shared" si="35"/>
        <v>SCG11A              KNAB54P</v>
      </c>
      <c r="AG388" s="30" t="s">
        <v>2218</v>
      </c>
      <c r="AH388">
        <v>3</v>
      </c>
      <c r="AI388">
        <v>412012</v>
      </c>
      <c r="AJ388" t="s">
        <v>2012</v>
      </c>
      <c r="AK388" t="s">
        <v>19</v>
      </c>
      <c r="AL388" t="s">
        <v>948</v>
      </c>
      <c r="AM388" t="s">
        <v>948</v>
      </c>
      <c r="AN388" t="s">
        <v>947</v>
      </c>
      <c r="AO388" t="s">
        <v>949</v>
      </c>
      <c r="AP388">
        <v>5</v>
      </c>
      <c r="AQ388" t="s">
        <v>942</v>
      </c>
      <c r="AR388" t="s">
        <v>937</v>
      </c>
      <c r="AS388" t="s">
        <v>934</v>
      </c>
      <c r="AT388" t="s">
        <v>19</v>
      </c>
      <c r="AU388" t="s">
        <v>970</v>
      </c>
      <c r="AV388" t="s">
        <v>970</v>
      </c>
      <c r="AW388" t="s">
        <v>969</v>
      </c>
      <c r="AX388" t="s">
        <v>971</v>
      </c>
      <c r="AY388">
        <v>2</v>
      </c>
      <c r="AZ388" t="s">
        <v>972</v>
      </c>
      <c r="BA388" t="s">
        <v>938</v>
      </c>
      <c r="BB388" t="s">
        <v>19</v>
      </c>
      <c r="BC388" t="s">
        <v>2013</v>
      </c>
      <c r="BD388" t="s">
        <v>1115</v>
      </c>
      <c r="BE388" t="s">
        <v>2014</v>
      </c>
      <c r="BF388" t="s">
        <v>2015</v>
      </c>
      <c r="BG388">
        <v>2119</v>
      </c>
      <c r="BH388" t="s">
        <v>1111</v>
      </c>
      <c r="BI388">
        <v>0.35</v>
      </c>
      <c r="BJ388" t="s">
        <v>2016</v>
      </c>
      <c r="BK388" t="s">
        <v>929</v>
      </c>
      <c r="BL388" t="s">
        <v>931</v>
      </c>
      <c r="BM388">
        <v>412012</v>
      </c>
    </row>
    <row r="389" spans="1:65" ht="14.45" customHeight="1">
      <c r="A389" s="155"/>
      <c r="B389" s="30">
        <f t="shared" si="36"/>
        <v>412013</v>
      </c>
      <c r="C389" s="30" t="s">
        <v>2216</v>
      </c>
      <c r="D389" s="30"/>
      <c r="E389" s="30" t="s">
        <v>2190</v>
      </c>
      <c r="F389" s="31"/>
      <c r="G389" s="30"/>
      <c r="H389" s="30"/>
      <c r="I389" s="30"/>
      <c r="J389" s="30"/>
      <c r="K389" s="30"/>
      <c r="L389" s="30" t="s">
        <v>2190</v>
      </c>
      <c r="M389" s="30" t="s">
        <v>2181</v>
      </c>
      <c r="N389" s="30"/>
      <c r="P389" s="30"/>
      <c r="Q389" s="30"/>
      <c r="R389" s="30"/>
      <c r="S389" s="30"/>
      <c r="T389" s="176">
        <v>980018079</v>
      </c>
      <c r="U389" s="30"/>
      <c r="V389" s="30"/>
      <c r="W389" s="195" t="s">
        <v>2399</v>
      </c>
      <c r="X389" s="30"/>
      <c r="Y389" s="30"/>
      <c r="Z389" s="30"/>
      <c r="AA389" s="30"/>
      <c r="AB389" s="30"/>
      <c r="AC389" s="30"/>
      <c r="AD389" s="30" t="s">
        <v>2217</v>
      </c>
      <c r="AE389" s="30"/>
      <c r="AF389" s="30" t="str">
        <f t="shared" si="35"/>
        <v>SCG11A              KNAB54P</v>
      </c>
      <c r="AG389" s="30" t="s">
        <v>2218</v>
      </c>
      <c r="AH389">
        <v>3</v>
      </c>
      <c r="AI389">
        <v>412013</v>
      </c>
      <c r="AJ389" t="s">
        <v>2017</v>
      </c>
      <c r="AK389" t="s">
        <v>19</v>
      </c>
      <c r="AL389" t="s">
        <v>948</v>
      </c>
      <c r="AM389" t="s">
        <v>948</v>
      </c>
      <c r="AN389" t="s">
        <v>947</v>
      </c>
      <c r="AO389" t="s">
        <v>949</v>
      </c>
      <c r="AP389">
        <v>1</v>
      </c>
      <c r="AQ389" t="s">
        <v>942</v>
      </c>
      <c r="AR389" t="s">
        <v>937</v>
      </c>
      <c r="AS389" t="s">
        <v>934</v>
      </c>
      <c r="AT389" t="s">
        <v>19</v>
      </c>
      <c r="AU389" t="s">
        <v>970</v>
      </c>
      <c r="AV389" t="s">
        <v>970</v>
      </c>
      <c r="AW389" t="s">
        <v>969</v>
      </c>
      <c r="AX389" t="s">
        <v>971</v>
      </c>
      <c r="AY389">
        <v>1</v>
      </c>
      <c r="AZ389" t="s">
        <v>972</v>
      </c>
      <c r="BA389" t="s">
        <v>938</v>
      </c>
      <c r="BB389" t="s">
        <v>19</v>
      </c>
      <c r="BC389" t="s">
        <v>2013</v>
      </c>
      <c r="BD389" t="s">
        <v>1115</v>
      </c>
      <c r="BE389" t="s">
        <v>2014</v>
      </c>
      <c r="BF389" t="s">
        <v>1983</v>
      </c>
      <c r="BG389">
        <v>2119</v>
      </c>
      <c r="BH389" t="s">
        <v>1236</v>
      </c>
      <c r="BI389">
        <v>0.35</v>
      </c>
      <c r="BJ389" t="s">
        <v>2018</v>
      </c>
      <c r="BK389" t="s">
        <v>929</v>
      </c>
      <c r="BL389" t="s">
        <v>931</v>
      </c>
      <c r="BM389">
        <v>412013</v>
      </c>
    </row>
    <row r="390" spans="1:65" ht="14.45" customHeight="1">
      <c r="A390" s="155"/>
      <c r="B390" s="30">
        <f t="shared" si="36"/>
        <v>412014</v>
      </c>
      <c r="C390" s="30" t="s">
        <v>2216</v>
      </c>
      <c r="D390" s="30"/>
      <c r="E390" s="30" t="s">
        <v>2190</v>
      </c>
      <c r="F390" s="31" t="s">
        <v>2183</v>
      </c>
      <c r="G390" s="30" t="s">
        <v>1152</v>
      </c>
      <c r="H390" s="30"/>
      <c r="I390" s="30"/>
      <c r="J390" s="30"/>
      <c r="K390" s="30" t="s">
        <v>2184</v>
      </c>
      <c r="L390" s="30" t="s">
        <v>2180</v>
      </c>
      <c r="M390" s="30" t="s">
        <v>2187</v>
      </c>
      <c r="N390" s="30"/>
      <c r="P390" s="30"/>
      <c r="Q390" s="30"/>
      <c r="R390" s="30"/>
      <c r="S390" s="30"/>
      <c r="T390" s="176">
        <v>980018079</v>
      </c>
      <c r="U390" s="30"/>
      <c r="V390" s="30"/>
      <c r="W390" s="30"/>
      <c r="X390" s="30"/>
      <c r="Y390" s="30"/>
      <c r="Z390" s="30"/>
      <c r="AA390" s="30"/>
      <c r="AB390" s="30"/>
      <c r="AC390" s="30"/>
      <c r="AD390" s="30"/>
      <c r="AE390" s="30"/>
      <c r="AF390" s="30" t="str">
        <f t="shared" si="35"/>
        <v>KNAB54P             SP_MB32_B2</v>
      </c>
      <c r="AG390" s="30" t="s">
        <v>2218</v>
      </c>
      <c r="AH390">
        <v>3</v>
      </c>
      <c r="AI390">
        <v>412014</v>
      </c>
      <c r="AJ390" t="s">
        <v>2019</v>
      </c>
      <c r="AK390" t="s">
        <v>19</v>
      </c>
      <c r="AL390" t="s">
        <v>970</v>
      </c>
      <c r="AM390" t="s">
        <v>970</v>
      </c>
      <c r="AN390" t="s">
        <v>969</v>
      </c>
      <c r="AO390" t="s">
        <v>971</v>
      </c>
      <c r="AP390">
        <v>3</v>
      </c>
      <c r="AQ390" t="s">
        <v>972</v>
      </c>
      <c r="AR390" t="s">
        <v>938</v>
      </c>
      <c r="AS390" t="s">
        <v>19</v>
      </c>
      <c r="AT390" t="s">
        <v>19</v>
      </c>
      <c r="AU390" t="s">
        <v>19</v>
      </c>
      <c r="AV390" t="s">
        <v>1151</v>
      </c>
      <c r="AW390">
        <v>135</v>
      </c>
      <c r="AX390" t="s">
        <v>1152</v>
      </c>
      <c r="AY390">
        <v>1</v>
      </c>
      <c r="AZ390" t="s">
        <v>358</v>
      </c>
      <c r="BA390" t="s">
        <v>19</v>
      </c>
      <c r="BB390" t="s">
        <v>19</v>
      </c>
      <c r="BC390" t="s">
        <v>1287</v>
      </c>
      <c r="BD390" t="s">
        <v>1115</v>
      </c>
      <c r="BE390" t="s">
        <v>19</v>
      </c>
      <c r="BF390" t="s">
        <v>19</v>
      </c>
      <c r="BG390">
        <v>1070</v>
      </c>
      <c r="BH390" t="s">
        <v>1094</v>
      </c>
      <c r="BI390">
        <v>0.35</v>
      </c>
      <c r="BJ390" t="s">
        <v>1153</v>
      </c>
      <c r="BK390" t="s">
        <v>929</v>
      </c>
      <c r="BL390" t="s">
        <v>931</v>
      </c>
      <c r="BM390">
        <v>412014</v>
      </c>
    </row>
    <row r="391" spans="1:65" ht="14.45" customHeight="1">
      <c r="A391" s="155"/>
      <c r="B391" s="30">
        <f t="shared" si="36"/>
        <v>412015</v>
      </c>
      <c r="C391" s="30" t="s">
        <v>2216</v>
      </c>
      <c r="D391" s="30"/>
      <c r="E391" s="30" t="s">
        <v>2190</v>
      </c>
      <c r="F391" s="31"/>
      <c r="G391" s="30"/>
      <c r="H391" s="30"/>
      <c r="I391" s="30"/>
      <c r="J391" s="30"/>
      <c r="K391" s="30"/>
      <c r="L391" s="30" t="s">
        <v>2190</v>
      </c>
      <c r="M391" s="30" t="s">
        <v>2190</v>
      </c>
      <c r="N391" s="30"/>
      <c r="P391" s="30"/>
      <c r="Q391" s="30"/>
      <c r="R391" s="30"/>
      <c r="S391" s="30"/>
      <c r="T391" s="31"/>
      <c r="U391" s="30"/>
      <c r="V391" s="30"/>
      <c r="W391" s="195" t="s">
        <v>2399</v>
      </c>
      <c r="X391" s="195" t="s">
        <v>2399</v>
      </c>
      <c r="Y391" s="30"/>
      <c r="Z391" s="30"/>
      <c r="AA391" s="30"/>
      <c r="AB391" s="30"/>
      <c r="AC391" s="30"/>
      <c r="AD391" s="30" t="s">
        <v>2217</v>
      </c>
      <c r="AE391" s="30"/>
      <c r="AF391" s="30" t="str">
        <f t="shared" si="35"/>
        <v>SCG11A              SMLS02P</v>
      </c>
      <c r="AG391" s="30" t="s">
        <v>2218</v>
      </c>
      <c r="AH391">
        <v>3</v>
      </c>
      <c r="AI391">
        <v>412015</v>
      </c>
      <c r="AJ391" t="s">
        <v>2020</v>
      </c>
      <c r="AK391" t="s">
        <v>19</v>
      </c>
      <c r="AL391" t="s">
        <v>948</v>
      </c>
      <c r="AM391" t="s">
        <v>948</v>
      </c>
      <c r="AN391" t="s">
        <v>947</v>
      </c>
      <c r="AO391" t="s">
        <v>949</v>
      </c>
      <c r="AP391">
        <v>12</v>
      </c>
      <c r="AQ391" t="s">
        <v>942</v>
      </c>
      <c r="AR391" t="s">
        <v>937</v>
      </c>
      <c r="AS391" t="s">
        <v>934</v>
      </c>
      <c r="AT391" t="s">
        <v>19</v>
      </c>
      <c r="AU391" t="s">
        <v>140</v>
      </c>
      <c r="AV391" t="s">
        <v>140</v>
      </c>
      <c r="AW391" t="s">
        <v>139</v>
      </c>
      <c r="AX391" t="s">
        <v>141</v>
      </c>
      <c r="AY391">
        <v>11</v>
      </c>
      <c r="AZ391" t="s">
        <v>142</v>
      </c>
      <c r="BA391" t="s">
        <v>936</v>
      </c>
      <c r="BB391" t="s">
        <v>19</v>
      </c>
      <c r="BC391" t="s">
        <v>2021</v>
      </c>
      <c r="BD391" t="s">
        <v>1115</v>
      </c>
      <c r="BE391" t="s">
        <v>2022</v>
      </c>
      <c r="BF391" t="s">
        <v>1708</v>
      </c>
      <c r="BG391">
        <v>1850</v>
      </c>
      <c r="BH391" t="s">
        <v>1709</v>
      </c>
      <c r="BI391">
        <v>0.35</v>
      </c>
      <c r="BJ391" t="s">
        <v>2023</v>
      </c>
      <c r="BK391" t="s">
        <v>929</v>
      </c>
      <c r="BL391" t="s">
        <v>931</v>
      </c>
      <c r="BM391">
        <v>412015</v>
      </c>
    </row>
    <row r="392" spans="1:65" ht="14.45" customHeight="1">
      <c r="A392" s="155"/>
      <c r="B392" s="30">
        <f t="shared" si="36"/>
        <v>412016</v>
      </c>
      <c r="C392" s="30" t="s">
        <v>2216</v>
      </c>
      <c r="D392" s="30"/>
      <c r="E392" s="30" t="s">
        <v>2190</v>
      </c>
      <c r="F392" s="31"/>
      <c r="G392" s="30"/>
      <c r="H392" s="30"/>
      <c r="I392" s="30"/>
      <c r="J392" s="30"/>
      <c r="K392" s="30"/>
      <c r="L392" s="30" t="s">
        <v>2190</v>
      </c>
      <c r="M392" s="30" t="s">
        <v>2190</v>
      </c>
      <c r="N392" s="30"/>
      <c r="P392" s="30"/>
      <c r="Q392" s="30"/>
      <c r="R392" s="30"/>
      <c r="S392" s="30"/>
      <c r="T392" s="31"/>
      <c r="U392" s="30"/>
      <c r="V392" s="30"/>
      <c r="W392" s="195" t="s">
        <v>2399</v>
      </c>
      <c r="X392" s="195" t="s">
        <v>2399</v>
      </c>
      <c r="Y392" s="30"/>
      <c r="Z392" s="30"/>
      <c r="AA392" s="30"/>
      <c r="AB392" s="30"/>
      <c r="AC392" s="30"/>
      <c r="AD392" s="30" t="s">
        <v>2217</v>
      </c>
      <c r="AE392" s="30"/>
      <c r="AF392" s="30" t="str">
        <f t="shared" si="35"/>
        <v>SCG11A              SMLS02P</v>
      </c>
      <c r="AG392" s="30" t="s">
        <v>2218</v>
      </c>
      <c r="AH392">
        <v>3</v>
      </c>
      <c r="AI392">
        <v>412016</v>
      </c>
      <c r="AJ392" t="s">
        <v>2024</v>
      </c>
      <c r="AK392" t="s">
        <v>19</v>
      </c>
      <c r="AL392" t="s">
        <v>948</v>
      </c>
      <c r="AM392" t="s">
        <v>948</v>
      </c>
      <c r="AN392" t="s">
        <v>947</v>
      </c>
      <c r="AO392" t="s">
        <v>949</v>
      </c>
      <c r="AP392">
        <v>16</v>
      </c>
      <c r="AQ392" t="s">
        <v>942</v>
      </c>
      <c r="AR392" t="s">
        <v>937</v>
      </c>
      <c r="AS392" t="s">
        <v>934</v>
      </c>
      <c r="AT392" t="s">
        <v>19</v>
      </c>
      <c r="AU392" t="s">
        <v>140</v>
      </c>
      <c r="AV392" t="s">
        <v>140</v>
      </c>
      <c r="AW392" t="s">
        <v>139</v>
      </c>
      <c r="AX392" t="s">
        <v>141</v>
      </c>
      <c r="AY392">
        <v>12</v>
      </c>
      <c r="AZ392" t="s">
        <v>142</v>
      </c>
      <c r="BA392" t="s">
        <v>936</v>
      </c>
      <c r="BB392" t="s">
        <v>19</v>
      </c>
      <c r="BC392" t="s">
        <v>2021</v>
      </c>
      <c r="BD392" t="s">
        <v>1115</v>
      </c>
      <c r="BE392" t="s">
        <v>2022</v>
      </c>
      <c r="BF392" t="s">
        <v>1416</v>
      </c>
      <c r="BG392">
        <v>1850</v>
      </c>
      <c r="BH392" t="s">
        <v>1236</v>
      </c>
      <c r="BI392">
        <v>0.35</v>
      </c>
      <c r="BJ392" t="s">
        <v>2025</v>
      </c>
      <c r="BK392" t="s">
        <v>929</v>
      </c>
      <c r="BL392" t="s">
        <v>931</v>
      </c>
      <c r="BM392">
        <v>412016</v>
      </c>
    </row>
    <row r="393" spans="1:65" ht="14.45" customHeight="1">
      <c r="A393" s="155"/>
      <c r="B393" s="30">
        <f t="shared" si="36"/>
        <v>412017</v>
      </c>
      <c r="C393" s="30" t="s">
        <v>2216</v>
      </c>
      <c r="D393" s="30"/>
      <c r="E393" s="30" t="s">
        <v>2190</v>
      </c>
      <c r="F393" s="31"/>
      <c r="G393" s="30"/>
      <c r="H393" s="30"/>
      <c r="I393" s="30"/>
      <c r="J393" s="30"/>
      <c r="K393" s="30"/>
      <c r="L393" s="30" t="s">
        <v>2190</v>
      </c>
      <c r="M393" s="30" t="s">
        <v>2190</v>
      </c>
      <c r="N393" s="30"/>
      <c r="P393" s="30"/>
      <c r="Q393" s="30"/>
      <c r="R393" s="30"/>
      <c r="S393" s="30"/>
      <c r="T393" s="31"/>
      <c r="U393" s="30"/>
      <c r="V393" s="30"/>
      <c r="W393" s="195" t="s">
        <v>2399</v>
      </c>
      <c r="X393" s="195" t="s">
        <v>2399</v>
      </c>
      <c r="Y393" s="30"/>
      <c r="Z393" s="30"/>
      <c r="AA393" s="30"/>
      <c r="AB393" s="30"/>
      <c r="AC393" s="30"/>
      <c r="AD393" s="30" t="s">
        <v>2217</v>
      </c>
      <c r="AE393" s="30"/>
      <c r="AF393" s="30" t="str">
        <f t="shared" si="35"/>
        <v>SCG11A              SMLS02P</v>
      </c>
      <c r="AG393" s="30" t="s">
        <v>2218</v>
      </c>
      <c r="AH393">
        <v>3</v>
      </c>
      <c r="AI393">
        <v>412017</v>
      </c>
      <c r="AJ393" t="s">
        <v>2026</v>
      </c>
      <c r="AK393" t="s">
        <v>19</v>
      </c>
      <c r="AL393" t="s">
        <v>948</v>
      </c>
      <c r="AM393" t="s">
        <v>948</v>
      </c>
      <c r="AN393" t="s">
        <v>947</v>
      </c>
      <c r="AO393" t="s">
        <v>949</v>
      </c>
      <c r="AP393">
        <v>13</v>
      </c>
      <c r="AQ393" t="s">
        <v>942</v>
      </c>
      <c r="AR393" t="s">
        <v>937</v>
      </c>
      <c r="AS393" t="s">
        <v>934</v>
      </c>
      <c r="AT393" t="s">
        <v>19</v>
      </c>
      <c r="AU393" t="s">
        <v>140</v>
      </c>
      <c r="AV393" t="s">
        <v>140</v>
      </c>
      <c r="AW393" t="s">
        <v>139</v>
      </c>
      <c r="AX393" t="s">
        <v>141</v>
      </c>
      <c r="AY393">
        <v>13</v>
      </c>
      <c r="AZ393" t="s">
        <v>142</v>
      </c>
      <c r="BA393" t="s">
        <v>936</v>
      </c>
      <c r="BB393" t="s">
        <v>19</v>
      </c>
      <c r="BC393" t="s">
        <v>2027</v>
      </c>
      <c r="BD393" t="s">
        <v>1115</v>
      </c>
      <c r="BE393" t="s">
        <v>2028</v>
      </c>
      <c r="BF393" t="s">
        <v>1251</v>
      </c>
      <c r="BG393">
        <v>1850</v>
      </c>
      <c r="BH393" t="s">
        <v>1094</v>
      </c>
      <c r="BI393">
        <v>0.35</v>
      </c>
      <c r="BJ393" t="s">
        <v>2029</v>
      </c>
      <c r="BK393" t="s">
        <v>929</v>
      </c>
      <c r="BL393" t="s">
        <v>931</v>
      </c>
      <c r="BM393">
        <v>412017</v>
      </c>
    </row>
    <row r="394" spans="1:65" ht="14.45" customHeight="1">
      <c r="A394" s="155"/>
      <c r="B394" s="30">
        <f t="shared" si="36"/>
        <v>412018</v>
      </c>
      <c r="C394" s="30" t="s">
        <v>2216</v>
      </c>
      <c r="D394" s="30"/>
      <c r="E394" s="30" t="s">
        <v>2190</v>
      </c>
      <c r="F394" s="31"/>
      <c r="G394" s="30"/>
      <c r="H394" s="30"/>
      <c r="I394" s="30"/>
      <c r="J394" s="30"/>
      <c r="K394" s="30"/>
      <c r="L394" s="30" t="s">
        <v>2190</v>
      </c>
      <c r="M394" s="30" t="s">
        <v>2190</v>
      </c>
      <c r="N394" s="30"/>
      <c r="P394" s="30"/>
      <c r="Q394" s="30"/>
      <c r="R394" s="30"/>
      <c r="S394" s="30"/>
      <c r="T394" s="31"/>
      <c r="U394" s="30"/>
      <c r="V394" s="30"/>
      <c r="W394" s="195" t="s">
        <v>2399</v>
      </c>
      <c r="X394" s="195" t="s">
        <v>2399</v>
      </c>
      <c r="Y394" s="30"/>
      <c r="Z394" s="30"/>
      <c r="AA394" s="30"/>
      <c r="AB394" s="30"/>
      <c r="AC394" s="30"/>
      <c r="AD394" s="30" t="s">
        <v>2217</v>
      </c>
      <c r="AE394" s="30"/>
      <c r="AF394" s="30" t="str">
        <f t="shared" si="35"/>
        <v>SCG11A              SMLS02P</v>
      </c>
      <c r="AG394" s="30" t="s">
        <v>2218</v>
      </c>
      <c r="AH394">
        <v>3</v>
      </c>
      <c r="AI394">
        <v>412018</v>
      </c>
      <c r="AJ394" t="s">
        <v>2030</v>
      </c>
      <c r="AK394" t="s">
        <v>19</v>
      </c>
      <c r="AL394" t="s">
        <v>948</v>
      </c>
      <c r="AM394" t="s">
        <v>948</v>
      </c>
      <c r="AN394" t="s">
        <v>947</v>
      </c>
      <c r="AO394" t="s">
        <v>949</v>
      </c>
      <c r="AP394">
        <v>9</v>
      </c>
      <c r="AQ394" t="s">
        <v>942</v>
      </c>
      <c r="AR394" t="s">
        <v>937</v>
      </c>
      <c r="AS394" t="s">
        <v>934</v>
      </c>
      <c r="AT394" t="s">
        <v>19</v>
      </c>
      <c r="AU394" t="s">
        <v>140</v>
      </c>
      <c r="AV394" t="s">
        <v>140</v>
      </c>
      <c r="AW394" t="s">
        <v>139</v>
      </c>
      <c r="AX394" t="s">
        <v>141</v>
      </c>
      <c r="AY394">
        <v>14</v>
      </c>
      <c r="AZ394" t="s">
        <v>142</v>
      </c>
      <c r="BA394" t="s">
        <v>936</v>
      </c>
      <c r="BB394" t="s">
        <v>19</v>
      </c>
      <c r="BC394" t="s">
        <v>2027</v>
      </c>
      <c r="BD394" t="s">
        <v>1115</v>
      </c>
      <c r="BE394" t="s">
        <v>2028</v>
      </c>
      <c r="BF394" t="s">
        <v>2015</v>
      </c>
      <c r="BG394">
        <v>1850</v>
      </c>
      <c r="BH394" t="s">
        <v>1111</v>
      </c>
      <c r="BI394">
        <v>0.35</v>
      </c>
      <c r="BJ394" t="s">
        <v>2031</v>
      </c>
      <c r="BK394" t="s">
        <v>929</v>
      </c>
      <c r="BL394" t="s">
        <v>931</v>
      </c>
      <c r="BM394">
        <v>412018</v>
      </c>
    </row>
    <row r="395" spans="1:65" ht="28.9" customHeight="1">
      <c r="A395" s="155">
        <v>504</v>
      </c>
      <c r="B395" s="30">
        <f t="shared" si="36"/>
        <v>412020</v>
      </c>
      <c r="C395" s="30" t="s">
        <v>2216</v>
      </c>
      <c r="D395" s="30"/>
      <c r="E395" s="30" t="s">
        <v>2190</v>
      </c>
      <c r="F395" s="31"/>
      <c r="G395" s="30"/>
      <c r="H395" s="30"/>
      <c r="I395" s="30"/>
      <c r="J395" s="30"/>
      <c r="K395" s="30"/>
      <c r="L395" s="30" t="s">
        <v>2190</v>
      </c>
      <c r="M395" s="30" t="s">
        <v>2181</v>
      </c>
      <c r="N395" s="30"/>
      <c r="P395" s="30"/>
      <c r="Q395" s="30"/>
      <c r="R395" s="30"/>
      <c r="S395" s="30"/>
      <c r="T395" s="43" t="s">
        <v>2220</v>
      </c>
      <c r="U395" s="30"/>
      <c r="V395" s="30"/>
      <c r="W395" s="195" t="s">
        <v>2399</v>
      </c>
      <c r="X395" s="30"/>
      <c r="Y395" s="30"/>
      <c r="Z395" s="30"/>
      <c r="AA395" s="30"/>
      <c r="AB395" s="30"/>
      <c r="AC395" s="30"/>
      <c r="AD395" s="30" t="s">
        <v>2217</v>
      </c>
      <c r="AE395" s="30"/>
      <c r="AF395" s="30" t="str">
        <f t="shared" si="35"/>
        <v>SCG11A              ABB6P_C</v>
      </c>
      <c r="AG395" s="30" t="s">
        <v>2218</v>
      </c>
      <c r="AH395">
        <v>3</v>
      </c>
      <c r="AI395">
        <v>412020</v>
      </c>
      <c r="AJ395" t="s">
        <v>2032</v>
      </c>
      <c r="AK395" t="s">
        <v>19</v>
      </c>
      <c r="AL395" t="s">
        <v>948</v>
      </c>
      <c r="AM395" t="s">
        <v>948</v>
      </c>
      <c r="AN395" t="s">
        <v>947</v>
      </c>
      <c r="AO395" t="s">
        <v>949</v>
      </c>
      <c r="AP395">
        <v>7</v>
      </c>
      <c r="AQ395" t="s">
        <v>942</v>
      </c>
      <c r="AR395" t="s">
        <v>937</v>
      </c>
      <c r="AS395" t="s">
        <v>934</v>
      </c>
      <c r="AT395" t="s">
        <v>19</v>
      </c>
      <c r="AU395" t="s">
        <v>976</v>
      </c>
      <c r="AV395" t="s">
        <v>976</v>
      </c>
      <c r="AW395" t="s">
        <v>989</v>
      </c>
      <c r="AX395" t="s">
        <v>990</v>
      </c>
      <c r="AY395">
        <v>2</v>
      </c>
      <c r="AZ395" t="s">
        <v>991</v>
      </c>
      <c r="BA395" t="s">
        <v>938</v>
      </c>
      <c r="BB395" t="s">
        <v>19</v>
      </c>
      <c r="BC395" t="s">
        <v>2033</v>
      </c>
      <c r="BD395" t="s">
        <v>1115</v>
      </c>
      <c r="BE395" t="s">
        <v>2034</v>
      </c>
      <c r="BF395" t="s">
        <v>2035</v>
      </c>
      <c r="BG395" s="153">
        <v>1480</v>
      </c>
      <c r="BH395" t="s">
        <v>1677</v>
      </c>
      <c r="BI395">
        <v>0.35</v>
      </c>
      <c r="BJ395" t="s">
        <v>2036</v>
      </c>
      <c r="BK395" t="s">
        <v>929</v>
      </c>
      <c r="BL395" t="s">
        <v>931</v>
      </c>
      <c r="BM395">
        <v>412020</v>
      </c>
    </row>
    <row r="396" spans="1:65" ht="28.9" customHeight="1">
      <c r="A396" s="155">
        <v>504</v>
      </c>
      <c r="B396" s="30">
        <f t="shared" si="36"/>
        <v>412021</v>
      </c>
      <c r="C396" s="30" t="s">
        <v>2216</v>
      </c>
      <c r="D396" s="30"/>
      <c r="E396" s="30" t="s">
        <v>2190</v>
      </c>
      <c r="F396" s="31"/>
      <c r="G396" s="30"/>
      <c r="H396" s="30"/>
      <c r="I396" s="30"/>
      <c r="J396" s="30"/>
      <c r="K396" s="30"/>
      <c r="L396" s="30" t="s">
        <v>2190</v>
      </c>
      <c r="M396" s="30" t="s">
        <v>2181</v>
      </c>
      <c r="N396" s="30"/>
      <c r="P396" s="30"/>
      <c r="Q396" s="30"/>
      <c r="R396" s="30"/>
      <c r="S396" s="30"/>
      <c r="T396" s="43" t="s">
        <v>2220</v>
      </c>
      <c r="U396" s="30"/>
      <c r="V396" s="30"/>
      <c r="W396" s="195" t="s">
        <v>2399</v>
      </c>
      <c r="X396" s="30"/>
      <c r="Y396" s="30"/>
      <c r="Z396" s="30"/>
      <c r="AA396" s="30"/>
      <c r="AB396" s="30"/>
      <c r="AC396" s="30"/>
      <c r="AD396" s="30" t="s">
        <v>2217</v>
      </c>
      <c r="AE396" s="30"/>
      <c r="AF396" s="30" t="str">
        <f t="shared" si="35"/>
        <v>SCG11A              ABB6P_C</v>
      </c>
      <c r="AG396" s="30" t="s">
        <v>2218</v>
      </c>
      <c r="AH396">
        <v>3</v>
      </c>
      <c r="AI396">
        <v>412021</v>
      </c>
      <c r="AJ396" t="s">
        <v>2037</v>
      </c>
      <c r="AK396" t="s">
        <v>19</v>
      </c>
      <c r="AL396" t="s">
        <v>948</v>
      </c>
      <c r="AM396" t="s">
        <v>948</v>
      </c>
      <c r="AN396" t="s">
        <v>947</v>
      </c>
      <c r="AO396" t="s">
        <v>949</v>
      </c>
      <c r="AP396">
        <v>3</v>
      </c>
      <c r="AQ396" t="s">
        <v>942</v>
      </c>
      <c r="AR396" t="s">
        <v>937</v>
      </c>
      <c r="AS396" t="s">
        <v>934</v>
      </c>
      <c r="AT396" t="s">
        <v>19</v>
      </c>
      <c r="AU396" t="s">
        <v>976</v>
      </c>
      <c r="AV396" t="s">
        <v>976</v>
      </c>
      <c r="AW396" t="s">
        <v>989</v>
      </c>
      <c r="AX396" t="s">
        <v>990</v>
      </c>
      <c r="AY396">
        <v>1</v>
      </c>
      <c r="AZ396" t="s">
        <v>991</v>
      </c>
      <c r="BA396" t="s">
        <v>938</v>
      </c>
      <c r="BB396" t="s">
        <v>19</v>
      </c>
      <c r="BC396" t="s">
        <v>2033</v>
      </c>
      <c r="BD396" t="s">
        <v>1115</v>
      </c>
      <c r="BE396" t="s">
        <v>2034</v>
      </c>
      <c r="BF396" t="s">
        <v>1093</v>
      </c>
      <c r="BG396" s="153">
        <v>1480</v>
      </c>
      <c r="BH396" t="s">
        <v>1094</v>
      </c>
      <c r="BI396">
        <v>0.35</v>
      </c>
      <c r="BJ396" t="s">
        <v>2038</v>
      </c>
      <c r="BK396" t="s">
        <v>929</v>
      </c>
      <c r="BL396" t="s">
        <v>931</v>
      </c>
      <c r="BM396">
        <v>412021</v>
      </c>
    </row>
    <row r="397" spans="1:65" ht="14.45" customHeight="1">
      <c r="A397" s="155"/>
      <c r="B397" s="30"/>
      <c r="C397" s="30" t="s">
        <v>2221</v>
      </c>
      <c r="D397" s="30"/>
      <c r="E397" s="30"/>
      <c r="F397" s="31"/>
      <c r="G397" s="30"/>
      <c r="H397" s="30"/>
      <c r="I397" s="30"/>
      <c r="J397" s="30"/>
      <c r="K397" s="30"/>
      <c r="L397" s="30"/>
      <c r="M397" s="30"/>
      <c r="N397" s="30"/>
      <c r="P397" s="30"/>
      <c r="Q397" s="30"/>
      <c r="R397" s="30"/>
      <c r="S397" s="30"/>
      <c r="T397" s="43"/>
      <c r="U397" s="30"/>
      <c r="V397" s="30"/>
      <c r="W397" s="30"/>
      <c r="X397" s="30"/>
      <c r="Y397" s="30"/>
      <c r="Z397" s="30"/>
      <c r="AA397" s="30"/>
      <c r="AB397" s="30"/>
      <c r="AC397" s="30"/>
      <c r="AD397" s="30"/>
      <c r="AE397" s="30"/>
      <c r="AF397" s="30" t="str">
        <f t="shared" si="35"/>
        <v xml:space="preserve">                    </v>
      </c>
      <c r="AG397" s="30"/>
      <c r="AH397">
        <v>1</v>
      </c>
      <c r="AI397" t="s">
        <v>1000</v>
      </c>
    </row>
    <row r="398" spans="1:65" ht="14.45" customHeight="1">
      <c r="A398" s="155"/>
      <c r="B398" s="30"/>
      <c r="C398" s="30" t="s">
        <v>2221</v>
      </c>
      <c r="D398" s="30"/>
      <c r="E398" s="30"/>
      <c r="F398" s="31"/>
      <c r="G398" s="30"/>
      <c r="H398" s="30"/>
      <c r="I398" s="30"/>
      <c r="J398" s="30"/>
      <c r="K398" s="30"/>
      <c r="L398" s="30"/>
      <c r="M398" s="30"/>
      <c r="N398" s="30"/>
      <c r="P398" s="30"/>
      <c r="Q398" s="30"/>
      <c r="R398" s="30"/>
      <c r="S398" s="30"/>
      <c r="T398" s="43"/>
      <c r="U398" s="30"/>
      <c r="V398" s="30"/>
      <c r="W398" s="30"/>
      <c r="X398" s="30"/>
      <c r="Y398" s="30"/>
      <c r="Z398" s="30"/>
      <c r="AA398" s="30"/>
      <c r="AB398" s="30"/>
      <c r="AC398" s="30"/>
      <c r="AD398" s="30"/>
      <c r="AE398" s="30"/>
      <c r="AF398" s="30"/>
      <c r="AG398" s="30"/>
      <c r="AH398">
        <v>2</v>
      </c>
      <c r="AI398" t="s">
        <v>1</v>
      </c>
      <c r="AJ398" t="s">
        <v>1001</v>
      </c>
      <c r="AK398" t="s">
        <v>1002</v>
      </c>
      <c r="AL398" t="s">
        <v>1003</v>
      </c>
      <c r="AN398" t="s">
        <v>2039</v>
      </c>
      <c r="AO398" t="s">
        <v>1074</v>
      </c>
    </row>
    <row r="399" spans="1:65" ht="14.45" customHeight="1">
      <c r="A399" s="155"/>
      <c r="B399" s="30"/>
      <c r="C399" s="30" t="s">
        <v>2221</v>
      </c>
      <c r="D399" s="30"/>
      <c r="E399" s="30"/>
      <c r="F399" s="31"/>
      <c r="G399" s="30"/>
      <c r="H399" s="30"/>
      <c r="I399" s="30"/>
      <c r="J399" s="30"/>
      <c r="K399" s="30"/>
      <c r="L399" s="30"/>
      <c r="M399" s="30"/>
      <c r="N399" s="30"/>
      <c r="P399" s="30"/>
      <c r="Q399" s="30"/>
      <c r="R399" s="30"/>
      <c r="S399" s="30"/>
      <c r="T399" s="43"/>
      <c r="U399" s="30"/>
      <c r="V399" s="30"/>
      <c r="W399" s="30"/>
      <c r="X399" s="30"/>
      <c r="Y399" s="30"/>
      <c r="Z399" s="30"/>
      <c r="AA399" s="30"/>
      <c r="AB399" s="30"/>
      <c r="AC399" s="30"/>
      <c r="AD399" s="30"/>
      <c r="AE399" s="30"/>
      <c r="AF399" s="30" t="str">
        <f t="shared" si="35"/>
        <v>Kurzname            Kurzname</v>
      </c>
      <c r="AG399" s="30"/>
      <c r="AH399">
        <v>0</v>
      </c>
      <c r="AI399" t="s">
        <v>1075</v>
      </c>
      <c r="AJ399" t="s">
        <v>1076</v>
      </c>
      <c r="AK399" t="s">
        <v>1077</v>
      </c>
      <c r="AL399" t="s">
        <v>8</v>
      </c>
      <c r="AM399" t="s">
        <v>8</v>
      </c>
      <c r="AN399" t="s">
        <v>1078</v>
      </c>
      <c r="AO399" t="s">
        <v>9</v>
      </c>
      <c r="AP399" t="s">
        <v>1079</v>
      </c>
      <c r="AQ399" t="s">
        <v>10</v>
      </c>
      <c r="AR399" t="s">
        <v>26</v>
      </c>
      <c r="AS399" t="s">
        <v>1080</v>
      </c>
      <c r="AT399" t="s">
        <v>1077</v>
      </c>
      <c r="AU399" t="s">
        <v>8</v>
      </c>
      <c r="AV399" t="s">
        <v>8</v>
      </c>
      <c r="AW399" t="s">
        <v>1081</v>
      </c>
      <c r="AX399" t="s">
        <v>9</v>
      </c>
      <c r="AY399" t="s">
        <v>1079</v>
      </c>
      <c r="AZ399" t="s">
        <v>10</v>
      </c>
      <c r="BA399" t="s">
        <v>26</v>
      </c>
      <c r="BB399" t="s">
        <v>1080</v>
      </c>
      <c r="BC399" t="s">
        <v>1082</v>
      </c>
      <c r="BD399" t="s">
        <v>1083</v>
      </c>
      <c r="BE399" t="s">
        <v>1084</v>
      </c>
      <c r="BF399" t="s">
        <v>1085</v>
      </c>
      <c r="BG399" t="s">
        <v>1086</v>
      </c>
      <c r="BH399" t="s">
        <v>14</v>
      </c>
      <c r="BI399" t="s">
        <v>1087</v>
      </c>
      <c r="BJ399" t="s">
        <v>1088</v>
      </c>
      <c r="BK399" t="s">
        <v>1</v>
      </c>
      <c r="BL399" t="s">
        <v>1075</v>
      </c>
    </row>
    <row r="400" spans="1:65" ht="14.45" customHeight="1">
      <c r="A400" s="155"/>
      <c r="B400" s="30">
        <f t="shared" si="36"/>
        <v>656001</v>
      </c>
      <c r="C400" s="36" t="s">
        <v>2221</v>
      </c>
      <c r="D400" s="36"/>
      <c r="E400" s="36" t="s">
        <v>2195</v>
      </c>
      <c r="F400" s="37"/>
      <c r="G400" s="36"/>
      <c r="H400" s="36"/>
      <c r="I400" s="36"/>
      <c r="J400" s="36"/>
      <c r="K400" s="36"/>
      <c r="L400" s="36" t="s">
        <v>2181</v>
      </c>
      <c r="M400" s="36" t="s">
        <v>2181</v>
      </c>
      <c r="N400" s="36"/>
      <c r="P400" s="36"/>
      <c r="Q400" s="36"/>
      <c r="R400" s="36"/>
      <c r="S400" s="36"/>
      <c r="T400" s="37">
        <v>980016331</v>
      </c>
      <c r="U400" s="36"/>
      <c r="V400" s="36"/>
      <c r="W400" s="30"/>
      <c r="X400" s="30"/>
      <c r="Y400" s="36"/>
      <c r="Z400" s="36"/>
      <c r="AA400" s="36"/>
      <c r="AB400" s="36"/>
      <c r="AC400" s="36"/>
      <c r="AD400" s="36"/>
      <c r="AE400" s="36"/>
      <c r="AF400" s="30" t="str">
        <f t="shared" si="35"/>
        <v>ANTE17P             KS_CPR_E</v>
      </c>
      <c r="AG400" s="36" t="s">
        <v>2189</v>
      </c>
      <c r="AH400">
        <v>3</v>
      </c>
      <c r="AI400">
        <v>656001</v>
      </c>
      <c r="AJ400" t="s">
        <v>2040</v>
      </c>
      <c r="AK400" t="s">
        <v>19</v>
      </c>
      <c r="AL400" t="s">
        <v>1009</v>
      </c>
      <c r="AM400" t="s">
        <v>1009</v>
      </c>
      <c r="AN400" t="s">
        <v>1008</v>
      </c>
      <c r="AO400" t="s">
        <v>1010</v>
      </c>
      <c r="AP400">
        <v>1</v>
      </c>
      <c r="AQ400" t="s">
        <v>164</v>
      </c>
      <c r="AR400" t="s">
        <v>908</v>
      </c>
      <c r="AS400" t="s">
        <v>19</v>
      </c>
      <c r="AT400" t="s">
        <v>19</v>
      </c>
      <c r="AU400" t="s">
        <v>96</v>
      </c>
      <c r="AV400" t="s">
        <v>96</v>
      </c>
      <c r="AW400" t="s">
        <v>1004</v>
      </c>
      <c r="AX400" t="s">
        <v>1005</v>
      </c>
      <c r="AY400">
        <v>1</v>
      </c>
      <c r="AZ400" t="s">
        <v>1006</v>
      </c>
      <c r="BA400" t="s">
        <v>37</v>
      </c>
      <c r="BB400" t="s">
        <v>19</v>
      </c>
      <c r="BC400" t="s">
        <v>1360</v>
      </c>
      <c r="BD400" t="s">
        <v>1361</v>
      </c>
      <c r="BE400" t="s">
        <v>2041</v>
      </c>
      <c r="BF400" t="s">
        <v>1363</v>
      </c>
      <c r="BG400">
        <v>1713</v>
      </c>
      <c r="BH400" t="s">
        <v>1364</v>
      </c>
      <c r="BI400">
        <v>0.37</v>
      </c>
      <c r="BJ400" t="s">
        <v>2042</v>
      </c>
      <c r="BK400" t="s">
        <v>1001</v>
      </c>
      <c r="BL400">
        <v>656001</v>
      </c>
    </row>
    <row r="401" spans="1:65" ht="14.45" customHeight="1">
      <c r="A401" s="155"/>
      <c r="B401" s="30">
        <f t="shared" si="36"/>
        <v>656002</v>
      </c>
      <c r="C401" s="36" t="s">
        <v>2221</v>
      </c>
      <c r="D401" s="36"/>
      <c r="E401" s="36" t="s">
        <v>2195</v>
      </c>
      <c r="F401" s="37"/>
      <c r="G401" s="36"/>
      <c r="H401" s="36"/>
      <c r="I401" s="36"/>
      <c r="J401" s="36"/>
      <c r="K401" s="36"/>
      <c r="L401" s="36" t="s">
        <v>2181</v>
      </c>
      <c r="M401" s="36" t="s">
        <v>2181</v>
      </c>
      <c r="N401" s="36"/>
      <c r="P401" s="36"/>
      <c r="Q401" s="36"/>
      <c r="R401" s="36"/>
      <c r="S401" s="36"/>
      <c r="T401" s="37">
        <v>980016331</v>
      </c>
      <c r="U401" s="36"/>
      <c r="V401" s="36"/>
      <c r="W401" s="30"/>
      <c r="X401" s="30"/>
      <c r="Y401" s="36"/>
      <c r="Z401" s="36"/>
      <c r="AA401" s="36"/>
      <c r="AB401" s="36"/>
      <c r="AC401" s="36"/>
      <c r="AD401" s="36"/>
      <c r="AE401" s="36"/>
      <c r="AF401" s="30" t="str">
        <f t="shared" si="35"/>
        <v>ANTE17P             KS_CPR_E</v>
      </c>
      <c r="AG401" s="36" t="s">
        <v>2189</v>
      </c>
      <c r="AH401">
        <v>3</v>
      </c>
      <c r="AI401">
        <v>656002</v>
      </c>
      <c r="AJ401" t="s">
        <v>2043</v>
      </c>
      <c r="AK401" t="s">
        <v>19</v>
      </c>
      <c r="AL401" t="s">
        <v>1009</v>
      </c>
      <c r="AM401" t="s">
        <v>1009</v>
      </c>
      <c r="AN401" t="s">
        <v>1008</v>
      </c>
      <c r="AO401" t="s">
        <v>1010</v>
      </c>
      <c r="AP401">
        <v>2</v>
      </c>
      <c r="AQ401" t="s">
        <v>164</v>
      </c>
      <c r="AR401" t="s">
        <v>49</v>
      </c>
      <c r="AS401" t="s">
        <v>19</v>
      </c>
      <c r="AT401" t="s">
        <v>19</v>
      </c>
      <c r="AU401" t="s">
        <v>96</v>
      </c>
      <c r="AV401" t="s">
        <v>96</v>
      </c>
      <c r="AW401" t="s">
        <v>1004</v>
      </c>
      <c r="AX401" t="s">
        <v>1005</v>
      </c>
      <c r="AY401">
        <v>2</v>
      </c>
      <c r="AZ401" t="s">
        <v>1006</v>
      </c>
      <c r="BA401" t="s">
        <v>49</v>
      </c>
      <c r="BB401" t="s">
        <v>19</v>
      </c>
      <c r="BC401" t="s">
        <v>1360</v>
      </c>
      <c r="BD401" t="s">
        <v>49</v>
      </c>
      <c r="BE401" t="s">
        <v>2041</v>
      </c>
      <c r="BF401" t="s">
        <v>1367</v>
      </c>
      <c r="BG401">
        <v>1713</v>
      </c>
      <c r="BH401" t="s">
        <v>1111</v>
      </c>
      <c r="BI401">
        <v>0.5</v>
      </c>
      <c r="BJ401" t="s">
        <v>2044</v>
      </c>
      <c r="BK401" t="s">
        <v>1001</v>
      </c>
      <c r="BL401">
        <v>656002</v>
      </c>
    </row>
    <row r="402" spans="1:65" ht="14.45" customHeight="1">
      <c r="A402" s="155"/>
      <c r="B402" s="30"/>
      <c r="C402" s="30" t="s">
        <v>2222</v>
      </c>
      <c r="D402" s="30"/>
      <c r="E402" s="30"/>
      <c r="F402" s="31"/>
      <c r="G402" s="30"/>
      <c r="H402" s="30"/>
      <c r="I402" s="30"/>
      <c r="J402" s="30"/>
      <c r="K402" s="30"/>
      <c r="L402" s="30"/>
      <c r="M402" s="30"/>
      <c r="N402" s="30"/>
      <c r="P402" s="30"/>
      <c r="Q402" s="30"/>
      <c r="R402" s="30"/>
      <c r="S402" s="30"/>
      <c r="T402" s="31"/>
      <c r="U402" s="30"/>
      <c r="V402" s="30"/>
      <c r="W402" s="30"/>
      <c r="X402" s="30"/>
      <c r="Y402" s="30"/>
      <c r="Z402" s="30"/>
      <c r="AA402" s="30"/>
      <c r="AB402" s="30"/>
      <c r="AC402" s="30"/>
      <c r="AD402" s="30"/>
      <c r="AE402" s="30"/>
      <c r="AF402" s="30" t="str">
        <f t="shared" si="35"/>
        <v xml:space="preserve">                    </v>
      </c>
      <c r="AG402" s="30"/>
      <c r="AH402">
        <v>1</v>
      </c>
      <c r="AI402" t="s">
        <v>1014</v>
      </c>
    </row>
    <row r="403" spans="1:65" ht="14.45" customHeight="1">
      <c r="A403" s="155"/>
      <c r="B403" s="30"/>
      <c r="C403" s="30" t="s">
        <v>2222</v>
      </c>
      <c r="D403" s="30"/>
      <c r="E403" s="30"/>
      <c r="F403" s="31"/>
      <c r="G403" s="30"/>
      <c r="H403" s="30"/>
      <c r="I403" s="30"/>
      <c r="J403" s="30"/>
      <c r="K403" s="30"/>
      <c r="L403" s="30"/>
      <c r="M403" s="30"/>
      <c r="N403" s="30"/>
      <c r="P403" s="30"/>
      <c r="Q403" s="30"/>
      <c r="R403" s="30"/>
      <c r="S403" s="30"/>
      <c r="T403" s="31"/>
      <c r="U403" s="30"/>
      <c r="V403" s="30"/>
      <c r="W403" s="30"/>
      <c r="X403" s="30"/>
      <c r="Y403" s="30"/>
      <c r="Z403" s="30"/>
      <c r="AA403" s="30"/>
      <c r="AB403" s="30"/>
      <c r="AC403" s="30"/>
      <c r="AD403" s="30"/>
      <c r="AE403" s="32">
        <v>1</v>
      </c>
      <c r="AF403" s="30"/>
      <c r="AG403" s="30"/>
      <c r="AH403">
        <v>2</v>
      </c>
      <c r="AI403" t="s">
        <v>1</v>
      </c>
      <c r="AJ403" t="s">
        <v>1015</v>
      </c>
      <c r="AK403" t="s">
        <v>1016</v>
      </c>
      <c r="AL403" t="s">
        <v>1017</v>
      </c>
      <c r="AN403" t="s">
        <v>2045</v>
      </c>
      <c r="AO403" t="s">
        <v>1074</v>
      </c>
    </row>
    <row r="404" spans="1:65" ht="14.45" customHeight="1">
      <c r="A404" s="155"/>
      <c r="B404" s="30"/>
      <c r="C404" s="30" t="s">
        <v>2222</v>
      </c>
      <c r="D404" s="30"/>
      <c r="E404" s="30"/>
      <c r="F404" s="31"/>
      <c r="G404" s="30"/>
      <c r="H404" s="30"/>
      <c r="I404" s="30"/>
      <c r="J404" s="30"/>
      <c r="K404" s="30"/>
      <c r="L404" s="30"/>
      <c r="M404" s="30"/>
      <c r="N404" s="30"/>
      <c r="P404" s="30"/>
      <c r="Q404" s="30"/>
      <c r="R404" s="30"/>
      <c r="S404" s="30"/>
      <c r="T404" s="31"/>
      <c r="U404" s="30"/>
      <c r="V404" s="30"/>
      <c r="W404" s="30"/>
      <c r="X404" s="30"/>
      <c r="Y404" s="30"/>
      <c r="Z404" s="30"/>
      <c r="AA404" s="30"/>
      <c r="AB404" s="30"/>
      <c r="AC404" s="30"/>
      <c r="AD404" s="30"/>
      <c r="AE404" s="32">
        <v>1</v>
      </c>
      <c r="AF404" s="30"/>
      <c r="AG404" s="30"/>
      <c r="AH404">
        <v>2</v>
      </c>
      <c r="AI404" t="s">
        <v>395</v>
      </c>
      <c r="AJ404" t="s">
        <v>1018</v>
      </c>
      <c r="AK404" t="s">
        <v>1019</v>
      </c>
      <c r="AL404" t="s">
        <v>1020</v>
      </c>
      <c r="AN404" t="s">
        <v>2046</v>
      </c>
      <c r="AO404" t="s">
        <v>1074</v>
      </c>
    </row>
    <row r="405" spans="1:65" ht="14.45" customHeight="1">
      <c r="A405" s="155"/>
      <c r="B405" s="30"/>
      <c r="C405" s="30" t="s">
        <v>2222</v>
      </c>
      <c r="D405" s="30"/>
      <c r="E405" s="30"/>
      <c r="F405" s="31"/>
      <c r="G405" s="30"/>
      <c r="H405" s="30"/>
      <c r="I405" s="30"/>
      <c r="J405" s="30"/>
      <c r="K405" s="30"/>
      <c r="L405" s="30"/>
      <c r="M405" s="30"/>
      <c r="N405" s="30"/>
      <c r="P405" s="30"/>
      <c r="Q405" s="30"/>
      <c r="R405" s="30"/>
      <c r="S405" s="30"/>
      <c r="T405" s="31"/>
      <c r="U405" s="30"/>
      <c r="V405" s="30"/>
      <c r="W405" s="30"/>
      <c r="X405" s="30"/>
      <c r="Y405" s="30"/>
      <c r="Z405" s="30"/>
      <c r="AA405" s="30"/>
      <c r="AB405" s="30"/>
      <c r="AC405" s="30"/>
      <c r="AD405" s="30"/>
      <c r="AE405" s="30"/>
      <c r="AF405" s="30" t="str">
        <f t="shared" ref="AF405:AF430" si="40" xml:space="preserve"> AO405 &amp; REPT(" ",20-LEN(AO405)) &amp; AX405</f>
        <v>Kurzname            Kurzname</v>
      </c>
      <c r="AG405" s="30"/>
      <c r="AH405">
        <v>0</v>
      </c>
      <c r="AI405" t="s">
        <v>1075</v>
      </c>
      <c r="AJ405" t="s">
        <v>1076</v>
      </c>
      <c r="AK405" t="s">
        <v>1077</v>
      </c>
      <c r="AL405" t="s">
        <v>8</v>
      </c>
      <c r="AM405" t="s">
        <v>8</v>
      </c>
      <c r="AN405" t="s">
        <v>1078</v>
      </c>
      <c r="AO405" t="s">
        <v>9</v>
      </c>
      <c r="AP405" t="s">
        <v>1079</v>
      </c>
      <c r="AQ405" t="s">
        <v>10</v>
      </c>
      <c r="AR405" t="s">
        <v>26</v>
      </c>
      <c r="AS405" t="s">
        <v>1080</v>
      </c>
      <c r="AT405" t="s">
        <v>1077</v>
      </c>
      <c r="AU405" t="s">
        <v>8</v>
      </c>
      <c r="AV405" t="s">
        <v>8</v>
      </c>
      <c r="AW405" t="s">
        <v>1081</v>
      </c>
      <c r="AX405" t="s">
        <v>9</v>
      </c>
      <c r="AY405" t="s">
        <v>1079</v>
      </c>
      <c r="AZ405" t="s">
        <v>10</v>
      </c>
      <c r="BA405" t="s">
        <v>26</v>
      </c>
      <c r="BB405" t="s">
        <v>1080</v>
      </c>
      <c r="BC405" t="s">
        <v>1082</v>
      </c>
      <c r="BD405" t="s">
        <v>1083</v>
      </c>
      <c r="BE405" t="s">
        <v>1084</v>
      </c>
      <c r="BF405" t="s">
        <v>1085</v>
      </c>
      <c r="BG405" t="s">
        <v>1086</v>
      </c>
      <c r="BH405" t="s">
        <v>14</v>
      </c>
      <c r="BI405" t="s">
        <v>1087</v>
      </c>
      <c r="BJ405" t="s">
        <v>1088</v>
      </c>
      <c r="BK405" t="s">
        <v>1</v>
      </c>
      <c r="BL405" t="s">
        <v>395</v>
      </c>
      <c r="BM405" t="s">
        <v>1075</v>
      </c>
    </row>
    <row r="406" spans="1:65" ht="14.45" customHeight="1">
      <c r="A406" s="155"/>
      <c r="B406" s="30">
        <f t="shared" ref="B406:B430" si="41">AI406</f>
        <v>901001</v>
      </c>
      <c r="C406" s="30" t="s">
        <v>2222</v>
      </c>
      <c r="D406" s="30"/>
      <c r="E406" s="30" t="s">
        <v>2180</v>
      </c>
      <c r="F406" s="157" t="s">
        <v>2186</v>
      </c>
      <c r="G406" s="30" t="s">
        <v>1300</v>
      </c>
      <c r="H406" s="30"/>
      <c r="I406" s="30"/>
      <c r="J406" s="30"/>
      <c r="K406" s="30" t="s">
        <v>2184</v>
      </c>
      <c r="L406" s="30" t="s">
        <v>2180</v>
      </c>
      <c r="M406" s="30" t="s">
        <v>2180</v>
      </c>
      <c r="N406" s="30"/>
      <c r="P406" s="30"/>
      <c r="Q406" s="30"/>
      <c r="R406" s="30"/>
      <c r="S406" s="30"/>
      <c r="T406" s="31"/>
      <c r="U406" s="30"/>
      <c r="V406" s="30"/>
      <c r="W406" s="30"/>
      <c r="X406" s="30"/>
      <c r="Y406" s="30"/>
      <c r="Z406" s="30"/>
      <c r="AA406" s="30"/>
      <c r="AB406" s="30"/>
      <c r="AC406" s="30"/>
      <c r="AD406" s="30"/>
      <c r="AE406" s="30"/>
      <c r="AF406" s="30" t="str">
        <f t="shared" si="40"/>
        <v>IRL41A_VL           SP_MB33_C</v>
      </c>
      <c r="AG406" s="30" t="s">
        <v>2182</v>
      </c>
      <c r="AH406">
        <v>3</v>
      </c>
      <c r="AI406">
        <v>901001</v>
      </c>
      <c r="AJ406" t="s">
        <v>2047</v>
      </c>
      <c r="AK406" t="s">
        <v>19</v>
      </c>
      <c r="AL406" t="s">
        <v>1022</v>
      </c>
      <c r="AM406" t="s">
        <v>1022</v>
      </c>
      <c r="AN406" t="s">
        <v>1021</v>
      </c>
      <c r="AO406" t="s">
        <v>1023</v>
      </c>
      <c r="AP406">
        <v>1</v>
      </c>
      <c r="AQ406" t="s">
        <v>1024</v>
      </c>
      <c r="AR406" t="s">
        <v>46</v>
      </c>
      <c r="AS406" t="s">
        <v>19</v>
      </c>
      <c r="AT406" t="s">
        <v>19</v>
      </c>
      <c r="AU406" t="s">
        <v>19</v>
      </c>
      <c r="AV406" t="s">
        <v>1299</v>
      </c>
      <c r="AW406">
        <v>354</v>
      </c>
      <c r="AX406" t="s">
        <v>1300</v>
      </c>
      <c r="AY406">
        <v>1</v>
      </c>
      <c r="AZ406" t="s">
        <v>1072</v>
      </c>
      <c r="BA406" t="s">
        <v>19</v>
      </c>
      <c r="BB406" t="s">
        <v>19</v>
      </c>
      <c r="BC406" t="s">
        <v>1287</v>
      </c>
      <c r="BD406" t="s">
        <v>1115</v>
      </c>
      <c r="BE406" t="s">
        <v>19</v>
      </c>
      <c r="BF406" t="s">
        <v>19</v>
      </c>
      <c r="BG406">
        <v>505</v>
      </c>
      <c r="BH406" t="s">
        <v>1094</v>
      </c>
      <c r="BI406">
        <v>0.35</v>
      </c>
      <c r="BJ406" t="s">
        <v>1301</v>
      </c>
      <c r="BK406" t="s">
        <v>1015</v>
      </c>
      <c r="BL406" t="s">
        <v>19</v>
      </c>
      <c r="BM406">
        <v>901001</v>
      </c>
    </row>
    <row r="407" spans="1:65" ht="14.45" customHeight="1">
      <c r="A407" s="155"/>
      <c r="B407" s="30">
        <f t="shared" si="41"/>
        <v>901002</v>
      </c>
      <c r="C407" s="30" t="s">
        <v>2222</v>
      </c>
      <c r="D407" s="30"/>
      <c r="E407" s="30" t="s">
        <v>2180</v>
      </c>
      <c r="F407" s="31"/>
      <c r="G407" s="30"/>
      <c r="H407" s="30"/>
      <c r="I407" s="30"/>
      <c r="J407" s="30"/>
      <c r="K407" s="30"/>
      <c r="L407" s="30" t="s">
        <v>2180</v>
      </c>
      <c r="M407" s="30" t="s">
        <v>2180</v>
      </c>
      <c r="N407" s="30"/>
      <c r="P407" s="30"/>
      <c r="Q407" s="30"/>
      <c r="R407" s="30"/>
      <c r="S407" s="30"/>
      <c r="T407" s="31"/>
      <c r="U407" s="30"/>
      <c r="V407" s="30"/>
      <c r="W407" s="30"/>
      <c r="X407" s="30"/>
      <c r="Y407" s="30"/>
      <c r="Z407" s="30"/>
      <c r="AA407" s="30"/>
      <c r="AB407" s="30"/>
      <c r="AC407" s="30"/>
      <c r="AD407" s="30"/>
      <c r="AE407" s="30"/>
      <c r="AF407" s="30" t="str">
        <f t="shared" si="40"/>
        <v>IRL41A_VL           KS_CPL_C</v>
      </c>
      <c r="AG407" s="30" t="s">
        <v>2182</v>
      </c>
      <c r="AH407">
        <v>3</v>
      </c>
      <c r="AI407">
        <v>901002</v>
      </c>
      <c r="AJ407" t="s">
        <v>2048</v>
      </c>
      <c r="AK407" t="s">
        <v>19</v>
      </c>
      <c r="AL407" t="s">
        <v>1022</v>
      </c>
      <c r="AM407" t="s">
        <v>1022</v>
      </c>
      <c r="AN407" t="s">
        <v>1021</v>
      </c>
      <c r="AO407" t="s">
        <v>1023</v>
      </c>
      <c r="AP407">
        <v>2</v>
      </c>
      <c r="AQ407" t="s">
        <v>1024</v>
      </c>
      <c r="AR407" t="s">
        <v>41</v>
      </c>
      <c r="AS407" t="s">
        <v>19</v>
      </c>
      <c r="AT407" t="s">
        <v>19</v>
      </c>
      <c r="AU407" t="s">
        <v>55</v>
      </c>
      <c r="AV407" t="s">
        <v>55</v>
      </c>
      <c r="AW407" t="s">
        <v>69</v>
      </c>
      <c r="AX407" t="s">
        <v>70</v>
      </c>
      <c r="AY407">
        <v>5</v>
      </c>
      <c r="AZ407" t="s">
        <v>71</v>
      </c>
      <c r="BA407" t="s">
        <v>40</v>
      </c>
      <c r="BB407" t="s">
        <v>19</v>
      </c>
      <c r="BC407" t="s">
        <v>2049</v>
      </c>
      <c r="BD407" t="s">
        <v>1115</v>
      </c>
      <c r="BE407" t="s">
        <v>19</v>
      </c>
      <c r="BF407" t="s">
        <v>19</v>
      </c>
      <c r="BG407">
        <v>555</v>
      </c>
      <c r="BH407" t="s">
        <v>1218</v>
      </c>
      <c r="BI407">
        <v>0.13</v>
      </c>
      <c r="BJ407" t="s">
        <v>2050</v>
      </c>
      <c r="BK407" t="s">
        <v>1015</v>
      </c>
      <c r="BL407" t="s">
        <v>19</v>
      </c>
      <c r="BM407">
        <v>901002</v>
      </c>
    </row>
    <row r="408" spans="1:65" ht="14.45" customHeight="1">
      <c r="A408" s="155"/>
      <c r="B408" s="30">
        <f t="shared" si="41"/>
        <v>901003</v>
      </c>
      <c r="C408" s="30" t="s">
        <v>2222</v>
      </c>
      <c r="D408" s="30"/>
      <c r="E408" s="35" t="s">
        <v>2180</v>
      </c>
      <c r="F408" s="31"/>
      <c r="G408" s="30"/>
      <c r="H408" s="30"/>
      <c r="I408" s="30"/>
      <c r="J408" s="30"/>
      <c r="K408" s="30"/>
      <c r="L408" s="35" t="s">
        <v>2180</v>
      </c>
      <c r="M408" s="35" t="s">
        <v>2180</v>
      </c>
      <c r="N408" s="30"/>
      <c r="P408" s="30"/>
      <c r="Q408" s="30"/>
      <c r="R408" s="30"/>
      <c r="S408" s="30"/>
      <c r="T408" s="31"/>
      <c r="U408" s="30"/>
      <c r="V408" s="30"/>
      <c r="W408" s="30"/>
      <c r="X408" s="30"/>
      <c r="Y408" s="30"/>
      <c r="Z408" s="30"/>
      <c r="AA408" s="30"/>
      <c r="AB408" s="30"/>
      <c r="AC408" s="30"/>
      <c r="AD408" s="30"/>
      <c r="AE408" s="30"/>
      <c r="AF408" s="30" t="str">
        <f t="shared" si="40"/>
        <v>IRL41A_VR           KS_CPR_A</v>
      </c>
      <c r="AG408" s="30" t="s">
        <v>2182</v>
      </c>
      <c r="AH408">
        <v>3</v>
      </c>
      <c r="AI408">
        <v>901003</v>
      </c>
      <c r="AJ408" t="s">
        <v>2051</v>
      </c>
      <c r="AK408" t="s">
        <v>19</v>
      </c>
      <c r="AL408" t="s">
        <v>1033</v>
      </c>
      <c r="AM408" t="s">
        <v>1033</v>
      </c>
      <c r="AN408" t="s">
        <v>1032</v>
      </c>
      <c r="AO408" t="s">
        <v>1034</v>
      </c>
      <c r="AP408">
        <v>1</v>
      </c>
      <c r="AQ408" t="s">
        <v>1035</v>
      </c>
      <c r="AR408" t="s">
        <v>46</v>
      </c>
      <c r="AS408" t="s">
        <v>19</v>
      </c>
      <c r="AT408" t="s">
        <v>19</v>
      </c>
      <c r="AU408" t="s">
        <v>96</v>
      </c>
      <c r="AV408" t="s">
        <v>96</v>
      </c>
      <c r="AW408" t="s">
        <v>95</v>
      </c>
      <c r="AX408" t="s">
        <v>97</v>
      </c>
      <c r="AY408">
        <v>6</v>
      </c>
      <c r="AZ408" t="s">
        <v>98</v>
      </c>
      <c r="BA408" t="s">
        <v>35</v>
      </c>
      <c r="BB408" t="s">
        <v>19</v>
      </c>
      <c r="BC408" t="s">
        <v>1287</v>
      </c>
      <c r="BD408" t="s">
        <v>1115</v>
      </c>
      <c r="BE408" t="s">
        <v>19</v>
      </c>
      <c r="BF408" t="s">
        <v>19</v>
      </c>
      <c r="BG408">
        <v>1078</v>
      </c>
      <c r="BH408" t="s">
        <v>1094</v>
      </c>
      <c r="BI408">
        <v>0.35</v>
      </c>
      <c r="BJ408" t="s">
        <v>2052</v>
      </c>
      <c r="BK408" t="s">
        <v>1015</v>
      </c>
      <c r="BL408" t="s">
        <v>19</v>
      </c>
      <c r="BM408">
        <v>901003</v>
      </c>
    </row>
    <row r="409" spans="1:65" ht="14.45" customHeight="1">
      <c r="A409" s="155"/>
      <c r="B409" s="30">
        <f t="shared" si="41"/>
        <v>901004</v>
      </c>
      <c r="C409" s="30" t="s">
        <v>2222</v>
      </c>
      <c r="D409" s="30"/>
      <c r="E409" s="35" t="s">
        <v>2180</v>
      </c>
      <c r="F409" s="31"/>
      <c r="G409" s="30"/>
      <c r="H409" s="30"/>
      <c r="I409" s="30"/>
      <c r="J409" s="30"/>
      <c r="K409" s="30"/>
      <c r="L409" s="35" t="s">
        <v>2180</v>
      </c>
      <c r="M409" s="30" t="s">
        <v>2180</v>
      </c>
      <c r="N409" s="30"/>
      <c r="P409" s="30"/>
      <c r="Q409" s="30"/>
      <c r="R409" s="30"/>
      <c r="S409" s="30"/>
      <c r="T409" s="31"/>
      <c r="U409" s="30"/>
      <c r="V409" s="30"/>
      <c r="W409" s="30"/>
      <c r="X409" s="30"/>
      <c r="Y409" s="30"/>
      <c r="Z409" s="30"/>
      <c r="AA409" s="30"/>
      <c r="AB409" s="30"/>
      <c r="AC409" s="30"/>
      <c r="AD409" s="30"/>
      <c r="AE409" s="30"/>
      <c r="AF409" s="30" t="str">
        <f t="shared" si="40"/>
        <v>IRL41A_VR           KS_CPR_A</v>
      </c>
      <c r="AG409" s="30" t="s">
        <v>2182</v>
      </c>
      <c r="AH409">
        <v>3</v>
      </c>
      <c r="AI409">
        <v>901004</v>
      </c>
      <c r="AJ409" t="s">
        <v>2053</v>
      </c>
      <c r="AK409" t="s">
        <v>19</v>
      </c>
      <c r="AL409" t="s">
        <v>1033</v>
      </c>
      <c r="AM409" t="s">
        <v>1033</v>
      </c>
      <c r="AN409" t="s">
        <v>1032</v>
      </c>
      <c r="AO409" t="s">
        <v>1034</v>
      </c>
      <c r="AP409">
        <v>2</v>
      </c>
      <c r="AQ409" t="s">
        <v>1035</v>
      </c>
      <c r="AR409" t="s">
        <v>41</v>
      </c>
      <c r="AS409" t="s">
        <v>19</v>
      </c>
      <c r="AT409" t="s">
        <v>19</v>
      </c>
      <c r="AU409" t="s">
        <v>96</v>
      </c>
      <c r="AV409" t="s">
        <v>96</v>
      </c>
      <c r="AW409" t="s">
        <v>95</v>
      </c>
      <c r="AX409" t="s">
        <v>97</v>
      </c>
      <c r="AY409">
        <v>14</v>
      </c>
      <c r="AZ409" t="s">
        <v>98</v>
      </c>
      <c r="BA409" t="s">
        <v>40</v>
      </c>
      <c r="BB409" t="s">
        <v>19</v>
      </c>
      <c r="BC409" t="s">
        <v>2054</v>
      </c>
      <c r="BD409" t="s">
        <v>1115</v>
      </c>
      <c r="BE409" t="s">
        <v>19</v>
      </c>
      <c r="BF409" t="s">
        <v>19</v>
      </c>
      <c r="BG409">
        <v>1078</v>
      </c>
      <c r="BH409" t="s">
        <v>1608</v>
      </c>
      <c r="BI409">
        <v>0.13</v>
      </c>
      <c r="BJ409" t="s">
        <v>2055</v>
      </c>
      <c r="BK409" t="s">
        <v>1015</v>
      </c>
      <c r="BL409" t="s">
        <v>19</v>
      </c>
      <c r="BM409">
        <v>901004</v>
      </c>
    </row>
    <row r="410" spans="1:65" ht="14.45" customHeight="1">
      <c r="A410" s="155"/>
      <c r="B410" s="30">
        <f t="shared" si="41"/>
        <v>901005</v>
      </c>
      <c r="C410" s="30" t="s">
        <v>2222</v>
      </c>
      <c r="D410" s="30"/>
      <c r="E410" s="30" t="s">
        <v>2180</v>
      </c>
      <c r="F410" s="31" t="s">
        <v>2186</v>
      </c>
      <c r="G410" s="30" t="s">
        <v>2059</v>
      </c>
      <c r="H410" s="30"/>
      <c r="I410" s="30"/>
      <c r="J410" s="30"/>
      <c r="K410" s="30" t="s">
        <v>2184</v>
      </c>
      <c r="L410" s="30" t="s">
        <v>2180</v>
      </c>
      <c r="M410" s="30" t="s">
        <v>2187</v>
      </c>
      <c r="N410" s="30"/>
      <c r="P410" s="30"/>
      <c r="Q410" s="30"/>
      <c r="R410" s="30"/>
      <c r="S410" s="30"/>
      <c r="T410" s="31"/>
      <c r="U410" s="30"/>
      <c r="V410" s="30"/>
      <c r="W410" s="30"/>
      <c r="X410" s="30"/>
      <c r="Y410" s="30"/>
      <c r="Z410" s="30"/>
      <c r="AA410" s="30"/>
      <c r="AB410" s="30"/>
      <c r="AC410" s="30"/>
      <c r="AD410" s="30"/>
      <c r="AE410" s="30"/>
      <c r="AF410" s="30" t="str">
        <f t="shared" si="40"/>
        <v>FRL24P              SP_ILM</v>
      </c>
      <c r="AG410" s="30" t="s">
        <v>2182</v>
      </c>
      <c r="AH410">
        <v>3</v>
      </c>
      <c r="AI410">
        <v>901005</v>
      </c>
      <c r="AJ410" t="s">
        <v>2056</v>
      </c>
      <c r="AK410" t="s">
        <v>19</v>
      </c>
      <c r="AL410" t="s">
        <v>1022</v>
      </c>
      <c r="AM410" t="s">
        <v>1022</v>
      </c>
      <c r="AN410" t="s">
        <v>1027</v>
      </c>
      <c r="AO410" t="s">
        <v>1028</v>
      </c>
      <c r="AP410">
        <v>1</v>
      </c>
      <c r="AQ410" t="s">
        <v>1029</v>
      </c>
      <c r="AR410" t="s">
        <v>46</v>
      </c>
      <c r="AS410" t="s">
        <v>19</v>
      </c>
      <c r="AT410" t="s">
        <v>19</v>
      </c>
      <c r="AU410" t="s">
        <v>19</v>
      </c>
      <c r="AV410" t="s">
        <v>2057</v>
      </c>
      <c r="AW410" t="s">
        <v>2058</v>
      </c>
      <c r="AX410" t="s">
        <v>2059</v>
      </c>
      <c r="AY410">
        <v>1</v>
      </c>
      <c r="AZ410" t="s">
        <v>1241</v>
      </c>
      <c r="BA410" t="s">
        <v>19</v>
      </c>
      <c r="BB410" t="s">
        <v>19</v>
      </c>
      <c r="BC410" t="s">
        <v>2060</v>
      </c>
      <c r="BD410" t="s">
        <v>1115</v>
      </c>
      <c r="BE410" t="s">
        <v>19</v>
      </c>
      <c r="BF410" t="s">
        <v>19</v>
      </c>
      <c r="BG410">
        <v>1231</v>
      </c>
      <c r="BH410" t="s">
        <v>1831</v>
      </c>
      <c r="BI410">
        <v>0.35</v>
      </c>
      <c r="BJ410" t="s">
        <v>2061</v>
      </c>
      <c r="BK410" t="s">
        <v>19</v>
      </c>
      <c r="BL410" t="s">
        <v>1018</v>
      </c>
      <c r="BM410">
        <v>901005</v>
      </c>
    </row>
    <row r="411" spans="1:65" ht="14.45" customHeight="1">
      <c r="A411" s="155"/>
      <c r="B411" s="30">
        <f t="shared" si="41"/>
        <v>901006</v>
      </c>
      <c r="C411" s="30" t="s">
        <v>2222</v>
      </c>
      <c r="D411" s="30"/>
      <c r="E411" s="30" t="s">
        <v>2180</v>
      </c>
      <c r="F411" s="31" t="s">
        <v>2186</v>
      </c>
      <c r="G411" s="30" t="s">
        <v>2059</v>
      </c>
      <c r="H411" s="30"/>
      <c r="I411" s="30"/>
      <c r="J411" s="30"/>
      <c r="K411" s="30" t="s">
        <v>2184</v>
      </c>
      <c r="L411" s="30" t="s">
        <v>2180</v>
      </c>
      <c r="M411" s="30" t="s">
        <v>2187</v>
      </c>
      <c r="N411" s="30"/>
      <c r="P411" s="30"/>
      <c r="Q411" s="30"/>
      <c r="R411" s="30"/>
      <c r="S411" s="30"/>
      <c r="T411" s="31"/>
      <c r="U411" s="30"/>
      <c r="V411" s="30"/>
      <c r="W411" s="30"/>
      <c r="X411" s="30"/>
      <c r="Y411" s="30"/>
      <c r="Z411" s="30"/>
      <c r="AA411" s="30"/>
      <c r="AB411" s="30"/>
      <c r="AC411" s="30"/>
      <c r="AD411" s="30"/>
      <c r="AE411" s="30"/>
      <c r="AF411" s="30" t="str">
        <f t="shared" si="40"/>
        <v>FRL25P              SP_ILM</v>
      </c>
      <c r="AG411" s="30" t="s">
        <v>2182</v>
      </c>
      <c r="AH411">
        <v>3</v>
      </c>
      <c r="AI411">
        <v>901006</v>
      </c>
      <c r="AJ411" t="s">
        <v>2062</v>
      </c>
      <c r="AK411" t="s">
        <v>19</v>
      </c>
      <c r="AL411" t="s">
        <v>1033</v>
      </c>
      <c r="AM411" t="s">
        <v>1033</v>
      </c>
      <c r="AN411" t="s">
        <v>1038</v>
      </c>
      <c r="AO411" t="s">
        <v>1039</v>
      </c>
      <c r="AP411">
        <v>1</v>
      </c>
      <c r="AQ411" t="s">
        <v>1040</v>
      </c>
      <c r="AR411" t="s">
        <v>46</v>
      </c>
      <c r="AS411" t="s">
        <v>19</v>
      </c>
      <c r="AT411" t="s">
        <v>19</v>
      </c>
      <c r="AU411" t="s">
        <v>19</v>
      </c>
      <c r="AV411" t="s">
        <v>2057</v>
      </c>
      <c r="AW411" t="s">
        <v>2058</v>
      </c>
      <c r="AX411" t="s">
        <v>2059</v>
      </c>
      <c r="AY411">
        <v>1</v>
      </c>
      <c r="AZ411" t="s">
        <v>1241</v>
      </c>
      <c r="BA411" t="s">
        <v>19</v>
      </c>
      <c r="BB411" t="s">
        <v>19</v>
      </c>
      <c r="BC411" t="s">
        <v>2060</v>
      </c>
      <c r="BD411" t="s">
        <v>1115</v>
      </c>
      <c r="BE411" t="s">
        <v>19</v>
      </c>
      <c r="BF411" t="s">
        <v>19</v>
      </c>
      <c r="BG411">
        <v>1160</v>
      </c>
      <c r="BH411" t="s">
        <v>1831</v>
      </c>
      <c r="BI411">
        <v>0.35</v>
      </c>
      <c r="BJ411" t="s">
        <v>2061</v>
      </c>
      <c r="BK411" t="s">
        <v>19</v>
      </c>
      <c r="BL411" t="s">
        <v>1018</v>
      </c>
      <c r="BM411">
        <v>901006</v>
      </c>
    </row>
    <row r="412" spans="1:65" ht="14.45" customHeight="1">
      <c r="A412" s="155"/>
      <c r="B412" s="30">
        <f t="shared" si="41"/>
        <v>901008</v>
      </c>
      <c r="C412" s="30" t="s">
        <v>2222</v>
      </c>
      <c r="D412" s="30"/>
      <c r="E412" s="30" t="s">
        <v>2180</v>
      </c>
      <c r="F412" s="31" t="s">
        <v>2186</v>
      </c>
      <c r="G412" s="30" t="s">
        <v>2059</v>
      </c>
      <c r="H412" s="30"/>
      <c r="I412" s="30"/>
      <c r="J412" s="30"/>
      <c r="K412" s="30" t="s">
        <v>2184</v>
      </c>
      <c r="L412" s="30" t="s">
        <v>2187</v>
      </c>
      <c r="M412" s="30" t="s">
        <v>2180</v>
      </c>
      <c r="N412" s="30"/>
      <c r="P412" s="30"/>
      <c r="Q412" s="30"/>
      <c r="R412" s="30"/>
      <c r="S412" s="30"/>
      <c r="T412" s="31"/>
      <c r="U412" s="30"/>
      <c r="V412" s="30"/>
      <c r="W412" s="30"/>
      <c r="X412" s="30"/>
      <c r="Y412" s="30"/>
      <c r="Z412" s="30"/>
      <c r="AA412" s="30"/>
      <c r="AB412" s="30"/>
      <c r="AC412" s="30"/>
      <c r="AD412" s="30"/>
      <c r="AE412" s="30"/>
      <c r="AF412" s="30" t="str">
        <f t="shared" si="40"/>
        <v>SP_ILM              KS_CPM_D</v>
      </c>
      <c r="AG412" s="30" t="s">
        <v>2182</v>
      </c>
      <c r="AH412">
        <v>3</v>
      </c>
      <c r="AI412">
        <v>901008</v>
      </c>
      <c r="AJ412" t="s">
        <v>2063</v>
      </c>
      <c r="AK412" t="s">
        <v>19</v>
      </c>
      <c r="AL412" t="s">
        <v>19</v>
      </c>
      <c r="AM412" t="s">
        <v>2057</v>
      </c>
      <c r="AN412" t="s">
        <v>2058</v>
      </c>
      <c r="AO412" t="s">
        <v>2059</v>
      </c>
      <c r="AP412">
        <v>1</v>
      </c>
      <c r="AQ412" t="s">
        <v>1241</v>
      </c>
      <c r="AR412" t="s">
        <v>19</v>
      </c>
      <c r="AS412" t="s">
        <v>19</v>
      </c>
      <c r="AT412" t="s">
        <v>19</v>
      </c>
      <c r="AU412" t="s">
        <v>81</v>
      </c>
      <c r="AV412" t="s">
        <v>81</v>
      </c>
      <c r="AW412" t="s">
        <v>85</v>
      </c>
      <c r="AX412" t="s">
        <v>86</v>
      </c>
      <c r="AY412">
        <v>5</v>
      </c>
      <c r="AZ412" t="s">
        <v>87</v>
      </c>
      <c r="BA412" t="s">
        <v>35</v>
      </c>
      <c r="BB412" t="s">
        <v>19</v>
      </c>
      <c r="BC412" t="s">
        <v>2060</v>
      </c>
      <c r="BD412" t="s">
        <v>1115</v>
      </c>
      <c r="BE412" t="s">
        <v>19</v>
      </c>
      <c r="BF412" t="s">
        <v>19</v>
      </c>
      <c r="BG412">
        <v>632</v>
      </c>
      <c r="BH412" t="s">
        <v>1831</v>
      </c>
      <c r="BI412">
        <v>0.35</v>
      </c>
      <c r="BJ412" t="s">
        <v>2061</v>
      </c>
      <c r="BK412" t="s">
        <v>19</v>
      </c>
      <c r="BL412" t="s">
        <v>1018</v>
      </c>
      <c r="BM412">
        <v>901008</v>
      </c>
    </row>
    <row r="413" spans="1:65" ht="14.45" customHeight="1">
      <c r="A413" s="155"/>
      <c r="B413" s="30">
        <f t="shared" si="41"/>
        <v>901009</v>
      </c>
      <c r="C413" s="30" t="s">
        <v>2222</v>
      </c>
      <c r="D413" s="30"/>
      <c r="E413" s="30" t="s">
        <v>2180</v>
      </c>
      <c r="F413" s="157" t="s">
        <v>2186</v>
      </c>
      <c r="G413" s="30" t="s">
        <v>1300</v>
      </c>
      <c r="H413" s="30"/>
      <c r="I413" s="30"/>
      <c r="J413" s="30"/>
      <c r="K413" s="30" t="s">
        <v>2184</v>
      </c>
      <c r="L413" s="30" t="s">
        <v>2180</v>
      </c>
      <c r="M413" s="30" t="s">
        <v>2180</v>
      </c>
      <c r="N413" s="30"/>
      <c r="P413" s="30"/>
      <c r="Q413" s="30"/>
      <c r="R413" s="30"/>
      <c r="S413" s="30"/>
      <c r="T413" s="31"/>
      <c r="U413" s="30"/>
      <c r="V413" s="30"/>
      <c r="W413" s="30"/>
      <c r="X413" s="30"/>
      <c r="Y413" s="30"/>
      <c r="Z413" s="30"/>
      <c r="AA413" s="30"/>
      <c r="AB413" s="30"/>
      <c r="AC413" s="30"/>
      <c r="AD413" s="30"/>
      <c r="AE413" s="30"/>
      <c r="AF413" s="30" t="str">
        <f t="shared" si="40"/>
        <v>FRL24P              SP_MB33_C</v>
      </c>
      <c r="AG413" s="30" t="s">
        <v>2182</v>
      </c>
      <c r="AH413">
        <v>3</v>
      </c>
      <c r="AI413">
        <v>901009</v>
      </c>
      <c r="AJ413" t="s">
        <v>2064</v>
      </c>
      <c r="AK413" t="s">
        <v>19</v>
      </c>
      <c r="AL413" t="s">
        <v>1022</v>
      </c>
      <c r="AM413" t="s">
        <v>1022</v>
      </c>
      <c r="AN413" t="s">
        <v>1027</v>
      </c>
      <c r="AO413" t="s">
        <v>1028</v>
      </c>
      <c r="AP413">
        <v>4</v>
      </c>
      <c r="AQ413" t="s">
        <v>1029</v>
      </c>
      <c r="AR413" t="s">
        <v>46</v>
      </c>
      <c r="AS413" t="s">
        <v>19</v>
      </c>
      <c r="AT413" t="s">
        <v>19</v>
      </c>
      <c r="AU413" t="s">
        <v>19</v>
      </c>
      <c r="AV413" t="s">
        <v>1299</v>
      </c>
      <c r="AW413">
        <v>354</v>
      </c>
      <c r="AX413" t="s">
        <v>1300</v>
      </c>
      <c r="AY413">
        <v>1</v>
      </c>
      <c r="AZ413" t="s">
        <v>1072</v>
      </c>
      <c r="BA413" t="s">
        <v>19</v>
      </c>
      <c r="BB413" t="s">
        <v>19</v>
      </c>
      <c r="BC413" t="s">
        <v>1287</v>
      </c>
      <c r="BD413" t="s">
        <v>1115</v>
      </c>
      <c r="BE413" t="s">
        <v>19</v>
      </c>
      <c r="BF413" t="s">
        <v>19</v>
      </c>
      <c r="BG413">
        <v>505</v>
      </c>
      <c r="BH413" t="s">
        <v>1094</v>
      </c>
      <c r="BI413">
        <v>0.35</v>
      </c>
      <c r="BJ413" t="s">
        <v>1301</v>
      </c>
      <c r="BK413" t="s">
        <v>19</v>
      </c>
      <c r="BL413" t="s">
        <v>1018</v>
      </c>
      <c r="BM413">
        <v>901009</v>
      </c>
    </row>
    <row r="414" spans="1:65" ht="14.45" customHeight="1">
      <c r="A414" s="155"/>
      <c r="B414" s="30">
        <f t="shared" si="41"/>
        <v>901010</v>
      </c>
      <c r="C414" s="30" t="s">
        <v>2222</v>
      </c>
      <c r="D414" s="30"/>
      <c r="E414" s="30" t="s">
        <v>2180</v>
      </c>
      <c r="F414" s="31"/>
      <c r="G414" s="30"/>
      <c r="H414" s="30"/>
      <c r="I414" s="30"/>
      <c r="J414" s="30"/>
      <c r="K414" s="30"/>
      <c r="L414" s="30" t="s">
        <v>2180</v>
      </c>
      <c r="M414" s="30" t="s">
        <v>2180</v>
      </c>
      <c r="N414" s="30"/>
      <c r="P414" s="30"/>
      <c r="Q414" s="30"/>
      <c r="R414" s="30"/>
      <c r="S414" s="30"/>
      <c r="T414" s="31"/>
      <c r="U414" s="30"/>
      <c r="V414" s="30"/>
      <c r="W414" s="30"/>
      <c r="X414" s="30"/>
      <c r="Y414" s="30"/>
      <c r="Z414" s="30"/>
      <c r="AA414" s="30"/>
      <c r="AB414" s="30"/>
      <c r="AC414" s="30"/>
      <c r="AD414" s="30"/>
      <c r="AE414" s="30"/>
      <c r="AF414" s="30" t="str">
        <f t="shared" si="40"/>
        <v>FRL25P              KS_CPR_A</v>
      </c>
      <c r="AG414" s="30" t="s">
        <v>2182</v>
      </c>
      <c r="AH414">
        <v>3</v>
      </c>
      <c r="AI414">
        <v>901010</v>
      </c>
      <c r="AJ414" t="s">
        <v>2065</v>
      </c>
      <c r="AK414" t="s">
        <v>19</v>
      </c>
      <c r="AL414" t="s">
        <v>1033</v>
      </c>
      <c r="AM414" t="s">
        <v>1033</v>
      </c>
      <c r="AN414" t="s">
        <v>1038</v>
      </c>
      <c r="AO414" t="s">
        <v>1039</v>
      </c>
      <c r="AP414">
        <v>4</v>
      </c>
      <c r="AQ414" t="s">
        <v>1040</v>
      </c>
      <c r="AR414" t="s">
        <v>46</v>
      </c>
      <c r="AS414" t="s">
        <v>19</v>
      </c>
      <c r="AT414" t="s">
        <v>19</v>
      </c>
      <c r="AU414" t="s">
        <v>96</v>
      </c>
      <c r="AV414" t="s">
        <v>96</v>
      </c>
      <c r="AW414" t="s">
        <v>95</v>
      </c>
      <c r="AX414" t="s">
        <v>97</v>
      </c>
      <c r="AY414">
        <v>6</v>
      </c>
      <c r="AZ414" t="s">
        <v>98</v>
      </c>
      <c r="BA414" t="s">
        <v>35</v>
      </c>
      <c r="BB414" t="s">
        <v>19</v>
      </c>
      <c r="BC414" t="s">
        <v>1287</v>
      </c>
      <c r="BD414" t="s">
        <v>1115</v>
      </c>
      <c r="BE414" t="s">
        <v>19</v>
      </c>
      <c r="BF414" t="s">
        <v>19</v>
      </c>
      <c r="BG414">
        <v>1078</v>
      </c>
      <c r="BH414" t="s">
        <v>1094</v>
      </c>
      <c r="BI414">
        <v>0.35</v>
      </c>
      <c r="BJ414" t="s">
        <v>2052</v>
      </c>
      <c r="BK414" t="s">
        <v>19</v>
      </c>
      <c r="BL414" t="s">
        <v>1018</v>
      </c>
      <c r="BM414">
        <v>901010</v>
      </c>
    </row>
    <row r="415" spans="1:65" ht="14.45" customHeight="1">
      <c r="A415" s="155"/>
      <c r="B415" s="30">
        <f t="shared" si="41"/>
        <v>901011</v>
      </c>
      <c r="C415" s="30" t="s">
        <v>2222</v>
      </c>
      <c r="D415" s="30"/>
      <c r="E415" s="30" t="s">
        <v>2180</v>
      </c>
      <c r="F415" s="31"/>
      <c r="G415" s="30"/>
      <c r="H415" s="30"/>
      <c r="I415" s="30"/>
      <c r="J415" s="30"/>
      <c r="K415" s="30"/>
      <c r="L415" s="30" t="s">
        <v>2180</v>
      </c>
      <c r="M415" s="30" t="s">
        <v>2180</v>
      </c>
      <c r="N415" s="30"/>
      <c r="P415" s="30"/>
      <c r="Q415" s="30"/>
      <c r="R415" s="30"/>
      <c r="S415" s="30"/>
      <c r="T415" s="31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  <c r="AF415" s="30" t="str">
        <f t="shared" si="40"/>
        <v>FRL24P              KS_CPL_C</v>
      </c>
      <c r="AG415" s="30" t="s">
        <v>2182</v>
      </c>
      <c r="AH415">
        <v>3</v>
      </c>
      <c r="AI415">
        <v>901011</v>
      </c>
      <c r="AJ415" t="s">
        <v>2066</v>
      </c>
      <c r="AK415" t="s">
        <v>19</v>
      </c>
      <c r="AL415" t="s">
        <v>1022</v>
      </c>
      <c r="AM415" t="s">
        <v>1022</v>
      </c>
      <c r="AN415" t="s">
        <v>1027</v>
      </c>
      <c r="AO415" t="s">
        <v>1028</v>
      </c>
      <c r="AP415">
        <v>2</v>
      </c>
      <c r="AQ415" t="s">
        <v>1029</v>
      </c>
      <c r="AR415" t="s">
        <v>41</v>
      </c>
      <c r="AS415" t="s">
        <v>19</v>
      </c>
      <c r="AT415" t="s">
        <v>19</v>
      </c>
      <c r="AU415" t="s">
        <v>55</v>
      </c>
      <c r="AV415" t="s">
        <v>55</v>
      </c>
      <c r="AW415" t="s">
        <v>69</v>
      </c>
      <c r="AX415" t="s">
        <v>70</v>
      </c>
      <c r="AY415">
        <v>12</v>
      </c>
      <c r="AZ415" t="s">
        <v>71</v>
      </c>
      <c r="BA415" t="s">
        <v>40</v>
      </c>
      <c r="BB415" t="s">
        <v>19</v>
      </c>
      <c r="BC415" t="s">
        <v>1422</v>
      </c>
      <c r="BD415" t="s">
        <v>1115</v>
      </c>
      <c r="BE415" t="s">
        <v>19</v>
      </c>
      <c r="BF415" t="s">
        <v>19</v>
      </c>
      <c r="BG415">
        <v>555</v>
      </c>
      <c r="BH415" t="s">
        <v>1423</v>
      </c>
      <c r="BI415">
        <v>0.13</v>
      </c>
      <c r="BJ415" t="s">
        <v>2067</v>
      </c>
      <c r="BK415" t="s">
        <v>19</v>
      </c>
      <c r="BL415" t="s">
        <v>1018</v>
      </c>
      <c r="BM415">
        <v>901011</v>
      </c>
    </row>
    <row r="416" spans="1:65" ht="14.45" customHeight="1">
      <c r="A416" s="155"/>
      <c r="B416" s="30">
        <f t="shared" si="41"/>
        <v>901012</v>
      </c>
      <c r="C416" s="30" t="s">
        <v>2222</v>
      </c>
      <c r="D416" s="30"/>
      <c r="E416" s="30" t="s">
        <v>2180</v>
      </c>
      <c r="F416" s="31"/>
      <c r="G416" s="30"/>
      <c r="H416" s="30"/>
      <c r="I416" s="30"/>
      <c r="J416" s="30"/>
      <c r="K416" s="30"/>
      <c r="L416" s="30" t="s">
        <v>2180</v>
      </c>
      <c r="M416" s="30" t="s">
        <v>2180</v>
      </c>
      <c r="N416" s="30"/>
      <c r="P416" s="30"/>
      <c r="Q416" s="30"/>
      <c r="R416" s="30"/>
      <c r="S416" s="30"/>
      <c r="T416" s="31"/>
      <c r="U416" s="30"/>
      <c r="V416" s="30"/>
      <c r="W416" s="30"/>
      <c r="X416" s="30"/>
      <c r="Y416" s="30"/>
      <c r="Z416" s="30"/>
      <c r="AA416" s="30"/>
      <c r="AB416" s="30"/>
      <c r="AC416" s="30"/>
      <c r="AD416" s="30"/>
      <c r="AE416" s="30"/>
      <c r="AF416" s="30" t="str">
        <f t="shared" si="40"/>
        <v>FRL24P              AB_SPOT_RE</v>
      </c>
      <c r="AG416" s="30" t="s">
        <v>2182</v>
      </c>
      <c r="AH416">
        <v>3</v>
      </c>
      <c r="AI416">
        <v>901012</v>
      </c>
      <c r="AJ416" t="s">
        <v>2068</v>
      </c>
      <c r="AK416" t="s">
        <v>19</v>
      </c>
      <c r="AL416" t="s">
        <v>1022</v>
      </c>
      <c r="AM416" t="s">
        <v>1022</v>
      </c>
      <c r="AN416" t="s">
        <v>1027</v>
      </c>
      <c r="AO416" t="s">
        <v>1028</v>
      </c>
      <c r="AP416">
        <v>3</v>
      </c>
      <c r="AQ416" t="s">
        <v>1029</v>
      </c>
      <c r="AR416" t="s">
        <v>41</v>
      </c>
      <c r="AS416" t="s">
        <v>19</v>
      </c>
      <c r="AT416" t="s">
        <v>19</v>
      </c>
      <c r="AU416" t="s">
        <v>1058</v>
      </c>
      <c r="AV416" t="s">
        <v>1059</v>
      </c>
      <c r="AW416" t="s">
        <v>1057</v>
      </c>
      <c r="AX416" t="s">
        <v>1060</v>
      </c>
      <c r="AY416">
        <v>2</v>
      </c>
      <c r="AZ416" t="s">
        <v>1054</v>
      </c>
      <c r="BA416" t="s">
        <v>41</v>
      </c>
      <c r="BB416" t="s">
        <v>19</v>
      </c>
      <c r="BC416" t="s">
        <v>1212</v>
      </c>
      <c r="BD416" t="s">
        <v>1115</v>
      </c>
      <c r="BE416" t="s">
        <v>19</v>
      </c>
      <c r="BF416" t="s">
        <v>19</v>
      </c>
      <c r="BG416">
        <v>1612</v>
      </c>
      <c r="BH416" t="s">
        <v>1213</v>
      </c>
      <c r="BI416">
        <v>0.13</v>
      </c>
      <c r="BJ416" t="s">
        <v>2069</v>
      </c>
      <c r="BK416" t="s">
        <v>19</v>
      </c>
      <c r="BL416" t="s">
        <v>1018</v>
      </c>
      <c r="BM416">
        <v>901012</v>
      </c>
    </row>
    <row r="417" spans="1:65" ht="14.45" customHeight="1">
      <c r="A417" s="155">
        <v>504</v>
      </c>
      <c r="B417" s="30">
        <f t="shared" si="41"/>
        <v>901017</v>
      </c>
      <c r="C417" s="30" t="s">
        <v>2222</v>
      </c>
      <c r="D417" s="30"/>
      <c r="E417" s="30" t="s">
        <v>2180</v>
      </c>
      <c r="F417" s="31" t="s">
        <v>2186</v>
      </c>
      <c r="G417" s="30" t="s">
        <v>2059</v>
      </c>
      <c r="H417" s="30"/>
      <c r="I417" s="30"/>
      <c r="J417" s="30"/>
      <c r="K417" s="30" t="s">
        <v>2184</v>
      </c>
      <c r="L417" s="30" t="s">
        <v>2187</v>
      </c>
      <c r="M417" s="30" t="s">
        <v>2180</v>
      </c>
      <c r="N417" s="30"/>
      <c r="P417" s="30"/>
      <c r="Q417" s="30"/>
      <c r="R417" s="30"/>
      <c r="S417" s="30"/>
      <c r="T417" s="31"/>
      <c r="U417" s="30"/>
      <c r="V417" s="30"/>
      <c r="W417" s="30"/>
      <c r="X417" s="30"/>
      <c r="Y417" s="30"/>
      <c r="Z417" s="30"/>
      <c r="AA417" s="30"/>
      <c r="AB417" s="30"/>
      <c r="AC417" s="30"/>
      <c r="AD417" s="30"/>
      <c r="AE417" s="30"/>
      <c r="AF417" s="30" t="str">
        <f t="shared" si="40"/>
        <v>SP_ILM              KS_CPL_C</v>
      </c>
      <c r="AG417" s="30" t="s">
        <v>2182</v>
      </c>
      <c r="AH417">
        <v>3</v>
      </c>
      <c r="AI417">
        <v>901017</v>
      </c>
      <c r="AJ417" t="s">
        <v>2070</v>
      </c>
      <c r="AK417" t="s">
        <v>19</v>
      </c>
      <c r="AL417" t="s">
        <v>19</v>
      </c>
      <c r="AM417" t="s">
        <v>2057</v>
      </c>
      <c r="AN417" t="s">
        <v>2058</v>
      </c>
      <c r="AO417" t="s">
        <v>2059</v>
      </c>
      <c r="AP417">
        <v>1</v>
      </c>
      <c r="AQ417" t="s">
        <v>1241</v>
      </c>
      <c r="AR417" t="s">
        <v>19</v>
      </c>
      <c r="AS417" t="s">
        <v>19</v>
      </c>
      <c r="AT417" t="s">
        <v>19</v>
      </c>
      <c r="AU417" t="s">
        <v>55</v>
      </c>
      <c r="AV417" t="s">
        <v>55</v>
      </c>
      <c r="AW417" t="s">
        <v>69</v>
      </c>
      <c r="AX417" t="s">
        <v>70</v>
      </c>
      <c r="AY417">
        <v>1</v>
      </c>
      <c r="AZ417" t="s">
        <v>71</v>
      </c>
      <c r="BA417" t="s">
        <v>35</v>
      </c>
      <c r="BB417" t="s">
        <v>19</v>
      </c>
      <c r="BC417" t="s">
        <v>2060</v>
      </c>
      <c r="BD417" t="s">
        <v>1115</v>
      </c>
      <c r="BE417" t="s">
        <v>19</v>
      </c>
      <c r="BF417" t="s">
        <v>19</v>
      </c>
      <c r="BG417" s="153">
        <v>1036</v>
      </c>
      <c r="BH417" t="s">
        <v>1831</v>
      </c>
      <c r="BI417">
        <v>0.35</v>
      </c>
      <c r="BJ417" t="s">
        <v>2061</v>
      </c>
      <c r="BK417" t="s">
        <v>19</v>
      </c>
      <c r="BL417" t="s">
        <v>1018</v>
      </c>
      <c r="BM417">
        <v>901017</v>
      </c>
    </row>
    <row r="418" spans="1:65" ht="14.45" customHeight="1">
      <c r="A418" s="155"/>
      <c r="B418" s="30">
        <f t="shared" si="41"/>
        <v>901018</v>
      </c>
      <c r="C418" s="30" t="s">
        <v>2222</v>
      </c>
      <c r="D418" s="30"/>
      <c r="E418" s="30" t="s">
        <v>2180</v>
      </c>
      <c r="F418" s="31" t="s">
        <v>2183</v>
      </c>
      <c r="G418" s="30" t="s">
        <v>1152</v>
      </c>
      <c r="H418" s="30"/>
      <c r="I418" s="30"/>
      <c r="J418" s="30"/>
      <c r="K418" s="30" t="s">
        <v>2184</v>
      </c>
      <c r="L418" s="30" t="s">
        <v>2187</v>
      </c>
      <c r="M418" s="30" t="s">
        <v>2180</v>
      </c>
      <c r="N418" s="30"/>
      <c r="P418" s="30"/>
      <c r="Q418" s="30"/>
      <c r="R418" s="30"/>
      <c r="S418" s="30"/>
      <c r="T418" s="31"/>
      <c r="U418" s="30"/>
      <c r="V418" s="30"/>
      <c r="W418" s="30"/>
      <c r="X418" s="30"/>
      <c r="Y418" s="30"/>
      <c r="Z418" s="30"/>
      <c r="AA418" s="30"/>
      <c r="AB418" s="30"/>
      <c r="AC418" s="30"/>
      <c r="AD418" s="30"/>
      <c r="AE418" s="30"/>
      <c r="AF418" s="30" t="str">
        <f t="shared" si="40"/>
        <v>SP_MB32_B2          AB_ST_RE</v>
      </c>
      <c r="AG418" s="30" t="s">
        <v>2182</v>
      </c>
      <c r="AH418">
        <v>3</v>
      </c>
      <c r="AI418">
        <v>901018</v>
      </c>
      <c r="AJ418" t="s">
        <v>2071</v>
      </c>
      <c r="AK418" t="s">
        <v>19</v>
      </c>
      <c r="AL418" t="s">
        <v>19</v>
      </c>
      <c r="AM418" t="s">
        <v>1151</v>
      </c>
      <c r="AN418">
        <v>135</v>
      </c>
      <c r="AO418" t="s">
        <v>1152</v>
      </c>
      <c r="AP418">
        <v>1</v>
      </c>
      <c r="AQ418" t="s">
        <v>358</v>
      </c>
      <c r="AR418" t="s">
        <v>19</v>
      </c>
      <c r="AS418" t="s">
        <v>19</v>
      </c>
      <c r="AT418" t="s">
        <v>19</v>
      </c>
      <c r="AU418" t="s">
        <v>1045</v>
      </c>
      <c r="AV418" t="s">
        <v>1045</v>
      </c>
      <c r="AW418" t="s">
        <v>1044</v>
      </c>
      <c r="AX418" t="s">
        <v>1046</v>
      </c>
      <c r="AY418">
        <v>4</v>
      </c>
      <c r="AZ418" t="s">
        <v>1047</v>
      </c>
      <c r="BA418" t="s">
        <v>46</v>
      </c>
      <c r="BB418" t="s">
        <v>19</v>
      </c>
      <c r="BC418" t="s">
        <v>1287</v>
      </c>
      <c r="BD418" t="s">
        <v>1115</v>
      </c>
      <c r="BE418" t="s">
        <v>19</v>
      </c>
      <c r="BF418" t="s">
        <v>19</v>
      </c>
      <c r="BG418">
        <v>693</v>
      </c>
      <c r="BH418" t="s">
        <v>1094</v>
      </c>
      <c r="BI418">
        <v>0.35</v>
      </c>
      <c r="BJ418" t="s">
        <v>1153</v>
      </c>
      <c r="BK418" t="s">
        <v>19</v>
      </c>
      <c r="BL418" t="s">
        <v>1018</v>
      </c>
      <c r="BM418">
        <v>901018</v>
      </c>
    </row>
    <row r="419" spans="1:65" ht="14.45" customHeight="1">
      <c r="A419" s="155"/>
      <c r="B419" s="30">
        <f t="shared" si="41"/>
        <v>901020</v>
      </c>
      <c r="C419" s="30" t="s">
        <v>2222</v>
      </c>
      <c r="D419" s="30"/>
      <c r="E419" s="30" t="s">
        <v>2180</v>
      </c>
      <c r="F419" s="31" t="s">
        <v>2186</v>
      </c>
      <c r="G419" s="30" t="s">
        <v>2059</v>
      </c>
      <c r="H419" s="30"/>
      <c r="I419" s="30"/>
      <c r="J419" s="30"/>
      <c r="K419" s="30" t="s">
        <v>2184</v>
      </c>
      <c r="L419" s="30" t="s">
        <v>2180</v>
      </c>
      <c r="M419" s="30" t="s">
        <v>2187</v>
      </c>
      <c r="N419" s="30"/>
      <c r="P419" s="30"/>
      <c r="Q419" s="30"/>
      <c r="R419" s="30"/>
      <c r="S419" s="30"/>
      <c r="T419" s="31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 t="str">
        <f t="shared" si="40"/>
        <v>AB_ST_RE            SP_ILM</v>
      </c>
      <c r="AG419" s="30" t="s">
        <v>2182</v>
      </c>
      <c r="AH419">
        <v>3</v>
      </c>
      <c r="AI419">
        <v>901020</v>
      </c>
      <c r="AJ419" t="s">
        <v>2072</v>
      </c>
      <c r="AK419" t="s">
        <v>19</v>
      </c>
      <c r="AL419" t="s">
        <v>1045</v>
      </c>
      <c r="AM419" t="s">
        <v>1045</v>
      </c>
      <c r="AN419" t="s">
        <v>1044</v>
      </c>
      <c r="AO419" t="s">
        <v>1046</v>
      </c>
      <c r="AP419">
        <v>1</v>
      </c>
      <c r="AQ419" t="s">
        <v>1047</v>
      </c>
      <c r="AR419" t="s">
        <v>46</v>
      </c>
      <c r="AS419" t="s">
        <v>19</v>
      </c>
      <c r="AT419" t="s">
        <v>19</v>
      </c>
      <c r="AU419" t="s">
        <v>19</v>
      </c>
      <c r="AV419" t="s">
        <v>2057</v>
      </c>
      <c r="AW419" t="s">
        <v>2058</v>
      </c>
      <c r="AX419" t="s">
        <v>2059</v>
      </c>
      <c r="AY419">
        <v>1</v>
      </c>
      <c r="AZ419" t="s">
        <v>1241</v>
      </c>
      <c r="BA419" t="s">
        <v>19</v>
      </c>
      <c r="BB419" t="s">
        <v>19</v>
      </c>
      <c r="BC419" t="s">
        <v>2060</v>
      </c>
      <c r="BD419" t="s">
        <v>1115</v>
      </c>
      <c r="BE419" t="s">
        <v>19</v>
      </c>
      <c r="BF419" t="s">
        <v>19</v>
      </c>
      <c r="BG419">
        <v>995</v>
      </c>
      <c r="BH419" t="s">
        <v>1831</v>
      </c>
      <c r="BI419">
        <v>0.35</v>
      </c>
      <c r="BJ419" t="s">
        <v>2061</v>
      </c>
      <c r="BK419" t="s">
        <v>19</v>
      </c>
      <c r="BL419" t="s">
        <v>1018</v>
      </c>
      <c r="BM419">
        <v>901020</v>
      </c>
    </row>
    <row r="420" spans="1:65" ht="14.45" customHeight="1">
      <c r="A420" s="155"/>
      <c r="B420" s="30">
        <f t="shared" si="41"/>
        <v>901024</v>
      </c>
      <c r="C420" s="30" t="s">
        <v>2222</v>
      </c>
      <c r="D420" s="30"/>
      <c r="E420" s="30" t="s">
        <v>2180</v>
      </c>
      <c r="F420" s="31" t="s">
        <v>2183</v>
      </c>
      <c r="G420" s="30" t="s">
        <v>1152</v>
      </c>
      <c r="H420" s="30"/>
      <c r="I420" s="30"/>
      <c r="J420" s="30"/>
      <c r="K420" s="30" t="s">
        <v>2184</v>
      </c>
      <c r="L420" s="30" t="s">
        <v>2187</v>
      </c>
      <c r="M420" s="30" t="s">
        <v>2180</v>
      </c>
      <c r="N420" s="30"/>
      <c r="P420" s="30"/>
      <c r="Q420" s="30"/>
      <c r="R420" s="30"/>
      <c r="S420" s="30"/>
      <c r="T420" s="31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 t="str">
        <f t="shared" si="40"/>
        <v>SP_MB32_B2          AB_EM_BFS</v>
      </c>
      <c r="AG420" s="30" t="s">
        <v>2182</v>
      </c>
      <c r="AH420">
        <v>3</v>
      </c>
      <c r="AI420">
        <v>901024</v>
      </c>
      <c r="AJ420" t="s">
        <v>2073</v>
      </c>
      <c r="AK420" t="s">
        <v>19</v>
      </c>
      <c r="AL420" t="s">
        <v>19</v>
      </c>
      <c r="AM420" t="s">
        <v>1151</v>
      </c>
      <c r="AN420">
        <v>135</v>
      </c>
      <c r="AO420" t="s">
        <v>1152</v>
      </c>
      <c r="AP420">
        <v>1</v>
      </c>
      <c r="AQ420" t="s">
        <v>358</v>
      </c>
      <c r="AR420" t="s">
        <v>19</v>
      </c>
      <c r="AS420" t="s">
        <v>19</v>
      </c>
      <c r="AT420" t="s">
        <v>19</v>
      </c>
      <c r="AU420" t="s">
        <v>1064</v>
      </c>
      <c r="AV420" t="s">
        <v>1064</v>
      </c>
      <c r="AW420" t="s">
        <v>1063</v>
      </c>
      <c r="AX420" t="s">
        <v>1065</v>
      </c>
      <c r="AY420">
        <v>4</v>
      </c>
      <c r="AZ420" t="s">
        <v>1066</v>
      </c>
      <c r="BA420" t="s">
        <v>46</v>
      </c>
      <c r="BB420" t="s">
        <v>19</v>
      </c>
      <c r="BC420" t="s">
        <v>1287</v>
      </c>
      <c r="BD420" t="s">
        <v>1115</v>
      </c>
      <c r="BE420" t="s">
        <v>19</v>
      </c>
      <c r="BF420" t="s">
        <v>19</v>
      </c>
      <c r="BG420">
        <v>703</v>
      </c>
      <c r="BH420" t="s">
        <v>1094</v>
      </c>
      <c r="BI420">
        <v>0.35</v>
      </c>
      <c r="BJ420" t="s">
        <v>1153</v>
      </c>
      <c r="BK420" t="s">
        <v>19</v>
      </c>
      <c r="BL420" t="s">
        <v>1018</v>
      </c>
      <c r="BM420">
        <v>901024</v>
      </c>
    </row>
    <row r="421" spans="1:65" ht="14.45" customHeight="1">
      <c r="A421" s="155"/>
      <c r="B421" s="30">
        <f t="shared" si="41"/>
        <v>901026</v>
      </c>
      <c r="C421" s="30" t="s">
        <v>2222</v>
      </c>
      <c r="D421" s="30"/>
      <c r="E421" s="30" t="s">
        <v>2180</v>
      </c>
      <c r="F421" s="31" t="s">
        <v>2186</v>
      </c>
      <c r="G421" s="30" t="s">
        <v>2059</v>
      </c>
      <c r="H421" s="30"/>
      <c r="I421" s="30"/>
      <c r="J421" s="30"/>
      <c r="K421" s="30" t="s">
        <v>2184</v>
      </c>
      <c r="L421" s="30" t="s">
        <v>2180</v>
      </c>
      <c r="M421" s="30" t="s">
        <v>2187</v>
      </c>
      <c r="N421" s="30"/>
      <c r="P421" s="30"/>
      <c r="Q421" s="30"/>
      <c r="R421" s="30"/>
      <c r="S421" s="30"/>
      <c r="T421" s="31"/>
      <c r="U421" s="30"/>
      <c r="V421" s="30"/>
      <c r="W421" s="30"/>
      <c r="X421" s="30"/>
      <c r="Y421" s="30"/>
      <c r="Z421" s="30"/>
      <c r="AA421" s="30"/>
      <c r="AB421" s="30"/>
      <c r="AC421" s="30"/>
      <c r="AD421" s="30"/>
      <c r="AE421" s="30"/>
      <c r="AF421" s="30" t="str">
        <f t="shared" si="40"/>
        <v>AB_EM_BFS           SP_ILM</v>
      </c>
      <c r="AG421" s="30" t="s">
        <v>2182</v>
      </c>
      <c r="AH421">
        <v>3</v>
      </c>
      <c r="AI421">
        <v>901026</v>
      </c>
      <c r="AJ421" t="s">
        <v>2074</v>
      </c>
      <c r="AK421" t="s">
        <v>19</v>
      </c>
      <c r="AL421" t="s">
        <v>1064</v>
      </c>
      <c r="AM421" t="s">
        <v>1064</v>
      </c>
      <c r="AN421" t="s">
        <v>1063</v>
      </c>
      <c r="AO421" t="s">
        <v>1065</v>
      </c>
      <c r="AP421">
        <v>1</v>
      </c>
      <c r="AQ421" t="s">
        <v>1066</v>
      </c>
      <c r="AR421" t="s">
        <v>46</v>
      </c>
      <c r="AS421" t="s">
        <v>19</v>
      </c>
      <c r="AT421" t="s">
        <v>19</v>
      </c>
      <c r="AU421" t="s">
        <v>19</v>
      </c>
      <c r="AV421" t="s">
        <v>2057</v>
      </c>
      <c r="AW421" t="s">
        <v>2058</v>
      </c>
      <c r="AX421" t="s">
        <v>2059</v>
      </c>
      <c r="AY421">
        <v>1</v>
      </c>
      <c r="AZ421" t="s">
        <v>1241</v>
      </c>
      <c r="BA421" t="s">
        <v>19</v>
      </c>
      <c r="BB421" t="s">
        <v>19</v>
      </c>
      <c r="BC421" t="s">
        <v>2060</v>
      </c>
      <c r="BD421" t="s">
        <v>1115</v>
      </c>
      <c r="BE421" t="s">
        <v>19</v>
      </c>
      <c r="BF421" t="s">
        <v>19</v>
      </c>
      <c r="BG421">
        <v>1005</v>
      </c>
      <c r="BH421" t="s">
        <v>1831</v>
      </c>
      <c r="BI421">
        <v>0.35</v>
      </c>
      <c r="BJ421" t="s">
        <v>2061</v>
      </c>
      <c r="BK421" t="s">
        <v>19</v>
      </c>
      <c r="BL421" t="s">
        <v>1018</v>
      </c>
      <c r="BM421">
        <v>901026</v>
      </c>
    </row>
    <row r="422" spans="1:65" ht="14.45" customHeight="1">
      <c r="A422" s="155"/>
      <c r="B422" s="30">
        <f t="shared" si="41"/>
        <v>901030</v>
      </c>
      <c r="C422" s="30" t="s">
        <v>2222</v>
      </c>
      <c r="D422" s="30"/>
      <c r="E422" s="30" t="s">
        <v>2180</v>
      </c>
      <c r="F422" s="31" t="s">
        <v>2186</v>
      </c>
      <c r="G422" s="30" t="s">
        <v>2059</v>
      </c>
      <c r="H422" s="30"/>
      <c r="I422" s="30"/>
      <c r="J422" s="30"/>
      <c r="K422" s="30" t="s">
        <v>2184</v>
      </c>
      <c r="L422" s="30" t="s">
        <v>2180</v>
      </c>
      <c r="M422" s="30" t="s">
        <v>2187</v>
      </c>
      <c r="N422" s="30"/>
      <c r="P422" s="30"/>
      <c r="Q422" s="30"/>
      <c r="R422" s="30"/>
      <c r="S422" s="30"/>
      <c r="T422" s="31"/>
      <c r="U422" s="30"/>
      <c r="V422" s="30"/>
      <c r="W422" s="30"/>
      <c r="X422" s="30"/>
      <c r="Y422" s="30"/>
      <c r="Z422" s="30"/>
      <c r="AA422" s="30"/>
      <c r="AB422" s="30"/>
      <c r="AC422" s="30"/>
      <c r="AD422" s="30"/>
      <c r="AE422" s="30"/>
      <c r="AF422" s="30" t="str">
        <f t="shared" si="40"/>
        <v>AB_SPOT_RE          SP_ILM</v>
      </c>
      <c r="AG422" s="30" t="s">
        <v>2182</v>
      </c>
      <c r="AH422">
        <v>3</v>
      </c>
      <c r="AI422">
        <v>901030</v>
      </c>
      <c r="AJ422" t="s">
        <v>2075</v>
      </c>
      <c r="AK422" t="s">
        <v>19</v>
      </c>
      <c r="AL422" t="s">
        <v>1058</v>
      </c>
      <c r="AM422" t="s">
        <v>1059</v>
      </c>
      <c r="AN422" t="s">
        <v>1057</v>
      </c>
      <c r="AO422" t="s">
        <v>1060</v>
      </c>
      <c r="AP422">
        <v>1</v>
      </c>
      <c r="AQ422" t="s">
        <v>1054</v>
      </c>
      <c r="AR422" t="s">
        <v>46</v>
      </c>
      <c r="AS422" t="s">
        <v>19</v>
      </c>
      <c r="AT422" t="s">
        <v>19</v>
      </c>
      <c r="AU422" t="s">
        <v>19</v>
      </c>
      <c r="AV422" t="s">
        <v>2057</v>
      </c>
      <c r="AW422" t="s">
        <v>2058</v>
      </c>
      <c r="AX422" t="s">
        <v>2059</v>
      </c>
      <c r="AY422">
        <v>1</v>
      </c>
      <c r="AZ422" t="s">
        <v>1241</v>
      </c>
      <c r="BA422" t="s">
        <v>19</v>
      </c>
      <c r="BB422" t="s">
        <v>19</v>
      </c>
      <c r="BC422" t="s">
        <v>2060</v>
      </c>
      <c r="BD422" t="s">
        <v>1115</v>
      </c>
      <c r="BE422" t="s">
        <v>19</v>
      </c>
      <c r="BF422" t="s">
        <v>19</v>
      </c>
      <c r="BG422">
        <v>581</v>
      </c>
      <c r="BH422" t="s">
        <v>1831</v>
      </c>
      <c r="BI422">
        <v>0.35</v>
      </c>
      <c r="BJ422" t="s">
        <v>2061</v>
      </c>
      <c r="BK422" t="s">
        <v>19</v>
      </c>
      <c r="BL422" t="s">
        <v>1018</v>
      </c>
      <c r="BM422">
        <v>901030</v>
      </c>
    </row>
    <row r="423" spans="1:65" ht="14.45" customHeight="1">
      <c r="A423" s="155"/>
      <c r="B423" s="30">
        <f t="shared" si="41"/>
        <v>901032</v>
      </c>
      <c r="C423" s="30" t="s">
        <v>2222</v>
      </c>
      <c r="D423" s="30"/>
      <c r="E423" s="30" t="s">
        <v>2180</v>
      </c>
      <c r="F423" s="31" t="s">
        <v>2183</v>
      </c>
      <c r="G423" s="30" t="s">
        <v>1120</v>
      </c>
      <c r="H423" s="30"/>
      <c r="I423" s="30"/>
      <c r="J423" s="30"/>
      <c r="K423" s="30" t="s">
        <v>2184</v>
      </c>
      <c r="L423" s="30" t="s">
        <v>2180</v>
      </c>
      <c r="M423" s="30" t="s">
        <v>2180</v>
      </c>
      <c r="N423" s="30"/>
      <c r="O423" s="192" t="s">
        <v>2436</v>
      </c>
      <c r="P423" s="30"/>
      <c r="Q423" s="30"/>
      <c r="R423" s="30"/>
      <c r="S423" s="30"/>
      <c r="T423" s="31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 t="str">
        <f t="shared" si="40"/>
        <v>SP_MB31_B1          AB_SPOT_RE</v>
      </c>
      <c r="AG423" s="30" t="s">
        <v>2182</v>
      </c>
      <c r="AH423">
        <v>3</v>
      </c>
      <c r="AI423">
        <v>901032</v>
      </c>
      <c r="AJ423" t="s">
        <v>2076</v>
      </c>
      <c r="AK423" t="s">
        <v>19</v>
      </c>
      <c r="AL423" t="s">
        <v>19</v>
      </c>
      <c r="AM423" t="s">
        <v>1119</v>
      </c>
      <c r="AN423">
        <v>332</v>
      </c>
      <c r="AO423" t="s">
        <v>1120</v>
      </c>
      <c r="AP423">
        <v>1</v>
      </c>
      <c r="AQ423" t="s">
        <v>362</v>
      </c>
      <c r="AR423" t="s">
        <v>19</v>
      </c>
      <c r="AS423" t="s">
        <v>19</v>
      </c>
      <c r="AT423" t="s">
        <v>19</v>
      </c>
      <c r="AU423" t="s">
        <v>1058</v>
      </c>
      <c r="AV423" t="s">
        <v>1059</v>
      </c>
      <c r="AW423" t="s">
        <v>1057</v>
      </c>
      <c r="AX423" t="s">
        <v>1060</v>
      </c>
      <c r="AY423">
        <v>4</v>
      </c>
      <c r="AZ423" t="s">
        <v>1054</v>
      </c>
      <c r="BA423" t="s">
        <v>47</v>
      </c>
      <c r="BB423" t="s">
        <v>19</v>
      </c>
      <c r="BC423" t="s">
        <v>1121</v>
      </c>
      <c r="BD423" t="s">
        <v>1115</v>
      </c>
      <c r="BE423" t="s">
        <v>19</v>
      </c>
      <c r="BF423" t="s">
        <v>19</v>
      </c>
      <c r="BG423">
        <v>656</v>
      </c>
      <c r="BH423" t="s">
        <v>1094</v>
      </c>
      <c r="BI423">
        <v>0.5</v>
      </c>
      <c r="BJ423" t="s">
        <v>1122</v>
      </c>
      <c r="BK423" t="s">
        <v>19</v>
      </c>
      <c r="BL423" t="s">
        <v>1018</v>
      </c>
      <c r="BM423">
        <v>901032</v>
      </c>
    </row>
    <row r="424" spans="1:65" ht="14.45" customHeight="1">
      <c r="A424" s="155"/>
      <c r="B424" s="30">
        <f t="shared" si="41"/>
        <v>901033</v>
      </c>
      <c r="C424" s="30" t="s">
        <v>2222</v>
      </c>
      <c r="D424" s="30"/>
      <c r="E424" s="30" t="s">
        <v>2180</v>
      </c>
      <c r="F424" s="31" t="s">
        <v>2186</v>
      </c>
      <c r="G424" s="30" t="s">
        <v>2059</v>
      </c>
      <c r="H424" s="30"/>
      <c r="I424" s="30"/>
      <c r="J424" s="30"/>
      <c r="K424" s="30" t="s">
        <v>2184</v>
      </c>
      <c r="L424" s="30" t="s">
        <v>2180</v>
      </c>
      <c r="M424" s="30" t="s">
        <v>2187</v>
      </c>
      <c r="N424" s="30"/>
      <c r="P424" s="30"/>
      <c r="Q424" s="30"/>
      <c r="R424" s="30"/>
      <c r="S424" s="30"/>
      <c r="T424" s="31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 t="str">
        <f t="shared" si="40"/>
        <v>AB_SPOT_LI          SP_ILM</v>
      </c>
      <c r="AG424" s="30" t="s">
        <v>2182</v>
      </c>
      <c r="AH424">
        <v>3</v>
      </c>
      <c r="AI424">
        <v>901033</v>
      </c>
      <c r="AJ424" t="s">
        <v>2077</v>
      </c>
      <c r="AK424" t="s">
        <v>19</v>
      </c>
      <c r="AL424" t="s">
        <v>1051</v>
      </c>
      <c r="AM424" t="s">
        <v>1052</v>
      </c>
      <c r="AN424" t="s">
        <v>1050</v>
      </c>
      <c r="AO424" t="s">
        <v>1053</v>
      </c>
      <c r="AP424">
        <v>1</v>
      </c>
      <c r="AQ424" t="s">
        <v>1054</v>
      </c>
      <c r="AR424" t="s">
        <v>46</v>
      </c>
      <c r="AS424" t="s">
        <v>19</v>
      </c>
      <c r="AT424" t="s">
        <v>19</v>
      </c>
      <c r="AU424" t="s">
        <v>19</v>
      </c>
      <c r="AV424" t="s">
        <v>2057</v>
      </c>
      <c r="AW424" t="s">
        <v>2058</v>
      </c>
      <c r="AX424" t="s">
        <v>2059</v>
      </c>
      <c r="AY424">
        <v>1</v>
      </c>
      <c r="AZ424" t="s">
        <v>1241</v>
      </c>
      <c r="BA424" t="s">
        <v>19</v>
      </c>
      <c r="BB424" t="s">
        <v>19</v>
      </c>
      <c r="BC424" t="s">
        <v>2060</v>
      </c>
      <c r="BD424" t="s">
        <v>1115</v>
      </c>
      <c r="BE424" t="s">
        <v>19</v>
      </c>
      <c r="BF424" t="s">
        <v>19</v>
      </c>
      <c r="BG424">
        <v>581</v>
      </c>
      <c r="BH424" t="s">
        <v>1831</v>
      </c>
      <c r="BI424">
        <v>0.35</v>
      </c>
      <c r="BJ424" t="s">
        <v>2061</v>
      </c>
      <c r="BK424" t="s">
        <v>19</v>
      </c>
      <c r="BL424" t="s">
        <v>1018</v>
      </c>
      <c r="BM424">
        <v>901033</v>
      </c>
    </row>
    <row r="425" spans="1:65" ht="14.45" customHeight="1">
      <c r="A425" s="155"/>
      <c r="B425" s="30">
        <f t="shared" si="41"/>
        <v>901035</v>
      </c>
      <c r="C425" s="30" t="s">
        <v>2222</v>
      </c>
      <c r="D425" s="30"/>
      <c r="E425" s="30" t="s">
        <v>2180</v>
      </c>
      <c r="F425" s="31" t="s">
        <v>2183</v>
      </c>
      <c r="G425" s="30" t="s">
        <v>1120</v>
      </c>
      <c r="H425" s="30"/>
      <c r="I425" s="30" t="s">
        <v>2223</v>
      </c>
      <c r="J425" s="30"/>
      <c r="K425" s="30" t="s">
        <v>2184</v>
      </c>
      <c r="L425" s="30" t="s">
        <v>2180</v>
      </c>
      <c r="M425" s="30" t="s">
        <v>2187</v>
      </c>
      <c r="N425" s="30"/>
      <c r="O425" s="192" t="s">
        <v>2436</v>
      </c>
      <c r="P425" s="30"/>
      <c r="Q425" s="30"/>
      <c r="R425" s="30"/>
      <c r="S425" s="30"/>
      <c r="T425" s="31"/>
      <c r="U425" s="30"/>
      <c r="V425" s="30"/>
      <c r="W425" s="30"/>
      <c r="X425" s="30"/>
      <c r="Y425" s="30"/>
      <c r="Z425" s="30"/>
      <c r="AA425" s="30"/>
      <c r="AB425" s="30"/>
      <c r="AC425" s="30"/>
      <c r="AD425" s="30"/>
      <c r="AE425" s="30"/>
      <c r="AF425" s="30" t="str">
        <f t="shared" si="40"/>
        <v>AB_SPOT_LI          SP_MB31_B1</v>
      </c>
      <c r="AG425" s="30" t="s">
        <v>2182</v>
      </c>
      <c r="AH425">
        <v>3</v>
      </c>
      <c r="AI425">
        <v>901035</v>
      </c>
      <c r="AJ425" t="s">
        <v>2078</v>
      </c>
      <c r="AK425" t="s">
        <v>19</v>
      </c>
      <c r="AL425" t="s">
        <v>1051</v>
      </c>
      <c r="AM425" t="s">
        <v>1052</v>
      </c>
      <c r="AN425" t="s">
        <v>1050</v>
      </c>
      <c r="AO425" t="s">
        <v>1053</v>
      </c>
      <c r="AP425">
        <v>4</v>
      </c>
      <c r="AQ425" t="s">
        <v>1054</v>
      </c>
      <c r="AR425" t="s">
        <v>47</v>
      </c>
      <c r="AS425" t="s">
        <v>19</v>
      </c>
      <c r="AT425" t="s">
        <v>19</v>
      </c>
      <c r="AU425" t="s">
        <v>19</v>
      </c>
      <c r="AV425" t="s">
        <v>1119</v>
      </c>
      <c r="AW425">
        <v>332</v>
      </c>
      <c r="AX425" t="s">
        <v>1120</v>
      </c>
      <c r="AY425">
        <v>1</v>
      </c>
      <c r="AZ425" t="s">
        <v>362</v>
      </c>
      <c r="BA425" t="s">
        <v>19</v>
      </c>
      <c r="BB425" t="s">
        <v>19</v>
      </c>
      <c r="BC425" t="s">
        <v>1121</v>
      </c>
      <c r="BD425" t="s">
        <v>1115</v>
      </c>
      <c r="BE425" t="s">
        <v>19</v>
      </c>
      <c r="BF425" t="s">
        <v>19</v>
      </c>
      <c r="BG425">
        <v>656</v>
      </c>
      <c r="BH425" t="s">
        <v>1094</v>
      </c>
      <c r="BI425">
        <v>0.5</v>
      </c>
      <c r="BJ425" t="s">
        <v>1122</v>
      </c>
      <c r="BK425" t="s">
        <v>19</v>
      </c>
      <c r="BL425" t="s">
        <v>1018</v>
      </c>
      <c r="BM425">
        <v>901035</v>
      </c>
    </row>
    <row r="426" spans="1:65" ht="14.45" customHeight="1">
      <c r="A426" s="155"/>
      <c r="B426" s="30">
        <f t="shared" si="41"/>
        <v>901039</v>
      </c>
      <c r="C426" s="30" t="s">
        <v>2222</v>
      </c>
      <c r="D426" s="30"/>
      <c r="E426" s="30" t="s">
        <v>2180</v>
      </c>
      <c r="F426" s="31"/>
      <c r="G426" s="30"/>
      <c r="H426" s="30"/>
      <c r="I426" s="30"/>
      <c r="J426" s="30"/>
      <c r="K426" s="30"/>
      <c r="L426" s="30" t="s">
        <v>2180</v>
      </c>
      <c r="M426" s="30" t="s">
        <v>2180</v>
      </c>
      <c r="N426" s="30"/>
      <c r="P426" s="30"/>
      <c r="Q426" s="30"/>
      <c r="R426" s="30"/>
      <c r="S426" s="30"/>
      <c r="T426" s="31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  <c r="AF426" s="30" t="str">
        <f t="shared" si="40"/>
        <v>AB_SPOT_LI          AB_SPOT_RE</v>
      </c>
      <c r="AG426" s="30" t="s">
        <v>2182</v>
      </c>
      <c r="AH426">
        <v>3</v>
      </c>
      <c r="AI426">
        <v>901039</v>
      </c>
      <c r="AJ426" t="s">
        <v>2079</v>
      </c>
      <c r="AK426" t="s">
        <v>19</v>
      </c>
      <c r="AL426" t="s">
        <v>1051</v>
      </c>
      <c r="AM426" t="s">
        <v>1052</v>
      </c>
      <c r="AN426" t="s">
        <v>1050</v>
      </c>
      <c r="AO426" t="s">
        <v>1053</v>
      </c>
      <c r="AP426">
        <v>2</v>
      </c>
      <c r="AQ426" t="s">
        <v>1054</v>
      </c>
      <c r="AR426" t="s">
        <v>41</v>
      </c>
      <c r="AS426" t="s">
        <v>19</v>
      </c>
      <c r="AT426" t="s">
        <v>19</v>
      </c>
      <c r="AU426" t="s">
        <v>1058</v>
      </c>
      <c r="AV426" t="s">
        <v>1059</v>
      </c>
      <c r="AW426" t="s">
        <v>1057</v>
      </c>
      <c r="AX426" t="s">
        <v>1060</v>
      </c>
      <c r="AY426">
        <v>3</v>
      </c>
      <c r="AZ426" t="s">
        <v>1054</v>
      </c>
      <c r="BA426" t="s">
        <v>41</v>
      </c>
      <c r="BB426" t="s">
        <v>19</v>
      </c>
      <c r="BC426" t="s">
        <v>1422</v>
      </c>
      <c r="BD426" t="s">
        <v>1115</v>
      </c>
      <c r="BE426" t="s">
        <v>19</v>
      </c>
      <c r="BF426" t="s">
        <v>19</v>
      </c>
      <c r="BG426">
        <v>300</v>
      </c>
      <c r="BH426" t="s">
        <v>1423</v>
      </c>
      <c r="BI426">
        <v>0.13</v>
      </c>
      <c r="BJ426" t="s">
        <v>2080</v>
      </c>
      <c r="BK426" t="s">
        <v>19</v>
      </c>
      <c r="BL426" t="s">
        <v>1018</v>
      </c>
      <c r="BM426">
        <v>901039</v>
      </c>
    </row>
    <row r="427" spans="1:65" ht="14.45" customHeight="1">
      <c r="A427" s="155"/>
      <c r="B427" s="30">
        <f t="shared" si="41"/>
        <v>901040</v>
      </c>
      <c r="C427" s="30" t="s">
        <v>2222</v>
      </c>
      <c r="D427" s="30"/>
      <c r="E427" s="30" t="s">
        <v>2180</v>
      </c>
      <c r="F427" s="31"/>
      <c r="G427" s="30"/>
      <c r="H427" s="30"/>
      <c r="I427" s="30"/>
      <c r="J427" s="30"/>
      <c r="K427" s="30"/>
      <c r="L427" s="30" t="s">
        <v>2180</v>
      </c>
      <c r="M427" s="30" t="s">
        <v>2180</v>
      </c>
      <c r="N427" s="30"/>
      <c r="P427" s="30"/>
      <c r="Q427" s="30"/>
      <c r="R427" s="30"/>
      <c r="S427" s="30"/>
      <c r="T427" s="31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 t="str">
        <f t="shared" si="40"/>
        <v>AB_SPOT_LI          AB_EM_BFS</v>
      </c>
      <c r="AG427" s="30" t="s">
        <v>2182</v>
      </c>
      <c r="AH427">
        <v>3</v>
      </c>
      <c r="AI427">
        <v>901040</v>
      </c>
      <c r="AJ427" t="s">
        <v>2081</v>
      </c>
      <c r="AK427" t="s">
        <v>19</v>
      </c>
      <c r="AL427" t="s">
        <v>1051</v>
      </c>
      <c r="AM427" t="s">
        <v>1052</v>
      </c>
      <c r="AN427" t="s">
        <v>1050</v>
      </c>
      <c r="AO427" t="s">
        <v>1053</v>
      </c>
      <c r="AP427">
        <v>3</v>
      </c>
      <c r="AQ427" t="s">
        <v>1054</v>
      </c>
      <c r="AR427" t="s">
        <v>41</v>
      </c>
      <c r="AS427" t="s">
        <v>19</v>
      </c>
      <c r="AT427" t="s">
        <v>19</v>
      </c>
      <c r="AU427" t="s">
        <v>1064</v>
      </c>
      <c r="AV427" t="s">
        <v>1064</v>
      </c>
      <c r="AW427" t="s">
        <v>1063</v>
      </c>
      <c r="AX427" t="s">
        <v>1065</v>
      </c>
      <c r="AY427">
        <v>2</v>
      </c>
      <c r="AZ427" t="s">
        <v>1066</v>
      </c>
      <c r="BA427" t="s">
        <v>41</v>
      </c>
      <c r="BB427" t="s">
        <v>19</v>
      </c>
      <c r="BC427" t="s">
        <v>1212</v>
      </c>
      <c r="BD427" t="s">
        <v>1115</v>
      </c>
      <c r="BE427" t="s">
        <v>19</v>
      </c>
      <c r="BF427" t="s">
        <v>19</v>
      </c>
      <c r="BG427">
        <v>1282</v>
      </c>
      <c r="BH427" t="s">
        <v>1213</v>
      </c>
      <c r="BI427">
        <v>0.13</v>
      </c>
      <c r="BJ427" t="s">
        <v>2082</v>
      </c>
      <c r="BK427" t="s">
        <v>19</v>
      </c>
      <c r="BL427" t="s">
        <v>1018</v>
      </c>
      <c r="BM427">
        <v>901040</v>
      </c>
    </row>
    <row r="428" spans="1:65" ht="14.45" customHeight="1">
      <c r="A428" s="155"/>
      <c r="B428" s="30">
        <f t="shared" si="41"/>
        <v>901041</v>
      </c>
      <c r="C428" s="30" t="s">
        <v>2222</v>
      </c>
      <c r="D428" s="30"/>
      <c r="E428" s="30" t="s">
        <v>2180</v>
      </c>
      <c r="F428" s="31"/>
      <c r="G428" s="30"/>
      <c r="H428" s="30"/>
      <c r="I428" s="30"/>
      <c r="J428" s="30"/>
      <c r="K428" s="30"/>
      <c r="L428" s="30" t="s">
        <v>2180</v>
      </c>
      <c r="M428" s="30" t="s">
        <v>2180</v>
      </c>
      <c r="N428" s="30"/>
      <c r="P428" s="30"/>
      <c r="Q428" s="30"/>
      <c r="R428" s="30"/>
      <c r="S428" s="30"/>
      <c r="T428" s="31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 t="str">
        <f t="shared" si="40"/>
        <v>AB_ST_RE            AB_EM_BFS</v>
      </c>
      <c r="AG428" s="30" t="s">
        <v>2182</v>
      </c>
      <c r="AH428">
        <v>3</v>
      </c>
      <c r="AI428">
        <v>901041</v>
      </c>
      <c r="AJ428" t="s">
        <v>2083</v>
      </c>
      <c r="AK428" t="s">
        <v>19</v>
      </c>
      <c r="AL428" t="s">
        <v>1045</v>
      </c>
      <c r="AM428" t="s">
        <v>1045</v>
      </c>
      <c r="AN428" t="s">
        <v>1044</v>
      </c>
      <c r="AO428" t="s">
        <v>1046</v>
      </c>
      <c r="AP428">
        <v>2</v>
      </c>
      <c r="AQ428" t="s">
        <v>1047</v>
      </c>
      <c r="AR428" t="s">
        <v>41</v>
      </c>
      <c r="AS428" t="s">
        <v>19</v>
      </c>
      <c r="AT428" t="s">
        <v>19</v>
      </c>
      <c r="AU428" t="s">
        <v>1064</v>
      </c>
      <c r="AV428" t="s">
        <v>1064</v>
      </c>
      <c r="AW428" t="s">
        <v>1063</v>
      </c>
      <c r="AX428" t="s">
        <v>1065</v>
      </c>
      <c r="AY428">
        <v>3</v>
      </c>
      <c r="AZ428" t="s">
        <v>1066</v>
      </c>
      <c r="BA428" t="s">
        <v>41</v>
      </c>
      <c r="BB428" t="s">
        <v>19</v>
      </c>
      <c r="BC428" t="s">
        <v>1422</v>
      </c>
      <c r="BD428" t="s">
        <v>1115</v>
      </c>
      <c r="BE428" t="s">
        <v>19</v>
      </c>
      <c r="BF428" t="s">
        <v>19</v>
      </c>
      <c r="BG428">
        <v>430</v>
      </c>
      <c r="BH428" t="s">
        <v>1423</v>
      </c>
      <c r="BI428">
        <v>0.13</v>
      </c>
      <c r="BJ428" t="s">
        <v>2084</v>
      </c>
      <c r="BK428" t="s">
        <v>19</v>
      </c>
      <c r="BL428" t="s">
        <v>1018</v>
      </c>
      <c r="BM428">
        <v>901041</v>
      </c>
    </row>
    <row r="429" spans="1:65" ht="14.45" customHeight="1">
      <c r="A429" s="155"/>
      <c r="B429" s="30">
        <f t="shared" si="41"/>
        <v>901042</v>
      </c>
      <c r="C429" s="30" t="s">
        <v>2222</v>
      </c>
      <c r="D429" s="30"/>
      <c r="E429" s="30" t="s">
        <v>2180</v>
      </c>
      <c r="F429" s="31"/>
      <c r="G429" s="30"/>
      <c r="H429" s="30"/>
      <c r="I429" s="30"/>
      <c r="J429" s="30"/>
      <c r="K429" s="30"/>
      <c r="L429" s="30" t="s">
        <v>2180</v>
      </c>
      <c r="M429" s="30" t="s">
        <v>2180</v>
      </c>
      <c r="N429" s="30"/>
      <c r="P429" s="30"/>
      <c r="Q429" s="30"/>
      <c r="R429" s="30"/>
      <c r="S429" s="30"/>
      <c r="T429" s="31"/>
      <c r="U429" s="30"/>
      <c r="V429" s="30"/>
      <c r="W429" s="30"/>
      <c r="X429" s="30"/>
      <c r="Y429" s="30"/>
      <c r="Z429" s="30"/>
      <c r="AA429" s="30"/>
      <c r="AB429" s="30"/>
      <c r="AC429" s="30"/>
      <c r="AD429" s="30"/>
      <c r="AE429" s="30"/>
      <c r="AF429" s="30" t="str">
        <f t="shared" si="40"/>
        <v>AB_ST_RE            FRL25P</v>
      </c>
      <c r="AG429" s="30" t="s">
        <v>2182</v>
      </c>
      <c r="AH429">
        <v>3</v>
      </c>
      <c r="AI429">
        <v>901042</v>
      </c>
      <c r="AJ429" t="s">
        <v>2085</v>
      </c>
      <c r="AK429" t="s">
        <v>19</v>
      </c>
      <c r="AL429" t="s">
        <v>1045</v>
      </c>
      <c r="AM429" t="s">
        <v>1045</v>
      </c>
      <c r="AN429" t="s">
        <v>1044</v>
      </c>
      <c r="AO429" t="s">
        <v>1046</v>
      </c>
      <c r="AP429">
        <v>3</v>
      </c>
      <c r="AQ429" t="s">
        <v>1047</v>
      </c>
      <c r="AR429" t="s">
        <v>41</v>
      </c>
      <c r="AS429" t="s">
        <v>19</v>
      </c>
      <c r="AT429" t="s">
        <v>19</v>
      </c>
      <c r="AU429" t="s">
        <v>1033</v>
      </c>
      <c r="AV429" t="s">
        <v>1033</v>
      </c>
      <c r="AW429" t="s">
        <v>1038</v>
      </c>
      <c r="AX429" t="s">
        <v>1039</v>
      </c>
      <c r="AY429">
        <v>2</v>
      </c>
      <c r="AZ429" t="s">
        <v>1040</v>
      </c>
      <c r="BA429" t="s">
        <v>41</v>
      </c>
      <c r="BB429" t="s">
        <v>19</v>
      </c>
      <c r="BC429" t="s">
        <v>1212</v>
      </c>
      <c r="BD429" t="s">
        <v>1115</v>
      </c>
      <c r="BE429" t="s">
        <v>19</v>
      </c>
      <c r="BF429" t="s">
        <v>19</v>
      </c>
      <c r="BG429">
        <v>1076</v>
      </c>
      <c r="BH429" t="s">
        <v>1213</v>
      </c>
      <c r="BI429">
        <v>0.13</v>
      </c>
      <c r="BJ429" t="s">
        <v>2086</v>
      </c>
      <c r="BK429" t="s">
        <v>19</v>
      </c>
      <c r="BL429" t="s">
        <v>1018</v>
      </c>
      <c r="BM429">
        <v>901042</v>
      </c>
    </row>
    <row r="430" spans="1:65" ht="14.45" customHeight="1">
      <c r="A430" s="155"/>
      <c r="B430" s="30">
        <f t="shared" si="41"/>
        <v>901043</v>
      </c>
      <c r="C430" s="30" t="s">
        <v>2222</v>
      </c>
      <c r="D430" s="30"/>
      <c r="E430" s="30" t="s">
        <v>2180</v>
      </c>
      <c r="F430" s="31"/>
      <c r="G430" s="30"/>
      <c r="H430" s="30"/>
      <c r="I430" s="30"/>
      <c r="J430" s="30"/>
      <c r="K430" s="30"/>
      <c r="L430" s="30" t="s">
        <v>2180</v>
      </c>
      <c r="M430" s="30" t="s">
        <v>2180</v>
      </c>
      <c r="N430" s="30"/>
      <c r="P430" s="30"/>
      <c r="Q430" s="30"/>
      <c r="R430" s="30"/>
      <c r="S430" s="30"/>
      <c r="T430" s="31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  <c r="AF430" s="30" t="str">
        <f t="shared" si="40"/>
        <v>KS_CPL_D            KS_CPM_D</v>
      </c>
      <c r="AG430" s="30" t="s">
        <v>2182</v>
      </c>
      <c r="AH430">
        <v>3</v>
      </c>
      <c r="AI430">
        <v>901043</v>
      </c>
      <c r="AJ430" t="s">
        <v>2087</v>
      </c>
      <c r="AK430" t="s">
        <v>19</v>
      </c>
      <c r="AL430" t="s">
        <v>55</v>
      </c>
      <c r="AM430" t="s">
        <v>55</v>
      </c>
      <c r="AN430" t="s">
        <v>75</v>
      </c>
      <c r="AO430" t="s">
        <v>76</v>
      </c>
      <c r="AP430">
        <v>10</v>
      </c>
      <c r="AQ430" t="s">
        <v>77</v>
      </c>
      <c r="AR430" t="s">
        <v>35</v>
      </c>
      <c r="AS430" t="s">
        <v>19</v>
      </c>
      <c r="AT430" t="s">
        <v>19</v>
      </c>
      <c r="AU430" t="s">
        <v>81</v>
      </c>
      <c r="AV430" t="s">
        <v>81</v>
      </c>
      <c r="AW430" t="s">
        <v>85</v>
      </c>
      <c r="AX430" t="s">
        <v>86</v>
      </c>
      <c r="AY430">
        <v>4</v>
      </c>
      <c r="AZ430" t="s">
        <v>87</v>
      </c>
      <c r="BA430" t="s">
        <v>35</v>
      </c>
      <c r="BB430" t="s">
        <v>19</v>
      </c>
      <c r="BC430" t="s">
        <v>1448</v>
      </c>
      <c r="BD430" t="s">
        <v>1115</v>
      </c>
      <c r="BE430" t="s">
        <v>19</v>
      </c>
      <c r="BF430" t="s">
        <v>19</v>
      </c>
      <c r="BG430">
        <v>1467</v>
      </c>
      <c r="BH430" t="s">
        <v>1213</v>
      </c>
      <c r="BI430">
        <v>0.35</v>
      </c>
      <c r="BJ430" t="s">
        <v>2088</v>
      </c>
      <c r="BK430" t="s">
        <v>19</v>
      </c>
      <c r="BL430" t="s">
        <v>1018</v>
      </c>
      <c r="BM430">
        <v>901043</v>
      </c>
    </row>
    <row r="431" spans="1:65" ht="14.45" customHeight="1"/>
    <row r="432" spans="1:65" ht="14.45" customHeight="1"/>
    <row r="433" ht="14.45" customHeight="1"/>
    <row r="434" ht="14.45" customHeight="1"/>
  </sheetData>
  <autoFilter ref="A1:DP434"/>
  <dataValidations count="2">
    <dataValidation type="list" allowBlank="1" showInputMessage="1" showErrorMessage="1" sqref="W3:X430">
      <formula1>#REF!</formula1>
    </dataValidation>
    <dataValidation type="list" allowBlank="1" showInputMessage="1" showErrorMessage="1" sqref="O2:O430">
      <formula1>#REF!</formula1>
    </dataValidation>
  </dataValidations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7" r:id="rId4" name="Button 43">
              <controlPr locked="0" defaultSize="0" print="0" autoFill="0" autoPict="0" macro="[1]!fillruj_rovnake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723900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5" name="Button 44">
              <controlPr defaultSize="0" print="0" autoFill="0" autoPict="0" macro="[1]!vypni_odkial_kam">
                <anchor moveWithCells="1" sizeWithCells="1">
                  <from>
                    <xdr:col>0</xdr:col>
                    <xdr:colOff>762000</xdr:colOff>
                    <xdr:row>0</xdr:row>
                    <xdr:rowOff>28575</xdr:rowOff>
                  </from>
                  <to>
                    <xdr:col>0</xdr:col>
                    <xdr:colOff>1609725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6" name="Button 45">
              <controlPr defaultSize="0" print="0" autoFill="0" autoPict="0" macro="[1]!hld_mdl">
                <anchor moveWithCells="1" sizeWithCells="1">
                  <from>
                    <xdr:col>0</xdr:col>
                    <xdr:colOff>47625</xdr:colOff>
                    <xdr:row>0</xdr:row>
                    <xdr:rowOff>428625</xdr:rowOff>
                  </from>
                  <to>
                    <xdr:col>0</xdr:col>
                    <xdr:colOff>723900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7" name="Button 46">
              <controlPr defaultSize="0" print="0" autoFill="0" autoPict="0" macro="[0]!Hárok2.zmena_v_riadku">
                <anchor moveWithCells="1" sizeWithCells="1">
                  <from>
                    <xdr:col>0</xdr:col>
                    <xdr:colOff>95250</xdr:colOff>
                    <xdr:row>0</xdr:row>
                    <xdr:rowOff>923925</xdr:rowOff>
                  </from>
                  <to>
                    <xdr:col>0</xdr:col>
                    <xdr:colOff>1476375</xdr:colOff>
                    <xdr:row>0</xdr:row>
                    <xdr:rowOff>1285875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3">
    <tabColor rgb="FFFFFF00"/>
  </sheetPr>
  <dimension ref="A1:BQ437"/>
  <sheetViews>
    <sheetView zoomScale="70" zoomScaleNormal="70" workbookViewId="0">
      <pane xSplit="25" ySplit="2" topLeftCell="AC3" activePane="bottomRight" state="frozen"/>
      <selection pane="topRight" activeCell="Z1" sqref="Z1"/>
      <selection pane="bottomLeft" activeCell="A3" sqref="A3"/>
      <selection pane="bottomRight" activeCell="AF384" sqref="AF384:AF387"/>
    </sheetView>
  </sheetViews>
  <sheetFormatPr baseColWidth="10" defaultColWidth="11.42578125" defaultRowHeight="15"/>
  <cols>
    <col min="1" max="1" width="22.140625" customWidth="1"/>
    <col min="2" max="2" width="9.28515625" customWidth="1"/>
    <col min="3" max="3" width="9.5703125" customWidth="1"/>
    <col min="4" max="4" width="9.140625" customWidth="1"/>
    <col min="5" max="9" width="4.42578125" customWidth="1"/>
    <col min="10" max="10" width="19" customWidth="1"/>
    <col min="11" max="11" width="7.7109375" customWidth="1"/>
    <col min="12" max="13" width="13" customWidth="1"/>
    <col min="14" max="15" width="3" customWidth="1"/>
    <col min="16" max="16" width="16.28515625" customWidth="1"/>
    <col min="17" max="25" width="2.5703125" customWidth="1"/>
    <col min="26" max="26" width="2.7109375" customWidth="1"/>
    <col min="27" max="27" width="31.5703125" customWidth="1"/>
    <col min="28" max="28" width="14.85546875" customWidth="1"/>
    <col min="32" max="32" width="13" customWidth="1"/>
    <col min="33" max="33" width="6.28515625" customWidth="1"/>
    <col min="34" max="34" width="18.5703125" customWidth="1"/>
    <col min="35" max="35" width="15.7109375" customWidth="1"/>
    <col min="39" max="39" width="15.42578125" customWidth="1"/>
    <col min="41" max="41" width="13.7109375" customWidth="1"/>
    <col min="42" max="43" width="15.140625" customWidth="1"/>
    <col min="44" max="44" width="15.5703125" customWidth="1"/>
    <col min="45" max="46" width="14.85546875" customWidth="1"/>
  </cols>
  <sheetData>
    <row r="1" spans="1:69" s="13" customFormat="1" ht="91.5" customHeight="1">
      <c r="A1" s="29" t="s">
        <v>2089</v>
      </c>
      <c r="B1" s="2" t="s">
        <v>2090</v>
      </c>
      <c r="C1" s="3" t="s">
        <v>2091</v>
      </c>
      <c r="D1" s="3" t="s">
        <v>2092</v>
      </c>
      <c r="E1" s="3" t="s">
        <v>2093</v>
      </c>
      <c r="F1" s="3" t="s">
        <v>2094</v>
      </c>
      <c r="G1" s="3" t="s">
        <v>2095</v>
      </c>
      <c r="H1" s="3" t="s">
        <v>2096</v>
      </c>
      <c r="I1" s="3" t="s">
        <v>2097</v>
      </c>
      <c r="J1" s="3" t="s">
        <v>2098</v>
      </c>
      <c r="K1" s="4" t="s">
        <v>2099</v>
      </c>
      <c r="L1" s="5" t="s">
        <v>2100</v>
      </c>
      <c r="M1" s="6" t="s">
        <v>2101</v>
      </c>
      <c r="N1" s="4" t="s">
        <v>2102</v>
      </c>
      <c r="O1" s="7" t="s">
        <v>2103</v>
      </c>
      <c r="P1" s="8" t="s">
        <v>2104</v>
      </c>
      <c r="Q1" s="9" t="s">
        <v>2105</v>
      </c>
      <c r="R1" s="9" t="s">
        <v>2106</v>
      </c>
      <c r="S1" s="9" t="s">
        <v>2107</v>
      </c>
      <c r="T1" s="9" t="s">
        <v>2108</v>
      </c>
      <c r="U1" s="9" t="s">
        <v>2109</v>
      </c>
      <c r="V1" s="9" t="s">
        <v>2110</v>
      </c>
      <c r="W1" s="9" t="s">
        <v>2111</v>
      </c>
      <c r="X1" s="9" t="s">
        <v>2112</v>
      </c>
      <c r="Y1" s="10" t="s">
        <v>2113</v>
      </c>
      <c r="Z1" s="11"/>
      <c r="AA1" s="12" t="s">
        <v>5</v>
      </c>
      <c r="AB1" s="12" t="s">
        <v>6</v>
      </c>
      <c r="AC1" s="12" t="s">
        <v>7</v>
      </c>
      <c r="AD1" s="12" t="s">
        <v>8</v>
      </c>
      <c r="AE1" s="12" t="s">
        <v>8</v>
      </c>
      <c r="AF1" s="12" t="s">
        <v>9</v>
      </c>
      <c r="AG1" s="12" t="s">
        <v>10</v>
      </c>
      <c r="AH1" s="12" t="s">
        <v>11</v>
      </c>
      <c r="AI1" s="12" t="s">
        <v>12</v>
      </c>
      <c r="AJ1" s="12" t="s">
        <v>13</v>
      </c>
      <c r="AK1" s="12" t="s">
        <v>14</v>
      </c>
      <c r="AL1" s="12" t="s">
        <v>15</v>
      </c>
      <c r="AM1" s="12" t="s">
        <v>16</v>
      </c>
      <c r="AN1" s="12" t="s">
        <v>17</v>
      </c>
      <c r="AO1" s="12" t="s">
        <v>1</v>
      </c>
      <c r="AP1" s="12" t="s">
        <v>395</v>
      </c>
      <c r="AQ1" s="12" t="s">
        <v>399</v>
      </c>
      <c r="AR1" s="12" t="s">
        <v>743</v>
      </c>
      <c r="AS1" s="12" t="s">
        <v>746</v>
      </c>
      <c r="AT1" s="12" t="s">
        <v>749</v>
      </c>
      <c r="AU1" s="12" t="s">
        <v>2114</v>
      </c>
      <c r="AV1" s="12" t="s">
        <v>2115</v>
      </c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</row>
    <row r="3" spans="1:69">
      <c r="A3" s="154"/>
      <c r="B3" s="35" t="s">
        <v>2179</v>
      </c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5"/>
      <c r="Z3">
        <v>1</v>
      </c>
      <c r="AA3" t="s">
        <v>0</v>
      </c>
    </row>
    <row r="4" spans="1:69">
      <c r="A4" s="154">
        <v>501.50400000000002</v>
      </c>
      <c r="B4" s="35" t="s">
        <v>2179</v>
      </c>
      <c r="C4" s="4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44"/>
      <c r="Q4" s="35"/>
      <c r="R4" s="35"/>
      <c r="S4" s="35"/>
      <c r="T4" s="35"/>
      <c r="U4" s="35"/>
      <c r="V4" s="35"/>
      <c r="W4" s="35"/>
      <c r="X4" s="35"/>
      <c r="Y4" s="46"/>
      <c r="Z4">
        <v>2</v>
      </c>
      <c r="AA4" t="s">
        <v>1</v>
      </c>
      <c r="AB4" t="s">
        <v>2</v>
      </c>
      <c r="AC4" t="s">
        <v>3</v>
      </c>
      <c r="AD4" s="153" t="s">
        <v>2370</v>
      </c>
      <c r="AE4" t="s">
        <v>4</v>
      </c>
    </row>
    <row r="5" spans="1:69">
      <c r="A5" s="154"/>
      <c r="B5" s="35" t="s">
        <v>2179</v>
      </c>
      <c r="C5" s="44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44"/>
      <c r="Q5" s="35"/>
      <c r="R5" s="35"/>
      <c r="S5" s="35"/>
      <c r="T5" s="35"/>
      <c r="U5" s="35"/>
      <c r="V5" s="35"/>
      <c r="W5" s="35"/>
      <c r="X5" s="35"/>
      <c r="Y5" s="46"/>
      <c r="Z5">
        <v>0</v>
      </c>
      <c r="AA5" t="s">
        <v>5</v>
      </c>
      <c r="AB5" t="s">
        <v>6</v>
      </c>
      <c r="AC5" t="s">
        <v>7</v>
      </c>
      <c r="AD5" t="s">
        <v>8</v>
      </c>
      <c r="AE5" t="s">
        <v>8</v>
      </c>
      <c r="AF5" t="s">
        <v>9</v>
      </c>
      <c r="AG5" t="s">
        <v>10</v>
      </c>
      <c r="AH5" t="s">
        <v>11</v>
      </c>
      <c r="AI5" t="s">
        <v>12</v>
      </c>
      <c r="AJ5" t="s">
        <v>13</v>
      </c>
      <c r="AK5" t="s">
        <v>14</v>
      </c>
      <c r="AL5" t="s">
        <v>15</v>
      </c>
      <c r="AM5" t="s">
        <v>16</v>
      </c>
      <c r="AN5" t="s">
        <v>17</v>
      </c>
      <c r="AO5" t="s">
        <v>1</v>
      </c>
    </row>
    <row r="6" spans="1:69" s="36" customFormat="1">
      <c r="A6" s="155">
        <v>502.50400000000002</v>
      </c>
      <c r="B6" s="39" t="s">
        <v>2179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51"/>
      <c r="Z6" s="36">
        <v>4</v>
      </c>
      <c r="AA6" s="36" t="s">
        <v>18</v>
      </c>
      <c r="AB6" s="36" t="s">
        <v>19</v>
      </c>
      <c r="AC6" s="36" t="s">
        <v>19</v>
      </c>
      <c r="AD6" s="36" t="s">
        <v>19</v>
      </c>
      <c r="AE6" s="36" t="s">
        <v>19</v>
      </c>
      <c r="AF6" s="36" t="s">
        <v>19</v>
      </c>
      <c r="AG6" s="36" t="s">
        <v>19</v>
      </c>
      <c r="AH6" s="36" t="s">
        <v>20</v>
      </c>
      <c r="AI6" s="36" t="s">
        <v>19</v>
      </c>
      <c r="AJ6" s="36" t="s">
        <v>19</v>
      </c>
      <c r="AK6" s="36" t="s">
        <v>19</v>
      </c>
      <c r="AL6" s="36" t="s">
        <v>19</v>
      </c>
      <c r="AM6" s="36" t="s">
        <v>19</v>
      </c>
      <c r="AN6" s="36" t="s">
        <v>21</v>
      </c>
      <c r="AO6" s="153">
        <v>11384</v>
      </c>
    </row>
    <row r="7" spans="1:69">
      <c r="A7" s="155" t="s">
        <v>2423</v>
      </c>
      <c r="B7" s="35" t="s">
        <v>2179</v>
      </c>
      <c r="C7" s="44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44"/>
      <c r="Q7" s="35"/>
      <c r="R7" s="35"/>
      <c r="S7" s="35"/>
      <c r="T7" s="35"/>
      <c r="U7" s="35"/>
      <c r="V7" s="35"/>
      <c r="W7" s="35"/>
      <c r="X7" s="35"/>
      <c r="Y7" s="46"/>
      <c r="Z7">
        <v>4</v>
      </c>
      <c r="AA7" t="s">
        <v>22</v>
      </c>
      <c r="AB7" t="s">
        <v>19</v>
      </c>
      <c r="AC7" t="s">
        <v>19</v>
      </c>
      <c r="AD7" t="s">
        <v>19</v>
      </c>
      <c r="AE7" t="s">
        <v>19</v>
      </c>
      <c r="AF7" t="s">
        <v>19</v>
      </c>
      <c r="AG7" t="s">
        <v>19</v>
      </c>
      <c r="AH7" t="s">
        <v>23</v>
      </c>
      <c r="AI7" t="s">
        <v>19</v>
      </c>
      <c r="AJ7" t="s">
        <v>19</v>
      </c>
      <c r="AK7" t="s">
        <v>19</v>
      </c>
      <c r="AL7" t="s">
        <v>19</v>
      </c>
      <c r="AM7" t="s">
        <v>19</v>
      </c>
      <c r="AN7" t="s">
        <v>21</v>
      </c>
      <c r="AO7" s="153">
        <v>30995</v>
      </c>
    </row>
    <row r="8" spans="1:69">
      <c r="A8" s="154">
        <v>220.501</v>
      </c>
      <c r="B8" s="35" t="s">
        <v>2179</v>
      </c>
      <c r="C8" s="44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44"/>
      <c r="Q8" s="35"/>
      <c r="R8" s="35"/>
      <c r="S8" s="35"/>
      <c r="T8" s="35"/>
      <c r="U8" s="35"/>
      <c r="V8" s="35"/>
      <c r="W8" s="35"/>
      <c r="X8" s="35"/>
      <c r="Y8" s="46"/>
      <c r="Z8">
        <v>4</v>
      </c>
      <c r="AA8" t="s">
        <v>22</v>
      </c>
      <c r="AB8" t="s">
        <v>19</v>
      </c>
      <c r="AC8" t="s">
        <v>19</v>
      </c>
      <c r="AD8" t="s">
        <v>19</v>
      </c>
      <c r="AE8" t="s">
        <v>19</v>
      </c>
      <c r="AF8" t="s">
        <v>19</v>
      </c>
      <c r="AG8" t="s">
        <v>19</v>
      </c>
      <c r="AH8" t="s">
        <v>24</v>
      </c>
      <c r="AI8" t="s">
        <v>19</v>
      </c>
      <c r="AJ8" t="s">
        <v>19</v>
      </c>
      <c r="AK8" t="s">
        <v>19</v>
      </c>
      <c r="AL8" t="s">
        <v>19</v>
      </c>
      <c r="AM8" t="s">
        <v>19</v>
      </c>
      <c r="AN8" t="s">
        <v>21</v>
      </c>
      <c r="AO8" s="153">
        <v>15473</v>
      </c>
    </row>
    <row r="9" spans="1:69">
      <c r="A9" s="154"/>
      <c r="B9" s="35" t="s">
        <v>2179</v>
      </c>
      <c r="C9" s="4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4"/>
      <c r="Q9" s="35"/>
      <c r="R9" s="35"/>
      <c r="S9" s="35"/>
      <c r="T9" s="35"/>
      <c r="U9" s="35"/>
      <c r="V9" s="35"/>
      <c r="W9" s="35"/>
      <c r="X9" s="35"/>
      <c r="Y9" s="46"/>
      <c r="Z9">
        <v>4</v>
      </c>
      <c r="AA9" t="s">
        <v>25</v>
      </c>
      <c r="AB9" t="s">
        <v>19</v>
      </c>
      <c r="AC9" t="s">
        <v>19</v>
      </c>
      <c r="AD9" t="s">
        <v>19</v>
      </c>
      <c r="AE9" t="s">
        <v>19</v>
      </c>
      <c r="AF9" t="s">
        <v>19</v>
      </c>
      <c r="AG9" t="s">
        <v>19</v>
      </c>
      <c r="AH9" t="s">
        <v>2362</v>
      </c>
      <c r="AI9" t="s">
        <v>19</v>
      </c>
      <c r="AJ9" t="s">
        <v>19</v>
      </c>
      <c r="AK9" t="s">
        <v>19</v>
      </c>
      <c r="AL9" t="s">
        <v>19</v>
      </c>
      <c r="AM9" t="s">
        <v>19</v>
      </c>
      <c r="AN9" t="s">
        <v>21</v>
      </c>
      <c r="AO9">
        <v>1023</v>
      </c>
    </row>
    <row r="10" spans="1:69">
      <c r="A10" s="154"/>
      <c r="B10" s="35" t="s">
        <v>2179</v>
      </c>
      <c r="C10" s="44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44"/>
      <c r="Q10" s="35"/>
      <c r="R10" s="35"/>
      <c r="S10" s="35"/>
      <c r="T10" s="35"/>
      <c r="U10" s="35"/>
      <c r="V10" s="35"/>
      <c r="W10" s="35"/>
      <c r="X10" s="35"/>
      <c r="Y10" s="46"/>
      <c r="Z10">
        <v>4</v>
      </c>
      <c r="AA10" t="s">
        <v>26</v>
      </c>
      <c r="AB10" t="s">
        <v>19</v>
      </c>
      <c r="AC10" t="s">
        <v>19</v>
      </c>
      <c r="AD10" t="s">
        <v>19</v>
      </c>
      <c r="AE10" t="s">
        <v>19</v>
      </c>
      <c r="AF10" t="s">
        <v>19</v>
      </c>
      <c r="AG10" t="s">
        <v>19</v>
      </c>
      <c r="AH10" t="s">
        <v>27</v>
      </c>
      <c r="AI10" t="s">
        <v>19</v>
      </c>
      <c r="AJ10" t="s">
        <v>19</v>
      </c>
      <c r="AK10" t="s">
        <v>19</v>
      </c>
      <c r="AL10" t="s">
        <v>19</v>
      </c>
      <c r="AM10" t="s">
        <v>19</v>
      </c>
      <c r="AN10" t="s">
        <v>28</v>
      </c>
      <c r="AO10">
        <v>5</v>
      </c>
    </row>
    <row r="11" spans="1:69">
      <c r="A11" s="154"/>
      <c r="B11" s="35" t="s">
        <v>2179</v>
      </c>
      <c r="C11" s="44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44"/>
      <c r="Q11" s="35"/>
      <c r="R11" s="35"/>
      <c r="S11" s="35"/>
      <c r="T11" s="35"/>
      <c r="U11" s="35"/>
      <c r="V11" s="35"/>
      <c r="W11" s="35"/>
      <c r="X11" s="35"/>
      <c r="Y11" s="46"/>
      <c r="Z11">
        <v>4</v>
      </c>
      <c r="AA11" t="s">
        <v>26</v>
      </c>
      <c r="AB11" t="s">
        <v>19</v>
      </c>
      <c r="AC11" t="s">
        <v>19</v>
      </c>
      <c r="AD11" t="s">
        <v>19</v>
      </c>
      <c r="AE11" t="s">
        <v>19</v>
      </c>
      <c r="AF11" t="s">
        <v>19</v>
      </c>
      <c r="AG11" t="s">
        <v>19</v>
      </c>
      <c r="AH11" t="s">
        <v>29</v>
      </c>
      <c r="AI11" t="s">
        <v>19</v>
      </c>
      <c r="AJ11" t="s">
        <v>19</v>
      </c>
      <c r="AK11" t="s">
        <v>19</v>
      </c>
      <c r="AL11" t="s">
        <v>19</v>
      </c>
      <c r="AM11" t="s">
        <v>19</v>
      </c>
      <c r="AN11" t="s">
        <v>28</v>
      </c>
      <c r="AO11" t="s">
        <v>2</v>
      </c>
    </row>
    <row r="12" spans="1:69">
      <c r="A12" s="154"/>
      <c r="B12" s="35" t="s">
        <v>2179</v>
      </c>
      <c r="C12" s="44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44"/>
      <c r="Q12" s="35"/>
      <c r="R12" s="35"/>
      <c r="S12" s="35"/>
      <c r="T12" s="35"/>
      <c r="U12" s="35"/>
      <c r="V12" s="35"/>
      <c r="W12" s="35"/>
      <c r="X12" s="35"/>
      <c r="Y12" s="46"/>
      <c r="Z12">
        <v>4</v>
      </c>
      <c r="AA12" t="s">
        <v>26</v>
      </c>
      <c r="AB12" t="s">
        <v>19</v>
      </c>
      <c r="AC12" t="s">
        <v>19</v>
      </c>
      <c r="AD12" t="s">
        <v>19</v>
      </c>
      <c r="AE12" t="s">
        <v>19</v>
      </c>
      <c r="AF12" t="s">
        <v>19</v>
      </c>
      <c r="AG12" t="s">
        <v>19</v>
      </c>
      <c r="AH12" t="s">
        <v>30</v>
      </c>
      <c r="AI12" t="s">
        <v>19</v>
      </c>
      <c r="AJ12" t="s">
        <v>19</v>
      </c>
      <c r="AK12" t="s">
        <v>19</v>
      </c>
      <c r="AL12" t="s">
        <v>19</v>
      </c>
      <c r="AM12" t="s">
        <v>19</v>
      </c>
      <c r="AN12" t="s">
        <v>28</v>
      </c>
      <c r="AO12">
        <v>7</v>
      </c>
    </row>
    <row r="13" spans="1:69">
      <c r="A13" s="154"/>
      <c r="B13" s="35" t="s">
        <v>2179</v>
      </c>
      <c r="C13" s="44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44"/>
      <c r="Q13" s="35"/>
      <c r="R13" s="35"/>
      <c r="S13" s="35"/>
      <c r="T13" s="35"/>
      <c r="U13" s="35"/>
      <c r="V13" s="35"/>
      <c r="W13" s="35"/>
      <c r="X13" s="35"/>
      <c r="Y13" s="46"/>
      <c r="Z13">
        <v>4</v>
      </c>
      <c r="AA13" t="s">
        <v>26</v>
      </c>
      <c r="AB13" t="s">
        <v>19</v>
      </c>
      <c r="AC13" t="s">
        <v>19</v>
      </c>
      <c r="AD13" t="s">
        <v>19</v>
      </c>
      <c r="AE13" t="s">
        <v>19</v>
      </c>
      <c r="AF13" t="s">
        <v>19</v>
      </c>
      <c r="AG13" t="s">
        <v>19</v>
      </c>
      <c r="AH13" t="s">
        <v>31</v>
      </c>
      <c r="AI13" t="s">
        <v>19</v>
      </c>
      <c r="AJ13" t="s">
        <v>19</v>
      </c>
      <c r="AK13" t="s">
        <v>19</v>
      </c>
      <c r="AL13" t="s">
        <v>19</v>
      </c>
      <c r="AM13" t="s">
        <v>19</v>
      </c>
      <c r="AN13" t="s">
        <v>28</v>
      </c>
      <c r="AO13">
        <v>2</v>
      </c>
    </row>
    <row r="14" spans="1:69">
      <c r="A14" s="154"/>
      <c r="B14" s="35" t="s">
        <v>2179</v>
      </c>
      <c r="C14" s="44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44"/>
      <c r="Q14" s="35"/>
      <c r="R14" s="35"/>
      <c r="S14" s="35"/>
      <c r="T14" s="35"/>
      <c r="U14" s="35"/>
      <c r="V14" s="35"/>
      <c r="W14" s="35"/>
      <c r="X14" s="35"/>
      <c r="Y14" s="46"/>
      <c r="Z14">
        <v>4</v>
      </c>
      <c r="AA14" t="s">
        <v>26</v>
      </c>
      <c r="AB14" t="s">
        <v>19</v>
      </c>
      <c r="AC14" t="s">
        <v>19</v>
      </c>
      <c r="AD14" t="s">
        <v>19</v>
      </c>
      <c r="AE14" t="s">
        <v>19</v>
      </c>
      <c r="AF14" t="s">
        <v>19</v>
      </c>
      <c r="AG14" t="s">
        <v>19</v>
      </c>
      <c r="AH14" t="s">
        <v>32</v>
      </c>
      <c r="AI14" t="s">
        <v>19</v>
      </c>
      <c r="AJ14" t="s">
        <v>19</v>
      </c>
      <c r="AK14" t="s">
        <v>19</v>
      </c>
      <c r="AL14" t="s">
        <v>19</v>
      </c>
      <c r="AM14" t="s">
        <v>19</v>
      </c>
      <c r="AN14" t="s">
        <v>28</v>
      </c>
      <c r="AO14">
        <v>2</v>
      </c>
    </row>
    <row r="15" spans="1:69">
      <c r="A15" s="154"/>
      <c r="B15" s="35" t="s">
        <v>2179</v>
      </c>
      <c r="C15" s="44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44"/>
      <c r="Q15" s="35"/>
      <c r="R15" s="35"/>
      <c r="S15" s="35"/>
      <c r="T15" s="35"/>
      <c r="U15" s="35"/>
      <c r="V15" s="35"/>
      <c r="W15" s="35"/>
      <c r="X15" s="35"/>
      <c r="Y15" s="46"/>
      <c r="Z15">
        <v>4</v>
      </c>
      <c r="AA15" t="s">
        <v>26</v>
      </c>
      <c r="AB15" t="s">
        <v>19</v>
      </c>
      <c r="AC15" t="s">
        <v>19</v>
      </c>
      <c r="AD15" t="s">
        <v>19</v>
      </c>
      <c r="AE15" t="s">
        <v>19</v>
      </c>
      <c r="AF15" t="s">
        <v>19</v>
      </c>
      <c r="AG15" t="s">
        <v>19</v>
      </c>
      <c r="AH15" t="s">
        <v>33</v>
      </c>
      <c r="AI15" t="s">
        <v>19</v>
      </c>
      <c r="AJ15" t="s">
        <v>19</v>
      </c>
      <c r="AK15" t="s">
        <v>19</v>
      </c>
      <c r="AL15" t="s">
        <v>19</v>
      </c>
      <c r="AM15" t="s">
        <v>19</v>
      </c>
      <c r="AN15" t="s">
        <v>28</v>
      </c>
      <c r="AO15" t="s">
        <v>2</v>
      </c>
    </row>
    <row r="16" spans="1:69">
      <c r="A16" s="154"/>
      <c r="B16" s="35" t="s">
        <v>2179</v>
      </c>
      <c r="C16" s="44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44"/>
      <c r="Q16" s="35"/>
      <c r="R16" s="35"/>
      <c r="S16" s="35"/>
      <c r="T16" s="35"/>
      <c r="U16" s="35"/>
      <c r="V16" s="35"/>
      <c r="W16" s="35"/>
      <c r="X16" s="35"/>
      <c r="Y16" s="46"/>
      <c r="Z16">
        <v>4</v>
      </c>
      <c r="AA16" t="s">
        <v>26</v>
      </c>
      <c r="AB16" t="s">
        <v>19</v>
      </c>
      <c r="AC16" t="s">
        <v>19</v>
      </c>
      <c r="AD16" t="s">
        <v>19</v>
      </c>
      <c r="AE16" t="s">
        <v>19</v>
      </c>
      <c r="AF16" t="s">
        <v>19</v>
      </c>
      <c r="AG16" t="s">
        <v>19</v>
      </c>
      <c r="AH16" t="s">
        <v>34</v>
      </c>
      <c r="AI16" t="s">
        <v>19</v>
      </c>
      <c r="AJ16" t="s">
        <v>19</v>
      </c>
      <c r="AK16" t="s">
        <v>19</v>
      </c>
      <c r="AL16" t="s">
        <v>19</v>
      </c>
      <c r="AM16" t="s">
        <v>19</v>
      </c>
      <c r="AN16" t="s">
        <v>28</v>
      </c>
      <c r="AO16">
        <v>2</v>
      </c>
    </row>
    <row r="17" spans="1:41">
      <c r="A17" s="154">
        <v>220</v>
      </c>
      <c r="B17" s="35" t="s">
        <v>2179</v>
      </c>
      <c r="C17" s="44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44"/>
      <c r="Q17" s="35"/>
      <c r="R17" s="35"/>
      <c r="S17" s="35"/>
      <c r="T17" s="35"/>
      <c r="U17" s="35"/>
      <c r="V17" s="35"/>
      <c r="W17" s="35"/>
      <c r="X17" s="35"/>
      <c r="Y17" s="46"/>
      <c r="Z17">
        <v>4</v>
      </c>
      <c r="AA17" t="s">
        <v>26</v>
      </c>
      <c r="AB17" t="s">
        <v>19</v>
      </c>
      <c r="AC17" t="s">
        <v>19</v>
      </c>
      <c r="AD17" t="s">
        <v>19</v>
      </c>
      <c r="AE17" t="s">
        <v>19</v>
      </c>
      <c r="AF17" t="s">
        <v>19</v>
      </c>
      <c r="AG17" t="s">
        <v>19</v>
      </c>
      <c r="AH17" t="s">
        <v>35</v>
      </c>
      <c r="AI17" t="s">
        <v>19</v>
      </c>
      <c r="AJ17" t="s">
        <v>19</v>
      </c>
      <c r="AK17" t="s">
        <v>19</v>
      </c>
      <c r="AL17" t="s">
        <v>19</v>
      </c>
      <c r="AM17" t="s">
        <v>19</v>
      </c>
      <c r="AN17" t="s">
        <v>28</v>
      </c>
      <c r="AO17" s="192">
        <v>44</v>
      </c>
    </row>
    <row r="18" spans="1:41">
      <c r="A18" s="154"/>
      <c r="B18" s="35" t="s">
        <v>2179</v>
      </c>
      <c r="C18" s="44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44"/>
      <c r="Q18" s="35"/>
      <c r="R18" s="35"/>
      <c r="S18" s="35"/>
      <c r="T18" s="35"/>
      <c r="U18" s="35"/>
      <c r="V18" s="35"/>
      <c r="W18" s="35"/>
      <c r="X18" s="35"/>
      <c r="Y18" s="46"/>
      <c r="Z18">
        <v>4</v>
      </c>
      <c r="AA18" t="s">
        <v>26</v>
      </c>
      <c r="AB18" t="s">
        <v>19</v>
      </c>
      <c r="AC18" t="s">
        <v>19</v>
      </c>
      <c r="AD18" t="s">
        <v>19</v>
      </c>
      <c r="AE18" t="s">
        <v>19</v>
      </c>
      <c r="AF18" t="s">
        <v>19</v>
      </c>
      <c r="AG18" t="s">
        <v>19</v>
      </c>
      <c r="AH18" t="s">
        <v>36</v>
      </c>
      <c r="AI18" t="s">
        <v>19</v>
      </c>
      <c r="AJ18" t="s">
        <v>19</v>
      </c>
      <c r="AK18" t="s">
        <v>19</v>
      </c>
      <c r="AL18" t="s">
        <v>19</v>
      </c>
      <c r="AM18" t="s">
        <v>19</v>
      </c>
      <c r="AN18" t="s">
        <v>28</v>
      </c>
      <c r="AO18">
        <v>20</v>
      </c>
    </row>
    <row r="19" spans="1:41">
      <c r="A19" s="154"/>
      <c r="B19" s="35" t="s">
        <v>2179</v>
      </c>
      <c r="C19" s="44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44"/>
      <c r="Q19" s="35"/>
      <c r="R19" s="35"/>
      <c r="S19" s="35"/>
      <c r="T19" s="35"/>
      <c r="U19" s="35"/>
      <c r="V19" s="35"/>
      <c r="W19" s="35"/>
      <c r="X19" s="35"/>
      <c r="Y19" s="46"/>
      <c r="Z19">
        <v>4</v>
      </c>
      <c r="AA19" t="s">
        <v>26</v>
      </c>
      <c r="AB19" t="s">
        <v>19</v>
      </c>
      <c r="AC19" t="s">
        <v>19</v>
      </c>
      <c r="AD19" t="s">
        <v>19</v>
      </c>
      <c r="AE19" t="s">
        <v>19</v>
      </c>
      <c r="AF19" t="s">
        <v>19</v>
      </c>
      <c r="AG19" t="s">
        <v>19</v>
      </c>
      <c r="AH19" t="s">
        <v>37</v>
      </c>
      <c r="AI19" t="s">
        <v>19</v>
      </c>
      <c r="AJ19" t="s">
        <v>19</v>
      </c>
      <c r="AK19" t="s">
        <v>19</v>
      </c>
      <c r="AL19" t="s">
        <v>19</v>
      </c>
      <c r="AM19" t="s">
        <v>19</v>
      </c>
      <c r="AN19" t="s">
        <v>28</v>
      </c>
      <c r="AO19">
        <v>2</v>
      </c>
    </row>
    <row r="20" spans="1:41">
      <c r="A20" s="154"/>
      <c r="B20" s="35" t="s">
        <v>2179</v>
      </c>
      <c r="C20" s="44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44"/>
      <c r="Q20" s="35"/>
      <c r="R20" s="35"/>
      <c r="S20" s="35"/>
      <c r="T20" s="35"/>
      <c r="U20" s="35"/>
      <c r="V20" s="35"/>
      <c r="W20" s="35"/>
      <c r="X20" s="35"/>
      <c r="Y20" s="46"/>
      <c r="Z20">
        <v>4</v>
      </c>
      <c r="AA20" t="s">
        <v>26</v>
      </c>
      <c r="AB20" t="s">
        <v>19</v>
      </c>
      <c r="AC20" t="s">
        <v>19</v>
      </c>
      <c r="AD20" t="s">
        <v>19</v>
      </c>
      <c r="AE20" t="s">
        <v>19</v>
      </c>
      <c r="AF20" t="s">
        <v>19</v>
      </c>
      <c r="AG20" t="s">
        <v>19</v>
      </c>
      <c r="AH20" t="s">
        <v>38</v>
      </c>
      <c r="AI20" t="s">
        <v>19</v>
      </c>
      <c r="AJ20" t="s">
        <v>19</v>
      </c>
      <c r="AK20" t="s">
        <v>19</v>
      </c>
      <c r="AL20" t="s">
        <v>19</v>
      </c>
      <c r="AM20" t="s">
        <v>19</v>
      </c>
      <c r="AN20" t="s">
        <v>28</v>
      </c>
      <c r="AO20">
        <v>2</v>
      </c>
    </row>
    <row r="21" spans="1:41">
      <c r="A21" s="154"/>
      <c r="B21" s="35" t="s">
        <v>2179</v>
      </c>
      <c r="C21" s="4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44"/>
      <c r="Q21" s="35"/>
      <c r="R21" s="35"/>
      <c r="S21" s="35"/>
      <c r="T21" s="35"/>
      <c r="U21" s="35"/>
      <c r="V21" s="35"/>
      <c r="W21" s="35"/>
      <c r="X21" s="35"/>
      <c r="Y21" s="46"/>
      <c r="Z21">
        <v>4</v>
      </c>
      <c r="AA21" t="s">
        <v>26</v>
      </c>
      <c r="AB21" t="s">
        <v>19</v>
      </c>
      <c r="AC21" t="s">
        <v>19</v>
      </c>
      <c r="AD21" t="s">
        <v>19</v>
      </c>
      <c r="AE21" t="s">
        <v>19</v>
      </c>
      <c r="AF21" t="s">
        <v>19</v>
      </c>
      <c r="AG21" t="s">
        <v>19</v>
      </c>
      <c r="AH21" t="s">
        <v>39</v>
      </c>
      <c r="AI21" t="s">
        <v>19</v>
      </c>
      <c r="AJ21" t="s">
        <v>19</v>
      </c>
      <c r="AK21" t="s">
        <v>19</v>
      </c>
      <c r="AL21" t="s">
        <v>19</v>
      </c>
      <c r="AM21" t="s">
        <v>19</v>
      </c>
      <c r="AN21" t="s">
        <v>28</v>
      </c>
      <c r="AO21" t="s">
        <v>2</v>
      </c>
    </row>
    <row r="22" spans="1:41">
      <c r="A22" s="154">
        <v>220</v>
      </c>
      <c r="B22" s="35" t="s">
        <v>2179</v>
      </c>
      <c r="C22" s="4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44"/>
      <c r="Q22" s="35"/>
      <c r="R22" s="35"/>
      <c r="S22" s="35"/>
      <c r="T22" s="35"/>
      <c r="U22" s="35"/>
      <c r="V22" s="35"/>
      <c r="W22" s="35"/>
      <c r="X22" s="35"/>
      <c r="Y22" s="46"/>
      <c r="Z22">
        <v>4</v>
      </c>
      <c r="AA22" t="s">
        <v>26</v>
      </c>
      <c r="AB22" t="s">
        <v>19</v>
      </c>
      <c r="AC22" t="s">
        <v>19</v>
      </c>
      <c r="AD22" t="s">
        <v>19</v>
      </c>
      <c r="AE22" t="s">
        <v>19</v>
      </c>
      <c r="AF22" t="s">
        <v>19</v>
      </c>
      <c r="AG22" t="s">
        <v>19</v>
      </c>
      <c r="AH22" t="s">
        <v>40</v>
      </c>
      <c r="AI22" t="s">
        <v>19</v>
      </c>
      <c r="AJ22" t="s">
        <v>19</v>
      </c>
      <c r="AK22" t="s">
        <v>19</v>
      </c>
      <c r="AL22" t="s">
        <v>19</v>
      </c>
      <c r="AM22" t="s">
        <v>19</v>
      </c>
      <c r="AN22" t="s">
        <v>28</v>
      </c>
      <c r="AO22" s="192">
        <v>8</v>
      </c>
    </row>
    <row r="23" spans="1:41">
      <c r="A23" s="154"/>
      <c r="B23" s="35" t="s">
        <v>2179</v>
      </c>
      <c r="C23" s="44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44"/>
      <c r="Q23" s="35"/>
      <c r="R23" s="35"/>
      <c r="S23" s="35"/>
      <c r="T23" s="35"/>
      <c r="U23" s="35"/>
      <c r="V23" s="35"/>
      <c r="W23" s="35"/>
      <c r="X23" s="35"/>
      <c r="Y23" s="46"/>
      <c r="Z23">
        <v>4</v>
      </c>
      <c r="AA23" t="s">
        <v>26</v>
      </c>
      <c r="AB23" t="s">
        <v>19</v>
      </c>
      <c r="AC23" t="s">
        <v>19</v>
      </c>
      <c r="AD23" t="s">
        <v>19</v>
      </c>
      <c r="AE23" t="s">
        <v>19</v>
      </c>
      <c r="AF23" t="s">
        <v>19</v>
      </c>
      <c r="AG23" t="s">
        <v>19</v>
      </c>
      <c r="AH23" t="s">
        <v>41</v>
      </c>
      <c r="AI23" t="s">
        <v>19</v>
      </c>
      <c r="AJ23" t="s">
        <v>19</v>
      </c>
      <c r="AK23" t="s">
        <v>19</v>
      </c>
      <c r="AL23" t="s">
        <v>19</v>
      </c>
      <c r="AM23" t="s">
        <v>19</v>
      </c>
      <c r="AN23" t="s">
        <v>28</v>
      </c>
      <c r="AO23">
        <v>6</v>
      </c>
    </row>
    <row r="24" spans="1:41">
      <c r="A24" s="154"/>
      <c r="B24" s="35" t="s">
        <v>2179</v>
      </c>
      <c r="C24" s="44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44"/>
      <c r="Q24" s="35"/>
      <c r="R24" s="35"/>
      <c r="S24" s="35"/>
      <c r="T24" s="35"/>
      <c r="U24" s="35"/>
      <c r="V24" s="35"/>
      <c r="W24" s="35"/>
      <c r="X24" s="35"/>
      <c r="Y24" s="46"/>
      <c r="Z24">
        <v>4</v>
      </c>
      <c r="AA24" t="s">
        <v>26</v>
      </c>
      <c r="AB24" t="s">
        <v>19</v>
      </c>
      <c r="AC24" t="s">
        <v>19</v>
      </c>
      <c r="AD24" t="s">
        <v>19</v>
      </c>
      <c r="AE24" t="s">
        <v>19</v>
      </c>
      <c r="AF24" t="s">
        <v>19</v>
      </c>
      <c r="AG24" t="s">
        <v>19</v>
      </c>
      <c r="AH24" t="s">
        <v>42</v>
      </c>
      <c r="AI24" t="s">
        <v>19</v>
      </c>
      <c r="AJ24" t="s">
        <v>19</v>
      </c>
      <c r="AK24" t="s">
        <v>19</v>
      </c>
      <c r="AL24" t="s">
        <v>19</v>
      </c>
      <c r="AM24" t="s">
        <v>19</v>
      </c>
      <c r="AN24" t="s">
        <v>28</v>
      </c>
      <c r="AO24">
        <v>3</v>
      </c>
    </row>
    <row r="25" spans="1:41">
      <c r="A25" s="154"/>
      <c r="B25" s="35" t="s">
        <v>2179</v>
      </c>
      <c r="C25" s="44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44"/>
      <c r="Q25" s="35"/>
      <c r="R25" s="35"/>
      <c r="S25" s="35"/>
      <c r="T25" s="35"/>
      <c r="U25" s="35"/>
      <c r="V25" s="35"/>
      <c r="W25" s="35"/>
      <c r="X25" s="35"/>
      <c r="Y25" s="46"/>
      <c r="Z25">
        <v>4</v>
      </c>
      <c r="AA25" t="s">
        <v>26</v>
      </c>
      <c r="AB25" t="s">
        <v>19</v>
      </c>
      <c r="AC25" t="s">
        <v>19</v>
      </c>
      <c r="AD25" t="s">
        <v>19</v>
      </c>
      <c r="AE25" t="s">
        <v>19</v>
      </c>
      <c r="AF25" t="s">
        <v>19</v>
      </c>
      <c r="AG25" t="s">
        <v>19</v>
      </c>
      <c r="AH25" t="s">
        <v>43</v>
      </c>
      <c r="AI25" t="s">
        <v>19</v>
      </c>
      <c r="AJ25" t="s">
        <v>19</v>
      </c>
      <c r="AK25" t="s">
        <v>19</v>
      </c>
      <c r="AL25" t="s">
        <v>19</v>
      </c>
      <c r="AM25" t="s">
        <v>19</v>
      </c>
      <c r="AN25" t="s">
        <v>28</v>
      </c>
      <c r="AO25">
        <v>4</v>
      </c>
    </row>
    <row r="26" spans="1:41">
      <c r="A26" s="154"/>
      <c r="B26" s="35" t="s">
        <v>2179</v>
      </c>
      <c r="C26" s="44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44"/>
      <c r="Q26" s="35"/>
      <c r="R26" s="35"/>
      <c r="S26" s="35"/>
      <c r="T26" s="35"/>
      <c r="U26" s="35"/>
      <c r="V26" s="35"/>
      <c r="W26" s="35"/>
      <c r="X26" s="35"/>
      <c r="Y26" s="46"/>
      <c r="Z26">
        <v>4</v>
      </c>
      <c r="AA26" t="s">
        <v>26</v>
      </c>
      <c r="AB26" t="s">
        <v>19</v>
      </c>
      <c r="AC26" t="s">
        <v>19</v>
      </c>
      <c r="AD26" t="s">
        <v>19</v>
      </c>
      <c r="AE26" t="s">
        <v>19</v>
      </c>
      <c r="AF26" t="s">
        <v>19</v>
      </c>
      <c r="AG26" t="s">
        <v>19</v>
      </c>
      <c r="AH26" t="s">
        <v>44</v>
      </c>
      <c r="AI26" t="s">
        <v>19</v>
      </c>
      <c r="AJ26" t="s">
        <v>19</v>
      </c>
      <c r="AK26" t="s">
        <v>19</v>
      </c>
      <c r="AL26" t="s">
        <v>19</v>
      </c>
      <c r="AM26" t="s">
        <v>19</v>
      </c>
      <c r="AN26" t="s">
        <v>28</v>
      </c>
      <c r="AO26" t="s">
        <v>2</v>
      </c>
    </row>
    <row r="27" spans="1:41">
      <c r="A27" s="154"/>
      <c r="B27" s="35" t="s">
        <v>2179</v>
      </c>
      <c r="C27" s="44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44"/>
      <c r="Q27" s="35"/>
      <c r="R27" s="35"/>
      <c r="S27" s="35"/>
      <c r="T27" s="35"/>
      <c r="U27" s="35"/>
      <c r="V27" s="35"/>
      <c r="W27" s="35"/>
      <c r="X27" s="35"/>
      <c r="Y27" s="46"/>
      <c r="Z27">
        <v>4</v>
      </c>
      <c r="AA27" t="s">
        <v>26</v>
      </c>
      <c r="AB27" t="s">
        <v>19</v>
      </c>
      <c r="AC27" t="s">
        <v>19</v>
      </c>
      <c r="AD27" t="s">
        <v>19</v>
      </c>
      <c r="AE27" t="s">
        <v>19</v>
      </c>
      <c r="AF27" t="s">
        <v>19</v>
      </c>
      <c r="AG27" t="s">
        <v>19</v>
      </c>
      <c r="AH27" t="s">
        <v>45</v>
      </c>
      <c r="AI27" t="s">
        <v>19</v>
      </c>
      <c r="AJ27" t="s">
        <v>19</v>
      </c>
      <c r="AK27" t="s">
        <v>19</v>
      </c>
      <c r="AL27" t="s">
        <v>19</v>
      </c>
      <c r="AM27" t="s">
        <v>19</v>
      </c>
      <c r="AN27" t="s">
        <v>28</v>
      </c>
      <c r="AO27">
        <v>11</v>
      </c>
    </row>
    <row r="28" spans="1:41">
      <c r="A28" s="154"/>
      <c r="B28" s="35" t="s">
        <v>2179</v>
      </c>
      <c r="C28" s="44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44"/>
      <c r="Q28" s="35"/>
      <c r="R28" s="35"/>
      <c r="S28" s="35"/>
      <c r="T28" s="35"/>
      <c r="U28" s="35"/>
      <c r="V28" s="35"/>
      <c r="W28" s="35"/>
      <c r="X28" s="35"/>
      <c r="Y28" s="46"/>
      <c r="Z28">
        <v>4</v>
      </c>
      <c r="AA28" t="s">
        <v>26</v>
      </c>
      <c r="AB28" t="s">
        <v>19</v>
      </c>
      <c r="AC28" t="s">
        <v>19</v>
      </c>
      <c r="AD28" t="s">
        <v>19</v>
      </c>
      <c r="AE28" t="s">
        <v>19</v>
      </c>
      <c r="AF28" t="s">
        <v>19</v>
      </c>
      <c r="AG28" t="s">
        <v>19</v>
      </c>
      <c r="AH28" t="s">
        <v>46</v>
      </c>
      <c r="AI28" t="s">
        <v>19</v>
      </c>
      <c r="AJ28" t="s">
        <v>19</v>
      </c>
      <c r="AK28" t="s">
        <v>19</v>
      </c>
      <c r="AL28" t="s">
        <v>19</v>
      </c>
      <c r="AM28" t="s">
        <v>19</v>
      </c>
      <c r="AN28" t="s">
        <v>28</v>
      </c>
      <c r="AO28">
        <v>14</v>
      </c>
    </row>
    <row r="29" spans="1:41">
      <c r="A29" s="154"/>
      <c r="B29" s="35" t="s">
        <v>2179</v>
      </c>
      <c r="C29" s="44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44"/>
      <c r="Q29" s="35"/>
      <c r="R29" s="35"/>
      <c r="S29" s="35"/>
      <c r="T29" s="35"/>
      <c r="U29" s="35"/>
      <c r="V29" s="35"/>
      <c r="W29" s="35"/>
      <c r="X29" s="35"/>
      <c r="Y29" s="46"/>
      <c r="Z29">
        <v>4</v>
      </c>
      <c r="AA29" t="s">
        <v>26</v>
      </c>
      <c r="AB29" t="s">
        <v>19</v>
      </c>
      <c r="AC29" t="s">
        <v>19</v>
      </c>
      <c r="AD29" t="s">
        <v>19</v>
      </c>
      <c r="AE29" t="s">
        <v>19</v>
      </c>
      <c r="AF29" t="s">
        <v>19</v>
      </c>
      <c r="AG29" t="s">
        <v>19</v>
      </c>
      <c r="AH29" t="s">
        <v>47</v>
      </c>
      <c r="AI29" t="s">
        <v>19</v>
      </c>
      <c r="AJ29" t="s">
        <v>19</v>
      </c>
      <c r="AK29" t="s">
        <v>19</v>
      </c>
      <c r="AL29" t="s">
        <v>19</v>
      </c>
      <c r="AM29" t="s">
        <v>19</v>
      </c>
      <c r="AN29" t="s">
        <v>28</v>
      </c>
      <c r="AO29">
        <v>12</v>
      </c>
    </row>
    <row r="30" spans="1:41">
      <c r="A30" s="154"/>
      <c r="B30" s="35" t="s">
        <v>2179</v>
      </c>
      <c r="C30" s="44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44"/>
      <c r="Q30" s="35"/>
      <c r="R30" s="35"/>
      <c r="S30" s="35"/>
      <c r="T30" s="35"/>
      <c r="U30" s="35"/>
      <c r="V30" s="35"/>
      <c r="W30" s="35"/>
      <c r="X30" s="35"/>
      <c r="Y30" s="46"/>
      <c r="Z30">
        <v>4</v>
      </c>
      <c r="AA30" t="s">
        <v>26</v>
      </c>
      <c r="AB30" t="s">
        <v>19</v>
      </c>
      <c r="AC30" t="s">
        <v>19</v>
      </c>
      <c r="AD30" t="s">
        <v>19</v>
      </c>
      <c r="AE30" t="s">
        <v>19</v>
      </c>
      <c r="AF30" t="s">
        <v>19</v>
      </c>
      <c r="AG30" t="s">
        <v>19</v>
      </c>
      <c r="AH30" t="s">
        <v>48</v>
      </c>
      <c r="AI30" t="s">
        <v>19</v>
      </c>
      <c r="AJ30" t="s">
        <v>19</v>
      </c>
      <c r="AK30" t="s">
        <v>19</v>
      </c>
      <c r="AL30" t="s">
        <v>19</v>
      </c>
      <c r="AM30" t="s">
        <v>19</v>
      </c>
      <c r="AN30" t="s">
        <v>28</v>
      </c>
      <c r="AO30" t="s">
        <v>2</v>
      </c>
    </row>
    <row r="31" spans="1:41">
      <c r="A31" s="154"/>
      <c r="B31" s="35" t="s">
        <v>2179</v>
      </c>
      <c r="C31" s="44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44"/>
      <c r="Q31" s="35"/>
      <c r="R31" s="35"/>
      <c r="S31" s="35"/>
      <c r="T31" s="35"/>
      <c r="U31" s="35"/>
      <c r="V31" s="35"/>
      <c r="W31" s="35"/>
      <c r="X31" s="35"/>
      <c r="Y31" s="46"/>
      <c r="Z31">
        <v>4</v>
      </c>
      <c r="AA31" t="s">
        <v>26</v>
      </c>
      <c r="AB31" t="s">
        <v>19</v>
      </c>
      <c r="AC31" t="s">
        <v>19</v>
      </c>
      <c r="AD31" t="s">
        <v>19</v>
      </c>
      <c r="AE31" t="s">
        <v>19</v>
      </c>
      <c r="AF31" t="s">
        <v>19</v>
      </c>
      <c r="AG31" t="s">
        <v>19</v>
      </c>
      <c r="AH31" t="s">
        <v>49</v>
      </c>
      <c r="AI31" t="s">
        <v>19</v>
      </c>
      <c r="AJ31" t="s">
        <v>19</v>
      </c>
      <c r="AK31" t="s">
        <v>19</v>
      </c>
      <c r="AL31" t="s">
        <v>19</v>
      </c>
      <c r="AM31" t="s">
        <v>19</v>
      </c>
      <c r="AN31" t="s">
        <v>28</v>
      </c>
      <c r="AO31">
        <v>2</v>
      </c>
    </row>
    <row r="32" spans="1:41">
      <c r="A32" s="154"/>
      <c r="B32" s="35" t="s">
        <v>2179</v>
      </c>
      <c r="C32" s="44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44"/>
      <c r="Q32" s="35"/>
      <c r="R32" s="35"/>
      <c r="S32" s="35"/>
      <c r="T32" s="35"/>
      <c r="U32" s="35"/>
      <c r="V32" s="35"/>
      <c r="W32" s="35"/>
      <c r="X32" s="35"/>
      <c r="Y32" s="46"/>
      <c r="Z32">
        <v>4</v>
      </c>
      <c r="AA32" t="s">
        <v>26</v>
      </c>
      <c r="AB32" t="s">
        <v>19</v>
      </c>
      <c r="AC32" t="s">
        <v>19</v>
      </c>
      <c r="AD32" t="s">
        <v>19</v>
      </c>
      <c r="AE32" t="s">
        <v>19</v>
      </c>
      <c r="AF32" t="s">
        <v>19</v>
      </c>
      <c r="AG32" t="s">
        <v>19</v>
      </c>
      <c r="AH32" t="s">
        <v>50</v>
      </c>
      <c r="AI32" t="s">
        <v>19</v>
      </c>
      <c r="AJ32" t="s">
        <v>19</v>
      </c>
      <c r="AK32" t="s">
        <v>19</v>
      </c>
      <c r="AL32" t="s">
        <v>19</v>
      </c>
      <c r="AM32" t="s">
        <v>19</v>
      </c>
      <c r="AN32" t="s">
        <v>28</v>
      </c>
      <c r="AO32">
        <v>4</v>
      </c>
    </row>
    <row r="33" spans="1:41">
      <c r="A33" s="154"/>
      <c r="B33" s="35" t="s">
        <v>2179</v>
      </c>
      <c r="C33" s="44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44"/>
      <c r="Q33" s="35"/>
      <c r="R33" s="35"/>
      <c r="S33" s="35"/>
      <c r="T33" s="35"/>
      <c r="U33" s="35"/>
      <c r="V33" s="35"/>
      <c r="W33" s="35"/>
      <c r="X33" s="35"/>
      <c r="Y33" s="46"/>
      <c r="Z33">
        <v>4</v>
      </c>
      <c r="AA33" t="s">
        <v>26</v>
      </c>
      <c r="AB33" t="s">
        <v>19</v>
      </c>
      <c r="AC33" t="s">
        <v>19</v>
      </c>
      <c r="AD33" t="s">
        <v>19</v>
      </c>
      <c r="AE33" t="s">
        <v>19</v>
      </c>
      <c r="AF33" t="s">
        <v>19</v>
      </c>
      <c r="AG33" t="s">
        <v>19</v>
      </c>
      <c r="AH33" t="s">
        <v>51</v>
      </c>
      <c r="AI33" t="s">
        <v>19</v>
      </c>
      <c r="AJ33" t="s">
        <v>19</v>
      </c>
      <c r="AK33" t="s">
        <v>19</v>
      </c>
      <c r="AL33" t="s">
        <v>19</v>
      </c>
      <c r="AM33" t="s">
        <v>19</v>
      </c>
      <c r="AN33" t="s">
        <v>28</v>
      </c>
      <c r="AO33">
        <v>4</v>
      </c>
    </row>
    <row r="34" spans="1:41">
      <c r="A34" s="154"/>
      <c r="B34" s="35" t="s">
        <v>2179</v>
      </c>
      <c r="C34" s="44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44"/>
      <c r="Q34" s="35"/>
      <c r="R34" s="35"/>
      <c r="S34" s="35"/>
      <c r="T34" s="35"/>
      <c r="U34" s="35"/>
      <c r="V34" s="35"/>
      <c r="W34" s="35"/>
      <c r="X34" s="35"/>
      <c r="Y34" s="46"/>
      <c r="Z34">
        <v>4</v>
      </c>
      <c r="AA34" t="s">
        <v>26</v>
      </c>
      <c r="AB34" t="s">
        <v>19</v>
      </c>
      <c r="AC34" t="s">
        <v>19</v>
      </c>
      <c r="AD34" t="s">
        <v>19</v>
      </c>
      <c r="AE34" t="s">
        <v>19</v>
      </c>
      <c r="AF34" t="s">
        <v>19</v>
      </c>
      <c r="AG34" t="s">
        <v>19</v>
      </c>
      <c r="AH34" t="s">
        <v>52</v>
      </c>
      <c r="AI34" t="s">
        <v>19</v>
      </c>
      <c r="AJ34" t="s">
        <v>19</v>
      </c>
      <c r="AK34" t="s">
        <v>19</v>
      </c>
      <c r="AL34" t="s">
        <v>19</v>
      </c>
      <c r="AM34" t="s">
        <v>19</v>
      </c>
      <c r="AN34" t="s">
        <v>28</v>
      </c>
      <c r="AO34">
        <v>2</v>
      </c>
    </row>
    <row r="35" spans="1:41">
      <c r="A35" s="154"/>
      <c r="B35" s="35" t="s">
        <v>2179</v>
      </c>
      <c r="C35" s="44"/>
      <c r="D35" s="35" t="s">
        <v>2180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44"/>
      <c r="Q35" s="35"/>
      <c r="R35" s="35"/>
      <c r="S35" s="35"/>
      <c r="T35" s="35"/>
      <c r="U35" s="35"/>
      <c r="V35" s="35"/>
      <c r="W35" s="35"/>
      <c r="X35" s="35"/>
      <c r="Y35" s="46" t="s">
        <v>2182</v>
      </c>
      <c r="Z35">
        <v>3</v>
      </c>
      <c r="AA35" t="s">
        <v>53</v>
      </c>
      <c r="AB35" t="s">
        <v>54</v>
      </c>
      <c r="AC35" t="s">
        <v>19</v>
      </c>
      <c r="AD35" t="s">
        <v>55</v>
      </c>
      <c r="AE35" t="s">
        <v>55</v>
      </c>
      <c r="AF35" t="s">
        <v>56</v>
      </c>
      <c r="AG35" t="s">
        <v>57</v>
      </c>
      <c r="AH35" t="s">
        <v>58</v>
      </c>
      <c r="AI35" t="s">
        <v>59</v>
      </c>
      <c r="AJ35" t="s">
        <v>19</v>
      </c>
      <c r="AK35" t="s">
        <v>60</v>
      </c>
      <c r="AL35" t="s">
        <v>61</v>
      </c>
      <c r="AM35" t="s">
        <v>19</v>
      </c>
      <c r="AN35" t="s">
        <v>28</v>
      </c>
      <c r="AO35" t="s">
        <v>2</v>
      </c>
    </row>
    <row r="36" spans="1:41">
      <c r="A36" s="154"/>
      <c r="B36" s="35" t="s">
        <v>2179</v>
      </c>
      <c r="C36" s="44"/>
      <c r="D36" s="35" t="s">
        <v>2180</v>
      </c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44"/>
      <c r="Q36" s="35"/>
      <c r="R36" s="35"/>
      <c r="S36" s="35"/>
      <c r="T36" s="35"/>
      <c r="U36" s="35"/>
      <c r="V36" s="35"/>
      <c r="W36" s="35"/>
      <c r="X36" s="35"/>
      <c r="Y36" s="46" t="s">
        <v>2182</v>
      </c>
      <c r="Z36">
        <v>3</v>
      </c>
      <c r="AA36" t="s">
        <v>62</v>
      </c>
      <c r="AB36" t="s">
        <v>63</v>
      </c>
      <c r="AC36" t="s">
        <v>19</v>
      </c>
      <c r="AD36" t="s">
        <v>55</v>
      </c>
      <c r="AE36" t="s">
        <v>55</v>
      </c>
      <c r="AF36" t="s">
        <v>64</v>
      </c>
      <c r="AG36" t="s">
        <v>65</v>
      </c>
      <c r="AH36" t="s">
        <v>66</v>
      </c>
      <c r="AI36" t="s">
        <v>59</v>
      </c>
      <c r="AJ36" t="s">
        <v>19</v>
      </c>
      <c r="AK36" t="s">
        <v>67</v>
      </c>
      <c r="AL36" t="s">
        <v>61</v>
      </c>
      <c r="AM36" t="s">
        <v>19</v>
      </c>
      <c r="AN36" t="s">
        <v>28</v>
      </c>
      <c r="AO36" t="s">
        <v>2</v>
      </c>
    </row>
    <row r="37" spans="1:41">
      <c r="A37" s="154"/>
      <c r="B37" s="35" t="s">
        <v>2179</v>
      </c>
      <c r="C37" s="44"/>
      <c r="D37" s="35" t="s">
        <v>2180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44"/>
      <c r="Q37" s="35"/>
      <c r="R37" s="35"/>
      <c r="S37" s="35"/>
      <c r="T37" s="35"/>
      <c r="U37" s="35"/>
      <c r="V37" s="35"/>
      <c r="W37" s="35"/>
      <c r="X37" s="35"/>
      <c r="Y37" s="46" t="s">
        <v>2182</v>
      </c>
      <c r="Z37">
        <v>3</v>
      </c>
      <c r="AA37" t="s">
        <v>68</v>
      </c>
      <c r="AB37" t="s">
        <v>69</v>
      </c>
      <c r="AC37" t="s">
        <v>19</v>
      </c>
      <c r="AD37" t="s">
        <v>55</v>
      </c>
      <c r="AE37" t="s">
        <v>55</v>
      </c>
      <c r="AF37" t="s">
        <v>70</v>
      </c>
      <c r="AG37" t="s">
        <v>71</v>
      </c>
      <c r="AH37" t="s">
        <v>72</v>
      </c>
      <c r="AI37" t="s">
        <v>59</v>
      </c>
      <c r="AJ37" t="s">
        <v>19</v>
      </c>
      <c r="AK37" t="s">
        <v>73</v>
      </c>
      <c r="AL37" t="s">
        <v>61</v>
      </c>
      <c r="AM37" t="s">
        <v>19</v>
      </c>
      <c r="AN37" t="s">
        <v>28</v>
      </c>
      <c r="AO37" t="s">
        <v>2</v>
      </c>
    </row>
    <row r="38" spans="1:41">
      <c r="A38" s="154"/>
      <c r="B38" s="35" t="s">
        <v>2179</v>
      </c>
      <c r="C38" s="44"/>
      <c r="D38" s="35" t="s">
        <v>2180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44"/>
      <c r="Q38" s="35"/>
      <c r="R38" s="35"/>
      <c r="S38" s="35"/>
      <c r="T38" s="35"/>
      <c r="U38" s="35"/>
      <c r="V38" s="35"/>
      <c r="W38" s="35"/>
      <c r="X38" s="35"/>
      <c r="Y38" s="46" t="s">
        <v>2182</v>
      </c>
      <c r="Z38">
        <v>3</v>
      </c>
      <c r="AA38" t="s">
        <v>74</v>
      </c>
      <c r="AB38" t="s">
        <v>75</v>
      </c>
      <c r="AC38" t="s">
        <v>19</v>
      </c>
      <c r="AD38" t="s">
        <v>55</v>
      </c>
      <c r="AE38" t="s">
        <v>55</v>
      </c>
      <c r="AF38" t="s">
        <v>76</v>
      </c>
      <c r="AG38" t="s">
        <v>77</v>
      </c>
      <c r="AH38" t="s">
        <v>78</v>
      </c>
      <c r="AI38" t="s">
        <v>59</v>
      </c>
      <c r="AJ38" t="s">
        <v>19</v>
      </c>
      <c r="AK38" t="s">
        <v>79</v>
      </c>
      <c r="AL38" t="s">
        <v>61</v>
      </c>
      <c r="AM38" t="s">
        <v>19</v>
      </c>
      <c r="AN38" t="s">
        <v>28</v>
      </c>
      <c r="AO38" t="s">
        <v>2</v>
      </c>
    </row>
    <row r="39" spans="1:41">
      <c r="A39" s="154"/>
      <c r="B39" s="35" t="s">
        <v>2179</v>
      </c>
      <c r="C39" s="44"/>
      <c r="D39" s="35" t="s">
        <v>2180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44"/>
      <c r="Q39" s="35"/>
      <c r="R39" s="35"/>
      <c r="S39" s="35"/>
      <c r="T39" s="35"/>
      <c r="U39" s="35"/>
      <c r="V39" s="35"/>
      <c r="W39" s="35"/>
      <c r="X39" s="35"/>
      <c r="Y39" s="46" t="s">
        <v>2182</v>
      </c>
      <c r="Z39">
        <v>3</v>
      </c>
      <c r="AA39" t="s">
        <v>53</v>
      </c>
      <c r="AB39" t="s">
        <v>80</v>
      </c>
      <c r="AC39" t="s">
        <v>19</v>
      </c>
      <c r="AD39" t="s">
        <v>81</v>
      </c>
      <c r="AE39" t="s">
        <v>81</v>
      </c>
      <c r="AF39" t="s">
        <v>82</v>
      </c>
      <c r="AG39" t="s">
        <v>83</v>
      </c>
      <c r="AH39" t="s">
        <v>58</v>
      </c>
      <c r="AI39" t="s">
        <v>59</v>
      </c>
      <c r="AJ39" t="s">
        <v>19</v>
      </c>
      <c r="AK39" t="s">
        <v>60</v>
      </c>
      <c r="AL39" t="s">
        <v>84</v>
      </c>
      <c r="AM39" t="s">
        <v>19</v>
      </c>
      <c r="AN39" t="s">
        <v>28</v>
      </c>
      <c r="AO39" t="s">
        <v>2</v>
      </c>
    </row>
    <row r="40" spans="1:41">
      <c r="A40" s="154"/>
      <c r="B40" s="35" t="s">
        <v>2179</v>
      </c>
      <c r="C40" s="44"/>
      <c r="D40" s="35" t="s">
        <v>2180</v>
      </c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44"/>
      <c r="Q40" s="35"/>
      <c r="R40" s="35"/>
      <c r="S40" s="35"/>
      <c r="T40" s="35"/>
      <c r="U40" s="35"/>
      <c r="V40" s="35"/>
      <c r="W40" s="35"/>
      <c r="X40" s="35"/>
      <c r="Y40" s="46" t="s">
        <v>2182</v>
      </c>
      <c r="Z40">
        <v>3</v>
      </c>
      <c r="AA40" t="s">
        <v>62</v>
      </c>
      <c r="AB40" t="s">
        <v>85</v>
      </c>
      <c r="AC40" t="s">
        <v>19</v>
      </c>
      <c r="AD40" t="s">
        <v>81</v>
      </c>
      <c r="AE40" t="s">
        <v>81</v>
      </c>
      <c r="AF40" t="s">
        <v>86</v>
      </c>
      <c r="AG40" t="s">
        <v>87</v>
      </c>
      <c r="AH40" t="s">
        <v>66</v>
      </c>
      <c r="AI40" t="s">
        <v>59</v>
      </c>
      <c r="AJ40" t="s">
        <v>19</v>
      </c>
      <c r="AK40" t="s">
        <v>67</v>
      </c>
      <c r="AL40" t="s">
        <v>84</v>
      </c>
      <c r="AM40" t="s">
        <v>19</v>
      </c>
      <c r="AN40" t="s">
        <v>28</v>
      </c>
      <c r="AO40" t="s">
        <v>2</v>
      </c>
    </row>
    <row r="41" spans="1:41">
      <c r="A41" s="154"/>
      <c r="B41" s="35" t="s">
        <v>2179</v>
      </c>
      <c r="C41" s="44"/>
      <c r="D41" s="35" t="s">
        <v>2180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44"/>
      <c r="Q41" s="35"/>
      <c r="R41" s="35"/>
      <c r="S41" s="35"/>
      <c r="T41" s="35"/>
      <c r="U41" s="35"/>
      <c r="V41" s="35"/>
      <c r="W41" s="35"/>
      <c r="X41" s="35"/>
      <c r="Y41" s="46" t="s">
        <v>2182</v>
      </c>
      <c r="Z41">
        <v>3</v>
      </c>
      <c r="AA41" t="s">
        <v>74</v>
      </c>
      <c r="AB41" t="s">
        <v>88</v>
      </c>
      <c r="AC41" t="s">
        <v>19</v>
      </c>
      <c r="AD41" t="s">
        <v>81</v>
      </c>
      <c r="AE41" t="s">
        <v>81</v>
      </c>
      <c r="AF41" t="s">
        <v>89</v>
      </c>
      <c r="AG41" t="s">
        <v>90</v>
      </c>
      <c r="AH41" t="s">
        <v>78</v>
      </c>
      <c r="AI41" t="s">
        <v>59</v>
      </c>
      <c r="AJ41" t="s">
        <v>19</v>
      </c>
      <c r="AK41" t="s">
        <v>79</v>
      </c>
      <c r="AL41" t="s">
        <v>84</v>
      </c>
      <c r="AM41" t="s">
        <v>19</v>
      </c>
      <c r="AN41" t="s">
        <v>28</v>
      </c>
      <c r="AO41" t="s">
        <v>2</v>
      </c>
    </row>
    <row r="42" spans="1:41">
      <c r="A42" s="154"/>
      <c r="B42" s="35" t="s">
        <v>2179</v>
      </c>
      <c r="C42" s="44"/>
      <c r="D42" s="35" t="s">
        <v>2180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44"/>
      <c r="Q42" s="35"/>
      <c r="R42" s="35"/>
      <c r="S42" s="35"/>
      <c r="T42" s="35"/>
      <c r="U42" s="35"/>
      <c r="V42" s="35"/>
      <c r="W42" s="35"/>
      <c r="X42" s="35"/>
      <c r="Y42" s="46" t="s">
        <v>2182</v>
      </c>
      <c r="Z42">
        <v>3</v>
      </c>
      <c r="AA42" t="s">
        <v>68</v>
      </c>
      <c r="AB42" t="s">
        <v>91</v>
      </c>
      <c r="AC42" t="s">
        <v>19</v>
      </c>
      <c r="AD42" t="s">
        <v>81</v>
      </c>
      <c r="AE42" t="s">
        <v>92</v>
      </c>
      <c r="AF42" t="s">
        <v>93</v>
      </c>
      <c r="AG42" t="s">
        <v>94</v>
      </c>
      <c r="AH42" t="s">
        <v>72</v>
      </c>
      <c r="AI42" t="s">
        <v>59</v>
      </c>
      <c r="AJ42" t="s">
        <v>19</v>
      </c>
      <c r="AK42" t="s">
        <v>73</v>
      </c>
      <c r="AL42" t="s">
        <v>84</v>
      </c>
      <c r="AM42" t="s">
        <v>19</v>
      </c>
      <c r="AN42" t="s">
        <v>28</v>
      </c>
      <c r="AO42" t="s">
        <v>2</v>
      </c>
    </row>
    <row r="43" spans="1:41">
      <c r="A43" s="154"/>
      <c r="B43" s="35" t="s">
        <v>2179</v>
      </c>
      <c r="C43" s="44"/>
      <c r="D43" s="35" t="s">
        <v>2180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44"/>
      <c r="Q43" s="35"/>
      <c r="R43" s="35"/>
      <c r="S43" s="35"/>
      <c r="T43" s="35"/>
      <c r="U43" s="35"/>
      <c r="V43" s="35"/>
      <c r="W43" s="35"/>
      <c r="X43" s="35"/>
      <c r="Y43" s="46" t="s">
        <v>2182</v>
      </c>
      <c r="Z43">
        <v>3</v>
      </c>
      <c r="AA43" t="s">
        <v>53</v>
      </c>
      <c r="AB43" t="s">
        <v>95</v>
      </c>
      <c r="AC43" t="s">
        <v>19</v>
      </c>
      <c r="AD43" t="s">
        <v>96</v>
      </c>
      <c r="AE43" t="s">
        <v>96</v>
      </c>
      <c r="AF43" t="s">
        <v>97</v>
      </c>
      <c r="AG43" t="s">
        <v>98</v>
      </c>
      <c r="AH43" t="s">
        <v>58</v>
      </c>
      <c r="AI43" t="s">
        <v>59</v>
      </c>
      <c r="AJ43" t="s">
        <v>19</v>
      </c>
      <c r="AK43" t="s">
        <v>60</v>
      </c>
      <c r="AL43" t="s">
        <v>99</v>
      </c>
      <c r="AM43" t="s">
        <v>19</v>
      </c>
      <c r="AN43" t="s">
        <v>28</v>
      </c>
      <c r="AO43" t="s">
        <v>2</v>
      </c>
    </row>
    <row r="44" spans="1:41">
      <c r="A44" s="154"/>
      <c r="B44" s="35" t="s">
        <v>2179</v>
      </c>
      <c r="C44" s="44"/>
      <c r="D44" s="35" t="s">
        <v>2180</v>
      </c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44"/>
      <c r="Q44" s="35"/>
      <c r="R44" s="35"/>
      <c r="S44" s="35"/>
      <c r="T44" s="35"/>
      <c r="U44" s="35"/>
      <c r="V44" s="35"/>
      <c r="W44" s="35"/>
      <c r="X44" s="35"/>
      <c r="Y44" s="46" t="s">
        <v>2182</v>
      </c>
      <c r="Z44">
        <v>3</v>
      </c>
      <c r="AA44" t="s">
        <v>74</v>
      </c>
      <c r="AB44" t="s">
        <v>100</v>
      </c>
      <c r="AC44" t="s">
        <v>19</v>
      </c>
      <c r="AD44" t="s">
        <v>96</v>
      </c>
      <c r="AE44" t="s">
        <v>96</v>
      </c>
      <c r="AF44" t="s">
        <v>101</v>
      </c>
      <c r="AG44" t="s">
        <v>102</v>
      </c>
      <c r="AH44" t="s">
        <v>78</v>
      </c>
      <c r="AI44" t="s">
        <v>59</v>
      </c>
      <c r="AJ44" t="s">
        <v>19</v>
      </c>
      <c r="AK44" t="s">
        <v>79</v>
      </c>
      <c r="AL44" t="s">
        <v>99</v>
      </c>
      <c r="AM44" t="s">
        <v>19</v>
      </c>
      <c r="AN44" t="s">
        <v>28</v>
      </c>
      <c r="AO44" t="s">
        <v>2</v>
      </c>
    </row>
    <row r="45" spans="1:41">
      <c r="A45" s="154"/>
      <c r="B45" s="35" t="s">
        <v>2179</v>
      </c>
      <c r="C45" s="44"/>
      <c r="D45" s="35" t="s">
        <v>2180</v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44"/>
      <c r="Q45" s="35"/>
      <c r="R45" s="35"/>
      <c r="S45" s="35"/>
      <c r="T45" s="35"/>
      <c r="U45" s="35"/>
      <c r="V45" s="35"/>
      <c r="W45" s="35"/>
      <c r="X45" s="35"/>
      <c r="Y45" s="46" t="s">
        <v>2182</v>
      </c>
      <c r="Z45">
        <v>3</v>
      </c>
      <c r="AA45" t="s">
        <v>68</v>
      </c>
      <c r="AB45" t="s">
        <v>103</v>
      </c>
      <c r="AC45" t="s">
        <v>19</v>
      </c>
      <c r="AD45" t="s">
        <v>96</v>
      </c>
      <c r="AE45" t="s">
        <v>96</v>
      </c>
      <c r="AF45" t="s">
        <v>104</v>
      </c>
      <c r="AG45" t="s">
        <v>105</v>
      </c>
      <c r="AH45" t="s">
        <v>72</v>
      </c>
      <c r="AI45" t="s">
        <v>59</v>
      </c>
      <c r="AJ45" t="s">
        <v>19</v>
      </c>
      <c r="AK45" t="s">
        <v>73</v>
      </c>
      <c r="AL45" t="s">
        <v>99</v>
      </c>
      <c r="AM45" t="s">
        <v>19</v>
      </c>
      <c r="AN45" t="s">
        <v>28</v>
      </c>
      <c r="AO45" t="s">
        <v>2</v>
      </c>
    </row>
    <row r="46" spans="1:41">
      <c r="A46" s="154"/>
      <c r="B46" s="35" t="s">
        <v>2179</v>
      </c>
      <c r="C46" s="44"/>
      <c r="D46" s="35" t="s">
        <v>2195</v>
      </c>
      <c r="E46" s="35" t="s">
        <v>2224</v>
      </c>
      <c r="F46" s="35" t="s">
        <v>2225</v>
      </c>
      <c r="G46" s="35"/>
      <c r="H46" s="35"/>
      <c r="I46" s="35"/>
      <c r="J46" s="35"/>
      <c r="K46" s="35"/>
      <c r="L46" s="35"/>
      <c r="M46" s="35"/>
      <c r="N46" s="35"/>
      <c r="O46" s="35"/>
      <c r="P46" s="44"/>
      <c r="Q46" s="35"/>
      <c r="R46" s="35"/>
      <c r="S46" s="35"/>
      <c r="T46" s="35"/>
      <c r="U46" s="35"/>
      <c r="V46" s="35"/>
      <c r="W46" s="35"/>
      <c r="X46" s="35"/>
      <c r="Y46" s="46" t="s">
        <v>2189</v>
      </c>
      <c r="Z46">
        <v>3</v>
      </c>
      <c r="AA46" t="s">
        <v>106</v>
      </c>
      <c r="AB46" t="s">
        <v>107</v>
      </c>
      <c r="AC46" t="s">
        <v>19</v>
      </c>
      <c r="AD46" t="s">
        <v>96</v>
      </c>
      <c r="AE46" t="s">
        <v>96</v>
      </c>
      <c r="AF46" t="s">
        <v>108</v>
      </c>
      <c r="AG46" t="s">
        <v>109</v>
      </c>
      <c r="AH46" t="s">
        <v>110</v>
      </c>
      <c r="AI46" t="s">
        <v>111</v>
      </c>
      <c r="AJ46" t="s">
        <v>19</v>
      </c>
      <c r="AK46" t="s">
        <v>112</v>
      </c>
      <c r="AL46" t="s">
        <v>99</v>
      </c>
      <c r="AM46" t="s">
        <v>19</v>
      </c>
      <c r="AN46" t="s">
        <v>28</v>
      </c>
      <c r="AO46" t="s">
        <v>2</v>
      </c>
    </row>
    <row r="47" spans="1:41">
      <c r="A47" s="154"/>
      <c r="B47" s="35" t="s">
        <v>2179</v>
      </c>
      <c r="C47" s="44"/>
      <c r="D47" s="35" t="s">
        <v>2180</v>
      </c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44"/>
      <c r="Q47" s="35"/>
      <c r="R47" s="35"/>
      <c r="S47" s="35"/>
      <c r="T47" s="35"/>
      <c r="U47" s="35"/>
      <c r="V47" s="35"/>
      <c r="W47" s="35"/>
      <c r="X47" s="35"/>
      <c r="Y47" s="46" t="s">
        <v>2182</v>
      </c>
      <c r="Z47">
        <v>3</v>
      </c>
      <c r="AA47" t="s">
        <v>113</v>
      </c>
      <c r="AB47" t="s">
        <v>114</v>
      </c>
      <c r="AC47" t="s">
        <v>19</v>
      </c>
      <c r="AD47" t="s">
        <v>115</v>
      </c>
      <c r="AE47" t="s">
        <v>115</v>
      </c>
      <c r="AF47" t="s">
        <v>116</v>
      </c>
      <c r="AG47" t="s">
        <v>117</v>
      </c>
      <c r="AH47" t="s">
        <v>118</v>
      </c>
      <c r="AI47" t="s">
        <v>119</v>
      </c>
      <c r="AJ47" t="s">
        <v>19</v>
      </c>
      <c r="AK47" t="s">
        <v>67</v>
      </c>
      <c r="AL47" t="s">
        <v>120</v>
      </c>
      <c r="AM47" t="s">
        <v>121</v>
      </c>
      <c r="AN47" t="s">
        <v>28</v>
      </c>
      <c r="AO47" t="s">
        <v>2</v>
      </c>
    </row>
    <row r="48" spans="1:41">
      <c r="A48" s="154"/>
      <c r="B48" s="35" t="s">
        <v>2179</v>
      </c>
      <c r="C48" s="44"/>
      <c r="D48" s="35" t="s">
        <v>2190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44"/>
      <c r="Q48" s="35"/>
      <c r="R48" s="35"/>
      <c r="S48" s="35"/>
      <c r="T48" s="35"/>
      <c r="U48" s="35"/>
      <c r="V48" s="35"/>
      <c r="W48" s="35"/>
      <c r="X48" s="35"/>
      <c r="Y48" s="46" t="s">
        <v>2189</v>
      </c>
      <c r="Z48">
        <v>3</v>
      </c>
      <c r="AA48" t="s">
        <v>122</v>
      </c>
      <c r="AB48" t="s">
        <v>123</v>
      </c>
      <c r="AC48" t="s">
        <v>19</v>
      </c>
      <c r="AD48" t="s">
        <v>124</v>
      </c>
      <c r="AE48" t="s">
        <v>124</v>
      </c>
      <c r="AF48" t="s">
        <v>125</v>
      </c>
      <c r="AG48" t="s">
        <v>126</v>
      </c>
      <c r="AH48" t="s">
        <v>127</v>
      </c>
      <c r="AI48" t="s">
        <v>19</v>
      </c>
      <c r="AJ48" t="s">
        <v>19</v>
      </c>
      <c r="AK48" t="s">
        <v>79</v>
      </c>
      <c r="AL48" t="s">
        <v>128</v>
      </c>
      <c r="AM48" t="s">
        <v>129</v>
      </c>
      <c r="AN48" t="s">
        <v>28</v>
      </c>
      <c r="AO48" t="s">
        <v>2</v>
      </c>
    </row>
    <row r="49" spans="1:41">
      <c r="A49" s="154"/>
      <c r="B49" s="35" t="s">
        <v>2179</v>
      </c>
      <c r="C49" s="44"/>
      <c r="D49" s="35" t="s">
        <v>2180</v>
      </c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44"/>
      <c r="Q49" s="35"/>
      <c r="R49" s="35"/>
      <c r="S49" s="35"/>
      <c r="T49" s="35"/>
      <c r="U49" s="35"/>
      <c r="V49" s="35"/>
      <c r="W49" s="35"/>
      <c r="X49" s="35"/>
      <c r="Y49" s="46" t="s">
        <v>2182</v>
      </c>
      <c r="Z49">
        <v>3</v>
      </c>
      <c r="AA49" t="s">
        <v>130</v>
      </c>
      <c r="AB49" t="s">
        <v>131</v>
      </c>
      <c r="AC49" t="s">
        <v>19</v>
      </c>
      <c r="AD49" t="s">
        <v>132</v>
      </c>
      <c r="AE49" t="s">
        <v>132</v>
      </c>
      <c r="AF49" t="s">
        <v>133</v>
      </c>
      <c r="AG49" t="s">
        <v>134</v>
      </c>
      <c r="AH49" t="s">
        <v>135</v>
      </c>
      <c r="AI49" t="s">
        <v>19</v>
      </c>
      <c r="AJ49" t="s">
        <v>19</v>
      </c>
      <c r="AK49" t="s">
        <v>79</v>
      </c>
      <c r="AL49" t="s">
        <v>136</v>
      </c>
      <c r="AM49" t="s">
        <v>137</v>
      </c>
      <c r="AN49" t="s">
        <v>28</v>
      </c>
      <c r="AO49" t="s">
        <v>2</v>
      </c>
    </row>
    <row r="50" spans="1:41">
      <c r="A50" s="154"/>
      <c r="B50" s="35" t="s">
        <v>2179</v>
      </c>
      <c r="C50" s="44"/>
      <c r="D50" s="35" t="s">
        <v>2190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44"/>
      <c r="Q50" s="35"/>
      <c r="R50" s="35"/>
      <c r="S50" s="35"/>
      <c r="T50" s="35"/>
      <c r="U50" s="35"/>
      <c r="V50" s="35"/>
      <c r="W50" s="35"/>
      <c r="X50" s="35"/>
      <c r="Y50" s="46" t="s">
        <v>2189</v>
      </c>
      <c r="Z50">
        <v>3</v>
      </c>
      <c r="AA50" t="s">
        <v>138</v>
      </c>
      <c r="AB50" t="s">
        <v>139</v>
      </c>
      <c r="AC50" t="s">
        <v>19</v>
      </c>
      <c r="AD50" t="s">
        <v>140</v>
      </c>
      <c r="AE50" t="s">
        <v>140</v>
      </c>
      <c r="AF50" t="s">
        <v>141</v>
      </c>
      <c r="AG50" t="s">
        <v>142</v>
      </c>
      <c r="AH50" t="s">
        <v>143</v>
      </c>
      <c r="AI50" t="s">
        <v>59</v>
      </c>
      <c r="AJ50" t="s">
        <v>19</v>
      </c>
      <c r="AK50" t="s">
        <v>144</v>
      </c>
      <c r="AL50" t="s">
        <v>145</v>
      </c>
      <c r="AM50" t="s">
        <v>146</v>
      </c>
      <c r="AN50" t="s">
        <v>28</v>
      </c>
      <c r="AO50" t="s">
        <v>2</v>
      </c>
    </row>
    <row r="51" spans="1:41" s="34" customFormat="1">
      <c r="B51" s="39" t="s">
        <v>2179</v>
      </c>
      <c r="C51" s="39"/>
      <c r="D51" s="39" t="s">
        <v>2180</v>
      </c>
      <c r="E51" s="39"/>
      <c r="F51" s="39"/>
      <c r="G51" s="39"/>
      <c r="H51" s="39"/>
      <c r="I51" s="39"/>
      <c r="J51" s="39"/>
      <c r="K51" s="39"/>
      <c r="L51" s="39"/>
      <c r="M51" s="200">
        <v>920004990</v>
      </c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51" t="s">
        <v>2182</v>
      </c>
      <c r="Z51" s="34">
        <v>3</v>
      </c>
      <c r="AA51" t="s">
        <v>147</v>
      </c>
      <c r="AB51" s="34" t="s">
        <v>148</v>
      </c>
      <c r="AC51" s="34" t="s">
        <v>19</v>
      </c>
      <c r="AD51" s="34" t="s">
        <v>149</v>
      </c>
      <c r="AE51" s="34" t="s">
        <v>149</v>
      </c>
      <c r="AF51" s="34" t="s">
        <v>150</v>
      </c>
      <c r="AG51" s="34" t="s">
        <v>151</v>
      </c>
      <c r="AH51" s="34" t="s">
        <v>152</v>
      </c>
      <c r="AI51" s="34" t="s">
        <v>153</v>
      </c>
      <c r="AJ51" s="34" t="s">
        <v>19</v>
      </c>
      <c r="AK51" s="34" t="s">
        <v>79</v>
      </c>
      <c r="AL51" s="34" t="s">
        <v>154</v>
      </c>
      <c r="AM51" s="34" t="s">
        <v>155</v>
      </c>
      <c r="AN51" s="34" t="s">
        <v>28</v>
      </c>
      <c r="AO51" s="34" t="s">
        <v>2</v>
      </c>
    </row>
    <row r="52" spans="1:41">
      <c r="A52" s="196"/>
      <c r="B52" s="197" t="s">
        <v>2179</v>
      </c>
      <c r="C52" s="197"/>
      <c r="D52" s="197" t="s">
        <v>2180</v>
      </c>
      <c r="E52" s="197"/>
      <c r="F52" s="197"/>
      <c r="G52" s="197"/>
      <c r="H52" s="197"/>
      <c r="I52" s="197"/>
      <c r="J52" s="197"/>
      <c r="K52" s="197"/>
      <c r="L52" s="197"/>
      <c r="M52" s="198">
        <v>920005213</v>
      </c>
      <c r="N52" s="197"/>
      <c r="O52" s="197"/>
      <c r="P52" s="197"/>
      <c r="Q52" s="197"/>
      <c r="R52" s="197"/>
      <c r="S52" s="197"/>
      <c r="T52" s="197"/>
      <c r="U52" s="197"/>
      <c r="V52" s="197"/>
      <c r="W52" s="197"/>
      <c r="X52" s="197"/>
      <c r="Y52" s="199" t="s">
        <v>2182</v>
      </c>
      <c r="Z52" s="196">
        <v>3</v>
      </c>
      <c r="AA52" s="196" t="s">
        <v>2380</v>
      </c>
      <c r="AB52" s="196" t="s">
        <v>148</v>
      </c>
      <c r="AC52" s="196" t="s">
        <v>19</v>
      </c>
      <c r="AD52" s="196" t="s">
        <v>149</v>
      </c>
      <c r="AE52" s="196" t="s">
        <v>149</v>
      </c>
      <c r="AF52" s="196" t="s">
        <v>150</v>
      </c>
      <c r="AG52" s="196" t="s">
        <v>151</v>
      </c>
      <c r="AH52" s="196"/>
      <c r="AI52" s="196" t="s">
        <v>153</v>
      </c>
      <c r="AJ52" s="196" t="s">
        <v>19</v>
      </c>
      <c r="AK52" s="196" t="s">
        <v>79</v>
      </c>
      <c r="AL52" s="196" t="s">
        <v>154</v>
      </c>
      <c r="AM52" s="196" t="s">
        <v>155</v>
      </c>
      <c r="AN52" s="196" t="s">
        <v>28</v>
      </c>
      <c r="AO52" s="196">
        <v>0</v>
      </c>
    </row>
    <row r="53" spans="1:41">
      <c r="A53" s="154"/>
      <c r="B53" s="35" t="s">
        <v>2179</v>
      </c>
      <c r="C53" s="44"/>
      <c r="D53" s="35" t="s">
        <v>2180</v>
      </c>
      <c r="E53" s="35"/>
      <c r="F53" s="35"/>
      <c r="G53" s="35"/>
      <c r="H53" s="35"/>
      <c r="I53" s="35"/>
      <c r="J53" s="35"/>
      <c r="K53" s="35"/>
      <c r="L53" s="193" t="s">
        <v>2377</v>
      </c>
      <c r="M53" s="35"/>
      <c r="N53" s="35"/>
      <c r="O53" s="35"/>
      <c r="P53" s="44"/>
      <c r="Q53" s="35"/>
      <c r="R53" s="35"/>
      <c r="S53" s="35"/>
      <c r="T53" s="35"/>
      <c r="U53" s="35"/>
      <c r="V53" s="35"/>
      <c r="W53" s="35"/>
      <c r="X53" s="35"/>
      <c r="Y53" s="46" t="s">
        <v>2182</v>
      </c>
      <c r="Z53">
        <v>3</v>
      </c>
      <c r="AA53" t="s">
        <v>156</v>
      </c>
      <c r="AB53" t="s">
        <v>157</v>
      </c>
      <c r="AC53" t="s">
        <v>19</v>
      </c>
      <c r="AD53" t="s">
        <v>19</v>
      </c>
      <c r="AE53" t="s">
        <v>19</v>
      </c>
      <c r="AF53" t="s">
        <v>157</v>
      </c>
      <c r="AG53" t="s">
        <v>151</v>
      </c>
      <c r="AH53" t="s">
        <v>158</v>
      </c>
      <c r="AI53" t="s">
        <v>19</v>
      </c>
      <c r="AJ53" t="s">
        <v>150</v>
      </c>
      <c r="AK53" t="s">
        <v>19</v>
      </c>
      <c r="AL53" t="s">
        <v>19</v>
      </c>
      <c r="AM53" t="s">
        <v>19</v>
      </c>
      <c r="AN53" t="s">
        <v>28</v>
      </c>
      <c r="AO53" t="s">
        <v>2</v>
      </c>
    </row>
    <row r="54" spans="1:41">
      <c r="A54" s="154"/>
      <c r="B54" s="35" t="s">
        <v>2179</v>
      </c>
      <c r="C54" s="44"/>
      <c r="D54" s="35" t="s">
        <v>2195</v>
      </c>
      <c r="E54" s="35" t="s">
        <v>2224</v>
      </c>
      <c r="F54" s="35" t="s">
        <v>2225</v>
      </c>
      <c r="G54" s="35"/>
      <c r="H54" s="35"/>
      <c r="I54" s="35"/>
      <c r="J54" s="35"/>
      <c r="K54" s="35"/>
      <c r="L54" s="35"/>
      <c r="M54" s="35"/>
      <c r="N54" s="35"/>
      <c r="O54" s="35"/>
      <c r="P54" s="44"/>
      <c r="Q54" s="35"/>
      <c r="R54" s="35"/>
      <c r="S54" s="35"/>
      <c r="T54" s="35"/>
      <c r="U54" s="35"/>
      <c r="V54" s="35"/>
      <c r="W54" s="35"/>
      <c r="X54" s="35"/>
      <c r="Y54" s="46" t="s">
        <v>2189</v>
      </c>
      <c r="Z54">
        <v>3</v>
      </c>
      <c r="AA54" t="s">
        <v>159</v>
      </c>
      <c r="AB54" t="s">
        <v>160</v>
      </c>
      <c r="AC54" t="s">
        <v>19</v>
      </c>
      <c r="AD54" t="s">
        <v>161</v>
      </c>
      <c r="AE54" t="s">
        <v>162</v>
      </c>
      <c r="AF54" t="s">
        <v>163</v>
      </c>
      <c r="AG54" t="s">
        <v>164</v>
      </c>
      <c r="AH54" t="s">
        <v>165</v>
      </c>
      <c r="AI54" t="s">
        <v>111</v>
      </c>
      <c r="AJ54" t="s">
        <v>19</v>
      </c>
      <c r="AK54" t="s">
        <v>166</v>
      </c>
      <c r="AL54" t="s">
        <v>167</v>
      </c>
      <c r="AM54" t="s">
        <v>168</v>
      </c>
      <c r="AN54" t="s">
        <v>28</v>
      </c>
      <c r="AO54" t="s">
        <v>2</v>
      </c>
    </row>
    <row r="55" spans="1:41" s="201" customFormat="1">
      <c r="A55" s="201" t="s">
        <v>2383</v>
      </c>
      <c r="B55" s="202" t="s">
        <v>2179</v>
      </c>
      <c r="C55" s="202"/>
      <c r="D55" s="202" t="s">
        <v>2180</v>
      </c>
      <c r="E55" s="202"/>
      <c r="F55" s="202"/>
      <c r="G55" s="202"/>
      <c r="H55" s="202"/>
      <c r="I55" s="202"/>
      <c r="J55" s="202" t="s">
        <v>2382</v>
      </c>
      <c r="K55" s="202"/>
      <c r="L55" s="202"/>
      <c r="M55" s="202">
        <v>920007290</v>
      </c>
      <c r="N55" s="202"/>
      <c r="O55" s="202"/>
      <c r="P55" s="202"/>
      <c r="Q55" s="202"/>
      <c r="R55" s="202"/>
      <c r="S55" s="202"/>
      <c r="T55" s="202"/>
      <c r="U55" s="202"/>
      <c r="V55" s="202"/>
      <c r="W55" s="202"/>
      <c r="X55" s="202"/>
      <c r="Y55" s="203" t="s">
        <v>2182</v>
      </c>
      <c r="Z55" s="201">
        <v>3</v>
      </c>
      <c r="AA55" s="201" t="s">
        <v>169</v>
      </c>
      <c r="AB55" s="201" t="s">
        <v>170</v>
      </c>
      <c r="AC55" s="201" t="s">
        <v>19</v>
      </c>
      <c r="AD55" s="201" t="s">
        <v>171</v>
      </c>
      <c r="AE55" s="201" t="s">
        <v>171</v>
      </c>
      <c r="AF55" s="201" t="s">
        <v>172</v>
      </c>
      <c r="AG55" s="201" t="s">
        <v>173</v>
      </c>
      <c r="AH55" s="201" t="s">
        <v>174</v>
      </c>
      <c r="AI55" s="201" t="s">
        <v>175</v>
      </c>
      <c r="AJ55" s="201" t="s">
        <v>19</v>
      </c>
      <c r="AK55" s="201" t="s">
        <v>79</v>
      </c>
      <c r="AL55" s="201" t="s">
        <v>176</v>
      </c>
      <c r="AM55" s="201" t="s">
        <v>174</v>
      </c>
      <c r="AN55" s="201" t="s">
        <v>28</v>
      </c>
      <c r="AO55" s="201" t="s">
        <v>2</v>
      </c>
    </row>
    <row r="56" spans="1:41" s="34" customFormat="1">
      <c r="A56" s="34" t="s">
        <v>2383</v>
      </c>
      <c r="B56" s="39" t="s">
        <v>2179</v>
      </c>
      <c r="C56" s="39"/>
      <c r="D56" s="39" t="s">
        <v>2180</v>
      </c>
      <c r="E56" s="39"/>
      <c r="F56" s="39"/>
      <c r="G56" s="39"/>
      <c r="H56" s="39"/>
      <c r="I56" s="39"/>
      <c r="J56" s="178" t="s">
        <v>2384</v>
      </c>
      <c r="K56" s="39"/>
      <c r="L56" s="39"/>
      <c r="M56" s="39">
        <v>920007290</v>
      </c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51" t="s">
        <v>2182</v>
      </c>
      <c r="Z56" s="34">
        <v>3</v>
      </c>
      <c r="AA56" s="34" t="s">
        <v>169</v>
      </c>
      <c r="AB56" s="34" t="s">
        <v>170</v>
      </c>
      <c r="AC56" s="34" t="s">
        <v>19</v>
      </c>
      <c r="AD56" s="34" t="s">
        <v>171</v>
      </c>
      <c r="AE56" s="34" t="s">
        <v>171</v>
      </c>
      <c r="AF56" s="34" t="s">
        <v>172</v>
      </c>
      <c r="AG56" s="34" t="s">
        <v>173</v>
      </c>
      <c r="AH56" s="34" t="s">
        <v>174</v>
      </c>
      <c r="AI56" s="34" t="s">
        <v>175</v>
      </c>
      <c r="AJ56" s="34" t="s">
        <v>19</v>
      </c>
      <c r="AK56" s="34" t="s">
        <v>79</v>
      </c>
      <c r="AL56" s="34" t="s">
        <v>176</v>
      </c>
      <c r="AM56" s="34" t="s">
        <v>174</v>
      </c>
      <c r="AN56" s="34" t="s">
        <v>28</v>
      </c>
      <c r="AO56" s="34" t="s">
        <v>2</v>
      </c>
    </row>
    <row r="57" spans="1:41">
      <c r="A57" s="197"/>
      <c r="B57" s="197" t="s">
        <v>2179</v>
      </c>
      <c r="C57" s="197"/>
      <c r="D57" s="197" t="s">
        <v>2180</v>
      </c>
      <c r="E57" s="197"/>
      <c r="F57" s="197"/>
      <c r="G57" s="197"/>
      <c r="H57" s="197"/>
      <c r="I57" s="197"/>
      <c r="J57" s="197"/>
      <c r="K57" s="197"/>
      <c r="L57" s="197"/>
      <c r="M57" s="196">
        <v>920003759</v>
      </c>
      <c r="N57" s="197"/>
      <c r="O57" s="197"/>
      <c r="P57" s="197"/>
      <c r="Q57" s="197" t="s">
        <v>2360</v>
      </c>
      <c r="R57" s="197"/>
      <c r="S57" s="197"/>
      <c r="T57" s="196"/>
      <c r="U57" s="197"/>
      <c r="V57" s="197"/>
      <c r="W57" s="197"/>
      <c r="X57" s="197"/>
      <c r="Y57" s="197" t="s">
        <v>2182</v>
      </c>
      <c r="Z57" s="197">
        <v>3</v>
      </c>
      <c r="AA57" s="197" t="s">
        <v>2381</v>
      </c>
      <c r="AB57" s="197" t="s">
        <v>170</v>
      </c>
      <c r="AC57" s="197" t="s">
        <v>19</v>
      </c>
      <c r="AD57" s="197" t="s">
        <v>171</v>
      </c>
      <c r="AE57" s="197" t="s">
        <v>171</v>
      </c>
      <c r="AF57" s="197" t="s">
        <v>172</v>
      </c>
      <c r="AG57" s="197" t="s">
        <v>173</v>
      </c>
      <c r="AH57" s="197"/>
      <c r="AI57" s="197" t="s">
        <v>175</v>
      </c>
      <c r="AJ57" s="197" t="s">
        <v>19</v>
      </c>
      <c r="AK57" s="197" t="s">
        <v>79</v>
      </c>
      <c r="AL57" s="197" t="s">
        <v>176</v>
      </c>
      <c r="AM57" s="197" t="s">
        <v>174</v>
      </c>
      <c r="AN57" s="197" t="s">
        <v>28</v>
      </c>
      <c r="AO57" s="197">
        <v>0</v>
      </c>
    </row>
    <row r="58" spans="1:41" s="201" customFormat="1">
      <c r="A58" s="201" t="s">
        <v>2383</v>
      </c>
      <c r="B58" s="202" t="s">
        <v>2179</v>
      </c>
      <c r="C58" s="202"/>
      <c r="D58" s="202" t="s">
        <v>2180</v>
      </c>
      <c r="E58" s="202"/>
      <c r="F58" s="202"/>
      <c r="G58" s="202"/>
      <c r="H58" s="202"/>
      <c r="I58" s="202"/>
      <c r="J58" s="202" t="s">
        <v>2385</v>
      </c>
      <c r="K58" s="202"/>
      <c r="L58" s="202"/>
      <c r="M58" s="202"/>
      <c r="N58" s="202"/>
      <c r="O58" s="202"/>
      <c r="P58" s="202"/>
      <c r="Q58" s="202"/>
      <c r="R58" s="202"/>
      <c r="S58" s="202"/>
      <c r="T58" s="202"/>
      <c r="U58" s="202"/>
      <c r="V58" s="202"/>
      <c r="W58" s="202"/>
      <c r="X58" s="202"/>
      <c r="Y58" s="203" t="s">
        <v>2182</v>
      </c>
      <c r="Z58" s="201">
        <v>3</v>
      </c>
      <c r="AA58" s="201" t="s">
        <v>177</v>
      </c>
      <c r="AB58" s="201" t="s">
        <v>178</v>
      </c>
      <c r="AC58" s="201" t="s">
        <v>19</v>
      </c>
      <c r="AD58" s="201" t="s">
        <v>19</v>
      </c>
      <c r="AE58" s="201" t="s">
        <v>19</v>
      </c>
      <c r="AF58" s="201" t="s">
        <v>178</v>
      </c>
      <c r="AG58" s="201" t="s">
        <v>173</v>
      </c>
      <c r="AH58" s="201" t="s">
        <v>179</v>
      </c>
      <c r="AI58" s="201" t="s">
        <v>19</v>
      </c>
      <c r="AJ58" s="201" t="s">
        <v>172</v>
      </c>
      <c r="AK58" s="201" t="s">
        <v>19</v>
      </c>
      <c r="AL58" s="201" t="s">
        <v>19</v>
      </c>
      <c r="AM58" s="201" t="s">
        <v>19</v>
      </c>
      <c r="AN58" s="201" t="s">
        <v>28</v>
      </c>
      <c r="AO58" s="201" t="s">
        <v>2</v>
      </c>
    </row>
    <row r="59" spans="1:41" s="34" customFormat="1">
      <c r="A59" s="34" t="s">
        <v>2383</v>
      </c>
      <c r="B59" s="39" t="s">
        <v>2179</v>
      </c>
      <c r="C59" s="39"/>
      <c r="D59" s="39" t="s">
        <v>2180</v>
      </c>
      <c r="E59" s="39"/>
      <c r="F59" s="39"/>
      <c r="G59" s="39"/>
      <c r="H59" s="39"/>
      <c r="I59" s="39"/>
      <c r="J59" s="178" t="s">
        <v>2386</v>
      </c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51" t="s">
        <v>2182</v>
      </c>
      <c r="Z59" s="34">
        <v>3</v>
      </c>
      <c r="AA59" s="34" t="s">
        <v>177</v>
      </c>
      <c r="AB59" s="34" t="s">
        <v>178</v>
      </c>
      <c r="AC59" s="34" t="s">
        <v>19</v>
      </c>
      <c r="AD59" s="34" t="s">
        <v>19</v>
      </c>
      <c r="AE59" s="34" t="s">
        <v>19</v>
      </c>
      <c r="AF59" s="34" t="s">
        <v>178</v>
      </c>
      <c r="AG59" s="34" t="s">
        <v>173</v>
      </c>
      <c r="AH59" s="34" t="s">
        <v>179</v>
      </c>
      <c r="AI59" s="34" t="s">
        <v>19</v>
      </c>
      <c r="AJ59" s="34" t="s">
        <v>172</v>
      </c>
      <c r="AK59" s="34" t="s">
        <v>19</v>
      </c>
      <c r="AL59" s="34" t="s">
        <v>19</v>
      </c>
      <c r="AM59" s="34" t="s">
        <v>19</v>
      </c>
      <c r="AN59" s="34" t="s">
        <v>28</v>
      </c>
      <c r="AO59" s="34" t="s">
        <v>2</v>
      </c>
    </row>
    <row r="60" spans="1:41">
      <c r="A60" s="154"/>
      <c r="B60" s="35" t="s">
        <v>2179</v>
      </c>
      <c r="C60" s="44"/>
      <c r="D60" s="35" t="s">
        <v>2180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44"/>
      <c r="Q60" s="35"/>
      <c r="R60" s="35"/>
      <c r="S60" s="35"/>
      <c r="T60" s="35"/>
      <c r="U60" s="35"/>
      <c r="V60" s="35"/>
      <c r="W60" s="35"/>
      <c r="X60" s="35"/>
      <c r="Y60" s="46" t="s">
        <v>2182</v>
      </c>
      <c r="Z60">
        <v>3</v>
      </c>
      <c r="AA60" t="s">
        <v>180</v>
      </c>
      <c r="AB60" t="s">
        <v>181</v>
      </c>
      <c r="AC60" t="s">
        <v>19</v>
      </c>
      <c r="AD60" t="s">
        <v>19</v>
      </c>
      <c r="AE60" t="s">
        <v>19</v>
      </c>
      <c r="AF60" t="s">
        <v>181</v>
      </c>
      <c r="AG60" t="s">
        <v>182</v>
      </c>
      <c r="AH60" t="s">
        <v>183</v>
      </c>
      <c r="AI60" t="s">
        <v>19</v>
      </c>
      <c r="AJ60" t="s">
        <v>172</v>
      </c>
      <c r="AK60" t="s">
        <v>19</v>
      </c>
      <c r="AL60" t="s">
        <v>19</v>
      </c>
      <c r="AM60" t="s">
        <v>19</v>
      </c>
      <c r="AN60" t="s">
        <v>28</v>
      </c>
      <c r="AO60" t="s">
        <v>2</v>
      </c>
    </row>
    <row r="61" spans="1:41">
      <c r="A61" s="154"/>
      <c r="B61" s="35" t="s">
        <v>2179</v>
      </c>
      <c r="C61" s="44"/>
      <c r="D61" s="35" t="s">
        <v>2227</v>
      </c>
      <c r="E61" s="35"/>
      <c r="F61" s="35"/>
      <c r="G61" s="35"/>
      <c r="H61" s="35"/>
      <c r="I61" s="35"/>
      <c r="J61" s="35" t="s">
        <v>2228</v>
      </c>
      <c r="K61" s="35"/>
      <c r="L61" s="35"/>
      <c r="M61" s="35"/>
      <c r="N61" s="35"/>
      <c r="O61" s="35"/>
      <c r="P61" s="44"/>
      <c r="Q61" s="35"/>
      <c r="R61" s="35"/>
      <c r="S61" s="35"/>
      <c r="T61" s="35"/>
      <c r="U61" s="35"/>
      <c r="V61" s="35"/>
      <c r="W61" s="35"/>
      <c r="X61" s="35"/>
      <c r="Y61" s="46" t="s">
        <v>2182</v>
      </c>
      <c r="Z61">
        <v>3</v>
      </c>
      <c r="AA61" t="s">
        <v>184</v>
      </c>
      <c r="AB61" t="s">
        <v>185</v>
      </c>
      <c r="AC61" t="s">
        <v>19</v>
      </c>
      <c r="AD61" t="s">
        <v>19</v>
      </c>
      <c r="AE61" t="s">
        <v>186</v>
      </c>
      <c r="AF61" t="s">
        <v>185</v>
      </c>
      <c r="AG61" t="s">
        <v>173</v>
      </c>
      <c r="AH61" t="s">
        <v>187</v>
      </c>
      <c r="AI61" t="s">
        <v>19</v>
      </c>
      <c r="AJ61" t="s">
        <v>172</v>
      </c>
      <c r="AK61" t="s">
        <v>188</v>
      </c>
      <c r="AL61" t="s">
        <v>19</v>
      </c>
      <c r="AM61" t="s">
        <v>19</v>
      </c>
      <c r="AN61" t="s">
        <v>28</v>
      </c>
      <c r="AO61" t="s">
        <v>2</v>
      </c>
    </row>
    <row r="62" spans="1:41">
      <c r="A62" s="154"/>
      <c r="B62" s="35" t="s">
        <v>2179</v>
      </c>
      <c r="C62" s="44"/>
      <c r="D62" s="35" t="s">
        <v>2227</v>
      </c>
      <c r="E62" s="35"/>
      <c r="F62" s="35"/>
      <c r="G62" s="35"/>
      <c r="H62" s="35"/>
      <c r="I62" s="35"/>
      <c r="J62" s="35" t="s">
        <v>2229</v>
      </c>
      <c r="K62" s="35"/>
      <c r="L62" s="35"/>
      <c r="M62" s="35"/>
      <c r="N62" s="35"/>
      <c r="O62" s="35"/>
      <c r="P62" s="44"/>
      <c r="Q62" s="35"/>
      <c r="R62" s="35"/>
      <c r="S62" s="35"/>
      <c r="T62" s="35"/>
      <c r="U62" s="35"/>
      <c r="V62" s="35"/>
      <c r="W62" s="35"/>
      <c r="X62" s="35"/>
      <c r="Y62" s="46" t="s">
        <v>2182</v>
      </c>
      <c r="Z62">
        <v>3</v>
      </c>
      <c r="AA62" t="s">
        <v>189</v>
      </c>
      <c r="AB62" t="s">
        <v>190</v>
      </c>
      <c r="AC62" t="s">
        <v>19</v>
      </c>
      <c r="AD62" t="s">
        <v>19</v>
      </c>
      <c r="AE62" t="s">
        <v>191</v>
      </c>
      <c r="AF62" t="s">
        <v>190</v>
      </c>
      <c r="AG62" t="s">
        <v>173</v>
      </c>
      <c r="AH62" t="s">
        <v>192</v>
      </c>
      <c r="AI62" t="s">
        <v>19</v>
      </c>
      <c r="AJ62" t="s">
        <v>172</v>
      </c>
      <c r="AK62" t="s">
        <v>193</v>
      </c>
      <c r="AL62" t="s">
        <v>19</v>
      </c>
      <c r="AM62" t="s">
        <v>19</v>
      </c>
      <c r="AN62" t="s">
        <v>28</v>
      </c>
      <c r="AO62" t="s">
        <v>2</v>
      </c>
    </row>
    <row r="63" spans="1:41">
      <c r="A63" s="154"/>
      <c r="B63" s="35" t="s">
        <v>2179</v>
      </c>
      <c r="C63" s="44"/>
      <c r="D63" s="35" t="s">
        <v>2227</v>
      </c>
      <c r="E63" s="35"/>
      <c r="F63" s="35"/>
      <c r="G63" s="35"/>
      <c r="H63" s="35"/>
      <c r="I63" s="35"/>
      <c r="J63" s="35" t="s">
        <v>2230</v>
      </c>
      <c r="K63" s="35"/>
      <c r="L63" s="35"/>
      <c r="M63" s="35"/>
      <c r="N63" s="35"/>
      <c r="O63" s="35"/>
      <c r="P63" s="44"/>
      <c r="Q63" s="35"/>
      <c r="R63" s="35"/>
      <c r="S63" s="35"/>
      <c r="T63" s="35"/>
      <c r="U63" s="35"/>
      <c r="V63" s="35"/>
      <c r="W63" s="35"/>
      <c r="X63" s="35"/>
      <c r="Y63" s="46" t="s">
        <v>2182</v>
      </c>
      <c r="Z63">
        <v>3</v>
      </c>
      <c r="AA63" t="s">
        <v>194</v>
      </c>
      <c r="AB63" t="s">
        <v>195</v>
      </c>
      <c r="AC63" t="s">
        <v>19</v>
      </c>
      <c r="AD63" t="s">
        <v>19</v>
      </c>
      <c r="AE63" t="s">
        <v>149</v>
      </c>
      <c r="AF63" t="s">
        <v>195</v>
      </c>
      <c r="AG63" t="s">
        <v>173</v>
      </c>
      <c r="AH63" t="s">
        <v>196</v>
      </c>
      <c r="AI63" t="s">
        <v>19</v>
      </c>
      <c r="AJ63" t="s">
        <v>172</v>
      </c>
      <c r="AK63" t="s">
        <v>67</v>
      </c>
      <c r="AL63" t="s">
        <v>19</v>
      </c>
      <c r="AM63" t="s">
        <v>19</v>
      </c>
      <c r="AN63" t="s">
        <v>28</v>
      </c>
      <c r="AO63" t="s">
        <v>2</v>
      </c>
    </row>
    <row r="64" spans="1:41" s="201" customFormat="1">
      <c r="A64" s="201" t="s">
        <v>2383</v>
      </c>
      <c r="B64" s="202" t="s">
        <v>2179</v>
      </c>
      <c r="C64" s="202"/>
      <c r="D64" s="202" t="s">
        <v>2180</v>
      </c>
      <c r="E64" s="202"/>
      <c r="F64" s="202"/>
      <c r="G64" s="202"/>
      <c r="H64" s="202"/>
      <c r="I64" s="202"/>
      <c r="J64" s="202" t="s">
        <v>2387</v>
      </c>
      <c r="K64" s="202"/>
      <c r="L64" s="202"/>
      <c r="M64" s="202">
        <v>920007428</v>
      </c>
      <c r="N64" s="202"/>
      <c r="O64" s="202"/>
      <c r="P64" s="202"/>
      <c r="Q64" s="202"/>
      <c r="R64" s="202"/>
      <c r="S64" s="202"/>
      <c r="T64" s="202"/>
      <c r="U64" s="202"/>
      <c r="V64" s="202"/>
      <c r="W64" s="202"/>
      <c r="X64" s="202"/>
      <c r="Y64" s="203" t="s">
        <v>2182</v>
      </c>
      <c r="Z64" s="201">
        <v>3</v>
      </c>
      <c r="AA64" s="201" t="s">
        <v>197</v>
      </c>
      <c r="AB64" s="201" t="s">
        <v>198</v>
      </c>
      <c r="AC64" s="201" t="s">
        <v>19</v>
      </c>
      <c r="AD64" s="201" t="s">
        <v>199</v>
      </c>
      <c r="AE64" s="201" t="s">
        <v>199</v>
      </c>
      <c r="AF64" s="201" t="s">
        <v>200</v>
      </c>
      <c r="AG64" s="201" t="s">
        <v>201</v>
      </c>
      <c r="AH64" s="201" t="s">
        <v>202</v>
      </c>
      <c r="AI64" s="201" t="s">
        <v>175</v>
      </c>
      <c r="AJ64" s="201" t="s">
        <v>19</v>
      </c>
      <c r="AK64" s="201" t="s">
        <v>60</v>
      </c>
      <c r="AL64" s="201" t="s">
        <v>203</v>
      </c>
      <c r="AM64" s="201" t="s">
        <v>202</v>
      </c>
      <c r="AN64" s="201" t="s">
        <v>28</v>
      </c>
      <c r="AO64" s="201" t="s">
        <v>2</v>
      </c>
    </row>
    <row r="65" spans="1:41" s="34" customFormat="1">
      <c r="A65" s="34" t="s">
        <v>2383</v>
      </c>
      <c r="B65" s="39" t="s">
        <v>2179</v>
      </c>
      <c r="C65" s="39"/>
      <c r="D65" s="39" t="s">
        <v>2180</v>
      </c>
      <c r="E65" s="39"/>
      <c r="F65" s="39"/>
      <c r="G65" s="39"/>
      <c r="H65" s="39"/>
      <c r="I65" s="39"/>
      <c r="J65" s="178" t="s">
        <v>2388</v>
      </c>
      <c r="K65" s="39"/>
      <c r="L65" s="39"/>
      <c r="M65" s="39">
        <v>920007428</v>
      </c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51" t="s">
        <v>2182</v>
      </c>
      <c r="Z65" s="34">
        <v>3</v>
      </c>
      <c r="AA65" s="34" t="s">
        <v>197</v>
      </c>
      <c r="AB65" s="34" t="s">
        <v>198</v>
      </c>
      <c r="AC65" s="34" t="s">
        <v>19</v>
      </c>
      <c r="AD65" s="34" t="s">
        <v>199</v>
      </c>
      <c r="AE65" s="34" t="s">
        <v>199</v>
      </c>
      <c r="AF65" s="34" t="s">
        <v>200</v>
      </c>
      <c r="AG65" s="34" t="s">
        <v>201</v>
      </c>
      <c r="AH65" s="34" t="s">
        <v>202</v>
      </c>
      <c r="AI65" s="34" t="s">
        <v>175</v>
      </c>
      <c r="AJ65" s="34" t="s">
        <v>19</v>
      </c>
      <c r="AK65" s="34" t="s">
        <v>60</v>
      </c>
      <c r="AL65" s="34" t="s">
        <v>203</v>
      </c>
      <c r="AM65" s="34" t="s">
        <v>202</v>
      </c>
      <c r="AN65" s="34" t="s">
        <v>28</v>
      </c>
      <c r="AO65" s="34" t="s">
        <v>2</v>
      </c>
    </row>
    <row r="66" spans="1:41">
      <c r="A66" s="197"/>
      <c r="B66" s="197" t="s">
        <v>2179</v>
      </c>
      <c r="C66" s="197"/>
      <c r="D66" s="197" t="s">
        <v>2180</v>
      </c>
      <c r="E66" s="197"/>
      <c r="F66" s="197"/>
      <c r="G66" s="197"/>
      <c r="H66" s="197"/>
      <c r="I66" s="197"/>
      <c r="J66" s="197"/>
      <c r="K66" s="197"/>
      <c r="L66" s="197"/>
      <c r="M66" s="196">
        <v>920003759</v>
      </c>
      <c r="N66" s="197"/>
      <c r="O66" s="197"/>
      <c r="P66" s="197"/>
      <c r="Q66" s="197" t="s">
        <v>2360</v>
      </c>
      <c r="R66" s="197"/>
      <c r="S66" s="197"/>
      <c r="T66" s="196"/>
      <c r="U66" s="197"/>
      <c r="V66" s="197"/>
      <c r="W66" s="197"/>
      <c r="X66" s="197"/>
      <c r="Y66" s="197" t="s">
        <v>2182</v>
      </c>
      <c r="Z66" s="197">
        <v>3</v>
      </c>
      <c r="AA66" s="197" t="s">
        <v>2381</v>
      </c>
      <c r="AB66" s="197" t="s">
        <v>198</v>
      </c>
      <c r="AC66" s="197" t="s">
        <v>19</v>
      </c>
      <c r="AD66" s="197" t="s">
        <v>199</v>
      </c>
      <c r="AE66" s="197" t="s">
        <v>199</v>
      </c>
      <c r="AF66" s="197" t="s">
        <v>200</v>
      </c>
      <c r="AG66" s="197" t="s">
        <v>201</v>
      </c>
      <c r="AH66" s="197"/>
      <c r="AI66" s="197" t="s">
        <v>175</v>
      </c>
      <c r="AJ66" s="197" t="s">
        <v>19</v>
      </c>
      <c r="AK66" s="197" t="s">
        <v>60</v>
      </c>
      <c r="AL66" s="197" t="s">
        <v>203</v>
      </c>
      <c r="AM66" s="197" t="s">
        <v>202</v>
      </c>
      <c r="AN66" s="197" t="s">
        <v>28</v>
      </c>
      <c r="AO66" s="197">
        <v>0</v>
      </c>
    </row>
    <row r="67" spans="1:41" s="201" customFormat="1">
      <c r="A67" s="201" t="s">
        <v>2383</v>
      </c>
      <c r="B67" s="202" t="s">
        <v>2179</v>
      </c>
      <c r="C67" s="202"/>
      <c r="D67" s="202" t="s">
        <v>2180</v>
      </c>
      <c r="E67" s="202"/>
      <c r="F67" s="202"/>
      <c r="G67" s="202"/>
      <c r="H67" s="202"/>
      <c r="I67" s="202"/>
      <c r="J67" s="202" t="s">
        <v>2389</v>
      </c>
      <c r="K67" s="202"/>
      <c r="L67" s="202"/>
      <c r="M67" s="202"/>
      <c r="N67" s="202"/>
      <c r="O67" s="202"/>
      <c r="P67" s="202"/>
      <c r="Q67" s="202"/>
      <c r="R67" s="202"/>
      <c r="S67" s="202"/>
      <c r="T67" s="202"/>
      <c r="U67" s="202"/>
      <c r="V67" s="202"/>
      <c r="W67" s="202"/>
      <c r="X67" s="202"/>
      <c r="Y67" s="203" t="s">
        <v>2182</v>
      </c>
      <c r="Z67" s="201">
        <v>3</v>
      </c>
      <c r="AA67" s="201" t="s">
        <v>177</v>
      </c>
      <c r="AB67" s="201" t="s">
        <v>204</v>
      </c>
      <c r="AC67" s="201" t="s">
        <v>19</v>
      </c>
      <c r="AD67" s="201" t="s">
        <v>19</v>
      </c>
      <c r="AE67" s="201" t="s">
        <v>19</v>
      </c>
      <c r="AF67" s="201" t="s">
        <v>204</v>
      </c>
      <c r="AG67" s="201" t="s">
        <v>201</v>
      </c>
      <c r="AH67" s="201" t="s">
        <v>179</v>
      </c>
      <c r="AI67" s="201" t="s">
        <v>19</v>
      </c>
      <c r="AJ67" s="201" t="s">
        <v>200</v>
      </c>
      <c r="AK67" s="201" t="s">
        <v>19</v>
      </c>
      <c r="AL67" s="201" t="s">
        <v>19</v>
      </c>
      <c r="AM67" s="201" t="s">
        <v>19</v>
      </c>
      <c r="AN67" s="201" t="s">
        <v>28</v>
      </c>
      <c r="AO67" s="201" t="s">
        <v>2</v>
      </c>
    </row>
    <row r="68" spans="1:41" s="34" customFormat="1">
      <c r="A68" s="34" t="s">
        <v>2383</v>
      </c>
      <c r="B68" s="39" t="s">
        <v>2179</v>
      </c>
      <c r="C68" s="39"/>
      <c r="D68" s="39" t="s">
        <v>2180</v>
      </c>
      <c r="E68" s="39"/>
      <c r="F68" s="39"/>
      <c r="G68" s="39"/>
      <c r="H68" s="39"/>
      <c r="I68" s="39"/>
      <c r="J68" s="178" t="s">
        <v>2390</v>
      </c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51" t="s">
        <v>2182</v>
      </c>
      <c r="Z68" s="34">
        <v>3</v>
      </c>
      <c r="AA68" s="34" t="s">
        <v>177</v>
      </c>
      <c r="AB68" s="34" t="s">
        <v>204</v>
      </c>
      <c r="AC68" s="34" t="s">
        <v>19</v>
      </c>
      <c r="AD68" s="34" t="s">
        <v>19</v>
      </c>
      <c r="AE68" s="34" t="s">
        <v>19</v>
      </c>
      <c r="AF68" s="34" t="s">
        <v>204</v>
      </c>
      <c r="AG68" s="34" t="s">
        <v>201</v>
      </c>
      <c r="AH68" s="34" t="s">
        <v>179</v>
      </c>
      <c r="AI68" s="34" t="s">
        <v>19</v>
      </c>
      <c r="AJ68" s="34" t="s">
        <v>200</v>
      </c>
      <c r="AK68" s="34" t="s">
        <v>19</v>
      </c>
      <c r="AL68" s="34" t="s">
        <v>19</v>
      </c>
      <c r="AM68" s="34" t="s">
        <v>19</v>
      </c>
      <c r="AN68" s="34" t="s">
        <v>28</v>
      </c>
      <c r="AO68" s="34" t="s">
        <v>2</v>
      </c>
    </row>
    <row r="69" spans="1:41">
      <c r="A69" s="154"/>
      <c r="B69" s="35" t="s">
        <v>2179</v>
      </c>
      <c r="C69" s="44"/>
      <c r="D69" s="35" t="s">
        <v>2180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44"/>
      <c r="Q69" s="35"/>
      <c r="R69" s="35"/>
      <c r="S69" s="35"/>
      <c r="T69" s="35"/>
      <c r="U69" s="35"/>
      <c r="V69" s="35"/>
      <c r="W69" s="35"/>
      <c r="X69" s="35"/>
      <c r="Y69" s="46" t="s">
        <v>2182</v>
      </c>
      <c r="Z69">
        <v>3</v>
      </c>
      <c r="AA69" t="s">
        <v>205</v>
      </c>
      <c r="AB69" t="s">
        <v>206</v>
      </c>
      <c r="AC69" t="s">
        <v>19</v>
      </c>
      <c r="AD69" t="s">
        <v>19</v>
      </c>
      <c r="AE69" t="s">
        <v>19</v>
      </c>
      <c r="AF69" t="s">
        <v>206</v>
      </c>
      <c r="AG69" t="s">
        <v>201</v>
      </c>
      <c r="AH69" t="s">
        <v>207</v>
      </c>
      <c r="AI69" t="s">
        <v>19</v>
      </c>
      <c r="AJ69" t="s">
        <v>200</v>
      </c>
      <c r="AK69" t="s">
        <v>19</v>
      </c>
      <c r="AL69" t="s">
        <v>19</v>
      </c>
      <c r="AM69" t="s">
        <v>19</v>
      </c>
      <c r="AN69" t="s">
        <v>28</v>
      </c>
      <c r="AO69" t="s">
        <v>2</v>
      </c>
    </row>
    <row r="70" spans="1:41">
      <c r="A70" s="154"/>
      <c r="B70" s="35" t="s">
        <v>2179</v>
      </c>
      <c r="C70" s="44"/>
      <c r="D70" s="35" t="s">
        <v>2227</v>
      </c>
      <c r="E70" s="35"/>
      <c r="F70" s="35"/>
      <c r="G70" s="35"/>
      <c r="H70" s="35"/>
      <c r="I70" s="35"/>
      <c r="J70" s="35" t="s">
        <v>2231</v>
      </c>
      <c r="K70" s="35"/>
      <c r="L70" s="35"/>
      <c r="M70" s="35"/>
      <c r="N70" s="35"/>
      <c r="O70" s="35"/>
      <c r="P70" s="44"/>
      <c r="Q70" s="35"/>
      <c r="R70" s="35"/>
      <c r="S70" s="35"/>
      <c r="T70" s="35"/>
      <c r="U70" s="35"/>
      <c r="V70" s="35"/>
      <c r="W70" s="35"/>
      <c r="X70" s="35"/>
      <c r="Y70" s="46" t="s">
        <v>2182</v>
      </c>
      <c r="Z70">
        <v>3</v>
      </c>
      <c r="AA70" t="s">
        <v>208</v>
      </c>
      <c r="AB70" t="s">
        <v>209</v>
      </c>
      <c r="AC70" t="s">
        <v>19</v>
      </c>
      <c r="AD70" t="s">
        <v>19</v>
      </c>
      <c r="AE70" t="s">
        <v>210</v>
      </c>
      <c r="AF70" t="s">
        <v>209</v>
      </c>
      <c r="AG70" t="s">
        <v>211</v>
      </c>
      <c r="AH70" t="s">
        <v>212</v>
      </c>
      <c r="AI70" t="s">
        <v>19</v>
      </c>
      <c r="AJ70" t="s">
        <v>200</v>
      </c>
      <c r="AK70" t="s">
        <v>213</v>
      </c>
      <c r="AL70" t="s">
        <v>19</v>
      </c>
      <c r="AM70" t="s">
        <v>19</v>
      </c>
      <c r="AN70" t="s">
        <v>28</v>
      </c>
      <c r="AO70" t="s">
        <v>2</v>
      </c>
    </row>
    <row r="71" spans="1:41">
      <c r="A71" s="154"/>
      <c r="B71" s="35" t="s">
        <v>2179</v>
      </c>
      <c r="C71" s="44"/>
      <c r="D71" s="35" t="s">
        <v>2227</v>
      </c>
      <c r="E71" s="35"/>
      <c r="F71" s="35"/>
      <c r="G71" s="35"/>
      <c r="H71" s="35"/>
      <c r="I71" s="35"/>
      <c r="J71" s="35" t="s">
        <v>2232</v>
      </c>
      <c r="K71" s="35"/>
      <c r="L71" s="35"/>
      <c r="M71" s="35"/>
      <c r="N71" s="35"/>
      <c r="O71" s="35"/>
      <c r="P71" s="44"/>
      <c r="Q71" s="35"/>
      <c r="R71" s="35"/>
      <c r="S71" s="35"/>
      <c r="T71" s="35"/>
      <c r="U71" s="35"/>
      <c r="V71" s="35"/>
      <c r="W71" s="35"/>
      <c r="X71" s="35"/>
      <c r="Y71" s="46" t="s">
        <v>2182</v>
      </c>
      <c r="Z71">
        <v>3</v>
      </c>
      <c r="AA71" t="s">
        <v>184</v>
      </c>
      <c r="AB71" t="s">
        <v>214</v>
      </c>
      <c r="AC71" t="s">
        <v>19</v>
      </c>
      <c r="AD71" t="s">
        <v>19</v>
      </c>
      <c r="AE71" t="s">
        <v>215</v>
      </c>
      <c r="AF71" t="s">
        <v>214</v>
      </c>
      <c r="AG71" t="s">
        <v>211</v>
      </c>
      <c r="AH71" t="s">
        <v>187</v>
      </c>
      <c r="AI71" t="s">
        <v>19</v>
      </c>
      <c r="AJ71" t="s">
        <v>200</v>
      </c>
      <c r="AK71" t="s">
        <v>188</v>
      </c>
      <c r="AL71" t="s">
        <v>19</v>
      </c>
      <c r="AM71" t="s">
        <v>19</v>
      </c>
      <c r="AN71" t="s">
        <v>28</v>
      </c>
      <c r="AO71" t="s">
        <v>2</v>
      </c>
    </row>
    <row r="72" spans="1:41">
      <c r="A72" s="154"/>
      <c r="B72" s="35" t="s">
        <v>2179</v>
      </c>
      <c r="C72" s="44"/>
      <c r="D72" s="35" t="s">
        <v>2227</v>
      </c>
      <c r="E72" s="35"/>
      <c r="F72" s="35"/>
      <c r="G72" s="35"/>
      <c r="H72" s="35"/>
      <c r="I72" s="35"/>
      <c r="J72" s="35" t="s">
        <v>2233</v>
      </c>
      <c r="K72" s="35"/>
      <c r="L72" s="35"/>
      <c r="M72" s="35"/>
      <c r="N72" s="35"/>
      <c r="O72" s="35"/>
      <c r="P72" s="44"/>
      <c r="Q72" s="35"/>
      <c r="R72" s="35"/>
      <c r="S72" s="35"/>
      <c r="T72" s="35"/>
      <c r="U72" s="35"/>
      <c r="V72" s="35"/>
      <c r="W72" s="35"/>
      <c r="X72" s="35"/>
      <c r="Y72" s="46" t="s">
        <v>2182</v>
      </c>
      <c r="Z72">
        <v>3</v>
      </c>
      <c r="AA72" t="s">
        <v>184</v>
      </c>
      <c r="AB72" t="s">
        <v>216</v>
      </c>
      <c r="AC72" t="s">
        <v>19</v>
      </c>
      <c r="AD72" t="s">
        <v>19</v>
      </c>
      <c r="AE72" t="s">
        <v>217</v>
      </c>
      <c r="AF72" t="s">
        <v>216</v>
      </c>
      <c r="AG72" t="s">
        <v>211</v>
      </c>
      <c r="AH72" t="s">
        <v>187</v>
      </c>
      <c r="AI72" t="s">
        <v>19</v>
      </c>
      <c r="AJ72" t="s">
        <v>200</v>
      </c>
      <c r="AK72" t="s">
        <v>188</v>
      </c>
      <c r="AL72" t="s">
        <v>19</v>
      </c>
      <c r="AM72" t="s">
        <v>19</v>
      </c>
      <c r="AN72" t="s">
        <v>28</v>
      </c>
      <c r="AO72" t="s">
        <v>2</v>
      </c>
    </row>
    <row r="73" spans="1:41">
      <c r="A73" s="154"/>
      <c r="B73" s="35" t="s">
        <v>2179</v>
      </c>
      <c r="C73" s="44"/>
      <c r="D73" s="35" t="s">
        <v>2227</v>
      </c>
      <c r="E73" s="35"/>
      <c r="F73" s="35"/>
      <c r="G73" s="35"/>
      <c r="H73" s="35"/>
      <c r="I73" s="35"/>
      <c r="J73" s="35" t="s">
        <v>2234</v>
      </c>
      <c r="K73" s="35"/>
      <c r="L73" s="35"/>
      <c r="M73" s="35"/>
      <c r="N73" s="35"/>
      <c r="O73" s="35"/>
      <c r="P73" s="44"/>
      <c r="Q73" s="35"/>
      <c r="R73" s="35"/>
      <c r="S73" s="35"/>
      <c r="T73" s="35"/>
      <c r="U73" s="35"/>
      <c r="V73" s="35"/>
      <c r="W73" s="35"/>
      <c r="X73" s="35"/>
      <c r="Y73" s="46" t="s">
        <v>2182</v>
      </c>
      <c r="Z73">
        <v>3</v>
      </c>
      <c r="AA73" t="s">
        <v>184</v>
      </c>
      <c r="AB73" t="s">
        <v>218</v>
      </c>
      <c r="AC73" t="s">
        <v>19</v>
      </c>
      <c r="AD73" t="s">
        <v>19</v>
      </c>
      <c r="AE73" t="s">
        <v>219</v>
      </c>
      <c r="AF73" t="s">
        <v>218</v>
      </c>
      <c r="AG73" t="s">
        <v>211</v>
      </c>
      <c r="AH73" t="s">
        <v>187</v>
      </c>
      <c r="AI73" t="s">
        <v>19</v>
      </c>
      <c r="AJ73" t="s">
        <v>200</v>
      </c>
      <c r="AK73" t="s">
        <v>188</v>
      </c>
      <c r="AL73" t="s">
        <v>19</v>
      </c>
      <c r="AM73" t="s">
        <v>19</v>
      </c>
      <c r="AN73" t="s">
        <v>28</v>
      </c>
      <c r="AO73" t="s">
        <v>2</v>
      </c>
    </row>
    <row r="74" spans="1:41">
      <c r="A74" s="154"/>
      <c r="B74" s="35" t="s">
        <v>2179</v>
      </c>
      <c r="C74" s="44"/>
      <c r="D74" s="35" t="s">
        <v>2227</v>
      </c>
      <c r="E74" s="35"/>
      <c r="F74" s="35"/>
      <c r="G74" s="35"/>
      <c r="H74" s="35"/>
      <c r="I74" s="35"/>
      <c r="J74" s="35" t="s">
        <v>2235</v>
      </c>
      <c r="K74" s="35"/>
      <c r="L74" s="35"/>
      <c r="M74" s="35"/>
      <c r="N74" s="35"/>
      <c r="O74" s="35"/>
      <c r="P74" s="44"/>
      <c r="Q74" s="35"/>
      <c r="R74" s="35"/>
      <c r="S74" s="35"/>
      <c r="T74" s="35"/>
      <c r="U74" s="35"/>
      <c r="V74" s="35"/>
      <c r="W74" s="35"/>
      <c r="X74" s="35"/>
      <c r="Y74" s="46" t="s">
        <v>2182</v>
      </c>
      <c r="Z74">
        <v>3</v>
      </c>
      <c r="AA74" t="s">
        <v>194</v>
      </c>
      <c r="AB74" t="s">
        <v>220</v>
      </c>
      <c r="AC74" t="s">
        <v>19</v>
      </c>
      <c r="AD74" t="s">
        <v>19</v>
      </c>
      <c r="AE74" t="s">
        <v>221</v>
      </c>
      <c r="AF74" t="s">
        <v>220</v>
      </c>
      <c r="AG74" t="s">
        <v>211</v>
      </c>
      <c r="AH74" t="s">
        <v>196</v>
      </c>
      <c r="AI74" t="s">
        <v>19</v>
      </c>
      <c r="AJ74" t="s">
        <v>200</v>
      </c>
      <c r="AK74" t="s">
        <v>67</v>
      </c>
      <c r="AL74" t="s">
        <v>19</v>
      </c>
      <c r="AM74" t="s">
        <v>19</v>
      </c>
      <c r="AN74" t="s">
        <v>28</v>
      </c>
      <c r="AO74" t="s">
        <v>2</v>
      </c>
    </row>
    <row r="75" spans="1:41">
      <c r="A75" s="154"/>
      <c r="B75" s="35" t="s">
        <v>2179</v>
      </c>
      <c r="C75" s="44"/>
      <c r="D75" s="35" t="s">
        <v>2180</v>
      </c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44"/>
      <c r="Q75" s="35"/>
      <c r="R75" s="35"/>
      <c r="S75" s="35"/>
      <c r="T75" s="35"/>
      <c r="U75" s="35"/>
      <c r="V75" s="35"/>
      <c r="W75" s="35"/>
      <c r="X75" s="35"/>
      <c r="Y75" s="46" t="s">
        <v>2182</v>
      </c>
      <c r="Z75">
        <v>3</v>
      </c>
      <c r="AA75" t="s">
        <v>222</v>
      </c>
      <c r="AB75" t="s">
        <v>223</v>
      </c>
      <c r="AC75" t="s">
        <v>19</v>
      </c>
      <c r="AD75" t="s">
        <v>224</v>
      </c>
      <c r="AE75" t="s">
        <v>224</v>
      </c>
      <c r="AF75" t="s">
        <v>225</v>
      </c>
      <c r="AG75" t="s">
        <v>226</v>
      </c>
      <c r="AH75" t="s">
        <v>227</v>
      </c>
      <c r="AI75" t="s">
        <v>19</v>
      </c>
      <c r="AJ75" t="s">
        <v>19</v>
      </c>
      <c r="AK75" t="s">
        <v>79</v>
      </c>
      <c r="AL75" t="s">
        <v>228</v>
      </c>
      <c r="AM75" t="s">
        <v>229</v>
      </c>
      <c r="AN75" t="s">
        <v>28</v>
      </c>
      <c r="AO75" t="s">
        <v>2</v>
      </c>
    </row>
    <row r="76" spans="1:41">
      <c r="A76" s="154"/>
      <c r="B76" s="35" t="s">
        <v>2179</v>
      </c>
      <c r="C76" s="44"/>
      <c r="D76" s="35" t="s">
        <v>2190</v>
      </c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44"/>
      <c r="Q76" s="35"/>
      <c r="R76" s="35"/>
      <c r="S76" s="35"/>
      <c r="T76" s="35"/>
      <c r="U76" s="35"/>
      <c r="V76" s="35"/>
      <c r="W76" s="35"/>
      <c r="X76" s="35"/>
      <c r="Y76" s="46" t="s">
        <v>2189</v>
      </c>
      <c r="Z76">
        <v>3</v>
      </c>
      <c r="AA76" t="s">
        <v>230</v>
      </c>
      <c r="AB76" t="s">
        <v>231</v>
      </c>
      <c r="AC76" t="s">
        <v>19</v>
      </c>
      <c r="AD76" t="s">
        <v>232</v>
      </c>
      <c r="AE76" t="s">
        <v>232</v>
      </c>
      <c r="AF76" t="s">
        <v>233</v>
      </c>
      <c r="AG76" t="s">
        <v>234</v>
      </c>
      <c r="AH76" t="s">
        <v>235</v>
      </c>
      <c r="AI76" t="s">
        <v>236</v>
      </c>
      <c r="AJ76" t="s">
        <v>19</v>
      </c>
      <c r="AK76" t="s">
        <v>79</v>
      </c>
      <c r="AL76" t="s">
        <v>237</v>
      </c>
      <c r="AM76" t="s">
        <v>238</v>
      </c>
      <c r="AN76" t="s">
        <v>28</v>
      </c>
      <c r="AO76" t="s">
        <v>2</v>
      </c>
    </row>
    <row r="77" spans="1:41">
      <c r="A77" s="154"/>
      <c r="B77" s="35" t="s">
        <v>2179</v>
      </c>
      <c r="C77" s="44"/>
      <c r="D77" s="35" t="s">
        <v>2180</v>
      </c>
      <c r="E77" s="35"/>
      <c r="F77" s="35"/>
      <c r="G77" s="35"/>
      <c r="H77" s="35"/>
      <c r="I77" s="35"/>
      <c r="J77" s="35"/>
      <c r="K77" s="35"/>
      <c r="L77" s="35"/>
      <c r="M77" s="158">
        <v>920004162</v>
      </c>
      <c r="N77" s="35"/>
      <c r="O77" s="35"/>
      <c r="P77" s="44"/>
      <c r="Q77" s="35"/>
      <c r="R77" s="35"/>
      <c r="S77" s="35"/>
      <c r="T77" s="35"/>
      <c r="U77" s="35"/>
      <c r="V77" s="35"/>
      <c r="W77" s="35"/>
      <c r="X77" s="35"/>
      <c r="Y77" s="46" t="s">
        <v>2182</v>
      </c>
      <c r="Z77">
        <v>3</v>
      </c>
      <c r="AA77" t="s">
        <v>239</v>
      </c>
      <c r="AB77" t="s">
        <v>240</v>
      </c>
      <c r="AC77" t="s">
        <v>19</v>
      </c>
      <c r="AD77" t="s">
        <v>241</v>
      </c>
      <c r="AE77" t="s">
        <v>241</v>
      </c>
      <c r="AF77" t="s">
        <v>242</v>
      </c>
      <c r="AG77" t="s">
        <v>243</v>
      </c>
      <c r="AH77" t="s">
        <v>244</v>
      </c>
      <c r="AI77" t="s">
        <v>19</v>
      </c>
      <c r="AJ77" t="s">
        <v>19</v>
      </c>
      <c r="AK77" t="s">
        <v>79</v>
      </c>
      <c r="AL77" t="s">
        <v>245</v>
      </c>
      <c r="AM77" t="s">
        <v>246</v>
      </c>
      <c r="AN77" t="s">
        <v>28</v>
      </c>
      <c r="AO77" t="s">
        <v>2</v>
      </c>
    </row>
    <row r="78" spans="1:41">
      <c r="A78" s="196"/>
      <c r="B78" s="197" t="s">
        <v>2179</v>
      </c>
      <c r="C78" s="197"/>
      <c r="D78" s="197" t="s">
        <v>2180</v>
      </c>
      <c r="E78" s="197"/>
      <c r="F78" s="197"/>
      <c r="G78" s="197"/>
      <c r="H78" s="197"/>
      <c r="I78" s="197"/>
      <c r="J78" s="197"/>
      <c r="K78" s="197"/>
      <c r="L78" s="197"/>
      <c r="M78" s="198">
        <v>920004245</v>
      </c>
      <c r="N78" s="197"/>
      <c r="O78" s="197"/>
      <c r="P78" s="197"/>
      <c r="Q78" s="197"/>
      <c r="R78" s="197"/>
      <c r="S78" s="197"/>
      <c r="T78" s="197"/>
      <c r="U78" s="197"/>
      <c r="V78" s="197"/>
      <c r="W78" s="197"/>
      <c r="X78" s="197"/>
      <c r="Y78" s="199" t="s">
        <v>2182</v>
      </c>
      <c r="Z78" s="196">
        <v>3</v>
      </c>
      <c r="AA78" s="196" t="s">
        <v>239</v>
      </c>
      <c r="AB78" s="196" t="s">
        <v>240</v>
      </c>
      <c r="AC78" s="196" t="s">
        <v>19</v>
      </c>
      <c r="AD78" s="196" t="s">
        <v>241</v>
      </c>
      <c r="AE78" s="196" t="s">
        <v>241</v>
      </c>
      <c r="AF78" s="196" t="s">
        <v>242</v>
      </c>
      <c r="AG78" s="196" t="s">
        <v>243</v>
      </c>
      <c r="AH78" s="196"/>
      <c r="AI78" s="196" t="s">
        <v>19</v>
      </c>
      <c r="AJ78" s="196" t="s">
        <v>19</v>
      </c>
      <c r="AK78" s="196" t="s">
        <v>79</v>
      </c>
      <c r="AL78" s="196" t="s">
        <v>245</v>
      </c>
      <c r="AM78" s="196" t="s">
        <v>246</v>
      </c>
      <c r="AN78" s="196" t="s">
        <v>28</v>
      </c>
      <c r="AO78" s="196">
        <v>0</v>
      </c>
    </row>
    <row r="79" spans="1:41">
      <c r="A79" s="196"/>
      <c r="B79" s="197" t="s">
        <v>2179</v>
      </c>
      <c r="C79" s="197"/>
      <c r="D79" s="197" t="s">
        <v>2180</v>
      </c>
      <c r="E79" s="197"/>
      <c r="F79" s="197"/>
      <c r="G79" s="197"/>
      <c r="H79" s="197"/>
      <c r="I79" s="197"/>
      <c r="J79" s="197"/>
      <c r="K79" s="197"/>
      <c r="L79" s="197"/>
      <c r="M79" s="198">
        <v>920004246</v>
      </c>
      <c r="N79" s="197"/>
      <c r="O79" s="197"/>
      <c r="P79" s="197"/>
      <c r="Q79" s="197"/>
      <c r="R79" s="197"/>
      <c r="S79" s="197"/>
      <c r="T79" s="197"/>
      <c r="U79" s="197"/>
      <c r="V79" s="197"/>
      <c r="W79" s="197"/>
      <c r="X79" s="197"/>
      <c r="Y79" s="199" t="s">
        <v>2182</v>
      </c>
      <c r="Z79" s="196">
        <v>3</v>
      </c>
      <c r="AA79" s="196" t="s">
        <v>239</v>
      </c>
      <c r="AB79" s="196" t="s">
        <v>240</v>
      </c>
      <c r="AC79" s="196" t="s">
        <v>19</v>
      </c>
      <c r="AD79" s="196" t="s">
        <v>241</v>
      </c>
      <c r="AE79" s="196" t="s">
        <v>241</v>
      </c>
      <c r="AF79" s="196" t="s">
        <v>242</v>
      </c>
      <c r="AG79" s="196" t="s">
        <v>243</v>
      </c>
      <c r="AH79" s="196"/>
      <c r="AI79" s="196" t="s">
        <v>19</v>
      </c>
      <c r="AJ79" s="196" t="s">
        <v>19</v>
      </c>
      <c r="AK79" s="196" t="s">
        <v>79</v>
      </c>
      <c r="AL79" s="196" t="s">
        <v>245</v>
      </c>
      <c r="AM79" s="196" t="s">
        <v>246</v>
      </c>
      <c r="AN79" s="196" t="s">
        <v>28</v>
      </c>
      <c r="AO79" s="196">
        <v>0</v>
      </c>
    </row>
    <row r="80" spans="1:41">
      <c r="A80" s="154"/>
      <c r="B80" s="35" t="s">
        <v>2179</v>
      </c>
      <c r="C80" s="44"/>
      <c r="D80" s="35" t="s">
        <v>2180</v>
      </c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44"/>
      <c r="Q80" s="35"/>
      <c r="R80" s="35"/>
      <c r="S80" s="35"/>
      <c r="T80" s="35"/>
      <c r="U80" s="35"/>
      <c r="V80" s="35"/>
      <c r="W80" s="35"/>
      <c r="X80" s="35"/>
      <c r="Y80" s="46" t="s">
        <v>2182</v>
      </c>
      <c r="Z80">
        <v>3</v>
      </c>
      <c r="AA80" t="s">
        <v>247</v>
      </c>
      <c r="AB80" t="s">
        <v>248</v>
      </c>
      <c r="AC80" t="s">
        <v>19</v>
      </c>
      <c r="AD80" t="s">
        <v>249</v>
      </c>
      <c r="AE80" t="s">
        <v>250</v>
      </c>
      <c r="AF80" t="s">
        <v>251</v>
      </c>
      <c r="AG80" t="s">
        <v>252</v>
      </c>
      <c r="AH80" t="s">
        <v>253</v>
      </c>
      <c r="AI80" t="s">
        <v>19</v>
      </c>
      <c r="AJ80" t="s">
        <v>19</v>
      </c>
      <c r="AK80" t="s">
        <v>73</v>
      </c>
      <c r="AL80" t="s">
        <v>254</v>
      </c>
      <c r="AM80" t="s">
        <v>255</v>
      </c>
      <c r="AN80" t="s">
        <v>28</v>
      </c>
      <c r="AO80" t="s">
        <v>2</v>
      </c>
    </row>
    <row r="81" spans="1:41">
      <c r="A81" s="154"/>
      <c r="B81" s="35" t="s">
        <v>2179</v>
      </c>
      <c r="C81" s="44"/>
      <c r="D81" s="35" t="s">
        <v>2180</v>
      </c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44"/>
      <c r="Q81" s="35"/>
      <c r="R81" s="35"/>
      <c r="S81" s="35"/>
      <c r="T81" s="35"/>
      <c r="U81" s="35"/>
      <c r="V81" s="35"/>
      <c r="W81" s="35"/>
      <c r="X81" s="35"/>
      <c r="Y81" s="46" t="s">
        <v>2182</v>
      </c>
      <c r="Z81">
        <v>3</v>
      </c>
      <c r="AA81" t="s">
        <v>256</v>
      </c>
      <c r="AB81" t="s">
        <v>257</v>
      </c>
      <c r="AC81" t="s">
        <v>19</v>
      </c>
      <c r="AD81" t="s">
        <v>149</v>
      </c>
      <c r="AE81" t="s">
        <v>149</v>
      </c>
      <c r="AF81" t="s">
        <v>258</v>
      </c>
      <c r="AG81" t="s">
        <v>259</v>
      </c>
      <c r="AH81" t="s">
        <v>260</v>
      </c>
      <c r="AI81" t="s">
        <v>261</v>
      </c>
      <c r="AJ81" t="s">
        <v>19</v>
      </c>
      <c r="AK81" t="s">
        <v>79</v>
      </c>
      <c r="AL81" t="s">
        <v>154</v>
      </c>
      <c r="AM81" t="s">
        <v>155</v>
      </c>
      <c r="AN81" t="s">
        <v>28</v>
      </c>
      <c r="AO81" t="s">
        <v>2</v>
      </c>
    </row>
    <row r="82" spans="1:41">
      <c r="A82" s="154"/>
      <c r="B82" s="35" t="s">
        <v>2179</v>
      </c>
      <c r="C82" s="44"/>
      <c r="D82" s="35" t="s">
        <v>2180</v>
      </c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44"/>
      <c r="Q82" s="35"/>
      <c r="R82" s="35"/>
      <c r="S82" s="35"/>
      <c r="T82" s="35"/>
      <c r="U82" s="35"/>
      <c r="V82" s="35"/>
      <c r="W82" s="35"/>
      <c r="X82" s="35"/>
      <c r="Y82" s="46" t="s">
        <v>2182</v>
      </c>
      <c r="Z82">
        <v>3</v>
      </c>
      <c r="AA82" t="s">
        <v>247</v>
      </c>
      <c r="AB82" t="s">
        <v>262</v>
      </c>
      <c r="AC82" t="s">
        <v>19</v>
      </c>
      <c r="AD82" t="s">
        <v>249</v>
      </c>
      <c r="AE82" t="s">
        <v>250</v>
      </c>
      <c r="AF82" t="s">
        <v>263</v>
      </c>
      <c r="AG82" t="s">
        <v>264</v>
      </c>
      <c r="AH82" t="s">
        <v>265</v>
      </c>
      <c r="AI82" t="s">
        <v>19</v>
      </c>
      <c r="AJ82" t="s">
        <v>19</v>
      </c>
      <c r="AK82" t="s">
        <v>266</v>
      </c>
      <c r="AL82" t="s">
        <v>254</v>
      </c>
      <c r="AM82" t="s">
        <v>255</v>
      </c>
      <c r="AN82" t="s">
        <v>28</v>
      </c>
      <c r="AO82" t="s">
        <v>2</v>
      </c>
    </row>
    <row r="83" spans="1:41">
      <c r="A83" s="154"/>
      <c r="B83" s="35" t="s">
        <v>2179</v>
      </c>
      <c r="C83" s="44"/>
      <c r="D83" s="35" t="s">
        <v>2180</v>
      </c>
      <c r="E83" s="35"/>
      <c r="F83" s="35"/>
      <c r="G83" s="35"/>
      <c r="H83" s="35"/>
      <c r="I83" s="35"/>
      <c r="J83" s="35"/>
      <c r="K83" s="35"/>
      <c r="L83" s="35"/>
      <c r="M83" s="158">
        <v>920004663</v>
      </c>
      <c r="N83" s="35"/>
      <c r="O83" s="35"/>
      <c r="P83" s="44"/>
      <c r="Q83" s="35"/>
      <c r="R83" s="35"/>
      <c r="S83" s="35"/>
      <c r="T83" s="35"/>
      <c r="U83" s="35"/>
      <c r="V83" s="35"/>
      <c r="W83" s="35"/>
      <c r="X83" s="35"/>
      <c r="Y83" s="46" t="s">
        <v>2182</v>
      </c>
      <c r="Z83">
        <v>3</v>
      </c>
      <c r="AA83" t="s">
        <v>267</v>
      </c>
      <c r="AB83" t="s">
        <v>268</v>
      </c>
      <c r="AC83" t="s">
        <v>19</v>
      </c>
      <c r="AD83" t="s">
        <v>249</v>
      </c>
      <c r="AE83" t="s">
        <v>250</v>
      </c>
      <c r="AF83" t="s">
        <v>269</v>
      </c>
      <c r="AG83" t="s">
        <v>270</v>
      </c>
      <c r="AH83" t="s">
        <v>271</v>
      </c>
      <c r="AI83" t="s">
        <v>19</v>
      </c>
      <c r="AJ83" t="s">
        <v>19</v>
      </c>
      <c r="AK83" t="s">
        <v>79</v>
      </c>
      <c r="AL83" t="s">
        <v>254</v>
      </c>
      <c r="AM83" t="s">
        <v>255</v>
      </c>
      <c r="AN83" t="s">
        <v>28</v>
      </c>
      <c r="AO83" t="s">
        <v>2</v>
      </c>
    </row>
    <row r="84" spans="1:41">
      <c r="A84" s="196"/>
      <c r="B84" s="197" t="s">
        <v>2179</v>
      </c>
      <c r="C84" s="197"/>
      <c r="D84" s="197" t="s">
        <v>2180</v>
      </c>
      <c r="E84" s="197"/>
      <c r="F84" s="197"/>
      <c r="G84" s="197"/>
      <c r="H84" s="197"/>
      <c r="I84" s="197"/>
      <c r="J84" s="197"/>
      <c r="K84" s="197"/>
      <c r="L84" s="197"/>
      <c r="M84" s="198">
        <v>920002309</v>
      </c>
      <c r="N84" s="197"/>
      <c r="O84" s="197"/>
      <c r="P84" s="197"/>
      <c r="Q84" s="197"/>
      <c r="R84" s="197"/>
      <c r="S84" s="197"/>
      <c r="T84" s="197"/>
      <c r="U84" s="197"/>
      <c r="V84" s="197"/>
      <c r="W84" s="197"/>
      <c r="X84" s="197"/>
      <c r="Y84" s="199" t="s">
        <v>2182</v>
      </c>
      <c r="Z84" s="196">
        <v>3</v>
      </c>
      <c r="AA84" s="196" t="s">
        <v>267</v>
      </c>
      <c r="AB84" s="196" t="s">
        <v>268</v>
      </c>
      <c r="AC84" s="196" t="s">
        <v>19</v>
      </c>
      <c r="AD84" s="196" t="s">
        <v>249</v>
      </c>
      <c r="AE84" s="196" t="s">
        <v>250</v>
      </c>
      <c r="AF84" s="196" t="s">
        <v>269</v>
      </c>
      <c r="AG84" s="196" t="s">
        <v>270</v>
      </c>
      <c r="AH84" s="196"/>
      <c r="AI84" s="196" t="s">
        <v>19</v>
      </c>
      <c r="AJ84" s="196" t="s">
        <v>19</v>
      </c>
      <c r="AK84" s="196" t="s">
        <v>79</v>
      </c>
      <c r="AL84" s="196" t="s">
        <v>254</v>
      </c>
      <c r="AM84" s="196" t="s">
        <v>255</v>
      </c>
      <c r="AN84" s="196" t="s">
        <v>28</v>
      </c>
      <c r="AO84" s="196">
        <v>0</v>
      </c>
    </row>
    <row r="85" spans="1:41">
      <c r="A85" s="154"/>
      <c r="B85" s="35" t="s">
        <v>2179</v>
      </c>
      <c r="C85" s="44"/>
      <c r="D85" s="35" t="s">
        <v>2180</v>
      </c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44"/>
      <c r="Q85" s="35"/>
      <c r="R85" s="35"/>
      <c r="S85" s="35"/>
      <c r="T85" s="35"/>
      <c r="U85" s="35"/>
      <c r="V85" s="35"/>
      <c r="W85" s="35"/>
      <c r="X85" s="35"/>
      <c r="Y85" s="46" t="s">
        <v>2182</v>
      </c>
      <c r="Z85">
        <v>3</v>
      </c>
      <c r="AA85" t="s">
        <v>247</v>
      </c>
      <c r="AB85" t="s">
        <v>272</v>
      </c>
      <c r="AC85" t="s">
        <v>19</v>
      </c>
      <c r="AD85" t="s">
        <v>249</v>
      </c>
      <c r="AE85" t="s">
        <v>250</v>
      </c>
      <c r="AF85" t="s">
        <v>273</v>
      </c>
      <c r="AG85" t="s">
        <v>264</v>
      </c>
      <c r="AH85" t="s">
        <v>274</v>
      </c>
      <c r="AI85" t="s">
        <v>19</v>
      </c>
      <c r="AJ85" t="s">
        <v>19</v>
      </c>
      <c r="AK85" t="s">
        <v>275</v>
      </c>
      <c r="AL85" t="s">
        <v>254</v>
      </c>
      <c r="AM85" t="s">
        <v>255</v>
      </c>
      <c r="AN85" t="s">
        <v>28</v>
      </c>
      <c r="AO85" t="s">
        <v>2</v>
      </c>
    </row>
    <row r="86" spans="1:41">
      <c r="A86" s="154"/>
      <c r="B86" s="35" t="s">
        <v>2179</v>
      </c>
      <c r="C86" s="44"/>
      <c r="D86" s="35" t="s">
        <v>2180</v>
      </c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44"/>
      <c r="Q86" s="35"/>
      <c r="R86" s="35"/>
      <c r="S86" s="35"/>
      <c r="T86" s="35"/>
      <c r="U86" s="35"/>
      <c r="V86" s="35"/>
      <c r="W86" s="35"/>
      <c r="X86" s="35"/>
      <c r="Y86" s="46" t="s">
        <v>2182</v>
      </c>
      <c r="Z86">
        <v>3</v>
      </c>
      <c r="AA86" t="s">
        <v>276</v>
      </c>
      <c r="AB86" t="s">
        <v>277</v>
      </c>
      <c r="AC86" t="s">
        <v>19</v>
      </c>
      <c r="AD86" t="s">
        <v>249</v>
      </c>
      <c r="AE86" t="s">
        <v>250</v>
      </c>
      <c r="AF86" t="s">
        <v>278</v>
      </c>
      <c r="AG86" t="s">
        <v>279</v>
      </c>
      <c r="AH86" t="s">
        <v>280</v>
      </c>
      <c r="AI86" t="s">
        <v>261</v>
      </c>
      <c r="AJ86" t="s">
        <v>19</v>
      </c>
      <c r="AK86" t="s">
        <v>213</v>
      </c>
      <c r="AL86" t="s">
        <v>254</v>
      </c>
      <c r="AM86" t="s">
        <v>255</v>
      </c>
      <c r="AN86" t="s">
        <v>28</v>
      </c>
      <c r="AO86" t="s">
        <v>2</v>
      </c>
    </row>
    <row r="87" spans="1:41" s="173" customFormat="1">
      <c r="A87" s="173">
        <v>504</v>
      </c>
      <c r="B87" s="50" t="s">
        <v>2179</v>
      </c>
      <c r="C87" s="50"/>
      <c r="D87" s="50" t="s">
        <v>2180</v>
      </c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2" t="s">
        <v>2182</v>
      </c>
      <c r="Z87" s="173">
        <v>3</v>
      </c>
      <c r="AA87" s="173" t="s">
        <v>281</v>
      </c>
      <c r="AB87" s="173" t="s">
        <v>282</v>
      </c>
      <c r="AC87" s="173" t="s">
        <v>19</v>
      </c>
      <c r="AD87" s="173" t="s">
        <v>19</v>
      </c>
      <c r="AE87" s="173" t="s">
        <v>19</v>
      </c>
      <c r="AF87" s="173" t="s">
        <v>282</v>
      </c>
      <c r="AG87" s="173" t="s">
        <v>283</v>
      </c>
      <c r="AH87" s="173" t="s">
        <v>284</v>
      </c>
      <c r="AI87" s="173" t="s">
        <v>19</v>
      </c>
      <c r="AJ87" s="173" t="s">
        <v>19</v>
      </c>
      <c r="AK87" s="173" t="s">
        <v>19</v>
      </c>
      <c r="AL87" s="173" t="s">
        <v>19</v>
      </c>
      <c r="AM87" s="173" t="s">
        <v>19</v>
      </c>
      <c r="AN87" s="173" t="s">
        <v>28</v>
      </c>
      <c r="AO87" s="173" t="s">
        <v>2</v>
      </c>
    </row>
    <row r="88" spans="1:41">
      <c r="A88" s="154"/>
      <c r="B88" s="35" t="s">
        <v>2179</v>
      </c>
      <c r="C88" s="44"/>
      <c r="D88" s="35" t="s">
        <v>2180</v>
      </c>
      <c r="E88" s="35"/>
      <c r="F88" s="35"/>
      <c r="G88" s="35"/>
      <c r="H88" s="35"/>
      <c r="I88" s="35"/>
      <c r="J88" s="35"/>
      <c r="K88" s="35"/>
      <c r="L88" s="47" t="s">
        <v>2226</v>
      </c>
      <c r="M88" s="35"/>
      <c r="N88" s="35"/>
      <c r="O88" s="35"/>
      <c r="P88" s="44"/>
      <c r="Q88" s="35"/>
      <c r="R88" s="35"/>
      <c r="S88" s="35"/>
      <c r="T88" s="35"/>
      <c r="U88" s="35"/>
      <c r="V88" s="35"/>
      <c r="W88" s="35"/>
      <c r="X88" s="35"/>
      <c r="Y88" s="46" t="s">
        <v>2182</v>
      </c>
      <c r="Z88">
        <v>3</v>
      </c>
      <c r="AA88" t="s">
        <v>285</v>
      </c>
      <c r="AB88" t="s">
        <v>286</v>
      </c>
      <c r="AC88" t="s">
        <v>19</v>
      </c>
      <c r="AD88" t="s">
        <v>19</v>
      </c>
      <c r="AE88" t="s">
        <v>19</v>
      </c>
      <c r="AF88" t="s">
        <v>286</v>
      </c>
      <c r="AG88" t="s">
        <v>287</v>
      </c>
      <c r="AH88" t="s">
        <v>288</v>
      </c>
      <c r="AI88" t="s">
        <v>19</v>
      </c>
      <c r="AJ88" t="s">
        <v>19</v>
      </c>
      <c r="AK88" t="s">
        <v>19</v>
      </c>
      <c r="AL88" t="s">
        <v>19</v>
      </c>
      <c r="AM88" t="s">
        <v>19</v>
      </c>
      <c r="AN88" t="s">
        <v>28</v>
      </c>
      <c r="AO88" t="s">
        <v>2</v>
      </c>
    </row>
    <row r="89" spans="1:41" s="173" customFormat="1">
      <c r="A89" s="173">
        <v>504</v>
      </c>
      <c r="B89" s="50" t="s">
        <v>2179</v>
      </c>
      <c r="C89" s="50"/>
      <c r="D89" s="50" t="s">
        <v>2180</v>
      </c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2" t="s">
        <v>2182</v>
      </c>
      <c r="Z89" s="173">
        <v>3</v>
      </c>
      <c r="AA89" s="173" t="s">
        <v>289</v>
      </c>
      <c r="AB89" s="173" t="s">
        <v>290</v>
      </c>
      <c r="AC89" s="173" t="s">
        <v>19</v>
      </c>
      <c r="AD89" s="173" t="s">
        <v>19</v>
      </c>
      <c r="AE89" s="173" t="s">
        <v>19</v>
      </c>
      <c r="AF89" s="173" t="s">
        <v>290</v>
      </c>
      <c r="AG89" s="173" t="s">
        <v>291</v>
      </c>
      <c r="AH89" s="173" t="s">
        <v>292</v>
      </c>
      <c r="AI89" s="173" t="s">
        <v>19</v>
      </c>
      <c r="AJ89" s="173" t="s">
        <v>19</v>
      </c>
      <c r="AK89" s="173" t="s">
        <v>19</v>
      </c>
      <c r="AL89" s="173" t="s">
        <v>19</v>
      </c>
      <c r="AM89" s="173" t="s">
        <v>19</v>
      </c>
      <c r="AN89" s="173" t="s">
        <v>28</v>
      </c>
      <c r="AO89" s="173" t="s">
        <v>2</v>
      </c>
    </row>
    <row r="90" spans="1:41">
      <c r="A90" s="154">
        <v>504</v>
      </c>
      <c r="B90" s="35" t="s">
        <v>2179</v>
      </c>
      <c r="C90" s="44"/>
      <c r="D90" s="35" t="s">
        <v>2180</v>
      </c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44"/>
      <c r="Q90" s="35"/>
      <c r="R90" s="35"/>
      <c r="S90" s="35"/>
      <c r="T90" s="35"/>
      <c r="U90" s="35"/>
      <c r="V90" s="35"/>
      <c r="W90" s="35"/>
      <c r="X90" s="35"/>
      <c r="Y90" s="46" t="s">
        <v>2182</v>
      </c>
      <c r="Z90">
        <v>3</v>
      </c>
      <c r="AA90" s="153" t="s">
        <v>333</v>
      </c>
      <c r="AB90" t="s">
        <v>290</v>
      </c>
      <c r="AC90" t="s">
        <v>19</v>
      </c>
      <c r="AD90" t="s">
        <v>19</v>
      </c>
      <c r="AE90" t="s">
        <v>19</v>
      </c>
      <c r="AF90" t="s">
        <v>290</v>
      </c>
      <c r="AG90" t="s">
        <v>291</v>
      </c>
      <c r="AH90" s="153" t="s">
        <v>350</v>
      </c>
      <c r="AI90" t="s">
        <v>19</v>
      </c>
      <c r="AJ90" t="s">
        <v>19</v>
      </c>
      <c r="AK90" t="s">
        <v>19</v>
      </c>
      <c r="AL90" t="s">
        <v>19</v>
      </c>
      <c r="AM90" t="s">
        <v>19</v>
      </c>
      <c r="AN90" t="s">
        <v>28</v>
      </c>
      <c r="AO90" t="s">
        <v>2</v>
      </c>
    </row>
    <row r="91" spans="1:41">
      <c r="A91" s="154"/>
      <c r="B91" s="35" t="s">
        <v>2179</v>
      </c>
      <c r="C91" s="44"/>
      <c r="D91" s="35" t="s">
        <v>2180</v>
      </c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44"/>
      <c r="Q91" s="35"/>
      <c r="R91" s="35"/>
      <c r="S91" s="35"/>
      <c r="T91" s="35"/>
      <c r="U91" s="35"/>
      <c r="V91" s="35"/>
      <c r="W91" s="35"/>
      <c r="X91" s="35"/>
      <c r="Y91" s="46" t="s">
        <v>2182</v>
      </c>
      <c r="Z91">
        <v>3</v>
      </c>
      <c r="AA91" t="s">
        <v>293</v>
      </c>
      <c r="AB91" t="s">
        <v>294</v>
      </c>
      <c r="AC91" t="s">
        <v>19</v>
      </c>
      <c r="AD91" t="s">
        <v>19</v>
      </c>
      <c r="AE91" t="s">
        <v>19</v>
      </c>
      <c r="AF91" t="s">
        <v>294</v>
      </c>
      <c r="AG91" t="s">
        <v>295</v>
      </c>
      <c r="AH91" t="s">
        <v>296</v>
      </c>
      <c r="AI91" t="s">
        <v>19</v>
      </c>
      <c r="AJ91" t="s">
        <v>19</v>
      </c>
      <c r="AK91" t="s">
        <v>19</v>
      </c>
      <c r="AL91" t="s">
        <v>19</v>
      </c>
      <c r="AM91" t="s">
        <v>19</v>
      </c>
      <c r="AN91" t="s">
        <v>28</v>
      </c>
      <c r="AO91" t="s">
        <v>2</v>
      </c>
    </row>
    <row r="92" spans="1:41">
      <c r="A92" s="154"/>
      <c r="B92" s="35" t="s">
        <v>2179</v>
      </c>
      <c r="C92" s="44"/>
      <c r="D92" s="35" t="s">
        <v>2180</v>
      </c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44"/>
      <c r="Q92" s="35"/>
      <c r="R92" s="35"/>
      <c r="S92" s="35"/>
      <c r="T92" s="35"/>
      <c r="U92" s="35"/>
      <c r="V92" s="35"/>
      <c r="W92" s="35"/>
      <c r="X92" s="35"/>
      <c r="Y92" s="46" t="s">
        <v>2182</v>
      </c>
      <c r="Z92">
        <v>3</v>
      </c>
      <c r="AA92" t="s">
        <v>289</v>
      </c>
      <c r="AB92" t="s">
        <v>297</v>
      </c>
      <c r="AC92" t="s">
        <v>19</v>
      </c>
      <c r="AD92" t="s">
        <v>19</v>
      </c>
      <c r="AE92" t="s">
        <v>19</v>
      </c>
      <c r="AF92" t="s">
        <v>297</v>
      </c>
      <c r="AG92" t="s">
        <v>298</v>
      </c>
      <c r="AH92" t="s">
        <v>292</v>
      </c>
      <c r="AI92" t="s">
        <v>19</v>
      </c>
      <c r="AJ92" t="s">
        <v>19</v>
      </c>
      <c r="AK92" t="s">
        <v>19</v>
      </c>
      <c r="AL92" t="s">
        <v>19</v>
      </c>
      <c r="AM92" t="s">
        <v>19</v>
      </c>
      <c r="AN92" t="s">
        <v>28</v>
      </c>
      <c r="AO92" t="s">
        <v>2</v>
      </c>
    </row>
    <row r="93" spans="1:41">
      <c r="A93" s="154"/>
      <c r="B93" s="35" t="s">
        <v>2179</v>
      </c>
      <c r="C93" s="44"/>
      <c r="D93" s="35" t="s">
        <v>2180</v>
      </c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44"/>
      <c r="Q93" s="35"/>
      <c r="R93" s="35"/>
      <c r="S93" s="35"/>
      <c r="T93" s="35"/>
      <c r="U93" s="35"/>
      <c r="V93" s="35"/>
      <c r="W93" s="35"/>
      <c r="X93" s="35"/>
      <c r="Y93" s="46" t="s">
        <v>2182</v>
      </c>
      <c r="Z93">
        <v>3</v>
      </c>
      <c r="AA93" t="s">
        <v>293</v>
      </c>
      <c r="AB93" t="s">
        <v>299</v>
      </c>
      <c r="AC93" t="s">
        <v>19</v>
      </c>
      <c r="AD93" t="s">
        <v>19</v>
      </c>
      <c r="AE93" t="s">
        <v>19</v>
      </c>
      <c r="AF93" t="s">
        <v>299</v>
      </c>
      <c r="AG93" t="s">
        <v>300</v>
      </c>
      <c r="AH93" t="s">
        <v>301</v>
      </c>
      <c r="AI93" t="s">
        <v>19</v>
      </c>
      <c r="AJ93" t="s">
        <v>19</v>
      </c>
      <c r="AK93" t="s">
        <v>19</v>
      </c>
      <c r="AL93" t="s">
        <v>19</v>
      </c>
      <c r="AM93" t="s">
        <v>19</v>
      </c>
      <c r="AN93" t="s">
        <v>28</v>
      </c>
      <c r="AO93" t="s">
        <v>2</v>
      </c>
    </row>
    <row r="94" spans="1:41">
      <c r="A94" s="154"/>
      <c r="B94" s="35" t="s">
        <v>2179</v>
      </c>
      <c r="C94" s="44"/>
      <c r="D94" s="35" t="s">
        <v>2180</v>
      </c>
      <c r="E94" s="35"/>
      <c r="F94" s="35"/>
      <c r="G94" s="35"/>
      <c r="H94" s="35"/>
      <c r="I94" s="35"/>
      <c r="J94" s="35"/>
      <c r="K94" s="35"/>
      <c r="L94" s="47" t="s">
        <v>2226</v>
      </c>
      <c r="M94" s="35"/>
      <c r="N94" s="35"/>
      <c r="O94" s="35"/>
      <c r="P94" s="44"/>
      <c r="Q94" s="35"/>
      <c r="R94" s="35"/>
      <c r="S94" s="35"/>
      <c r="T94" s="35"/>
      <c r="U94" s="35"/>
      <c r="V94" s="35"/>
      <c r="W94" s="35"/>
      <c r="X94" s="35"/>
      <c r="Y94" s="46" t="s">
        <v>2182</v>
      </c>
      <c r="Z94">
        <v>3</v>
      </c>
      <c r="AA94" t="s">
        <v>289</v>
      </c>
      <c r="AB94" t="s">
        <v>302</v>
      </c>
      <c r="AC94" t="s">
        <v>19</v>
      </c>
      <c r="AD94" t="s">
        <v>19</v>
      </c>
      <c r="AE94" t="s">
        <v>19</v>
      </c>
      <c r="AF94" t="s">
        <v>302</v>
      </c>
      <c r="AG94" t="s">
        <v>303</v>
      </c>
      <c r="AH94" t="s">
        <v>292</v>
      </c>
      <c r="AI94" t="s">
        <v>19</v>
      </c>
      <c r="AJ94" t="s">
        <v>19</v>
      </c>
      <c r="AK94" t="s">
        <v>19</v>
      </c>
      <c r="AL94" t="s">
        <v>19</v>
      </c>
      <c r="AM94" t="s">
        <v>19</v>
      </c>
      <c r="AN94" t="s">
        <v>28</v>
      </c>
      <c r="AO94" t="s">
        <v>2</v>
      </c>
    </row>
    <row r="95" spans="1:41">
      <c r="A95" s="154"/>
      <c r="B95" s="35" t="s">
        <v>2179</v>
      </c>
      <c r="C95" s="44"/>
      <c r="D95" s="35" t="s">
        <v>2180</v>
      </c>
      <c r="E95" s="35"/>
      <c r="F95" s="35"/>
      <c r="G95" s="35"/>
      <c r="H95" s="35"/>
      <c r="I95" s="35"/>
      <c r="J95" s="35"/>
      <c r="K95" s="35"/>
      <c r="L95" s="193" t="s">
        <v>2226</v>
      </c>
      <c r="M95" s="35"/>
      <c r="N95" s="35"/>
      <c r="O95" s="35"/>
      <c r="P95" s="44"/>
      <c r="Q95" s="35"/>
      <c r="R95" s="35"/>
      <c r="S95" s="35"/>
      <c r="T95" s="35"/>
      <c r="U95" s="35"/>
      <c r="V95" s="35"/>
      <c r="W95" s="35"/>
      <c r="X95" s="35"/>
      <c r="Y95" s="46" t="s">
        <v>2182</v>
      </c>
      <c r="Z95">
        <v>3</v>
      </c>
      <c r="AA95" t="s">
        <v>304</v>
      </c>
      <c r="AB95" t="s">
        <v>305</v>
      </c>
      <c r="AC95" t="s">
        <v>19</v>
      </c>
      <c r="AD95" t="s">
        <v>19</v>
      </c>
      <c r="AE95" t="s">
        <v>19</v>
      </c>
      <c r="AF95" t="s">
        <v>305</v>
      </c>
      <c r="AG95" t="s">
        <v>306</v>
      </c>
      <c r="AH95" t="s">
        <v>307</v>
      </c>
      <c r="AI95" t="s">
        <v>19</v>
      </c>
      <c r="AJ95" t="s">
        <v>19</v>
      </c>
      <c r="AK95" t="s">
        <v>19</v>
      </c>
      <c r="AL95" t="s">
        <v>19</v>
      </c>
      <c r="AM95" t="s">
        <v>19</v>
      </c>
      <c r="AN95" t="s">
        <v>28</v>
      </c>
      <c r="AO95" t="s">
        <v>2</v>
      </c>
    </row>
    <row r="96" spans="1:41">
      <c r="A96" s="154"/>
      <c r="B96" s="35" t="s">
        <v>2179</v>
      </c>
      <c r="C96" s="44"/>
      <c r="D96" s="35" t="s">
        <v>2180</v>
      </c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44"/>
      <c r="Q96" s="35"/>
      <c r="R96" s="35"/>
      <c r="S96" s="35"/>
      <c r="T96" s="35"/>
      <c r="U96" s="35"/>
      <c r="V96" s="35"/>
      <c r="W96" s="35"/>
      <c r="X96" s="35"/>
      <c r="Y96" s="46" t="s">
        <v>2182</v>
      </c>
      <c r="Z96">
        <v>3</v>
      </c>
      <c r="AA96" t="s">
        <v>308</v>
      </c>
      <c r="AB96" t="s">
        <v>309</v>
      </c>
      <c r="AC96" t="s">
        <v>19</v>
      </c>
      <c r="AD96" t="s">
        <v>19</v>
      </c>
      <c r="AE96" t="s">
        <v>19</v>
      </c>
      <c r="AF96" t="s">
        <v>309</v>
      </c>
      <c r="AG96" t="s">
        <v>310</v>
      </c>
      <c r="AH96" t="s">
        <v>311</v>
      </c>
      <c r="AI96" t="s">
        <v>19</v>
      </c>
      <c r="AJ96" t="s">
        <v>19</v>
      </c>
      <c r="AK96" t="s">
        <v>19</v>
      </c>
      <c r="AL96" t="s">
        <v>19</v>
      </c>
      <c r="AM96" t="s">
        <v>19</v>
      </c>
      <c r="AN96" t="s">
        <v>28</v>
      </c>
      <c r="AO96" t="s">
        <v>2</v>
      </c>
    </row>
    <row r="97" spans="1:41">
      <c r="A97" s="154"/>
      <c r="B97" s="35" t="s">
        <v>2179</v>
      </c>
      <c r="C97" s="44"/>
      <c r="D97" s="35" t="s">
        <v>2180</v>
      </c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44"/>
      <c r="Q97" s="35"/>
      <c r="R97" s="35"/>
      <c r="S97" s="35"/>
      <c r="T97" s="35"/>
      <c r="U97" s="35"/>
      <c r="V97" s="35"/>
      <c r="W97" s="35"/>
      <c r="X97" s="35"/>
      <c r="Y97" s="46" t="s">
        <v>2182</v>
      </c>
      <c r="Z97">
        <v>3</v>
      </c>
      <c r="AA97" t="s">
        <v>312</v>
      </c>
      <c r="AB97" t="s">
        <v>313</v>
      </c>
      <c r="AC97" t="s">
        <v>19</v>
      </c>
      <c r="AD97" t="s">
        <v>19</v>
      </c>
      <c r="AE97" t="s">
        <v>19</v>
      </c>
      <c r="AF97" t="s">
        <v>313</v>
      </c>
      <c r="AG97" t="s">
        <v>314</v>
      </c>
      <c r="AH97" t="s">
        <v>315</v>
      </c>
      <c r="AI97" t="s">
        <v>19</v>
      </c>
      <c r="AJ97" t="s">
        <v>19</v>
      </c>
      <c r="AK97" t="s">
        <v>19</v>
      </c>
      <c r="AL97" t="s">
        <v>19</v>
      </c>
      <c r="AM97" t="s">
        <v>19</v>
      </c>
      <c r="AN97" t="s">
        <v>28</v>
      </c>
      <c r="AO97" t="s">
        <v>2</v>
      </c>
    </row>
    <row r="98" spans="1:41">
      <c r="A98" s="154"/>
      <c r="B98" s="35" t="s">
        <v>2179</v>
      </c>
      <c r="C98" s="44"/>
      <c r="D98" s="35" t="s">
        <v>2180</v>
      </c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44"/>
      <c r="Q98" s="35"/>
      <c r="R98" s="35"/>
      <c r="S98" s="35"/>
      <c r="T98" s="35"/>
      <c r="U98" s="35"/>
      <c r="V98" s="35"/>
      <c r="W98" s="35"/>
      <c r="X98" s="35"/>
      <c r="Y98" s="46" t="s">
        <v>2182</v>
      </c>
      <c r="Z98">
        <v>3</v>
      </c>
      <c r="AA98" t="s">
        <v>281</v>
      </c>
      <c r="AB98" t="s">
        <v>316</v>
      </c>
      <c r="AC98" t="s">
        <v>19</v>
      </c>
      <c r="AD98" t="s">
        <v>19</v>
      </c>
      <c r="AE98" t="s">
        <v>19</v>
      </c>
      <c r="AF98" t="s">
        <v>316</v>
      </c>
      <c r="AG98" t="s">
        <v>317</v>
      </c>
      <c r="AH98" t="s">
        <v>318</v>
      </c>
      <c r="AI98" t="s">
        <v>19</v>
      </c>
      <c r="AJ98" t="s">
        <v>19</v>
      </c>
      <c r="AK98" t="s">
        <v>19</v>
      </c>
      <c r="AL98" t="s">
        <v>19</v>
      </c>
      <c r="AM98" t="s">
        <v>19</v>
      </c>
      <c r="AN98" t="s">
        <v>28</v>
      </c>
      <c r="AO98" t="s">
        <v>2</v>
      </c>
    </row>
    <row r="99" spans="1:41">
      <c r="A99" s="154"/>
      <c r="B99" s="35" t="s">
        <v>2179</v>
      </c>
      <c r="C99" s="44"/>
      <c r="D99" s="35" t="s">
        <v>2195</v>
      </c>
      <c r="E99" s="35"/>
      <c r="F99" s="35" t="s">
        <v>2225</v>
      </c>
      <c r="G99" s="35"/>
      <c r="H99" s="35" t="s">
        <v>2237</v>
      </c>
      <c r="I99" s="35"/>
      <c r="J99" s="35"/>
      <c r="K99" s="35"/>
      <c r="L99" s="35"/>
      <c r="M99" s="35"/>
      <c r="N99" s="35"/>
      <c r="O99" s="35"/>
      <c r="P99" s="44"/>
      <c r="Q99" s="35"/>
      <c r="R99" s="35"/>
      <c r="S99" s="35"/>
      <c r="T99" s="35"/>
      <c r="U99" s="35"/>
      <c r="V99" s="35"/>
      <c r="W99" s="35"/>
      <c r="X99" s="35"/>
      <c r="Y99" s="46" t="s">
        <v>2189</v>
      </c>
      <c r="Z99">
        <v>3</v>
      </c>
      <c r="AA99" t="s">
        <v>319</v>
      </c>
      <c r="AB99" t="s">
        <v>320</v>
      </c>
      <c r="AC99" t="s">
        <v>19</v>
      </c>
      <c r="AD99" t="s">
        <v>19</v>
      </c>
      <c r="AE99" t="s">
        <v>19</v>
      </c>
      <c r="AF99" t="s">
        <v>320</v>
      </c>
      <c r="AG99" t="s">
        <v>321</v>
      </c>
      <c r="AH99" t="s">
        <v>322</v>
      </c>
      <c r="AI99" t="s">
        <v>19</v>
      </c>
      <c r="AJ99" t="s">
        <v>19</v>
      </c>
      <c r="AK99" t="s">
        <v>19</v>
      </c>
      <c r="AL99" t="s">
        <v>19</v>
      </c>
      <c r="AM99" t="s">
        <v>19</v>
      </c>
      <c r="AN99" t="s">
        <v>28</v>
      </c>
      <c r="AO99" t="s">
        <v>2</v>
      </c>
    </row>
    <row r="100" spans="1:41">
      <c r="A100" s="154"/>
      <c r="B100" s="35" t="s">
        <v>2179</v>
      </c>
      <c r="C100" s="44"/>
      <c r="D100" s="35" t="s">
        <v>2195</v>
      </c>
      <c r="E100" s="35"/>
      <c r="F100" s="35" t="s">
        <v>2225</v>
      </c>
      <c r="G100" s="35"/>
      <c r="H100" s="35" t="s">
        <v>2225</v>
      </c>
      <c r="I100" s="35"/>
      <c r="J100" s="35"/>
      <c r="K100" s="35"/>
      <c r="L100" s="35"/>
      <c r="M100" s="35"/>
      <c r="N100" s="35"/>
      <c r="O100" s="35"/>
      <c r="P100" s="44"/>
      <c r="Q100" s="35"/>
      <c r="R100" s="35"/>
      <c r="S100" s="35"/>
      <c r="T100" s="35"/>
      <c r="U100" s="35"/>
      <c r="V100" s="35"/>
      <c r="W100" s="35"/>
      <c r="X100" s="35"/>
      <c r="Y100" s="46" t="s">
        <v>2189</v>
      </c>
      <c r="Z100">
        <v>3</v>
      </c>
      <c r="AA100" t="s">
        <v>312</v>
      </c>
      <c r="AB100" t="s">
        <v>323</v>
      </c>
      <c r="AC100" t="s">
        <v>19</v>
      </c>
      <c r="AD100" t="s">
        <v>19</v>
      </c>
      <c r="AE100" t="s">
        <v>19</v>
      </c>
      <c r="AF100" t="s">
        <v>323</v>
      </c>
      <c r="AG100" t="s">
        <v>324</v>
      </c>
      <c r="AH100" t="s">
        <v>315</v>
      </c>
      <c r="AI100" t="s">
        <v>19</v>
      </c>
      <c r="AJ100" t="s">
        <v>19</v>
      </c>
      <c r="AK100" t="s">
        <v>19</v>
      </c>
      <c r="AL100" t="s">
        <v>19</v>
      </c>
      <c r="AM100" t="s">
        <v>19</v>
      </c>
      <c r="AN100" t="s">
        <v>28</v>
      </c>
      <c r="AO100" t="s">
        <v>2</v>
      </c>
    </row>
    <row r="101" spans="1:41">
      <c r="A101" s="154"/>
      <c r="B101" s="35" t="s">
        <v>2179</v>
      </c>
      <c r="C101" s="44"/>
      <c r="D101" s="35" t="s">
        <v>2195</v>
      </c>
      <c r="E101" s="35"/>
      <c r="F101" s="35" t="s">
        <v>2225</v>
      </c>
      <c r="G101" s="35"/>
      <c r="H101" s="35" t="s">
        <v>2225</v>
      </c>
      <c r="I101" s="35"/>
      <c r="J101" s="35"/>
      <c r="K101" s="35"/>
      <c r="L101" s="35"/>
      <c r="M101" s="35"/>
      <c r="N101" s="35"/>
      <c r="O101" s="35"/>
      <c r="P101" s="44"/>
      <c r="Q101" s="35"/>
      <c r="R101" s="35"/>
      <c r="S101" s="35"/>
      <c r="T101" s="35"/>
      <c r="U101" s="35"/>
      <c r="V101" s="35"/>
      <c r="W101" s="35"/>
      <c r="X101" s="35"/>
      <c r="Y101" s="46" t="s">
        <v>2189</v>
      </c>
      <c r="Z101">
        <v>3</v>
      </c>
      <c r="AA101" t="s">
        <v>312</v>
      </c>
      <c r="AB101" t="s">
        <v>325</v>
      </c>
      <c r="AC101" t="s">
        <v>19</v>
      </c>
      <c r="AD101" t="s">
        <v>19</v>
      </c>
      <c r="AE101" t="s">
        <v>19</v>
      </c>
      <c r="AF101" t="s">
        <v>325</v>
      </c>
      <c r="AG101" t="s">
        <v>326</v>
      </c>
      <c r="AH101" t="s">
        <v>315</v>
      </c>
      <c r="AI101" t="s">
        <v>19</v>
      </c>
      <c r="AJ101" t="s">
        <v>19</v>
      </c>
      <c r="AK101" t="s">
        <v>19</v>
      </c>
      <c r="AL101" t="s">
        <v>19</v>
      </c>
      <c r="AM101" t="s">
        <v>19</v>
      </c>
      <c r="AN101" t="s">
        <v>28</v>
      </c>
      <c r="AO101" t="s">
        <v>2</v>
      </c>
    </row>
    <row r="102" spans="1:41">
      <c r="A102" s="154"/>
      <c r="B102" s="35" t="s">
        <v>2179</v>
      </c>
      <c r="C102" s="44"/>
      <c r="D102" s="35" t="s">
        <v>2195</v>
      </c>
      <c r="E102" s="35"/>
      <c r="F102" s="35" t="s">
        <v>2225</v>
      </c>
      <c r="G102" s="35"/>
      <c r="H102" s="35" t="s">
        <v>2225</v>
      </c>
      <c r="I102" s="35"/>
      <c r="J102" s="35"/>
      <c r="K102" s="35"/>
      <c r="L102" s="35"/>
      <c r="M102" s="35"/>
      <c r="N102" s="35"/>
      <c r="O102" s="35"/>
      <c r="P102" s="44"/>
      <c r="Q102" s="35"/>
      <c r="R102" s="35"/>
      <c r="S102" s="35"/>
      <c r="T102" s="35"/>
      <c r="U102" s="35"/>
      <c r="V102" s="35"/>
      <c r="W102" s="35"/>
      <c r="X102" s="35"/>
      <c r="Y102" s="46" t="s">
        <v>2189</v>
      </c>
      <c r="Z102">
        <v>3</v>
      </c>
      <c r="AA102" t="s">
        <v>312</v>
      </c>
      <c r="AB102" t="s">
        <v>327</v>
      </c>
      <c r="AC102" t="s">
        <v>19</v>
      </c>
      <c r="AD102" t="s">
        <v>19</v>
      </c>
      <c r="AE102" t="s">
        <v>19</v>
      </c>
      <c r="AF102" t="s">
        <v>327</v>
      </c>
      <c r="AG102" t="s">
        <v>328</v>
      </c>
      <c r="AH102" t="s">
        <v>315</v>
      </c>
      <c r="AI102" t="s">
        <v>19</v>
      </c>
      <c r="AJ102" t="s">
        <v>19</v>
      </c>
      <c r="AK102" t="s">
        <v>19</v>
      </c>
      <c r="AL102" t="s">
        <v>19</v>
      </c>
      <c r="AM102" t="s">
        <v>19</v>
      </c>
      <c r="AN102" t="s">
        <v>28</v>
      </c>
      <c r="AO102" t="s">
        <v>2</v>
      </c>
    </row>
    <row r="103" spans="1:41">
      <c r="A103" s="154"/>
      <c r="B103" s="35" t="s">
        <v>2179</v>
      </c>
      <c r="C103" s="44"/>
      <c r="D103" s="35" t="s">
        <v>2180</v>
      </c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44"/>
      <c r="Q103" s="35"/>
      <c r="R103" s="35"/>
      <c r="S103" s="35"/>
      <c r="T103" s="35"/>
      <c r="U103" s="35"/>
      <c r="V103" s="35"/>
      <c r="W103" s="35"/>
      <c r="X103" s="35"/>
      <c r="Y103" s="46" t="s">
        <v>2182</v>
      </c>
      <c r="Z103">
        <v>3</v>
      </c>
      <c r="AA103" t="s">
        <v>293</v>
      </c>
      <c r="AB103" t="s">
        <v>329</v>
      </c>
      <c r="AC103" t="s">
        <v>19</v>
      </c>
      <c r="AD103" t="s">
        <v>19</v>
      </c>
      <c r="AE103" t="s">
        <v>19</v>
      </c>
      <c r="AF103" t="s">
        <v>329</v>
      </c>
      <c r="AG103" t="s">
        <v>330</v>
      </c>
      <c r="AH103" t="s">
        <v>331</v>
      </c>
      <c r="AI103" t="s">
        <v>19</v>
      </c>
      <c r="AJ103" t="s">
        <v>19</v>
      </c>
      <c r="AK103" t="s">
        <v>19</v>
      </c>
      <c r="AL103" t="s">
        <v>19</v>
      </c>
      <c r="AM103" t="s">
        <v>19</v>
      </c>
      <c r="AN103" t="s">
        <v>28</v>
      </c>
      <c r="AO103" t="s">
        <v>2</v>
      </c>
    </row>
    <row r="104" spans="1:41">
      <c r="A104" s="154"/>
      <c r="B104" s="35" t="s">
        <v>2179</v>
      </c>
      <c r="C104" s="44"/>
      <c r="D104" s="35" t="s">
        <v>2195</v>
      </c>
      <c r="E104" s="35"/>
      <c r="F104" s="35" t="s">
        <v>2225</v>
      </c>
      <c r="G104" s="35"/>
      <c r="H104" s="35" t="s">
        <v>2237</v>
      </c>
      <c r="I104" s="35"/>
      <c r="J104" s="35"/>
      <c r="K104" s="35"/>
      <c r="L104" s="35"/>
      <c r="M104" s="35"/>
      <c r="N104" s="35"/>
      <c r="O104" s="35"/>
      <c r="P104" s="44"/>
      <c r="Q104" s="35"/>
      <c r="R104" s="35"/>
      <c r="S104" s="35"/>
      <c r="T104" s="35"/>
      <c r="U104" s="35"/>
      <c r="V104" s="35"/>
      <c r="W104" s="35"/>
      <c r="X104" s="35"/>
      <c r="Y104" s="46" t="s">
        <v>2189</v>
      </c>
      <c r="Z104">
        <v>3</v>
      </c>
      <c r="AA104" t="s">
        <v>281</v>
      </c>
      <c r="AB104" t="s">
        <v>332</v>
      </c>
      <c r="AC104" t="s">
        <v>19</v>
      </c>
      <c r="AD104" t="s">
        <v>19</v>
      </c>
      <c r="AE104" t="s">
        <v>19</v>
      </c>
      <c r="AF104" t="s">
        <v>332</v>
      </c>
      <c r="AG104" t="s">
        <v>317</v>
      </c>
      <c r="AH104" t="s">
        <v>318</v>
      </c>
      <c r="AI104" t="s">
        <v>19</v>
      </c>
      <c r="AJ104" t="s">
        <v>19</v>
      </c>
      <c r="AK104" t="s">
        <v>19</v>
      </c>
      <c r="AL104" t="s">
        <v>19</v>
      </c>
      <c r="AM104" t="s">
        <v>19</v>
      </c>
      <c r="AN104" t="s">
        <v>28</v>
      </c>
      <c r="AO104" t="s">
        <v>2</v>
      </c>
    </row>
    <row r="105" spans="1:41">
      <c r="A105" s="154"/>
      <c r="B105" s="35" t="s">
        <v>2179</v>
      </c>
      <c r="C105" s="44"/>
      <c r="D105" s="35" t="s">
        <v>2180</v>
      </c>
      <c r="E105" s="35"/>
      <c r="F105" s="35"/>
      <c r="G105" s="35"/>
      <c r="H105" s="35"/>
      <c r="I105" s="35"/>
      <c r="J105" s="35"/>
      <c r="K105" s="35"/>
      <c r="L105" s="47" t="s">
        <v>2226</v>
      </c>
      <c r="M105" s="35"/>
      <c r="N105" s="35"/>
      <c r="O105" s="35"/>
      <c r="P105" s="44"/>
      <c r="Q105" s="35"/>
      <c r="R105" s="35"/>
      <c r="S105" s="35"/>
      <c r="T105" s="35"/>
      <c r="U105" s="35"/>
      <c r="V105" s="35"/>
      <c r="W105" s="35"/>
      <c r="X105" s="35"/>
      <c r="Y105" s="46" t="s">
        <v>2182</v>
      </c>
      <c r="Z105">
        <v>3</v>
      </c>
      <c r="AA105" t="s">
        <v>333</v>
      </c>
      <c r="AB105" t="s">
        <v>334</v>
      </c>
      <c r="AC105" t="s">
        <v>19</v>
      </c>
      <c r="AD105" t="s">
        <v>19</v>
      </c>
      <c r="AE105" t="s">
        <v>19</v>
      </c>
      <c r="AF105" t="s">
        <v>334</v>
      </c>
      <c r="AG105" t="s">
        <v>335</v>
      </c>
      <c r="AH105" t="s">
        <v>336</v>
      </c>
      <c r="AI105" t="s">
        <v>19</v>
      </c>
      <c r="AJ105" t="s">
        <v>19</v>
      </c>
      <c r="AK105" t="s">
        <v>19</v>
      </c>
      <c r="AL105" t="s">
        <v>19</v>
      </c>
      <c r="AM105" t="s">
        <v>19</v>
      </c>
      <c r="AN105" t="s">
        <v>28</v>
      </c>
      <c r="AO105" t="s">
        <v>2</v>
      </c>
    </row>
    <row r="106" spans="1:41">
      <c r="A106" s="154"/>
      <c r="B106" s="35" t="s">
        <v>2179</v>
      </c>
      <c r="C106" s="44"/>
      <c r="D106" s="35" t="s">
        <v>2180</v>
      </c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44"/>
      <c r="Q106" s="35"/>
      <c r="R106" s="35"/>
      <c r="S106" s="35"/>
      <c r="T106" s="35"/>
      <c r="U106" s="35"/>
      <c r="V106" s="35"/>
      <c r="W106" s="35"/>
      <c r="X106" s="35"/>
      <c r="Y106" s="46" t="s">
        <v>2182</v>
      </c>
      <c r="Z106">
        <v>3</v>
      </c>
      <c r="AA106" t="s">
        <v>293</v>
      </c>
      <c r="AB106" t="s">
        <v>337</v>
      </c>
      <c r="AC106" t="s">
        <v>19</v>
      </c>
      <c r="AD106" t="s">
        <v>19</v>
      </c>
      <c r="AE106" t="s">
        <v>19</v>
      </c>
      <c r="AF106" t="s">
        <v>337</v>
      </c>
      <c r="AG106" t="s">
        <v>338</v>
      </c>
      <c r="AH106" t="s">
        <v>339</v>
      </c>
      <c r="AI106" t="s">
        <v>19</v>
      </c>
      <c r="AJ106" t="s">
        <v>19</v>
      </c>
      <c r="AK106" t="s">
        <v>19</v>
      </c>
      <c r="AL106" t="s">
        <v>19</v>
      </c>
      <c r="AM106" t="s">
        <v>19</v>
      </c>
      <c r="AN106" t="s">
        <v>28</v>
      </c>
      <c r="AO106" t="s">
        <v>2</v>
      </c>
    </row>
    <row r="107" spans="1:41">
      <c r="A107" s="154"/>
      <c r="B107" s="35" t="s">
        <v>2179</v>
      </c>
      <c r="C107" s="44"/>
      <c r="D107" s="35" t="s">
        <v>2180</v>
      </c>
      <c r="E107" s="35"/>
      <c r="F107" s="35"/>
      <c r="G107" s="35"/>
      <c r="H107" s="35"/>
      <c r="I107" s="35"/>
      <c r="J107" s="35"/>
      <c r="K107" s="35"/>
      <c r="L107" s="47" t="s">
        <v>2226</v>
      </c>
      <c r="M107" s="35"/>
      <c r="N107" s="35"/>
      <c r="O107" s="35"/>
      <c r="P107" s="44"/>
      <c r="Q107" s="35"/>
      <c r="R107" s="35"/>
      <c r="S107" s="35"/>
      <c r="T107" s="35"/>
      <c r="U107" s="35"/>
      <c r="V107" s="35"/>
      <c r="W107" s="35"/>
      <c r="X107" s="35"/>
      <c r="Y107" s="46" t="s">
        <v>2182</v>
      </c>
      <c r="Z107">
        <v>3</v>
      </c>
      <c r="AA107" t="s">
        <v>333</v>
      </c>
      <c r="AB107" t="s">
        <v>340</v>
      </c>
      <c r="AC107" t="s">
        <v>19</v>
      </c>
      <c r="AD107" t="s">
        <v>19</v>
      </c>
      <c r="AE107" t="s">
        <v>19</v>
      </c>
      <c r="AF107" t="s">
        <v>340</v>
      </c>
      <c r="AG107" t="s">
        <v>341</v>
      </c>
      <c r="AH107" t="s">
        <v>336</v>
      </c>
      <c r="AI107" t="s">
        <v>19</v>
      </c>
      <c r="AJ107" t="s">
        <v>19</v>
      </c>
      <c r="AK107" t="s">
        <v>19</v>
      </c>
      <c r="AL107" t="s">
        <v>19</v>
      </c>
      <c r="AM107" t="s">
        <v>19</v>
      </c>
      <c r="AN107" t="s">
        <v>28</v>
      </c>
      <c r="AO107" t="s">
        <v>2</v>
      </c>
    </row>
    <row r="108" spans="1:41">
      <c r="A108" s="154"/>
      <c r="B108" s="35" t="s">
        <v>2179</v>
      </c>
      <c r="C108" s="44"/>
      <c r="D108" s="35" t="s">
        <v>2180</v>
      </c>
      <c r="E108" s="35"/>
      <c r="F108" s="35"/>
      <c r="G108" s="35"/>
      <c r="H108" s="35"/>
      <c r="I108" s="35"/>
      <c r="J108" s="35"/>
      <c r="K108" s="35"/>
      <c r="L108" s="47" t="s">
        <v>2226</v>
      </c>
      <c r="M108" s="35"/>
      <c r="N108" s="35"/>
      <c r="O108" s="35"/>
      <c r="P108" s="44"/>
      <c r="Q108" s="35"/>
      <c r="R108" s="35"/>
      <c r="S108" s="35"/>
      <c r="T108" s="35"/>
      <c r="U108" s="35"/>
      <c r="V108" s="35"/>
      <c r="W108" s="35"/>
      <c r="X108" s="35"/>
      <c r="Y108" s="46" t="s">
        <v>2182</v>
      </c>
      <c r="Z108">
        <v>3</v>
      </c>
      <c r="AA108" t="s">
        <v>333</v>
      </c>
      <c r="AB108" t="s">
        <v>342</v>
      </c>
      <c r="AC108" t="s">
        <v>19</v>
      </c>
      <c r="AD108" t="s">
        <v>19</v>
      </c>
      <c r="AE108" t="s">
        <v>19</v>
      </c>
      <c r="AF108" t="s">
        <v>342</v>
      </c>
      <c r="AG108" t="s">
        <v>343</v>
      </c>
      <c r="AH108" t="s">
        <v>336</v>
      </c>
      <c r="AI108" t="s">
        <v>19</v>
      </c>
      <c r="AJ108" t="s">
        <v>19</v>
      </c>
      <c r="AK108" t="s">
        <v>19</v>
      </c>
      <c r="AL108" t="s">
        <v>19</v>
      </c>
      <c r="AM108" t="s">
        <v>19</v>
      </c>
      <c r="AN108" t="s">
        <v>28</v>
      </c>
      <c r="AO108" t="s">
        <v>2</v>
      </c>
    </row>
    <row r="109" spans="1:41">
      <c r="A109" s="154"/>
      <c r="B109" s="35" t="s">
        <v>2179</v>
      </c>
      <c r="C109" s="44"/>
      <c r="D109" s="35" t="s">
        <v>2190</v>
      </c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44"/>
      <c r="Q109" s="35"/>
      <c r="R109" s="35"/>
      <c r="S109" s="35"/>
      <c r="T109" s="35"/>
      <c r="U109" s="35"/>
      <c r="V109" s="35"/>
      <c r="W109" s="35"/>
      <c r="X109" s="35"/>
      <c r="Y109" s="46" t="s">
        <v>2189</v>
      </c>
      <c r="Z109">
        <v>3</v>
      </c>
      <c r="AA109" t="s">
        <v>312</v>
      </c>
      <c r="AB109" t="s">
        <v>344</v>
      </c>
      <c r="AC109" t="s">
        <v>19</v>
      </c>
      <c r="AD109" t="s">
        <v>19</v>
      </c>
      <c r="AE109" t="s">
        <v>19</v>
      </c>
      <c r="AF109" t="s">
        <v>344</v>
      </c>
      <c r="AG109" t="s">
        <v>345</v>
      </c>
      <c r="AH109" t="s">
        <v>315</v>
      </c>
      <c r="AI109" t="s">
        <v>19</v>
      </c>
      <c r="AJ109" t="s">
        <v>19</v>
      </c>
      <c r="AK109" t="s">
        <v>19</v>
      </c>
      <c r="AL109" t="s">
        <v>19</v>
      </c>
      <c r="AM109" t="s">
        <v>19</v>
      </c>
      <c r="AN109" t="s">
        <v>28</v>
      </c>
      <c r="AO109" t="s">
        <v>2</v>
      </c>
    </row>
    <row r="110" spans="1:41">
      <c r="A110" s="154"/>
      <c r="B110" s="35" t="s">
        <v>2179</v>
      </c>
      <c r="C110" s="44"/>
      <c r="D110" s="35" t="s">
        <v>2180</v>
      </c>
      <c r="E110" s="35"/>
      <c r="F110" s="35"/>
      <c r="G110" s="35"/>
      <c r="H110" s="35"/>
      <c r="I110" s="35"/>
      <c r="J110" s="35"/>
      <c r="K110" s="35"/>
      <c r="L110" s="47" t="s">
        <v>2226</v>
      </c>
      <c r="M110" s="35"/>
      <c r="N110" s="35"/>
      <c r="O110" s="35"/>
      <c r="P110" s="44"/>
      <c r="Q110" s="35"/>
      <c r="R110" s="35"/>
      <c r="S110" s="35"/>
      <c r="T110" s="35"/>
      <c r="U110" s="35"/>
      <c r="V110" s="35"/>
      <c r="W110" s="35"/>
      <c r="X110" s="35"/>
      <c r="Y110" s="46" t="s">
        <v>2182</v>
      </c>
      <c r="Z110">
        <v>3</v>
      </c>
      <c r="AA110" t="s">
        <v>289</v>
      </c>
      <c r="AB110" t="s">
        <v>346</v>
      </c>
      <c r="AC110" t="s">
        <v>19</v>
      </c>
      <c r="AD110" t="s">
        <v>19</v>
      </c>
      <c r="AE110" t="s">
        <v>19</v>
      </c>
      <c r="AF110" t="s">
        <v>346</v>
      </c>
      <c r="AG110" t="s">
        <v>347</v>
      </c>
      <c r="AH110" t="s">
        <v>292</v>
      </c>
      <c r="AI110" t="s">
        <v>19</v>
      </c>
      <c r="AJ110" t="s">
        <v>19</v>
      </c>
      <c r="AK110" t="s">
        <v>19</v>
      </c>
      <c r="AL110" t="s">
        <v>19</v>
      </c>
      <c r="AM110" t="s">
        <v>19</v>
      </c>
      <c r="AN110" t="s">
        <v>28</v>
      </c>
      <c r="AO110" t="s">
        <v>2</v>
      </c>
    </row>
    <row r="111" spans="1:41">
      <c r="A111" s="154"/>
      <c r="B111" s="35" t="s">
        <v>2179</v>
      </c>
      <c r="C111" s="44"/>
      <c r="D111" s="35" t="s">
        <v>2180</v>
      </c>
      <c r="E111" s="35"/>
      <c r="F111" s="35"/>
      <c r="G111" s="35"/>
      <c r="H111" s="35"/>
      <c r="I111" s="35"/>
      <c r="J111" s="35"/>
      <c r="K111" s="35"/>
      <c r="L111" s="47" t="s">
        <v>2226</v>
      </c>
      <c r="M111" s="35"/>
      <c r="N111" s="35"/>
      <c r="O111" s="35"/>
      <c r="P111" s="44"/>
      <c r="Q111" s="35"/>
      <c r="R111" s="35"/>
      <c r="S111" s="35"/>
      <c r="T111" s="35"/>
      <c r="U111" s="35"/>
      <c r="V111" s="35"/>
      <c r="W111" s="35"/>
      <c r="X111" s="35"/>
      <c r="Y111" s="46" t="s">
        <v>2182</v>
      </c>
      <c r="Z111">
        <v>3</v>
      </c>
      <c r="AA111" t="s">
        <v>333</v>
      </c>
      <c r="AB111" t="s">
        <v>348</v>
      </c>
      <c r="AC111" t="s">
        <v>19</v>
      </c>
      <c r="AD111" t="s">
        <v>19</v>
      </c>
      <c r="AE111" t="s">
        <v>19</v>
      </c>
      <c r="AF111" t="s">
        <v>348</v>
      </c>
      <c r="AG111" t="s">
        <v>349</v>
      </c>
      <c r="AH111" t="s">
        <v>350</v>
      </c>
      <c r="AI111" t="s">
        <v>19</v>
      </c>
      <c r="AJ111" t="s">
        <v>19</v>
      </c>
      <c r="AK111" t="s">
        <v>19</v>
      </c>
      <c r="AL111" t="s">
        <v>19</v>
      </c>
      <c r="AM111" t="s">
        <v>19</v>
      </c>
      <c r="AN111" t="s">
        <v>28</v>
      </c>
      <c r="AO111" t="s">
        <v>2</v>
      </c>
    </row>
    <row r="112" spans="1:41">
      <c r="A112" s="154"/>
      <c r="B112" s="35" t="s">
        <v>2179</v>
      </c>
      <c r="C112" s="44"/>
      <c r="D112" s="35" t="s">
        <v>2180</v>
      </c>
      <c r="E112" s="35"/>
      <c r="F112" s="35"/>
      <c r="G112" s="35"/>
      <c r="H112" s="35"/>
      <c r="I112" s="35"/>
      <c r="J112" s="35"/>
      <c r="K112" s="35"/>
      <c r="L112" s="47" t="s">
        <v>2226</v>
      </c>
      <c r="M112" s="35"/>
      <c r="N112" s="35"/>
      <c r="O112" s="35"/>
      <c r="P112" s="44"/>
      <c r="Q112" s="35"/>
      <c r="R112" s="35"/>
      <c r="S112" s="35"/>
      <c r="T112" s="35"/>
      <c r="U112" s="35"/>
      <c r="V112" s="35"/>
      <c r="W112" s="35"/>
      <c r="X112" s="35"/>
      <c r="Y112" s="46" t="s">
        <v>2182</v>
      </c>
      <c r="Z112">
        <v>3</v>
      </c>
      <c r="AA112" t="s">
        <v>333</v>
      </c>
      <c r="AB112" t="s">
        <v>351</v>
      </c>
      <c r="AC112" t="s">
        <v>19</v>
      </c>
      <c r="AD112" t="s">
        <v>19</v>
      </c>
      <c r="AE112" t="s">
        <v>19</v>
      </c>
      <c r="AF112" t="s">
        <v>351</v>
      </c>
      <c r="AG112" t="s">
        <v>352</v>
      </c>
      <c r="AH112" t="s">
        <v>350</v>
      </c>
      <c r="AI112" t="s">
        <v>19</v>
      </c>
      <c r="AJ112" t="s">
        <v>19</v>
      </c>
      <c r="AK112" t="s">
        <v>19</v>
      </c>
      <c r="AL112" t="s">
        <v>19</v>
      </c>
      <c r="AM112" t="s">
        <v>19</v>
      </c>
      <c r="AN112" t="s">
        <v>28</v>
      </c>
      <c r="AO112" t="s">
        <v>2</v>
      </c>
    </row>
    <row r="113" spans="1:41" s="154" customFormat="1">
      <c r="A113" s="154">
        <v>501</v>
      </c>
      <c r="B113" s="156" t="s">
        <v>2179</v>
      </c>
      <c r="C113" s="156"/>
      <c r="D113" s="156" t="s">
        <v>2180</v>
      </c>
      <c r="E113" s="156"/>
      <c r="F113" s="156"/>
      <c r="G113" s="156"/>
      <c r="H113" s="156"/>
      <c r="I113" s="156"/>
      <c r="J113" s="156"/>
      <c r="K113" s="156"/>
      <c r="L113" s="190" t="s">
        <v>2226</v>
      </c>
      <c r="M113" s="156"/>
      <c r="N113" s="156"/>
      <c r="O113" s="156"/>
      <c r="P113" s="156"/>
      <c r="Q113" s="156"/>
      <c r="R113" s="156"/>
      <c r="S113" s="156"/>
      <c r="T113" s="156"/>
      <c r="U113" s="156"/>
      <c r="V113" s="156"/>
      <c r="W113" s="156"/>
      <c r="X113" s="156"/>
      <c r="Y113" s="191" t="s">
        <v>2182</v>
      </c>
      <c r="Z113" s="154">
        <v>3</v>
      </c>
      <c r="AA113" s="153" t="s">
        <v>304</v>
      </c>
      <c r="AB113" s="153" t="s">
        <v>2349</v>
      </c>
      <c r="AC113" s="153" t="s">
        <v>19</v>
      </c>
      <c r="AD113" s="153" t="s">
        <v>19</v>
      </c>
      <c r="AE113" s="153" t="s">
        <v>19</v>
      </c>
      <c r="AF113" s="153" t="s">
        <v>2349</v>
      </c>
      <c r="AG113" s="153" t="s">
        <v>2348</v>
      </c>
      <c r="AH113" s="153" t="s">
        <v>307</v>
      </c>
      <c r="AI113" s="153" t="s">
        <v>19</v>
      </c>
      <c r="AJ113" s="153" t="s">
        <v>19</v>
      </c>
      <c r="AK113" s="153" t="s">
        <v>19</v>
      </c>
      <c r="AL113" s="153" t="s">
        <v>19</v>
      </c>
      <c r="AM113" s="153" t="s">
        <v>19</v>
      </c>
      <c r="AN113" s="153" t="s">
        <v>28</v>
      </c>
      <c r="AO113" s="153" t="s">
        <v>2</v>
      </c>
    </row>
    <row r="114" spans="1:41">
      <c r="A114" s="154"/>
      <c r="B114" s="35" t="s">
        <v>2179</v>
      </c>
      <c r="C114" s="44"/>
      <c r="D114" s="35" t="s">
        <v>2180</v>
      </c>
      <c r="E114" s="35"/>
      <c r="F114" s="35"/>
      <c r="G114" s="35"/>
      <c r="H114" s="35"/>
      <c r="I114" s="35"/>
      <c r="J114" s="35"/>
      <c r="K114" s="35"/>
      <c r="L114" s="48" t="s">
        <v>2226</v>
      </c>
      <c r="M114" s="35"/>
      <c r="N114" s="35"/>
      <c r="O114" s="35"/>
      <c r="P114" s="44"/>
      <c r="Q114" s="35"/>
      <c r="R114" s="35"/>
      <c r="S114" s="35"/>
      <c r="T114" s="35"/>
      <c r="U114" s="35"/>
      <c r="V114" s="35"/>
      <c r="W114" s="35"/>
      <c r="X114" s="35"/>
      <c r="Y114" s="46" t="s">
        <v>2182</v>
      </c>
      <c r="Z114">
        <v>3</v>
      </c>
      <c r="AA114" t="s">
        <v>304</v>
      </c>
      <c r="AB114" t="s">
        <v>353</v>
      </c>
      <c r="AC114" t="s">
        <v>19</v>
      </c>
      <c r="AD114" t="s">
        <v>19</v>
      </c>
      <c r="AE114" t="s">
        <v>19</v>
      </c>
      <c r="AF114" t="s">
        <v>353</v>
      </c>
      <c r="AG114" t="s">
        <v>354</v>
      </c>
      <c r="AH114" t="s">
        <v>307</v>
      </c>
      <c r="AI114" t="s">
        <v>19</v>
      </c>
      <c r="AJ114" t="s">
        <v>19</v>
      </c>
      <c r="AK114" t="s">
        <v>19</v>
      </c>
      <c r="AL114" t="s">
        <v>19</v>
      </c>
      <c r="AM114" t="s">
        <v>19</v>
      </c>
      <c r="AN114" t="s">
        <v>28</v>
      </c>
      <c r="AO114" t="s">
        <v>2</v>
      </c>
    </row>
    <row r="115" spans="1:41">
      <c r="A115" s="154"/>
      <c r="B115" s="35" t="s">
        <v>2179</v>
      </c>
      <c r="C115" s="44"/>
      <c r="D115" s="35" t="s">
        <v>2180</v>
      </c>
      <c r="E115" s="35"/>
      <c r="F115" s="35"/>
      <c r="G115" s="35"/>
      <c r="H115" s="35"/>
      <c r="I115" s="35"/>
      <c r="J115" s="35"/>
      <c r="K115" s="35"/>
      <c r="L115" s="35" t="s">
        <v>2226</v>
      </c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46" t="s">
        <v>2182</v>
      </c>
      <c r="Z115">
        <v>3</v>
      </c>
      <c r="AA115" t="s">
        <v>289</v>
      </c>
      <c r="AB115" t="s">
        <v>355</v>
      </c>
      <c r="AC115" t="s">
        <v>19</v>
      </c>
      <c r="AD115" t="s">
        <v>19</v>
      </c>
      <c r="AE115" t="s">
        <v>19</v>
      </c>
      <c r="AF115" t="s">
        <v>355</v>
      </c>
      <c r="AG115" t="s">
        <v>356</v>
      </c>
      <c r="AH115" t="s">
        <v>292</v>
      </c>
      <c r="AI115" t="s">
        <v>19</v>
      </c>
      <c r="AJ115" t="s">
        <v>19</v>
      </c>
      <c r="AK115" t="s">
        <v>19</v>
      </c>
      <c r="AL115" t="s">
        <v>19</v>
      </c>
      <c r="AM115" t="s">
        <v>19</v>
      </c>
      <c r="AN115" t="s">
        <v>28</v>
      </c>
      <c r="AO115" t="s">
        <v>2</v>
      </c>
    </row>
    <row r="116" spans="1:41">
      <c r="A116" s="154"/>
      <c r="B116" s="35" t="s">
        <v>2179</v>
      </c>
      <c r="C116" s="44"/>
      <c r="D116" s="35" t="s">
        <v>2180</v>
      </c>
      <c r="E116" s="35"/>
      <c r="F116" s="35"/>
      <c r="G116" s="35"/>
      <c r="H116" s="35"/>
      <c r="I116" s="35"/>
      <c r="J116" s="35"/>
      <c r="K116" s="35"/>
      <c r="L116" s="48" t="s">
        <v>2226</v>
      </c>
      <c r="M116" s="35"/>
      <c r="N116" s="35"/>
      <c r="O116" s="35"/>
      <c r="P116" s="44"/>
      <c r="Q116" s="35"/>
      <c r="R116" s="35"/>
      <c r="S116" s="35"/>
      <c r="T116" s="35"/>
      <c r="U116" s="35"/>
      <c r="V116" s="35"/>
      <c r="W116" s="35"/>
      <c r="X116" s="35"/>
      <c r="Y116" s="46" t="s">
        <v>2182</v>
      </c>
      <c r="Z116">
        <v>3</v>
      </c>
      <c r="AA116" t="s">
        <v>304</v>
      </c>
      <c r="AB116" t="s">
        <v>357</v>
      </c>
      <c r="AC116" t="s">
        <v>19</v>
      </c>
      <c r="AD116" t="s">
        <v>19</v>
      </c>
      <c r="AE116" t="s">
        <v>19</v>
      </c>
      <c r="AF116" t="s">
        <v>357</v>
      </c>
      <c r="AG116" t="s">
        <v>358</v>
      </c>
      <c r="AH116" t="s">
        <v>307</v>
      </c>
      <c r="AI116" t="s">
        <v>19</v>
      </c>
      <c r="AJ116" t="s">
        <v>19</v>
      </c>
      <c r="AK116" t="s">
        <v>19</v>
      </c>
      <c r="AL116" t="s">
        <v>19</v>
      </c>
      <c r="AM116" t="s">
        <v>19</v>
      </c>
      <c r="AN116" t="s">
        <v>28</v>
      </c>
      <c r="AO116" t="s">
        <v>2</v>
      </c>
    </row>
    <row r="117" spans="1:41">
      <c r="A117" s="154"/>
      <c r="B117" s="35" t="s">
        <v>2179</v>
      </c>
      <c r="C117" s="44"/>
      <c r="D117" s="35" t="s">
        <v>2180</v>
      </c>
      <c r="E117" s="35"/>
      <c r="F117" s="35"/>
      <c r="G117" s="35"/>
      <c r="H117" s="35"/>
      <c r="I117" s="35"/>
      <c r="J117" s="35"/>
      <c r="K117" s="35"/>
      <c r="L117" s="47" t="s">
        <v>2226</v>
      </c>
      <c r="M117" s="35"/>
      <c r="N117" s="35"/>
      <c r="O117" s="35"/>
      <c r="P117" s="44"/>
      <c r="Q117" s="35"/>
      <c r="R117" s="35"/>
      <c r="S117" s="35"/>
      <c r="T117" s="35"/>
      <c r="U117" s="35"/>
      <c r="V117" s="35"/>
      <c r="W117" s="35"/>
      <c r="X117" s="35"/>
      <c r="Y117" s="46" t="s">
        <v>2182</v>
      </c>
      <c r="Z117">
        <v>3</v>
      </c>
      <c r="AA117" t="s">
        <v>289</v>
      </c>
      <c r="AB117" t="s">
        <v>359</v>
      </c>
      <c r="AC117" t="s">
        <v>19</v>
      </c>
      <c r="AD117" t="s">
        <v>19</v>
      </c>
      <c r="AE117" t="s">
        <v>19</v>
      </c>
      <c r="AF117" t="s">
        <v>359</v>
      </c>
      <c r="AG117" t="s">
        <v>360</v>
      </c>
      <c r="AH117" t="s">
        <v>292</v>
      </c>
      <c r="AI117" t="s">
        <v>19</v>
      </c>
      <c r="AJ117" t="s">
        <v>19</v>
      </c>
      <c r="AK117" t="s">
        <v>19</v>
      </c>
      <c r="AL117" t="s">
        <v>19</v>
      </c>
      <c r="AM117" t="s">
        <v>19</v>
      </c>
      <c r="AN117" t="s">
        <v>28</v>
      </c>
      <c r="AO117" t="s">
        <v>2</v>
      </c>
    </row>
    <row r="118" spans="1:41">
      <c r="A118" s="154"/>
      <c r="B118" s="35" t="s">
        <v>2179</v>
      </c>
      <c r="C118" s="44"/>
      <c r="D118" s="35" t="s">
        <v>2180</v>
      </c>
      <c r="E118" s="35"/>
      <c r="F118" s="35"/>
      <c r="G118" s="35"/>
      <c r="H118" s="35"/>
      <c r="I118" s="35"/>
      <c r="J118" s="35"/>
      <c r="K118" s="35"/>
      <c r="L118" s="48" t="s">
        <v>2226</v>
      </c>
      <c r="M118" s="35"/>
      <c r="N118" s="35"/>
      <c r="O118" s="35"/>
      <c r="P118" s="44"/>
      <c r="Q118" s="35"/>
      <c r="R118" s="35"/>
      <c r="S118" s="35"/>
      <c r="T118" s="35"/>
      <c r="U118" s="35"/>
      <c r="V118" s="35"/>
      <c r="W118" s="35"/>
      <c r="X118" s="35"/>
      <c r="Y118" s="46" t="s">
        <v>2182</v>
      </c>
      <c r="Z118">
        <v>3</v>
      </c>
      <c r="AA118" t="s">
        <v>304</v>
      </c>
      <c r="AB118" t="s">
        <v>361</v>
      </c>
      <c r="AC118" t="s">
        <v>19</v>
      </c>
      <c r="AD118" t="s">
        <v>19</v>
      </c>
      <c r="AE118" t="s">
        <v>19</v>
      </c>
      <c r="AF118" t="s">
        <v>361</v>
      </c>
      <c r="AG118" t="s">
        <v>362</v>
      </c>
      <c r="AH118" t="s">
        <v>307</v>
      </c>
      <c r="AI118" t="s">
        <v>19</v>
      </c>
      <c r="AJ118" t="s">
        <v>19</v>
      </c>
      <c r="AK118" t="s">
        <v>19</v>
      </c>
      <c r="AL118" t="s">
        <v>19</v>
      </c>
      <c r="AM118" t="s">
        <v>19</v>
      </c>
      <c r="AN118" t="s">
        <v>28</v>
      </c>
      <c r="AO118" t="s">
        <v>2</v>
      </c>
    </row>
    <row r="119" spans="1:41">
      <c r="A119" s="154"/>
      <c r="B119" s="35" t="s">
        <v>2179</v>
      </c>
      <c r="C119" s="44"/>
      <c r="D119" s="35" t="s">
        <v>2180</v>
      </c>
      <c r="E119" s="35"/>
      <c r="F119" s="35"/>
      <c r="G119" s="35"/>
      <c r="H119" s="35"/>
      <c r="I119" s="35"/>
      <c r="J119" s="35"/>
      <c r="K119" s="35"/>
      <c r="L119" s="47" t="s">
        <v>2226</v>
      </c>
      <c r="M119" s="35"/>
      <c r="N119" s="35"/>
      <c r="O119" s="35"/>
      <c r="P119" s="44"/>
      <c r="Q119" s="35"/>
      <c r="R119" s="35"/>
      <c r="S119" s="35"/>
      <c r="T119" s="35"/>
      <c r="U119" s="35"/>
      <c r="V119" s="35"/>
      <c r="W119" s="35"/>
      <c r="X119" s="35"/>
      <c r="Y119" s="46" t="s">
        <v>2182</v>
      </c>
      <c r="Z119">
        <v>3</v>
      </c>
      <c r="AA119" t="s">
        <v>289</v>
      </c>
      <c r="AB119" t="s">
        <v>363</v>
      </c>
      <c r="AC119" t="s">
        <v>19</v>
      </c>
      <c r="AD119" t="s">
        <v>19</v>
      </c>
      <c r="AE119" t="s">
        <v>19</v>
      </c>
      <c r="AF119" t="s">
        <v>363</v>
      </c>
      <c r="AG119" t="s">
        <v>364</v>
      </c>
      <c r="AH119" t="s">
        <v>292</v>
      </c>
      <c r="AI119" t="s">
        <v>19</v>
      </c>
      <c r="AJ119" t="s">
        <v>19</v>
      </c>
      <c r="AK119" t="s">
        <v>19</v>
      </c>
      <c r="AL119" t="s">
        <v>19</v>
      </c>
      <c r="AM119" t="s">
        <v>19</v>
      </c>
      <c r="AN119" t="s">
        <v>28</v>
      </c>
      <c r="AO119" t="s">
        <v>2</v>
      </c>
    </row>
    <row r="120" spans="1:41">
      <c r="A120" s="154"/>
      <c r="B120" s="35" t="s">
        <v>2179</v>
      </c>
      <c r="C120" s="44"/>
      <c r="D120" s="35" t="s">
        <v>2180</v>
      </c>
      <c r="E120" s="35"/>
      <c r="F120" s="35"/>
      <c r="G120" s="35"/>
      <c r="H120" s="35"/>
      <c r="I120" s="35"/>
      <c r="J120" s="35"/>
      <c r="K120" s="35"/>
      <c r="L120" s="47" t="s">
        <v>2226</v>
      </c>
      <c r="M120" s="35"/>
      <c r="N120" s="35"/>
      <c r="O120" s="35"/>
      <c r="P120" s="44"/>
      <c r="Q120" s="35"/>
      <c r="R120" s="35"/>
      <c r="S120" s="35"/>
      <c r="T120" s="35"/>
      <c r="U120" s="35"/>
      <c r="V120" s="35"/>
      <c r="W120" s="35"/>
      <c r="X120" s="35"/>
      <c r="Y120" s="46" t="s">
        <v>2182</v>
      </c>
      <c r="Z120">
        <v>3</v>
      </c>
      <c r="AA120" t="s">
        <v>289</v>
      </c>
      <c r="AB120" t="s">
        <v>365</v>
      </c>
      <c r="AC120" t="s">
        <v>19</v>
      </c>
      <c r="AD120" t="s">
        <v>19</v>
      </c>
      <c r="AE120" t="s">
        <v>19</v>
      </c>
      <c r="AF120" t="s">
        <v>365</v>
      </c>
      <c r="AG120" t="s">
        <v>366</v>
      </c>
      <c r="AH120" t="s">
        <v>292</v>
      </c>
      <c r="AI120" t="s">
        <v>19</v>
      </c>
      <c r="AJ120" t="s">
        <v>19</v>
      </c>
      <c r="AK120" t="s">
        <v>19</v>
      </c>
      <c r="AL120" t="s">
        <v>19</v>
      </c>
      <c r="AM120" t="s">
        <v>19</v>
      </c>
      <c r="AN120" t="s">
        <v>28</v>
      </c>
      <c r="AO120" t="s">
        <v>2</v>
      </c>
    </row>
    <row r="121" spans="1:41">
      <c r="A121" s="154"/>
      <c r="B121" s="35" t="s">
        <v>2179</v>
      </c>
      <c r="C121" s="44"/>
      <c r="D121" s="35" t="s">
        <v>2180</v>
      </c>
      <c r="E121" s="35"/>
      <c r="F121" s="35"/>
      <c r="G121" s="35"/>
      <c r="H121" s="35"/>
      <c r="I121" s="35"/>
      <c r="J121" s="35"/>
      <c r="K121" s="35"/>
      <c r="L121" s="48" t="s">
        <v>2226</v>
      </c>
      <c r="M121" s="35"/>
      <c r="N121" s="35"/>
      <c r="O121" s="35"/>
      <c r="P121" s="44"/>
      <c r="Q121" s="35"/>
      <c r="R121" s="35"/>
      <c r="S121" s="35"/>
      <c r="T121" s="35"/>
      <c r="U121" s="35"/>
      <c r="V121" s="35"/>
      <c r="W121" s="35"/>
      <c r="X121" s="35"/>
      <c r="Y121" s="46" t="s">
        <v>2182</v>
      </c>
      <c r="Z121">
        <v>3</v>
      </c>
      <c r="AA121" t="s">
        <v>367</v>
      </c>
      <c r="AB121" t="s">
        <v>368</v>
      </c>
      <c r="AC121" t="s">
        <v>19</v>
      </c>
      <c r="AD121" t="s">
        <v>19</v>
      </c>
      <c r="AE121" t="s">
        <v>19</v>
      </c>
      <c r="AF121" t="s">
        <v>368</v>
      </c>
      <c r="AG121" t="s">
        <v>201</v>
      </c>
      <c r="AH121" t="s">
        <v>369</v>
      </c>
      <c r="AI121" t="s">
        <v>19</v>
      </c>
      <c r="AJ121" t="s">
        <v>19</v>
      </c>
      <c r="AK121" t="s">
        <v>19</v>
      </c>
      <c r="AL121" t="s">
        <v>19</v>
      </c>
      <c r="AM121" t="s">
        <v>19</v>
      </c>
      <c r="AN121" t="s">
        <v>28</v>
      </c>
      <c r="AO121" t="s">
        <v>2</v>
      </c>
    </row>
    <row r="122" spans="1:41">
      <c r="A122" s="154"/>
      <c r="B122" s="35" t="s">
        <v>2179</v>
      </c>
      <c r="C122" s="44"/>
      <c r="D122" s="35" t="s">
        <v>2180</v>
      </c>
      <c r="E122" s="35"/>
      <c r="F122" s="35"/>
      <c r="G122" s="35"/>
      <c r="H122" s="35"/>
      <c r="I122" s="35"/>
      <c r="J122" s="35"/>
      <c r="K122" s="35"/>
      <c r="L122" s="48" t="s">
        <v>2226</v>
      </c>
      <c r="M122" s="35"/>
      <c r="N122" s="35"/>
      <c r="O122" s="35"/>
      <c r="P122" s="44"/>
      <c r="Q122" s="35"/>
      <c r="R122" s="35"/>
      <c r="S122" s="35"/>
      <c r="T122" s="35"/>
      <c r="U122" s="35"/>
      <c r="V122" s="35"/>
      <c r="W122" s="35"/>
      <c r="X122" s="35"/>
      <c r="Y122" s="46" t="s">
        <v>2182</v>
      </c>
      <c r="Z122">
        <v>3</v>
      </c>
      <c r="AA122" t="s">
        <v>367</v>
      </c>
      <c r="AB122" t="s">
        <v>370</v>
      </c>
      <c r="AC122" t="s">
        <v>19</v>
      </c>
      <c r="AD122" t="s">
        <v>19</v>
      </c>
      <c r="AE122" t="s">
        <v>19</v>
      </c>
      <c r="AF122" t="s">
        <v>370</v>
      </c>
      <c r="AG122" t="s">
        <v>371</v>
      </c>
      <c r="AH122" t="s">
        <v>369</v>
      </c>
      <c r="AI122" t="s">
        <v>19</v>
      </c>
      <c r="AJ122" t="s">
        <v>19</v>
      </c>
      <c r="AK122" t="s">
        <v>19</v>
      </c>
      <c r="AL122" t="s">
        <v>19</v>
      </c>
      <c r="AM122" t="s">
        <v>19</v>
      </c>
      <c r="AN122" t="s">
        <v>28</v>
      </c>
      <c r="AO122" t="s">
        <v>2</v>
      </c>
    </row>
    <row r="123" spans="1:41">
      <c r="A123" s="154"/>
      <c r="B123" s="35" t="s">
        <v>2179</v>
      </c>
      <c r="C123" s="44"/>
      <c r="D123" s="35" t="s">
        <v>2195</v>
      </c>
      <c r="E123" s="35"/>
      <c r="F123" s="35" t="s">
        <v>2225</v>
      </c>
      <c r="G123" s="35"/>
      <c r="H123" s="35"/>
      <c r="I123" s="35"/>
      <c r="J123" s="35"/>
      <c r="K123" s="35"/>
      <c r="L123" s="47" t="s">
        <v>2226</v>
      </c>
      <c r="M123" s="35"/>
      <c r="N123" s="35"/>
      <c r="O123" s="35"/>
      <c r="P123" s="44"/>
      <c r="Q123" s="35"/>
      <c r="R123" s="35"/>
      <c r="S123" s="35"/>
      <c r="T123" s="35"/>
      <c r="U123" s="35"/>
      <c r="V123" s="35"/>
      <c r="W123" s="35"/>
      <c r="X123" s="35"/>
      <c r="Y123" s="46" t="s">
        <v>2189</v>
      </c>
      <c r="Z123">
        <v>3</v>
      </c>
      <c r="AA123" t="s">
        <v>372</v>
      </c>
      <c r="AB123" t="s">
        <v>373</v>
      </c>
      <c r="AC123" t="s">
        <v>19</v>
      </c>
      <c r="AD123" t="s">
        <v>19</v>
      </c>
      <c r="AE123" t="s">
        <v>19</v>
      </c>
      <c r="AF123" t="s">
        <v>373</v>
      </c>
      <c r="AG123" t="s">
        <v>374</v>
      </c>
      <c r="AH123" t="s">
        <v>375</v>
      </c>
      <c r="AI123" t="s">
        <v>19</v>
      </c>
      <c r="AJ123" t="s">
        <v>19</v>
      </c>
      <c r="AK123" t="s">
        <v>19</v>
      </c>
      <c r="AL123" t="s">
        <v>19</v>
      </c>
      <c r="AM123" t="s">
        <v>19</v>
      </c>
      <c r="AN123" t="s">
        <v>28</v>
      </c>
      <c r="AO123" t="s">
        <v>2</v>
      </c>
    </row>
    <row r="124" spans="1:41">
      <c r="A124" s="154"/>
      <c r="B124" s="35" t="s">
        <v>2179</v>
      </c>
      <c r="C124" s="44"/>
      <c r="D124" s="35" t="s">
        <v>2180</v>
      </c>
      <c r="E124" s="35"/>
      <c r="F124" s="35"/>
      <c r="G124" s="35"/>
      <c r="H124" s="35"/>
      <c r="I124" s="35"/>
      <c r="J124" s="35"/>
      <c r="K124" s="35"/>
      <c r="L124" s="47" t="s">
        <v>2226</v>
      </c>
      <c r="M124" s="35"/>
      <c r="N124" s="35"/>
      <c r="O124" s="35"/>
      <c r="P124" s="44"/>
      <c r="Q124" s="35"/>
      <c r="R124" s="35"/>
      <c r="S124" s="35"/>
      <c r="T124" s="35"/>
      <c r="U124" s="35"/>
      <c r="V124" s="35"/>
      <c r="W124" s="35"/>
      <c r="X124" s="35"/>
      <c r="Y124" s="46" t="s">
        <v>2182</v>
      </c>
      <c r="Z124">
        <v>3</v>
      </c>
      <c r="AA124" t="s">
        <v>289</v>
      </c>
      <c r="AB124" t="s">
        <v>376</v>
      </c>
      <c r="AC124" t="s">
        <v>19</v>
      </c>
      <c r="AD124" t="s">
        <v>19</v>
      </c>
      <c r="AE124" t="s">
        <v>19</v>
      </c>
      <c r="AF124" t="s">
        <v>376</v>
      </c>
      <c r="AG124" t="s">
        <v>377</v>
      </c>
      <c r="AH124" t="s">
        <v>292</v>
      </c>
      <c r="AI124" t="s">
        <v>19</v>
      </c>
      <c r="AJ124" t="s">
        <v>19</v>
      </c>
      <c r="AK124" t="s">
        <v>19</v>
      </c>
      <c r="AL124" t="s">
        <v>19</v>
      </c>
      <c r="AM124" t="s">
        <v>19</v>
      </c>
      <c r="AN124" t="s">
        <v>28</v>
      </c>
      <c r="AO124" t="s">
        <v>2</v>
      </c>
    </row>
    <row r="125" spans="1:41">
      <c r="A125" s="154"/>
      <c r="B125" s="35" t="s">
        <v>2179</v>
      </c>
      <c r="C125" s="44"/>
      <c r="D125" s="35" t="s">
        <v>2180</v>
      </c>
      <c r="E125" s="35"/>
      <c r="F125" s="35"/>
      <c r="G125" s="35"/>
      <c r="H125" s="35"/>
      <c r="I125" s="35"/>
      <c r="J125" s="35"/>
      <c r="K125" s="35"/>
      <c r="L125" s="48" t="s">
        <v>2226</v>
      </c>
      <c r="M125" s="35"/>
      <c r="N125" s="35"/>
      <c r="O125" s="35"/>
      <c r="P125" s="44"/>
      <c r="Q125" s="35"/>
      <c r="R125" s="35"/>
      <c r="S125" s="35"/>
      <c r="T125" s="35"/>
      <c r="U125" s="35"/>
      <c r="V125" s="35"/>
      <c r="W125" s="35"/>
      <c r="X125" s="35"/>
      <c r="Y125" s="46" t="s">
        <v>2182</v>
      </c>
      <c r="Z125">
        <v>3</v>
      </c>
      <c r="AA125" t="s">
        <v>367</v>
      </c>
      <c r="AB125" t="s">
        <v>378</v>
      </c>
      <c r="AC125" t="s">
        <v>19</v>
      </c>
      <c r="AD125" t="s">
        <v>19</v>
      </c>
      <c r="AE125" t="s">
        <v>19</v>
      </c>
      <c r="AF125" t="s">
        <v>378</v>
      </c>
      <c r="AG125" t="s">
        <v>379</v>
      </c>
      <c r="AH125" t="s">
        <v>369</v>
      </c>
      <c r="AI125" t="s">
        <v>19</v>
      </c>
      <c r="AJ125" t="s">
        <v>19</v>
      </c>
      <c r="AK125" t="s">
        <v>19</v>
      </c>
      <c r="AL125" t="s">
        <v>19</v>
      </c>
      <c r="AM125" t="s">
        <v>19</v>
      </c>
      <c r="AN125" t="s">
        <v>28</v>
      </c>
      <c r="AO125" t="s">
        <v>2</v>
      </c>
    </row>
    <row r="126" spans="1:41">
      <c r="A126" s="154"/>
      <c r="B126" s="35" t="s">
        <v>2179</v>
      </c>
      <c r="C126" s="44"/>
      <c r="D126" s="35" t="s">
        <v>2180</v>
      </c>
      <c r="E126" s="35"/>
      <c r="F126" s="35"/>
      <c r="G126" s="35"/>
      <c r="H126" s="35"/>
      <c r="I126" s="35"/>
      <c r="J126" s="35"/>
      <c r="K126" s="35"/>
      <c r="L126" s="47" t="s">
        <v>2226</v>
      </c>
      <c r="M126" s="35"/>
      <c r="N126" s="35"/>
      <c r="O126" s="35"/>
      <c r="P126" s="44"/>
      <c r="Q126" s="35"/>
      <c r="R126" s="35"/>
      <c r="S126" s="35"/>
      <c r="T126" s="35"/>
      <c r="U126" s="35"/>
      <c r="V126" s="35"/>
      <c r="W126" s="35"/>
      <c r="X126" s="35"/>
      <c r="Y126" s="46" t="s">
        <v>2182</v>
      </c>
      <c r="Z126">
        <v>3</v>
      </c>
      <c r="AA126" t="s">
        <v>380</v>
      </c>
      <c r="AB126" t="s">
        <v>381</v>
      </c>
      <c r="AC126" t="s">
        <v>19</v>
      </c>
      <c r="AD126" t="s">
        <v>19</v>
      </c>
      <c r="AE126" t="s">
        <v>19</v>
      </c>
      <c r="AF126" t="s">
        <v>381</v>
      </c>
      <c r="AG126" t="s">
        <v>382</v>
      </c>
      <c r="AH126" t="s">
        <v>383</v>
      </c>
      <c r="AI126" t="s">
        <v>19</v>
      </c>
      <c r="AJ126" t="s">
        <v>19</v>
      </c>
      <c r="AK126" t="s">
        <v>19</v>
      </c>
      <c r="AL126" t="s">
        <v>19</v>
      </c>
      <c r="AM126" t="s">
        <v>19</v>
      </c>
      <c r="AN126" t="s">
        <v>28</v>
      </c>
      <c r="AO126" t="s">
        <v>2</v>
      </c>
    </row>
    <row r="127" spans="1:41">
      <c r="A127" s="154"/>
      <c r="B127" s="35" t="s">
        <v>2179</v>
      </c>
      <c r="C127" s="44"/>
      <c r="D127" s="35" t="s">
        <v>2180</v>
      </c>
      <c r="E127" s="35"/>
      <c r="F127" s="35"/>
      <c r="G127" s="35"/>
      <c r="H127" s="35"/>
      <c r="I127" s="35"/>
      <c r="J127" s="35"/>
      <c r="K127" s="35"/>
      <c r="L127" s="48" t="s">
        <v>2226</v>
      </c>
      <c r="M127" s="35"/>
      <c r="N127" s="35"/>
      <c r="O127" s="35"/>
      <c r="P127" s="44"/>
      <c r="Q127" s="35"/>
      <c r="R127" s="35"/>
      <c r="S127" s="35"/>
      <c r="T127" s="35"/>
      <c r="U127" s="35"/>
      <c r="V127" s="35"/>
      <c r="W127" s="35"/>
      <c r="X127" s="35"/>
      <c r="Y127" s="46" t="s">
        <v>2182</v>
      </c>
      <c r="Z127">
        <v>3</v>
      </c>
      <c r="AA127" t="s">
        <v>367</v>
      </c>
      <c r="AB127" t="s">
        <v>384</v>
      </c>
      <c r="AC127" t="s">
        <v>19</v>
      </c>
      <c r="AD127" t="s">
        <v>19</v>
      </c>
      <c r="AE127" t="s">
        <v>19</v>
      </c>
      <c r="AF127" t="s">
        <v>384</v>
      </c>
      <c r="AG127" t="s">
        <v>385</v>
      </c>
      <c r="AH127" t="s">
        <v>369</v>
      </c>
      <c r="AI127" t="s">
        <v>19</v>
      </c>
      <c r="AJ127" t="s">
        <v>19</v>
      </c>
      <c r="AK127" t="s">
        <v>19</v>
      </c>
      <c r="AL127" t="s">
        <v>19</v>
      </c>
      <c r="AM127" t="s">
        <v>19</v>
      </c>
      <c r="AN127" t="s">
        <v>28</v>
      </c>
      <c r="AO127" t="s">
        <v>2</v>
      </c>
    </row>
    <row r="128" spans="1:41">
      <c r="A128" s="154"/>
      <c r="B128" s="35" t="s">
        <v>2179</v>
      </c>
      <c r="C128" s="44"/>
      <c r="D128" s="35" t="s">
        <v>2180</v>
      </c>
      <c r="E128" s="35"/>
      <c r="F128" s="35"/>
      <c r="G128" s="35"/>
      <c r="H128" s="35"/>
      <c r="I128" s="35"/>
      <c r="J128" s="35"/>
      <c r="K128" s="35"/>
      <c r="L128" s="47" t="s">
        <v>2236</v>
      </c>
      <c r="M128" s="35"/>
      <c r="N128" s="35"/>
      <c r="O128" s="35"/>
      <c r="P128" s="44"/>
      <c r="Q128" s="35"/>
      <c r="R128" s="35"/>
      <c r="S128" s="35"/>
      <c r="T128" s="35"/>
      <c r="U128" s="35"/>
      <c r="V128" s="35"/>
      <c r="W128" s="35"/>
      <c r="X128" s="35"/>
      <c r="Y128" s="46" t="s">
        <v>2182</v>
      </c>
      <c r="Z128">
        <v>3</v>
      </c>
      <c r="AA128" t="s">
        <v>367</v>
      </c>
      <c r="AB128" t="s">
        <v>386</v>
      </c>
      <c r="AC128" t="s">
        <v>19</v>
      </c>
      <c r="AD128" t="s">
        <v>19</v>
      </c>
      <c r="AE128" t="s">
        <v>19</v>
      </c>
      <c r="AF128" t="s">
        <v>386</v>
      </c>
      <c r="AG128" t="s">
        <v>387</v>
      </c>
      <c r="AH128" t="s">
        <v>369</v>
      </c>
      <c r="AI128" t="s">
        <v>19</v>
      </c>
      <c r="AJ128" t="s">
        <v>19</v>
      </c>
      <c r="AK128" t="s">
        <v>19</v>
      </c>
      <c r="AL128" t="s">
        <v>19</v>
      </c>
      <c r="AM128" t="s">
        <v>19</v>
      </c>
      <c r="AN128" t="s">
        <v>28</v>
      </c>
      <c r="AO128" t="s">
        <v>2</v>
      </c>
    </row>
    <row r="129" spans="1:43">
      <c r="A129" s="154"/>
      <c r="B129" s="35" t="s">
        <v>2179</v>
      </c>
      <c r="C129" s="44"/>
      <c r="D129" s="35" t="s">
        <v>2180</v>
      </c>
      <c r="E129" s="35"/>
      <c r="F129" s="35"/>
      <c r="G129" s="35"/>
      <c r="H129" s="35"/>
      <c r="I129" s="35"/>
      <c r="J129" s="35"/>
      <c r="K129" s="35"/>
      <c r="L129" s="48" t="s">
        <v>2226</v>
      </c>
      <c r="M129" s="35"/>
      <c r="N129" s="35"/>
      <c r="O129" s="35"/>
      <c r="P129" s="44"/>
      <c r="Q129" s="35"/>
      <c r="R129" s="35"/>
      <c r="S129" s="35"/>
      <c r="T129" s="35"/>
      <c r="U129" s="35"/>
      <c r="V129" s="35"/>
      <c r="W129" s="35"/>
      <c r="X129" s="35"/>
      <c r="Y129" s="46" t="s">
        <v>2182</v>
      </c>
      <c r="Z129">
        <v>3</v>
      </c>
      <c r="AA129" t="s">
        <v>304</v>
      </c>
      <c r="AB129" t="s">
        <v>388</v>
      </c>
      <c r="AC129" t="s">
        <v>19</v>
      </c>
      <c r="AD129" t="s">
        <v>19</v>
      </c>
      <c r="AE129" t="s">
        <v>19</v>
      </c>
      <c r="AF129" t="s">
        <v>388</v>
      </c>
      <c r="AG129" t="s">
        <v>389</v>
      </c>
      <c r="AH129" t="s">
        <v>307</v>
      </c>
      <c r="AI129" t="s">
        <v>19</v>
      </c>
      <c r="AJ129" t="s">
        <v>19</v>
      </c>
      <c r="AK129" t="s">
        <v>19</v>
      </c>
      <c r="AL129" t="s">
        <v>19</v>
      </c>
      <c r="AM129" t="s">
        <v>19</v>
      </c>
      <c r="AN129" t="s">
        <v>28</v>
      </c>
      <c r="AO129" t="s">
        <v>2</v>
      </c>
    </row>
    <row r="130" spans="1:43">
      <c r="A130" s="154"/>
      <c r="B130" s="35" t="s">
        <v>2179</v>
      </c>
      <c r="C130" s="44"/>
      <c r="D130" s="35" t="s">
        <v>2180</v>
      </c>
      <c r="E130" s="35"/>
      <c r="F130" s="35"/>
      <c r="G130" s="35"/>
      <c r="H130" s="35"/>
      <c r="I130" s="35"/>
      <c r="J130" s="35"/>
      <c r="K130" s="35"/>
      <c r="L130" s="47" t="s">
        <v>2226</v>
      </c>
      <c r="M130" s="35"/>
      <c r="N130" s="35"/>
      <c r="O130" s="35"/>
      <c r="P130" s="44"/>
      <c r="Q130" s="35"/>
      <c r="R130" s="35"/>
      <c r="S130" s="35"/>
      <c r="T130" s="35"/>
      <c r="U130" s="35"/>
      <c r="V130" s="35"/>
      <c r="W130" s="35"/>
      <c r="X130" s="35"/>
      <c r="Y130" s="46" t="s">
        <v>2182</v>
      </c>
      <c r="Z130">
        <v>3</v>
      </c>
      <c r="AA130" t="s">
        <v>289</v>
      </c>
      <c r="AB130" t="s">
        <v>390</v>
      </c>
      <c r="AC130" t="s">
        <v>19</v>
      </c>
      <c r="AD130" t="s">
        <v>19</v>
      </c>
      <c r="AE130" t="s">
        <v>19</v>
      </c>
      <c r="AF130" t="s">
        <v>390</v>
      </c>
      <c r="AG130" t="s">
        <v>391</v>
      </c>
      <c r="AH130" t="s">
        <v>292</v>
      </c>
      <c r="AI130" t="s">
        <v>19</v>
      </c>
      <c r="AJ130" t="s">
        <v>19</v>
      </c>
      <c r="AK130" t="s">
        <v>19</v>
      </c>
      <c r="AL130" t="s">
        <v>19</v>
      </c>
      <c r="AM130" t="s">
        <v>19</v>
      </c>
      <c r="AN130" t="s">
        <v>28</v>
      </c>
      <c r="AO130" t="s">
        <v>2</v>
      </c>
    </row>
    <row r="131" spans="1:43">
      <c r="A131" s="154"/>
      <c r="B131" s="35" t="s">
        <v>2197</v>
      </c>
      <c r="C131" s="44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44"/>
      <c r="Q131" s="35"/>
      <c r="R131" s="35"/>
      <c r="S131" s="35"/>
      <c r="T131" s="35"/>
      <c r="U131" s="35"/>
      <c r="V131" s="35"/>
      <c r="W131" s="35"/>
      <c r="X131" s="35"/>
      <c r="Y131" s="46"/>
      <c r="Z131">
        <v>1</v>
      </c>
      <c r="AA131" t="s">
        <v>392</v>
      </c>
    </row>
    <row r="132" spans="1:43">
      <c r="A132" s="154">
        <v>501</v>
      </c>
      <c r="B132" s="35" t="s">
        <v>2197</v>
      </c>
      <c r="C132" s="44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44"/>
      <c r="Q132" s="35"/>
      <c r="R132" s="35"/>
      <c r="S132" s="35"/>
      <c r="T132" s="35"/>
      <c r="U132" s="35"/>
      <c r="V132" s="35"/>
      <c r="W132" s="35"/>
      <c r="X132" s="35"/>
      <c r="Y132" s="46"/>
      <c r="Z132">
        <v>2</v>
      </c>
      <c r="AA132" t="s">
        <v>1</v>
      </c>
      <c r="AB132" t="s">
        <v>393</v>
      </c>
      <c r="AC132" t="s">
        <v>394</v>
      </c>
      <c r="AD132" s="153" t="s">
        <v>2400</v>
      </c>
    </row>
    <row r="133" spans="1:43">
      <c r="A133" s="154"/>
      <c r="B133" s="35" t="s">
        <v>2197</v>
      </c>
      <c r="C133" s="44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44"/>
      <c r="Q133" s="35"/>
      <c r="R133" s="35"/>
      <c r="S133" s="35"/>
      <c r="T133" s="35"/>
      <c r="U133" s="35"/>
      <c r="V133" s="35"/>
      <c r="W133" s="35"/>
      <c r="X133" s="35"/>
      <c r="Y133" s="46"/>
      <c r="Z133">
        <v>2</v>
      </c>
      <c r="AA133" t="s">
        <v>395</v>
      </c>
      <c r="AB133" t="s">
        <v>396</v>
      </c>
      <c r="AC133" t="s">
        <v>397</v>
      </c>
      <c r="AD133" t="s">
        <v>398</v>
      </c>
    </row>
    <row r="134" spans="1:43">
      <c r="A134" s="154"/>
      <c r="B134" s="35" t="s">
        <v>2197</v>
      </c>
      <c r="C134" s="44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44"/>
      <c r="Q134" s="35"/>
      <c r="R134" s="35"/>
      <c r="S134" s="35"/>
      <c r="T134" s="35"/>
      <c r="U134" s="35"/>
      <c r="V134" s="35"/>
      <c r="W134" s="35"/>
      <c r="X134" s="35"/>
      <c r="Y134" s="46"/>
      <c r="Z134">
        <v>2</v>
      </c>
      <c r="AA134" t="s">
        <v>399</v>
      </c>
      <c r="AB134" t="s">
        <v>400</v>
      </c>
      <c r="AC134" t="s">
        <v>401</v>
      </c>
      <c r="AD134" s="192" t="s">
        <v>2401</v>
      </c>
    </row>
    <row r="135" spans="1:43">
      <c r="A135" s="154"/>
      <c r="B135" s="35" t="s">
        <v>2197</v>
      </c>
      <c r="C135" s="44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44"/>
      <c r="Q135" s="35"/>
      <c r="R135" s="35"/>
      <c r="S135" s="35"/>
      <c r="T135" s="35"/>
      <c r="U135" s="35"/>
      <c r="V135" s="35"/>
      <c r="W135" s="35"/>
      <c r="X135" s="35"/>
      <c r="Y135" s="46"/>
      <c r="Z135">
        <v>0</v>
      </c>
      <c r="AA135" t="s">
        <v>5</v>
      </c>
      <c r="AB135" t="s">
        <v>6</v>
      </c>
      <c r="AC135" t="s">
        <v>7</v>
      </c>
      <c r="AD135" t="s">
        <v>8</v>
      </c>
      <c r="AE135" t="s">
        <v>8</v>
      </c>
      <c r="AF135" t="s">
        <v>9</v>
      </c>
      <c r="AG135" t="s">
        <v>10</v>
      </c>
      <c r="AH135" t="s">
        <v>11</v>
      </c>
      <c r="AI135" t="s">
        <v>12</v>
      </c>
      <c r="AJ135" t="s">
        <v>13</v>
      </c>
      <c r="AK135" t="s">
        <v>14</v>
      </c>
      <c r="AL135" t="s">
        <v>15</v>
      </c>
      <c r="AM135" t="s">
        <v>16</v>
      </c>
      <c r="AN135" t="s">
        <v>17</v>
      </c>
      <c r="AO135" t="s">
        <v>1</v>
      </c>
      <c r="AP135" t="s">
        <v>395</v>
      </c>
      <c r="AQ135" t="s">
        <v>399</v>
      </c>
    </row>
    <row r="136" spans="1:43">
      <c r="A136" s="154"/>
      <c r="B136" s="35" t="s">
        <v>2197</v>
      </c>
      <c r="C136" s="44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44"/>
      <c r="Q136" s="35"/>
      <c r="R136" s="35"/>
      <c r="S136" s="35"/>
      <c r="T136" s="35"/>
      <c r="U136" s="35"/>
      <c r="V136" s="35"/>
      <c r="W136" s="35"/>
      <c r="X136" s="35"/>
      <c r="Y136" s="46"/>
      <c r="Z136">
        <v>4</v>
      </c>
      <c r="AA136" t="s">
        <v>402</v>
      </c>
      <c r="AB136" t="s">
        <v>19</v>
      </c>
      <c r="AC136" t="s">
        <v>19</v>
      </c>
      <c r="AD136" t="s">
        <v>19</v>
      </c>
      <c r="AE136" t="s">
        <v>19</v>
      </c>
      <c r="AF136" t="s">
        <v>19</v>
      </c>
      <c r="AG136" t="s">
        <v>19</v>
      </c>
      <c r="AH136" t="s">
        <v>403</v>
      </c>
      <c r="AI136" t="s">
        <v>19</v>
      </c>
      <c r="AJ136" t="s">
        <v>19</v>
      </c>
      <c r="AK136" t="s">
        <v>19</v>
      </c>
      <c r="AL136" t="s">
        <v>19</v>
      </c>
      <c r="AM136" t="s">
        <v>19</v>
      </c>
      <c r="AN136" t="s">
        <v>28</v>
      </c>
      <c r="AO136" t="s">
        <v>393</v>
      </c>
      <c r="AP136" t="s">
        <v>19</v>
      </c>
      <c r="AQ136" t="s">
        <v>19</v>
      </c>
    </row>
    <row r="137" spans="1:43">
      <c r="A137" s="154"/>
      <c r="B137" s="35" t="s">
        <v>2197</v>
      </c>
      <c r="C137" s="44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44"/>
      <c r="Q137" s="35"/>
      <c r="R137" s="35"/>
      <c r="S137" s="35"/>
      <c r="T137" s="35"/>
      <c r="U137" s="35"/>
      <c r="V137" s="35"/>
      <c r="W137" s="35"/>
      <c r="X137" s="35"/>
      <c r="Y137" s="46"/>
      <c r="Z137">
        <v>4</v>
      </c>
      <c r="AA137" t="s">
        <v>22</v>
      </c>
      <c r="AB137" t="s">
        <v>19</v>
      </c>
      <c r="AC137" t="s">
        <v>19</v>
      </c>
      <c r="AD137" t="s">
        <v>19</v>
      </c>
      <c r="AE137" t="s">
        <v>19</v>
      </c>
      <c r="AF137" t="s">
        <v>19</v>
      </c>
      <c r="AG137" t="s">
        <v>19</v>
      </c>
      <c r="AH137" t="s">
        <v>23</v>
      </c>
      <c r="AI137" t="s">
        <v>19</v>
      </c>
      <c r="AJ137" t="s">
        <v>19</v>
      </c>
      <c r="AK137" t="s">
        <v>19</v>
      </c>
      <c r="AL137" t="s">
        <v>19</v>
      </c>
      <c r="AM137" t="s">
        <v>19</v>
      </c>
      <c r="AN137" t="s">
        <v>21</v>
      </c>
      <c r="AO137">
        <v>1421</v>
      </c>
      <c r="AP137">
        <v>660</v>
      </c>
      <c r="AQ137">
        <v>1421</v>
      </c>
    </row>
    <row r="138" spans="1:43">
      <c r="A138" s="154"/>
      <c r="B138" s="35" t="s">
        <v>2197</v>
      </c>
      <c r="C138" s="44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44"/>
      <c r="Q138" s="35"/>
      <c r="R138" s="35"/>
      <c r="S138" s="35"/>
      <c r="T138" s="35"/>
      <c r="U138" s="35"/>
      <c r="V138" s="35"/>
      <c r="W138" s="35"/>
      <c r="X138" s="35"/>
      <c r="Y138" s="46"/>
      <c r="Z138">
        <v>4</v>
      </c>
      <c r="AA138" t="s">
        <v>22</v>
      </c>
      <c r="AB138" t="s">
        <v>19</v>
      </c>
      <c r="AC138" t="s">
        <v>19</v>
      </c>
      <c r="AD138" t="s">
        <v>19</v>
      </c>
      <c r="AE138" t="s">
        <v>19</v>
      </c>
      <c r="AF138" t="s">
        <v>19</v>
      </c>
      <c r="AG138" t="s">
        <v>19</v>
      </c>
      <c r="AH138" t="s">
        <v>24</v>
      </c>
      <c r="AI138" t="s">
        <v>19</v>
      </c>
      <c r="AJ138" t="s">
        <v>19</v>
      </c>
      <c r="AK138" t="s">
        <v>19</v>
      </c>
      <c r="AL138" t="s">
        <v>19</v>
      </c>
      <c r="AM138" t="s">
        <v>19</v>
      </c>
      <c r="AN138" t="s">
        <v>21</v>
      </c>
      <c r="AO138">
        <v>3542</v>
      </c>
      <c r="AP138">
        <v>2926</v>
      </c>
      <c r="AQ138">
        <v>3070</v>
      </c>
    </row>
    <row r="139" spans="1:43">
      <c r="A139" s="154"/>
      <c r="B139" s="35" t="s">
        <v>2197</v>
      </c>
      <c r="C139" s="44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44"/>
      <c r="Q139" s="35"/>
      <c r="R139" s="35"/>
      <c r="S139" s="35"/>
      <c r="T139" s="35"/>
      <c r="U139" s="35"/>
      <c r="V139" s="35"/>
      <c r="W139" s="35"/>
      <c r="X139" s="35"/>
      <c r="Y139" s="46"/>
      <c r="Z139">
        <v>4</v>
      </c>
      <c r="AA139" t="s">
        <v>26</v>
      </c>
      <c r="AB139" t="s">
        <v>19</v>
      </c>
      <c r="AC139" t="s">
        <v>19</v>
      </c>
      <c r="AD139" t="s">
        <v>19</v>
      </c>
      <c r="AE139" t="s">
        <v>19</v>
      </c>
      <c r="AF139" t="s">
        <v>19</v>
      </c>
      <c r="AG139" t="s">
        <v>19</v>
      </c>
      <c r="AH139" t="s">
        <v>27</v>
      </c>
      <c r="AI139" t="s">
        <v>19</v>
      </c>
      <c r="AJ139" t="s">
        <v>19</v>
      </c>
      <c r="AK139" t="s">
        <v>19</v>
      </c>
      <c r="AL139" t="s">
        <v>19</v>
      </c>
      <c r="AM139" t="s">
        <v>19</v>
      </c>
      <c r="AN139" t="s">
        <v>28</v>
      </c>
      <c r="AO139" t="s">
        <v>393</v>
      </c>
      <c r="AP139" t="s">
        <v>396</v>
      </c>
      <c r="AQ139" t="s">
        <v>400</v>
      </c>
    </row>
    <row r="140" spans="1:43">
      <c r="A140" s="154"/>
      <c r="B140" s="35" t="s">
        <v>2197</v>
      </c>
      <c r="C140" s="44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44"/>
      <c r="Q140" s="35"/>
      <c r="R140" s="35"/>
      <c r="S140" s="35"/>
      <c r="T140" s="35"/>
      <c r="U140" s="35"/>
      <c r="V140" s="35"/>
      <c r="W140" s="35"/>
      <c r="X140" s="35"/>
      <c r="Y140" s="46"/>
      <c r="Z140">
        <v>4</v>
      </c>
      <c r="AA140" t="s">
        <v>26</v>
      </c>
      <c r="AB140" t="s">
        <v>19</v>
      </c>
      <c r="AC140" t="s">
        <v>19</v>
      </c>
      <c r="AD140" t="s">
        <v>19</v>
      </c>
      <c r="AE140" t="s">
        <v>19</v>
      </c>
      <c r="AF140" t="s">
        <v>19</v>
      </c>
      <c r="AG140" t="s">
        <v>19</v>
      </c>
      <c r="AH140" t="s">
        <v>30</v>
      </c>
      <c r="AI140" t="s">
        <v>19</v>
      </c>
      <c r="AJ140" t="s">
        <v>19</v>
      </c>
      <c r="AK140" t="s">
        <v>19</v>
      </c>
      <c r="AL140" t="s">
        <v>19</v>
      </c>
      <c r="AM140" t="s">
        <v>19</v>
      </c>
      <c r="AN140" t="s">
        <v>28</v>
      </c>
      <c r="AO140">
        <v>5</v>
      </c>
      <c r="AP140">
        <v>5</v>
      </c>
      <c r="AQ140">
        <v>5</v>
      </c>
    </row>
    <row r="141" spans="1:43">
      <c r="A141" s="154"/>
      <c r="B141" s="35" t="s">
        <v>2197</v>
      </c>
      <c r="C141" s="44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44"/>
      <c r="Q141" s="35"/>
      <c r="R141" s="35"/>
      <c r="S141" s="35"/>
      <c r="T141" s="35"/>
      <c r="U141" s="35"/>
      <c r="V141" s="35"/>
      <c r="W141" s="35"/>
      <c r="X141" s="35"/>
      <c r="Y141" s="46"/>
      <c r="Z141">
        <v>4</v>
      </c>
      <c r="AA141" t="s">
        <v>26</v>
      </c>
      <c r="AB141" t="s">
        <v>19</v>
      </c>
      <c r="AC141" t="s">
        <v>19</v>
      </c>
      <c r="AD141" t="s">
        <v>19</v>
      </c>
      <c r="AE141" t="s">
        <v>19</v>
      </c>
      <c r="AF141" t="s">
        <v>19</v>
      </c>
      <c r="AG141" t="s">
        <v>19</v>
      </c>
      <c r="AH141" t="s">
        <v>32</v>
      </c>
      <c r="AI141" t="s">
        <v>19</v>
      </c>
      <c r="AJ141" t="s">
        <v>19</v>
      </c>
      <c r="AK141" t="s">
        <v>19</v>
      </c>
      <c r="AL141" t="s">
        <v>19</v>
      </c>
      <c r="AM141" t="s">
        <v>19</v>
      </c>
      <c r="AN141" t="s">
        <v>28</v>
      </c>
      <c r="AO141">
        <v>4</v>
      </c>
      <c r="AP141">
        <v>4</v>
      </c>
      <c r="AQ141">
        <v>4</v>
      </c>
    </row>
    <row r="142" spans="1:43">
      <c r="A142" s="154"/>
      <c r="B142" s="35" t="s">
        <v>2197</v>
      </c>
      <c r="C142" s="44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44"/>
      <c r="Q142" s="35"/>
      <c r="R142" s="35"/>
      <c r="S142" s="35"/>
      <c r="T142" s="35"/>
      <c r="U142" s="35"/>
      <c r="V142" s="35"/>
      <c r="W142" s="35"/>
      <c r="X142" s="35"/>
      <c r="Y142" s="46"/>
      <c r="Z142">
        <v>4</v>
      </c>
      <c r="AA142" t="s">
        <v>26</v>
      </c>
      <c r="AB142" t="s">
        <v>19</v>
      </c>
      <c r="AC142" t="s">
        <v>19</v>
      </c>
      <c r="AD142" t="s">
        <v>19</v>
      </c>
      <c r="AE142" t="s">
        <v>19</v>
      </c>
      <c r="AF142" t="s">
        <v>19</v>
      </c>
      <c r="AG142" t="s">
        <v>19</v>
      </c>
      <c r="AH142" t="s">
        <v>35</v>
      </c>
      <c r="AI142" t="s">
        <v>19</v>
      </c>
      <c r="AJ142" t="s">
        <v>19</v>
      </c>
      <c r="AK142" t="s">
        <v>19</v>
      </c>
      <c r="AL142" t="s">
        <v>19</v>
      </c>
      <c r="AM142" t="s">
        <v>19</v>
      </c>
      <c r="AN142" t="s">
        <v>28</v>
      </c>
      <c r="AO142">
        <v>11</v>
      </c>
      <c r="AP142">
        <v>10</v>
      </c>
      <c r="AQ142">
        <v>11</v>
      </c>
    </row>
    <row r="143" spans="1:43">
      <c r="A143" s="154"/>
      <c r="B143" s="35" t="s">
        <v>2197</v>
      </c>
      <c r="C143" s="44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44"/>
      <c r="Q143" s="35"/>
      <c r="R143" s="35"/>
      <c r="S143" s="35"/>
      <c r="T143" s="35"/>
      <c r="U143" s="35"/>
      <c r="V143" s="35"/>
      <c r="W143" s="35"/>
      <c r="X143" s="35"/>
      <c r="Y143" s="46"/>
      <c r="Z143">
        <v>4</v>
      </c>
      <c r="AA143" t="s">
        <v>26</v>
      </c>
      <c r="AB143" t="s">
        <v>19</v>
      </c>
      <c r="AC143" t="s">
        <v>19</v>
      </c>
      <c r="AD143" t="s">
        <v>19</v>
      </c>
      <c r="AE143" t="s">
        <v>19</v>
      </c>
      <c r="AF143" t="s">
        <v>19</v>
      </c>
      <c r="AG143" t="s">
        <v>19</v>
      </c>
      <c r="AH143" t="s">
        <v>36</v>
      </c>
      <c r="AI143" t="s">
        <v>19</v>
      </c>
      <c r="AJ143" t="s">
        <v>19</v>
      </c>
      <c r="AK143" t="s">
        <v>19</v>
      </c>
      <c r="AL143" t="s">
        <v>19</v>
      </c>
      <c r="AM143" t="s">
        <v>19</v>
      </c>
      <c r="AN143" t="s">
        <v>28</v>
      </c>
      <c r="AO143">
        <v>6</v>
      </c>
      <c r="AP143">
        <v>6</v>
      </c>
      <c r="AQ143">
        <v>6</v>
      </c>
    </row>
    <row r="144" spans="1:43">
      <c r="A144" s="154"/>
      <c r="B144" s="35" t="s">
        <v>2197</v>
      </c>
      <c r="C144" s="44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44"/>
      <c r="Q144" s="35"/>
      <c r="R144" s="35"/>
      <c r="S144" s="35"/>
      <c r="T144" s="35"/>
      <c r="U144" s="35"/>
      <c r="V144" s="35"/>
      <c r="W144" s="35"/>
      <c r="X144" s="35"/>
      <c r="Y144" s="46"/>
      <c r="Z144">
        <v>4</v>
      </c>
      <c r="AA144" t="s">
        <v>26</v>
      </c>
      <c r="AB144" t="s">
        <v>19</v>
      </c>
      <c r="AC144" t="s">
        <v>19</v>
      </c>
      <c r="AD144" t="s">
        <v>19</v>
      </c>
      <c r="AE144" t="s">
        <v>19</v>
      </c>
      <c r="AF144" t="s">
        <v>19</v>
      </c>
      <c r="AG144" t="s">
        <v>19</v>
      </c>
      <c r="AH144" t="s">
        <v>41</v>
      </c>
      <c r="AI144" t="s">
        <v>19</v>
      </c>
      <c r="AJ144" t="s">
        <v>19</v>
      </c>
      <c r="AK144" t="s">
        <v>19</v>
      </c>
      <c r="AL144" t="s">
        <v>19</v>
      </c>
      <c r="AM144" t="s">
        <v>19</v>
      </c>
      <c r="AN144" t="s">
        <v>28</v>
      </c>
      <c r="AO144">
        <v>10</v>
      </c>
      <c r="AP144">
        <v>9</v>
      </c>
      <c r="AQ144">
        <v>9</v>
      </c>
    </row>
    <row r="145" spans="1:43">
      <c r="A145" s="154"/>
      <c r="B145" s="35" t="s">
        <v>2197</v>
      </c>
      <c r="C145" s="44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44"/>
      <c r="Q145" s="35"/>
      <c r="R145" s="35"/>
      <c r="S145" s="35"/>
      <c r="T145" s="35"/>
      <c r="U145" s="35"/>
      <c r="V145" s="35"/>
      <c r="W145" s="35"/>
      <c r="X145" s="35"/>
      <c r="Y145" s="46"/>
      <c r="Z145">
        <v>4</v>
      </c>
      <c r="AA145" t="s">
        <v>26</v>
      </c>
      <c r="AB145" t="s">
        <v>19</v>
      </c>
      <c r="AC145" t="s">
        <v>19</v>
      </c>
      <c r="AD145" t="s">
        <v>19</v>
      </c>
      <c r="AE145" t="s">
        <v>19</v>
      </c>
      <c r="AF145" t="s">
        <v>19</v>
      </c>
      <c r="AG145" t="s">
        <v>19</v>
      </c>
      <c r="AH145" t="s">
        <v>404</v>
      </c>
      <c r="AI145" t="s">
        <v>19</v>
      </c>
      <c r="AJ145" t="s">
        <v>19</v>
      </c>
      <c r="AK145" t="s">
        <v>19</v>
      </c>
      <c r="AL145" t="s">
        <v>19</v>
      </c>
      <c r="AM145" t="s">
        <v>19</v>
      </c>
      <c r="AN145" t="s">
        <v>28</v>
      </c>
      <c r="AO145">
        <v>5</v>
      </c>
      <c r="AP145">
        <v>4</v>
      </c>
      <c r="AQ145">
        <v>5</v>
      </c>
    </row>
    <row r="146" spans="1:43">
      <c r="A146" s="154"/>
      <c r="B146" s="35" t="s">
        <v>2197</v>
      </c>
      <c r="C146" s="44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44"/>
      <c r="Q146" s="35"/>
      <c r="R146" s="35"/>
      <c r="S146" s="35"/>
      <c r="T146" s="35"/>
      <c r="U146" s="35"/>
      <c r="V146" s="35"/>
      <c r="W146" s="35"/>
      <c r="X146" s="35"/>
      <c r="Y146" s="46"/>
      <c r="Z146">
        <v>4</v>
      </c>
      <c r="AA146" t="s">
        <v>26</v>
      </c>
      <c r="AB146" t="s">
        <v>19</v>
      </c>
      <c r="AC146" t="s">
        <v>19</v>
      </c>
      <c r="AD146" t="s">
        <v>19</v>
      </c>
      <c r="AE146" t="s">
        <v>19</v>
      </c>
      <c r="AF146" t="s">
        <v>19</v>
      </c>
      <c r="AG146" t="s">
        <v>19</v>
      </c>
      <c r="AH146" t="s">
        <v>405</v>
      </c>
      <c r="AI146" t="s">
        <v>19</v>
      </c>
      <c r="AJ146" t="s">
        <v>19</v>
      </c>
      <c r="AK146" t="s">
        <v>19</v>
      </c>
      <c r="AL146" t="s">
        <v>19</v>
      </c>
      <c r="AM146" t="s">
        <v>19</v>
      </c>
      <c r="AN146" t="s">
        <v>28</v>
      </c>
      <c r="AO146">
        <v>4</v>
      </c>
      <c r="AP146">
        <v>4</v>
      </c>
      <c r="AQ146">
        <v>4</v>
      </c>
    </row>
    <row r="147" spans="1:43">
      <c r="A147" s="154"/>
      <c r="B147" s="35" t="s">
        <v>2197</v>
      </c>
      <c r="C147" s="44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44"/>
      <c r="Q147" s="35"/>
      <c r="R147" s="35"/>
      <c r="S147" s="35"/>
      <c r="T147" s="35"/>
      <c r="U147" s="35"/>
      <c r="V147" s="35"/>
      <c r="W147" s="35"/>
      <c r="X147" s="35"/>
      <c r="Y147" s="46"/>
      <c r="Z147">
        <v>4</v>
      </c>
      <c r="AA147" t="s">
        <v>26</v>
      </c>
      <c r="AB147" t="s">
        <v>19</v>
      </c>
      <c r="AC147" t="s">
        <v>19</v>
      </c>
      <c r="AD147" t="s">
        <v>19</v>
      </c>
      <c r="AE147" t="s">
        <v>19</v>
      </c>
      <c r="AF147" t="s">
        <v>19</v>
      </c>
      <c r="AG147" t="s">
        <v>19</v>
      </c>
      <c r="AH147" t="s">
        <v>42</v>
      </c>
      <c r="AI147" t="s">
        <v>19</v>
      </c>
      <c r="AJ147" t="s">
        <v>19</v>
      </c>
      <c r="AK147" t="s">
        <v>19</v>
      </c>
      <c r="AL147" t="s">
        <v>19</v>
      </c>
      <c r="AM147" t="s">
        <v>19</v>
      </c>
      <c r="AN147" t="s">
        <v>28</v>
      </c>
      <c r="AO147" t="s">
        <v>393</v>
      </c>
      <c r="AP147" t="s">
        <v>396</v>
      </c>
      <c r="AQ147" t="s">
        <v>400</v>
      </c>
    </row>
    <row r="148" spans="1:43">
      <c r="A148" s="154"/>
      <c r="B148" s="35" t="s">
        <v>2197</v>
      </c>
      <c r="C148" s="44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44"/>
      <c r="Q148" s="35"/>
      <c r="R148" s="35"/>
      <c r="S148" s="35"/>
      <c r="T148" s="35"/>
      <c r="U148" s="35"/>
      <c r="V148" s="35"/>
      <c r="W148" s="35"/>
      <c r="X148" s="35"/>
      <c r="Y148" s="46"/>
      <c r="Z148">
        <v>4</v>
      </c>
      <c r="AA148" t="s">
        <v>26</v>
      </c>
      <c r="AB148" t="s">
        <v>19</v>
      </c>
      <c r="AC148" t="s">
        <v>19</v>
      </c>
      <c r="AD148" t="s">
        <v>19</v>
      </c>
      <c r="AE148" t="s">
        <v>19</v>
      </c>
      <c r="AF148" t="s">
        <v>19</v>
      </c>
      <c r="AG148" t="s">
        <v>19</v>
      </c>
      <c r="AH148" t="s">
        <v>44</v>
      </c>
      <c r="AI148" t="s">
        <v>19</v>
      </c>
      <c r="AJ148" t="s">
        <v>19</v>
      </c>
      <c r="AK148" t="s">
        <v>19</v>
      </c>
      <c r="AL148" t="s">
        <v>19</v>
      </c>
      <c r="AM148" t="s">
        <v>19</v>
      </c>
      <c r="AN148" t="s">
        <v>28</v>
      </c>
      <c r="AO148">
        <v>3</v>
      </c>
      <c r="AP148">
        <v>3</v>
      </c>
      <c r="AQ148">
        <v>3</v>
      </c>
    </row>
    <row r="149" spans="1:43">
      <c r="A149" s="154"/>
      <c r="B149" s="35" t="s">
        <v>2197</v>
      </c>
      <c r="C149" s="44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44"/>
      <c r="Q149" s="35"/>
      <c r="R149" s="35"/>
      <c r="S149" s="35"/>
      <c r="T149" s="35"/>
      <c r="U149" s="35"/>
      <c r="V149" s="35"/>
      <c r="W149" s="35"/>
      <c r="X149" s="35"/>
      <c r="Y149" s="46"/>
      <c r="Z149">
        <v>4</v>
      </c>
      <c r="AA149" t="s">
        <v>26</v>
      </c>
      <c r="AB149" t="s">
        <v>19</v>
      </c>
      <c r="AC149" t="s">
        <v>19</v>
      </c>
      <c r="AD149" t="s">
        <v>19</v>
      </c>
      <c r="AE149" t="s">
        <v>19</v>
      </c>
      <c r="AF149" t="s">
        <v>19</v>
      </c>
      <c r="AG149" t="s">
        <v>19</v>
      </c>
      <c r="AH149" t="s">
        <v>46</v>
      </c>
      <c r="AI149" t="s">
        <v>19</v>
      </c>
      <c r="AJ149" t="s">
        <v>19</v>
      </c>
      <c r="AK149" t="s">
        <v>19</v>
      </c>
      <c r="AL149" t="s">
        <v>19</v>
      </c>
      <c r="AM149" t="s">
        <v>19</v>
      </c>
      <c r="AN149" t="s">
        <v>28</v>
      </c>
      <c r="AO149">
        <v>28</v>
      </c>
      <c r="AP149">
        <v>26</v>
      </c>
      <c r="AQ149">
        <v>26</v>
      </c>
    </row>
    <row r="150" spans="1:43">
      <c r="A150" s="154"/>
      <c r="B150" s="35" t="s">
        <v>2197</v>
      </c>
      <c r="C150" s="44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44"/>
      <c r="Q150" s="35"/>
      <c r="R150" s="35"/>
      <c r="S150" s="35"/>
      <c r="T150" s="35"/>
      <c r="U150" s="35"/>
      <c r="V150" s="35"/>
      <c r="W150" s="35"/>
      <c r="X150" s="35"/>
      <c r="Y150" s="46"/>
      <c r="Z150">
        <v>4</v>
      </c>
      <c r="AA150" t="s">
        <v>26</v>
      </c>
      <c r="AB150" t="s">
        <v>19</v>
      </c>
      <c r="AC150" t="s">
        <v>19</v>
      </c>
      <c r="AD150" t="s">
        <v>19</v>
      </c>
      <c r="AE150" t="s">
        <v>19</v>
      </c>
      <c r="AF150" t="s">
        <v>19</v>
      </c>
      <c r="AG150" t="s">
        <v>19</v>
      </c>
      <c r="AH150" t="s">
        <v>406</v>
      </c>
      <c r="AI150" t="s">
        <v>19</v>
      </c>
      <c r="AJ150" t="s">
        <v>19</v>
      </c>
      <c r="AK150" t="s">
        <v>19</v>
      </c>
      <c r="AL150" t="s">
        <v>19</v>
      </c>
      <c r="AM150" t="s">
        <v>19</v>
      </c>
      <c r="AN150" t="s">
        <v>28</v>
      </c>
      <c r="AO150">
        <v>2</v>
      </c>
      <c r="AP150" t="s">
        <v>19</v>
      </c>
      <c r="AQ150">
        <v>2</v>
      </c>
    </row>
    <row r="151" spans="1:43">
      <c r="A151" s="154"/>
      <c r="B151" s="35" t="s">
        <v>2197</v>
      </c>
      <c r="C151" s="44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44"/>
      <c r="Q151" s="35"/>
      <c r="R151" s="35"/>
      <c r="S151" s="35"/>
      <c r="T151" s="35"/>
      <c r="U151" s="35"/>
      <c r="V151" s="35"/>
      <c r="W151" s="35"/>
      <c r="X151" s="35"/>
      <c r="Y151" s="46"/>
      <c r="Z151">
        <v>4</v>
      </c>
      <c r="AA151" t="s">
        <v>26</v>
      </c>
      <c r="AB151" t="s">
        <v>19</v>
      </c>
      <c r="AC151" t="s">
        <v>19</v>
      </c>
      <c r="AD151" t="s">
        <v>19</v>
      </c>
      <c r="AE151" t="s">
        <v>19</v>
      </c>
      <c r="AF151" t="s">
        <v>19</v>
      </c>
      <c r="AG151" t="s">
        <v>19</v>
      </c>
      <c r="AH151" t="s">
        <v>47</v>
      </c>
      <c r="AI151" t="s">
        <v>19</v>
      </c>
      <c r="AJ151" t="s">
        <v>19</v>
      </c>
      <c r="AK151" t="s">
        <v>19</v>
      </c>
      <c r="AL151" t="s">
        <v>19</v>
      </c>
      <c r="AM151" t="s">
        <v>19</v>
      </c>
      <c r="AN151" t="s">
        <v>28</v>
      </c>
      <c r="AO151">
        <v>2</v>
      </c>
      <c r="AP151">
        <v>2</v>
      </c>
      <c r="AQ151">
        <v>2</v>
      </c>
    </row>
    <row r="152" spans="1:43">
      <c r="A152" s="154"/>
      <c r="B152" s="35" t="s">
        <v>2197</v>
      </c>
      <c r="C152" s="44"/>
      <c r="D152" s="35" t="s">
        <v>2180</v>
      </c>
      <c r="E152" s="35"/>
      <c r="F152" s="35"/>
      <c r="G152" s="35"/>
      <c r="H152" s="35"/>
      <c r="I152" s="35"/>
      <c r="J152" s="35"/>
      <c r="K152" s="35"/>
      <c r="L152" s="35"/>
      <c r="M152" s="158">
        <v>920003331</v>
      </c>
      <c r="N152" s="35"/>
      <c r="O152" s="35"/>
      <c r="P152" s="44"/>
      <c r="Q152" s="35"/>
      <c r="R152" s="35"/>
      <c r="S152" s="35"/>
      <c r="T152" s="35"/>
      <c r="U152" s="35"/>
      <c r="V152" s="35"/>
      <c r="W152" s="35"/>
      <c r="X152" s="35"/>
      <c r="Y152" s="46" t="s">
        <v>2182</v>
      </c>
      <c r="Z152">
        <v>3</v>
      </c>
      <c r="AA152" t="s">
        <v>407</v>
      </c>
      <c r="AB152" t="s">
        <v>408</v>
      </c>
      <c r="AC152" t="s">
        <v>19</v>
      </c>
      <c r="AD152" t="s">
        <v>409</v>
      </c>
      <c r="AE152" t="s">
        <v>409</v>
      </c>
      <c r="AF152" t="s">
        <v>410</v>
      </c>
      <c r="AG152" t="s">
        <v>411</v>
      </c>
      <c r="AH152" t="s">
        <v>412</v>
      </c>
      <c r="AI152" t="s">
        <v>19</v>
      </c>
      <c r="AJ152" t="s">
        <v>19</v>
      </c>
      <c r="AK152" t="s">
        <v>79</v>
      </c>
      <c r="AL152" t="s">
        <v>413</v>
      </c>
      <c r="AM152" t="s">
        <v>414</v>
      </c>
      <c r="AN152" t="s">
        <v>28</v>
      </c>
      <c r="AO152" t="s">
        <v>393</v>
      </c>
      <c r="AP152" t="s">
        <v>396</v>
      </c>
      <c r="AQ152" t="s">
        <v>400</v>
      </c>
    </row>
    <row r="153" spans="1:43">
      <c r="A153" s="196"/>
      <c r="B153" s="197" t="s">
        <v>2197</v>
      </c>
      <c r="C153" s="197"/>
      <c r="D153" s="197" t="s">
        <v>2180</v>
      </c>
      <c r="E153" s="197"/>
      <c r="F153" s="197"/>
      <c r="G153" s="197"/>
      <c r="H153" s="197"/>
      <c r="I153" s="197"/>
      <c r="J153" s="197"/>
      <c r="K153" s="197"/>
      <c r="L153" s="197"/>
      <c r="M153" s="198">
        <v>920003334</v>
      </c>
      <c r="N153" s="197"/>
      <c r="O153" s="197"/>
      <c r="P153" s="197"/>
      <c r="Q153" s="197"/>
      <c r="R153" s="197"/>
      <c r="S153" s="197"/>
      <c r="T153" s="197"/>
      <c r="U153" s="197"/>
      <c r="V153" s="197"/>
      <c r="W153" s="197"/>
      <c r="X153" s="197"/>
      <c r="Y153" s="199" t="s">
        <v>2182</v>
      </c>
      <c r="Z153" s="196">
        <v>3</v>
      </c>
      <c r="AA153" s="196" t="s">
        <v>2391</v>
      </c>
      <c r="AB153" s="196" t="s">
        <v>408</v>
      </c>
      <c r="AC153" s="196" t="s">
        <v>19</v>
      </c>
      <c r="AD153" s="196" t="s">
        <v>409</v>
      </c>
      <c r="AE153" s="196" t="s">
        <v>409</v>
      </c>
      <c r="AF153" s="196" t="s">
        <v>410</v>
      </c>
      <c r="AG153" s="196" t="s">
        <v>411</v>
      </c>
      <c r="AH153" s="196"/>
      <c r="AI153" s="196" t="s">
        <v>19</v>
      </c>
      <c r="AJ153" s="196" t="s">
        <v>19</v>
      </c>
      <c r="AK153" s="196" t="s">
        <v>79</v>
      </c>
      <c r="AL153" s="196" t="s">
        <v>413</v>
      </c>
      <c r="AM153" s="196" t="s">
        <v>414</v>
      </c>
      <c r="AN153" s="196" t="s">
        <v>28</v>
      </c>
      <c r="AO153" s="196">
        <v>0</v>
      </c>
      <c r="AP153" s="196">
        <v>0</v>
      </c>
      <c r="AQ153" s="196">
        <v>0</v>
      </c>
    </row>
    <row r="154" spans="1:43">
      <c r="A154" s="154"/>
      <c r="B154" s="35" t="s">
        <v>2197</v>
      </c>
      <c r="C154" s="44"/>
      <c r="D154" s="35" t="s">
        <v>2180</v>
      </c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44"/>
      <c r="Q154" s="35"/>
      <c r="R154" s="35"/>
      <c r="S154" s="35"/>
      <c r="T154" s="35"/>
      <c r="U154" s="35"/>
      <c r="V154" s="35"/>
      <c r="W154" s="35"/>
      <c r="X154" s="35"/>
      <c r="Y154" s="46" t="s">
        <v>2182</v>
      </c>
      <c r="Z154">
        <v>3</v>
      </c>
      <c r="AA154" t="s">
        <v>415</v>
      </c>
      <c r="AB154" t="s">
        <v>416</v>
      </c>
      <c r="AC154" t="s">
        <v>19</v>
      </c>
      <c r="AD154" t="s">
        <v>417</v>
      </c>
      <c r="AE154" t="s">
        <v>417</v>
      </c>
      <c r="AF154" t="s">
        <v>418</v>
      </c>
      <c r="AG154" t="s">
        <v>419</v>
      </c>
      <c r="AH154" t="s">
        <v>420</v>
      </c>
      <c r="AI154" t="s">
        <v>19</v>
      </c>
      <c r="AJ154" t="s">
        <v>19</v>
      </c>
      <c r="AK154" t="s">
        <v>79</v>
      </c>
      <c r="AL154" t="s">
        <v>421</v>
      </c>
      <c r="AM154" t="s">
        <v>422</v>
      </c>
      <c r="AN154" t="s">
        <v>28</v>
      </c>
      <c r="AO154" t="s">
        <v>393</v>
      </c>
      <c r="AP154" t="s">
        <v>396</v>
      </c>
      <c r="AQ154" t="s">
        <v>400</v>
      </c>
    </row>
    <row r="155" spans="1:43">
      <c r="A155" s="154"/>
      <c r="B155" s="35" t="s">
        <v>2197</v>
      </c>
      <c r="C155" s="44"/>
      <c r="D155" s="35" t="s">
        <v>2180</v>
      </c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44"/>
      <c r="Q155" s="35"/>
      <c r="R155" s="35"/>
      <c r="S155" s="35"/>
      <c r="T155" s="35"/>
      <c r="U155" s="35"/>
      <c r="V155" s="35"/>
      <c r="W155" s="35"/>
      <c r="X155" s="35"/>
      <c r="Y155" s="46" t="s">
        <v>2182</v>
      </c>
      <c r="Z155">
        <v>3</v>
      </c>
      <c r="AA155" t="s">
        <v>423</v>
      </c>
      <c r="AB155" t="s">
        <v>424</v>
      </c>
      <c r="AC155" t="s">
        <v>19</v>
      </c>
      <c r="AD155" t="s">
        <v>425</v>
      </c>
      <c r="AE155" t="s">
        <v>425</v>
      </c>
      <c r="AF155" t="s">
        <v>426</v>
      </c>
      <c r="AG155" t="s">
        <v>427</v>
      </c>
      <c r="AH155" t="s">
        <v>428</v>
      </c>
      <c r="AI155" t="s">
        <v>429</v>
      </c>
      <c r="AJ155" t="s">
        <v>19</v>
      </c>
      <c r="AK155" t="s">
        <v>79</v>
      </c>
      <c r="AL155" t="s">
        <v>430</v>
      </c>
      <c r="AM155" t="s">
        <v>431</v>
      </c>
      <c r="AN155" t="s">
        <v>28</v>
      </c>
      <c r="AO155" t="s">
        <v>393</v>
      </c>
      <c r="AP155" t="s">
        <v>396</v>
      </c>
      <c r="AQ155" t="s">
        <v>400</v>
      </c>
    </row>
    <row r="156" spans="1:43">
      <c r="A156" s="154"/>
      <c r="B156" s="35" t="s">
        <v>2197</v>
      </c>
      <c r="C156" s="44"/>
      <c r="D156" s="35" t="s">
        <v>2180</v>
      </c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44"/>
      <c r="Q156" s="35"/>
      <c r="R156" s="35"/>
      <c r="S156" s="35"/>
      <c r="T156" s="35"/>
      <c r="U156" s="35"/>
      <c r="V156" s="35"/>
      <c r="W156" s="35"/>
      <c r="X156" s="35"/>
      <c r="Y156" s="46" t="s">
        <v>2182</v>
      </c>
      <c r="Z156">
        <v>3</v>
      </c>
      <c r="AA156" t="s">
        <v>423</v>
      </c>
      <c r="AB156" t="s">
        <v>432</v>
      </c>
      <c r="AC156" t="s">
        <v>19</v>
      </c>
      <c r="AD156" t="s">
        <v>433</v>
      </c>
      <c r="AE156" t="s">
        <v>433</v>
      </c>
      <c r="AF156" t="s">
        <v>434</v>
      </c>
      <c r="AG156" t="s">
        <v>435</v>
      </c>
      <c r="AH156" t="s">
        <v>428</v>
      </c>
      <c r="AI156" t="s">
        <v>429</v>
      </c>
      <c r="AJ156" t="s">
        <v>19</v>
      </c>
      <c r="AK156" t="s">
        <v>79</v>
      </c>
      <c r="AL156" t="s">
        <v>436</v>
      </c>
      <c r="AM156" t="s">
        <v>431</v>
      </c>
      <c r="AN156" t="s">
        <v>28</v>
      </c>
      <c r="AO156" t="s">
        <v>393</v>
      </c>
      <c r="AP156" t="s">
        <v>396</v>
      </c>
      <c r="AQ156" t="s">
        <v>400</v>
      </c>
    </row>
    <row r="157" spans="1:43">
      <c r="A157" s="154"/>
      <c r="B157" s="35" t="s">
        <v>2197</v>
      </c>
      <c r="C157" s="44"/>
      <c r="D157" s="35" t="s">
        <v>2180</v>
      </c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44"/>
      <c r="Q157" s="35"/>
      <c r="R157" s="35"/>
      <c r="S157" s="35"/>
      <c r="T157" s="35"/>
      <c r="U157" s="35"/>
      <c r="V157" s="35"/>
      <c r="W157" s="35"/>
      <c r="X157" s="35"/>
      <c r="Y157" s="46" t="s">
        <v>2182</v>
      </c>
      <c r="Z157">
        <v>3</v>
      </c>
      <c r="AA157" t="s">
        <v>122</v>
      </c>
      <c r="AB157" t="s">
        <v>437</v>
      </c>
      <c r="AC157" t="s">
        <v>19</v>
      </c>
      <c r="AD157" t="s">
        <v>438</v>
      </c>
      <c r="AE157" t="s">
        <v>438</v>
      </c>
      <c r="AF157" t="s">
        <v>439</v>
      </c>
      <c r="AG157" t="s">
        <v>440</v>
      </c>
      <c r="AH157" t="s">
        <v>441</v>
      </c>
      <c r="AI157" t="s">
        <v>19</v>
      </c>
      <c r="AJ157" t="s">
        <v>19</v>
      </c>
      <c r="AK157" t="s">
        <v>73</v>
      </c>
      <c r="AL157" t="s">
        <v>442</v>
      </c>
      <c r="AM157" t="s">
        <v>443</v>
      </c>
      <c r="AN157" t="s">
        <v>28</v>
      </c>
      <c r="AO157" t="s">
        <v>393</v>
      </c>
      <c r="AP157" t="s">
        <v>19</v>
      </c>
      <c r="AQ157" t="s">
        <v>19</v>
      </c>
    </row>
    <row r="158" spans="1:43">
      <c r="A158" s="154"/>
      <c r="B158" s="35" t="s">
        <v>2197</v>
      </c>
      <c r="C158" s="44"/>
      <c r="D158" s="35" t="s">
        <v>2180</v>
      </c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44"/>
      <c r="Q158" s="35"/>
      <c r="R158" s="35"/>
      <c r="S158" s="35"/>
      <c r="T158" s="35"/>
      <c r="U158" s="35"/>
      <c r="V158" s="35"/>
      <c r="W158" s="35"/>
      <c r="X158" s="35"/>
      <c r="Y158" s="46" t="s">
        <v>2182</v>
      </c>
      <c r="Z158">
        <v>3</v>
      </c>
      <c r="AA158" t="s">
        <v>444</v>
      </c>
      <c r="AB158" t="s">
        <v>445</v>
      </c>
      <c r="AC158" t="s">
        <v>19</v>
      </c>
      <c r="AD158" t="s">
        <v>446</v>
      </c>
      <c r="AE158" t="s">
        <v>446</v>
      </c>
      <c r="AF158" t="s">
        <v>447</v>
      </c>
      <c r="AG158" t="s">
        <v>448</v>
      </c>
      <c r="AH158" t="s">
        <v>449</v>
      </c>
      <c r="AI158" t="s">
        <v>119</v>
      </c>
      <c r="AJ158" t="s">
        <v>19</v>
      </c>
      <c r="AK158" t="s">
        <v>79</v>
      </c>
      <c r="AL158" t="s">
        <v>450</v>
      </c>
      <c r="AM158" t="s">
        <v>451</v>
      </c>
      <c r="AN158" t="s">
        <v>28</v>
      </c>
      <c r="AO158" t="s">
        <v>393</v>
      </c>
      <c r="AP158" t="s">
        <v>19</v>
      </c>
      <c r="AQ158" t="s">
        <v>400</v>
      </c>
    </row>
    <row r="159" spans="1:43">
      <c r="A159" s="154"/>
      <c r="B159" s="35" t="s">
        <v>2197</v>
      </c>
      <c r="C159" s="44"/>
      <c r="D159" s="35" t="s">
        <v>2180</v>
      </c>
      <c r="E159" s="35"/>
      <c r="F159" s="35"/>
      <c r="G159" s="35"/>
      <c r="H159" s="35"/>
      <c r="I159" s="35"/>
      <c r="J159" s="35"/>
      <c r="K159" s="49"/>
      <c r="L159" s="35"/>
      <c r="M159" s="35"/>
      <c r="N159" s="35"/>
      <c r="O159" s="35"/>
      <c r="P159" s="44"/>
      <c r="Q159" s="35"/>
      <c r="R159" s="35"/>
      <c r="S159" s="35"/>
      <c r="T159" s="35"/>
      <c r="U159" s="35"/>
      <c r="V159" s="35"/>
      <c r="W159" s="35"/>
      <c r="X159" s="35"/>
      <c r="Y159" s="46" t="s">
        <v>2182</v>
      </c>
      <c r="Z159">
        <v>3</v>
      </c>
      <c r="AA159" t="s">
        <v>452</v>
      </c>
      <c r="AB159" t="s">
        <v>453</v>
      </c>
      <c r="AC159" t="s">
        <v>19</v>
      </c>
      <c r="AD159" t="s">
        <v>454</v>
      </c>
      <c r="AE159" t="s">
        <v>454</v>
      </c>
      <c r="AF159" t="s">
        <v>455</v>
      </c>
      <c r="AG159" t="s">
        <v>456</v>
      </c>
      <c r="AH159" t="s">
        <v>457</v>
      </c>
      <c r="AI159" t="s">
        <v>19</v>
      </c>
      <c r="AJ159" t="s">
        <v>19</v>
      </c>
      <c r="AK159" t="s">
        <v>79</v>
      </c>
      <c r="AL159" t="s">
        <v>458</v>
      </c>
      <c r="AM159" t="s">
        <v>459</v>
      </c>
      <c r="AN159" t="s">
        <v>28</v>
      </c>
      <c r="AO159" t="s">
        <v>393</v>
      </c>
      <c r="AP159" t="s">
        <v>396</v>
      </c>
      <c r="AQ159" t="s">
        <v>400</v>
      </c>
    </row>
    <row r="160" spans="1:43">
      <c r="A160" s="154"/>
      <c r="B160" s="35" t="s">
        <v>2197</v>
      </c>
      <c r="C160" s="44"/>
      <c r="D160" s="35" t="s">
        <v>2227</v>
      </c>
      <c r="E160" s="35"/>
      <c r="F160" s="35"/>
      <c r="G160" s="35"/>
      <c r="H160" s="35"/>
      <c r="I160" s="35"/>
      <c r="J160" s="35" t="s">
        <v>2238</v>
      </c>
      <c r="K160" s="35"/>
      <c r="L160" s="35"/>
      <c r="M160" s="35"/>
      <c r="N160" s="35"/>
      <c r="O160" s="35"/>
      <c r="P160" s="44"/>
      <c r="Q160" s="35"/>
      <c r="R160" s="35"/>
      <c r="S160" s="35"/>
      <c r="T160" s="35"/>
      <c r="U160" s="35"/>
      <c r="V160" s="35"/>
      <c r="W160" s="35"/>
      <c r="X160" s="35"/>
      <c r="Y160" s="46" t="s">
        <v>2182</v>
      </c>
      <c r="Z160">
        <v>3</v>
      </c>
      <c r="AA160" t="s">
        <v>184</v>
      </c>
      <c r="AB160" t="s">
        <v>460</v>
      </c>
      <c r="AC160" t="s">
        <v>19</v>
      </c>
      <c r="AD160" t="s">
        <v>19</v>
      </c>
      <c r="AE160" t="s">
        <v>461</v>
      </c>
      <c r="AF160" t="s">
        <v>460</v>
      </c>
      <c r="AG160" t="s">
        <v>173</v>
      </c>
      <c r="AH160" t="s">
        <v>187</v>
      </c>
      <c r="AI160" t="s">
        <v>19</v>
      </c>
      <c r="AJ160" t="s">
        <v>172</v>
      </c>
      <c r="AK160" t="s">
        <v>188</v>
      </c>
      <c r="AL160" t="s">
        <v>19</v>
      </c>
      <c r="AM160" t="s">
        <v>19</v>
      </c>
      <c r="AN160" t="s">
        <v>28</v>
      </c>
      <c r="AO160" t="s">
        <v>393</v>
      </c>
      <c r="AP160" t="s">
        <v>396</v>
      </c>
      <c r="AQ160" t="s">
        <v>400</v>
      </c>
    </row>
    <row r="161" spans="1:43">
      <c r="A161" s="154"/>
      <c r="B161" s="35" t="s">
        <v>2197</v>
      </c>
      <c r="C161" s="44"/>
      <c r="D161" s="35" t="s">
        <v>2227</v>
      </c>
      <c r="E161" s="35"/>
      <c r="F161" s="35"/>
      <c r="G161" s="35"/>
      <c r="H161" s="35"/>
      <c r="I161" s="35"/>
      <c r="J161" s="35" t="s">
        <v>2239</v>
      </c>
      <c r="K161" s="35"/>
      <c r="L161" s="35"/>
      <c r="M161" s="35"/>
      <c r="N161" s="35"/>
      <c r="O161" s="35"/>
      <c r="P161" s="44"/>
      <c r="Q161" s="35"/>
      <c r="R161" s="35"/>
      <c r="S161" s="35"/>
      <c r="T161" s="35"/>
      <c r="U161" s="35"/>
      <c r="V161" s="35"/>
      <c r="W161" s="35"/>
      <c r="X161" s="35"/>
      <c r="Y161" s="46" t="s">
        <v>2182</v>
      </c>
      <c r="Z161">
        <v>3</v>
      </c>
      <c r="AA161" t="s">
        <v>208</v>
      </c>
      <c r="AB161" t="s">
        <v>462</v>
      </c>
      <c r="AC161" t="s">
        <v>19</v>
      </c>
      <c r="AD161" t="s">
        <v>19</v>
      </c>
      <c r="AE161" t="s">
        <v>463</v>
      </c>
      <c r="AF161" t="s">
        <v>462</v>
      </c>
      <c r="AG161" t="s">
        <v>173</v>
      </c>
      <c r="AH161" t="s">
        <v>212</v>
      </c>
      <c r="AI161" t="s">
        <v>19</v>
      </c>
      <c r="AJ161" t="s">
        <v>172</v>
      </c>
      <c r="AK161" t="s">
        <v>213</v>
      </c>
      <c r="AL161" t="s">
        <v>19</v>
      </c>
      <c r="AM161" t="s">
        <v>19</v>
      </c>
      <c r="AN161" t="s">
        <v>28</v>
      </c>
      <c r="AO161" t="s">
        <v>393</v>
      </c>
      <c r="AP161" t="s">
        <v>396</v>
      </c>
      <c r="AQ161" t="s">
        <v>400</v>
      </c>
    </row>
    <row r="162" spans="1:43">
      <c r="A162" s="154"/>
      <c r="B162" s="35" t="s">
        <v>2197</v>
      </c>
      <c r="C162" s="44"/>
      <c r="D162" s="35" t="s">
        <v>2227</v>
      </c>
      <c r="E162" s="35"/>
      <c r="F162" s="35"/>
      <c r="G162" s="35"/>
      <c r="H162" s="35"/>
      <c r="I162" s="35"/>
      <c r="J162" s="35" t="s">
        <v>2240</v>
      </c>
      <c r="K162" s="35"/>
      <c r="L162" s="35"/>
      <c r="M162" s="35"/>
      <c r="N162" s="35"/>
      <c r="O162" s="35"/>
      <c r="P162" s="44"/>
      <c r="Q162" s="35"/>
      <c r="R162" s="35"/>
      <c r="S162" s="35"/>
      <c r="T162" s="35"/>
      <c r="U162" s="35"/>
      <c r="V162" s="35"/>
      <c r="W162" s="35"/>
      <c r="X162" s="35"/>
      <c r="Y162" s="46" t="s">
        <v>2182</v>
      </c>
      <c r="Z162">
        <v>3</v>
      </c>
      <c r="AA162" t="s">
        <v>464</v>
      </c>
      <c r="AB162" t="s">
        <v>465</v>
      </c>
      <c r="AC162" t="s">
        <v>19</v>
      </c>
      <c r="AD162" t="s">
        <v>19</v>
      </c>
      <c r="AE162" t="s">
        <v>466</v>
      </c>
      <c r="AF162" t="s">
        <v>465</v>
      </c>
      <c r="AG162" t="s">
        <v>173</v>
      </c>
      <c r="AH162" t="s">
        <v>467</v>
      </c>
      <c r="AI162" t="s">
        <v>19</v>
      </c>
      <c r="AJ162" t="s">
        <v>172</v>
      </c>
      <c r="AK162" t="s">
        <v>468</v>
      </c>
      <c r="AL162" t="s">
        <v>19</v>
      </c>
      <c r="AM162" t="s">
        <v>19</v>
      </c>
      <c r="AN162" t="s">
        <v>28</v>
      </c>
      <c r="AO162" t="s">
        <v>393</v>
      </c>
      <c r="AP162" t="s">
        <v>396</v>
      </c>
      <c r="AQ162" t="s">
        <v>400</v>
      </c>
    </row>
    <row r="163" spans="1:43">
      <c r="A163" s="154"/>
      <c r="B163" s="35" t="s">
        <v>2197</v>
      </c>
      <c r="C163" s="44"/>
      <c r="D163" s="35" t="s">
        <v>2227</v>
      </c>
      <c r="E163" s="35"/>
      <c r="F163" s="35"/>
      <c r="G163" s="35"/>
      <c r="H163" s="35"/>
      <c r="I163" s="35"/>
      <c r="J163" s="35" t="s">
        <v>2241</v>
      </c>
      <c r="K163" s="35"/>
      <c r="L163" s="35"/>
      <c r="M163" s="35"/>
      <c r="N163" s="35"/>
      <c r="O163" s="35"/>
      <c r="P163" s="44"/>
      <c r="Q163" s="35"/>
      <c r="R163" s="35"/>
      <c r="S163" s="35"/>
      <c r="T163" s="35"/>
      <c r="U163" s="35"/>
      <c r="V163" s="35"/>
      <c r="W163" s="35"/>
      <c r="X163" s="35"/>
      <c r="Y163" s="46" t="s">
        <v>2182</v>
      </c>
      <c r="Z163">
        <v>3</v>
      </c>
      <c r="AA163" t="s">
        <v>464</v>
      </c>
      <c r="AB163" t="s">
        <v>469</v>
      </c>
      <c r="AC163" t="s">
        <v>19</v>
      </c>
      <c r="AD163" t="s">
        <v>19</v>
      </c>
      <c r="AE163" t="s">
        <v>470</v>
      </c>
      <c r="AF163" t="s">
        <v>469</v>
      </c>
      <c r="AG163" t="s">
        <v>211</v>
      </c>
      <c r="AH163" t="s">
        <v>467</v>
      </c>
      <c r="AI163" t="s">
        <v>19</v>
      </c>
      <c r="AJ163" t="s">
        <v>200</v>
      </c>
      <c r="AK163" t="s">
        <v>468</v>
      </c>
      <c r="AL163" t="s">
        <v>19</v>
      </c>
      <c r="AM163" t="s">
        <v>19</v>
      </c>
      <c r="AN163" t="s">
        <v>28</v>
      </c>
      <c r="AO163" t="s">
        <v>393</v>
      </c>
      <c r="AP163" t="s">
        <v>396</v>
      </c>
      <c r="AQ163" t="s">
        <v>400</v>
      </c>
    </row>
    <row r="164" spans="1:43" ht="30">
      <c r="A164" s="154"/>
      <c r="B164" s="35" t="s">
        <v>2197</v>
      </c>
      <c r="C164" s="44"/>
      <c r="D164" s="35" t="s">
        <v>2180</v>
      </c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44"/>
      <c r="Q164" s="35"/>
      <c r="R164" s="35"/>
      <c r="S164" s="35"/>
      <c r="T164" s="35"/>
      <c r="U164" s="35"/>
      <c r="V164" s="35"/>
      <c r="W164" s="35"/>
      <c r="X164" s="35"/>
      <c r="Y164" s="46" t="s">
        <v>2182</v>
      </c>
      <c r="Z164">
        <v>3</v>
      </c>
      <c r="AA164" t="s">
        <v>471</v>
      </c>
      <c r="AB164" t="s">
        <v>472</v>
      </c>
      <c r="AC164" t="s">
        <v>19</v>
      </c>
      <c r="AD164" t="s">
        <v>473</v>
      </c>
      <c r="AE164" t="s">
        <v>473</v>
      </c>
      <c r="AF164" t="s">
        <v>474</v>
      </c>
      <c r="AG164" t="s">
        <v>475</v>
      </c>
      <c r="AH164" t="s">
        <v>476</v>
      </c>
      <c r="AI164" t="s">
        <v>19</v>
      </c>
      <c r="AJ164" t="s">
        <v>19</v>
      </c>
      <c r="AK164" t="s">
        <v>79</v>
      </c>
      <c r="AL164" t="s">
        <v>477</v>
      </c>
      <c r="AM164" s="1" t="s">
        <v>478</v>
      </c>
      <c r="AN164" t="s">
        <v>28</v>
      </c>
      <c r="AO164" t="s">
        <v>393</v>
      </c>
      <c r="AP164" t="s">
        <v>396</v>
      </c>
      <c r="AQ164" t="s">
        <v>400</v>
      </c>
    </row>
    <row r="165" spans="1:43">
      <c r="A165" s="154"/>
      <c r="B165" s="35" t="s">
        <v>2197</v>
      </c>
      <c r="C165" s="44"/>
      <c r="D165" s="35" t="s">
        <v>2180</v>
      </c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44"/>
      <c r="Q165" s="35"/>
      <c r="R165" s="35"/>
      <c r="S165" s="35"/>
      <c r="T165" s="35"/>
      <c r="U165" s="35"/>
      <c r="V165" s="35"/>
      <c r="W165" s="35"/>
      <c r="X165" s="35"/>
      <c r="Y165" s="46" t="s">
        <v>2182</v>
      </c>
      <c r="Z165">
        <v>3</v>
      </c>
      <c r="AA165" t="s">
        <v>479</v>
      </c>
      <c r="AB165" t="s">
        <v>480</v>
      </c>
      <c r="AC165" t="s">
        <v>19</v>
      </c>
      <c r="AD165" t="s">
        <v>481</v>
      </c>
      <c r="AE165" t="s">
        <v>481</v>
      </c>
      <c r="AF165" t="s">
        <v>482</v>
      </c>
      <c r="AG165" t="s">
        <v>483</v>
      </c>
      <c r="AH165" t="s">
        <v>484</v>
      </c>
      <c r="AI165" t="s">
        <v>19</v>
      </c>
      <c r="AJ165" t="s">
        <v>19</v>
      </c>
      <c r="AK165" t="s">
        <v>79</v>
      </c>
      <c r="AL165" t="s">
        <v>485</v>
      </c>
      <c r="AM165" t="s">
        <v>486</v>
      </c>
      <c r="AN165" t="s">
        <v>28</v>
      </c>
      <c r="AO165" t="s">
        <v>393</v>
      </c>
      <c r="AP165" t="s">
        <v>396</v>
      </c>
      <c r="AQ165" t="s">
        <v>400</v>
      </c>
    </row>
    <row r="166" spans="1:43">
      <c r="A166" s="154"/>
      <c r="B166" s="35" t="s">
        <v>2197</v>
      </c>
      <c r="C166" s="44"/>
      <c r="D166" s="35" t="s">
        <v>2180</v>
      </c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44"/>
      <c r="Q166" s="35"/>
      <c r="R166" s="35"/>
      <c r="S166" s="35"/>
      <c r="T166" s="35"/>
      <c r="U166" s="35"/>
      <c r="V166" s="35"/>
      <c r="W166" s="35"/>
      <c r="X166" s="35"/>
      <c r="Y166" s="46" t="s">
        <v>2182</v>
      </c>
      <c r="Z166">
        <v>3</v>
      </c>
      <c r="AA166" t="s">
        <v>479</v>
      </c>
      <c r="AB166" t="s">
        <v>487</v>
      </c>
      <c r="AC166" t="s">
        <v>19</v>
      </c>
      <c r="AD166" t="s">
        <v>488</v>
      </c>
      <c r="AE166" t="s">
        <v>488</v>
      </c>
      <c r="AF166" t="s">
        <v>489</v>
      </c>
      <c r="AG166" t="s">
        <v>490</v>
      </c>
      <c r="AH166" t="s">
        <v>484</v>
      </c>
      <c r="AI166" t="s">
        <v>19</v>
      </c>
      <c r="AJ166" t="s">
        <v>19</v>
      </c>
      <c r="AK166" t="s">
        <v>79</v>
      </c>
      <c r="AL166" t="s">
        <v>491</v>
      </c>
      <c r="AM166" t="s">
        <v>492</v>
      </c>
      <c r="AN166" t="s">
        <v>28</v>
      </c>
      <c r="AO166" t="s">
        <v>393</v>
      </c>
      <c r="AP166" t="s">
        <v>396</v>
      </c>
      <c r="AQ166" t="s">
        <v>400</v>
      </c>
    </row>
    <row r="167" spans="1:43" ht="30">
      <c r="A167" s="154"/>
      <c r="B167" s="35" t="s">
        <v>2197</v>
      </c>
      <c r="C167" s="44"/>
      <c r="D167" s="35" t="s">
        <v>2180</v>
      </c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44"/>
      <c r="Q167" s="35"/>
      <c r="R167" s="35"/>
      <c r="S167" s="35"/>
      <c r="T167" s="35"/>
      <c r="U167" s="35"/>
      <c r="V167" s="35"/>
      <c r="W167" s="35"/>
      <c r="X167" s="35"/>
      <c r="Y167" s="46" t="s">
        <v>2182</v>
      </c>
      <c r="Z167">
        <v>3</v>
      </c>
      <c r="AA167" t="s">
        <v>479</v>
      </c>
      <c r="AB167" t="s">
        <v>493</v>
      </c>
      <c r="AC167" t="s">
        <v>19</v>
      </c>
      <c r="AD167" t="s">
        <v>494</v>
      </c>
      <c r="AE167" t="s">
        <v>494</v>
      </c>
      <c r="AF167" t="s">
        <v>495</v>
      </c>
      <c r="AG167" t="s">
        <v>496</v>
      </c>
      <c r="AH167" t="s">
        <v>484</v>
      </c>
      <c r="AI167" t="s">
        <v>19</v>
      </c>
      <c r="AJ167" t="s">
        <v>19</v>
      </c>
      <c r="AK167" t="s">
        <v>79</v>
      </c>
      <c r="AL167" t="s">
        <v>497</v>
      </c>
      <c r="AM167" s="1" t="s">
        <v>498</v>
      </c>
      <c r="AN167" t="s">
        <v>28</v>
      </c>
      <c r="AO167" t="s">
        <v>393</v>
      </c>
      <c r="AP167" t="s">
        <v>396</v>
      </c>
      <c r="AQ167" t="s">
        <v>400</v>
      </c>
    </row>
    <row r="168" spans="1:43">
      <c r="A168" s="154"/>
      <c r="B168" s="35" t="s">
        <v>2197</v>
      </c>
      <c r="C168" s="44"/>
      <c r="D168" s="35" t="s">
        <v>2180</v>
      </c>
      <c r="E168" s="35"/>
      <c r="F168" s="35"/>
      <c r="G168" s="35"/>
      <c r="H168" s="35"/>
      <c r="I168" s="35"/>
      <c r="J168" s="35"/>
      <c r="K168" s="35"/>
      <c r="M168" s="205">
        <v>920002369</v>
      </c>
      <c r="N168" s="35"/>
      <c r="O168" s="35"/>
      <c r="P168" s="44"/>
      <c r="Q168" s="35"/>
      <c r="R168" s="35"/>
      <c r="S168" s="35"/>
      <c r="T168" s="35"/>
      <c r="U168" s="35"/>
      <c r="V168" s="35"/>
      <c r="W168" s="35"/>
      <c r="X168" s="35"/>
      <c r="Y168" s="46" t="s">
        <v>2182</v>
      </c>
      <c r="Z168">
        <v>3</v>
      </c>
      <c r="AA168" t="s">
        <v>499</v>
      </c>
      <c r="AB168" t="s">
        <v>500</v>
      </c>
      <c r="AC168" t="s">
        <v>19</v>
      </c>
      <c r="AD168" t="s">
        <v>241</v>
      </c>
      <c r="AE168" t="s">
        <v>241</v>
      </c>
      <c r="AF168" t="s">
        <v>501</v>
      </c>
      <c r="AG168" t="s">
        <v>502</v>
      </c>
      <c r="AH168" t="s">
        <v>503</v>
      </c>
      <c r="AI168" t="s">
        <v>19</v>
      </c>
      <c r="AJ168" t="s">
        <v>19</v>
      </c>
      <c r="AK168" t="s">
        <v>79</v>
      </c>
      <c r="AL168" t="s">
        <v>245</v>
      </c>
      <c r="AM168" t="s">
        <v>246</v>
      </c>
      <c r="AN168" t="s">
        <v>28</v>
      </c>
      <c r="AO168" t="s">
        <v>393</v>
      </c>
      <c r="AP168" t="s">
        <v>396</v>
      </c>
      <c r="AQ168" t="s">
        <v>400</v>
      </c>
    </row>
    <row r="169" spans="1:43">
      <c r="A169" s="196"/>
      <c r="B169" s="197" t="s">
        <v>2197</v>
      </c>
      <c r="C169" s="197"/>
      <c r="D169" s="197" t="s">
        <v>2180</v>
      </c>
      <c r="E169" s="197"/>
      <c r="F169" s="197"/>
      <c r="G169" s="197"/>
      <c r="H169" s="197"/>
      <c r="I169" s="197"/>
      <c r="J169" s="197"/>
      <c r="K169" s="197"/>
      <c r="L169" s="197"/>
      <c r="M169" s="179">
        <v>920002644</v>
      </c>
      <c r="N169" s="197"/>
      <c r="O169" s="197"/>
      <c r="P169" s="197"/>
      <c r="Q169" s="197"/>
      <c r="R169" s="197"/>
      <c r="S169" s="197"/>
      <c r="T169" s="197"/>
      <c r="U169" s="197"/>
      <c r="V169" s="197"/>
      <c r="W169" s="197"/>
      <c r="X169" s="197"/>
      <c r="Y169" s="199" t="s">
        <v>2182</v>
      </c>
      <c r="Z169" s="196">
        <v>3</v>
      </c>
      <c r="AA169" s="196" t="s">
        <v>2392</v>
      </c>
      <c r="AB169" s="196" t="s">
        <v>500</v>
      </c>
      <c r="AC169" s="196" t="s">
        <v>19</v>
      </c>
      <c r="AD169" s="196" t="s">
        <v>241</v>
      </c>
      <c r="AE169" s="196" t="s">
        <v>241</v>
      </c>
      <c r="AF169" s="196" t="s">
        <v>501</v>
      </c>
      <c r="AG169" s="196" t="s">
        <v>502</v>
      </c>
      <c r="AH169" s="196"/>
      <c r="AI169" s="196" t="s">
        <v>19</v>
      </c>
      <c r="AJ169" s="196" t="s">
        <v>19</v>
      </c>
      <c r="AK169" s="196" t="s">
        <v>79</v>
      </c>
      <c r="AL169" s="196" t="s">
        <v>245</v>
      </c>
      <c r="AM169" s="196" t="s">
        <v>246</v>
      </c>
      <c r="AN169" s="196" t="s">
        <v>28</v>
      </c>
      <c r="AO169" s="196">
        <v>0</v>
      </c>
      <c r="AP169" s="196">
        <v>0</v>
      </c>
      <c r="AQ169" s="196">
        <v>0</v>
      </c>
    </row>
    <row r="170" spans="1:43">
      <c r="A170" s="154"/>
      <c r="B170" s="35" t="s">
        <v>2197</v>
      </c>
      <c r="C170" s="44"/>
      <c r="D170" s="35" t="s">
        <v>2180</v>
      </c>
      <c r="E170" s="35"/>
      <c r="F170" s="35"/>
      <c r="G170" s="35"/>
      <c r="H170" s="35"/>
      <c r="I170" s="35"/>
      <c r="J170" s="35"/>
      <c r="K170" s="35"/>
      <c r="L170" s="47" t="s">
        <v>2226</v>
      </c>
      <c r="M170" s="35"/>
      <c r="N170" s="35"/>
      <c r="O170" s="35"/>
      <c r="P170" s="44"/>
      <c r="Q170" s="35"/>
      <c r="R170" s="35"/>
      <c r="S170" s="35"/>
      <c r="T170" s="35"/>
      <c r="U170" s="35"/>
      <c r="V170" s="35"/>
      <c r="W170" s="35"/>
      <c r="X170" s="35"/>
      <c r="Y170" s="46" t="s">
        <v>2182</v>
      </c>
      <c r="Z170">
        <v>3</v>
      </c>
      <c r="AA170" t="s">
        <v>285</v>
      </c>
      <c r="AB170" t="s">
        <v>504</v>
      </c>
      <c r="AC170" t="s">
        <v>19</v>
      </c>
      <c r="AD170" t="s">
        <v>19</v>
      </c>
      <c r="AE170" t="s">
        <v>19</v>
      </c>
      <c r="AF170" t="s">
        <v>504</v>
      </c>
      <c r="AG170" t="s">
        <v>505</v>
      </c>
      <c r="AH170" t="s">
        <v>288</v>
      </c>
      <c r="AI170" t="s">
        <v>19</v>
      </c>
      <c r="AJ170" t="s">
        <v>19</v>
      </c>
      <c r="AK170" t="s">
        <v>19</v>
      </c>
      <c r="AL170" t="s">
        <v>19</v>
      </c>
      <c r="AM170" t="s">
        <v>19</v>
      </c>
      <c r="AN170" t="s">
        <v>28</v>
      </c>
      <c r="AO170" t="s">
        <v>393</v>
      </c>
      <c r="AP170" t="s">
        <v>396</v>
      </c>
      <c r="AQ170" t="s">
        <v>400</v>
      </c>
    </row>
    <row r="171" spans="1:43">
      <c r="A171" s="154"/>
      <c r="B171" s="35" t="s">
        <v>2197</v>
      </c>
      <c r="C171" s="44"/>
      <c r="D171" s="35" t="s">
        <v>2180</v>
      </c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44"/>
      <c r="Q171" s="35"/>
      <c r="R171" s="35"/>
      <c r="S171" s="35"/>
      <c r="T171" s="35"/>
      <c r="U171" s="35"/>
      <c r="V171" s="35"/>
      <c r="W171" s="35"/>
      <c r="X171" s="35"/>
      <c r="Y171" s="46" t="s">
        <v>2182</v>
      </c>
      <c r="Z171">
        <v>3</v>
      </c>
      <c r="AA171" t="s">
        <v>293</v>
      </c>
      <c r="AB171" t="s">
        <v>506</v>
      </c>
      <c r="AC171" t="s">
        <v>19</v>
      </c>
      <c r="AD171" t="s">
        <v>19</v>
      </c>
      <c r="AE171" t="s">
        <v>19</v>
      </c>
      <c r="AF171" t="s">
        <v>506</v>
      </c>
      <c r="AG171" t="s">
        <v>507</v>
      </c>
      <c r="AH171" t="s">
        <v>296</v>
      </c>
      <c r="AI171" t="s">
        <v>19</v>
      </c>
      <c r="AJ171" t="s">
        <v>19</v>
      </c>
      <c r="AK171" t="s">
        <v>19</v>
      </c>
      <c r="AL171" t="s">
        <v>19</v>
      </c>
      <c r="AM171" t="s">
        <v>19</v>
      </c>
      <c r="AN171" t="s">
        <v>28</v>
      </c>
      <c r="AO171" t="s">
        <v>393</v>
      </c>
      <c r="AP171" t="s">
        <v>396</v>
      </c>
      <c r="AQ171" t="s">
        <v>400</v>
      </c>
    </row>
    <row r="172" spans="1:43">
      <c r="A172" s="154"/>
      <c r="B172" s="35" t="s">
        <v>2197</v>
      </c>
      <c r="C172" s="44"/>
      <c r="D172" s="35" t="s">
        <v>2180</v>
      </c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44"/>
      <c r="Q172" s="35"/>
      <c r="R172" s="35"/>
      <c r="S172" s="35"/>
      <c r="T172" s="35"/>
      <c r="U172" s="35"/>
      <c r="V172" s="35"/>
      <c r="W172" s="35"/>
      <c r="X172" s="35"/>
      <c r="Y172" s="46" t="s">
        <v>2182</v>
      </c>
      <c r="Z172">
        <v>3</v>
      </c>
      <c r="AA172" t="s">
        <v>293</v>
      </c>
      <c r="AB172" t="s">
        <v>508</v>
      </c>
      <c r="AC172" t="s">
        <v>19</v>
      </c>
      <c r="AD172" t="s">
        <v>19</v>
      </c>
      <c r="AE172" t="s">
        <v>19</v>
      </c>
      <c r="AF172" t="s">
        <v>508</v>
      </c>
      <c r="AG172" t="s">
        <v>509</v>
      </c>
      <c r="AH172" t="s">
        <v>296</v>
      </c>
      <c r="AI172" t="s">
        <v>19</v>
      </c>
      <c r="AJ172" t="s">
        <v>19</v>
      </c>
      <c r="AK172" t="s">
        <v>19</v>
      </c>
      <c r="AL172" t="s">
        <v>19</v>
      </c>
      <c r="AM172" t="s">
        <v>19</v>
      </c>
      <c r="AN172" t="s">
        <v>28</v>
      </c>
      <c r="AO172" t="s">
        <v>393</v>
      </c>
      <c r="AP172" t="s">
        <v>396</v>
      </c>
      <c r="AQ172" t="s">
        <v>400</v>
      </c>
    </row>
    <row r="173" spans="1:43">
      <c r="A173" s="154"/>
      <c r="B173" s="35" t="s">
        <v>2197</v>
      </c>
      <c r="C173" s="44"/>
      <c r="D173" s="35" t="s">
        <v>2180</v>
      </c>
      <c r="E173" s="35"/>
      <c r="F173" s="35"/>
      <c r="G173" s="35"/>
      <c r="H173" s="35"/>
      <c r="I173" s="35"/>
      <c r="J173" s="35"/>
      <c r="K173" s="35"/>
      <c r="L173" s="193" t="s">
        <v>2226</v>
      </c>
      <c r="M173" s="35"/>
      <c r="N173" s="35"/>
      <c r="O173" s="35"/>
      <c r="P173" s="44"/>
      <c r="Q173" s="35"/>
      <c r="R173" s="35"/>
      <c r="S173" s="35"/>
      <c r="T173" s="35"/>
      <c r="U173" s="35"/>
      <c r="V173" s="35"/>
      <c r="W173" s="35"/>
      <c r="X173" s="35"/>
      <c r="Y173" s="46" t="s">
        <v>2182</v>
      </c>
      <c r="Z173">
        <v>3</v>
      </c>
      <c r="AA173" t="s">
        <v>333</v>
      </c>
      <c r="AB173" t="s">
        <v>510</v>
      </c>
      <c r="AC173" t="s">
        <v>19</v>
      </c>
      <c r="AD173" t="s">
        <v>19</v>
      </c>
      <c r="AE173" t="s">
        <v>19</v>
      </c>
      <c r="AF173" t="s">
        <v>510</v>
      </c>
      <c r="AG173" t="s">
        <v>511</v>
      </c>
      <c r="AH173" t="s">
        <v>512</v>
      </c>
      <c r="AI173" t="s">
        <v>19</v>
      </c>
      <c r="AJ173" t="s">
        <v>19</v>
      </c>
      <c r="AK173" t="s">
        <v>19</v>
      </c>
      <c r="AL173" t="s">
        <v>19</v>
      </c>
      <c r="AM173" t="s">
        <v>19</v>
      </c>
      <c r="AN173" t="s">
        <v>28</v>
      </c>
      <c r="AO173" t="s">
        <v>393</v>
      </c>
      <c r="AP173" t="s">
        <v>19</v>
      </c>
      <c r="AQ173" t="s">
        <v>19</v>
      </c>
    </row>
    <row r="174" spans="1:43">
      <c r="A174" s="154"/>
      <c r="B174" s="35" t="s">
        <v>2197</v>
      </c>
      <c r="C174" s="44"/>
      <c r="D174" s="35" t="s">
        <v>2180</v>
      </c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44"/>
      <c r="Q174" s="35"/>
      <c r="R174" s="35"/>
      <c r="S174" s="35"/>
      <c r="T174" s="35"/>
      <c r="U174" s="35"/>
      <c r="V174" s="35"/>
      <c r="W174" s="35"/>
      <c r="X174" s="35"/>
      <c r="Y174" s="46" t="s">
        <v>2182</v>
      </c>
      <c r="Z174">
        <v>3</v>
      </c>
      <c r="AA174" t="s">
        <v>513</v>
      </c>
      <c r="AB174" t="s">
        <v>514</v>
      </c>
      <c r="AC174" t="s">
        <v>19</v>
      </c>
      <c r="AD174" t="s">
        <v>19</v>
      </c>
      <c r="AE174" t="s">
        <v>19</v>
      </c>
      <c r="AF174" t="s">
        <v>515</v>
      </c>
      <c r="AG174" t="s">
        <v>516</v>
      </c>
      <c r="AH174" t="s">
        <v>517</v>
      </c>
      <c r="AI174" t="s">
        <v>19</v>
      </c>
      <c r="AJ174" t="s">
        <v>19</v>
      </c>
      <c r="AK174" t="s">
        <v>19</v>
      </c>
      <c r="AL174" t="s">
        <v>19</v>
      </c>
      <c r="AM174" t="s">
        <v>19</v>
      </c>
      <c r="AN174" t="s">
        <v>28</v>
      </c>
      <c r="AO174" t="s">
        <v>393</v>
      </c>
      <c r="AP174" t="s">
        <v>19</v>
      </c>
      <c r="AQ174" t="s">
        <v>400</v>
      </c>
    </row>
    <row r="175" spans="1:43">
      <c r="A175" s="154"/>
      <c r="B175" s="35" t="s">
        <v>2200</v>
      </c>
      <c r="C175" s="44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44"/>
      <c r="Q175" s="35"/>
      <c r="R175" s="35"/>
      <c r="S175" s="35"/>
      <c r="T175" s="35"/>
      <c r="U175" s="35"/>
      <c r="V175" s="35"/>
      <c r="W175" s="35"/>
      <c r="X175" s="35"/>
      <c r="Y175" s="46"/>
      <c r="Z175">
        <v>1</v>
      </c>
      <c r="AA175" t="s">
        <v>518</v>
      </c>
    </row>
    <row r="176" spans="1:43">
      <c r="A176" s="154"/>
      <c r="B176" s="35" t="s">
        <v>2200</v>
      </c>
      <c r="C176" s="44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44"/>
      <c r="Q176" s="35"/>
      <c r="R176" s="35"/>
      <c r="S176" s="35"/>
      <c r="T176" s="35"/>
      <c r="U176" s="35"/>
      <c r="V176" s="35"/>
      <c r="W176" s="35"/>
      <c r="X176" s="35"/>
      <c r="Y176" s="46"/>
      <c r="Z176">
        <v>2</v>
      </c>
      <c r="AA176" t="s">
        <v>1</v>
      </c>
      <c r="AB176" t="s">
        <v>519</v>
      </c>
      <c r="AC176" t="s">
        <v>520</v>
      </c>
      <c r="AD176" t="s">
        <v>521</v>
      </c>
    </row>
    <row r="177" spans="1:42">
      <c r="A177" s="154"/>
      <c r="B177" s="35" t="s">
        <v>2200</v>
      </c>
      <c r="C177" s="44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44"/>
      <c r="Q177" s="35"/>
      <c r="R177" s="35"/>
      <c r="S177" s="35"/>
      <c r="T177" s="35"/>
      <c r="U177" s="35"/>
      <c r="V177" s="35"/>
      <c r="W177" s="35"/>
      <c r="X177" s="35"/>
      <c r="Y177" s="46"/>
      <c r="Z177">
        <v>0</v>
      </c>
      <c r="AA177" t="s">
        <v>5</v>
      </c>
      <c r="AB177" t="s">
        <v>6</v>
      </c>
      <c r="AC177" t="s">
        <v>7</v>
      </c>
      <c r="AD177" t="s">
        <v>8</v>
      </c>
      <c r="AE177" t="s">
        <v>8</v>
      </c>
      <c r="AF177" t="s">
        <v>9</v>
      </c>
      <c r="AG177" t="s">
        <v>10</v>
      </c>
      <c r="AH177" t="s">
        <v>11</v>
      </c>
      <c r="AI177" t="s">
        <v>12</v>
      </c>
      <c r="AJ177" t="s">
        <v>13</v>
      </c>
      <c r="AK177" t="s">
        <v>14</v>
      </c>
      <c r="AL177" t="s">
        <v>15</v>
      </c>
      <c r="AM177" t="s">
        <v>16</v>
      </c>
      <c r="AN177" t="s">
        <v>17</v>
      </c>
      <c r="AO177" t="s">
        <v>1</v>
      </c>
    </row>
    <row r="178" spans="1:42">
      <c r="A178" s="154"/>
      <c r="B178" s="35" t="s">
        <v>2200</v>
      </c>
      <c r="C178" s="44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44"/>
      <c r="Q178" s="35"/>
      <c r="R178" s="35"/>
      <c r="S178" s="35"/>
      <c r="T178" s="35"/>
      <c r="U178" s="35"/>
      <c r="V178" s="35"/>
      <c r="W178" s="35"/>
      <c r="X178" s="35"/>
      <c r="Y178" s="46"/>
      <c r="Z178">
        <v>4</v>
      </c>
      <c r="AA178" t="s">
        <v>22</v>
      </c>
      <c r="AB178" t="s">
        <v>19</v>
      </c>
      <c r="AC178" t="s">
        <v>19</v>
      </c>
      <c r="AD178" t="s">
        <v>19</v>
      </c>
      <c r="AE178" t="s">
        <v>19</v>
      </c>
      <c r="AF178" t="s">
        <v>19</v>
      </c>
      <c r="AG178" t="s">
        <v>19</v>
      </c>
      <c r="AH178" t="s">
        <v>24</v>
      </c>
      <c r="AI178" t="s">
        <v>19</v>
      </c>
      <c r="AJ178" t="s">
        <v>19</v>
      </c>
      <c r="AK178" t="s">
        <v>19</v>
      </c>
      <c r="AL178" t="s">
        <v>19</v>
      </c>
      <c r="AM178" t="s">
        <v>19</v>
      </c>
      <c r="AN178" t="s">
        <v>21</v>
      </c>
      <c r="AO178">
        <v>879</v>
      </c>
    </row>
    <row r="179" spans="1:42">
      <c r="A179" s="154"/>
      <c r="B179" s="35" t="s">
        <v>2200</v>
      </c>
      <c r="C179" s="44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44"/>
      <c r="Q179" s="35"/>
      <c r="R179" s="35"/>
      <c r="S179" s="35"/>
      <c r="T179" s="35"/>
      <c r="U179" s="35"/>
      <c r="V179" s="35"/>
      <c r="W179" s="35"/>
      <c r="X179" s="35"/>
      <c r="Y179" s="46"/>
      <c r="Z179">
        <v>4</v>
      </c>
      <c r="AA179" t="s">
        <v>26</v>
      </c>
      <c r="AB179" t="s">
        <v>19</v>
      </c>
      <c r="AC179" t="s">
        <v>19</v>
      </c>
      <c r="AD179" t="s">
        <v>19</v>
      </c>
      <c r="AE179" t="s">
        <v>19</v>
      </c>
      <c r="AF179" t="s">
        <v>19</v>
      </c>
      <c r="AG179" t="s">
        <v>19</v>
      </c>
      <c r="AH179" t="s">
        <v>29</v>
      </c>
      <c r="AI179" t="s">
        <v>19</v>
      </c>
      <c r="AJ179" t="s">
        <v>19</v>
      </c>
      <c r="AK179" t="s">
        <v>19</v>
      </c>
      <c r="AL179" t="s">
        <v>19</v>
      </c>
      <c r="AM179" t="s">
        <v>19</v>
      </c>
      <c r="AN179" t="s">
        <v>28</v>
      </c>
      <c r="AO179">
        <v>2</v>
      </c>
    </row>
    <row r="180" spans="1:42">
      <c r="A180" s="154"/>
      <c r="B180" s="35" t="s">
        <v>2200</v>
      </c>
      <c r="C180" s="44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44"/>
      <c r="Q180" s="35"/>
      <c r="R180" s="35"/>
      <c r="S180" s="35"/>
      <c r="T180" s="35"/>
      <c r="U180" s="35"/>
      <c r="V180" s="35"/>
      <c r="W180" s="35"/>
      <c r="X180" s="35"/>
      <c r="Y180" s="46"/>
      <c r="Z180">
        <v>4</v>
      </c>
      <c r="AA180" t="s">
        <v>26</v>
      </c>
      <c r="AB180" t="s">
        <v>19</v>
      </c>
      <c r="AC180" t="s">
        <v>19</v>
      </c>
      <c r="AD180" t="s">
        <v>19</v>
      </c>
      <c r="AE180" t="s">
        <v>19</v>
      </c>
      <c r="AF180" t="s">
        <v>19</v>
      </c>
      <c r="AG180" t="s">
        <v>19</v>
      </c>
      <c r="AH180" t="s">
        <v>40</v>
      </c>
      <c r="AI180" t="s">
        <v>19</v>
      </c>
      <c r="AJ180" t="s">
        <v>19</v>
      </c>
      <c r="AK180" t="s">
        <v>19</v>
      </c>
      <c r="AL180" t="s">
        <v>19</v>
      </c>
      <c r="AM180" t="s">
        <v>19</v>
      </c>
      <c r="AN180" t="s">
        <v>28</v>
      </c>
      <c r="AO180" t="s">
        <v>519</v>
      </c>
    </row>
    <row r="181" spans="1:42">
      <c r="A181" s="154"/>
      <c r="B181" s="35" t="s">
        <v>2200</v>
      </c>
      <c r="C181" s="44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44"/>
      <c r="Q181" s="35"/>
      <c r="R181" s="35"/>
      <c r="S181" s="35"/>
      <c r="T181" s="35"/>
      <c r="U181" s="35"/>
      <c r="V181" s="35"/>
      <c r="W181" s="35"/>
      <c r="X181" s="35"/>
      <c r="Y181" s="46"/>
      <c r="Z181">
        <v>4</v>
      </c>
      <c r="AA181" t="s">
        <v>26</v>
      </c>
      <c r="AB181" t="s">
        <v>19</v>
      </c>
      <c r="AC181" t="s">
        <v>19</v>
      </c>
      <c r="AD181" t="s">
        <v>19</v>
      </c>
      <c r="AE181" t="s">
        <v>19</v>
      </c>
      <c r="AF181" t="s">
        <v>19</v>
      </c>
      <c r="AG181" t="s">
        <v>19</v>
      </c>
      <c r="AH181" t="s">
        <v>41</v>
      </c>
      <c r="AI181" t="s">
        <v>19</v>
      </c>
      <c r="AJ181" t="s">
        <v>19</v>
      </c>
      <c r="AK181" t="s">
        <v>19</v>
      </c>
      <c r="AL181" t="s">
        <v>19</v>
      </c>
      <c r="AM181" t="s">
        <v>19</v>
      </c>
      <c r="AN181" t="s">
        <v>28</v>
      </c>
      <c r="AO181" t="s">
        <v>519</v>
      </c>
    </row>
    <row r="182" spans="1:42">
      <c r="A182" s="154"/>
      <c r="B182" s="35" t="s">
        <v>2200</v>
      </c>
      <c r="C182" s="44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44"/>
      <c r="Q182" s="35"/>
      <c r="R182" s="35"/>
      <c r="S182" s="35"/>
      <c r="T182" s="35"/>
      <c r="U182" s="35"/>
      <c r="V182" s="35"/>
      <c r="W182" s="35"/>
      <c r="X182" s="35"/>
      <c r="Y182" s="46"/>
      <c r="Z182">
        <v>4</v>
      </c>
      <c r="AA182" t="s">
        <v>26</v>
      </c>
      <c r="AB182" t="s">
        <v>19</v>
      </c>
      <c r="AC182" t="s">
        <v>19</v>
      </c>
      <c r="AD182" t="s">
        <v>19</v>
      </c>
      <c r="AE182" t="s">
        <v>19</v>
      </c>
      <c r="AF182" t="s">
        <v>19</v>
      </c>
      <c r="AG182" t="s">
        <v>19</v>
      </c>
      <c r="AH182" t="s">
        <v>43</v>
      </c>
      <c r="AI182" t="s">
        <v>19</v>
      </c>
      <c r="AJ182" t="s">
        <v>19</v>
      </c>
      <c r="AK182" t="s">
        <v>19</v>
      </c>
      <c r="AL182" t="s">
        <v>19</v>
      </c>
      <c r="AM182" t="s">
        <v>19</v>
      </c>
      <c r="AN182" t="s">
        <v>28</v>
      </c>
      <c r="AO182" t="s">
        <v>519</v>
      </c>
    </row>
    <row r="183" spans="1:42">
      <c r="A183" s="154"/>
      <c r="B183" s="35" t="s">
        <v>2200</v>
      </c>
      <c r="C183" s="44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44"/>
      <c r="Q183" s="35"/>
      <c r="R183" s="35"/>
      <c r="S183" s="35"/>
      <c r="T183" s="35"/>
      <c r="U183" s="35"/>
      <c r="V183" s="35"/>
      <c r="W183" s="35"/>
      <c r="X183" s="35"/>
      <c r="Y183" s="46"/>
      <c r="Z183">
        <v>4</v>
      </c>
      <c r="AA183" t="s">
        <v>26</v>
      </c>
      <c r="AB183" t="s">
        <v>19</v>
      </c>
      <c r="AC183" t="s">
        <v>19</v>
      </c>
      <c r="AD183" t="s">
        <v>19</v>
      </c>
      <c r="AE183" t="s">
        <v>19</v>
      </c>
      <c r="AF183" t="s">
        <v>19</v>
      </c>
      <c r="AG183" t="s">
        <v>19</v>
      </c>
      <c r="AH183" t="s">
        <v>47</v>
      </c>
      <c r="AI183" t="s">
        <v>19</v>
      </c>
      <c r="AJ183" t="s">
        <v>19</v>
      </c>
      <c r="AK183" t="s">
        <v>19</v>
      </c>
      <c r="AL183" t="s">
        <v>19</v>
      </c>
      <c r="AM183" t="s">
        <v>19</v>
      </c>
      <c r="AN183" t="s">
        <v>28</v>
      </c>
      <c r="AO183">
        <v>4</v>
      </c>
    </row>
    <row r="184" spans="1:42">
      <c r="A184" s="154"/>
      <c r="B184" s="35" t="s">
        <v>2200</v>
      </c>
      <c r="C184" s="44"/>
      <c r="D184" s="35" t="s">
        <v>2180</v>
      </c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44"/>
      <c r="Q184" s="35"/>
      <c r="R184" s="35"/>
      <c r="S184" s="35"/>
      <c r="T184" s="35"/>
      <c r="U184" s="35"/>
      <c r="V184" s="35"/>
      <c r="W184" s="35"/>
      <c r="X184" s="35"/>
      <c r="Y184" s="46" t="s">
        <v>2182</v>
      </c>
      <c r="Z184">
        <v>3</v>
      </c>
      <c r="AA184" t="s">
        <v>122</v>
      </c>
      <c r="AB184" t="s">
        <v>522</v>
      </c>
      <c r="AC184" t="s">
        <v>19</v>
      </c>
      <c r="AD184" t="s">
        <v>523</v>
      </c>
      <c r="AE184" t="s">
        <v>523</v>
      </c>
      <c r="AF184" t="s">
        <v>524</v>
      </c>
      <c r="AG184" t="s">
        <v>525</v>
      </c>
      <c r="AH184" t="s">
        <v>127</v>
      </c>
      <c r="AI184" t="s">
        <v>19</v>
      </c>
      <c r="AJ184" t="s">
        <v>19</v>
      </c>
      <c r="AK184" t="s">
        <v>79</v>
      </c>
      <c r="AL184" t="s">
        <v>526</v>
      </c>
      <c r="AM184" t="s">
        <v>527</v>
      </c>
      <c r="AN184" t="s">
        <v>28</v>
      </c>
      <c r="AO184" t="s">
        <v>519</v>
      </c>
    </row>
    <row r="185" spans="1:42">
      <c r="A185" s="154"/>
      <c r="B185" s="35" t="s">
        <v>2200</v>
      </c>
      <c r="C185" s="44"/>
      <c r="D185" s="35" t="s">
        <v>2180</v>
      </c>
      <c r="E185" s="35"/>
      <c r="F185" s="35"/>
      <c r="G185" s="35"/>
      <c r="H185" s="35"/>
      <c r="I185" s="35"/>
      <c r="J185" s="35"/>
      <c r="K185" s="35"/>
      <c r="M185" s="206">
        <v>920002369</v>
      </c>
      <c r="N185" s="35"/>
      <c r="O185" s="35"/>
      <c r="P185" s="44"/>
      <c r="Q185" s="35"/>
      <c r="R185" s="35"/>
      <c r="S185" s="35"/>
      <c r="T185" s="35"/>
      <c r="U185" s="35"/>
      <c r="V185" s="35"/>
      <c r="W185" s="35"/>
      <c r="X185" s="35"/>
      <c r="Y185" s="46" t="s">
        <v>2182</v>
      </c>
      <c r="Z185">
        <v>3</v>
      </c>
      <c r="AA185" t="s">
        <v>528</v>
      </c>
      <c r="AB185" t="s">
        <v>529</v>
      </c>
      <c r="AC185" t="s">
        <v>19</v>
      </c>
      <c r="AD185" t="s">
        <v>530</v>
      </c>
      <c r="AE185" t="s">
        <v>530</v>
      </c>
      <c r="AF185" t="s">
        <v>531</v>
      </c>
      <c r="AG185" t="s">
        <v>532</v>
      </c>
      <c r="AH185" t="s">
        <v>533</v>
      </c>
      <c r="AI185" t="s">
        <v>19</v>
      </c>
      <c r="AJ185" t="s">
        <v>19</v>
      </c>
      <c r="AK185" t="s">
        <v>60</v>
      </c>
      <c r="AL185" t="s">
        <v>534</v>
      </c>
      <c r="AM185" t="s">
        <v>535</v>
      </c>
      <c r="AN185" t="s">
        <v>28</v>
      </c>
      <c r="AO185" t="s">
        <v>519</v>
      </c>
    </row>
    <row r="186" spans="1:42">
      <c r="A186" s="196"/>
      <c r="B186" s="197" t="s">
        <v>2200</v>
      </c>
      <c r="C186" s="197"/>
      <c r="D186" s="197" t="s">
        <v>2180</v>
      </c>
      <c r="E186" s="197"/>
      <c r="F186" s="197"/>
      <c r="G186" s="197"/>
      <c r="H186" s="197"/>
      <c r="I186" s="197"/>
      <c r="J186" s="197"/>
      <c r="K186" s="197"/>
      <c r="L186" s="197"/>
      <c r="M186" s="204">
        <v>920002370</v>
      </c>
      <c r="N186" s="197"/>
      <c r="O186" s="197"/>
      <c r="P186" s="197"/>
      <c r="Q186" s="197"/>
      <c r="R186" s="197"/>
      <c r="S186" s="197"/>
      <c r="T186" s="197"/>
      <c r="U186" s="197"/>
      <c r="V186" s="197"/>
      <c r="W186" s="197"/>
      <c r="X186" s="197"/>
      <c r="Y186" s="199" t="s">
        <v>2182</v>
      </c>
      <c r="Z186" s="196">
        <v>3</v>
      </c>
      <c r="AA186" s="196" t="s">
        <v>2393</v>
      </c>
      <c r="AB186" s="196" t="s">
        <v>529</v>
      </c>
      <c r="AC186" s="196" t="s">
        <v>19</v>
      </c>
      <c r="AD186" s="196" t="s">
        <v>530</v>
      </c>
      <c r="AE186" s="196" t="s">
        <v>530</v>
      </c>
      <c r="AF186" s="196" t="s">
        <v>531</v>
      </c>
      <c r="AG186" s="196" t="s">
        <v>532</v>
      </c>
      <c r="AH186" s="196"/>
      <c r="AI186" s="196" t="s">
        <v>19</v>
      </c>
      <c r="AJ186" s="196" t="s">
        <v>19</v>
      </c>
      <c r="AK186" s="196" t="s">
        <v>60</v>
      </c>
      <c r="AL186" s="196" t="s">
        <v>534</v>
      </c>
      <c r="AM186" s="196" t="s">
        <v>535</v>
      </c>
      <c r="AN186" s="196" t="s">
        <v>28</v>
      </c>
      <c r="AO186" s="196">
        <v>0</v>
      </c>
    </row>
    <row r="187" spans="1:42">
      <c r="A187" s="154"/>
      <c r="B187" s="35" t="s">
        <v>2200</v>
      </c>
      <c r="C187" s="44"/>
      <c r="D187" s="35" t="s">
        <v>2227</v>
      </c>
      <c r="E187" s="35"/>
      <c r="F187" s="35"/>
      <c r="G187" s="35"/>
      <c r="H187" s="35"/>
      <c r="I187" s="35"/>
      <c r="J187" s="35" t="s">
        <v>2242</v>
      </c>
      <c r="K187" s="35"/>
      <c r="L187" s="35"/>
      <c r="M187" s="35"/>
      <c r="N187" s="35"/>
      <c r="O187" s="35"/>
      <c r="P187" s="44"/>
      <c r="Q187" s="35"/>
      <c r="R187" s="35"/>
      <c r="S187" s="35"/>
      <c r="T187" s="35"/>
      <c r="U187" s="35"/>
      <c r="V187" s="35"/>
      <c r="W187" s="35"/>
      <c r="X187" s="35"/>
      <c r="Y187" s="46" t="s">
        <v>2182</v>
      </c>
      <c r="Z187">
        <v>3</v>
      </c>
      <c r="AA187" t="s">
        <v>189</v>
      </c>
      <c r="AB187" t="s">
        <v>536</v>
      </c>
      <c r="AC187" t="s">
        <v>19</v>
      </c>
      <c r="AD187" t="s">
        <v>19</v>
      </c>
      <c r="AE187" t="s">
        <v>537</v>
      </c>
      <c r="AF187" t="s">
        <v>536</v>
      </c>
      <c r="AG187" t="s">
        <v>173</v>
      </c>
      <c r="AH187" t="s">
        <v>192</v>
      </c>
      <c r="AI187" t="s">
        <v>19</v>
      </c>
      <c r="AJ187" t="s">
        <v>172</v>
      </c>
      <c r="AK187" t="s">
        <v>193</v>
      </c>
      <c r="AL187" t="s">
        <v>19</v>
      </c>
      <c r="AM187" t="s">
        <v>19</v>
      </c>
      <c r="AN187" t="s">
        <v>28</v>
      </c>
      <c r="AO187" t="s">
        <v>519</v>
      </c>
    </row>
    <row r="188" spans="1:42">
      <c r="A188" s="154"/>
      <c r="B188" s="35" t="s">
        <v>2200</v>
      </c>
      <c r="C188" s="44"/>
      <c r="D188" s="35" t="s">
        <v>2180</v>
      </c>
      <c r="E188" s="35"/>
      <c r="F188" s="35"/>
      <c r="G188" s="35"/>
      <c r="H188" s="35"/>
      <c r="I188" s="35"/>
      <c r="J188" s="35"/>
      <c r="K188" s="35"/>
      <c r="L188" s="47" t="s">
        <v>2226</v>
      </c>
      <c r="M188" s="35"/>
      <c r="N188" s="35"/>
      <c r="O188" s="35"/>
      <c r="P188" s="44"/>
      <c r="Q188" s="35"/>
      <c r="R188" s="35"/>
      <c r="S188" s="35"/>
      <c r="T188" s="35"/>
      <c r="U188" s="35"/>
      <c r="V188" s="35"/>
      <c r="W188" s="35"/>
      <c r="X188" s="35"/>
      <c r="Y188" s="46" t="s">
        <v>2182</v>
      </c>
      <c r="Z188">
        <v>3</v>
      </c>
      <c r="AA188" t="s">
        <v>289</v>
      </c>
      <c r="AB188" t="s">
        <v>538</v>
      </c>
      <c r="AC188" t="s">
        <v>19</v>
      </c>
      <c r="AD188" t="s">
        <v>19</v>
      </c>
      <c r="AE188" t="s">
        <v>19</v>
      </c>
      <c r="AF188" t="s">
        <v>538</v>
      </c>
      <c r="AG188" t="s">
        <v>539</v>
      </c>
      <c r="AH188" t="s">
        <v>292</v>
      </c>
      <c r="AI188" t="s">
        <v>19</v>
      </c>
      <c r="AJ188" t="s">
        <v>19</v>
      </c>
      <c r="AK188" t="s">
        <v>19</v>
      </c>
      <c r="AL188" t="s">
        <v>19</v>
      </c>
      <c r="AM188" t="s">
        <v>19</v>
      </c>
      <c r="AN188" t="s">
        <v>28</v>
      </c>
      <c r="AO188" t="s">
        <v>519</v>
      </c>
    </row>
    <row r="189" spans="1:42">
      <c r="A189" s="154"/>
      <c r="B189" s="35" t="s">
        <v>2201</v>
      </c>
      <c r="C189" s="44"/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44"/>
      <c r="Q189" s="35"/>
      <c r="R189" s="35"/>
      <c r="S189" s="35"/>
      <c r="T189" s="35"/>
      <c r="U189" s="35"/>
      <c r="V189" s="35"/>
      <c r="W189" s="35"/>
      <c r="X189" s="35"/>
      <c r="Y189" s="44"/>
      <c r="Z189">
        <v>1</v>
      </c>
      <c r="AA189" t="s">
        <v>540</v>
      </c>
    </row>
    <row r="190" spans="1:42">
      <c r="A190" s="154">
        <v>504</v>
      </c>
      <c r="B190" s="35" t="s">
        <v>2201</v>
      </c>
      <c r="C190" s="44"/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44"/>
      <c r="Q190" s="35"/>
      <c r="R190" s="35"/>
      <c r="S190" s="35"/>
      <c r="T190" s="35"/>
      <c r="U190" s="35"/>
      <c r="V190" s="35"/>
      <c r="W190" s="35"/>
      <c r="X190" s="35"/>
      <c r="Y190" s="44"/>
      <c r="Z190">
        <v>2</v>
      </c>
      <c r="AA190" t="s">
        <v>1</v>
      </c>
      <c r="AB190" t="s">
        <v>541</v>
      </c>
      <c r="AC190" t="s">
        <v>542</v>
      </c>
      <c r="AD190" s="153" t="s">
        <v>2363</v>
      </c>
    </row>
    <row r="191" spans="1:42">
      <c r="A191" s="154">
        <v>504</v>
      </c>
      <c r="B191" s="35" t="s">
        <v>2201</v>
      </c>
      <c r="C191" s="44"/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44"/>
      <c r="Q191" s="35"/>
      <c r="R191" s="35"/>
      <c r="S191" s="35"/>
      <c r="T191" s="35"/>
      <c r="U191" s="35"/>
      <c r="V191" s="35"/>
      <c r="W191" s="35"/>
      <c r="X191" s="35"/>
      <c r="Y191" s="44"/>
      <c r="Z191">
        <v>2</v>
      </c>
      <c r="AA191" t="s">
        <v>395</v>
      </c>
      <c r="AB191" t="s">
        <v>544</v>
      </c>
      <c r="AC191" t="s">
        <v>545</v>
      </c>
      <c r="AD191" s="153" t="s">
        <v>2364</v>
      </c>
    </row>
    <row r="192" spans="1:42">
      <c r="A192" s="154"/>
      <c r="B192" s="35" t="s">
        <v>2201</v>
      </c>
      <c r="C192" s="44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44"/>
      <c r="Q192" s="35"/>
      <c r="R192" s="35"/>
      <c r="S192" s="35"/>
      <c r="T192" s="35"/>
      <c r="U192" s="35"/>
      <c r="V192" s="35"/>
      <c r="W192" s="35"/>
      <c r="X192" s="35"/>
      <c r="Y192" s="44"/>
      <c r="Z192">
        <v>0</v>
      </c>
      <c r="AA192" t="s">
        <v>5</v>
      </c>
      <c r="AB192" t="s">
        <v>6</v>
      </c>
      <c r="AC192" t="s">
        <v>7</v>
      </c>
      <c r="AD192" t="s">
        <v>8</v>
      </c>
      <c r="AE192" t="s">
        <v>8</v>
      </c>
      <c r="AF192" t="s">
        <v>9</v>
      </c>
      <c r="AG192" t="s">
        <v>10</v>
      </c>
      <c r="AH192" t="s">
        <v>11</v>
      </c>
      <c r="AI192" t="s">
        <v>12</v>
      </c>
      <c r="AJ192" t="s">
        <v>13</v>
      </c>
      <c r="AK192" t="s">
        <v>14</v>
      </c>
      <c r="AL192" t="s">
        <v>15</v>
      </c>
      <c r="AM192" t="s">
        <v>16</v>
      </c>
      <c r="AN192" t="s">
        <v>17</v>
      </c>
      <c r="AO192" t="s">
        <v>1</v>
      </c>
      <c r="AP192" t="s">
        <v>395</v>
      </c>
    </row>
    <row r="193" spans="1:42">
      <c r="A193" s="154" t="s">
        <v>2340</v>
      </c>
      <c r="B193" s="39" t="s">
        <v>2201</v>
      </c>
      <c r="C193" s="44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>
        <v>4</v>
      </c>
      <c r="AA193" t="s">
        <v>22</v>
      </c>
      <c r="AB193" t="s">
        <v>19</v>
      </c>
      <c r="AC193" t="s">
        <v>19</v>
      </c>
      <c r="AD193" t="s">
        <v>19</v>
      </c>
      <c r="AE193" t="s">
        <v>19</v>
      </c>
      <c r="AF193" t="s">
        <v>19</v>
      </c>
      <c r="AG193" t="s">
        <v>19</v>
      </c>
      <c r="AH193" t="s">
        <v>23</v>
      </c>
      <c r="AI193" t="s">
        <v>19</v>
      </c>
      <c r="AJ193" t="s">
        <v>19</v>
      </c>
      <c r="AK193" t="s">
        <v>19</v>
      </c>
      <c r="AL193" t="s">
        <v>19</v>
      </c>
      <c r="AM193" t="s">
        <v>19</v>
      </c>
      <c r="AN193" t="s">
        <v>21</v>
      </c>
      <c r="AO193" s="153">
        <v>1148</v>
      </c>
      <c r="AP193" s="153">
        <v>1148</v>
      </c>
    </row>
    <row r="194" spans="1:42">
      <c r="A194" s="154"/>
      <c r="B194" s="35" t="s">
        <v>2201</v>
      </c>
      <c r="C194" s="44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44"/>
      <c r="Q194" s="35"/>
      <c r="R194" s="35"/>
      <c r="S194" s="35"/>
      <c r="T194" s="35"/>
      <c r="U194" s="35"/>
      <c r="V194" s="35"/>
      <c r="W194" s="35"/>
      <c r="X194" s="35"/>
      <c r="Y194" s="44"/>
      <c r="Z194">
        <v>4</v>
      </c>
      <c r="AA194" t="s">
        <v>22</v>
      </c>
      <c r="AB194" t="s">
        <v>19</v>
      </c>
      <c r="AC194" t="s">
        <v>19</v>
      </c>
      <c r="AD194" t="s">
        <v>19</v>
      </c>
      <c r="AE194" t="s">
        <v>19</v>
      </c>
      <c r="AF194" t="s">
        <v>19</v>
      </c>
      <c r="AG194" t="s">
        <v>19</v>
      </c>
      <c r="AH194" t="s">
        <v>24</v>
      </c>
      <c r="AI194" t="s">
        <v>19</v>
      </c>
      <c r="AJ194" t="s">
        <v>19</v>
      </c>
      <c r="AK194" t="s">
        <v>19</v>
      </c>
      <c r="AL194" t="s">
        <v>19</v>
      </c>
      <c r="AM194" t="s">
        <v>19</v>
      </c>
      <c r="AN194" t="s">
        <v>21</v>
      </c>
      <c r="AO194">
        <v>647</v>
      </c>
      <c r="AP194">
        <v>1021</v>
      </c>
    </row>
    <row r="195" spans="1:42">
      <c r="A195" s="154"/>
      <c r="B195" s="35" t="s">
        <v>2201</v>
      </c>
      <c r="C195" s="44"/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44"/>
      <c r="Q195" s="35"/>
      <c r="R195" s="35"/>
      <c r="S195" s="35"/>
      <c r="T195" s="35"/>
      <c r="U195" s="35"/>
      <c r="V195" s="35"/>
      <c r="W195" s="35"/>
      <c r="X195" s="35"/>
      <c r="Y195" s="44"/>
      <c r="Z195">
        <v>4</v>
      </c>
      <c r="AA195" t="s">
        <v>26</v>
      </c>
      <c r="AB195" t="s">
        <v>19</v>
      </c>
      <c r="AC195" t="s">
        <v>19</v>
      </c>
      <c r="AD195" t="s">
        <v>19</v>
      </c>
      <c r="AE195" t="s">
        <v>19</v>
      </c>
      <c r="AF195" t="s">
        <v>19</v>
      </c>
      <c r="AG195" t="s">
        <v>19</v>
      </c>
      <c r="AH195" t="s">
        <v>546</v>
      </c>
      <c r="AI195" t="s">
        <v>19</v>
      </c>
      <c r="AJ195" t="s">
        <v>19</v>
      </c>
      <c r="AK195" t="s">
        <v>19</v>
      </c>
      <c r="AL195" t="s">
        <v>19</v>
      </c>
      <c r="AM195" t="s">
        <v>19</v>
      </c>
      <c r="AN195" t="s">
        <v>28</v>
      </c>
      <c r="AO195" t="s">
        <v>19</v>
      </c>
      <c r="AP195">
        <v>2</v>
      </c>
    </row>
    <row r="196" spans="1:42">
      <c r="A196" s="154"/>
      <c r="B196" s="35" t="s">
        <v>2201</v>
      </c>
      <c r="C196" s="44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44"/>
      <c r="Q196" s="35"/>
      <c r="R196" s="35"/>
      <c r="S196" s="35"/>
      <c r="T196" s="35"/>
      <c r="U196" s="35"/>
      <c r="V196" s="35"/>
      <c r="W196" s="35"/>
      <c r="X196" s="35"/>
      <c r="Y196" s="44"/>
      <c r="Z196">
        <v>4</v>
      </c>
      <c r="AA196" t="s">
        <v>26</v>
      </c>
      <c r="AB196" t="s">
        <v>19</v>
      </c>
      <c r="AC196" t="s">
        <v>19</v>
      </c>
      <c r="AD196" t="s">
        <v>19</v>
      </c>
      <c r="AE196" t="s">
        <v>19</v>
      </c>
      <c r="AF196" t="s">
        <v>19</v>
      </c>
      <c r="AG196" t="s">
        <v>19</v>
      </c>
      <c r="AH196" t="s">
        <v>29</v>
      </c>
      <c r="AI196" t="s">
        <v>19</v>
      </c>
      <c r="AJ196" t="s">
        <v>19</v>
      </c>
      <c r="AK196" t="s">
        <v>19</v>
      </c>
      <c r="AL196" t="s">
        <v>19</v>
      </c>
      <c r="AM196" t="s">
        <v>19</v>
      </c>
      <c r="AN196" t="s">
        <v>28</v>
      </c>
      <c r="AO196">
        <v>2</v>
      </c>
      <c r="AP196" t="s">
        <v>19</v>
      </c>
    </row>
    <row r="197" spans="1:42">
      <c r="A197" s="154"/>
      <c r="B197" s="35" t="s">
        <v>2201</v>
      </c>
      <c r="C197" s="44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44"/>
      <c r="Q197" s="35"/>
      <c r="R197" s="35"/>
      <c r="S197" s="35"/>
      <c r="T197" s="35"/>
      <c r="U197" s="35"/>
      <c r="V197" s="35"/>
      <c r="W197" s="35"/>
      <c r="X197" s="35"/>
      <c r="Y197" s="44"/>
      <c r="Z197">
        <v>4</v>
      </c>
      <c r="AA197" t="s">
        <v>26</v>
      </c>
      <c r="AB197" t="s">
        <v>19</v>
      </c>
      <c r="AC197" t="s">
        <v>19</v>
      </c>
      <c r="AD197" t="s">
        <v>19</v>
      </c>
      <c r="AE197" t="s">
        <v>19</v>
      </c>
      <c r="AF197" t="s">
        <v>19</v>
      </c>
      <c r="AG197" t="s">
        <v>19</v>
      </c>
      <c r="AH197" t="s">
        <v>35</v>
      </c>
      <c r="AI197" t="s">
        <v>19</v>
      </c>
      <c r="AJ197" t="s">
        <v>19</v>
      </c>
      <c r="AK197" t="s">
        <v>19</v>
      </c>
      <c r="AL197" t="s">
        <v>19</v>
      </c>
      <c r="AM197" t="s">
        <v>19</v>
      </c>
      <c r="AN197" t="s">
        <v>28</v>
      </c>
      <c r="AO197">
        <v>6</v>
      </c>
      <c r="AP197">
        <v>6</v>
      </c>
    </row>
    <row r="198" spans="1:42">
      <c r="A198" s="154"/>
      <c r="B198" s="35" t="s">
        <v>2201</v>
      </c>
      <c r="C198" s="44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44"/>
      <c r="Q198" s="35"/>
      <c r="R198" s="35"/>
      <c r="S198" s="35"/>
      <c r="T198" s="35"/>
      <c r="U198" s="35"/>
      <c r="V198" s="35"/>
      <c r="W198" s="35"/>
      <c r="X198" s="35"/>
      <c r="Y198" s="44"/>
      <c r="Z198">
        <v>4</v>
      </c>
      <c r="AA198" t="s">
        <v>26</v>
      </c>
      <c r="AB198" t="s">
        <v>19</v>
      </c>
      <c r="AC198" t="s">
        <v>19</v>
      </c>
      <c r="AD198" t="s">
        <v>19</v>
      </c>
      <c r="AE198" t="s">
        <v>19</v>
      </c>
      <c r="AF198" t="s">
        <v>19</v>
      </c>
      <c r="AG198" t="s">
        <v>19</v>
      </c>
      <c r="AH198" t="s">
        <v>36</v>
      </c>
      <c r="AI198" t="s">
        <v>19</v>
      </c>
      <c r="AJ198" t="s">
        <v>19</v>
      </c>
      <c r="AK198" t="s">
        <v>19</v>
      </c>
      <c r="AL198" t="s">
        <v>19</v>
      </c>
      <c r="AM198" t="s">
        <v>19</v>
      </c>
      <c r="AN198" t="s">
        <v>28</v>
      </c>
      <c r="AO198">
        <v>6</v>
      </c>
      <c r="AP198">
        <v>2</v>
      </c>
    </row>
    <row r="199" spans="1:42">
      <c r="A199" s="154"/>
      <c r="B199" s="35" t="s">
        <v>2201</v>
      </c>
      <c r="C199" s="44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44"/>
      <c r="Q199" s="35"/>
      <c r="R199" s="35"/>
      <c r="S199" s="35"/>
      <c r="T199" s="35"/>
      <c r="U199" s="35"/>
      <c r="V199" s="35"/>
      <c r="W199" s="35"/>
      <c r="X199" s="35"/>
      <c r="Y199" s="44"/>
      <c r="Z199">
        <v>4</v>
      </c>
      <c r="AA199" t="s">
        <v>26</v>
      </c>
      <c r="AB199" t="s">
        <v>19</v>
      </c>
      <c r="AC199" t="s">
        <v>19</v>
      </c>
      <c r="AD199" t="s">
        <v>19</v>
      </c>
      <c r="AE199" t="s">
        <v>19</v>
      </c>
      <c r="AF199" t="s">
        <v>19</v>
      </c>
      <c r="AG199" t="s">
        <v>19</v>
      </c>
      <c r="AH199" t="s">
        <v>547</v>
      </c>
      <c r="AI199" t="s">
        <v>19</v>
      </c>
      <c r="AJ199" t="s">
        <v>19</v>
      </c>
      <c r="AK199" t="s">
        <v>19</v>
      </c>
      <c r="AL199" t="s">
        <v>19</v>
      </c>
      <c r="AM199" t="s">
        <v>19</v>
      </c>
      <c r="AN199" t="s">
        <v>28</v>
      </c>
      <c r="AO199">
        <v>4</v>
      </c>
      <c r="AP199">
        <v>4</v>
      </c>
    </row>
    <row r="200" spans="1:42">
      <c r="A200" s="154"/>
      <c r="B200" s="35" t="s">
        <v>2201</v>
      </c>
      <c r="C200" s="44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44"/>
      <c r="Q200" s="35"/>
      <c r="R200" s="35"/>
      <c r="S200" s="35"/>
      <c r="T200" s="35"/>
      <c r="U200" s="35"/>
      <c r="V200" s="35"/>
      <c r="W200" s="35"/>
      <c r="X200" s="35"/>
      <c r="Y200" s="44"/>
      <c r="Z200">
        <v>4</v>
      </c>
      <c r="AA200" t="s">
        <v>26</v>
      </c>
      <c r="AB200" t="s">
        <v>19</v>
      </c>
      <c r="AC200" t="s">
        <v>19</v>
      </c>
      <c r="AD200" t="s">
        <v>19</v>
      </c>
      <c r="AE200" t="s">
        <v>19</v>
      </c>
      <c r="AF200" t="s">
        <v>19</v>
      </c>
      <c r="AG200" t="s">
        <v>19</v>
      </c>
      <c r="AH200" t="s">
        <v>548</v>
      </c>
      <c r="AI200" t="s">
        <v>19</v>
      </c>
      <c r="AJ200" t="s">
        <v>19</v>
      </c>
      <c r="AK200" t="s">
        <v>19</v>
      </c>
      <c r="AL200" t="s">
        <v>19</v>
      </c>
      <c r="AM200" t="s">
        <v>19</v>
      </c>
      <c r="AN200" t="s">
        <v>28</v>
      </c>
      <c r="AO200">
        <v>8</v>
      </c>
      <c r="AP200">
        <v>10</v>
      </c>
    </row>
    <row r="201" spans="1:42">
      <c r="A201" s="154"/>
      <c r="B201" s="35" t="s">
        <v>2201</v>
      </c>
      <c r="C201" s="44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44"/>
      <c r="Q201" s="35"/>
      <c r="R201" s="35"/>
      <c r="S201" s="35"/>
      <c r="T201" s="35"/>
      <c r="U201" s="35"/>
      <c r="V201" s="35"/>
      <c r="W201" s="35"/>
      <c r="X201" s="35"/>
      <c r="Y201" s="44"/>
      <c r="Z201">
        <v>4</v>
      </c>
      <c r="AA201" t="s">
        <v>26</v>
      </c>
      <c r="AB201" t="s">
        <v>19</v>
      </c>
      <c r="AC201" t="s">
        <v>19</v>
      </c>
      <c r="AD201" t="s">
        <v>19</v>
      </c>
      <c r="AE201" t="s">
        <v>19</v>
      </c>
      <c r="AF201" t="s">
        <v>19</v>
      </c>
      <c r="AG201" t="s">
        <v>19</v>
      </c>
      <c r="AH201" t="s">
        <v>549</v>
      </c>
      <c r="AI201" t="s">
        <v>19</v>
      </c>
      <c r="AJ201" t="s">
        <v>19</v>
      </c>
      <c r="AK201" t="s">
        <v>19</v>
      </c>
      <c r="AL201" t="s">
        <v>19</v>
      </c>
      <c r="AM201" t="s">
        <v>19</v>
      </c>
      <c r="AN201" t="s">
        <v>28</v>
      </c>
      <c r="AO201">
        <v>4</v>
      </c>
      <c r="AP201">
        <v>4</v>
      </c>
    </row>
    <row r="202" spans="1:42">
      <c r="A202" s="154"/>
      <c r="B202" s="35" t="s">
        <v>2201</v>
      </c>
      <c r="C202" s="44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44"/>
      <c r="Q202" s="35"/>
      <c r="R202" s="35"/>
      <c r="S202" s="35"/>
      <c r="T202" s="35"/>
      <c r="U202" s="35"/>
      <c r="V202" s="35"/>
      <c r="W202" s="35"/>
      <c r="X202" s="35"/>
      <c r="Y202" s="44"/>
      <c r="Z202">
        <v>4</v>
      </c>
      <c r="AA202" t="s">
        <v>26</v>
      </c>
      <c r="AB202" t="s">
        <v>19</v>
      </c>
      <c r="AC202" t="s">
        <v>19</v>
      </c>
      <c r="AD202" t="s">
        <v>19</v>
      </c>
      <c r="AE202" t="s">
        <v>19</v>
      </c>
      <c r="AF202" t="s">
        <v>19</v>
      </c>
      <c r="AG202" t="s">
        <v>19</v>
      </c>
      <c r="AH202" t="s">
        <v>46</v>
      </c>
      <c r="AI202" t="s">
        <v>19</v>
      </c>
      <c r="AJ202" t="s">
        <v>19</v>
      </c>
      <c r="AK202" t="s">
        <v>19</v>
      </c>
      <c r="AL202" t="s">
        <v>19</v>
      </c>
      <c r="AM202" t="s">
        <v>19</v>
      </c>
      <c r="AN202" t="s">
        <v>28</v>
      </c>
      <c r="AO202">
        <v>6</v>
      </c>
      <c r="AP202">
        <v>6</v>
      </c>
    </row>
    <row r="203" spans="1:42">
      <c r="A203" s="154"/>
      <c r="B203" s="35" t="s">
        <v>2201</v>
      </c>
      <c r="C203" s="44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44"/>
      <c r="Q203" s="35"/>
      <c r="R203" s="35"/>
      <c r="S203" s="35"/>
      <c r="T203" s="35"/>
      <c r="U203" s="35"/>
      <c r="V203" s="35"/>
      <c r="W203" s="35"/>
      <c r="X203" s="35"/>
      <c r="Y203" s="44"/>
      <c r="Z203">
        <v>4</v>
      </c>
      <c r="AA203" t="s">
        <v>26</v>
      </c>
      <c r="AB203" t="s">
        <v>19</v>
      </c>
      <c r="AC203" t="s">
        <v>19</v>
      </c>
      <c r="AD203" t="s">
        <v>19</v>
      </c>
      <c r="AE203" t="s">
        <v>19</v>
      </c>
      <c r="AF203" t="s">
        <v>19</v>
      </c>
      <c r="AG203" t="s">
        <v>19</v>
      </c>
      <c r="AH203" t="s">
        <v>47</v>
      </c>
      <c r="AI203" t="s">
        <v>19</v>
      </c>
      <c r="AJ203" t="s">
        <v>19</v>
      </c>
      <c r="AK203" t="s">
        <v>19</v>
      </c>
      <c r="AL203" t="s">
        <v>19</v>
      </c>
      <c r="AM203" t="s">
        <v>19</v>
      </c>
      <c r="AN203" t="s">
        <v>28</v>
      </c>
      <c r="AO203">
        <v>4</v>
      </c>
      <c r="AP203">
        <v>6</v>
      </c>
    </row>
    <row r="204" spans="1:42">
      <c r="A204" s="154"/>
      <c r="B204" s="35" t="s">
        <v>2201</v>
      </c>
      <c r="C204" s="44"/>
      <c r="D204" s="35" t="s">
        <v>2180</v>
      </c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44"/>
      <c r="Q204" s="35"/>
      <c r="R204" s="35"/>
      <c r="S204" s="35"/>
      <c r="T204" s="35"/>
      <c r="U204" s="35"/>
      <c r="V204" s="35"/>
      <c r="W204" s="35"/>
      <c r="X204" s="35"/>
      <c r="Y204" s="46" t="s">
        <v>2182</v>
      </c>
      <c r="Z204">
        <v>3</v>
      </c>
      <c r="AA204" t="s">
        <v>550</v>
      </c>
      <c r="AB204" t="s">
        <v>551</v>
      </c>
      <c r="AC204" t="s">
        <v>19</v>
      </c>
      <c r="AD204" t="s">
        <v>552</v>
      </c>
      <c r="AE204" t="s">
        <v>553</v>
      </c>
      <c r="AF204" t="s">
        <v>554</v>
      </c>
      <c r="AG204" t="s">
        <v>555</v>
      </c>
      <c r="AH204" t="s">
        <v>556</v>
      </c>
      <c r="AI204" t="s">
        <v>557</v>
      </c>
      <c r="AJ204" t="s">
        <v>19</v>
      </c>
      <c r="AK204" t="s">
        <v>558</v>
      </c>
      <c r="AL204" t="s">
        <v>559</v>
      </c>
      <c r="AM204" t="s">
        <v>560</v>
      </c>
      <c r="AN204" t="s">
        <v>28</v>
      </c>
      <c r="AO204" t="s">
        <v>541</v>
      </c>
      <c r="AP204" t="s">
        <v>19</v>
      </c>
    </row>
    <row r="205" spans="1:42">
      <c r="A205" s="154"/>
      <c r="B205" s="35" t="s">
        <v>2201</v>
      </c>
      <c r="C205" s="44"/>
      <c r="D205" s="35" t="s">
        <v>2180</v>
      </c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44"/>
      <c r="Q205" s="35"/>
      <c r="R205" s="35"/>
      <c r="S205" s="35"/>
      <c r="T205" s="35"/>
      <c r="U205" s="35"/>
      <c r="V205" s="35"/>
      <c r="W205" s="35"/>
      <c r="X205" s="35"/>
      <c r="Y205" s="46" t="s">
        <v>2182</v>
      </c>
      <c r="Z205">
        <v>3</v>
      </c>
      <c r="AA205" t="s">
        <v>561</v>
      </c>
      <c r="AB205" t="s">
        <v>562</v>
      </c>
      <c r="AC205" t="s">
        <v>19</v>
      </c>
      <c r="AD205" t="s">
        <v>552</v>
      </c>
      <c r="AE205" t="s">
        <v>553</v>
      </c>
      <c r="AF205" t="s">
        <v>563</v>
      </c>
      <c r="AG205" t="s">
        <v>555</v>
      </c>
      <c r="AH205" t="s">
        <v>564</v>
      </c>
      <c r="AI205" t="s">
        <v>557</v>
      </c>
      <c r="AJ205" t="s">
        <v>19</v>
      </c>
      <c r="AK205" t="s">
        <v>73</v>
      </c>
      <c r="AL205" t="s">
        <v>565</v>
      </c>
      <c r="AM205" t="s">
        <v>566</v>
      </c>
      <c r="AN205" t="s">
        <v>28</v>
      </c>
      <c r="AO205" t="s">
        <v>19</v>
      </c>
      <c r="AP205" t="s">
        <v>544</v>
      </c>
    </row>
    <row r="206" spans="1:42">
      <c r="A206" s="154"/>
      <c r="B206" s="35" t="s">
        <v>2201</v>
      </c>
      <c r="C206" s="44"/>
      <c r="D206" s="35" t="s">
        <v>2180</v>
      </c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44"/>
      <c r="Q206" s="35"/>
      <c r="R206" s="35"/>
      <c r="S206" s="35"/>
      <c r="T206" s="35"/>
      <c r="U206" s="35"/>
      <c r="V206" s="35"/>
      <c r="W206" s="35"/>
      <c r="X206" s="35"/>
      <c r="Y206" s="46" t="s">
        <v>2182</v>
      </c>
      <c r="Z206">
        <v>3</v>
      </c>
      <c r="AA206" t="s">
        <v>550</v>
      </c>
      <c r="AB206" t="s">
        <v>567</v>
      </c>
      <c r="AC206" t="s">
        <v>19</v>
      </c>
      <c r="AD206" t="s">
        <v>568</v>
      </c>
      <c r="AE206" t="s">
        <v>569</v>
      </c>
      <c r="AF206" t="s">
        <v>570</v>
      </c>
      <c r="AG206" t="s">
        <v>571</v>
      </c>
      <c r="AH206" t="s">
        <v>556</v>
      </c>
      <c r="AI206" t="s">
        <v>557</v>
      </c>
      <c r="AJ206" t="s">
        <v>19</v>
      </c>
      <c r="AK206" t="s">
        <v>558</v>
      </c>
      <c r="AL206" t="s">
        <v>572</v>
      </c>
      <c r="AM206" t="s">
        <v>560</v>
      </c>
      <c r="AN206" t="s">
        <v>28</v>
      </c>
      <c r="AO206" t="s">
        <v>541</v>
      </c>
      <c r="AP206" t="s">
        <v>19</v>
      </c>
    </row>
    <row r="207" spans="1:42">
      <c r="A207" s="154"/>
      <c r="B207" s="35" t="s">
        <v>2201</v>
      </c>
      <c r="C207" s="44"/>
      <c r="D207" s="35" t="s">
        <v>2180</v>
      </c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44"/>
      <c r="Q207" s="35"/>
      <c r="R207" s="35"/>
      <c r="S207" s="35"/>
      <c r="T207" s="35"/>
      <c r="U207" s="35"/>
      <c r="V207" s="35"/>
      <c r="W207" s="35"/>
      <c r="X207" s="35"/>
      <c r="Y207" s="46" t="s">
        <v>2182</v>
      </c>
      <c r="Z207">
        <v>3</v>
      </c>
      <c r="AA207" t="s">
        <v>561</v>
      </c>
      <c r="AB207" t="s">
        <v>573</v>
      </c>
      <c r="AC207" t="s">
        <v>19</v>
      </c>
      <c r="AD207" t="s">
        <v>568</v>
      </c>
      <c r="AE207" t="s">
        <v>569</v>
      </c>
      <c r="AF207" t="s">
        <v>574</v>
      </c>
      <c r="AG207" t="s">
        <v>575</v>
      </c>
      <c r="AH207" t="s">
        <v>564</v>
      </c>
      <c r="AI207" t="s">
        <v>557</v>
      </c>
      <c r="AJ207" t="s">
        <v>19</v>
      </c>
      <c r="AK207" t="s">
        <v>73</v>
      </c>
      <c r="AL207" t="s">
        <v>576</v>
      </c>
      <c r="AM207" t="s">
        <v>566</v>
      </c>
      <c r="AN207" t="s">
        <v>28</v>
      </c>
      <c r="AO207" t="s">
        <v>19</v>
      </c>
      <c r="AP207" t="s">
        <v>544</v>
      </c>
    </row>
    <row r="208" spans="1:42">
      <c r="A208" s="154"/>
      <c r="B208" s="35" t="s">
        <v>2201</v>
      </c>
      <c r="C208" s="44"/>
      <c r="D208" s="35" t="s">
        <v>2180</v>
      </c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44"/>
      <c r="Q208" s="35"/>
      <c r="R208" s="35"/>
      <c r="S208" s="35"/>
      <c r="T208" s="35"/>
      <c r="U208" s="35"/>
      <c r="V208" s="35"/>
      <c r="W208" s="35"/>
      <c r="X208" s="35"/>
      <c r="Y208" s="46" t="s">
        <v>2182</v>
      </c>
      <c r="Z208">
        <v>3</v>
      </c>
      <c r="AA208" t="s">
        <v>561</v>
      </c>
      <c r="AB208" t="s">
        <v>577</v>
      </c>
      <c r="AC208" t="s">
        <v>19</v>
      </c>
      <c r="AD208" t="s">
        <v>578</v>
      </c>
      <c r="AE208" t="s">
        <v>579</v>
      </c>
      <c r="AF208" t="s">
        <v>580</v>
      </c>
      <c r="AG208" t="s">
        <v>581</v>
      </c>
      <c r="AH208" t="s">
        <v>564</v>
      </c>
      <c r="AI208" t="s">
        <v>557</v>
      </c>
      <c r="AJ208" t="s">
        <v>19</v>
      </c>
      <c r="AK208" t="s">
        <v>73</v>
      </c>
      <c r="AL208" t="s">
        <v>582</v>
      </c>
      <c r="AM208" t="s">
        <v>583</v>
      </c>
      <c r="AN208" t="s">
        <v>28</v>
      </c>
      <c r="AO208" t="s">
        <v>19</v>
      </c>
      <c r="AP208" t="s">
        <v>544</v>
      </c>
    </row>
    <row r="209" spans="1:42">
      <c r="A209" s="154"/>
      <c r="B209" s="35" t="s">
        <v>2201</v>
      </c>
      <c r="C209" s="44"/>
      <c r="D209" s="35" t="s">
        <v>2180</v>
      </c>
      <c r="E209" s="35"/>
      <c r="F209" s="35"/>
      <c r="G209" s="35"/>
      <c r="H209" s="35"/>
      <c r="I209" s="35"/>
      <c r="J209" s="35"/>
      <c r="K209" s="35"/>
      <c r="L209" s="35"/>
      <c r="M209" s="158">
        <v>920002481</v>
      </c>
      <c r="N209" s="35"/>
      <c r="O209" s="35"/>
      <c r="P209" s="44"/>
      <c r="Q209" s="35"/>
      <c r="R209" s="35"/>
      <c r="S209" s="35"/>
      <c r="T209" s="35"/>
      <c r="U209" s="35"/>
      <c r="V209" s="35"/>
      <c r="W209" s="35"/>
      <c r="X209" s="35"/>
      <c r="Y209" s="46" t="s">
        <v>2182</v>
      </c>
      <c r="Z209">
        <v>3</v>
      </c>
      <c r="AA209" t="s">
        <v>584</v>
      </c>
      <c r="AB209" t="s">
        <v>585</v>
      </c>
      <c r="AC209" t="s">
        <v>19</v>
      </c>
      <c r="AD209" t="s">
        <v>586</v>
      </c>
      <c r="AE209" t="s">
        <v>587</v>
      </c>
      <c r="AF209" t="s">
        <v>588</v>
      </c>
      <c r="AG209" t="s">
        <v>589</v>
      </c>
      <c r="AH209" t="s">
        <v>590</v>
      </c>
      <c r="AI209" t="s">
        <v>591</v>
      </c>
      <c r="AJ209" t="s">
        <v>19</v>
      </c>
      <c r="AK209" t="s">
        <v>79</v>
      </c>
      <c r="AL209" t="s">
        <v>592</v>
      </c>
      <c r="AM209" t="s">
        <v>593</v>
      </c>
      <c r="AN209" t="s">
        <v>28</v>
      </c>
      <c r="AO209" t="s">
        <v>541</v>
      </c>
      <c r="AP209" t="s">
        <v>544</v>
      </c>
    </row>
    <row r="210" spans="1:42">
      <c r="A210" s="196"/>
      <c r="B210" s="197" t="s">
        <v>2201</v>
      </c>
      <c r="C210" s="197"/>
      <c r="D210" s="197" t="s">
        <v>2180</v>
      </c>
      <c r="E210" s="197"/>
      <c r="F210" s="197"/>
      <c r="G210" s="197"/>
      <c r="H210" s="197"/>
      <c r="I210" s="197"/>
      <c r="J210" s="197"/>
      <c r="K210" s="197"/>
      <c r="L210" s="197"/>
      <c r="M210" s="198">
        <v>920002482</v>
      </c>
      <c r="N210" s="197"/>
      <c r="O210" s="197"/>
      <c r="P210" s="197"/>
      <c r="Q210" s="197"/>
      <c r="R210" s="197"/>
      <c r="S210" s="197"/>
      <c r="T210" s="197"/>
      <c r="U210" s="197"/>
      <c r="V210" s="197"/>
      <c r="W210" s="197"/>
      <c r="X210" s="197"/>
      <c r="Y210" s="199" t="s">
        <v>2182</v>
      </c>
      <c r="Z210" s="196">
        <v>3</v>
      </c>
      <c r="AA210" s="196" t="s">
        <v>2394</v>
      </c>
      <c r="AB210" s="196" t="s">
        <v>585</v>
      </c>
      <c r="AC210" s="196" t="s">
        <v>19</v>
      </c>
      <c r="AD210" s="196" t="s">
        <v>586</v>
      </c>
      <c r="AE210" s="196" t="s">
        <v>587</v>
      </c>
      <c r="AF210" s="196" t="s">
        <v>588</v>
      </c>
      <c r="AG210" s="196" t="s">
        <v>589</v>
      </c>
      <c r="AH210" s="196"/>
      <c r="AI210" s="196" t="s">
        <v>591</v>
      </c>
      <c r="AJ210" s="196" t="s">
        <v>19</v>
      </c>
      <c r="AK210" s="196" t="s">
        <v>79</v>
      </c>
      <c r="AL210" s="196" t="s">
        <v>592</v>
      </c>
      <c r="AM210" s="196" t="s">
        <v>593</v>
      </c>
      <c r="AN210" s="196" t="s">
        <v>28</v>
      </c>
      <c r="AO210" s="196">
        <v>0</v>
      </c>
      <c r="AP210" s="196">
        <v>0</v>
      </c>
    </row>
    <row r="211" spans="1:42">
      <c r="A211" s="154"/>
      <c r="B211" s="35" t="s">
        <v>2201</v>
      </c>
      <c r="C211" s="44"/>
      <c r="D211" s="35" t="s">
        <v>2180</v>
      </c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44"/>
      <c r="Q211" s="35"/>
      <c r="R211" s="35"/>
      <c r="S211" s="35"/>
      <c r="T211" s="35"/>
      <c r="U211" s="35"/>
      <c r="V211" s="35"/>
      <c r="W211" s="35"/>
      <c r="X211" s="35"/>
      <c r="Y211" s="46" t="s">
        <v>2182</v>
      </c>
      <c r="Z211">
        <v>3</v>
      </c>
      <c r="AA211" t="s">
        <v>594</v>
      </c>
      <c r="AB211" t="s">
        <v>595</v>
      </c>
      <c r="AC211" t="s">
        <v>19</v>
      </c>
      <c r="AD211" t="s">
        <v>596</v>
      </c>
      <c r="AE211" t="s">
        <v>597</v>
      </c>
      <c r="AF211" t="s">
        <v>598</v>
      </c>
      <c r="AG211" t="s">
        <v>599</v>
      </c>
      <c r="AH211" t="s">
        <v>600</v>
      </c>
      <c r="AI211" t="s">
        <v>601</v>
      </c>
      <c r="AJ211" t="s">
        <v>19</v>
      </c>
      <c r="AK211" t="s">
        <v>79</v>
      </c>
      <c r="AL211" t="s">
        <v>602</v>
      </c>
      <c r="AM211" t="s">
        <v>603</v>
      </c>
      <c r="AN211" t="s">
        <v>28</v>
      </c>
      <c r="AO211" t="s">
        <v>19</v>
      </c>
      <c r="AP211" t="s">
        <v>544</v>
      </c>
    </row>
    <row r="212" spans="1:42">
      <c r="A212" s="154"/>
      <c r="B212" s="35" t="s">
        <v>2201</v>
      </c>
      <c r="C212" s="44"/>
      <c r="D212" s="35" t="s">
        <v>2180</v>
      </c>
      <c r="E212" s="35"/>
      <c r="F212" s="35"/>
      <c r="G212" s="35"/>
      <c r="H212" s="35"/>
      <c r="I212" s="35"/>
      <c r="J212" s="35"/>
      <c r="K212" s="35"/>
      <c r="L212" s="35"/>
      <c r="M212" s="179">
        <v>920002165</v>
      </c>
      <c r="N212" s="35"/>
      <c r="O212" s="35"/>
      <c r="P212" s="44"/>
      <c r="Q212" s="35"/>
      <c r="R212" s="35"/>
      <c r="S212" s="35"/>
      <c r="T212" s="35"/>
      <c r="U212" s="35"/>
      <c r="V212" s="35"/>
      <c r="W212" s="35"/>
      <c r="X212" s="35"/>
      <c r="Y212" s="46" t="s">
        <v>2182</v>
      </c>
      <c r="Z212">
        <v>3</v>
      </c>
      <c r="AA212" t="s">
        <v>604</v>
      </c>
      <c r="AB212" t="s">
        <v>605</v>
      </c>
      <c r="AC212" t="s">
        <v>19</v>
      </c>
      <c r="AD212" t="s">
        <v>249</v>
      </c>
      <c r="AE212" t="s">
        <v>250</v>
      </c>
      <c r="AF212" t="s">
        <v>606</v>
      </c>
      <c r="AG212" t="s">
        <v>270</v>
      </c>
      <c r="AH212" t="s">
        <v>607</v>
      </c>
      <c r="AI212" t="s">
        <v>19</v>
      </c>
      <c r="AJ212" t="s">
        <v>19</v>
      </c>
      <c r="AK212" t="s">
        <v>60</v>
      </c>
      <c r="AL212" t="s">
        <v>254</v>
      </c>
      <c r="AM212" t="s">
        <v>255</v>
      </c>
      <c r="AN212" t="s">
        <v>28</v>
      </c>
      <c r="AO212" t="s">
        <v>541</v>
      </c>
      <c r="AP212" t="s">
        <v>544</v>
      </c>
    </row>
    <row r="213" spans="1:42">
      <c r="A213" s="196"/>
      <c r="B213" s="197" t="s">
        <v>2201</v>
      </c>
      <c r="C213" s="197"/>
      <c r="D213" s="197" t="s">
        <v>2180</v>
      </c>
      <c r="E213" s="197"/>
      <c r="F213" s="197"/>
      <c r="G213" s="197"/>
      <c r="H213" s="197"/>
      <c r="I213" s="197"/>
      <c r="J213" s="197"/>
      <c r="K213" s="197"/>
      <c r="L213" s="197"/>
      <c r="M213" s="204">
        <v>920002309</v>
      </c>
      <c r="N213" s="197"/>
      <c r="O213" s="197"/>
      <c r="P213" s="197"/>
      <c r="Q213" s="197"/>
      <c r="R213" s="197"/>
      <c r="S213" s="197"/>
      <c r="T213" s="197"/>
      <c r="U213" s="197"/>
      <c r="V213" s="197"/>
      <c r="W213" s="197"/>
      <c r="X213" s="197"/>
      <c r="Y213" s="199" t="s">
        <v>2182</v>
      </c>
      <c r="Z213" s="196">
        <v>3</v>
      </c>
      <c r="AA213" s="196" t="s">
        <v>2398</v>
      </c>
      <c r="AB213" s="196" t="s">
        <v>605</v>
      </c>
      <c r="AC213" s="196" t="s">
        <v>19</v>
      </c>
      <c r="AD213" s="196" t="s">
        <v>249</v>
      </c>
      <c r="AE213" s="196" t="s">
        <v>250</v>
      </c>
      <c r="AF213" s="196" t="s">
        <v>606</v>
      </c>
      <c r="AG213" s="196" t="s">
        <v>270</v>
      </c>
      <c r="AH213" s="196"/>
      <c r="AI213" s="196" t="s">
        <v>19</v>
      </c>
      <c r="AJ213" s="196" t="s">
        <v>19</v>
      </c>
      <c r="AK213" s="196" t="s">
        <v>60</v>
      </c>
      <c r="AL213" s="196" t="s">
        <v>254</v>
      </c>
      <c r="AM213" s="196" t="s">
        <v>255</v>
      </c>
      <c r="AN213" s="196" t="s">
        <v>28</v>
      </c>
      <c r="AO213" s="196">
        <v>0</v>
      </c>
      <c r="AP213" s="196">
        <v>0</v>
      </c>
    </row>
    <row r="214" spans="1:42">
      <c r="A214" s="154"/>
      <c r="B214" s="35" t="s">
        <v>2202</v>
      </c>
      <c r="C214" s="44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44"/>
      <c r="Q214" s="35"/>
      <c r="R214" s="35"/>
      <c r="S214" s="35"/>
      <c r="T214" s="35"/>
      <c r="U214" s="35"/>
      <c r="V214" s="35"/>
      <c r="W214" s="35"/>
      <c r="X214" s="35"/>
      <c r="Y214" s="46"/>
      <c r="Z214">
        <v>1</v>
      </c>
      <c r="AA214" t="s">
        <v>608</v>
      </c>
    </row>
    <row r="215" spans="1:42">
      <c r="A215" s="154"/>
      <c r="B215" s="35" t="s">
        <v>2202</v>
      </c>
      <c r="C215" s="44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44"/>
      <c r="Q215" s="35"/>
      <c r="R215" s="35"/>
      <c r="S215" s="35"/>
      <c r="T215" s="35"/>
      <c r="U215" s="35"/>
      <c r="V215" s="35"/>
      <c r="W215" s="35"/>
      <c r="X215" s="35"/>
      <c r="Y215" s="46"/>
      <c r="Z215">
        <v>2</v>
      </c>
      <c r="AA215" t="s">
        <v>1</v>
      </c>
      <c r="AB215" t="s">
        <v>609</v>
      </c>
      <c r="AC215" t="s">
        <v>610</v>
      </c>
      <c r="AD215" t="s">
        <v>611</v>
      </c>
      <c r="AE215" t="s">
        <v>4</v>
      </c>
    </row>
    <row r="216" spans="1:42">
      <c r="A216" s="154"/>
      <c r="B216" s="35" t="s">
        <v>2202</v>
      </c>
      <c r="C216" s="44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44"/>
      <c r="Q216" s="35"/>
      <c r="R216" s="35"/>
      <c r="S216" s="35"/>
      <c r="T216" s="35"/>
      <c r="U216" s="35"/>
      <c r="V216" s="35"/>
      <c r="W216" s="35"/>
      <c r="X216" s="35"/>
      <c r="Y216" s="46"/>
      <c r="Z216">
        <v>2</v>
      </c>
      <c r="AA216" t="s">
        <v>395</v>
      </c>
      <c r="AB216" t="s">
        <v>612</v>
      </c>
      <c r="AC216" t="s">
        <v>613</v>
      </c>
      <c r="AD216" t="s">
        <v>614</v>
      </c>
    </row>
    <row r="217" spans="1:42">
      <c r="A217" s="154"/>
      <c r="B217" s="35" t="s">
        <v>2202</v>
      </c>
      <c r="C217" s="44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44"/>
      <c r="Q217" s="35"/>
      <c r="R217" s="35"/>
      <c r="S217" s="35"/>
      <c r="T217" s="35"/>
      <c r="U217" s="35"/>
      <c r="V217" s="35"/>
      <c r="W217" s="35"/>
      <c r="X217" s="35"/>
      <c r="Y217" s="46"/>
      <c r="Z217">
        <v>0</v>
      </c>
      <c r="AA217" t="s">
        <v>5</v>
      </c>
      <c r="AB217" t="s">
        <v>6</v>
      </c>
      <c r="AC217" t="s">
        <v>7</v>
      </c>
      <c r="AD217" t="s">
        <v>8</v>
      </c>
      <c r="AE217" t="s">
        <v>8</v>
      </c>
      <c r="AF217" t="s">
        <v>9</v>
      </c>
      <c r="AG217" t="s">
        <v>10</v>
      </c>
      <c r="AH217" t="s">
        <v>11</v>
      </c>
      <c r="AI217" t="s">
        <v>12</v>
      </c>
      <c r="AJ217" t="s">
        <v>13</v>
      </c>
      <c r="AK217" t="s">
        <v>14</v>
      </c>
      <c r="AL217" t="s">
        <v>15</v>
      </c>
      <c r="AM217" t="s">
        <v>16</v>
      </c>
      <c r="AN217" t="s">
        <v>17</v>
      </c>
      <c r="AO217" t="s">
        <v>1</v>
      </c>
      <c r="AP217" t="s">
        <v>395</v>
      </c>
    </row>
    <row r="218" spans="1:42">
      <c r="A218" s="154"/>
      <c r="B218" s="35" t="s">
        <v>2202</v>
      </c>
      <c r="C218" s="44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44"/>
      <c r="Q218" s="35"/>
      <c r="R218" s="35"/>
      <c r="S218" s="35"/>
      <c r="T218" s="35"/>
      <c r="U218" s="35"/>
      <c r="V218" s="35"/>
      <c r="W218" s="35"/>
      <c r="X218" s="35"/>
      <c r="Y218" s="46"/>
      <c r="Z218">
        <v>4</v>
      </c>
      <c r="AA218" t="s">
        <v>26</v>
      </c>
      <c r="AB218" t="s">
        <v>19</v>
      </c>
      <c r="AC218" t="s">
        <v>19</v>
      </c>
      <c r="AD218" t="s">
        <v>19</v>
      </c>
      <c r="AE218" t="s">
        <v>19</v>
      </c>
      <c r="AF218" t="s">
        <v>19</v>
      </c>
      <c r="AG218" t="s">
        <v>19</v>
      </c>
      <c r="AH218" t="s">
        <v>35</v>
      </c>
      <c r="AI218" t="s">
        <v>19</v>
      </c>
      <c r="AJ218" t="s">
        <v>19</v>
      </c>
      <c r="AK218" t="s">
        <v>19</v>
      </c>
      <c r="AL218" t="s">
        <v>19</v>
      </c>
      <c r="AM218" t="s">
        <v>19</v>
      </c>
      <c r="AN218" t="s">
        <v>28</v>
      </c>
      <c r="AO218">
        <v>4</v>
      </c>
      <c r="AP218">
        <v>3</v>
      </c>
    </row>
    <row r="219" spans="1:42">
      <c r="A219" s="154"/>
      <c r="B219" s="35" t="s">
        <v>2202</v>
      </c>
      <c r="C219" s="44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44"/>
      <c r="Q219" s="35"/>
      <c r="R219" s="35"/>
      <c r="S219" s="35"/>
      <c r="T219" s="35"/>
      <c r="U219" s="35"/>
      <c r="V219" s="35"/>
      <c r="W219" s="35"/>
      <c r="X219" s="35"/>
      <c r="Y219" s="46"/>
      <c r="Z219">
        <v>4</v>
      </c>
      <c r="AA219" t="s">
        <v>26</v>
      </c>
      <c r="AB219" t="s">
        <v>19</v>
      </c>
      <c r="AC219" t="s">
        <v>19</v>
      </c>
      <c r="AD219" t="s">
        <v>19</v>
      </c>
      <c r="AE219" t="s">
        <v>19</v>
      </c>
      <c r="AF219" t="s">
        <v>19</v>
      </c>
      <c r="AG219" t="s">
        <v>19</v>
      </c>
      <c r="AH219" t="s">
        <v>37</v>
      </c>
      <c r="AI219" t="s">
        <v>19</v>
      </c>
      <c r="AJ219" t="s">
        <v>19</v>
      </c>
      <c r="AK219" t="s">
        <v>19</v>
      </c>
      <c r="AL219" t="s">
        <v>19</v>
      </c>
      <c r="AM219" t="s">
        <v>19</v>
      </c>
      <c r="AN219" t="s">
        <v>28</v>
      </c>
      <c r="AO219" t="s">
        <v>609</v>
      </c>
      <c r="AP219" t="s">
        <v>19</v>
      </c>
    </row>
    <row r="220" spans="1:42">
      <c r="A220" s="154"/>
      <c r="B220" s="35" t="s">
        <v>2202</v>
      </c>
      <c r="C220" s="44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44"/>
      <c r="Q220" s="35"/>
      <c r="R220" s="35"/>
      <c r="S220" s="35"/>
      <c r="T220" s="35"/>
      <c r="U220" s="35"/>
      <c r="V220" s="35"/>
      <c r="W220" s="35"/>
      <c r="X220" s="35"/>
      <c r="Y220" s="46"/>
      <c r="Z220">
        <v>4</v>
      </c>
      <c r="AA220" t="s">
        <v>26</v>
      </c>
      <c r="AB220" t="s">
        <v>19</v>
      </c>
      <c r="AC220" t="s">
        <v>19</v>
      </c>
      <c r="AD220" t="s">
        <v>19</v>
      </c>
      <c r="AE220" t="s">
        <v>19</v>
      </c>
      <c r="AF220" t="s">
        <v>19</v>
      </c>
      <c r="AG220" t="s">
        <v>19</v>
      </c>
      <c r="AH220" t="s">
        <v>615</v>
      </c>
      <c r="AI220" t="s">
        <v>19</v>
      </c>
      <c r="AJ220" t="s">
        <v>19</v>
      </c>
      <c r="AK220" t="s">
        <v>19</v>
      </c>
      <c r="AL220" t="s">
        <v>19</v>
      </c>
      <c r="AM220" t="s">
        <v>19</v>
      </c>
      <c r="AN220" t="s">
        <v>28</v>
      </c>
      <c r="AO220" t="s">
        <v>609</v>
      </c>
      <c r="AP220" t="s">
        <v>19</v>
      </c>
    </row>
    <row r="221" spans="1:42">
      <c r="A221" s="154"/>
      <c r="B221" s="35" t="s">
        <v>2202</v>
      </c>
      <c r="C221" s="44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44"/>
      <c r="Q221" s="35"/>
      <c r="R221" s="35"/>
      <c r="S221" s="35"/>
      <c r="T221" s="35"/>
      <c r="U221" s="35"/>
      <c r="V221" s="35"/>
      <c r="W221" s="35"/>
      <c r="X221" s="35"/>
      <c r="Y221" s="46"/>
      <c r="Z221">
        <v>4</v>
      </c>
      <c r="AA221" t="s">
        <v>26</v>
      </c>
      <c r="AB221" t="s">
        <v>19</v>
      </c>
      <c r="AC221" t="s">
        <v>19</v>
      </c>
      <c r="AD221" t="s">
        <v>19</v>
      </c>
      <c r="AE221" t="s">
        <v>19</v>
      </c>
      <c r="AF221" t="s">
        <v>19</v>
      </c>
      <c r="AG221" t="s">
        <v>19</v>
      </c>
      <c r="AH221" t="s">
        <v>40</v>
      </c>
      <c r="AI221" t="s">
        <v>19</v>
      </c>
      <c r="AJ221" t="s">
        <v>19</v>
      </c>
      <c r="AK221" t="s">
        <v>19</v>
      </c>
      <c r="AL221" t="s">
        <v>19</v>
      </c>
      <c r="AM221" t="s">
        <v>19</v>
      </c>
      <c r="AN221" t="s">
        <v>28</v>
      </c>
      <c r="AO221" t="s">
        <v>609</v>
      </c>
      <c r="AP221" t="s">
        <v>19</v>
      </c>
    </row>
    <row r="222" spans="1:42">
      <c r="A222" s="154"/>
      <c r="B222" s="35" t="s">
        <v>2202</v>
      </c>
      <c r="C222" s="44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44"/>
      <c r="Q222" s="35"/>
      <c r="R222" s="35"/>
      <c r="S222" s="35"/>
      <c r="T222" s="35"/>
      <c r="U222" s="35"/>
      <c r="V222" s="35"/>
      <c r="W222" s="35"/>
      <c r="X222" s="35"/>
      <c r="Y222" s="46"/>
      <c r="Z222">
        <v>4</v>
      </c>
      <c r="AA222" t="s">
        <v>26</v>
      </c>
      <c r="AB222" t="s">
        <v>19</v>
      </c>
      <c r="AC222" t="s">
        <v>19</v>
      </c>
      <c r="AD222" t="s">
        <v>19</v>
      </c>
      <c r="AE222" t="s">
        <v>19</v>
      </c>
      <c r="AF222" t="s">
        <v>19</v>
      </c>
      <c r="AG222" t="s">
        <v>19</v>
      </c>
      <c r="AH222" t="s">
        <v>41</v>
      </c>
      <c r="AI222" t="s">
        <v>19</v>
      </c>
      <c r="AJ222" t="s">
        <v>19</v>
      </c>
      <c r="AK222" t="s">
        <v>19</v>
      </c>
      <c r="AL222" t="s">
        <v>19</v>
      </c>
      <c r="AM222" t="s">
        <v>19</v>
      </c>
      <c r="AN222" t="s">
        <v>28</v>
      </c>
      <c r="AO222" t="s">
        <v>609</v>
      </c>
      <c r="AP222" t="s">
        <v>19</v>
      </c>
    </row>
    <row r="223" spans="1:42">
      <c r="A223" s="154"/>
      <c r="B223" s="35" t="s">
        <v>2202</v>
      </c>
      <c r="C223" s="44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44"/>
      <c r="Q223" s="35"/>
      <c r="R223" s="35"/>
      <c r="S223" s="35"/>
      <c r="T223" s="35"/>
      <c r="U223" s="35"/>
      <c r="V223" s="35"/>
      <c r="W223" s="35"/>
      <c r="X223" s="35"/>
      <c r="Y223" s="46"/>
      <c r="Z223">
        <v>4</v>
      </c>
      <c r="AA223" t="s">
        <v>26</v>
      </c>
      <c r="AB223" t="s">
        <v>19</v>
      </c>
      <c r="AC223" t="s">
        <v>19</v>
      </c>
      <c r="AD223" t="s">
        <v>19</v>
      </c>
      <c r="AE223" t="s">
        <v>19</v>
      </c>
      <c r="AF223" t="s">
        <v>19</v>
      </c>
      <c r="AG223" t="s">
        <v>19</v>
      </c>
      <c r="AH223" t="s">
        <v>42</v>
      </c>
      <c r="AI223" t="s">
        <v>19</v>
      </c>
      <c r="AJ223" t="s">
        <v>19</v>
      </c>
      <c r="AK223" t="s">
        <v>19</v>
      </c>
      <c r="AL223" t="s">
        <v>19</v>
      </c>
      <c r="AM223" t="s">
        <v>19</v>
      </c>
      <c r="AN223" t="s">
        <v>28</v>
      </c>
      <c r="AO223" t="s">
        <v>609</v>
      </c>
      <c r="AP223" t="s">
        <v>612</v>
      </c>
    </row>
    <row r="224" spans="1:42">
      <c r="A224" s="154"/>
      <c r="B224" s="35" t="s">
        <v>2202</v>
      </c>
      <c r="C224" s="44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44"/>
      <c r="Q224" s="35"/>
      <c r="R224" s="35"/>
      <c r="S224" s="35"/>
      <c r="T224" s="35"/>
      <c r="U224" s="35"/>
      <c r="V224" s="35"/>
      <c r="W224" s="35"/>
      <c r="X224" s="35"/>
      <c r="Y224" s="46"/>
      <c r="Z224">
        <v>4</v>
      </c>
      <c r="AA224" t="s">
        <v>26</v>
      </c>
      <c r="AB224" t="s">
        <v>19</v>
      </c>
      <c r="AC224" t="s">
        <v>19</v>
      </c>
      <c r="AD224" t="s">
        <v>19</v>
      </c>
      <c r="AE224" t="s">
        <v>19</v>
      </c>
      <c r="AF224" t="s">
        <v>19</v>
      </c>
      <c r="AG224" t="s">
        <v>19</v>
      </c>
      <c r="AH224" t="s">
        <v>49</v>
      </c>
      <c r="AI224" t="s">
        <v>19</v>
      </c>
      <c r="AJ224" t="s">
        <v>19</v>
      </c>
      <c r="AK224" t="s">
        <v>19</v>
      </c>
      <c r="AL224" t="s">
        <v>19</v>
      </c>
      <c r="AM224" t="s">
        <v>19</v>
      </c>
      <c r="AN224" t="s">
        <v>28</v>
      </c>
      <c r="AO224">
        <v>2</v>
      </c>
      <c r="AP224" t="s">
        <v>19</v>
      </c>
    </row>
    <row r="225" spans="1:42">
      <c r="A225" s="154"/>
      <c r="B225" s="35" t="s">
        <v>2202</v>
      </c>
      <c r="C225" s="44"/>
      <c r="D225" s="35" t="s">
        <v>2180</v>
      </c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44"/>
      <c r="Q225" s="35"/>
      <c r="R225" s="35"/>
      <c r="S225" s="35"/>
      <c r="T225" s="35"/>
      <c r="U225" s="35"/>
      <c r="V225" s="35"/>
      <c r="W225" s="35"/>
      <c r="X225" s="35"/>
      <c r="Y225" s="46" t="s">
        <v>2182</v>
      </c>
      <c r="Z225">
        <v>3</v>
      </c>
      <c r="AA225" t="s">
        <v>616</v>
      </c>
      <c r="AB225" t="s">
        <v>617</v>
      </c>
      <c r="AC225" t="s">
        <v>19</v>
      </c>
      <c r="AD225" t="s">
        <v>81</v>
      </c>
      <c r="AE225" t="s">
        <v>81</v>
      </c>
      <c r="AF225" t="s">
        <v>618</v>
      </c>
      <c r="AG225" t="s">
        <v>619</v>
      </c>
      <c r="AH225" t="s">
        <v>620</v>
      </c>
      <c r="AI225" t="s">
        <v>621</v>
      </c>
      <c r="AJ225" t="s">
        <v>19</v>
      </c>
      <c r="AK225" t="s">
        <v>112</v>
      </c>
      <c r="AL225" t="s">
        <v>84</v>
      </c>
      <c r="AM225" t="s">
        <v>19</v>
      </c>
      <c r="AN225" t="s">
        <v>28</v>
      </c>
      <c r="AO225" t="s">
        <v>609</v>
      </c>
      <c r="AP225" t="s">
        <v>19</v>
      </c>
    </row>
    <row r="226" spans="1:42">
      <c r="A226" s="154"/>
      <c r="B226" s="35" t="s">
        <v>2202</v>
      </c>
      <c r="C226" s="44"/>
      <c r="D226" s="35" t="s">
        <v>2180</v>
      </c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44"/>
      <c r="Q226" s="35"/>
      <c r="R226" s="35"/>
      <c r="S226" s="35"/>
      <c r="T226" s="35"/>
      <c r="U226" s="35"/>
      <c r="V226" s="35"/>
      <c r="W226" s="35"/>
      <c r="X226" s="35"/>
      <c r="Y226" s="46" t="s">
        <v>2182</v>
      </c>
      <c r="Z226">
        <v>3</v>
      </c>
      <c r="AA226" t="s">
        <v>622</v>
      </c>
      <c r="AB226" t="s">
        <v>623</v>
      </c>
      <c r="AC226" t="s">
        <v>19</v>
      </c>
      <c r="AD226" t="s">
        <v>96</v>
      </c>
      <c r="AE226" t="s">
        <v>624</v>
      </c>
      <c r="AF226" t="s">
        <v>625</v>
      </c>
      <c r="AG226" t="s">
        <v>440</v>
      </c>
      <c r="AH226" t="s">
        <v>626</v>
      </c>
      <c r="AI226" t="s">
        <v>111</v>
      </c>
      <c r="AJ226" t="s">
        <v>19</v>
      </c>
      <c r="AK226" t="s">
        <v>627</v>
      </c>
      <c r="AL226" t="s">
        <v>99</v>
      </c>
      <c r="AM226" t="s">
        <v>19</v>
      </c>
      <c r="AN226" t="s">
        <v>28</v>
      </c>
      <c r="AO226" t="s">
        <v>609</v>
      </c>
      <c r="AP226" t="s">
        <v>19</v>
      </c>
    </row>
    <row r="227" spans="1:42">
      <c r="A227" s="154"/>
      <c r="B227" s="35" t="s">
        <v>2202</v>
      </c>
      <c r="C227" s="44"/>
      <c r="D227" s="35" t="s">
        <v>2227</v>
      </c>
      <c r="E227" s="35"/>
      <c r="F227" s="35"/>
      <c r="G227" s="35"/>
      <c r="H227" s="35"/>
      <c r="I227" s="35"/>
      <c r="J227" s="35" t="s">
        <v>2243</v>
      </c>
      <c r="K227" s="35"/>
      <c r="L227" s="35"/>
      <c r="M227" s="35"/>
      <c r="N227" s="35"/>
      <c r="O227" s="35"/>
      <c r="P227" s="44"/>
      <c r="Q227" s="35"/>
      <c r="R227" s="35"/>
      <c r="S227" s="35"/>
      <c r="T227" s="35"/>
      <c r="U227" s="35"/>
      <c r="V227" s="35"/>
      <c r="W227" s="35"/>
      <c r="X227" s="35"/>
      <c r="Y227" s="46" t="s">
        <v>2182</v>
      </c>
      <c r="Z227">
        <v>3</v>
      </c>
      <c r="AA227" t="s">
        <v>184</v>
      </c>
      <c r="AB227" t="s">
        <v>628</v>
      </c>
      <c r="AC227" t="s">
        <v>19</v>
      </c>
      <c r="AD227" t="s">
        <v>19</v>
      </c>
      <c r="AE227" t="s">
        <v>629</v>
      </c>
      <c r="AF227" t="s">
        <v>628</v>
      </c>
      <c r="AG227" t="s">
        <v>211</v>
      </c>
      <c r="AH227" t="s">
        <v>187</v>
      </c>
      <c r="AI227" t="s">
        <v>19</v>
      </c>
      <c r="AJ227" t="s">
        <v>200</v>
      </c>
      <c r="AK227" t="s">
        <v>188</v>
      </c>
      <c r="AL227" t="s">
        <v>19</v>
      </c>
      <c r="AM227" t="s">
        <v>19</v>
      </c>
      <c r="AN227" t="s">
        <v>28</v>
      </c>
      <c r="AO227" t="s">
        <v>609</v>
      </c>
      <c r="AP227" t="s">
        <v>612</v>
      </c>
    </row>
    <row r="228" spans="1:42">
      <c r="A228" s="154"/>
      <c r="B228" s="35" t="s">
        <v>2203</v>
      </c>
      <c r="C228" s="44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44"/>
      <c r="Q228" s="35"/>
      <c r="R228" s="35"/>
      <c r="S228" s="35"/>
      <c r="T228" s="35"/>
      <c r="U228" s="35"/>
      <c r="V228" s="35"/>
      <c r="W228" s="35"/>
      <c r="X228" s="35"/>
      <c r="Y228" s="46"/>
      <c r="Z228">
        <v>1</v>
      </c>
      <c r="AA228" t="s">
        <v>630</v>
      </c>
    </row>
    <row r="229" spans="1:42">
      <c r="A229" s="154"/>
      <c r="B229" s="35" t="s">
        <v>2203</v>
      </c>
      <c r="C229" s="44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44"/>
      <c r="Q229" s="35"/>
      <c r="R229" s="35"/>
      <c r="S229" s="35"/>
      <c r="T229" s="35"/>
      <c r="U229" s="35"/>
      <c r="V229" s="35"/>
      <c r="W229" s="35"/>
      <c r="X229" s="35"/>
      <c r="Y229" s="46"/>
      <c r="Z229">
        <v>2</v>
      </c>
      <c r="AA229" t="s">
        <v>1</v>
      </c>
      <c r="AB229" t="s">
        <v>631</v>
      </c>
      <c r="AC229" t="s">
        <v>632</v>
      </c>
      <c r="AD229" t="s">
        <v>633</v>
      </c>
    </row>
    <row r="230" spans="1:42">
      <c r="A230" s="154"/>
      <c r="B230" s="35" t="s">
        <v>2203</v>
      </c>
      <c r="C230" s="44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44"/>
      <c r="Q230" s="35"/>
      <c r="R230" s="35"/>
      <c r="S230" s="35"/>
      <c r="T230" s="35"/>
      <c r="U230" s="35"/>
      <c r="V230" s="35"/>
      <c r="W230" s="35"/>
      <c r="X230" s="35"/>
      <c r="Y230" s="46"/>
      <c r="Z230">
        <v>0</v>
      </c>
      <c r="AA230" t="s">
        <v>5</v>
      </c>
      <c r="AB230" t="s">
        <v>6</v>
      </c>
      <c r="AC230" t="s">
        <v>7</v>
      </c>
      <c r="AD230" t="s">
        <v>8</v>
      </c>
      <c r="AE230" t="s">
        <v>8</v>
      </c>
      <c r="AF230" t="s">
        <v>9</v>
      </c>
      <c r="AG230" t="s">
        <v>10</v>
      </c>
      <c r="AH230" t="s">
        <v>11</v>
      </c>
      <c r="AI230" t="s">
        <v>12</v>
      </c>
      <c r="AJ230" t="s">
        <v>13</v>
      </c>
      <c r="AK230" t="s">
        <v>14</v>
      </c>
      <c r="AL230" t="s">
        <v>15</v>
      </c>
      <c r="AM230" t="s">
        <v>16</v>
      </c>
      <c r="AN230" t="s">
        <v>17</v>
      </c>
      <c r="AO230" t="s">
        <v>1</v>
      </c>
    </row>
    <row r="231" spans="1:42">
      <c r="A231" s="154"/>
      <c r="B231" s="35" t="s">
        <v>2203</v>
      </c>
      <c r="C231" s="44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44"/>
      <c r="Q231" s="35"/>
      <c r="R231" s="35"/>
      <c r="S231" s="35"/>
      <c r="T231" s="35"/>
      <c r="U231" s="35"/>
      <c r="V231" s="35"/>
      <c r="W231" s="35"/>
      <c r="X231" s="35"/>
      <c r="Y231" s="46"/>
      <c r="Z231">
        <v>4</v>
      </c>
      <c r="AA231" t="s">
        <v>26</v>
      </c>
      <c r="AB231" t="s">
        <v>19</v>
      </c>
      <c r="AC231" t="s">
        <v>19</v>
      </c>
      <c r="AD231" t="s">
        <v>19</v>
      </c>
      <c r="AE231" t="s">
        <v>19</v>
      </c>
      <c r="AF231" t="s">
        <v>19</v>
      </c>
      <c r="AG231" t="s">
        <v>19</v>
      </c>
      <c r="AH231" t="s">
        <v>29</v>
      </c>
      <c r="AI231" t="s">
        <v>19</v>
      </c>
      <c r="AJ231" t="s">
        <v>19</v>
      </c>
      <c r="AK231" t="s">
        <v>19</v>
      </c>
      <c r="AL231" t="s">
        <v>19</v>
      </c>
      <c r="AM231" t="s">
        <v>19</v>
      </c>
      <c r="AN231" t="s">
        <v>28</v>
      </c>
      <c r="AO231" t="s">
        <v>631</v>
      </c>
    </row>
    <row r="232" spans="1:42">
      <c r="A232" s="154"/>
      <c r="B232" s="35" t="s">
        <v>2203</v>
      </c>
      <c r="C232" s="44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44"/>
      <c r="Q232" s="35"/>
      <c r="R232" s="35"/>
      <c r="S232" s="35"/>
      <c r="T232" s="35"/>
      <c r="U232" s="35"/>
      <c r="V232" s="35"/>
      <c r="W232" s="35"/>
      <c r="X232" s="35"/>
      <c r="Y232" s="46"/>
      <c r="Z232">
        <v>4</v>
      </c>
      <c r="AA232" t="s">
        <v>26</v>
      </c>
      <c r="AB232" t="s">
        <v>19</v>
      </c>
      <c r="AC232" t="s">
        <v>19</v>
      </c>
      <c r="AD232" t="s">
        <v>19</v>
      </c>
      <c r="AE232" t="s">
        <v>19</v>
      </c>
      <c r="AF232" t="s">
        <v>19</v>
      </c>
      <c r="AG232" t="s">
        <v>19</v>
      </c>
      <c r="AH232" t="s">
        <v>43</v>
      </c>
      <c r="AI232" t="s">
        <v>19</v>
      </c>
      <c r="AJ232" t="s">
        <v>19</v>
      </c>
      <c r="AK232" t="s">
        <v>19</v>
      </c>
      <c r="AL232" t="s">
        <v>19</v>
      </c>
      <c r="AM232" t="s">
        <v>19</v>
      </c>
      <c r="AN232" t="s">
        <v>28</v>
      </c>
      <c r="AO232" t="s">
        <v>631</v>
      </c>
    </row>
    <row r="233" spans="1:42">
      <c r="A233" s="154"/>
      <c r="B233" s="35" t="s">
        <v>2203</v>
      </c>
      <c r="C233" s="44"/>
      <c r="D233" s="35" t="s">
        <v>2227</v>
      </c>
      <c r="E233" s="35"/>
      <c r="F233" s="35"/>
      <c r="G233" s="35"/>
      <c r="H233" s="35"/>
      <c r="I233" s="35"/>
      <c r="J233" s="35" t="s">
        <v>2244</v>
      </c>
      <c r="K233" s="35"/>
      <c r="L233" s="35"/>
      <c r="M233" s="35"/>
      <c r="N233" s="35"/>
      <c r="O233" s="35"/>
      <c r="P233" s="44"/>
      <c r="Q233" s="35"/>
      <c r="R233" s="35"/>
      <c r="S233" s="35"/>
      <c r="T233" s="35"/>
      <c r="U233" s="35"/>
      <c r="V233" s="35"/>
      <c r="W233" s="35"/>
      <c r="X233" s="35"/>
      <c r="Y233" s="46" t="s">
        <v>2182</v>
      </c>
      <c r="Z233">
        <v>3</v>
      </c>
      <c r="AA233" t="s">
        <v>194</v>
      </c>
      <c r="AB233" t="s">
        <v>634</v>
      </c>
      <c r="AC233" t="s">
        <v>19</v>
      </c>
      <c r="AD233" t="s">
        <v>19</v>
      </c>
      <c r="AE233" t="s">
        <v>635</v>
      </c>
      <c r="AF233" t="s">
        <v>634</v>
      </c>
      <c r="AG233" t="s">
        <v>173</v>
      </c>
      <c r="AH233" t="s">
        <v>196</v>
      </c>
      <c r="AI233" t="s">
        <v>19</v>
      </c>
      <c r="AJ233" t="s">
        <v>172</v>
      </c>
      <c r="AK233" t="s">
        <v>67</v>
      </c>
      <c r="AL233" t="s">
        <v>19</v>
      </c>
      <c r="AM233" t="s">
        <v>19</v>
      </c>
      <c r="AN233" t="s">
        <v>28</v>
      </c>
      <c r="AO233" t="s">
        <v>631</v>
      </c>
    </row>
    <row r="234" spans="1:42">
      <c r="A234" s="154"/>
      <c r="B234" s="35" t="s">
        <v>2204</v>
      </c>
      <c r="C234" s="44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44"/>
      <c r="Q234" s="35"/>
      <c r="R234" s="35"/>
      <c r="S234" s="35"/>
      <c r="T234" s="35"/>
      <c r="U234" s="35"/>
      <c r="V234" s="35"/>
      <c r="W234" s="35"/>
      <c r="X234" s="35"/>
      <c r="Y234" s="46"/>
      <c r="Z234">
        <v>1</v>
      </c>
      <c r="AA234" t="s">
        <v>636</v>
      </c>
    </row>
    <row r="235" spans="1:42">
      <c r="A235" s="154"/>
      <c r="B235" s="35" t="s">
        <v>2204</v>
      </c>
      <c r="C235" s="44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44"/>
      <c r="Q235" s="35"/>
      <c r="R235" s="35"/>
      <c r="S235" s="35"/>
      <c r="T235" s="35"/>
      <c r="U235" s="35"/>
      <c r="V235" s="35"/>
      <c r="W235" s="35"/>
      <c r="X235" s="35"/>
      <c r="Y235" s="46"/>
      <c r="Z235">
        <v>2</v>
      </c>
      <c r="AA235" t="s">
        <v>1</v>
      </c>
      <c r="AB235" t="s">
        <v>637</v>
      </c>
      <c r="AC235" t="s">
        <v>638</v>
      </c>
      <c r="AD235" t="s">
        <v>639</v>
      </c>
    </row>
    <row r="236" spans="1:42">
      <c r="A236" s="154"/>
      <c r="B236" s="35" t="s">
        <v>2204</v>
      </c>
      <c r="C236" s="44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44"/>
      <c r="Q236" s="35"/>
      <c r="R236" s="35"/>
      <c r="S236" s="35"/>
      <c r="T236" s="35"/>
      <c r="U236" s="35"/>
      <c r="V236" s="35"/>
      <c r="W236" s="35"/>
      <c r="X236" s="35"/>
      <c r="Y236" s="46"/>
      <c r="Z236">
        <v>0</v>
      </c>
      <c r="AA236" t="s">
        <v>5</v>
      </c>
      <c r="AB236" t="s">
        <v>6</v>
      </c>
      <c r="AC236" t="s">
        <v>7</v>
      </c>
      <c r="AD236" t="s">
        <v>8</v>
      </c>
      <c r="AE236" t="s">
        <v>8</v>
      </c>
      <c r="AF236" t="s">
        <v>9</v>
      </c>
      <c r="AG236" t="s">
        <v>10</v>
      </c>
      <c r="AH236" t="s">
        <v>11</v>
      </c>
      <c r="AI236" t="s">
        <v>12</v>
      </c>
      <c r="AJ236" t="s">
        <v>13</v>
      </c>
      <c r="AK236" t="s">
        <v>14</v>
      </c>
      <c r="AL236" t="s">
        <v>15</v>
      </c>
      <c r="AM236" t="s">
        <v>16</v>
      </c>
      <c r="AN236" t="s">
        <v>17</v>
      </c>
      <c r="AO236" t="s">
        <v>1</v>
      </c>
    </row>
    <row r="237" spans="1:42">
      <c r="A237" s="154"/>
      <c r="B237" s="35" t="s">
        <v>2204</v>
      </c>
      <c r="C237" s="44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44"/>
      <c r="Q237" s="35"/>
      <c r="R237" s="35"/>
      <c r="S237" s="35"/>
      <c r="T237" s="35"/>
      <c r="U237" s="35"/>
      <c r="V237" s="35"/>
      <c r="W237" s="35"/>
      <c r="X237" s="35"/>
      <c r="Y237" s="46"/>
      <c r="Z237">
        <v>4</v>
      </c>
      <c r="AA237" t="s">
        <v>22</v>
      </c>
      <c r="AB237" t="s">
        <v>19</v>
      </c>
      <c r="AC237" t="s">
        <v>19</v>
      </c>
      <c r="AD237" t="s">
        <v>19</v>
      </c>
      <c r="AE237" t="s">
        <v>19</v>
      </c>
      <c r="AF237" t="s">
        <v>19</v>
      </c>
      <c r="AG237" t="s">
        <v>19</v>
      </c>
      <c r="AH237" t="s">
        <v>24</v>
      </c>
      <c r="AI237" t="s">
        <v>19</v>
      </c>
      <c r="AJ237" t="s">
        <v>19</v>
      </c>
      <c r="AK237" t="s">
        <v>19</v>
      </c>
      <c r="AL237" t="s">
        <v>19</v>
      </c>
      <c r="AM237" t="s">
        <v>19</v>
      </c>
      <c r="AN237" t="s">
        <v>21</v>
      </c>
      <c r="AO237">
        <v>248</v>
      </c>
    </row>
    <row r="238" spans="1:42">
      <c r="A238" s="154"/>
      <c r="B238" s="35" t="s">
        <v>2204</v>
      </c>
      <c r="C238" s="44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44"/>
      <c r="Q238" s="35"/>
      <c r="R238" s="35"/>
      <c r="S238" s="35"/>
      <c r="T238" s="35"/>
      <c r="U238" s="35"/>
      <c r="V238" s="35"/>
      <c r="W238" s="35"/>
      <c r="X238" s="35"/>
      <c r="Y238" s="46"/>
      <c r="Z238">
        <v>4</v>
      </c>
      <c r="AA238" t="s">
        <v>26</v>
      </c>
      <c r="AB238" t="s">
        <v>19</v>
      </c>
      <c r="AC238" t="s">
        <v>19</v>
      </c>
      <c r="AD238" t="s">
        <v>19</v>
      </c>
      <c r="AE238" t="s">
        <v>19</v>
      </c>
      <c r="AF238" t="s">
        <v>19</v>
      </c>
      <c r="AG238" t="s">
        <v>19</v>
      </c>
      <c r="AH238" t="s">
        <v>27</v>
      </c>
      <c r="AI238" t="s">
        <v>19</v>
      </c>
      <c r="AJ238" t="s">
        <v>19</v>
      </c>
      <c r="AK238" t="s">
        <v>19</v>
      </c>
      <c r="AL238" t="s">
        <v>19</v>
      </c>
      <c r="AM238" t="s">
        <v>19</v>
      </c>
      <c r="AN238" t="s">
        <v>28</v>
      </c>
      <c r="AO238">
        <v>2</v>
      </c>
    </row>
    <row r="239" spans="1:42">
      <c r="A239" s="154"/>
      <c r="B239" s="35" t="s">
        <v>2204</v>
      </c>
      <c r="C239" s="44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44"/>
      <c r="Q239" s="35"/>
      <c r="R239" s="35"/>
      <c r="S239" s="35"/>
      <c r="T239" s="35"/>
      <c r="U239" s="35"/>
      <c r="V239" s="35"/>
      <c r="W239" s="35"/>
      <c r="X239" s="35"/>
      <c r="Y239" s="46"/>
      <c r="Z239">
        <v>4</v>
      </c>
      <c r="AA239" t="s">
        <v>26</v>
      </c>
      <c r="AB239" t="s">
        <v>19</v>
      </c>
      <c r="AC239" t="s">
        <v>19</v>
      </c>
      <c r="AD239" t="s">
        <v>19</v>
      </c>
      <c r="AE239" t="s">
        <v>19</v>
      </c>
      <c r="AF239" t="s">
        <v>19</v>
      </c>
      <c r="AG239" t="s">
        <v>19</v>
      </c>
      <c r="AH239" t="s">
        <v>35</v>
      </c>
      <c r="AI239" t="s">
        <v>19</v>
      </c>
      <c r="AJ239" t="s">
        <v>19</v>
      </c>
      <c r="AK239" t="s">
        <v>19</v>
      </c>
      <c r="AL239" t="s">
        <v>19</v>
      </c>
      <c r="AM239" t="s">
        <v>19</v>
      </c>
      <c r="AN239" t="s">
        <v>28</v>
      </c>
      <c r="AO239">
        <v>2</v>
      </c>
    </row>
    <row r="240" spans="1:42">
      <c r="A240" s="154"/>
      <c r="B240" s="35" t="s">
        <v>2204</v>
      </c>
      <c r="C240" s="44"/>
      <c r="D240" s="35" t="s">
        <v>2180</v>
      </c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44"/>
      <c r="Q240" s="35"/>
      <c r="R240" s="35"/>
      <c r="S240" s="35"/>
      <c r="T240" s="35"/>
      <c r="U240" s="35"/>
      <c r="V240" s="35"/>
      <c r="W240" s="35"/>
      <c r="X240" s="35"/>
      <c r="Y240" s="46" t="s">
        <v>2182</v>
      </c>
      <c r="Z240">
        <v>3</v>
      </c>
      <c r="AA240" t="s">
        <v>640</v>
      </c>
      <c r="AB240" t="s">
        <v>641</v>
      </c>
      <c r="AC240" t="s">
        <v>19</v>
      </c>
      <c r="AD240" t="s">
        <v>642</v>
      </c>
      <c r="AE240" t="s">
        <v>643</v>
      </c>
      <c r="AF240" t="s">
        <v>644</v>
      </c>
      <c r="AG240" t="s">
        <v>645</v>
      </c>
      <c r="AH240" t="s">
        <v>646</v>
      </c>
      <c r="AI240" t="s">
        <v>19</v>
      </c>
      <c r="AJ240" t="s">
        <v>19</v>
      </c>
      <c r="AK240" t="s">
        <v>60</v>
      </c>
      <c r="AL240" t="s">
        <v>647</v>
      </c>
      <c r="AM240" t="s">
        <v>648</v>
      </c>
      <c r="AN240" t="s">
        <v>28</v>
      </c>
      <c r="AO240" t="s">
        <v>637</v>
      </c>
    </row>
    <row r="241" spans="1:42">
      <c r="A241" s="154"/>
      <c r="B241" s="35" t="s">
        <v>2205</v>
      </c>
      <c r="C241" s="44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44"/>
      <c r="Q241" s="35"/>
      <c r="R241" s="35"/>
      <c r="S241" s="35"/>
      <c r="T241" s="35"/>
      <c r="U241" s="35"/>
      <c r="V241" s="35"/>
      <c r="W241" s="35"/>
      <c r="X241" s="35"/>
      <c r="Y241" s="46"/>
      <c r="Z241">
        <v>1</v>
      </c>
      <c r="AA241" t="s">
        <v>649</v>
      </c>
    </row>
    <row r="242" spans="1:42">
      <c r="A242" s="154"/>
      <c r="B242" s="35" t="s">
        <v>2205</v>
      </c>
      <c r="C242" s="44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44"/>
      <c r="Q242" s="35"/>
      <c r="R242" s="35"/>
      <c r="S242" s="35"/>
      <c r="T242" s="35"/>
      <c r="U242" s="35"/>
      <c r="V242" s="35"/>
      <c r="W242" s="35"/>
      <c r="X242" s="35"/>
      <c r="Y242" s="46"/>
      <c r="Z242">
        <v>2</v>
      </c>
      <c r="AA242" t="s">
        <v>1</v>
      </c>
      <c r="AB242" t="s">
        <v>650</v>
      </c>
      <c r="AC242" t="s">
        <v>651</v>
      </c>
      <c r="AD242" t="s">
        <v>652</v>
      </c>
    </row>
    <row r="243" spans="1:42">
      <c r="A243" s="154"/>
      <c r="B243" s="35" t="s">
        <v>2205</v>
      </c>
      <c r="C243" s="44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44"/>
      <c r="Q243" s="35"/>
      <c r="R243" s="35"/>
      <c r="S243" s="35"/>
      <c r="T243" s="35"/>
      <c r="U243" s="35"/>
      <c r="V243" s="35"/>
      <c r="W243" s="35"/>
      <c r="X243" s="35"/>
      <c r="Y243" s="46"/>
      <c r="Z243">
        <v>2</v>
      </c>
      <c r="AA243" t="s">
        <v>395</v>
      </c>
      <c r="AB243" t="s">
        <v>653</v>
      </c>
      <c r="AC243" t="s">
        <v>654</v>
      </c>
      <c r="AD243" t="s">
        <v>655</v>
      </c>
    </row>
    <row r="244" spans="1:42">
      <c r="A244" s="154"/>
      <c r="B244" s="35" t="s">
        <v>2205</v>
      </c>
      <c r="C244" s="44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44"/>
      <c r="Q244" s="35"/>
      <c r="R244" s="35"/>
      <c r="S244" s="35"/>
      <c r="T244" s="35"/>
      <c r="U244" s="35"/>
      <c r="V244" s="35"/>
      <c r="W244" s="35"/>
      <c r="X244" s="35"/>
      <c r="Y244" s="46"/>
      <c r="Z244">
        <v>0</v>
      </c>
      <c r="AA244" t="s">
        <v>5</v>
      </c>
      <c r="AB244" t="s">
        <v>6</v>
      </c>
      <c r="AC244" t="s">
        <v>7</v>
      </c>
      <c r="AD244" t="s">
        <v>8</v>
      </c>
      <c r="AE244" t="s">
        <v>8</v>
      </c>
      <c r="AF244" t="s">
        <v>9</v>
      </c>
      <c r="AG244" t="s">
        <v>10</v>
      </c>
      <c r="AH244" t="s">
        <v>11</v>
      </c>
      <c r="AI244" t="s">
        <v>12</v>
      </c>
      <c r="AJ244" t="s">
        <v>13</v>
      </c>
      <c r="AK244" t="s">
        <v>14</v>
      </c>
      <c r="AL244" t="s">
        <v>15</v>
      </c>
      <c r="AM244" t="s">
        <v>16</v>
      </c>
      <c r="AN244" t="s">
        <v>17</v>
      </c>
      <c r="AO244" t="s">
        <v>1</v>
      </c>
      <c r="AP244" t="s">
        <v>395</v>
      </c>
    </row>
    <row r="245" spans="1:42">
      <c r="A245" s="154"/>
      <c r="B245" s="35" t="s">
        <v>2205</v>
      </c>
      <c r="C245" s="44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44"/>
      <c r="Q245" s="35"/>
      <c r="R245" s="35"/>
      <c r="S245" s="35"/>
      <c r="T245" s="35"/>
      <c r="U245" s="35"/>
      <c r="V245" s="35"/>
      <c r="W245" s="35"/>
      <c r="X245" s="35"/>
      <c r="Y245" s="46"/>
      <c r="Z245">
        <v>4</v>
      </c>
      <c r="AA245" t="s">
        <v>26</v>
      </c>
      <c r="AB245" t="s">
        <v>19</v>
      </c>
      <c r="AC245" t="s">
        <v>19</v>
      </c>
      <c r="AD245" t="s">
        <v>19</v>
      </c>
      <c r="AE245" t="s">
        <v>19</v>
      </c>
      <c r="AF245" t="s">
        <v>19</v>
      </c>
      <c r="AG245" t="s">
        <v>19</v>
      </c>
      <c r="AH245" t="s">
        <v>656</v>
      </c>
      <c r="AI245" t="s">
        <v>19</v>
      </c>
      <c r="AJ245" t="s">
        <v>19</v>
      </c>
      <c r="AK245" t="s">
        <v>19</v>
      </c>
      <c r="AL245" t="s">
        <v>19</v>
      </c>
      <c r="AM245" t="s">
        <v>19</v>
      </c>
      <c r="AN245" t="s">
        <v>28</v>
      </c>
      <c r="AO245">
        <v>2</v>
      </c>
      <c r="AP245" t="s">
        <v>19</v>
      </c>
    </row>
    <row r="246" spans="1:42">
      <c r="A246" s="154"/>
      <c r="B246" s="35" t="s">
        <v>2205</v>
      </c>
      <c r="C246" s="44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44"/>
      <c r="Q246" s="35"/>
      <c r="R246" s="35"/>
      <c r="S246" s="35"/>
      <c r="T246" s="35"/>
      <c r="U246" s="35"/>
      <c r="V246" s="35"/>
      <c r="W246" s="35"/>
      <c r="X246" s="35"/>
      <c r="Y246" s="46"/>
      <c r="Z246">
        <v>4</v>
      </c>
      <c r="AA246" t="s">
        <v>26</v>
      </c>
      <c r="AB246" t="s">
        <v>19</v>
      </c>
      <c r="AC246" t="s">
        <v>19</v>
      </c>
      <c r="AD246" t="s">
        <v>19</v>
      </c>
      <c r="AE246" t="s">
        <v>19</v>
      </c>
      <c r="AF246" t="s">
        <v>19</v>
      </c>
      <c r="AG246" t="s">
        <v>19</v>
      </c>
      <c r="AH246" t="s">
        <v>38</v>
      </c>
      <c r="AI246" t="s">
        <v>19</v>
      </c>
      <c r="AJ246" t="s">
        <v>19</v>
      </c>
      <c r="AK246" t="s">
        <v>19</v>
      </c>
      <c r="AL246" t="s">
        <v>19</v>
      </c>
      <c r="AM246" t="s">
        <v>19</v>
      </c>
      <c r="AN246" t="s">
        <v>28</v>
      </c>
      <c r="AO246" t="s">
        <v>19</v>
      </c>
      <c r="AP246">
        <v>2</v>
      </c>
    </row>
    <row r="247" spans="1:42">
      <c r="A247" s="154"/>
      <c r="B247" s="35" t="s">
        <v>2205</v>
      </c>
      <c r="C247" s="44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44"/>
      <c r="Q247" s="35"/>
      <c r="R247" s="35"/>
      <c r="S247" s="35"/>
      <c r="T247" s="35"/>
      <c r="U247" s="35"/>
      <c r="V247" s="35"/>
      <c r="W247" s="35"/>
      <c r="X247" s="35"/>
      <c r="Y247" s="46"/>
      <c r="Z247">
        <v>4</v>
      </c>
      <c r="AA247" t="s">
        <v>26</v>
      </c>
      <c r="AB247" t="s">
        <v>19</v>
      </c>
      <c r="AC247" t="s">
        <v>19</v>
      </c>
      <c r="AD247" t="s">
        <v>19</v>
      </c>
      <c r="AE247" t="s">
        <v>19</v>
      </c>
      <c r="AF247" t="s">
        <v>19</v>
      </c>
      <c r="AG247" t="s">
        <v>19</v>
      </c>
      <c r="AH247" t="s">
        <v>49</v>
      </c>
      <c r="AI247" t="s">
        <v>19</v>
      </c>
      <c r="AJ247" t="s">
        <v>19</v>
      </c>
      <c r="AK247" t="s">
        <v>19</v>
      </c>
      <c r="AL247" t="s">
        <v>19</v>
      </c>
      <c r="AM247" t="s">
        <v>19</v>
      </c>
      <c r="AN247" t="s">
        <v>28</v>
      </c>
      <c r="AO247">
        <v>2</v>
      </c>
      <c r="AP247" t="s">
        <v>19</v>
      </c>
    </row>
    <row r="248" spans="1:42">
      <c r="A248" s="154"/>
      <c r="B248" s="35" t="s">
        <v>2205</v>
      </c>
      <c r="C248" s="44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44"/>
      <c r="Q248" s="35"/>
      <c r="R248" s="35"/>
      <c r="S248" s="35"/>
      <c r="T248" s="35"/>
      <c r="U248" s="35"/>
      <c r="V248" s="35"/>
      <c r="W248" s="35"/>
      <c r="X248" s="35"/>
      <c r="Y248" s="46"/>
      <c r="Z248">
        <v>4</v>
      </c>
      <c r="AA248" t="s">
        <v>26</v>
      </c>
      <c r="AB248" t="s">
        <v>19</v>
      </c>
      <c r="AC248" t="s">
        <v>19</v>
      </c>
      <c r="AD248" t="s">
        <v>19</v>
      </c>
      <c r="AE248" t="s">
        <v>19</v>
      </c>
      <c r="AF248" t="s">
        <v>19</v>
      </c>
      <c r="AG248" t="s">
        <v>19</v>
      </c>
      <c r="AH248" t="s">
        <v>50</v>
      </c>
      <c r="AI248" t="s">
        <v>19</v>
      </c>
      <c r="AJ248" t="s">
        <v>19</v>
      </c>
      <c r="AK248" t="s">
        <v>19</v>
      </c>
      <c r="AL248" t="s">
        <v>19</v>
      </c>
      <c r="AM248" t="s">
        <v>19</v>
      </c>
      <c r="AN248" t="s">
        <v>28</v>
      </c>
      <c r="AO248" t="s">
        <v>19</v>
      </c>
      <c r="AP248">
        <v>8</v>
      </c>
    </row>
    <row r="249" spans="1:42">
      <c r="A249" s="154"/>
      <c r="B249" s="35" t="s">
        <v>2205</v>
      </c>
      <c r="C249" s="44"/>
      <c r="D249" s="35" t="s">
        <v>2180</v>
      </c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44"/>
      <c r="Q249" s="35"/>
      <c r="R249" s="35"/>
      <c r="S249" s="35"/>
      <c r="T249" s="35"/>
      <c r="U249" s="35"/>
      <c r="V249" s="35"/>
      <c r="W249" s="35"/>
      <c r="X249" s="35"/>
      <c r="Y249" s="46" t="s">
        <v>2182</v>
      </c>
      <c r="Z249">
        <v>3</v>
      </c>
      <c r="AA249" t="s">
        <v>657</v>
      </c>
      <c r="AB249" t="s">
        <v>658</v>
      </c>
      <c r="AC249" t="s">
        <v>19</v>
      </c>
      <c r="AD249" t="s">
        <v>55</v>
      </c>
      <c r="AE249" t="s">
        <v>659</v>
      </c>
      <c r="AF249" t="s">
        <v>660</v>
      </c>
      <c r="AG249" t="s">
        <v>661</v>
      </c>
      <c r="AH249" t="s">
        <v>662</v>
      </c>
      <c r="AI249" t="s">
        <v>111</v>
      </c>
      <c r="AJ249" t="s">
        <v>19</v>
      </c>
      <c r="AK249" t="s">
        <v>663</v>
      </c>
      <c r="AL249" t="s">
        <v>61</v>
      </c>
      <c r="AM249" t="s">
        <v>19</v>
      </c>
      <c r="AN249" t="s">
        <v>28</v>
      </c>
      <c r="AO249" t="s">
        <v>650</v>
      </c>
      <c r="AP249" t="s">
        <v>19</v>
      </c>
    </row>
    <row r="250" spans="1:42">
      <c r="A250" s="154"/>
      <c r="B250" s="35" t="s">
        <v>2205</v>
      </c>
      <c r="C250" s="44"/>
      <c r="D250" s="35" t="s">
        <v>2180</v>
      </c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44"/>
      <c r="Q250" s="35"/>
      <c r="R250" s="35"/>
      <c r="S250" s="35"/>
      <c r="T250" s="35"/>
      <c r="U250" s="35"/>
      <c r="V250" s="35"/>
      <c r="W250" s="35"/>
      <c r="X250" s="35"/>
      <c r="Y250" s="46" t="s">
        <v>2182</v>
      </c>
      <c r="Z250">
        <v>3</v>
      </c>
      <c r="AA250" t="s">
        <v>664</v>
      </c>
      <c r="AB250" t="s">
        <v>665</v>
      </c>
      <c r="AC250" t="s">
        <v>19</v>
      </c>
      <c r="AD250" t="s">
        <v>96</v>
      </c>
      <c r="AE250" t="s">
        <v>96</v>
      </c>
      <c r="AF250" t="s">
        <v>666</v>
      </c>
      <c r="AG250" t="s">
        <v>371</v>
      </c>
      <c r="AH250" t="s">
        <v>667</v>
      </c>
      <c r="AI250" t="s">
        <v>261</v>
      </c>
      <c r="AJ250" t="s">
        <v>19</v>
      </c>
      <c r="AK250" t="s">
        <v>668</v>
      </c>
      <c r="AL250" t="s">
        <v>99</v>
      </c>
      <c r="AM250" t="s">
        <v>19</v>
      </c>
      <c r="AN250" t="s">
        <v>28</v>
      </c>
      <c r="AO250" t="s">
        <v>19</v>
      </c>
      <c r="AP250" t="s">
        <v>653</v>
      </c>
    </row>
    <row r="251" spans="1:42">
      <c r="A251" s="154"/>
      <c r="B251" s="35" t="s">
        <v>2205</v>
      </c>
      <c r="C251" s="44"/>
      <c r="D251" s="35" t="s">
        <v>2180</v>
      </c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44"/>
      <c r="Q251" s="35"/>
      <c r="R251" s="35"/>
      <c r="S251" s="35"/>
      <c r="T251" s="35"/>
      <c r="U251" s="35"/>
      <c r="V251" s="35"/>
      <c r="W251" s="35"/>
      <c r="X251" s="35"/>
      <c r="Y251" s="46" t="s">
        <v>2182</v>
      </c>
      <c r="Z251">
        <v>3</v>
      </c>
      <c r="AA251" t="s">
        <v>669</v>
      </c>
      <c r="AB251" t="s">
        <v>670</v>
      </c>
      <c r="AC251" t="s">
        <v>19</v>
      </c>
      <c r="AD251" t="s">
        <v>249</v>
      </c>
      <c r="AE251" t="s">
        <v>250</v>
      </c>
      <c r="AF251" t="s">
        <v>671</v>
      </c>
      <c r="AG251" t="s">
        <v>672</v>
      </c>
      <c r="AH251" t="s">
        <v>673</v>
      </c>
      <c r="AI251" t="s">
        <v>261</v>
      </c>
      <c r="AJ251" t="s">
        <v>19</v>
      </c>
      <c r="AK251" t="s">
        <v>627</v>
      </c>
      <c r="AL251" t="s">
        <v>254</v>
      </c>
      <c r="AM251" t="s">
        <v>255</v>
      </c>
      <c r="AN251" t="s">
        <v>28</v>
      </c>
      <c r="AO251" t="s">
        <v>19</v>
      </c>
      <c r="AP251" t="s">
        <v>653</v>
      </c>
    </row>
    <row r="252" spans="1:42">
      <c r="A252" s="154"/>
      <c r="B252" s="35" t="s">
        <v>2205</v>
      </c>
      <c r="C252" s="44"/>
      <c r="D252" s="35" t="s">
        <v>2180</v>
      </c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44"/>
      <c r="Q252" s="35"/>
      <c r="R252" s="35"/>
      <c r="S252" s="35"/>
      <c r="T252" s="35"/>
      <c r="U252" s="35"/>
      <c r="V252" s="35"/>
      <c r="W252" s="35"/>
      <c r="X252" s="35"/>
      <c r="Y252" s="46" t="s">
        <v>2182</v>
      </c>
      <c r="Z252">
        <v>3</v>
      </c>
      <c r="AA252" t="s">
        <v>622</v>
      </c>
      <c r="AB252" t="s">
        <v>674</v>
      </c>
      <c r="AC252" t="s">
        <v>19</v>
      </c>
      <c r="AD252" t="s">
        <v>249</v>
      </c>
      <c r="AE252" t="s">
        <v>250</v>
      </c>
      <c r="AF252" t="s">
        <v>675</v>
      </c>
      <c r="AG252" t="s">
        <v>676</v>
      </c>
      <c r="AH252" t="s">
        <v>626</v>
      </c>
      <c r="AI252" t="s">
        <v>111</v>
      </c>
      <c r="AJ252" t="s">
        <v>19</v>
      </c>
      <c r="AK252" t="s">
        <v>627</v>
      </c>
      <c r="AL252" t="s">
        <v>254</v>
      </c>
      <c r="AM252" t="s">
        <v>255</v>
      </c>
      <c r="AN252" t="s">
        <v>28</v>
      </c>
      <c r="AO252" t="s">
        <v>650</v>
      </c>
      <c r="AP252" t="s">
        <v>19</v>
      </c>
    </row>
    <row r="253" spans="1:42">
      <c r="A253" s="154"/>
      <c r="B253" s="35" t="s">
        <v>2206</v>
      </c>
      <c r="C253" s="44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44"/>
      <c r="Q253" s="35"/>
      <c r="R253" s="35"/>
      <c r="S253" s="35"/>
      <c r="T253" s="35"/>
      <c r="U253" s="35"/>
      <c r="V253" s="35"/>
      <c r="W253" s="35"/>
      <c r="X253" s="35"/>
      <c r="Y253" s="46"/>
      <c r="Z253">
        <v>1</v>
      </c>
      <c r="AA253" t="s">
        <v>677</v>
      </c>
    </row>
    <row r="254" spans="1:42">
      <c r="A254" s="154"/>
      <c r="B254" s="35" t="s">
        <v>2206</v>
      </c>
      <c r="C254" s="44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44"/>
      <c r="Q254" s="35"/>
      <c r="R254" s="35"/>
      <c r="S254" s="35"/>
      <c r="T254" s="35"/>
      <c r="U254" s="35"/>
      <c r="V254" s="35"/>
      <c r="W254" s="35"/>
      <c r="X254" s="35"/>
      <c r="Y254" s="46"/>
      <c r="Z254">
        <v>2</v>
      </c>
      <c r="AA254" t="s">
        <v>1</v>
      </c>
      <c r="AB254" t="s">
        <v>678</v>
      </c>
      <c r="AC254" t="s">
        <v>679</v>
      </c>
      <c r="AD254" t="s">
        <v>680</v>
      </c>
    </row>
    <row r="255" spans="1:42">
      <c r="A255" s="154"/>
      <c r="B255" s="35" t="s">
        <v>2206</v>
      </c>
      <c r="C255" s="44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44"/>
      <c r="Q255" s="35"/>
      <c r="R255" s="35"/>
      <c r="S255" s="35"/>
      <c r="T255" s="35"/>
      <c r="U255" s="35"/>
      <c r="V255" s="35"/>
      <c r="W255" s="35"/>
      <c r="X255" s="35"/>
      <c r="Y255" s="46"/>
      <c r="Z255">
        <v>2</v>
      </c>
      <c r="AA255" t="s">
        <v>395</v>
      </c>
      <c r="AB255" t="s">
        <v>681</v>
      </c>
      <c r="AC255" t="s">
        <v>682</v>
      </c>
      <c r="AD255" t="s">
        <v>683</v>
      </c>
    </row>
    <row r="256" spans="1:42">
      <c r="A256" s="154"/>
      <c r="B256" s="35" t="s">
        <v>2206</v>
      </c>
      <c r="C256" s="44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44"/>
      <c r="Q256" s="35"/>
      <c r="R256" s="35"/>
      <c r="S256" s="35"/>
      <c r="T256" s="35"/>
      <c r="U256" s="35"/>
      <c r="V256" s="35"/>
      <c r="W256" s="35"/>
      <c r="X256" s="35"/>
      <c r="Y256" s="46"/>
      <c r="Z256">
        <v>0</v>
      </c>
      <c r="AA256" t="s">
        <v>5</v>
      </c>
      <c r="AB256" t="s">
        <v>6</v>
      </c>
      <c r="AC256" t="s">
        <v>7</v>
      </c>
      <c r="AD256" t="s">
        <v>8</v>
      </c>
      <c r="AE256" t="s">
        <v>8</v>
      </c>
      <c r="AF256" t="s">
        <v>9</v>
      </c>
      <c r="AG256" t="s">
        <v>10</v>
      </c>
      <c r="AH256" t="s">
        <v>11</v>
      </c>
      <c r="AI256" t="s">
        <v>12</v>
      </c>
      <c r="AJ256" t="s">
        <v>13</v>
      </c>
      <c r="AK256" t="s">
        <v>14</v>
      </c>
      <c r="AL256" t="s">
        <v>15</v>
      </c>
      <c r="AM256" t="s">
        <v>16</v>
      </c>
      <c r="AN256" t="s">
        <v>17</v>
      </c>
      <c r="AO256" t="s">
        <v>1</v>
      </c>
      <c r="AP256" t="s">
        <v>395</v>
      </c>
    </row>
    <row r="257" spans="1:42">
      <c r="A257" s="154"/>
      <c r="B257" s="35" t="s">
        <v>2206</v>
      </c>
      <c r="C257" s="44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44"/>
      <c r="Q257" s="35"/>
      <c r="R257" s="35"/>
      <c r="S257" s="35"/>
      <c r="T257" s="35"/>
      <c r="U257" s="35"/>
      <c r="V257" s="35"/>
      <c r="W257" s="35"/>
      <c r="X257" s="35"/>
      <c r="Y257" s="46"/>
      <c r="Z257">
        <v>4</v>
      </c>
      <c r="AA257" t="s">
        <v>22</v>
      </c>
      <c r="AB257" t="s">
        <v>19</v>
      </c>
      <c r="AC257" t="s">
        <v>19</v>
      </c>
      <c r="AD257" t="s">
        <v>19</v>
      </c>
      <c r="AE257" t="s">
        <v>19</v>
      </c>
      <c r="AF257" t="s">
        <v>19</v>
      </c>
      <c r="AG257" t="s">
        <v>19</v>
      </c>
      <c r="AH257" t="s">
        <v>24</v>
      </c>
      <c r="AI257" t="s">
        <v>19</v>
      </c>
      <c r="AJ257" t="s">
        <v>19</v>
      </c>
      <c r="AK257" t="s">
        <v>19</v>
      </c>
      <c r="AL257" t="s">
        <v>19</v>
      </c>
      <c r="AM257" t="s">
        <v>19</v>
      </c>
      <c r="AN257" t="s">
        <v>21</v>
      </c>
      <c r="AO257">
        <v>1231</v>
      </c>
      <c r="AP257">
        <v>971</v>
      </c>
    </row>
    <row r="258" spans="1:42">
      <c r="A258" s="154"/>
      <c r="B258" s="35" t="s">
        <v>2206</v>
      </c>
      <c r="C258" s="44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44"/>
      <c r="Q258" s="35"/>
      <c r="R258" s="35"/>
      <c r="S258" s="35"/>
      <c r="T258" s="35"/>
      <c r="U258" s="35"/>
      <c r="V258" s="35"/>
      <c r="W258" s="35"/>
      <c r="X258" s="35"/>
      <c r="Y258" s="46"/>
      <c r="Z258">
        <v>4</v>
      </c>
      <c r="AA258" t="s">
        <v>26</v>
      </c>
      <c r="AB258" t="s">
        <v>19</v>
      </c>
      <c r="AC258" t="s">
        <v>19</v>
      </c>
      <c r="AD258" t="s">
        <v>19</v>
      </c>
      <c r="AE258" t="s">
        <v>19</v>
      </c>
      <c r="AF258" t="s">
        <v>19</v>
      </c>
      <c r="AG258" t="s">
        <v>19</v>
      </c>
      <c r="AH258" t="s">
        <v>36</v>
      </c>
      <c r="AI258" t="s">
        <v>19</v>
      </c>
      <c r="AJ258" t="s">
        <v>19</v>
      </c>
      <c r="AK258" t="s">
        <v>19</v>
      </c>
      <c r="AL258" t="s">
        <v>19</v>
      </c>
      <c r="AM258" t="s">
        <v>19</v>
      </c>
      <c r="AN258" t="s">
        <v>28</v>
      </c>
      <c r="AO258" t="s">
        <v>678</v>
      </c>
      <c r="AP258" t="s">
        <v>681</v>
      </c>
    </row>
    <row r="259" spans="1:42">
      <c r="A259" s="154"/>
      <c r="B259" s="35" t="s">
        <v>2206</v>
      </c>
      <c r="C259" s="44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44"/>
      <c r="Q259" s="35"/>
      <c r="R259" s="35"/>
      <c r="S259" s="35"/>
      <c r="T259" s="35"/>
      <c r="U259" s="35"/>
      <c r="V259" s="35"/>
      <c r="W259" s="35"/>
      <c r="X259" s="35"/>
      <c r="Y259" s="46"/>
      <c r="Z259">
        <v>4</v>
      </c>
      <c r="AA259" t="s">
        <v>26</v>
      </c>
      <c r="AB259" t="s">
        <v>19</v>
      </c>
      <c r="AC259" t="s">
        <v>19</v>
      </c>
      <c r="AD259" t="s">
        <v>19</v>
      </c>
      <c r="AE259" t="s">
        <v>19</v>
      </c>
      <c r="AF259" t="s">
        <v>19</v>
      </c>
      <c r="AG259" t="s">
        <v>19</v>
      </c>
      <c r="AH259" t="s">
        <v>38</v>
      </c>
      <c r="AI259" t="s">
        <v>19</v>
      </c>
      <c r="AJ259" t="s">
        <v>19</v>
      </c>
      <c r="AK259" t="s">
        <v>19</v>
      </c>
      <c r="AL259" t="s">
        <v>19</v>
      </c>
      <c r="AM259" t="s">
        <v>19</v>
      </c>
      <c r="AN259" t="s">
        <v>28</v>
      </c>
      <c r="AO259" t="s">
        <v>678</v>
      </c>
      <c r="AP259" t="s">
        <v>681</v>
      </c>
    </row>
    <row r="260" spans="1:42">
      <c r="A260" s="154"/>
      <c r="B260" s="35" t="s">
        <v>2206</v>
      </c>
      <c r="C260" s="44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44"/>
      <c r="Q260" s="35"/>
      <c r="R260" s="35"/>
      <c r="S260" s="35"/>
      <c r="T260" s="35"/>
      <c r="U260" s="35"/>
      <c r="V260" s="35"/>
      <c r="W260" s="35"/>
      <c r="X260" s="35"/>
      <c r="Y260" s="46"/>
      <c r="Z260">
        <v>4</v>
      </c>
      <c r="AA260" t="s">
        <v>26</v>
      </c>
      <c r="AB260" t="s">
        <v>19</v>
      </c>
      <c r="AC260" t="s">
        <v>19</v>
      </c>
      <c r="AD260" t="s">
        <v>19</v>
      </c>
      <c r="AE260" t="s">
        <v>19</v>
      </c>
      <c r="AF260" t="s">
        <v>19</v>
      </c>
      <c r="AG260" t="s">
        <v>19</v>
      </c>
      <c r="AH260" t="s">
        <v>684</v>
      </c>
      <c r="AI260" t="s">
        <v>19</v>
      </c>
      <c r="AJ260" t="s">
        <v>19</v>
      </c>
      <c r="AK260" t="s">
        <v>19</v>
      </c>
      <c r="AL260" t="s">
        <v>19</v>
      </c>
      <c r="AM260" t="s">
        <v>19</v>
      </c>
      <c r="AN260" t="s">
        <v>28</v>
      </c>
      <c r="AO260" t="s">
        <v>678</v>
      </c>
      <c r="AP260" t="s">
        <v>681</v>
      </c>
    </row>
    <row r="261" spans="1:42">
      <c r="A261" s="154"/>
      <c r="B261" s="35" t="s">
        <v>2206</v>
      </c>
      <c r="C261" s="44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44"/>
      <c r="Q261" s="35"/>
      <c r="R261" s="35"/>
      <c r="S261" s="35"/>
      <c r="T261" s="35"/>
      <c r="U261" s="35"/>
      <c r="V261" s="35"/>
      <c r="W261" s="35"/>
      <c r="X261" s="35"/>
      <c r="Y261" s="46"/>
      <c r="Z261">
        <v>4</v>
      </c>
      <c r="AA261" t="s">
        <v>26</v>
      </c>
      <c r="AB261" t="s">
        <v>19</v>
      </c>
      <c r="AC261" t="s">
        <v>19</v>
      </c>
      <c r="AD261" t="s">
        <v>19</v>
      </c>
      <c r="AE261" t="s">
        <v>19</v>
      </c>
      <c r="AF261" t="s">
        <v>19</v>
      </c>
      <c r="AG261" t="s">
        <v>19</v>
      </c>
      <c r="AH261" t="s">
        <v>43</v>
      </c>
      <c r="AI261" t="s">
        <v>19</v>
      </c>
      <c r="AJ261" t="s">
        <v>19</v>
      </c>
      <c r="AK261" t="s">
        <v>19</v>
      </c>
      <c r="AL261" t="s">
        <v>19</v>
      </c>
      <c r="AM261" t="s">
        <v>19</v>
      </c>
      <c r="AN261" t="s">
        <v>28</v>
      </c>
      <c r="AO261" t="s">
        <v>678</v>
      </c>
      <c r="AP261" t="s">
        <v>681</v>
      </c>
    </row>
    <row r="262" spans="1:42">
      <c r="A262" s="154"/>
      <c r="B262" s="35" t="s">
        <v>2206</v>
      </c>
      <c r="C262" s="44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44"/>
      <c r="Q262" s="35"/>
      <c r="R262" s="35"/>
      <c r="S262" s="35"/>
      <c r="T262" s="35"/>
      <c r="U262" s="35"/>
      <c r="V262" s="35"/>
      <c r="W262" s="35"/>
      <c r="X262" s="35"/>
      <c r="Y262" s="46"/>
      <c r="Z262">
        <v>4</v>
      </c>
      <c r="AA262" t="s">
        <v>26</v>
      </c>
      <c r="AB262" t="s">
        <v>19</v>
      </c>
      <c r="AC262" t="s">
        <v>19</v>
      </c>
      <c r="AD262" t="s">
        <v>19</v>
      </c>
      <c r="AE262" t="s">
        <v>19</v>
      </c>
      <c r="AF262" t="s">
        <v>19</v>
      </c>
      <c r="AG262" t="s">
        <v>19</v>
      </c>
      <c r="AH262" t="s">
        <v>46</v>
      </c>
      <c r="AI262" t="s">
        <v>19</v>
      </c>
      <c r="AJ262" t="s">
        <v>19</v>
      </c>
      <c r="AK262" t="s">
        <v>19</v>
      </c>
      <c r="AL262" t="s">
        <v>19</v>
      </c>
      <c r="AM262" t="s">
        <v>19</v>
      </c>
      <c r="AN262" t="s">
        <v>28</v>
      </c>
      <c r="AO262">
        <v>6</v>
      </c>
      <c r="AP262">
        <v>4</v>
      </c>
    </row>
    <row r="263" spans="1:42">
      <c r="A263" s="154"/>
      <c r="B263" s="35" t="s">
        <v>2206</v>
      </c>
      <c r="C263" s="44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44"/>
      <c r="Q263" s="35"/>
      <c r="R263" s="35"/>
      <c r="S263" s="35"/>
      <c r="T263" s="35"/>
      <c r="U263" s="35"/>
      <c r="V263" s="35"/>
      <c r="W263" s="35"/>
      <c r="X263" s="35"/>
      <c r="Y263" s="46"/>
      <c r="Z263">
        <v>4</v>
      </c>
      <c r="AA263" t="s">
        <v>26</v>
      </c>
      <c r="AB263" t="s">
        <v>19</v>
      </c>
      <c r="AC263" t="s">
        <v>19</v>
      </c>
      <c r="AD263" t="s">
        <v>19</v>
      </c>
      <c r="AE263" t="s">
        <v>19</v>
      </c>
      <c r="AF263" t="s">
        <v>19</v>
      </c>
      <c r="AG263" t="s">
        <v>19</v>
      </c>
      <c r="AH263" t="s">
        <v>47</v>
      </c>
      <c r="AI263" t="s">
        <v>19</v>
      </c>
      <c r="AJ263" t="s">
        <v>19</v>
      </c>
      <c r="AK263" t="s">
        <v>19</v>
      </c>
      <c r="AL263" t="s">
        <v>19</v>
      </c>
      <c r="AM263" t="s">
        <v>19</v>
      </c>
      <c r="AN263" t="s">
        <v>28</v>
      </c>
      <c r="AO263">
        <v>2</v>
      </c>
      <c r="AP263">
        <v>2</v>
      </c>
    </row>
    <row r="264" spans="1:42">
      <c r="A264" s="154"/>
      <c r="B264" s="35" t="s">
        <v>2206</v>
      </c>
      <c r="C264" s="44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44"/>
      <c r="Q264" s="35"/>
      <c r="R264" s="35"/>
      <c r="S264" s="35"/>
      <c r="T264" s="35"/>
      <c r="U264" s="35"/>
      <c r="V264" s="35"/>
      <c r="W264" s="35"/>
      <c r="X264" s="35"/>
      <c r="Y264" s="46"/>
      <c r="Z264">
        <v>4</v>
      </c>
      <c r="AA264" t="s">
        <v>26</v>
      </c>
      <c r="AB264" t="s">
        <v>19</v>
      </c>
      <c r="AC264" t="s">
        <v>2342</v>
      </c>
      <c r="AD264" t="s">
        <v>19</v>
      </c>
      <c r="AE264" t="s">
        <v>19</v>
      </c>
      <c r="AF264" t="s">
        <v>19</v>
      </c>
      <c r="AG264" t="s">
        <v>19</v>
      </c>
      <c r="AH264" t="s">
        <v>50</v>
      </c>
      <c r="AI264" t="s">
        <v>19</v>
      </c>
      <c r="AJ264" t="s">
        <v>19</v>
      </c>
      <c r="AK264" t="s">
        <v>19</v>
      </c>
      <c r="AL264" t="s">
        <v>19</v>
      </c>
      <c r="AM264" t="s">
        <v>19</v>
      </c>
      <c r="AN264" t="s">
        <v>28</v>
      </c>
      <c r="AO264">
        <v>8</v>
      </c>
      <c r="AP264">
        <v>8</v>
      </c>
    </row>
    <row r="265" spans="1:42">
      <c r="A265" s="154"/>
      <c r="B265" s="35" t="s">
        <v>2206</v>
      </c>
      <c r="C265" s="44"/>
      <c r="D265" s="35" t="s">
        <v>2180</v>
      </c>
      <c r="E265" s="35"/>
      <c r="F265" s="35"/>
      <c r="G265" s="35"/>
      <c r="H265" s="35"/>
      <c r="I265" s="35"/>
      <c r="J265" s="35"/>
      <c r="K265" s="35"/>
      <c r="L265" s="35"/>
      <c r="M265" s="158">
        <v>920002481</v>
      </c>
      <c r="N265" s="35"/>
      <c r="O265" s="35"/>
      <c r="P265" s="44"/>
      <c r="Q265" s="35"/>
      <c r="R265" s="35"/>
      <c r="S265" s="35"/>
      <c r="T265" s="35"/>
      <c r="U265" s="35"/>
      <c r="V265" s="35"/>
      <c r="W265" s="35"/>
      <c r="X265" s="35"/>
      <c r="Y265" s="46" t="s">
        <v>2182</v>
      </c>
      <c r="Z265">
        <v>3</v>
      </c>
      <c r="AA265" t="s">
        <v>584</v>
      </c>
      <c r="AB265" t="s">
        <v>685</v>
      </c>
      <c r="AC265" t="s">
        <v>19</v>
      </c>
      <c r="AD265" t="s">
        <v>686</v>
      </c>
      <c r="AE265" t="s">
        <v>687</v>
      </c>
      <c r="AF265" t="s">
        <v>688</v>
      </c>
      <c r="AG265" t="s">
        <v>689</v>
      </c>
      <c r="AH265" t="s">
        <v>590</v>
      </c>
      <c r="AI265" t="s">
        <v>591</v>
      </c>
      <c r="AJ265" t="s">
        <v>19</v>
      </c>
      <c r="AK265" t="s">
        <v>79</v>
      </c>
      <c r="AL265" t="s">
        <v>690</v>
      </c>
      <c r="AM265" t="s">
        <v>691</v>
      </c>
      <c r="AN265" t="s">
        <v>28</v>
      </c>
      <c r="AO265" t="s">
        <v>678</v>
      </c>
      <c r="AP265" t="s">
        <v>19</v>
      </c>
    </row>
    <row r="266" spans="1:42">
      <c r="A266" s="196"/>
      <c r="B266" s="197" t="s">
        <v>2206</v>
      </c>
      <c r="C266" s="197"/>
      <c r="D266" s="197" t="s">
        <v>2180</v>
      </c>
      <c r="E266" s="197"/>
      <c r="F266" s="197"/>
      <c r="G266" s="197"/>
      <c r="H266" s="197"/>
      <c r="I266" s="197"/>
      <c r="J266" s="197"/>
      <c r="K266" s="197"/>
      <c r="L266" s="197"/>
      <c r="M266" s="198">
        <v>920002482</v>
      </c>
      <c r="N266" s="197"/>
      <c r="O266" s="197"/>
      <c r="P266" s="197"/>
      <c r="Q266" s="197"/>
      <c r="R266" s="197"/>
      <c r="S266" s="197"/>
      <c r="T266" s="197"/>
      <c r="U266" s="197"/>
      <c r="V266" s="197"/>
      <c r="W266" s="197"/>
      <c r="X266" s="197"/>
      <c r="Y266" s="199" t="s">
        <v>2182</v>
      </c>
      <c r="Z266" s="196">
        <v>3</v>
      </c>
      <c r="AA266" s="196" t="s">
        <v>2394</v>
      </c>
      <c r="AB266" s="196" t="s">
        <v>685</v>
      </c>
      <c r="AC266" s="196" t="s">
        <v>19</v>
      </c>
      <c r="AD266" s="196" t="s">
        <v>686</v>
      </c>
      <c r="AE266" s="196" t="s">
        <v>687</v>
      </c>
      <c r="AF266" s="196" t="s">
        <v>688</v>
      </c>
      <c r="AG266" s="196" t="s">
        <v>689</v>
      </c>
      <c r="AH266" s="196"/>
      <c r="AI266" s="196" t="s">
        <v>591</v>
      </c>
      <c r="AJ266" s="196" t="s">
        <v>19</v>
      </c>
      <c r="AK266" s="196" t="s">
        <v>79</v>
      </c>
      <c r="AL266" s="196" t="s">
        <v>690</v>
      </c>
      <c r="AM266" s="196" t="s">
        <v>691</v>
      </c>
      <c r="AN266" s="196" t="s">
        <v>28</v>
      </c>
      <c r="AO266" s="196">
        <v>0</v>
      </c>
      <c r="AP266" s="196" t="s">
        <v>19</v>
      </c>
    </row>
    <row r="267" spans="1:42">
      <c r="A267" s="154"/>
      <c r="B267" s="35" t="s">
        <v>2206</v>
      </c>
      <c r="C267" s="44"/>
      <c r="D267" s="35" t="s">
        <v>2180</v>
      </c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44"/>
      <c r="Q267" s="35"/>
      <c r="R267" s="35"/>
      <c r="S267" s="35"/>
      <c r="T267" s="35"/>
      <c r="U267" s="35"/>
      <c r="V267" s="35"/>
      <c r="W267" s="35"/>
      <c r="X267" s="35"/>
      <c r="Y267" s="46" t="s">
        <v>2182</v>
      </c>
      <c r="Z267">
        <v>3</v>
      </c>
      <c r="AA267" t="s">
        <v>692</v>
      </c>
      <c r="AB267" t="s">
        <v>693</v>
      </c>
      <c r="AC267" t="s">
        <v>19</v>
      </c>
      <c r="AD267" t="s">
        <v>694</v>
      </c>
      <c r="AE267" t="s">
        <v>694</v>
      </c>
      <c r="AF267" t="s">
        <v>695</v>
      </c>
      <c r="AG267" t="s">
        <v>696</v>
      </c>
      <c r="AH267" t="s">
        <v>697</v>
      </c>
      <c r="AI267" t="s">
        <v>698</v>
      </c>
      <c r="AJ267" t="s">
        <v>19</v>
      </c>
      <c r="AK267" t="s">
        <v>79</v>
      </c>
      <c r="AL267" t="s">
        <v>699</v>
      </c>
      <c r="AM267" t="s">
        <v>700</v>
      </c>
      <c r="AN267" t="s">
        <v>28</v>
      </c>
      <c r="AO267" t="s">
        <v>678</v>
      </c>
      <c r="AP267" t="s">
        <v>681</v>
      </c>
    </row>
    <row r="268" spans="1:42">
      <c r="A268" s="154"/>
      <c r="B268" s="35" t="s">
        <v>2206</v>
      </c>
      <c r="C268" s="44"/>
      <c r="D268" s="35" t="s">
        <v>2227</v>
      </c>
      <c r="E268" s="35"/>
      <c r="F268" s="35"/>
      <c r="G268" s="35"/>
      <c r="H268" s="35"/>
      <c r="I268" s="35"/>
      <c r="J268" s="35" t="s">
        <v>2245</v>
      </c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46" t="s">
        <v>2182</v>
      </c>
      <c r="Z268">
        <v>3</v>
      </c>
      <c r="AA268" t="s">
        <v>184</v>
      </c>
      <c r="AB268" t="s">
        <v>701</v>
      </c>
      <c r="AC268" t="s">
        <v>19</v>
      </c>
      <c r="AD268" t="s">
        <v>19</v>
      </c>
      <c r="AE268" t="s">
        <v>702</v>
      </c>
      <c r="AF268" t="s">
        <v>701</v>
      </c>
      <c r="AG268" t="s">
        <v>211</v>
      </c>
      <c r="AH268" t="s">
        <v>187</v>
      </c>
      <c r="AI268" t="s">
        <v>19</v>
      </c>
      <c r="AJ268" t="s">
        <v>200</v>
      </c>
      <c r="AK268" t="s">
        <v>188</v>
      </c>
      <c r="AL268" t="s">
        <v>19</v>
      </c>
      <c r="AM268" t="s">
        <v>19</v>
      </c>
      <c r="AN268" t="s">
        <v>28</v>
      </c>
      <c r="AO268" t="s">
        <v>678</v>
      </c>
      <c r="AP268" t="s">
        <v>681</v>
      </c>
    </row>
    <row r="269" spans="1:42">
      <c r="A269" s="154"/>
      <c r="B269" s="35" t="s">
        <v>2206</v>
      </c>
      <c r="C269" s="44"/>
      <c r="D269" s="35" t="s">
        <v>2180</v>
      </c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44"/>
      <c r="Q269" s="35"/>
      <c r="R269" s="35"/>
      <c r="S269" s="35"/>
      <c r="T269" s="35"/>
      <c r="U269" s="35"/>
      <c r="V269" s="35"/>
      <c r="W269" s="35"/>
      <c r="X269" s="35"/>
      <c r="Y269" s="46" t="s">
        <v>2182</v>
      </c>
      <c r="Z269">
        <v>3</v>
      </c>
      <c r="AA269" t="s">
        <v>256</v>
      </c>
      <c r="AB269" t="s">
        <v>703</v>
      </c>
      <c r="AC269" t="s">
        <v>19</v>
      </c>
      <c r="AD269" t="s">
        <v>249</v>
      </c>
      <c r="AE269" t="s">
        <v>250</v>
      </c>
      <c r="AF269" t="s">
        <v>704</v>
      </c>
      <c r="AG269" t="s">
        <v>705</v>
      </c>
      <c r="AH269" t="s">
        <v>260</v>
      </c>
      <c r="AI269" t="s">
        <v>261</v>
      </c>
      <c r="AJ269" t="s">
        <v>19</v>
      </c>
      <c r="AK269" t="s">
        <v>79</v>
      </c>
      <c r="AL269" t="s">
        <v>254</v>
      </c>
      <c r="AM269" t="s">
        <v>255</v>
      </c>
      <c r="AN269" t="s">
        <v>28</v>
      </c>
      <c r="AO269" t="s">
        <v>678</v>
      </c>
      <c r="AP269" t="s">
        <v>681</v>
      </c>
    </row>
    <row r="270" spans="1:42">
      <c r="A270" s="154"/>
      <c r="B270" s="35" t="s">
        <v>2206</v>
      </c>
      <c r="C270" s="44"/>
      <c r="D270" s="35" t="s">
        <v>2180</v>
      </c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44"/>
      <c r="Q270" s="35"/>
      <c r="R270" s="35"/>
      <c r="S270" s="35"/>
      <c r="T270" s="35"/>
      <c r="U270" s="35"/>
      <c r="V270" s="35"/>
      <c r="W270" s="35"/>
      <c r="X270" s="35"/>
      <c r="Y270" s="46" t="s">
        <v>2182</v>
      </c>
      <c r="Z270">
        <v>3</v>
      </c>
      <c r="AA270" t="s">
        <v>706</v>
      </c>
      <c r="AB270" t="s">
        <v>707</v>
      </c>
      <c r="AC270" t="s">
        <v>19</v>
      </c>
      <c r="AD270" t="s">
        <v>19</v>
      </c>
      <c r="AE270" t="s">
        <v>19</v>
      </c>
      <c r="AF270" t="s">
        <v>707</v>
      </c>
      <c r="AG270" t="s">
        <v>708</v>
      </c>
      <c r="AH270" t="s">
        <v>709</v>
      </c>
      <c r="AI270" t="s">
        <v>19</v>
      </c>
      <c r="AJ270" t="s">
        <v>19</v>
      </c>
      <c r="AK270" t="s">
        <v>19</v>
      </c>
      <c r="AL270" t="s">
        <v>19</v>
      </c>
      <c r="AM270" t="s">
        <v>19</v>
      </c>
      <c r="AN270" t="s">
        <v>28</v>
      </c>
      <c r="AO270" t="s">
        <v>678</v>
      </c>
      <c r="AP270" t="s">
        <v>681</v>
      </c>
    </row>
    <row r="271" spans="1:42">
      <c r="A271" s="154"/>
      <c r="B271" s="39" t="s">
        <v>2208</v>
      </c>
      <c r="C271" s="44"/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44"/>
      <c r="Q271" s="35"/>
      <c r="R271" s="35"/>
      <c r="S271" s="35"/>
      <c r="T271" s="35"/>
      <c r="U271" s="35"/>
      <c r="V271" s="35"/>
      <c r="W271" s="35"/>
      <c r="X271" s="35"/>
      <c r="Y271" s="46"/>
      <c r="Z271">
        <v>1</v>
      </c>
      <c r="AA271" t="s">
        <v>710</v>
      </c>
    </row>
    <row r="272" spans="1:42">
      <c r="A272" s="154">
        <v>503</v>
      </c>
      <c r="B272" s="39" t="s">
        <v>2208</v>
      </c>
      <c r="C272" s="44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>
        <v>2</v>
      </c>
      <c r="AA272" t="s">
        <v>1</v>
      </c>
      <c r="AB272" t="s">
        <v>711</v>
      </c>
      <c r="AC272" t="s">
        <v>712</v>
      </c>
      <c r="AD272" s="153" t="s">
        <v>2359</v>
      </c>
    </row>
    <row r="273" spans="1:43">
      <c r="A273" s="154"/>
      <c r="B273" s="39" t="s">
        <v>2208</v>
      </c>
      <c r="C273" s="44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51"/>
      <c r="Z273">
        <v>0</v>
      </c>
      <c r="AA273" t="s">
        <v>5</v>
      </c>
      <c r="AB273" t="s">
        <v>6</v>
      </c>
      <c r="AC273" t="s">
        <v>7</v>
      </c>
      <c r="AD273" t="s">
        <v>8</v>
      </c>
      <c r="AE273" t="s">
        <v>8</v>
      </c>
      <c r="AF273" t="s">
        <v>9</v>
      </c>
      <c r="AG273" t="s">
        <v>10</v>
      </c>
      <c r="AH273" t="s">
        <v>11</v>
      </c>
      <c r="AI273" t="s">
        <v>12</v>
      </c>
      <c r="AJ273" t="s">
        <v>13</v>
      </c>
      <c r="AK273" t="s">
        <v>14</v>
      </c>
      <c r="AL273" t="s">
        <v>15</v>
      </c>
      <c r="AM273" t="s">
        <v>16</v>
      </c>
      <c r="AN273" t="s">
        <v>17</v>
      </c>
      <c r="AO273" t="s">
        <v>1</v>
      </c>
    </row>
    <row r="274" spans="1:43">
      <c r="A274" s="154"/>
      <c r="B274" s="39" t="s">
        <v>2208</v>
      </c>
      <c r="C274" s="44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51"/>
      <c r="Z274">
        <v>4</v>
      </c>
      <c r="AA274" t="s">
        <v>22</v>
      </c>
      <c r="AB274" t="s">
        <v>19</v>
      </c>
      <c r="AC274" t="s">
        <v>19</v>
      </c>
      <c r="AD274" t="s">
        <v>19</v>
      </c>
      <c r="AE274" t="s">
        <v>19</v>
      </c>
      <c r="AF274" t="s">
        <v>19</v>
      </c>
      <c r="AG274" t="s">
        <v>19</v>
      </c>
      <c r="AH274" t="s">
        <v>24</v>
      </c>
      <c r="AI274" t="s">
        <v>19</v>
      </c>
      <c r="AJ274" t="s">
        <v>19</v>
      </c>
      <c r="AK274" t="s">
        <v>19</v>
      </c>
      <c r="AL274" t="s">
        <v>19</v>
      </c>
      <c r="AM274" t="s">
        <v>19</v>
      </c>
      <c r="AN274" t="s">
        <v>21</v>
      </c>
      <c r="AO274">
        <v>364</v>
      </c>
    </row>
    <row r="275" spans="1:43">
      <c r="A275" s="154">
        <v>503</v>
      </c>
      <c r="B275" s="39" t="s">
        <v>2208</v>
      </c>
      <c r="C275" s="44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51"/>
      <c r="Z275">
        <v>4</v>
      </c>
      <c r="AA275" t="s">
        <v>26</v>
      </c>
      <c r="AB275" t="s">
        <v>19</v>
      </c>
      <c r="AC275" t="s">
        <v>19</v>
      </c>
      <c r="AD275" t="s">
        <v>19</v>
      </c>
      <c r="AE275" t="s">
        <v>19</v>
      </c>
      <c r="AF275" t="s">
        <v>19</v>
      </c>
      <c r="AG275" t="s">
        <v>19</v>
      </c>
      <c r="AH275" t="s">
        <v>38</v>
      </c>
      <c r="AI275" t="s">
        <v>19</v>
      </c>
      <c r="AJ275" t="s">
        <v>19</v>
      </c>
      <c r="AK275" t="s">
        <v>19</v>
      </c>
      <c r="AL275" t="s">
        <v>19</v>
      </c>
      <c r="AM275" t="s">
        <v>19</v>
      </c>
      <c r="AN275" t="s">
        <v>28</v>
      </c>
      <c r="AO275" s="153">
        <v>1</v>
      </c>
    </row>
    <row r="276" spans="1:43" s="154" customFormat="1">
      <c r="A276" s="154">
        <v>503</v>
      </c>
      <c r="B276" s="156" t="s">
        <v>2208</v>
      </c>
      <c r="C276" s="156"/>
      <c r="D276" s="156"/>
      <c r="E276" s="156"/>
      <c r="F276" s="156"/>
      <c r="G276" s="156"/>
      <c r="H276" s="156"/>
      <c r="I276" s="156"/>
      <c r="J276" s="156"/>
      <c r="K276" s="156"/>
      <c r="L276" s="156"/>
      <c r="M276" s="156"/>
      <c r="N276" s="156"/>
      <c r="O276" s="156"/>
      <c r="P276" s="156"/>
      <c r="Q276" s="156"/>
      <c r="R276" s="156"/>
      <c r="S276" s="156"/>
      <c r="T276" s="156"/>
      <c r="U276" s="156"/>
      <c r="V276" s="156"/>
      <c r="W276" s="156"/>
      <c r="X276" s="156"/>
      <c r="Y276" s="191"/>
      <c r="Z276" s="154">
        <v>4</v>
      </c>
      <c r="AA276" s="153" t="s">
        <v>26</v>
      </c>
      <c r="AB276" s="153" t="s">
        <v>19</v>
      </c>
      <c r="AC276" s="153" t="s">
        <v>19</v>
      </c>
      <c r="AD276" s="153" t="s">
        <v>19</v>
      </c>
      <c r="AE276" s="153" t="s">
        <v>19</v>
      </c>
      <c r="AF276" s="153" t="s">
        <v>19</v>
      </c>
      <c r="AG276" s="153" t="s">
        <v>19</v>
      </c>
      <c r="AH276" s="153" t="s">
        <v>684</v>
      </c>
      <c r="AI276" s="153" t="s">
        <v>19</v>
      </c>
      <c r="AJ276" s="153" t="s">
        <v>19</v>
      </c>
      <c r="AK276" s="153" t="s">
        <v>19</v>
      </c>
      <c r="AL276" s="153" t="s">
        <v>19</v>
      </c>
      <c r="AM276" s="153" t="s">
        <v>19</v>
      </c>
      <c r="AN276" s="153" t="s">
        <v>28</v>
      </c>
      <c r="AO276" s="153">
        <v>1</v>
      </c>
    </row>
    <row r="277" spans="1:43">
      <c r="A277" s="154"/>
      <c r="B277" s="39" t="s">
        <v>2208</v>
      </c>
      <c r="C277" s="44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51"/>
      <c r="Z277">
        <v>4</v>
      </c>
      <c r="AA277" t="s">
        <v>26</v>
      </c>
      <c r="AB277" t="s">
        <v>19</v>
      </c>
      <c r="AC277" t="s">
        <v>19</v>
      </c>
      <c r="AD277" t="s">
        <v>19</v>
      </c>
      <c r="AE277" t="s">
        <v>19</v>
      </c>
      <c r="AF277" t="s">
        <v>19</v>
      </c>
      <c r="AG277" t="s">
        <v>19</v>
      </c>
      <c r="AH277" t="s">
        <v>43</v>
      </c>
      <c r="AI277" t="s">
        <v>19</v>
      </c>
      <c r="AJ277" t="s">
        <v>19</v>
      </c>
      <c r="AK277" t="s">
        <v>19</v>
      </c>
      <c r="AL277" t="s">
        <v>19</v>
      </c>
      <c r="AM277" t="s">
        <v>19</v>
      </c>
      <c r="AN277" t="s">
        <v>28</v>
      </c>
      <c r="AO277" t="s">
        <v>711</v>
      </c>
    </row>
    <row r="278" spans="1:43">
      <c r="A278" s="154"/>
      <c r="B278" s="39" t="s">
        <v>2208</v>
      </c>
      <c r="C278" s="44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51"/>
      <c r="Z278">
        <v>4</v>
      </c>
      <c r="AA278" t="s">
        <v>26</v>
      </c>
      <c r="AB278" t="s">
        <v>19</v>
      </c>
      <c r="AC278" t="s">
        <v>19</v>
      </c>
      <c r="AD278" t="s">
        <v>19</v>
      </c>
      <c r="AE278" t="s">
        <v>19</v>
      </c>
      <c r="AF278" t="s">
        <v>19</v>
      </c>
      <c r="AG278" t="s">
        <v>19</v>
      </c>
      <c r="AH278" t="s">
        <v>47</v>
      </c>
      <c r="AI278" t="s">
        <v>19</v>
      </c>
      <c r="AJ278" t="s">
        <v>19</v>
      </c>
      <c r="AK278" t="s">
        <v>19</v>
      </c>
      <c r="AL278" t="s">
        <v>19</v>
      </c>
      <c r="AM278" t="s">
        <v>19</v>
      </c>
      <c r="AN278" t="s">
        <v>28</v>
      </c>
      <c r="AO278">
        <v>3</v>
      </c>
      <c r="AQ278" s="160"/>
    </row>
    <row r="279" spans="1:43">
      <c r="A279" s="154"/>
      <c r="B279" s="39" t="s">
        <v>2208</v>
      </c>
      <c r="C279" s="44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51"/>
      <c r="Z279">
        <v>4</v>
      </c>
      <c r="AA279" t="s">
        <v>26</v>
      </c>
      <c r="AB279" t="s">
        <v>19</v>
      </c>
      <c r="AC279" t="s">
        <v>19</v>
      </c>
      <c r="AD279" t="s">
        <v>19</v>
      </c>
      <c r="AE279" t="s">
        <v>19</v>
      </c>
      <c r="AF279" t="s">
        <v>19</v>
      </c>
      <c r="AG279" t="s">
        <v>19</v>
      </c>
      <c r="AH279" t="s">
        <v>50</v>
      </c>
      <c r="AI279" t="s">
        <v>19</v>
      </c>
      <c r="AJ279" t="s">
        <v>19</v>
      </c>
      <c r="AK279" t="s">
        <v>19</v>
      </c>
      <c r="AL279" t="s">
        <v>19</v>
      </c>
      <c r="AM279" t="s">
        <v>19</v>
      </c>
      <c r="AN279" t="s">
        <v>28</v>
      </c>
      <c r="AO279">
        <v>8</v>
      </c>
    </row>
    <row r="280" spans="1:43">
      <c r="A280" s="154"/>
      <c r="B280" s="39" t="s">
        <v>2208</v>
      </c>
      <c r="C280" s="44"/>
      <c r="D280" s="39" t="s">
        <v>2180</v>
      </c>
      <c r="E280" s="39" t="s">
        <v>2224</v>
      </c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51" t="s">
        <v>2182</v>
      </c>
      <c r="Z280">
        <v>3</v>
      </c>
      <c r="AA280" t="s">
        <v>714</v>
      </c>
      <c r="AB280" t="s">
        <v>715</v>
      </c>
      <c r="AC280" t="s">
        <v>19</v>
      </c>
      <c r="AD280" t="s">
        <v>716</v>
      </c>
      <c r="AE280" t="s">
        <v>717</v>
      </c>
      <c r="AF280" t="s">
        <v>718</v>
      </c>
      <c r="AG280" t="s">
        <v>719</v>
      </c>
      <c r="AH280" t="s">
        <v>720</v>
      </c>
      <c r="AI280" t="s">
        <v>698</v>
      </c>
      <c r="AJ280" t="s">
        <v>19</v>
      </c>
      <c r="AK280" t="s">
        <v>668</v>
      </c>
      <c r="AL280" t="s">
        <v>721</v>
      </c>
      <c r="AM280" t="s">
        <v>722</v>
      </c>
      <c r="AN280" t="s">
        <v>28</v>
      </c>
      <c r="AO280" t="s">
        <v>711</v>
      </c>
    </row>
    <row r="281" spans="1:43">
      <c r="A281" s="154"/>
      <c r="B281" s="39" t="s">
        <v>2208</v>
      </c>
      <c r="C281" s="44"/>
      <c r="D281" s="35" t="s">
        <v>2180</v>
      </c>
      <c r="E281" s="35"/>
      <c r="F281" s="35"/>
      <c r="G281" s="35"/>
      <c r="H281" s="35"/>
      <c r="I281" s="35"/>
      <c r="J281" s="35" t="s">
        <v>2246</v>
      </c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46" t="s">
        <v>2182</v>
      </c>
      <c r="Z281">
        <v>3</v>
      </c>
      <c r="AA281" t="s">
        <v>184</v>
      </c>
      <c r="AB281" t="s">
        <v>723</v>
      </c>
      <c r="AC281" t="s">
        <v>19</v>
      </c>
      <c r="AD281" t="s">
        <v>19</v>
      </c>
      <c r="AE281" t="s">
        <v>724</v>
      </c>
      <c r="AF281" t="s">
        <v>723</v>
      </c>
      <c r="AG281" t="s">
        <v>211</v>
      </c>
      <c r="AH281" t="s">
        <v>187</v>
      </c>
      <c r="AI281" t="s">
        <v>19</v>
      </c>
      <c r="AJ281" t="s">
        <v>200</v>
      </c>
      <c r="AK281" t="s">
        <v>188</v>
      </c>
      <c r="AL281" t="s">
        <v>19</v>
      </c>
      <c r="AM281" t="s">
        <v>19</v>
      </c>
      <c r="AN281" t="s">
        <v>28</v>
      </c>
      <c r="AO281" t="s">
        <v>711</v>
      </c>
    </row>
    <row r="282" spans="1:43">
      <c r="A282" s="154"/>
      <c r="B282" s="39" t="s">
        <v>2208</v>
      </c>
      <c r="C282" s="44"/>
      <c r="D282" s="39" t="s">
        <v>2180</v>
      </c>
      <c r="E282" s="39" t="s">
        <v>2224</v>
      </c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51" t="s">
        <v>2182</v>
      </c>
      <c r="Z282">
        <v>3</v>
      </c>
      <c r="AA282" t="s">
        <v>725</v>
      </c>
      <c r="AB282" t="s">
        <v>726</v>
      </c>
      <c r="AC282" t="s">
        <v>19</v>
      </c>
      <c r="AD282" t="s">
        <v>249</v>
      </c>
      <c r="AE282" t="s">
        <v>727</v>
      </c>
      <c r="AF282" t="s">
        <v>728</v>
      </c>
      <c r="AG282" t="s">
        <v>729</v>
      </c>
      <c r="AH282" t="s">
        <v>730</v>
      </c>
      <c r="AI282" t="s">
        <v>731</v>
      </c>
      <c r="AJ282" t="s">
        <v>19</v>
      </c>
      <c r="AK282" t="s">
        <v>732</v>
      </c>
      <c r="AL282" t="s">
        <v>733</v>
      </c>
      <c r="AM282" t="s">
        <v>734</v>
      </c>
      <c r="AN282" t="s">
        <v>28</v>
      </c>
      <c r="AO282" t="s">
        <v>711</v>
      </c>
    </row>
    <row r="283" spans="1:43">
      <c r="A283" s="154"/>
      <c r="B283" s="35" t="s">
        <v>2209</v>
      </c>
      <c r="C283" s="44"/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44"/>
      <c r="Q283" s="35"/>
      <c r="R283" s="35"/>
      <c r="S283" s="35"/>
      <c r="T283" s="35"/>
      <c r="U283" s="35"/>
      <c r="V283" s="35"/>
      <c r="W283" s="35"/>
      <c r="X283" s="35"/>
      <c r="Y283" s="46"/>
      <c r="Z283">
        <v>1</v>
      </c>
      <c r="AA283" t="s">
        <v>735</v>
      </c>
    </row>
    <row r="284" spans="1:43">
      <c r="A284" s="154"/>
      <c r="B284" s="35" t="s">
        <v>2209</v>
      </c>
      <c r="C284" s="44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44"/>
      <c r="Q284" s="35"/>
      <c r="R284" s="35"/>
      <c r="S284" s="35"/>
      <c r="T284" s="35"/>
      <c r="U284" s="35"/>
      <c r="V284" s="35"/>
      <c r="W284" s="35"/>
      <c r="X284" s="35"/>
      <c r="Y284" s="46"/>
      <c r="Z284">
        <v>2</v>
      </c>
      <c r="AA284" t="s">
        <v>1</v>
      </c>
      <c r="AB284" t="s">
        <v>736</v>
      </c>
      <c r="AC284" t="s">
        <v>737</v>
      </c>
      <c r="AD284" t="s">
        <v>543</v>
      </c>
      <c r="AE284" t="s">
        <v>4</v>
      </c>
    </row>
    <row r="285" spans="1:43">
      <c r="A285" s="154"/>
      <c r="B285" s="35" t="s">
        <v>2209</v>
      </c>
      <c r="C285" s="44"/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44"/>
      <c r="Q285" s="35"/>
      <c r="R285" s="35"/>
      <c r="S285" s="35"/>
      <c r="T285" s="35"/>
      <c r="U285" s="35"/>
      <c r="V285" s="35"/>
      <c r="W285" s="35"/>
      <c r="X285" s="35"/>
      <c r="Y285" s="46"/>
      <c r="Z285">
        <v>2</v>
      </c>
      <c r="AA285" t="s">
        <v>395</v>
      </c>
      <c r="AB285" t="s">
        <v>738</v>
      </c>
      <c r="AC285" t="s">
        <v>739</v>
      </c>
      <c r="AD285" t="s">
        <v>740</v>
      </c>
      <c r="AE285" t="s">
        <v>4</v>
      </c>
    </row>
    <row r="286" spans="1:43">
      <c r="A286" s="154"/>
      <c r="B286" s="35" t="s">
        <v>2209</v>
      </c>
      <c r="C286" s="44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44"/>
      <c r="Q286" s="35"/>
      <c r="R286" s="35"/>
      <c r="S286" s="35"/>
      <c r="T286" s="35"/>
      <c r="U286" s="35"/>
      <c r="V286" s="35"/>
      <c r="W286" s="35"/>
      <c r="X286" s="35"/>
      <c r="Y286" s="46"/>
      <c r="Z286">
        <v>2</v>
      </c>
      <c r="AA286" t="s">
        <v>399</v>
      </c>
      <c r="AB286" t="s">
        <v>741</v>
      </c>
      <c r="AC286" t="s">
        <v>742</v>
      </c>
      <c r="AD286" s="192" t="s">
        <v>2402</v>
      </c>
      <c r="AE286" t="s">
        <v>4</v>
      </c>
    </row>
    <row r="287" spans="1:43">
      <c r="A287" s="154"/>
      <c r="B287" s="35" t="s">
        <v>2209</v>
      </c>
      <c r="C287" s="44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44"/>
      <c r="Q287" s="35"/>
      <c r="R287" s="35"/>
      <c r="S287" s="35"/>
      <c r="T287" s="35"/>
      <c r="U287" s="35"/>
      <c r="V287" s="35"/>
      <c r="W287" s="35"/>
      <c r="X287" s="35"/>
      <c r="Y287" s="46"/>
      <c r="Z287">
        <v>2</v>
      </c>
      <c r="AA287" t="s">
        <v>743</v>
      </c>
      <c r="AB287" t="s">
        <v>744</v>
      </c>
      <c r="AC287" t="s">
        <v>745</v>
      </c>
      <c r="AD287" t="s">
        <v>740</v>
      </c>
      <c r="AE287" t="s">
        <v>4</v>
      </c>
    </row>
    <row r="288" spans="1:43">
      <c r="A288" s="154"/>
      <c r="B288" s="35" t="s">
        <v>2209</v>
      </c>
      <c r="C288" s="44"/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44"/>
      <c r="Q288" s="35"/>
      <c r="R288" s="35"/>
      <c r="S288" s="35"/>
      <c r="T288" s="35"/>
      <c r="U288" s="35"/>
      <c r="V288" s="35"/>
      <c r="W288" s="35"/>
      <c r="X288" s="35"/>
      <c r="Y288" s="46"/>
      <c r="Z288">
        <v>2</v>
      </c>
      <c r="AA288" t="s">
        <v>746</v>
      </c>
      <c r="AB288" t="s">
        <v>747</v>
      </c>
      <c r="AC288" t="s">
        <v>748</v>
      </c>
      <c r="AD288" t="s">
        <v>543</v>
      </c>
      <c r="AE288" t="s">
        <v>4</v>
      </c>
    </row>
    <row r="289" spans="1:46">
      <c r="A289" s="154"/>
      <c r="B289" s="35" t="s">
        <v>2209</v>
      </c>
      <c r="C289" s="44"/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44"/>
      <c r="Q289" s="35"/>
      <c r="R289" s="35"/>
      <c r="S289" s="35"/>
      <c r="T289" s="35"/>
      <c r="U289" s="35"/>
      <c r="V289" s="35"/>
      <c r="W289" s="35"/>
      <c r="X289" s="35"/>
      <c r="Y289" s="46"/>
      <c r="Z289">
        <v>2</v>
      </c>
      <c r="AA289" t="s">
        <v>749</v>
      </c>
      <c r="AB289" t="s">
        <v>750</v>
      </c>
      <c r="AC289" t="s">
        <v>751</v>
      </c>
      <c r="AD289" t="s">
        <v>740</v>
      </c>
      <c r="AE289" t="s">
        <v>4</v>
      </c>
    </row>
    <row r="290" spans="1:46">
      <c r="A290" s="154"/>
      <c r="B290" s="35" t="s">
        <v>2209</v>
      </c>
      <c r="C290" s="44"/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44"/>
      <c r="Q290" s="35"/>
      <c r="R290" s="35"/>
      <c r="S290" s="35"/>
      <c r="T290" s="35"/>
      <c r="U290" s="35"/>
      <c r="V290" s="35"/>
      <c r="W290" s="35"/>
      <c r="X290" s="35"/>
      <c r="Y290" s="46"/>
      <c r="Z290">
        <v>0</v>
      </c>
      <c r="AA290" t="s">
        <v>5</v>
      </c>
      <c r="AB290" t="s">
        <v>6</v>
      </c>
      <c r="AC290" t="s">
        <v>7</v>
      </c>
      <c r="AD290" t="s">
        <v>8</v>
      </c>
      <c r="AE290" t="s">
        <v>8</v>
      </c>
      <c r="AF290" t="s">
        <v>9</v>
      </c>
      <c r="AG290" t="s">
        <v>10</v>
      </c>
      <c r="AH290" t="s">
        <v>11</v>
      </c>
      <c r="AI290" t="s">
        <v>12</v>
      </c>
      <c r="AJ290" t="s">
        <v>13</v>
      </c>
      <c r="AK290" t="s">
        <v>14</v>
      </c>
      <c r="AL290" t="s">
        <v>15</v>
      </c>
      <c r="AM290" t="s">
        <v>16</v>
      </c>
      <c r="AN290" t="s">
        <v>17</v>
      </c>
      <c r="AO290" t="s">
        <v>1</v>
      </c>
      <c r="AP290" t="s">
        <v>395</v>
      </c>
      <c r="AQ290" t="s">
        <v>399</v>
      </c>
      <c r="AR290" t="s">
        <v>743</v>
      </c>
      <c r="AS290" t="s">
        <v>746</v>
      </c>
      <c r="AT290" t="s">
        <v>749</v>
      </c>
    </row>
    <row r="291" spans="1:46">
      <c r="A291" s="154"/>
      <c r="B291" s="35" t="s">
        <v>2209</v>
      </c>
      <c r="C291" s="44"/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44"/>
      <c r="Q291" s="35"/>
      <c r="R291" s="35"/>
      <c r="S291" s="35"/>
      <c r="T291" s="35"/>
      <c r="U291" s="35"/>
      <c r="V291" s="35"/>
      <c r="W291" s="35"/>
      <c r="X291" s="35"/>
      <c r="Y291" s="46"/>
      <c r="Z291">
        <v>4</v>
      </c>
      <c r="AA291" t="s">
        <v>22</v>
      </c>
      <c r="AB291" t="s">
        <v>19</v>
      </c>
      <c r="AC291" t="s">
        <v>19</v>
      </c>
      <c r="AD291" t="s">
        <v>19</v>
      </c>
      <c r="AE291" t="s">
        <v>19</v>
      </c>
      <c r="AF291" t="s">
        <v>19</v>
      </c>
      <c r="AG291" t="s">
        <v>19</v>
      </c>
      <c r="AH291" t="s">
        <v>23</v>
      </c>
      <c r="AI291" t="s">
        <v>19</v>
      </c>
      <c r="AJ291" t="s">
        <v>19</v>
      </c>
      <c r="AK291" t="s">
        <v>19</v>
      </c>
      <c r="AL291" t="s">
        <v>19</v>
      </c>
      <c r="AM291" t="s">
        <v>19</v>
      </c>
      <c r="AN291" t="s">
        <v>21</v>
      </c>
      <c r="AO291">
        <v>680</v>
      </c>
      <c r="AP291">
        <v>680</v>
      </c>
      <c r="AQ291">
        <v>680</v>
      </c>
      <c r="AR291">
        <v>680</v>
      </c>
      <c r="AS291">
        <v>680</v>
      </c>
      <c r="AT291">
        <v>680</v>
      </c>
    </row>
    <row r="292" spans="1:46">
      <c r="A292" s="154"/>
      <c r="B292" s="35" t="s">
        <v>2209</v>
      </c>
      <c r="C292" s="44"/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44"/>
      <c r="Q292" s="35"/>
      <c r="R292" s="35"/>
      <c r="S292" s="35"/>
      <c r="T292" s="35"/>
      <c r="U292" s="35"/>
      <c r="V292" s="35"/>
      <c r="W292" s="35"/>
      <c r="X292" s="35"/>
      <c r="Y292" s="46"/>
      <c r="Z292">
        <v>4</v>
      </c>
      <c r="AA292" t="s">
        <v>22</v>
      </c>
      <c r="AB292" t="s">
        <v>19</v>
      </c>
      <c r="AC292" t="s">
        <v>19</v>
      </c>
      <c r="AD292" t="s">
        <v>19</v>
      </c>
      <c r="AE292" t="s">
        <v>19</v>
      </c>
      <c r="AF292" t="s">
        <v>19</v>
      </c>
      <c r="AG292" t="s">
        <v>19</v>
      </c>
      <c r="AH292" t="s">
        <v>24</v>
      </c>
      <c r="AI292" t="s">
        <v>19</v>
      </c>
      <c r="AJ292" t="s">
        <v>19</v>
      </c>
      <c r="AK292" t="s">
        <v>19</v>
      </c>
      <c r="AL292" t="s">
        <v>19</v>
      </c>
      <c r="AM292" t="s">
        <v>19</v>
      </c>
      <c r="AN292" t="s">
        <v>21</v>
      </c>
      <c r="AO292">
        <v>5411</v>
      </c>
      <c r="AP292">
        <v>5411</v>
      </c>
      <c r="AQ292">
        <v>5411</v>
      </c>
      <c r="AR292">
        <v>5411</v>
      </c>
      <c r="AS292">
        <v>5411</v>
      </c>
      <c r="AT292">
        <v>5411</v>
      </c>
    </row>
    <row r="293" spans="1:46">
      <c r="A293" s="154">
        <v>220</v>
      </c>
      <c r="B293" s="35" t="s">
        <v>2209</v>
      </c>
      <c r="C293" s="44"/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44"/>
      <c r="Q293" s="35"/>
      <c r="R293" s="35"/>
      <c r="S293" s="35"/>
      <c r="T293" s="35"/>
      <c r="U293" s="35"/>
      <c r="V293" s="35"/>
      <c r="W293" s="35"/>
      <c r="X293" s="35"/>
      <c r="Y293" s="46"/>
      <c r="Z293">
        <v>4</v>
      </c>
      <c r="AA293" t="s">
        <v>26</v>
      </c>
      <c r="AB293" t="s">
        <v>19</v>
      </c>
      <c r="AC293" t="s">
        <v>19</v>
      </c>
      <c r="AD293" t="s">
        <v>19</v>
      </c>
      <c r="AE293" t="s">
        <v>19</v>
      </c>
      <c r="AF293" t="s">
        <v>19</v>
      </c>
      <c r="AG293" t="s">
        <v>19</v>
      </c>
      <c r="AH293" t="s">
        <v>37</v>
      </c>
      <c r="AI293" t="s">
        <v>19</v>
      </c>
      <c r="AJ293" t="s">
        <v>19</v>
      </c>
      <c r="AK293" t="s">
        <v>19</v>
      </c>
      <c r="AL293" t="s">
        <v>19</v>
      </c>
      <c r="AM293" t="s">
        <v>19</v>
      </c>
      <c r="AN293" t="s">
        <v>28</v>
      </c>
      <c r="AO293">
        <v>5</v>
      </c>
      <c r="AP293">
        <v>4</v>
      </c>
      <c r="AQ293">
        <v>4</v>
      </c>
      <c r="AR293">
        <v>4</v>
      </c>
      <c r="AS293">
        <v>5</v>
      </c>
      <c r="AT293">
        <v>4</v>
      </c>
    </row>
    <row r="294" spans="1:46" s="217" customFormat="1">
      <c r="A294" s="154">
        <v>220</v>
      </c>
      <c r="B294" s="39" t="s">
        <v>2209</v>
      </c>
      <c r="C294" s="215"/>
      <c r="D294" s="210"/>
      <c r="E294" s="210"/>
      <c r="F294" s="210"/>
      <c r="G294" s="210"/>
      <c r="H294" s="210"/>
      <c r="I294" s="210"/>
      <c r="J294" s="210"/>
      <c r="K294" s="210"/>
      <c r="L294" s="210"/>
      <c r="M294" s="210"/>
      <c r="N294" s="210"/>
      <c r="O294" s="210"/>
      <c r="P294" s="210"/>
      <c r="Q294" s="210"/>
      <c r="R294" s="210"/>
      <c r="S294" s="210"/>
      <c r="T294" s="210"/>
      <c r="U294" s="210"/>
      <c r="V294" s="210"/>
      <c r="W294" s="210"/>
      <c r="X294" s="210"/>
      <c r="Y294" s="216"/>
      <c r="Z294" s="217">
        <v>4</v>
      </c>
      <c r="AA294" s="217" t="s">
        <v>26</v>
      </c>
      <c r="AB294" s="217" t="s">
        <v>19</v>
      </c>
      <c r="AC294" s="217" t="s">
        <v>19</v>
      </c>
      <c r="AD294" s="217" t="s">
        <v>19</v>
      </c>
      <c r="AE294" s="217" t="s">
        <v>19</v>
      </c>
      <c r="AF294" s="217" t="s">
        <v>19</v>
      </c>
      <c r="AG294" s="217" t="s">
        <v>19</v>
      </c>
      <c r="AH294" s="217" t="s">
        <v>656</v>
      </c>
      <c r="AI294" s="217" t="s">
        <v>19</v>
      </c>
      <c r="AJ294" s="217" t="s">
        <v>19</v>
      </c>
      <c r="AK294" s="217" t="s">
        <v>19</v>
      </c>
      <c r="AL294" s="217" t="s">
        <v>19</v>
      </c>
      <c r="AM294" s="217" t="s">
        <v>19</v>
      </c>
      <c r="AN294" s="217" t="s">
        <v>28</v>
      </c>
      <c r="AO294" s="217" t="s">
        <v>19</v>
      </c>
      <c r="AP294" s="217" t="s">
        <v>19</v>
      </c>
      <c r="AQ294" s="218">
        <v>1</v>
      </c>
      <c r="AR294" s="217" t="s">
        <v>19</v>
      </c>
      <c r="AS294" s="217" t="s">
        <v>19</v>
      </c>
      <c r="AT294" s="217" t="s">
        <v>19</v>
      </c>
    </row>
    <row r="295" spans="1:46">
      <c r="A295" s="154"/>
      <c r="B295" s="35" t="s">
        <v>2209</v>
      </c>
      <c r="C295" s="44"/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44"/>
      <c r="Q295" s="35"/>
      <c r="R295" s="35"/>
      <c r="S295" s="35"/>
      <c r="T295" s="35"/>
      <c r="U295" s="35"/>
      <c r="V295" s="35"/>
      <c r="W295" s="35"/>
      <c r="X295" s="35"/>
      <c r="Y295" s="46"/>
      <c r="Z295">
        <v>4</v>
      </c>
      <c r="AA295" t="s">
        <v>26</v>
      </c>
      <c r="AB295" t="s">
        <v>19</v>
      </c>
      <c r="AC295" t="s">
        <v>19</v>
      </c>
      <c r="AD295" t="s">
        <v>19</v>
      </c>
      <c r="AE295" t="s">
        <v>19</v>
      </c>
      <c r="AF295" t="s">
        <v>19</v>
      </c>
      <c r="AG295" t="s">
        <v>19</v>
      </c>
      <c r="AH295" t="s">
        <v>752</v>
      </c>
      <c r="AI295" t="s">
        <v>19</v>
      </c>
      <c r="AJ295" t="s">
        <v>19</v>
      </c>
      <c r="AK295" t="s">
        <v>19</v>
      </c>
      <c r="AL295" t="s">
        <v>19</v>
      </c>
      <c r="AM295" t="s">
        <v>19</v>
      </c>
      <c r="AN295" t="s">
        <v>28</v>
      </c>
      <c r="AO295">
        <v>3</v>
      </c>
      <c r="AP295">
        <v>2</v>
      </c>
      <c r="AQ295">
        <v>3</v>
      </c>
      <c r="AR295">
        <v>2</v>
      </c>
      <c r="AS295">
        <v>3</v>
      </c>
      <c r="AT295">
        <v>2</v>
      </c>
    </row>
    <row r="296" spans="1:46">
      <c r="A296" s="154"/>
      <c r="B296" s="35" t="s">
        <v>2209</v>
      </c>
      <c r="C296" s="44"/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44"/>
      <c r="Q296" s="35"/>
      <c r="R296" s="35"/>
      <c r="S296" s="35"/>
      <c r="T296" s="35"/>
      <c r="U296" s="35"/>
      <c r="V296" s="35"/>
      <c r="W296" s="35"/>
      <c r="X296" s="35"/>
      <c r="Y296" s="46"/>
      <c r="Z296">
        <v>4</v>
      </c>
      <c r="AA296" t="s">
        <v>26</v>
      </c>
      <c r="AB296" t="s">
        <v>19</v>
      </c>
      <c r="AC296" t="s">
        <v>19</v>
      </c>
      <c r="AD296" t="s">
        <v>19</v>
      </c>
      <c r="AE296" t="s">
        <v>19</v>
      </c>
      <c r="AF296" t="s">
        <v>19</v>
      </c>
      <c r="AG296" t="s">
        <v>19</v>
      </c>
      <c r="AH296" t="s">
        <v>49</v>
      </c>
      <c r="AI296" t="s">
        <v>19</v>
      </c>
      <c r="AJ296" t="s">
        <v>19</v>
      </c>
      <c r="AK296" t="s">
        <v>19</v>
      </c>
      <c r="AL296" t="s">
        <v>19</v>
      </c>
      <c r="AM296" t="s">
        <v>19</v>
      </c>
      <c r="AN296" t="s">
        <v>28</v>
      </c>
      <c r="AO296">
        <v>5</v>
      </c>
      <c r="AP296">
        <v>4</v>
      </c>
      <c r="AQ296">
        <v>5</v>
      </c>
      <c r="AR296">
        <v>4</v>
      </c>
      <c r="AS296">
        <v>5</v>
      </c>
      <c r="AT296">
        <v>4</v>
      </c>
    </row>
    <row r="297" spans="1:46">
      <c r="A297" s="154"/>
      <c r="B297" s="35" t="s">
        <v>2209</v>
      </c>
      <c r="C297" s="44"/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44"/>
      <c r="Q297" s="35"/>
      <c r="R297" s="35"/>
      <c r="S297" s="35"/>
      <c r="T297" s="35"/>
      <c r="U297" s="35"/>
      <c r="V297" s="35"/>
      <c r="W297" s="35"/>
      <c r="X297" s="35"/>
      <c r="Y297" s="46"/>
      <c r="Z297">
        <v>4</v>
      </c>
      <c r="AA297" t="s">
        <v>26</v>
      </c>
      <c r="AB297" t="s">
        <v>19</v>
      </c>
      <c r="AC297" t="s">
        <v>19</v>
      </c>
      <c r="AD297" t="s">
        <v>19</v>
      </c>
      <c r="AE297" t="s">
        <v>19</v>
      </c>
      <c r="AF297" t="s">
        <v>19</v>
      </c>
      <c r="AG297" t="s">
        <v>19</v>
      </c>
      <c r="AH297" t="s">
        <v>753</v>
      </c>
      <c r="AI297" t="s">
        <v>19</v>
      </c>
      <c r="AJ297" t="s">
        <v>19</v>
      </c>
      <c r="AK297" t="s">
        <v>19</v>
      </c>
      <c r="AL297" t="s">
        <v>19</v>
      </c>
      <c r="AM297" t="s">
        <v>19</v>
      </c>
      <c r="AN297" t="s">
        <v>28</v>
      </c>
      <c r="AO297">
        <v>3</v>
      </c>
      <c r="AP297">
        <v>2</v>
      </c>
      <c r="AQ297">
        <v>3</v>
      </c>
      <c r="AR297">
        <v>2</v>
      </c>
      <c r="AS297">
        <v>3</v>
      </c>
      <c r="AT297">
        <v>2</v>
      </c>
    </row>
    <row r="298" spans="1:46">
      <c r="A298" s="154"/>
      <c r="B298" s="35" t="s">
        <v>2209</v>
      </c>
      <c r="C298" s="44"/>
      <c r="D298" s="35" t="s">
        <v>2195</v>
      </c>
      <c r="E298" s="35" t="s">
        <v>2224</v>
      </c>
      <c r="F298" s="35" t="s">
        <v>2225</v>
      </c>
      <c r="G298" s="35"/>
      <c r="H298" s="35"/>
      <c r="I298" s="35"/>
      <c r="J298" s="35"/>
      <c r="K298" s="35"/>
      <c r="L298" s="35"/>
      <c r="M298" s="35"/>
      <c r="N298" s="35"/>
      <c r="O298" s="35"/>
      <c r="P298" s="44"/>
      <c r="Q298" s="35"/>
      <c r="R298" s="35"/>
      <c r="S298" s="35"/>
      <c r="T298" s="35"/>
      <c r="U298" s="35"/>
      <c r="V298" s="35"/>
      <c r="W298" s="35"/>
      <c r="X298" s="35"/>
      <c r="Y298" s="46" t="s">
        <v>2189</v>
      </c>
      <c r="Z298">
        <v>3</v>
      </c>
      <c r="AA298" t="s">
        <v>754</v>
      </c>
      <c r="AB298" t="s">
        <v>755</v>
      </c>
      <c r="AC298" t="s">
        <v>19</v>
      </c>
      <c r="AD298" t="s">
        <v>96</v>
      </c>
      <c r="AE298" t="s">
        <v>96</v>
      </c>
      <c r="AF298" t="s">
        <v>756</v>
      </c>
      <c r="AG298" t="s">
        <v>440</v>
      </c>
      <c r="AH298" t="s">
        <v>757</v>
      </c>
      <c r="AI298" t="s">
        <v>111</v>
      </c>
      <c r="AJ298" t="s">
        <v>19</v>
      </c>
      <c r="AK298" t="s">
        <v>668</v>
      </c>
      <c r="AL298" t="s">
        <v>99</v>
      </c>
      <c r="AM298" t="s">
        <v>19</v>
      </c>
      <c r="AN298" t="s">
        <v>28</v>
      </c>
      <c r="AO298" t="s">
        <v>19</v>
      </c>
      <c r="AP298" t="s">
        <v>19</v>
      </c>
      <c r="AQ298" t="s">
        <v>741</v>
      </c>
      <c r="AR298" t="s">
        <v>19</v>
      </c>
      <c r="AS298" t="s">
        <v>19</v>
      </c>
      <c r="AT298" t="s">
        <v>19</v>
      </c>
    </row>
    <row r="299" spans="1:46">
      <c r="A299" s="154"/>
      <c r="B299" s="35" t="s">
        <v>2209</v>
      </c>
      <c r="C299" s="44"/>
      <c r="D299" s="35" t="s">
        <v>2195</v>
      </c>
      <c r="E299" s="35" t="s">
        <v>2224</v>
      </c>
      <c r="F299" s="35" t="s">
        <v>2225</v>
      </c>
      <c r="G299" s="35"/>
      <c r="H299" s="35"/>
      <c r="I299" s="35"/>
      <c r="J299" s="35"/>
      <c r="K299" s="35"/>
      <c r="L299" s="35"/>
      <c r="M299" s="35"/>
      <c r="N299" s="35"/>
      <c r="O299" s="35"/>
      <c r="P299" s="44"/>
      <c r="Q299" s="35"/>
      <c r="R299" s="35"/>
      <c r="S299" s="35"/>
      <c r="T299" s="35"/>
      <c r="U299" s="35"/>
      <c r="V299" s="35"/>
      <c r="W299" s="35"/>
      <c r="X299" s="35"/>
      <c r="Y299" s="46" t="s">
        <v>2189</v>
      </c>
      <c r="Z299">
        <v>3</v>
      </c>
      <c r="AA299" t="s">
        <v>622</v>
      </c>
      <c r="AB299" t="s">
        <v>758</v>
      </c>
      <c r="AC299" t="s">
        <v>19</v>
      </c>
      <c r="AD299" t="s">
        <v>759</v>
      </c>
      <c r="AE299" t="s">
        <v>759</v>
      </c>
      <c r="AF299" t="s">
        <v>760</v>
      </c>
      <c r="AG299" t="s">
        <v>761</v>
      </c>
      <c r="AH299" t="s">
        <v>626</v>
      </c>
      <c r="AI299" t="s">
        <v>111</v>
      </c>
      <c r="AJ299" t="s">
        <v>19</v>
      </c>
      <c r="AK299" t="s">
        <v>627</v>
      </c>
      <c r="AL299" t="s">
        <v>762</v>
      </c>
      <c r="AM299" t="s">
        <v>19</v>
      </c>
      <c r="AN299" t="s">
        <v>28</v>
      </c>
      <c r="AO299" t="s">
        <v>736</v>
      </c>
      <c r="AP299" t="s">
        <v>738</v>
      </c>
      <c r="AQ299" t="s">
        <v>741</v>
      </c>
      <c r="AR299" t="s">
        <v>744</v>
      </c>
      <c r="AS299" t="s">
        <v>747</v>
      </c>
      <c r="AT299" t="s">
        <v>750</v>
      </c>
    </row>
    <row r="300" spans="1:46" ht="30">
      <c r="A300" s="154"/>
      <c r="B300" s="35" t="s">
        <v>2209</v>
      </c>
      <c r="C300" s="44"/>
      <c r="D300" s="35" t="s">
        <v>2195</v>
      </c>
      <c r="E300" s="35" t="s">
        <v>2224</v>
      </c>
      <c r="F300" s="35" t="s">
        <v>2225</v>
      </c>
      <c r="G300" s="35"/>
      <c r="H300" s="35"/>
      <c r="I300" s="35"/>
      <c r="J300" s="35"/>
      <c r="K300" s="35"/>
      <c r="L300" s="35"/>
      <c r="M300" s="35"/>
      <c r="N300" s="35"/>
      <c r="O300" s="35"/>
      <c r="P300" s="44"/>
      <c r="Q300" s="35"/>
      <c r="R300" s="35"/>
      <c r="S300" s="35"/>
      <c r="T300" s="35"/>
      <c r="U300" s="35"/>
      <c r="V300" s="35"/>
      <c r="W300" s="35"/>
      <c r="X300" s="35"/>
      <c r="Y300" s="46" t="s">
        <v>2189</v>
      </c>
      <c r="Z300">
        <v>3</v>
      </c>
      <c r="AA300" t="s">
        <v>763</v>
      </c>
      <c r="AB300" t="s">
        <v>764</v>
      </c>
      <c r="AC300" t="s">
        <v>19</v>
      </c>
      <c r="AD300" t="s">
        <v>765</v>
      </c>
      <c r="AE300" t="s">
        <v>766</v>
      </c>
      <c r="AF300" t="s">
        <v>767</v>
      </c>
      <c r="AG300" t="s">
        <v>768</v>
      </c>
      <c r="AH300" t="s">
        <v>769</v>
      </c>
      <c r="AI300" t="s">
        <v>770</v>
      </c>
      <c r="AJ300" t="s">
        <v>19</v>
      </c>
      <c r="AK300" t="s">
        <v>771</v>
      </c>
      <c r="AL300" t="s">
        <v>772</v>
      </c>
      <c r="AM300" s="1" t="s">
        <v>773</v>
      </c>
      <c r="AN300" t="s">
        <v>28</v>
      </c>
      <c r="AO300" t="s">
        <v>736</v>
      </c>
      <c r="AP300" t="s">
        <v>19</v>
      </c>
      <c r="AQ300" t="s">
        <v>19</v>
      </c>
      <c r="AR300" t="s">
        <v>19</v>
      </c>
      <c r="AS300" t="s">
        <v>19</v>
      </c>
      <c r="AT300" t="s">
        <v>19</v>
      </c>
    </row>
    <row r="301" spans="1:46" ht="30">
      <c r="A301" s="154"/>
      <c r="B301" s="35" t="s">
        <v>2209</v>
      </c>
      <c r="C301" s="44"/>
      <c r="D301" s="35" t="s">
        <v>2195</v>
      </c>
      <c r="E301" s="35" t="s">
        <v>2224</v>
      </c>
      <c r="F301" s="35" t="s">
        <v>2225</v>
      </c>
      <c r="G301" s="35"/>
      <c r="H301" s="35"/>
      <c r="I301" s="35"/>
      <c r="J301" s="35"/>
      <c r="K301" s="35"/>
      <c r="L301" s="35"/>
      <c r="M301" s="35"/>
      <c r="N301" s="35"/>
      <c r="O301" s="35"/>
      <c r="P301" s="44"/>
      <c r="Q301" s="35"/>
      <c r="R301" s="35"/>
      <c r="S301" s="35"/>
      <c r="T301" s="35"/>
      <c r="U301" s="35"/>
      <c r="V301" s="35"/>
      <c r="W301" s="35"/>
      <c r="X301" s="35"/>
      <c r="Y301" s="46" t="s">
        <v>2189</v>
      </c>
      <c r="Z301">
        <v>3</v>
      </c>
      <c r="AA301" t="s">
        <v>774</v>
      </c>
      <c r="AB301" t="s">
        <v>775</v>
      </c>
      <c r="AC301" t="s">
        <v>19</v>
      </c>
      <c r="AD301" t="s">
        <v>765</v>
      </c>
      <c r="AE301" t="s">
        <v>776</v>
      </c>
      <c r="AF301" t="s">
        <v>777</v>
      </c>
      <c r="AG301" t="s">
        <v>778</v>
      </c>
      <c r="AH301" t="s">
        <v>779</v>
      </c>
      <c r="AI301" t="s">
        <v>770</v>
      </c>
      <c r="AJ301" t="s">
        <v>19</v>
      </c>
      <c r="AK301" t="s">
        <v>732</v>
      </c>
      <c r="AL301" t="s">
        <v>780</v>
      </c>
      <c r="AM301" s="1" t="s">
        <v>781</v>
      </c>
      <c r="AN301" t="s">
        <v>28</v>
      </c>
      <c r="AO301" t="s">
        <v>19</v>
      </c>
      <c r="AP301" t="s">
        <v>738</v>
      </c>
      <c r="AQ301" t="s">
        <v>741</v>
      </c>
      <c r="AR301" t="s">
        <v>744</v>
      </c>
      <c r="AS301" t="s">
        <v>19</v>
      </c>
      <c r="AT301" t="s">
        <v>19</v>
      </c>
    </row>
    <row r="302" spans="1:46">
      <c r="A302" s="154"/>
      <c r="B302" s="35" t="s">
        <v>2209</v>
      </c>
      <c r="C302" s="44"/>
      <c r="D302" s="35" t="s">
        <v>2195</v>
      </c>
      <c r="E302" s="35" t="s">
        <v>2224</v>
      </c>
      <c r="F302" s="35" t="s">
        <v>2225</v>
      </c>
      <c r="G302" s="35"/>
      <c r="H302" s="35"/>
      <c r="I302" s="35"/>
      <c r="J302" s="35"/>
      <c r="K302" s="35"/>
      <c r="L302" s="35"/>
      <c r="M302" s="35"/>
      <c r="N302" s="35"/>
      <c r="O302" s="35"/>
      <c r="P302" s="44"/>
      <c r="Q302" s="35"/>
      <c r="R302" s="35"/>
      <c r="S302" s="35"/>
      <c r="T302" s="35"/>
      <c r="U302" s="35"/>
      <c r="V302" s="35"/>
      <c r="W302" s="35"/>
      <c r="X302" s="35"/>
      <c r="Y302" s="46" t="s">
        <v>2189</v>
      </c>
      <c r="Z302">
        <v>3</v>
      </c>
      <c r="AA302" t="s">
        <v>782</v>
      </c>
      <c r="AB302" t="s">
        <v>783</v>
      </c>
      <c r="AC302" t="s">
        <v>19</v>
      </c>
      <c r="AD302" t="s">
        <v>765</v>
      </c>
      <c r="AE302" t="s">
        <v>784</v>
      </c>
      <c r="AF302" t="s">
        <v>785</v>
      </c>
      <c r="AG302" t="s">
        <v>768</v>
      </c>
      <c r="AH302" t="s">
        <v>786</v>
      </c>
      <c r="AI302" t="s">
        <v>770</v>
      </c>
      <c r="AJ302" t="s">
        <v>19</v>
      </c>
      <c r="AK302" t="s">
        <v>627</v>
      </c>
      <c r="AL302" t="s">
        <v>787</v>
      </c>
      <c r="AM302" t="s">
        <v>788</v>
      </c>
      <c r="AN302" t="s">
        <v>28</v>
      </c>
      <c r="AO302" t="s">
        <v>19</v>
      </c>
      <c r="AP302" t="s">
        <v>19</v>
      </c>
      <c r="AQ302" t="s">
        <v>19</v>
      </c>
      <c r="AR302" t="s">
        <v>19</v>
      </c>
      <c r="AS302" t="s">
        <v>747</v>
      </c>
      <c r="AT302" t="s">
        <v>750</v>
      </c>
    </row>
    <row r="303" spans="1:46" ht="30">
      <c r="A303" s="154"/>
      <c r="B303" s="35" t="s">
        <v>2209</v>
      </c>
      <c r="C303" s="44"/>
      <c r="D303" s="35" t="s">
        <v>2195</v>
      </c>
      <c r="E303" s="35" t="s">
        <v>2224</v>
      </c>
      <c r="F303" s="35" t="s">
        <v>2225</v>
      </c>
      <c r="G303" s="35"/>
      <c r="H303" s="35"/>
      <c r="I303" s="35"/>
      <c r="J303" s="35"/>
      <c r="K303" s="35"/>
      <c r="L303" s="35"/>
      <c r="M303" s="35"/>
      <c r="N303" s="35"/>
      <c r="O303" s="35"/>
      <c r="P303" s="44"/>
      <c r="Q303" s="35"/>
      <c r="R303" s="35"/>
      <c r="S303" s="35"/>
      <c r="T303" s="35"/>
      <c r="U303" s="35"/>
      <c r="V303" s="35"/>
      <c r="W303" s="35"/>
      <c r="X303" s="35"/>
      <c r="Y303" s="46" t="s">
        <v>2189</v>
      </c>
      <c r="Z303">
        <v>3</v>
      </c>
      <c r="AA303" t="s">
        <v>789</v>
      </c>
      <c r="AB303" t="s">
        <v>790</v>
      </c>
      <c r="AC303" t="s">
        <v>19</v>
      </c>
      <c r="AD303" t="s">
        <v>791</v>
      </c>
      <c r="AE303" t="s">
        <v>792</v>
      </c>
      <c r="AF303" t="s">
        <v>793</v>
      </c>
      <c r="AG303" t="s">
        <v>794</v>
      </c>
      <c r="AH303" t="s">
        <v>795</v>
      </c>
      <c r="AI303" t="s">
        <v>111</v>
      </c>
      <c r="AJ303" t="s">
        <v>19</v>
      </c>
      <c r="AK303" t="s">
        <v>796</v>
      </c>
      <c r="AL303" t="s">
        <v>797</v>
      </c>
      <c r="AM303" s="1" t="s">
        <v>798</v>
      </c>
      <c r="AN303" t="s">
        <v>28</v>
      </c>
      <c r="AO303" t="s">
        <v>19</v>
      </c>
      <c r="AP303" t="s">
        <v>738</v>
      </c>
      <c r="AQ303" t="s">
        <v>741</v>
      </c>
      <c r="AR303" t="s">
        <v>744</v>
      </c>
      <c r="AS303" t="s">
        <v>19</v>
      </c>
      <c r="AT303" t="s">
        <v>750</v>
      </c>
    </row>
    <row r="304" spans="1:46" ht="30">
      <c r="A304" s="154"/>
      <c r="B304" s="35" t="s">
        <v>2209</v>
      </c>
      <c r="C304" s="44"/>
      <c r="D304" s="35" t="s">
        <v>2195</v>
      </c>
      <c r="E304" s="35" t="s">
        <v>2224</v>
      </c>
      <c r="F304" s="35" t="s">
        <v>2225</v>
      </c>
      <c r="G304" s="35"/>
      <c r="H304" s="35"/>
      <c r="I304" s="35"/>
      <c r="J304" s="35"/>
      <c r="K304" s="35"/>
      <c r="L304" s="35"/>
      <c r="M304" s="35"/>
      <c r="N304" s="35"/>
      <c r="O304" s="35"/>
      <c r="P304" s="44"/>
      <c r="Q304" s="35"/>
      <c r="R304" s="35"/>
      <c r="S304" s="35"/>
      <c r="T304" s="35"/>
      <c r="U304" s="35"/>
      <c r="V304" s="35"/>
      <c r="W304" s="35"/>
      <c r="X304" s="35"/>
      <c r="Y304" s="46" t="s">
        <v>2189</v>
      </c>
      <c r="Z304">
        <v>3</v>
      </c>
      <c r="AA304" t="s">
        <v>799</v>
      </c>
      <c r="AB304" t="s">
        <v>800</v>
      </c>
      <c r="AC304" t="s">
        <v>19</v>
      </c>
      <c r="AD304" t="s">
        <v>801</v>
      </c>
      <c r="AE304" t="s">
        <v>801</v>
      </c>
      <c r="AF304" t="s">
        <v>802</v>
      </c>
      <c r="AG304" t="s">
        <v>803</v>
      </c>
      <c r="AH304" t="s">
        <v>804</v>
      </c>
      <c r="AI304" t="s">
        <v>770</v>
      </c>
      <c r="AJ304" t="s">
        <v>19</v>
      </c>
      <c r="AK304" t="s">
        <v>79</v>
      </c>
      <c r="AL304" t="s">
        <v>805</v>
      </c>
      <c r="AM304" s="1" t="s">
        <v>806</v>
      </c>
      <c r="AN304" t="s">
        <v>28</v>
      </c>
      <c r="AO304" t="s">
        <v>736</v>
      </c>
      <c r="AP304" t="s">
        <v>19</v>
      </c>
      <c r="AQ304" t="s">
        <v>19</v>
      </c>
      <c r="AR304" t="s">
        <v>19</v>
      </c>
      <c r="AS304" t="s">
        <v>747</v>
      </c>
      <c r="AT304" t="s">
        <v>19</v>
      </c>
    </row>
    <row r="305" spans="1:46">
      <c r="A305" s="154"/>
      <c r="B305" s="35" t="s">
        <v>2209</v>
      </c>
      <c r="C305" s="44"/>
      <c r="D305" s="35" t="s">
        <v>2195</v>
      </c>
      <c r="E305" s="35" t="s">
        <v>2224</v>
      </c>
      <c r="F305" s="35" t="s">
        <v>2225</v>
      </c>
      <c r="G305" s="35"/>
      <c r="H305" s="35"/>
      <c r="I305" s="35"/>
      <c r="J305" s="35"/>
      <c r="K305" s="35"/>
      <c r="L305" s="35"/>
      <c r="M305" s="35"/>
      <c r="N305" s="35"/>
      <c r="O305" s="35"/>
      <c r="P305" s="44"/>
      <c r="Q305" s="35"/>
      <c r="R305" s="35"/>
      <c r="S305" s="35"/>
      <c r="T305" s="35"/>
      <c r="U305" s="35"/>
      <c r="V305" s="35"/>
      <c r="W305" s="35"/>
      <c r="X305" s="35"/>
      <c r="Y305" s="46" t="s">
        <v>2189</v>
      </c>
      <c r="Z305">
        <v>3</v>
      </c>
      <c r="AA305" t="s">
        <v>807</v>
      </c>
      <c r="AB305" t="s">
        <v>808</v>
      </c>
      <c r="AC305" t="s">
        <v>19</v>
      </c>
      <c r="AD305" t="s">
        <v>249</v>
      </c>
      <c r="AE305" t="s">
        <v>249</v>
      </c>
      <c r="AF305" t="s">
        <v>809</v>
      </c>
      <c r="AG305" t="s">
        <v>729</v>
      </c>
      <c r="AH305" t="s">
        <v>810</v>
      </c>
      <c r="AI305" t="s">
        <v>811</v>
      </c>
      <c r="AJ305" t="s">
        <v>19</v>
      </c>
      <c r="AK305" t="s">
        <v>812</v>
      </c>
      <c r="AL305" t="s">
        <v>813</v>
      </c>
      <c r="AM305" t="s">
        <v>814</v>
      </c>
      <c r="AN305" t="s">
        <v>28</v>
      </c>
      <c r="AO305" t="s">
        <v>19</v>
      </c>
      <c r="AP305" t="s">
        <v>19</v>
      </c>
      <c r="AQ305" t="s">
        <v>741</v>
      </c>
      <c r="AR305" t="s">
        <v>744</v>
      </c>
      <c r="AS305" t="s">
        <v>19</v>
      </c>
      <c r="AT305" t="s">
        <v>19</v>
      </c>
    </row>
    <row r="306" spans="1:46">
      <c r="A306" s="154" t="s">
        <v>2403</v>
      </c>
      <c r="B306" s="35" t="s">
        <v>2209</v>
      </c>
      <c r="C306" s="44"/>
      <c r="D306" s="35" t="s">
        <v>2195</v>
      </c>
      <c r="E306" s="35" t="s">
        <v>2224</v>
      </c>
      <c r="F306" s="35" t="s">
        <v>2225</v>
      </c>
      <c r="G306" s="35"/>
      <c r="H306" s="35"/>
      <c r="I306" s="35"/>
      <c r="J306" s="35"/>
      <c r="K306" s="35"/>
      <c r="L306" s="35"/>
      <c r="M306" s="35"/>
      <c r="N306" s="35"/>
      <c r="O306" s="35"/>
      <c r="P306" s="44"/>
      <c r="Q306" s="35"/>
      <c r="R306" s="35"/>
      <c r="S306" s="35"/>
      <c r="T306" s="35"/>
      <c r="U306" s="35"/>
      <c r="V306" s="35"/>
      <c r="W306" s="35"/>
      <c r="X306" s="35"/>
      <c r="Y306" s="46" t="s">
        <v>2189</v>
      </c>
      <c r="Z306">
        <v>3</v>
      </c>
      <c r="AA306" t="s">
        <v>815</v>
      </c>
      <c r="AB306" t="s">
        <v>816</v>
      </c>
      <c r="AC306" t="s">
        <v>19</v>
      </c>
      <c r="AD306" t="s">
        <v>249</v>
      </c>
      <c r="AE306" t="s">
        <v>250</v>
      </c>
      <c r="AF306" t="s">
        <v>817</v>
      </c>
      <c r="AG306" t="s">
        <v>818</v>
      </c>
      <c r="AH306" t="s">
        <v>819</v>
      </c>
      <c r="AI306" t="s">
        <v>811</v>
      </c>
      <c r="AJ306" t="s">
        <v>19</v>
      </c>
      <c r="AK306" t="s">
        <v>820</v>
      </c>
      <c r="AL306" t="s">
        <v>254</v>
      </c>
      <c r="AM306" t="s">
        <v>255</v>
      </c>
      <c r="AN306" t="s">
        <v>28</v>
      </c>
      <c r="AO306" t="s">
        <v>736</v>
      </c>
      <c r="AP306" t="s">
        <v>738</v>
      </c>
      <c r="AQ306" s="192" t="s">
        <v>19</v>
      </c>
      <c r="AR306" t="s">
        <v>19</v>
      </c>
      <c r="AS306" t="s">
        <v>747</v>
      </c>
      <c r="AT306" t="s">
        <v>750</v>
      </c>
    </row>
    <row r="307" spans="1:46">
      <c r="A307" s="154"/>
      <c r="B307" s="35" t="s">
        <v>2209</v>
      </c>
      <c r="C307" s="44"/>
      <c r="D307" s="35" t="s">
        <v>2195</v>
      </c>
      <c r="E307" s="35"/>
      <c r="F307" s="35" t="s">
        <v>2225</v>
      </c>
      <c r="G307" s="35"/>
      <c r="H307" s="35" t="s">
        <v>2225</v>
      </c>
      <c r="I307" s="35"/>
      <c r="J307" s="35"/>
      <c r="K307" s="35"/>
      <c r="L307" s="35"/>
      <c r="M307" s="35"/>
      <c r="N307" s="35"/>
      <c r="O307" s="35"/>
      <c r="P307" s="44"/>
      <c r="Q307" s="35"/>
      <c r="R307" s="35"/>
      <c r="S307" s="35"/>
      <c r="T307" s="35"/>
      <c r="U307" s="35"/>
      <c r="V307" s="35"/>
      <c r="W307" s="35"/>
      <c r="X307" s="35"/>
      <c r="Y307" s="46" t="s">
        <v>2189</v>
      </c>
      <c r="Z307">
        <v>3</v>
      </c>
      <c r="AA307" t="s">
        <v>312</v>
      </c>
      <c r="AB307" t="s">
        <v>821</v>
      </c>
      <c r="AC307" t="s">
        <v>19</v>
      </c>
      <c r="AD307" t="s">
        <v>19</v>
      </c>
      <c r="AE307" t="s">
        <v>19</v>
      </c>
      <c r="AF307" t="s">
        <v>821</v>
      </c>
      <c r="AG307" t="s">
        <v>822</v>
      </c>
      <c r="AH307" t="s">
        <v>315</v>
      </c>
      <c r="AI307" t="s">
        <v>19</v>
      </c>
      <c r="AJ307" t="s">
        <v>19</v>
      </c>
      <c r="AK307" t="s">
        <v>19</v>
      </c>
      <c r="AL307" t="s">
        <v>19</v>
      </c>
      <c r="AM307" t="s">
        <v>19</v>
      </c>
      <c r="AN307" t="s">
        <v>28</v>
      </c>
      <c r="AO307" t="s">
        <v>736</v>
      </c>
      <c r="AP307" t="s">
        <v>738</v>
      </c>
      <c r="AQ307" t="s">
        <v>741</v>
      </c>
      <c r="AR307" t="s">
        <v>744</v>
      </c>
      <c r="AS307" t="s">
        <v>747</v>
      </c>
      <c r="AT307" t="s">
        <v>750</v>
      </c>
    </row>
    <row r="308" spans="1:46">
      <c r="A308" s="154"/>
      <c r="B308" s="35" t="s">
        <v>2209</v>
      </c>
      <c r="C308" s="44"/>
      <c r="D308" s="35" t="s">
        <v>2195</v>
      </c>
      <c r="E308" s="35"/>
      <c r="F308" s="35" t="s">
        <v>2225</v>
      </c>
      <c r="G308" s="35"/>
      <c r="H308" s="35" t="s">
        <v>2225</v>
      </c>
      <c r="I308" s="35"/>
      <c r="J308" s="35"/>
      <c r="K308" s="35"/>
      <c r="L308" s="35"/>
      <c r="M308" s="35"/>
      <c r="N308" s="35"/>
      <c r="O308" s="35"/>
      <c r="P308" s="44"/>
      <c r="Q308" s="35"/>
      <c r="R308" s="35"/>
      <c r="S308" s="35"/>
      <c r="T308" s="35"/>
      <c r="U308" s="35"/>
      <c r="V308" s="35"/>
      <c r="W308" s="35"/>
      <c r="X308" s="35"/>
      <c r="Y308" s="46" t="s">
        <v>2189</v>
      </c>
      <c r="Z308">
        <v>3</v>
      </c>
      <c r="AA308" t="s">
        <v>312</v>
      </c>
      <c r="AB308" t="s">
        <v>823</v>
      </c>
      <c r="AC308" t="s">
        <v>19</v>
      </c>
      <c r="AD308" t="s">
        <v>19</v>
      </c>
      <c r="AE308" t="s">
        <v>19</v>
      </c>
      <c r="AF308" t="s">
        <v>823</v>
      </c>
      <c r="AG308" t="s">
        <v>824</v>
      </c>
      <c r="AH308" t="s">
        <v>315</v>
      </c>
      <c r="AI308" t="s">
        <v>19</v>
      </c>
      <c r="AJ308" t="s">
        <v>19</v>
      </c>
      <c r="AK308" t="s">
        <v>19</v>
      </c>
      <c r="AL308" t="s">
        <v>19</v>
      </c>
      <c r="AM308" t="s">
        <v>19</v>
      </c>
      <c r="AN308" t="s">
        <v>28</v>
      </c>
      <c r="AO308" t="s">
        <v>736</v>
      </c>
      <c r="AP308" t="s">
        <v>738</v>
      </c>
      <c r="AQ308" t="s">
        <v>741</v>
      </c>
      <c r="AR308" t="s">
        <v>744</v>
      </c>
      <c r="AS308" t="s">
        <v>747</v>
      </c>
      <c r="AT308" t="s">
        <v>750</v>
      </c>
    </row>
    <row r="309" spans="1:46">
      <c r="A309" s="154"/>
      <c r="B309" s="35" t="s">
        <v>2209</v>
      </c>
      <c r="C309" s="44"/>
      <c r="D309" s="35" t="s">
        <v>2195</v>
      </c>
      <c r="E309" s="35"/>
      <c r="F309" s="35" t="s">
        <v>2225</v>
      </c>
      <c r="G309" s="35"/>
      <c r="H309" s="35" t="s">
        <v>2225</v>
      </c>
      <c r="I309" s="35"/>
      <c r="J309" s="35"/>
      <c r="K309" s="35"/>
      <c r="L309" s="35"/>
      <c r="M309" s="35"/>
      <c r="N309" s="35"/>
      <c r="O309" s="35"/>
      <c r="P309" s="44"/>
      <c r="Q309" s="35"/>
      <c r="R309" s="35"/>
      <c r="S309" s="35"/>
      <c r="T309" s="35"/>
      <c r="U309" s="35"/>
      <c r="V309" s="35"/>
      <c r="W309" s="35"/>
      <c r="X309" s="35"/>
      <c r="Y309" s="46" t="s">
        <v>2189</v>
      </c>
      <c r="Z309">
        <v>3</v>
      </c>
      <c r="AA309" t="s">
        <v>312</v>
      </c>
      <c r="AB309" t="s">
        <v>825</v>
      </c>
      <c r="AC309" t="s">
        <v>19</v>
      </c>
      <c r="AD309" t="s">
        <v>19</v>
      </c>
      <c r="AE309" t="s">
        <v>19</v>
      </c>
      <c r="AF309" t="s">
        <v>825</v>
      </c>
      <c r="AG309" t="s">
        <v>826</v>
      </c>
      <c r="AH309" t="s">
        <v>315</v>
      </c>
      <c r="AI309" t="s">
        <v>19</v>
      </c>
      <c r="AJ309" t="s">
        <v>19</v>
      </c>
      <c r="AK309" t="s">
        <v>19</v>
      </c>
      <c r="AL309" t="s">
        <v>19</v>
      </c>
      <c r="AM309" t="s">
        <v>19</v>
      </c>
      <c r="AN309" t="s">
        <v>28</v>
      </c>
      <c r="AO309" t="s">
        <v>736</v>
      </c>
      <c r="AP309" t="s">
        <v>738</v>
      </c>
      <c r="AQ309" t="s">
        <v>741</v>
      </c>
      <c r="AR309" t="s">
        <v>744</v>
      </c>
      <c r="AS309" t="s">
        <v>747</v>
      </c>
      <c r="AT309" t="s">
        <v>750</v>
      </c>
    </row>
    <row r="310" spans="1:46">
      <c r="A310" s="154"/>
      <c r="B310" s="35" t="s">
        <v>2209</v>
      </c>
      <c r="C310" s="44"/>
      <c r="D310" s="35" t="s">
        <v>2195</v>
      </c>
      <c r="E310" s="35"/>
      <c r="F310" s="35" t="s">
        <v>2225</v>
      </c>
      <c r="G310" s="35"/>
      <c r="H310" s="35" t="s">
        <v>2225</v>
      </c>
      <c r="I310" s="35"/>
      <c r="J310" s="35"/>
      <c r="K310" s="35"/>
      <c r="L310" s="35"/>
      <c r="M310" s="35"/>
      <c r="N310" s="35"/>
      <c r="O310" s="35"/>
      <c r="P310" s="44"/>
      <c r="Q310" s="35"/>
      <c r="R310" s="35"/>
      <c r="S310" s="35"/>
      <c r="T310" s="35"/>
      <c r="U310" s="35"/>
      <c r="V310" s="35"/>
      <c r="W310" s="35"/>
      <c r="X310" s="35"/>
      <c r="Y310" s="46" t="s">
        <v>2189</v>
      </c>
      <c r="Z310">
        <v>3</v>
      </c>
      <c r="AA310" t="s">
        <v>293</v>
      </c>
      <c r="AB310" t="s">
        <v>827</v>
      </c>
      <c r="AC310" t="s">
        <v>19</v>
      </c>
      <c r="AD310" t="s">
        <v>19</v>
      </c>
      <c r="AE310" t="s">
        <v>19</v>
      </c>
      <c r="AF310" t="s">
        <v>827</v>
      </c>
      <c r="AG310" t="s">
        <v>828</v>
      </c>
      <c r="AH310" t="s">
        <v>829</v>
      </c>
      <c r="AI310" t="s">
        <v>19</v>
      </c>
      <c r="AJ310" t="s">
        <v>19</v>
      </c>
      <c r="AK310" t="s">
        <v>19</v>
      </c>
      <c r="AL310" t="s">
        <v>19</v>
      </c>
      <c r="AM310" t="s">
        <v>19</v>
      </c>
      <c r="AN310" t="s">
        <v>28</v>
      </c>
      <c r="AO310" t="s">
        <v>736</v>
      </c>
      <c r="AP310" t="s">
        <v>738</v>
      </c>
      <c r="AQ310" t="s">
        <v>741</v>
      </c>
      <c r="AR310" t="s">
        <v>744</v>
      </c>
      <c r="AS310" t="s">
        <v>747</v>
      </c>
      <c r="AT310" t="s">
        <v>750</v>
      </c>
    </row>
    <row r="311" spans="1:46">
      <c r="A311" s="154"/>
      <c r="B311" s="35" t="s">
        <v>2209</v>
      </c>
      <c r="C311" s="44"/>
      <c r="D311" s="35" t="s">
        <v>2195</v>
      </c>
      <c r="E311" s="35"/>
      <c r="F311" s="35" t="s">
        <v>2225</v>
      </c>
      <c r="G311" s="35"/>
      <c r="H311" s="35" t="s">
        <v>2225</v>
      </c>
      <c r="I311" s="35"/>
      <c r="J311" s="35"/>
      <c r="K311" s="35"/>
      <c r="L311" s="35"/>
      <c r="M311" s="35"/>
      <c r="N311" s="35"/>
      <c r="O311" s="35"/>
      <c r="P311" s="44"/>
      <c r="Q311" s="35"/>
      <c r="R311" s="35"/>
      <c r="S311" s="35"/>
      <c r="T311" s="35"/>
      <c r="U311" s="35"/>
      <c r="V311" s="35"/>
      <c r="W311" s="35"/>
      <c r="X311" s="35"/>
      <c r="Y311" s="46" t="s">
        <v>2189</v>
      </c>
      <c r="Z311">
        <v>3</v>
      </c>
      <c r="AA311" t="s">
        <v>312</v>
      </c>
      <c r="AB311" t="s">
        <v>830</v>
      </c>
      <c r="AC311" t="s">
        <v>19</v>
      </c>
      <c r="AD311" t="s">
        <v>19</v>
      </c>
      <c r="AE311" t="s">
        <v>19</v>
      </c>
      <c r="AF311" t="s">
        <v>830</v>
      </c>
      <c r="AG311" t="s">
        <v>831</v>
      </c>
      <c r="AH311" t="s">
        <v>315</v>
      </c>
      <c r="AI311" t="s">
        <v>19</v>
      </c>
      <c r="AJ311" t="s">
        <v>19</v>
      </c>
      <c r="AK311" t="s">
        <v>19</v>
      </c>
      <c r="AL311" t="s">
        <v>19</v>
      </c>
      <c r="AM311" t="s">
        <v>19</v>
      </c>
      <c r="AN311" t="s">
        <v>28</v>
      </c>
      <c r="AO311" t="s">
        <v>736</v>
      </c>
      <c r="AP311" t="s">
        <v>738</v>
      </c>
      <c r="AQ311" t="s">
        <v>741</v>
      </c>
      <c r="AR311" t="s">
        <v>744</v>
      </c>
      <c r="AS311" t="s">
        <v>747</v>
      </c>
      <c r="AT311" t="s">
        <v>750</v>
      </c>
    </row>
    <row r="312" spans="1:46">
      <c r="A312" s="154"/>
      <c r="B312" s="35" t="s">
        <v>2209</v>
      </c>
      <c r="C312" s="44"/>
      <c r="D312" s="35" t="s">
        <v>2195</v>
      </c>
      <c r="E312" s="35"/>
      <c r="F312" s="35" t="s">
        <v>2225</v>
      </c>
      <c r="G312" s="35"/>
      <c r="H312" s="35" t="s">
        <v>2225</v>
      </c>
      <c r="I312" s="35"/>
      <c r="J312" s="35"/>
      <c r="K312" s="35"/>
      <c r="L312" s="35"/>
      <c r="M312" s="35"/>
      <c r="N312" s="35"/>
      <c r="O312" s="35"/>
      <c r="P312" s="44"/>
      <c r="Q312" s="35"/>
      <c r="R312" s="35"/>
      <c r="S312" s="35"/>
      <c r="T312" s="35"/>
      <c r="U312" s="35"/>
      <c r="V312" s="35"/>
      <c r="W312" s="35"/>
      <c r="X312" s="35"/>
      <c r="Y312" s="46" t="s">
        <v>2189</v>
      </c>
      <c r="Z312">
        <v>3</v>
      </c>
      <c r="AA312" t="s">
        <v>312</v>
      </c>
      <c r="AB312" t="s">
        <v>832</v>
      </c>
      <c r="AC312" t="s">
        <v>19</v>
      </c>
      <c r="AD312" t="s">
        <v>19</v>
      </c>
      <c r="AE312" t="s">
        <v>19</v>
      </c>
      <c r="AF312" t="s">
        <v>832</v>
      </c>
      <c r="AG312" t="s">
        <v>831</v>
      </c>
      <c r="AH312" t="s">
        <v>315</v>
      </c>
      <c r="AI312" t="s">
        <v>19</v>
      </c>
      <c r="AJ312" t="s">
        <v>19</v>
      </c>
      <c r="AK312" t="s">
        <v>19</v>
      </c>
      <c r="AL312" t="s">
        <v>19</v>
      </c>
      <c r="AM312" t="s">
        <v>19</v>
      </c>
      <c r="AN312" t="s">
        <v>28</v>
      </c>
      <c r="AO312" t="s">
        <v>736</v>
      </c>
      <c r="AP312" t="s">
        <v>738</v>
      </c>
      <c r="AQ312" t="s">
        <v>741</v>
      </c>
      <c r="AR312" t="s">
        <v>744</v>
      </c>
      <c r="AS312" t="s">
        <v>747</v>
      </c>
      <c r="AT312" t="s">
        <v>750</v>
      </c>
    </row>
    <row r="313" spans="1:46">
      <c r="A313" s="154"/>
      <c r="B313" s="35" t="s">
        <v>2209</v>
      </c>
      <c r="C313" s="44"/>
      <c r="D313" s="35" t="s">
        <v>2195</v>
      </c>
      <c r="E313" s="35"/>
      <c r="F313" s="35" t="s">
        <v>2225</v>
      </c>
      <c r="G313" s="35"/>
      <c r="H313" s="35" t="s">
        <v>2225</v>
      </c>
      <c r="I313" s="35"/>
      <c r="J313" s="35"/>
      <c r="K313" s="35"/>
      <c r="L313" s="35"/>
      <c r="M313" s="35"/>
      <c r="N313" s="35"/>
      <c r="O313" s="35"/>
      <c r="P313" s="44"/>
      <c r="Q313" s="35"/>
      <c r="R313" s="35"/>
      <c r="S313" s="35"/>
      <c r="T313" s="35"/>
      <c r="U313" s="35"/>
      <c r="V313" s="35"/>
      <c r="W313" s="35"/>
      <c r="X313" s="35"/>
      <c r="Y313" s="46" t="s">
        <v>2189</v>
      </c>
      <c r="Z313">
        <v>3</v>
      </c>
      <c r="AA313" t="s">
        <v>293</v>
      </c>
      <c r="AB313" t="s">
        <v>833</v>
      </c>
      <c r="AC313" t="s">
        <v>19</v>
      </c>
      <c r="AD313" t="s">
        <v>19</v>
      </c>
      <c r="AE313" t="s">
        <v>19</v>
      </c>
      <c r="AF313" t="s">
        <v>833</v>
      </c>
      <c r="AG313" t="s">
        <v>834</v>
      </c>
      <c r="AH313" t="s">
        <v>829</v>
      </c>
      <c r="AI313" t="s">
        <v>19</v>
      </c>
      <c r="AJ313" t="s">
        <v>19</v>
      </c>
      <c r="AK313" t="s">
        <v>19</v>
      </c>
      <c r="AL313" t="s">
        <v>19</v>
      </c>
      <c r="AM313" t="s">
        <v>19</v>
      </c>
      <c r="AN313" t="s">
        <v>28</v>
      </c>
      <c r="AO313" t="s">
        <v>736</v>
      </c>
      <c r="AP313" t="s">
        <v>738</v>
      </c>
      <c r="AQ313" t="s">
        <v>741</v>
      </c>
      <c r="AR313" t="s">
        <v>744</v>
      </c>
      <c r="AS313" t="s">
        <v>747</v>
      </c>
      <c r="AT313" t="s">
        <v>750</v>
      </c>
    </row>
    <row r="314" spans="1:46">
      <c r="A314" s="154"/>
      <c r="B314" s="35" t="s">
        <v>2209</v>
      </c>
      <c r="C314" s="44"/>
      <c r="D314" s="35" t="s">
        <v>2195</v>
      </c>
      <c r="E314" s="35"/>
      <c r="F314" s="35" t="s">
        <v>2225</v>
      </c>
      <c r="G314" s="35"/>
      <c r="H314" s="35" t="s">
        <v>2225</v>
      </c>
      <c r="I314" s="35"/>
      <c r="J314" s="35"/>
      <c r="K314" s="35"/>
      <c r="L314" s="47" t="s">
        <v>2226</v>
      </c>
      <c r="M314" s="35"/>
      <c r="N314" s="35"/>
      <c r="O314" s="35"/>
      <c r="P314" s="44"/>
      <c r="Q314" s="35"/>
      <c r="R314" s="35"/>
      <c r="S314" s="35"/>
      <c r="T314" s="35"/>
      <c r="U314" s="35"/>
      <c r="V314" s="35"/>
      <c r="W314" s="35"/>
      <c r="X314" s="35"/>
      <c r="Y314" s="46" t="s">
        <v>2189</v>
      </c>
      <c r="Z314">
        <v>3</v>
      </c>
      <c r="AA314" t="s">
        <v>289</v>
      </c>
      <c r="AB314" t="s">
        <v>835</v>
      </c>
      <c r="AC314" t="s">
        <v>19</v>
      </c>
      <c r="AD314" t="s">
        <v>19</v>
      </c>
      <c r="AE314" t="s">
        <v>19</v>
      </c>
      <c r="AF314" t="s">
        <v>835</v>
      </c>
      <c r="AG314" t="s">
        <v>836</v>
      </c>
      <c r="AH314" t="s">
        <v>292</v>
      </c>
      <c r="AI314" t="s">
        <v>19</v>
      </c>
      <c r="AJ314" t="s">
        <v>19</v>
      </c>
      <c r="AK314" t="s">
        <v>19</v>
      </c>
      <c r="AL314" t="s">
        <v>19</v>
      </c>
      <c r="AM314" t="s">
        <v>19</v>
      </c>
      <c r="AN314" t="s">
        <v>28</v>
      </c>
      <c r="AO314" t="s">
        <v>736</v>
      </c>
      <c r="AP314" t="s">
        <v>738</v>
      </c>
      <c r="AQ314" t="s">
        <v>741</v>
      </c>
      <c r="AR314" t="s">
        <v>744</v>
      </c>
      <c r="AS314" t="s">
        <v>747</v>
      </c>
      <c r="AT314" t="s">
        <v>750</v>
      </c>
    </row>
    <row r="315" spans="1:46">
      <c r="A315" s="154"/>
      <c r="B315" s="35" t="s">
        <v>2209</v>
      </c>
      <c r="C315" s="44"/>
      <c r="D315" s="35" t="s">
        <v>2195</v>
      </c>
      <c r="E315" s="35"/>
      <c r="F315" s="35" t="s">
        <v>2225</v>
      </c>
      <c r="G315" s="35"/>
      <c r="H315" s="35" t="s">
        <v>2225</v>
      </c>
      <c r="I315" s="35"/>
      <c r="J315" s="35"/>
      <c r="K315" s="35"/>
      <c r="L315" s="47" t="s">
        <v>2236</v>
      </c>
      <c r="M315" s="35"/>
      <c r="N315" s="35"/>
      <c r="O315" s="35"/>
      <c r="P315" s="44"/>
      <c r="Q315" s="35"/>
      <c r="R315" s="35"/>
      <c r="S315" s="35"/>
      <c r="T315" s="35"/>
      <c r="U315" s="35"/>
      <c r="V315" s="35"/>
      <c r="W315" s="35"/>
      <c r="X315" s="35"/>
      <c r="Y315" s="46" t="s">
        <v>2189</v>
      </c>
      <c r="Z315">
        <v>3</v>
      </c>
      <c r="AA315" t="s">
        <v>304</v>
      </c>
      <c r="AB315" t="s">
        <v>837</v>
      </c>
      <c r="AC315" t="s">
        <v>19</v>
      </c>
      <c r="AD315" t="s">
        <v>19</v>
      </c>
      <c r="AE315" t="s">
        <v>19</v>
      </c>
      <c r="AF315" t="s">
        <v>837</v>
      </c>
      <c r="AG315" t="s">
        <v>838</v>
      </c>
      <c r="AH315" t="s">
        <v>307</v>
      </c>
      <c r="AI315" t="s">
        <v>19</v>
      </c>
      <c r="AJ315" t="s">
        <v>19</v>
      </c>
      <c r="AK315" t="s">
        <v>19</v>
      </c>
      <c r="AL315" t="s">
        <v>19</v>
      </c>
      <c r="AM315" t="s">
        <v>19</v>
      </c>
      <c r="AN315" t="s">
        <v>28</v>
      </c>
      <c r="AO315" t="s">
        <v>736</v>
      </c>
      <c r="AP315" t="s">
        <v>738</v>
      </c>
      <c r="AQ315" t="s">
        <v>741</v>
      </c>
      <c r="AR315" t="s">
        <v>744</v>
      </c>
      <c r="AS315" t="s">
        <v>747</v>
      </c>
      <c r="AT315" t="s">
        <v>750</v>
      </c>
    </row>
    <row r="316" spans="1:46">
      <c r="A316" s="154"/>
      <c r="B316" s="35" t="s">
        <v>2209</v>
      </c>
      <c r="C316" s="44"/>
      <c r="D316" s="35" t="s">
        <v>2195</v>
      </c>
      <c r="E316" s="35"/>
      <c r="F316" s="35" t="s">
        <v>2225</v>
      </c>
      <c r="G316" s="35"/>
      <c r="H316" s="35" t="s">
        <v>2225</v>
      </c>
      <c r="I316" s="35"/>
      <c r="J316" s="35"/>
      <c r="K316" s="35"/>
      <c r="L316" s="47" t="s">
        <v>2236</v>
      </c>
      <c r="M316" s="35"/>
      <c r="N316" s="35"/>
      <c r="O316" s="35"/>
      <c r="P316" s="44"/>
      <c r="Q316" s="35"/>
      <c r="R316" s="35"/>
      <c r="S316" s="35"/>
      <c r="T316" s="35"/>
      <c r="U316" s="35"/>
      <c r="V316" s="35"/>
      <c r="W316" s="35"/>
      <c r="X316" s="35"/>
      <c r="Y316" s="46" t="s">
        <v>2189</v>
      </c>
      <c r="Z316">
        <v>3</v>
      </c>
      <c r="AA316" t="s">
        <v>839</v>
      </c>
      <c r="AB316" t="s">
        <v>840</v>
      </c>
      <c r="AC316" t="s">
        <v>19</v>
      </c>
      <c r="AD316" t="s">
        <v>19</v>
      </c>
      <c r="AE316" t="s">
        <v>19</v>
      </c>
      <c r="AF316" t="s">
        <v>840</v>
      </c>
      <c r="AG316" t="s">
        <v>841</v>
      </c>
      <c r="AH316" t="s">
        <v>842</v>
      </c>
      <c r="AI316" t="s">
        <v>19</v>
      </c>
      <c r="AJ316" t="s">
        <v>19</v>
      </c>
      <c r="AK316" t="s">
        <v>19</v>
      </c>
      <c r="AL316" t="s">
        <v>19</v>
      </c>
      <c r="AM316" t="s">
        <v>19</v>
      </c>
      <c r="AN316" t="s">
        <v>28</v>
      </c>
      <c r="AO316" t="s">
        <v>736</v>
      </c>
      <c r="AP316" t="s">
        <v>738</v>
      </c>
      <c r="AQ316" t="s">
        <v>741</v>
      </c>
      <c r="AR316" t="s">
        <v>744</v>
      </c>
      <c r="AS316" t="s">
        <v>747</v>
      </c>
      <c r="AT316" t="s">
        <v>750</v>
      </c>
    </row>
    <row r="317" spans="1:46">
      <c r="A317" s="154"/>
      <c r="B317" s="35" t="s">
        <v>2209</v>
      </c>
      <c r="C317" s="44"/>
      <c r="D317" s="35" t="s">
        <v>2195</v>
      </c>
      <c r="E317" s="35"/>
      <c r="F317" s="35" t="s">
        <v>2225</v>
      </c>
      <c r="G317" s="35"/>
      <c r="H317" s="35" t="s">
        <v>2225</v>
      </c>
      <c r="I317" s="35"/>
      <c r="J317" s="35"/>
      <c r="K317" s="35"/>
      <c r="L317" s="47" t="s">
        <v>2236</v>
      </c>
      <c r="M317" s="35"/>
      <c r="N317" s="35"/>
      <c r="O317" s="35"/>
      <c r="P317" s="44"/>
      <c r="Q317" s="35"/>
      <c r="R317" s="35"/>
      <c r="S317" s="35"/>
      <c r="T317" s="35"/>
      <c r="U317" s="35"/>
      <c r="V317" s="35"/>
      <c r="W317" s="35"/>
      <c r="X317" s="35"/>
      <c r="Y317" s="46" t="s">
        <v>2189</v>
      </c>
      <c r="Z317">
        <v>3</v>
      </c>
      <c r="AA317" t="s">
        <v>839</v>
      </c>
      <c r="AB317" t="s">
        <v>843</v>
      </c>
      <c r="AC317" t="s">
        <v>19</v>
      </c>
      <c r="AD317" t="s">
        <v>19</v>
      </c>
      <c r="AE317" t="s">
        <v>19</v>
      </c>
      <c r="AF317" t="s">
        <v>843</v>
      </c>
      <c r="AG317" t="s">
        <v>844</v>
      </c>
      <c r="AH317" t="s">
        <v>842</v>
      </c>
      <c r="AI317" t="s">
        <v>19</v>
      </c>
      <c r="AJ317" t="s">
        <v>19</v>
      </c>
      <c r="AK317" t="s">
        <v>19</v>
      </c>
      <c r="AL317" t="s">
        <v>19</v>
      </c>
      <c r="AM317" t="s">
        <v>19</v>
      </c>
      <c r="AN317" t="s">
        <v>28</v>
      </c>
      <c r="AO317" t="s">
        <v>736</v>
      </c>
      <c r="AP317" t="s">
        <v>738</v>
      </c>
      <c r="AQ317" t="s">
        <v>741</v>
      </c>
      <c r="AR317" t="s">
        <v>744</v>
      </c>
      <c r="AS317" t="s">
        <v>747</v>
      </c>
      <c r="AT317" t="s">
        <v>750</v>
      </c>
    </row>
    <row r="318" spans="1:46">
      <c r="A318" s="154"/>
      <c r="B318" s="35" t="s">
        <v>2209</v>
      </c>
      <c r="C318" s="44"/>
      <c r="D318" s="35" t="s">
        <v>2195</v>
      </c>
      <c r="E318" s="35"/>
      <c r="F318" s="35" t="s">
        <v>2225</v>
      </c>
      <c r="G318" s="35"/>
      <c r="H318" s="35" t="s">
        <v>2225</v>
      </c>
      <c r="I318" s="35"/>
      <c r="J318" s="35"/>
      <c r="K318" s="35"/>
      <c r="L318" s="47" t="s">
        <v>2236</v>
      </c>
      <c r="M318" s="35"/>
      <c r="N318" s="35"/>
      <c r="O318" s="35"/>
      <c r="P318" s="44"/>
      <c r="Q318" s="35"/>
      <c r="R318" s="35"/>
      <c r="S318" s="35"/>
      <c r="T318" s="35"/>
      <c r="U318" s="35"/>
      <c r="V318" s="35"/>
      <c r="W318" s="35"/>
      <c r="X318" s="35"/>
      <c r="Y318" s="46" t="s">
        <v>2189</v>
      </c>
      <c r="Z318">
        <v>3</v>
      </c>
      <c r="AA318" t="s">
        <v>839</v>
      </c>
      <c r="AB318" t="s">
        <v>845</v>
      </c>
      <c r="AC318" t="s">
        <v>19</v>
      </c>
      <c r="AD318" t="s">
        <v>19</v>
      </c>
      <c r="AE318" t="s">
        <v>19</v>
      </c>
      <c r="AF318" t="s">
        <v>845</v>
      </c>
      <c r="AG318" t="s">
        <v>846</v>
      </c>
      <c r="AH318" t="s">
        <v>842</v>
      </c>
      <c r="AI318" t="s">
        <v>19</v>
      </c>
      <c r="AJ318" t="s">
        <v>19</v>
      </c>
      <c r="AK318" t="s">
        <v>19</v>
      </c>
      <c r="AL318" t="s">
        <v>19</v>
      </c>
      <c r="AM318" t="s">
        <v>19</v>
      </c>
      <c r="AN318" t="s">
        <v>28</v>
      </c>
      <c r="AO318" t="s">
        <v>736</v>
      </c>
      <c r="AP318" t="s">
        <v>738</v>
      </c>
      <c r="AQ318" t="s">
        <v>741</v>
      </c>
      <c r="AR318" t="s">
        <v>744</v>
      </c>
      <c r="AS318" t="s">
        <v>747</v>
      </c>
      <c r="AT318" t="s">
        <v>750</v>
      </c>
    </row>
    <row r="319" spans="1:46">
      <c r="A319" s="154"/>
      <c r="B319" s="35" t="s">
        <v>2209</v>
      </c>
      <c r="C319" s="44"/>
      <c r="D319" s="35" t="s">
        <v>2195</v>
      </c>
      <c r="E319" s="35"/>
      <c r="F319" s="35" t="s">
        <v>2225</v>
      </c>
      <c r="G319" s="35"/>
      <c r="H319" s="35" t="s">
        <v>2225</v>
      </c>
      <c r="I319" s="35"/>
      <c r="J319" s="35"/>
      <c r="K319" s="35"/>
      <c r="L319" s="47" t="s">
        <v>2236</v>
      </c>
      <c r="M319" s="35"/>
      <c r="N319" s="35"/>
      <c r="O319" s="35"/>
      <c r="P319" s="44"/>
      <c r="Q319" s="35"/>
      <c r="R319" s="35"/>
      <c r="S319" s="35"/>
      <c r="T319" s="35"/>
      <c r="U319" s="35"/>
      <c r="V319" s="35"/>
      <c r="W319" s="35"/>
      <c r="X319" s="35"/>
      <c r="Y319" s="46" t="s">
        <v>2189</v>
      </c>
      <c r="Z319">
        <v>3</v>
      </c>
      <c r="AA319" t="s">
        <v>839</v>
      </c>
      <c r="AB319" t="s">
        <v>847</v>
      </c>
      <c r="AC319" t="s">
        <v>19</v>
      </c>
      <c r="AD319" t="s">
        <v>19</v>
      </c>
      <c r="AE319" t="s">
        <v>19</v>
      </c>
      <c r="AF319" t="s">
        <v>847</v>
      </c>
      <c r="AG319" t="s">
        <v>848</v>
      </c>
      <c r="AH319" t="s">
        <v>842</v>
      </c>
      <c r="AI319" t="s">
        <v>19</v>
      </c>
      <c r="AJ319" t="s">
        <v>19</v>
      </c>
      <c r="AK319" t="s">
        <v>19</v>
      </c>
      <c r="AL319" t="s">
        <v>19</v>
      </c>
      <c r="AM319" t="s">
        <v>19</v>
      </c>
      <c r="AN319" t="s">
        <v>28</v>
      </c>
      <c r="AO319" t="s">
        <v>736</v>
      </c>
      <c r="AP319" t="s">
        <v>738</v>
      </c>
      <c r="AQ319" t="s">
        <v>741</v>
      </c>
      <c r="AR319" t="s">
        <v>744</v>
      </c>
      <c r="AS319" t="s">
        <v>747</v>
      </c>
      <c r="AT319" t="s">
        <v>750</v>
      </c>
    </row>
    <row r="320" spans="1:46">
      <c r="A320" s="154"/>
      <c r="B320" s="35" t="s">
        <v>2209</v>
      </c>
      <c r="C320" s="44"/>
      <c r="D320" s="35" t="s">
        <v>2195</v>
      </c>
      <c r="E320" s="35"/>
      <c r="F320" s="35" t="s">
        <v>2225</v>
      </c>
      <c r="G320" s="35"/>
      <c r="H320" s="35" t="s">
        <v>2225</v>
      </c>
      <c r="I320" s="35"/>
      <c r="J320" s="35"/>
      <c r="K320" s="35"/>
      <c r="L320" s="35"/>
      <c r="M320" s="35"/>
      <c r="N320" s="35"/>
      <c r="O320" s="35"/>
      <c r="P320" s="44"/>
      <c r="Q320" s="35"/>
      <c r="R320" s="35"/>
      <c r="S320" s="35"/>
      <c r="T320" s="35"/>
      <c r="U320" s="35"/>
      <c r="V320" s="35"/>
      <c r="W320" s="35"/>
      <c r="X320" s="35"/>
      <c r="Y320" s="46" t="s">
        <v>2189</v>
      </c>
      <c r="Z320">
        <v>3</v>
      </c>
      <c r="AA320" t="s">
        <v>849</v>
      </c>
      <c r="AB320" t="s">
        <v>850</v>
      </c>
      <c r="AC320" t="s">
        <v>19</v>
      </c>
      <c r="AD320" t="s">
        <v>19</v>
      </c>
      <c r="AE320" t="s">
        <v>19</v>
      </c>
      <c r="AF320" t="s">
        <v>850</v>
      </c>
      <c r="AG320" t="s">
        <v>851</v>
      </c>
      <c r="AH320" t="s">
        <v>852</v>
      </c>
      <c r="AI320" t="s">
        <v>19</v>
      </c>
      <c r="AJ320" t="s">
        <v>19</v>
      </c>
      <c r="AK320" t="s">
        <v>19</v>
      </c>
      <c r="AL320" t="s">
        <v>19</v>
      </c>
      <c r="AM320" t="s">
        <v>19</v>
      </c>
      <c r="AN320" t="s">
        <v>28</v>
      </c>
      <c r="AO320" t="s">
        <v>736</v>
      </c>
      <c r="AP320" t="s">
        <v>738</v>
      </c>
      <c r="AQ320" t="s">
        <v>741</v>
      </c>
      <c r="AR320" t="s">
        <v>744</v>
      </c>
      <c r="AS320" t="s">
        <v>747</v>
      </c>
      <c r="AT320" t="s">
        <v>750</v>
      </c>
    </row>
    <row r="321" spans="1:46">
      <c r="A321" s="154"/>
      <c r="B321" s="35" t="s">
        <v>2209</v>
      </c>
      <c r="C321" s="44"/>
      <c r="D321" s="35" t="s">
        <v>2195</v>
      </c>
      <c r="E321" s="35"/>
      <c r="F321" s="35" t="s">
        <v>2225</v>
      </c>
      <c r="G321" s="35"/>
      <c r="H321" s="35" t="s">
        <v>2225</v>
      </c>
      <c r="I321" s="35"/>
      <c r="J321" s="35"/>
      <c r="K321" s="35"/>
      <c r="L321" s="47" t="s">
        <v>2236</v>
      </c>
      <c r="M321" s="35"/>
      <c r="N321" s="35"/>
      <c r="O321" s="35"/>
      <c r="P321" s="44"/>
      <c r="Q321" s="35"/>
      <c r="R321" s="35"/>
      <c r="S321" s="35"/>
      <c r="T321" s="35"/>
      <c r="U321" s="35"/>
      <c r="V321" s="35"/>
      <c r="W321" s="35"/>
      <c r="X321" s="35"/>
      <c r="Y321" s="46" t="s">
        <v>2189</v>
      </c>
      <c r="Z321">
        <v>3</v>
      </c>
      <c r="AA321" t="s">
        <v>304</v>
      </c>
      <c r="AB321" t="s">
        <v>853</v>
      </c>
      <c r="AC321" t="s">
        <v>19</v>
      </c>
      <c r="AD321" t="s">
        <v>19</v>
      </c>
      <c r="AE321" t="s">
        <v>19</v>
      </c>
      <c r="AF321" t="s">
        <v>853</v>
      </c>
      <c r="AG321" t="s">
        <v>834</v>
      </c>
      <c r="AH321" t="s">
        <v>307</v>
      </c>
      <c r="AI321" t="s">
        <v>19</v>
      </c>
      <c r="AJ321" t="s">
        <v>19</v>
      </c>
      <c r="AK321" t="s">
        <v>19</v>
      </c>
      <c r="AL321" t="s">
        <v>19</v>
      </c>
      <c r="AM321" t="s">
        <v>19</v>
      </c>
      <c r="AN321" t="s">
        <v>28</v>
      </c>
      <c r="AO321" t="s">
        <v>736</v>
      </c>
      <c r="AP321" t="s">
        <v>738</v>
      </c>
      <c r="AQ321" t="s">
        <v>741</v>
      </c>
      <c r="AR321" t="s">
        <v>744</v>
      </c>
      <c r="AS321" t="s">
        <v>747</v>
      </c>
      <c r="AT321" t="s">
        <v>750</v>
      </c>
    </row>
    <row r="322" spans="1:46">
      <c r="A322" s="154"/>
      <c r="B322" s="35" t="s">
        <v>2209</v>
      </c>
      <c r="C322" s="44"/>
      <c r="D322" s="35" t="s">
        <v>2195</v>
      </c>
      <c r="E322" s="35"/>
      <c r="F322" s="35" t="s">
        <v>2225</v>
      </c>
      <c r="G322" s="35"/>
      <c r="H322" s="35" t="s">
        <v>2225</v>
      </c>
      <c r="I322" s="35"/>
      <c r="J322" s="35"/>
      <c r="K322" s="35"/>
      <c r="L322" s="47" t="s">
        <v>2236</v>
      </c>
      <c r="M322" s="35"/>
      <c r="N322" s="35"/>
      <c r="O322" s="35"/>
      <c r="P322" s="44"/>
      <c r="Q322" s="35"/>
      <c r="R322" s="35"/>
      <c r="S322" s="35"/>
      <c r="T322" s="35"/>
      <c r="U322" s="35"/>
      <c r="V322" s="35"/>
      <c r="W322" s="35"/>
      <c r="X322" s="35"/>
      <c r="Y322" s="46" t="s">
        <v>2189</v>
      </c>
      <c r="Z322">
        <v>3</v>
      </c>
      <c r="AA322" t="s">
        <v>304</v>
      </c>
      <c r="AB322" t="s">
        <v>854</v>
      </c>
      <c r="AC322" t="s">
        <v>19</v>
      </c>
      <c r="AD322" t="s">
        <v>19</v>
      </c>
      <c r="AE322" t="s">
        <v>19</v>
      </c>
      <c r="AF322" t="s">
        <v>854</v>
      </c>
      <c r="AG322" t="s">
        <v>828</v>
      </c>
      <c r="AH322" t="s">
        <v>307</v>
      </c>
      <c r="AI322" t="s">
        <v>19</v>
      </c>
      <c r="AJ322" t="s">
        <v>19</v>
      </c>
      <c r="AK322" t="s">
        <v>19</v>
      </c>
      <c r="AL322" t="s">
        <v>19</v>
      </c>
      <c r="AM322" t="s">
        <v>19</v>
      </c>
      <c r="AN322" t="s">
        <v>28</v>
      </c>
      <c r="AO322" t="s">
        <v>736</v>
      </c>
      <c r="AP322" t="s">
        <v>738</v>
      </c>
      <c r="AQ322" t="s">
        <v>741</v>
      </c>
      <c r="AR322" t="s">
        <v>744</v>
      </c>
      <c r="AS322" t="s">
        <v>747</v>
      </c>
      <c r="AT322" t="s">
        <v>750</v>
      </c>
    </row>
    <row r="323" spans="1:46">
      <c r="A323" s="154"/>
      <c r="B323" s="35" t="s">
        <v>2210</v>
      </c>
      <c r="C323" s="44"/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44"/>
      <c r="Q323" s="35"/>
      <c r="R323" s="35"/>
      <c r="S323" s="35"/>
      <c r="T323" s="35"/>
      <c r="U323" s="35"/>
      <c r="V323" s="35"/>
      <c r="W323" s="35"/>
      <c r="X323" s="35"/>
      <c r="Y323" s="46"/>
      <c r="Z323">
        <v>1</v>
      </c>
      <c r="AA323" t="s">
        <v>855</v>
      </c>
    </row>
    <row r="324" spans="1:46">
      <c r="A324" s="154"/>
      <c r="B324" s="35" t="s">
        <v>2210</v>
      </c>
      <c r="C324" s="44"/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44"/>
      <c r="Q324" s="35"/>
      <c r="R324" s="35"/>
      <c r="S324" s="35"/>
      <c r="T324" s="35"/>
      <c r="U324" s="35"/>
      <c r="V324" s="35"/>
      <c r="W324" s="35"/>
      <c r="X324" s="35"/>
      <c r="Y324" s="46"/>
      <c r="Z324">
        <v>2</v>
      </c>
      <c r="AA324" t="s">
        <v>1</v>
      </c>
      <c r="AB324" t="s">
        <v>856</v>
      </c>
      <c r="AC324" t="s">
        <v>679</v>
      </c>
      <c r="AD324" t="s">
        <v>857</v>
      </c>
    </row>
    <row r="325" spans="1:46">
      <c r="A325" s="154"/>
      <c r="B325" s="35" t="s">
        <v>2210</v>
      </c>
      <c r="C325" s="44"/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44"/>
      <c r="Q325" s="35"/>
      <c r="R325" s="35"/>
      <c r="S325" s="35"/>
      <c r="T325" s="35"/>
      <c r="U325" s="35"/>
      <c r="V325" s="35"/>
      <c r="W325" s="35"/>
      <c r="X325" s="35"/>
      <c r="Y325" s="46"/>
      <c r="Z325">
        <v>0</v>
      </c>
      <c r="AA325" t="s">
        <v>5</v>
      </c>
      <c r="AB325" t="s">
        <v>6</v>
      </c>
      <c r="AC325" t="s">
        <v>7</v>
      </c>
      <c r="AD325" t="s">
        <v>8</v>
      </c>
      <c r="AE325" t="s">
        <v>8</v>
      </c>
      <c r="AF325" t="s">
        <v>9</v>
      </c>
      <c r="AG325" t="s">
        <v>10</v>
      </c>
      <c r="AH325" t="s">
        <v>11</v>
      </c>
      <c r="AI325" t="s">
        <v>12</v>
      </c>
      <c r="AJ325" t="s">
        <v>13</v>
      </c>
      <c r="AK325" t="s">
        <v>14</v>
      </c>
      <c r="AL325" t="s">
        <v>15</v>
      </c>
      <c r="AM325" t="s">
        <v>16</v>
      </c>
      <c r="AN325" t="s">
        <v>17</v>
      </c>
      <c r="AO325" t="s">
        <v>1</v>
      </c>
    </row>
    <row r="326" spans="1:46">
      <c r="A326" s="154"/>
      <c r="B326" s="35" t="s">
        <v>2210</v>
      </c>
      <c r="C326" s="44"/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44"/>
      <c r="Q326" s="35"/>
      <c r="R326" s="35"/>
      <c r="S326" s="35"/>
      <c r="T326" s="35"/>
      <c r="U326" s="35"/>
      <c r="V326" s="35"/>
      <c r="W326" s="35"/>
      <c r="X326" s="35"/>
      <c r="Y326" s="46"/>
      <c r="Z326">
        <v>4</v>
      </c>
      <c r="AA326" t="s">
        <v>26</v>
      </c>
      <c r="AB326" t="s">
        <v>19</v>
      </c>
      <c r="AC326" t="s">
        <v>19</v>
      </c>
      <c r="AD326" t="s">
        <v>19</v>
      </c>
      <c r="AE326" t="s">
        <v>19</v>
      </c>
      <c r="AF326" t="s">
        <v>19</v>
      </c>
      <c r="AG326" t="s">
        <v>19</v>
      </c>
      <c r="AH326" t="s">
        <v>35</v>
      </c>
      <c r="AI326" t="s">
        <v>19</v>
      </c>
      <c r="AJ326" t="s">
        <v>19</v>
      </c>
      <c r="AK326" t="s">
        <v>19</v>
      </c>
      <c r="AL326" t="s">
        <v>19</v>
      </c>
      <c r="AM326" t="s">
        <v>19</v>
      </c>
      <c r="AN326" t="s">
        <v>28</v>
      </c>
      <c r="AO326">
        <v>2</v>
      </c>
    </row>
    <row r="327" spans="1:46">
      <c r="A327" s="154"/>
      <c r="B327" s="35" t="s">
        <v>2211</v>
      </c>
      <c r="C327" s="44"/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44"/>
      <c r="Q327" s="35"/>
      <c r="R327" s="35"/>
      <c r="S327" s="35"/>
      <c r="T327" s="35"/>
      <c r="U327" s="35"/>
      <c r="V327" s="35"/>
      <c r="W327" s="35"/>
      <c r="X327" s="35"/>
      <c r="Y327" s="46"/>
      <c r="Z327">
        <v>1</v>
      </c>
      <c r="AA327" t="s">
        <v>858</v>
      </c>
    </row>
    <row r="328" spans="1:46">
      <c r="A328" s="154"/>
      <c r="B328" s="35" t="s">
        <v>2211</v>
      </c>
      <c r="C328" s="44"/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44"/>
      <c r="Q328" s="35"/>
      <c r="R328" s="35"/>
      <c r="S328" s="35"/>
      <c r="T328" s="35"/>
      <c r="U328" s="35"/>
      <c r="V328" s="35"/>
      <c r="W328" s="35"/>
      <c r="X328" s="35"/>
      <c r="Y328" s="46"/>
      <c r="Z328">
        <v>2</v>
      </c>
      <c r="AA328" t="s">
        <v>1</v>
      </c>
      <c r="AB328" t="s">
        <v>859</v>
      </c>
      <c r="AC328" t="s">
        <v>3</v>
      </c>
      <c r="AD328" t="s">
        <v>860</v>
      </c>
    </row>
    <row r="329" spans="1:46">
      <c r="A329" s="154"/>
      <c r="B329" s="35" t="s">
        <v>2211</v>
      </c>
      <c r="C329" s="44"/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44"/>
      <c r="Q329" s="35"/>
      <c r="R329" s="35"/>
      <c r="S329" s="35"/>
      <c r="T329" s="35"/>
      <c r="U329" s="35"/>
      <c r="V329" s="35"/>
      <c r="W329" s="35"/>
      <c r="X329" s="35"/>
      <c r="Y329" s="46"/>
      <c r="Z329">
        <v>0</v>
      </c>
      <c r="AA329" t="s">
        <v>5</v>
      </c>
      <c r="AB329" t="s">
        <v>6</v>
      </c>
      <c r="AC329" t="s">
        <v>7</v>
      </c>
      <c r="AD329" t="s">
        <v>8</v>
      </c>
      <c r="AE329" t="s">
        <v>8</v>
      </c>
      <c r="AF329" t="s">
        <v>9</v>
      </c>
      <c r="AG329" t="s">
        <v>10</v>
      </c>
      <c r="AH329" t="s">
        <v>11</v>
      </c>
      <c r="AI329" t="s">
        <v>12</v>
      </c>
      <c r="AJ329" t="s">
        <v>13</v>
      </c>
      <c r="AK329" t="s">
        <v>14</v>
      </c>
      <c r="AL329" t="s">
        <v>15</v>
      </c>
      <c r="AM329" t="s">
        <v>16</v>
      </c>
      <c r="AN329" t="s">
        <v>17</v>
      </c>
      <c r="AO329" t="s">
        <v>1</v>
      </c>
    </row>
    <row r="330" spans="1:46">
      <c r="A330" s="154"/>
      <c r="B330" s="35" t="s">
        <v>2211</v>
      </c>
      <c r="C330" s="44"/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44"/>
      <c r="Q330" s="35"/>
      <c r="R330" s="35"/>
      <c r="S330" s="35"/>
      <c r="T330" s="35"/>
      <c r="U330" s="35"/>
      <c r="V330" s="35"/>
      <c r="W330" s="35"/>
      <c r="X330" s="35"/>
      <c r="Y330" s="46"/>
      <c r="Z330">
        <v>4</v>
      </c>
      <c r="AA330" t="s">
        <v>22</v>
      </c>
      <c r="AB330" t="s">
        <v>19</v>
      </c>
      <c r="AC330" t="s">
        <v>19</v>
      </c>
      <c r="AD330" t="s">
        <v>19</v>
      </c>
      <c r="AE330" t="s">
        <v>19</v>
      </c>
      <c r="AF330" t="s">
        <v>19</v>
      </c>
      <c r="AG330" t="s">
        <v>19</v>
      </c>
      <c r="AH330" t="s">
        <v>24</v>
      </c>
      <c r="AI330" t="s">
        <v>19</v>
      </c>
      <c r="AJ330" t="s">
        <v>19</v>
      </c>
      <c r="AK330" t="s">
        <v>19</v>
      </c>
      <c r="AL330" t="s">
        <v>19</v>
      </c>
      <c r="AM330" t="s">
        <v>19</v>
      </c>
      <c r="AN330" t="s">
        <v>21</v>
      </c>
      <c r="AO330">
        <v>416</v>
      </c>
    </row>
    <row r="331" spans="1:46">
      <c r="A331" s="154"/>
      <c r="B331" s="35" t="s">
        <v>2211</v>
      </c>
      <c r="C331" s="44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44"/>
      <c r="Q331" s="35"/>
      <c r="R331" s="35"/>
      <c r="S331" s="35"/>
      <c r="T331" s="35"/>
      <c r="U331" s="35"/>
      <c r="V331" s="35"/>
      <c r="W331" s="35"/>
      <c r="X331" s="35"/>
      <c r="Y331" s="46"/>
      <c r="Z331">
        <v>4</v>
      </c>
      <c r="AA331" t="s">
        <v>861</v>
      </c>
      <c r="AB331" t="s">
        <v>19</v>
      </c>
      <c r="AC331" t="s">
        <v>19</v>
      </c>
      <c r="AD331" t="s">
        <v>19</v>
      </c>
      <c r="AE331" t="s">
        <v>19</v>
      </c>
      <c r="AF331" t="s">
        <v>19</v>
      </c>
      <c r="AG331" t="s">
        <v>19</v>
      </c>
      <c r="AH331" t="s">
        <v>862</v>
      </c>
      <c r="AI331" t="s">
        <v>19</v>
      </c>
      <c r="AJ331" t="s">
        <v>19</v>
      </c>
      <c r="AK331" t="s">
        <v>19</v>
      </c>
      <c r="AL331" t="s">
        <v>19</v>
      </c>
      <c r="AM331" t="s">
        <v>19</v>
      </c>
      <c r="AN331" t="s">
        <v>21</v>
      </c>
      <c r="AO331">
        <v>165</v>
      </c>
    </row>
    <row r="332" spans="1:46">
      <c r="A332" s="154"/>
      <c r="B332" s="35" t="s">
        <v>2211</v>
      </c>
      <c r="C332" s="44"/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44"/>
      <c r="Q332" s="35"/>
      <c r="R332" s="35"/>
      <c r="S332" s="35"/>
      <c r="T332" s="35"/>
      <c r="U332" s="35"/>
      <c r="V332" s="35"/>
      <c r="W332" s="35"/>
      <c r="X332" s="35"/>
      <c r="Y332" s="46"/>
      <c r="Z332">
        <v>4</v>
      </c>
      <c r="AA332" t="s">
        <v>26</v>
      </c>
      <c r="AB332" t="s">
        <v>19</v>
      </c>
      <c r="AC332" t="s">
        <v>19</v>
      </c>
      <c r="AD332" t="s">
        <v>19</v>
      </c>
      <c r="AE332" t="s">
        <v>19</v>
      </c>
      <c r="AF332" t="s">
        <v>19</v>
      </c>
      <c r="AG332" t="s">
        <v>19</v>
      </c>
      <c r="AH332" t="s">
        <v>863</v>
      </c>
      <c r="AI332" t="s">
        <v>19</v>
      </c>
      <c r="AJ332" t="s">
        <v>19</v>
      </c>
      <c r="AK332" t="s">
        <v>19</v>
      </c>
      <c r="AL332" t="s">
        <v>19</v>
      </c>
      <c r="AM332" t="s">
        <v>19</v>
      </c>
      <c r="AN332" t="s">
        <v>28</v>
      </c>
      <c r="AO332">
        <v>4</v>
      </c>
    </row>
    <row r="333" spans="1:46">
      <c r="A333" s="154"/>
      <c r="B333" s="35" t="s">
        <v>2211</v>
      </c>
      <c r="C333" s="44"/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44"/>
      <c r="Q333" s="35"/>
      <c r="R333" s="35"/>
      <c r="S333" s="35"/>
      <c r="T333" s="35"/>
      <c r="U333" s="35"/>
      <c r="V333" s="35"/>
      <c r="W333" s="35"/>
      <c r="X333" s="35"/>
      <c r="Y333" s="46"/>
      <c r="Z333">
        <v>4</v>
      </c>
      <c r="AA333" t="s">
        <v>26</v>
      </c>
      <c r="AB333" t="s">
        <v>19</v>
      </c>
      <c r="AC333" t="s">
        <v>19</v>
      </c>
      <c r="AD333" t="s">
        <v>19</v>
      </c>
      <c r="AE333" t="s">
        <v>19</v>
      </c>
      <c r="AF333" t="s">
        <v>19</v>
      </c>
      <c r="AG333" t="s">
        <v>19</v>
      </c>
      <c r="AH333" t="s">
        <v>41</v>
      </c>
      <c r="AI333" t="s">
        <v>19</v>
      </c>
      <c r="AJ333" t="s">
        <v>19</v>
      </c>
      <c r="AK333" t="s">
        <v>19</v>
      </c>
      <c r="AL333" t="s">
        <v>19</v>
      </c>
      <c r="AM333" t="s">
        <v>19</v>
      </c>
      <c r="AN333" t="s">
        <v>28</v>
      </c>
      <c r="AO333">
        <v>2</v>
      </c>
    </row>
    <row r="334" spans="1:46">
      <c r="A334" s="154"/>
      <c r="B334" s="35" t="s">
        <v>2211</v>
      </c>
      <c r="C334" s="44"/>
      <c r="D334" s="35" t="s">
        <v>2180</v>
      </c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44"/>
      <c r="Q334" s="35"/>
      <c r="R334" s="35"/>
      <c r="S334" s="35"/>
      <c r="T334" s="35"/>
      <c r="U334" s="35"/>
      <c r="V334" s="35"/>
      <c r="W334" s="35"/>
      <c r="X334" s="35"/>
      <c r="Y334" s="46" t="s">
        <v>2182</v>
      </c>
      <c r="Z334">
        <v>3</v>
      </c>
      <c r="AA334" t="s">
        <v>864</v>
      </c>
      <c r="AB334" t="s">
        <v>865</v>
      </c>
      <c r="AC334" t="s">
        <v>19</v>
      </c>
      <c r="AD334" t="s">
        <v>149</v>
      </c>
      <c r="AE334" t="s">
        <v>149</v>
      </c>
      <c r="AF334" t="s">
        <v>866</v>
      </c>
      <c r="AG334" t="s">
        <v>867</v>
      </c>
      <c r="AH334" t="s">
        <v>868</v>
      </c>
      <c r="AI334" t="s">
        <v>19</v>
      </c>
      <c r="AJ334" t="s">
        <v>19</v>
      </c>
      <c r="AK334" t="s">
        <v>79</v>
      </c>
      <c r="AL334" t="s">
        <v>154</v>
      </c>
      <c r="AM334" t="s">
        <v>155</v>
      </c>
      <c r="AN334" t="s">
        <v>28</v>
      </c>
      <c r="AO334" t="s">
        <v>859</v>
      </c>
    </row>
    <row r="335" spans="1:46">
      <c r="A335" s="154"/>
      <c r="B335" s="35" t="s">
        <v>2211</v>
      </c>
      <c r="C335" s="44"/>
      <c r="D335" s="35" t="s">
        <v>2180</v>
      </c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44"/>
      <c r="Q335" s="35"/>
      <c r="R335" s="35"/>
      <c r="S335" s="35"/>
      <c r="T335" s="35"/>
      <c r="U335" s="35"/>
      <c r="V335" s="35"/>
      <c r="W335" s="35"/>
      <c r="X335" s="35"/>
      <c r="Y335" s="46" t="s">
        <v>2182</v>
      </c>
      <c r="Z335">
        <v>3</v>
      </c>
      <c r="AA335" t="s">
        <v>869</v>
      </c>
      <c r="AB335" t="s">
        <v>870</v>
      </c>
      <c r="AC335" t="s">
        <v>19</v>
      </c>
      <c r="AD335" t="s">
        <v>19</v>
      </c>
      <c r="AE335" t="s">
        <v>19</v>
      </c>
      <c r="AF335" t="s">
        <v>870</v>
      </c>
      <c r="AG335" t="s">
        <v>871</v>
      </c>
      <c r="AH335" t="s">
        <v>872</v>
      </c>
      <c r="AI335" t="s">
        <v>19</v>
      </c>
      <c r="AJ335" t="s">
        <v>866</v>
      </c>
      <c r="AK335" t="s">
        <v>19</v>
      </c>
      <c r="AL335" t="s">
        <v>19</v>
      </c>
      <c r="AM335" t="s">
        <v>19</v>
      </c>
      <c r="AN335" t="s">
        <v>28</v>
      </c>
      <c r="AO335" t="s">
        <v>859</v>
      </c>
    </row>
    <row r="336" spans="1:46">
      <c r="A336" s="154"/>
      <c r="B336" s="35" t="s">
        <v>2211</v>
      </c>
      <c r="C336" s="44"/>
      <c r="D336" s="35" t="s">
        <v>2180</v>
      </c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44"/>
      <c r="Q336" s="35"/>
      <c r="R336" s="35"/>
      <c r="S336" s="35"/>
      <c r="T336" s="35"/>
      <c r="U336" s="35"/>
      <c r="V336" s="35"/>
      <c r="W336" s="35"/>
      <c r="X336" s="35"/>
      <c r="Y336" s="46" t="s">
        <v>2182</v>
      </c>
      <c r="Z336">
        <v>3</v>
      </c>
      <c r="AA336" t="s">
        <v>864</v>
      </c>
      <c r="AB336" t="s">
        <v>873</v>
      </c>
      <c r="AC336" t="s">
        <v>19</v>
      </c>
      <c r="AD336" t="s">
        <v>249</v>
      </c>
      <c r="AE336" t="s">
        <v>250</v>
      </c>
      <c r="AF336" t="s">
        <v>874</v>
      </c>
      <c r="AG336" t="s">
        <v>875</v>
      </c>
      <c r="AH336" t="s">
        <v>868</v>
      </c>
      <c r="AI336" t="s">
        <v>19</v>
      </c>
      <c r="AJ336" t="s">
        <v>19</v>
      </c>
      <c r="AK336" t="s">
        <v>79</v>
      </c>
      <c r="AL336" t="s">
        <v>254</v>
      </c>
      <c r="AM336" t="s">
        <v>255</v>
      </c>
      <c r="AN336" t="s">
        <v>28</v>
      </c>
      <c r="AO336" t="s">
        <v>859</v>
      </c>
    </row>
    <row r="337" spans="1:41">
      <c r="A337" s="154"/>
      <c r="B337" s="35" t="s">
        <v>2211</v>
      </c>
      <c r="C337" s="44"/>
      <c r="D337" s="35" t="s">
        <v>2180</v>
      </c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44"/>
      <c r="Q337" s="35"/>
      <c r="R337" s="35"/>
      <c r="S337" s="35"/>
      <c r="T337" s="35"/>
      <c r="U337" s="35"/>
      <c r="V337" s="35"/>
      <c r="W337" s="35"/>
      <c r="X337" s="35"/>
      <c r="Y337" s="46" t="s">
        <v>2182</v>
      </c>
      <c r="Z337">
        <v>3</v>
      </c>
      <c r="AA337" t="s">
        <v>869</v>
      </c>
      <c r="AB337" t="s">
        <v>876</v>
      </c>
      <c r="AC337" t="s">
        <v>19</v>
      </c>
      <c r="AD337" t="s">
        <v>19</v>
      </c>
      <c r="AE337" t="s">
        <v>19</v>
      </c>
      <c r="AF337" t="s">
        <v>876</v>
      </c>
      <c r="AG337" t="s">
        <v>875</v>
      </c>
      <c r="AH337" t="s">
        <v>872</v>
      </c>
      <c r="AI337" t="s">
        <v>19</v>
      </c>
      <c r="AJ337" t="s">
        <v>874</v>
      </c>
      <c r="AK337" t="s">
        <v>19</v>
      </c>
      <c r="AL337" t="s">
        <v>19</v>
      </c>
      <c r="AM337" t="s">
        <v>19</v>
      </c>
      <c r="AN337" t="s">
        <v>28</v>
      </c>
      <c r="AO337" t="s">
        <v>859</v>
      </c>
    </row>
    <row r="338" spans="1:41">
      <c r="A338" s="154"/>
      <c r="B338" s="35" t="s">
        <v>2212</v>
      </c>
      <c r="C338" s="44"/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44"/>
      <c r="Q338" s="35"/>
      <c r="R338" s="35"/>
      <c r="S338" s="35"/>
      <c r="T338" s="35"/>
      <c r="U338" s="35"/>
      <c r="V338" s="35"/>
      <c r="W338" s="35"/>
      <c r="X338" s="35"/>
      <c r="Y338" s="46"/>
      <c r="Z338">
        <v>1</v>
      </c>
      <c r="AA338" t="s">
        <v>877</v>
      </c>
    </row>
    <row r="339" spans="1:41">
      <c r="A339" s="154"/>
      <c r="B339" s="35" t="s">
        <v>2212</v>
      </c>
      <c r="C339" s="44"/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44"/>
      <c r="Q339" s="35"/>
      <c r="R339" s="35"/>
      <c r="S339" s="35"/>
      <c r="T339" s="35"/>
      <c r="U339" s="35"/>
      <c r="V339" s="35"/>
      <c r="W339" s="35"/>
      <c r="X339" s="35"/>
      <c r="Y339" s="46"/>
      <c r="Z339">
        <v>2</v>
      </c>
      <c r="AA339" t="s">
        <v>1</v>
      </c>
      <c r="AB339" t="s">
        <v>878</v>
      </c>
      <c r="AC339" t="s">
        <v>3</v>
      </c>
      <c r="AD339" t="s">
        <v>879</v>
      </c>
    </row>
    <row r="340" spans="1:41">
      <c r="A340" s="154"/>
      <c r="B340" s="35" t="s">
        <v>2212</v>
      </c>
      <c r="C340" s="44"/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44"/>
      <c r="Q340" s="35"/>
      <c r="R340" s="35"/>
      <c r="S340" s="35"/>
      <c r="T340" s="35"/>
      <c r="U340" s="35"/>
      <c r="V340" s="35"/>
      <c r="W340" s="35"/>
      <c r="X340" s="35"/>
      <c r="Y340" s="46"/>
      <c r="Z340">
        <v>0</v>
      </c>
      <c r="AA340" t="s">
        <v>5</v>
      </c>
      <c r="AB340" t="s">
        <v>6</v>
      </c>
      <c r="AC340" t="s">
        <v>7</v>
      </c>
      <c r="AD340" t="s">
        <v>8</v>
      </c>
      <c r="AE340" t="s">
        <v>8</v>
      </c>
      <c r="AF340" t="s">
        <v>9</v>
      </c>
      <c r="AG340" t="s">
        <v>10</v>
      </c>
      <c r="AH340" t="s">
        <v>11</v>
      </c>
      <c r="AI340" t="s">
        <v>12</v>
      </c>
      <c r="AJ340" t="s">
        <v>13</v>
      </c>
      <c r="AK340" t="s">
        <v>14</v>
      </c>
      <c r="AL340" t="s">
        <v>15</v>
      </c>
      <c r="AM340" t="s">
        <v>16</v>
      </c>
      <c r="AN340" t="s">
        <v>17</v>
      </c>
      <c r="AO340" t="s">
        <v>1</v>
      </c>
    </row>
    <row r="341" spans="1:41">
      <c r="A341" s="154"/>
      <c r="B341" s="35" t="s">
        <v>2212</v>
      </c>
      <c r="C341" s="44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44"/>
      <c r="Q341" s="35"/>
      <c r="R341" s="35"/>
      <c r="S341" s="35"/>
      <c r="T341" s="35"/>
      <c r="U341" s="35"/>
      <c r="V341" s="35"/>
      <c r="W341" s="35"/>
      <c r="X341" s="35"/>
      <c r="Y341" s="46"/>
      <c r="Z341">
        <v>4</v>
      </c>
      <c r="AA341" t="s">
        <v>26</v>
      </c>
      <c r="AB341" t="s">
        <v>19</v>
      </c>
      <c r="AC341" t="s">
        <v>19</v>
      </c>
      <c r="AD341" t="s">
        <v>19</v>
      </c>
      <c r="AE341" t="s">
        <v>19</v>
      </c>
      <c r="AF341" t="s">
        <v>19</v>
      </c>
      <c r="AG341" t="s">
        <v>19</v>
      </c>
      <c r="AH341" t="s">
        <v>38</v>
      </c>
      <c r="AI341" t="s">
        <v>19</v>
      </c>
      <c r="AJ341" t="s">
        <v>19</v>
      </c>
      <c r="AK341" t="s">
        <v>19</v>
      </c>
      <c r="AL341" t="s">
        <v>19</v>
      </c>
      <c r="AM341" t="s">
        <v>19</v>
      </c>
      <c r="AN341" t="s">
        <v>28</v>
      </c>
      <c r="AO341">
        <v>2</v>
      </c>
    </row>
    <row r="342" spans="1:41">
      <c r="A342" s="154"/>
      <c r="B342" s="35" t="s">
        <v>2212</v>
      </c>
      <c r="C342" s="44"/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44"/>
      <c r="Q342" s="35"/>
      <c r="R342" s="35"/>
      <c r="S342" s="35"/>
      <c r="T342" s="35"/>
      <c r="U342" s="35"/>
      <c r="V342" s="35"/>
      <c r="W342" s="35"/>
      <c r="X342" s="35"/>
      <c r="Y342" s="46"/>
      <c r="Z342">
        <v>4</v>
      </c>
      <c r="AA342" t="s">
        <v>26</v>
      </c>
      <c r="AB342" t="s">
        <v>19</v>
      </c>
      <c r="AC342" t="s">
        <v>19</v>
      </c>
      <c r="AD342" t="s">
        <v>19</v>
      </c>
      <c r="AE342" t="s">
        <v>19</v>
      </c>
      <c r="AF342" t="s">
        <v>19</v>
      </c>
      <c r="AG342" t="s">
        <v>19</v>
      </c>
      <c r="AH342" t="s">
        <v>50</v>
      </c>
      <c r="AI342" t="s">
        <v>19</v>
      </c>
      <c r="AJ342" t="s">
        <v>19</v>
      </c>
      <c r="AK342" t="s">
        <v>19</v>
      </c>
      <c r="AL342" t="s">
        <v>19</v>
      </c>
      <c r="AM342" t="s">
        <v>19</v>
      </c>
      <c r="AN342" t="s">
        <v>28</v>
      </c>
      <c r="AO342">
        <v>8</v>
      </c>
    </row>
    <row r="343" spans="1:41">
      <c r="A343" s="154"/>
      <c r="B343" s="35" t="s">
        <v>2212</v>
      </c>
      <c r="C343" s="44"/>
      <c r="D343" s="35" t="s">
        <v>2180</v>
      </c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44"/>
      <c r="Q343" s="35"/>
      <c r="R343" s="35"/>
      <c r="S343" s="35"/>
      <c r="T343" s="35"/>
      <c r="U343" s="35"/>
      <c r="V343" s="35"/>
      <c r="W343" s="35"/>
      <c r="X343" s="35"/>
      <c r="Y343" s="46" t="s">
        <v>2182</v>
      </c>
      <c r="Z343">
        <v>3</v>
      </c>
      <c r="AA343" t="s">
        <v>276</v>
      </c>
      <c r="AB343" t="s">
        <v>880</v>
      </c>
      <c r="AC343" t="s">
        <v>19</v>
      </c>
      <c r="AD343" t="s">
        <v>81</v>
      </c>
      <c r="AE343" t="s">
        <v>81</v>
      </c>
      <c r="AF343" t="s">
        <v>881</v>
      </c>
      <c r="AG343" t="s">
        <v>882</v>
      </c>
      <c r="AH343" t="s">
        <v>280</v>
      </c>
      <c r="AI343" t="s">
        <v>261</v>
      </c>
      <c r="AJ343" t="s">
        <v>19</v>
      </c>
      <c r="AK343" t="s">
        <v>213</v>
      </c>
      <c r="AL343" t="s">
        <v>84</v>
      </c>
      <c r="AM343" t="s">
        <v>19</v>
      </c>
      <c r="AN343" t="s">
        <v>28</v>
      </c>
      <c r="AO343" t="s">
        <v>878</v>
      </c>
    </row>
    <row r="344" spans="1:41">
      <c r="A344" s="154"/>
      <c r="B344" s="35" t="s">
        <v>2212</v>
      </c>
      <c r="C344" s="44"/>
      <c r="D344" s="35" t="s">
        <v>2180</v>
      </c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44"/>
      <c r="Q344" s="35"/>
      <c r="R344" s="35"/>
      <c r="S344" s="35"/>
      <c r="T344" s="35"/>
      <c r="U344" s="35"/>
      <c r="V344" s="35"/>
      <c r="W344" s="35"/>
      <c r="X344" s="35"/>
      <c r="Y344" s="46" t="s">
        <v>2182</v>
      </c>
      <c r="Z344">
        <v>3</v>
      </c>
      <c r="AA344" t="s">
        <v>883</v>
      </c>
      <c r="AB344" t="s">
        <v>884</v>
      </c>
      <c r="AC344" t="s">
        <v>19</v>
      </c>
      <c r="AD344" t="s">
        <v>249</v>
      </c>
      <c r="AE344" t="s">
        <v>250</v>
      </c>
      <c r="AF344" t="s">
        <v>885</v>
      </c>
      <c r="AG344" t="s">
        <v>886</v>
      </c>
      <c r="AH344" t="s">
        <v>887</v>
      </c>
      <c r="AI344" t="s">
        <v>261</v>
      </c>
      <c r="AJ344" t="s">
        <v>19</v>
      </c>
      <c r="AK344" t="s">
        <v>771</v>
      </c>
      <c r="AL344" t="s">
        <v>254</v>
      </c>
      <c r="AM344" t="s">
        <v>255</v>
      </c>
      <c r="AN344" t="s">
        <v>28</v>
      </c>
      <c r="AO344" t="s">
        <v>878</v>
      </c>
    </row>
    <row r="345" spans="1:41">
      <c r="A345" s="154"/>
      <c r="B345" s="35" t="s">
        <v>2213</v>
      </c>
      <c r="C345" s="44"/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44"/>
      <c r="Q345" s="35"/>
      <c r="R345" s="35"/>
      <c r="S345" s="35"/>
      <c r="T345" s="35"/>
      <c r="U345" s="35"/>
      <c r="V345" s="35"/>
      <c r="W345" s="35"/>
      <c r="X345" s="35"/>
      <c r="Y345" s="46"/>
      <c r="Z345">
        <v>1</v>
      </c>
      <c r="AA345" t="s">
        <v>888</v>
      </c>
    </row>
    <row r="346" spans="1:41">
      <c r="A346" s="154" t="s">
        <v>2340</v>
      </c>
      <c r="B346" s="35" t="s">
        <v>2213</v>
      </c>
      <c r="C346" s="44"/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44"/>
      <c r="Q346" s="35"/>
      <c r="R346" s="35"/>
      <c r="S346" s="35"/>
      <c r="T346" s="35"/>
      <c r="U346" s="35"/>
      <c r="V346" s="35"/>
      <c r="W346" s="35"/>
      <c r="X346" s="35"/>
      <c r="Y346" s="46"/>
      <c r="Z346">
        <v>2</v>
      </c>
      <c r="AA346" t="s">
        <v>1</v>
      </c>
      <c r="AB346" t="s">
        <v>889</v>
      </c>
      <c r="AC346" t="s">
        <v>890</v>
      </c>
      <c r="AD346" s="153" t="s">
        <v>2341</v>
      </c>
    </row>
    <row r="347" spans="1:41">
      <c r="A347" s="154"/>
      <c r="B347" s="35" t="s">
        <v>2213</v>
      </c>
      <c r="C347" s="44"/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44"/>
      <c r="Q347" s="35"/>
      <c r="R347" s="35"/>
      <c r="S347" s="35"/>
      <c r="T347" s="35"/>
      <c r="U347" s="35"/>
      <c r="V347" s="35"/>
      <c r="W347" s="35"/>
      <c r="X347" s="35"/>
      <c r="Y347" s="46"/>
      <c r="Z347">
        <v>0</v>
      </c>
      <c r="AA347" t="s">
        <v>5</v>
      </c>
      <c r="AB347" t="s">
        <v>6</v>
      </c>
      <c r="AC347" t="s">
        <v>7</v>
      </c>
      <c r="AD347" t="s">
        <v>8</v>
      </c>
      <c r="AE347" t="s">
        <v>8</v>
      </c>
      <c r="AF347" t="s">
        <v>9</v>
      </c>
      <c r="AG347" t="s">
        <v>10</v>
      </c>
      <c r="AH347" t="s">
        <v>11</v>
      </c>
      <c r="AI347" t="s">
        <v>12</v>
      </c>
      <c r="AJ347" t="s">
        <v>13</v>
      </c>
      <c r="AK347" t="s">
        <v>14</v>
      </c>
      <c r="AL347" t="s">
        <v>15</v>
      </c>
      <c r="AM347" t="s">
        <v>16</v>
      </c>
      <c r="AN347" t="s">
        <v>17</v>
      </c>
      <c r="AO347" t="s">
        <v>1</v>
      </c>
    </row>
    <row r="348" spans="1:41">
      <c r="A348" s="154" t="s">
        <v>2371</v>
      </c>
      <c r="B348" s="35" t="s">
        <v>2213</v>
      </c>
      <c r="C348" s="44"/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44"/>
      <c r="Q348" s="35"/>
      <c r="R348" s="35"/>
      <c r="S348" s="35"/>
      <c r="T348" s="35"/>
      <c r="U348" s="35"/>
      <c r="V348" s="35"/>
      <c r="W348" s="35"/>
      <c r="X348" s="35"/>
      <c r="Y348" s="46"/>
      <c r="Z348">
        <v>4</v>
      </c>
      <c r="AA348" t="s">
        <v>22</v>
      </c>
      <c r="AB348" t="s">
        <v>19</v>
      </c>
      <c r="AC348" t="s">
        <v>19</v>
      </c>
      <c r="AD348" t="s">
        <v>19</v>
      </c>
      <c r="AE348" t="s">
        <v>19</v>
      </c>
      <c r="AF348" t="s">
        <v>19</v>
      </c>
      <c r="AG348" t="s">
        <v>19</v>
      </c>
      <c r="AH348" t="s">
        <v>24</v>
      </c>
      <c r="AI348" t="s">
        <v>19</v>
      </c>
      <c r="AJ348" t="s">
        <v>19</v>
      </c>
      <c r="AK348" t="s">
        <v>19</v>
      </c>
      <c r="AL348" t="s">
        <v>19</v>
      </c>
      <c r="AM348" t="s">
        <v>19</v>
      </c>
      <c r="AN348" t="s">
        <v>21</v>
      </c>
      <c r="AO348" s="153">
        <v>586</v>
      </c>
    </row>
    <row r="349" spans="1:41">
      <c r="A349" s="154"/>
      <c r="B349" s="35" t="s">
        <v>2213</v>
      </c>
      <c r="C349" s="44"/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44"/>
      <c r="Q349" s="35"/>
      <c r="R349" s="35"/>
      <c r="S349" s="35"/>
      <c r="T349" s="35"/>
      <c r="U349" s="35"/>
      <c r="V349" s="35"/>
      <c r="W349" s="35"/>
      <c r="X349" s="35"/>
      <c r="Y349" s="46"/>
      <c r="Z349">
        <v>4</v>
      </c>
      <c r="AA349" t="s">
        <v>26</v>
      </c>
      <c r="AB349" t="s">
        <v>19</v>
      </c>
      <c r="AC349" t="s">
        <v>19</v>
      </c>
      <c r="AD349" t="s">
        <v>19</v>
      </c>
      <c r="AE349" t="s">
        <v>19</v>
      </c>
      <c r="AF349" t="s">
        <v>19</v>
      </c>
      <c r="AG349" t="s">
        <v>19</v>
      </c>
      <c r="AH349" t="s">
        <v>40</v>
      </c>
      <c r="AI349" t="s">
        <v>19</v>
      </c>
      <c r="AJ349" t="s">
        <v>19</v>
      </c>
      <c r="AK349" t="s">
        <v>19</v>
      </c>
      <c r="AL349" t="s">
        <v>19</v>
      </c>
      <c r="AM349" t="s">
        <v>19</v>
      </c>
      <c r="AN349" t="s">
        <v>28</v>
      </c>
      <c r="AO349">
        <v>2</v>
      </c>
    </row>
    <row r="350" spans="1:41">
      <c r="A350" s="154"/>
      <c r="B350" s="35" t="s">
        <v>2213</v>
      </c>
      <c r="C350" s="44"/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44"/>
      <c r="Q350" s="35"/>
      <c r="R350" s="35"/>
      <c r="S350" s="35"/>
      <c r="T350" s="35"/>
      <c r="U350" s="35"/>
      <c r="V350" s="35"/>
      <c r="W350" s="35"/>
      <c r="X350" s="35"/>
      <c r="Y350" s="46"/>
      <c r="Z350">
        <v>4</v>
      </c>
      <c r="AA350" t="s">
        <v>26</v>
      </c>
      <c r="AB350" t="s">
        <v>19</v>
      </c>
      <c r="AC350" t="s">
        <v>19</v>
      </c>
      <c r="AD350" t="s">
        <v>19</v>
      </c>
      <c r="AE350" t="s">
        <v>19</v>
      </c>
      <c r="AF350" t="s">
        <v>19</v>
      </c>
      <c r="AG350" t="s">
        <v>19</v>
      </c>
      <c r="AH350" t="s">
        <v>41</v>
      </c>
      <c r="AI350" t="s">
        <v>19</v>
      </c>
      <c r="AJ350" t="s">
        <v>19</v>
      </c>
      <c r="AK350" t="s">
        <v>19</v>
      </c>
      <c r="AL350" t="s">
        <v>19</v>
      </c>
      <c r="AM350" t="s">
        <v>19</v>
      </c>
      <c r="AN350" t="s">
        <v>28</v>
      </c>
      <c r="AO350">
        <v>2</v>
      </c>
    </row>
    <row r="351" spans="1:41">
      <c r="A351" s="154"/>
      <c r="B351" s="35" t="s">
        <v>2213</v>
      </c>
      <c r="C351" s="44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44"/>
      <c r="Q351" s="35"/>
      <c r="R351" s="35"/>
      <c r="S351" s="35"/>
      <c r="T351" s="35"/>
      <c r="U351" s="35"/>
      <c r="V351" s="35"/>
      <c r="W351" s="35"/>
      <c r="X351" s="35"/>
      <c r="Y351" s="46"/>
      <c r="Z351">
        <v>4</v>
      </c>
      <c r="AA351" t="s">
        <v>26</v>
      </c>
      <c r="AB351" t="s">
        <v>19</v>
      </c>
      <c r="AC351" t="s">
        <v>19</v>
      </c>
      <c r="AD351" t="s">
        <v>19</v>
      </c>
      <c r="AE351" t="s">
        <v>19</v>
      </c>
      <c r="AF351" t="s">
        <v>19</v>
      </c>
      <c r="AG351" t="s">
        <v>19</v>
      </c>
      <c r="AH351" t="s">
        <v>42</v>
      </c>
      <c r="AI351" t="s">
        <v>19</v>
      </c>
      <c r="AJ351" t="s">
        <v>19</v>
      </c>
      <c r="AK351" t="s">
        <v>19</v>
      </c>
      <c r="AL351" t="s">
        <v>19</v>
      </c>
      <c r="AM351" t="s">
        <v>19</v>
      </c>
      <c r="AN351" t="s">
        <v>28</v>
      </c>
      <c r="AO351" t="s">
        <v>889</v>
      </c>
    </row>
    <row r="352" spans="1:41">
      <c r="A352" s="154"/>
      <c r="B352" s="35" t="s">
        <v>2213</v>
      </c>
      <c r="C352" s="44"/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44"/>
      <c r="Q352" s="35"/>
      <c r="R352" s="35"/>
      <c r="S352" s="35"/>
      <c r="T352" s="35"/>
      <c r="U352" s="35"/>
      <c r="V352" s="35"/>
      <c r="W352" s="35"/>
      <c r="X352" s="35"/>
      <c r="Y352" s="46"/>
      <c r="Z352">
        <v>4</v>
      </c>
      <c r="AA352" t="s">
        <v>26</v>
      </c>
      <c r="AB352" t="s">
        <v>19</v>
      </c>
      <c r="AC352" t="s">
        <v>19</v>
      </c>
      <c r="AD352" t="s">
        <v>19</v>
      </c>
      <c r="AE352" t="s">
        <v>19</v>
      </c>
      <c r="AF352" t="s">
        <v>19</v>
      </c>
      <c r="AG352" t="s">
        <v>19</v>
      </c>
      <c r="AH352" t="s">
        <v>46</v>
      </c>
      <c r="AI352" t="s">
        <v>19</v>
      </c>
      <c r="AJ352" t="s">
        <v>19</v>
      </c>
      <c r="AK352" t="s">
        <v>19</v>
      </c>
      <c r="AL352" t="s">
        <v>19</v>
      </c>
      <c r="AM352" t="s">
        <v>19</v>
      </c>
      <c r="AN352" t="s">
        <v>28</v>
      </c>
      <c r="AO352">
        <v>4</v>
      </c>
    </row>
    <row r="353" spans="1:41" ht="30">
      <c r="A353" s="154"/>
      <c r="B353" s="35" t="s">
        <v>2213</v>
      </c>
      <c r="C353" s="44"/>
      <c r="D353" s="35" t="s">
        <v>2180</v>
      </c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44"/>
      <c r="Q353" s="35"/>
      <c r="R353" s="35"/>
      <c r="S353" s="35"/>
      <c r="T353" s="35"/>
      <c r="U353" s="35"/>
      <c r="V353" s="35"/>
      <c r="W353" s="35"/>
      <c r="X353" s="35"/>
      <c r="Y353" s="46" t="s">
        <v>2182</v>
      </c>
      <c r="Z353">
        <v>3</v>
      </c>
      <c r="AA353" t="s">
        <v>891</v>
      </c>
      <c r="AB353" t="s">
        <v>892</v>
      </c>
      <c r="AC353" t="s">
        <v>19</v>
      </c>
      <c r="AD353" t="s">
        <v>893</v>
      </c>
      <c r="AE353" t="s">
        <v>893</v>
      </c>
      <c r="AF353" t="s">
        <v>894</v>
      </c>
      <c r="AG353" t="s">
        <v>895</v>
      </c>
      <c r="AH353" t="s">
        <v>896</v>
      </c>
      <c r="AI353" t="s">
        <v>19</v>
      </c>
      <c r="AJ353" t="s">
        <v>19</v>
      </c>
      <c r="AK353" t="s">
        <v>79</v>
      </c>
      <c r="AL353" t="s">
        <v>897</v>
      </c>
      <c r="AM353" s="1" t="s">
        <v>898</v>
      </c>
      <c r="AN353" t="s">
        <v>28</v>
      </c>
      <c r="AO353" t="s">
        <v>889</v>
      </c>
    </row>
    <row r="354" spans="1:41">
      <c r="A354" s="154"/>
      <c r="B354" s="35" t="s">
        <v>2213</v>
      </c>
      <c r="C354" s="44"/>
      <c r="D354" s="35" t="s">
        <v>2227</v>
      </c>
      <c r="E354" s="35"/>
      <c r="F354" s="35"/>
      <c r="G354" s="35"/>
      <c r="H354" s="35"/>
      <c r="I354" s="35"/>
      <c r="J354" s="35" t="s">
        <v>2247</v>
      </c>
      <c r="K354" s="35"/>
      <c r="L354" s="35"/>
      <c r="M354" s="35"/>
      <c r="N354" s="35"/>
      <c r="O354" s="35"/>
      <c r="P354" s="44"/>
      <c r="Q354" s="35"/>
      <c r="R354" s="35"/>
      <c r="S354" s="35"/>
      <c r="T354" s="35"/>
      <c r="U354" s="35"/>
      <c r="V354" s="35"/>
      <c r="W354" s="35"/>
      <c r="X354" s="35"/>
      <c r="Y354" s="46" t="s">
        <v>2182</v>
      </c>
      <c r="Z354">
        <v>3</v>
      </c>
      <c r="AA354" t="s">
        <v>184</v>
      </c>
      <c r="AB354" t="s">
        <v>899</v>
      </c>
      <c r="AC354" t="s">
        <v>19</v>
      </c>
      <c r="AD354" t="s">
        <v>19</v>
      </c>
      <c r="AE354" t="s">
        <v>900</v>
      </c>
      <c r="AF354" t="s">
        <v>899</v>
      </c>
      <c r="AG354" t="s">
        <v>173</v>
      </c>
      <c r="AH354" t="s">
        <v>187</v>
      </c>
      <c r="AI354" t="s">
        <v>19</v>
      </c>
      <c r="AJ354" t="s">
        <v>172</v>
      </c>
      <c r="AK354" t="s">
        <v>188</v>
      </c>
      <c r="AL354" t="s">
        <v>19</v>
      </c>
      <c r="AM354" t="s">
        <v>19</v>
      </c>
      <c r="AN354" t="s">
        <v>28</v>
      </c>
      <c r="AO354" t="s">
        <v>889</v>
      </c>
    </row>
    <row r="355" spans="1:41">
      <c r="A355" s="154"/>
      <c r="B355" s="35" t="s">
        <v>2214</v>
      </c>
      <c r="C355" s="44"/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44"/>
      <c r="Q355" s="35"/>
      <c r="R355" s="35"/>
      <c r="S355" s="35"/>
      <c r="T355" s="35"/>
      <c r="U355" s="35"/>
      <c r="V355" s="35"/>
      <c r="W355" s="35"/>
      <c r="X355" s="35"/>
      <c r="Y355" s="46"/>
      <c r="Z355">
        <v>1</v>
      </c>
      <c r="AA355" t="s">
        <v>901</v>
      </c>
    </row>
    <row r="356" spans="1:41">
      <c r="A356" s="154"/>
      <c r="B356" s="35" t="s">
        <v>2214</v>
      </c>
      <c r="C356" s="44"/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44"/>
      <c r="Q356" s="35"/>
      <c r="R356" s="35"/>
      <c r="S356" s="35"/>
      <c r="T356" s="35"/>
      <c r="U356" s="35"/>
      <c r="V356" s="35"/>
      <c r="W356" s="35"/>
      <c r="X356" s="35"/>
      <c r="Y356" s="46"/>
      <c r="Z356">
        <v>2</v>
      </c>
      <c r="AA356" t="s">
        <v>1</v>
      </c>
      <c r="AB356" t="s">
        <v>902</v>
      </c>
      <c r="AC356" t="s">
        <v>903</v>
      </c>
      <c r="AD356" t="s">
        <v>904</v>
      </c>
    </row>
    <row r="357" spans="1:41">
      <c r="A357" s="154"/>
      <c r="B357" s="35" t="s">
        <v>2214</v>
      </c>
      <c r="C357" s="44"/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44"/>
      <c r="Q357" s="35"/>
      <c r="R357" s="35"/>
      <c r="S357" s="35"/>
      <c r="T357" s="35"/>
      <c r="U357" s="35"/>
      <c r="V357" s="35"/>
      <c r="W357" s="35"/>
      <c r="X357" s="35"/>
      <c r="Y357" s="46"/>
      <c r="Z357">
        <v>0</v>
      </c>
      <c r="AA357" t="s">
        <v>5</v>
      </c>
      <c r="AB357" t="s">
        <v>6</v>
      </c>
      <c r="AC357" t="s">
        <v>7</v>
      </c>
      <c r="AD357" t="s">
        <v>8</v>
      </c>
      <c r="AE357" t="s">
        <v>8</v>
      </c>
      <c r="AF357" t="s">
        <v>9</v>
      </c>
      <c r="AG357" t="s">
        <v>10</v>
      </c>
      <c r="AH357" t="s">
        <v>11</v>
      </c>
      <c r="AI357" t="s">
        <v>12</v>
      </c>
      <c r="AJ357" t="s">
        <v>13</v>
      </c>
      <c r="AK357" t="s">
        <v>14</v>
      </c>
      <c r="AL357" t="s">
        <v>15</v>
      </c>
      <c r="AM357" t="s">
        <v>16</v>
      </c>
      <c r="AN357" t="s">
        <v>17</v>
      </c>
      <c r="AO357" t="s">
        <v>1</v>
      </c>
    </row>
    <row r="358" spans="1:41">
      <c r="A358" s="154"/>
      <c r="B358" s="35" t="s">
        <v>2214</v>
      </c>
      <c r="C358" s="44"/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44"/>
      <c r="Q358" s="35"/>
      <c r="R358" s="35"/>
      <c r="S358" s="35"/>
      <c r="T358" s="35"/>
      <c r="U358" s="35"/>
      <c r="V358" s="35"/>
      <c r="W358" s="35"/>
      <c r="X358" s="35"/>
      <c r="Y358" s="46"/>
      <c r="Z358">
        <v>4</v>
      </c>
      <c r="AA358" t="s">
        <v>26</v>
      </c>
      <c r="AB358" t="s">
        <v>19</v>
      </c>
      <c r="AC358" t="s">
        <v>19</v>
      </c>
      <c r="AD358" t="s">
        <v>19</v>
      </c>
      <c r="AE358" t="s">
        <v>19</v>
      </c>
      <c r="AF358" t="s">
        <v>19</v>
      </c>
      <c r="AG358" t="s">
        <v>19</v>
      </c>
      <c r="AH358" t="s">
        <v>35</v>
      </c>
      <c r="AI358" t="s">
        <v>19</v>
      </c>
      <c r="AJ358" t="s">
        <v>19</v>
      </c>
      <c r="AK358" t="s">
        <v>19</v>
      </c>
      <c r="AL358" t="s">
        <v>19</v>
      </c>
      <c r="AM358" t="s">
        <v>19</v>
      </c>
      <c r="AN358" t="s">
        <v>28</v>
      </c>
      <c r="AO358">
        <v>2</v>
      </c>
    </row>
    <row r="359" spans="1:41">
      <c r="A359" s="154"/>
      <c r="B359" s="35" t="s">
        <v>2214</v>
      </c>
      <c r="C359" s="44"/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44"/>
      <c r="Q359" s="35"/>
      <c r="R359" s="35"/>
      <c r="S359" s="35"/>
      <c r="T359" s="35"/>
      <c r="U359" s="35"/>
      <c r="V359" s="35"/>
      <c r="W359" s="35"/>
      <c r="X359" s="35"/>
      <c r="Y359" s="46"/>
      <c r="Z359">
        <v>4</v>
      </c>
      <c r="AA359" t="s">
        <v>26</v>
      </c>
      <c r="AB359" t="s">
        <v>19</v>
      </c>
      <c r="AC359" t="s">
        <v>19</v>
      </c>
      <c r="AD359" t="s">
        <v>19</v>
      </c>
      <c r="AE359" t="s">
        <v>19</v>
      </c>
      <c r="AF359" t="s">
        <v>19</v>
      </c>
      <c r="AG359" t="s">
        <v>19</v>
      </c>
      <c r="AH359" t="s">
        <v>46</v>
      </c>
      <c r="AI359" t="s">
        <v>19</v>
      </c>
      <c r="AJ359" t="s">
        <v>19</v>
      </c>
      <c r="AK359" t="s">
        <v>19</v>
      </c>
      <c r="AL359" t="s">
        <v>19</v>
      </c>
      <c r="AM359" t="s">
        <v>19</v>
      </c>
      <c r="AN359" t="s">
        <v>28</v>
      </c>
      <c r="AO359">
        <v>2</v>
      </c>
    </row>
    <row r="360" spans="1:41">
      <c r="A360" s="154"/>
      <c r="B360" s="35" t="s">
        <v>2215</v>
      </c>
      <c r="C360" s="44"/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44"/>
      <c r="Q360" s="35"/>
      <c r="R360" s="35"/>
      <c r="S360" s="35"/>
      <c r="T360" s="35"/>
      <c r="U360" s="35"/>
      <c r="V360" s="35"/>
      <c r="W360" s="35"/>
      <c r="X360" s="35"/>
      <c r="Y360" s="46"/>
      <c r="Z360">
        <v>1</v>
      </c>
      <c r="AA360" t="s">
        <v>905</v>
      </c>
    </row>
    <row r="361" spans="1:41">
      <c r="A361" s="154">
        <v>502</v>
      </c>
      <c r="B361" s="35" t="s">
        <v>2215</v>
      </c>
      <c r="C361" s="44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44"/>
      <c r="Q361" s="35"/>
      <c r="R361" s="35"/>
      <c r="S361" s="35"/>
      <c r="T361" s="35"/>
      <c r="U361" s="35"/>
      <c r="V361" s="35"/>
      <c r="W361" s="35"/>
      <c r="X361" s="35"/>
      <c r="Y361" s="46"/>
      <c r="Z361">
        <v>2</v>
      </c>
      <c r="AA361" t="s">
        <v>1</v>
      </c>
      <c r="AB361" t="s">
        <v>906</v>
      </c>
      <c r="AC361" t="s">
        <v>3</v>
      </c>
      <c r="AD361" s="153" t="s">
        <v>713</v>
      </c>
    </row>
    <row r="362" spans="1:41">
      <c r="A362" s="154"/>
      <c r="B362" s="35" t="s">
        <v>2215</v>
      </c>
      <c r="C362" s="44"/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44"/>
      <c r="Q362" s="35"/>
      <c r="R362" s="35"/>
      <c r="S362" s="35"/>
      <c r="T362" s="35"/>
      <c r="U362" s="35"/>
      <c r="V362" s="35"/>
      <c r="W362" s="35"/>
      <c r="X362" s="35"/>
      <c r="Y362" s="46"/>
      <c r="Z362">
        <v>0</v>
      </c>
      <c r="AA362" t="s">
        <v>5</v>
      </c>
      <c r="AB362" t="s">
        <v>6</v>
      </c>
      <c r="AC362" t="s">
        <v>7</v>
      </c>
      <c r="AD362" t="s">
        <v>8</v>
      </c>
      <c r="AE362" t="s">
        <v>8</v>
      </c>
      <c r="AF362" t="s">
        <v>9</v>
      </c>
      <c r="AG362" t="s">
        <v>10</v>
      </c>
      <c r="AH362" t="s">
        <v>11</v>
      </c>
      <c r="AI362" t="s">
        <v>12</v>
      </c>
      <c r="AJ362" t="s">
        <v>13</v>
      </c>
      <c r="AK362" t="s">
        <v>14</v>
      </c>
      <c r="AL362" t="s">
        <v>15</v>
      </c>
      <c r="AM362" t="s">
        <v>16</v>
      </c>
      <c r="AN362" t="s">
        <v>17</v>
      </c>
      <c r="AO362" t="s">
        <v>1</v>
      </c>
    </row>
    <row r="363" spans="1:41">
      <c r="A363" s="154">
        <v>502</v>
      </c>
      <c r="B363" s="35" t="s">
        <v>2215</v>
      </c>
      <c r="C363" s="44"/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44"/>
      <c r="Q363" s="35"/>
      <c r="R363" s="35"/>
      <c r="S363" s="35"/>
      <c r="T363" s="35"/>
      <c r="U363" s="35"/>
      <c r="V363" s="35"/>
      <c r="W363" s="35"/>
      <c r="X363" s="35"/>
      <c r="Y363" s="46"/>
      <c r="Z363">
        <v>4</v>
      </c>
      <c r="AA363" t="s">
        <v>22</v>
      </c>
      <c r="AB363" t="s">
        <v>19</v>
      </c>
      <c r="AC363" t="s">
        <v>19</v>
      </c>
      <c r="AD363" t="s">
        <v>19</v>
      </c>
      <c r="AE363" t="s">
        <v>19</v>
      </c>
      <c r="AF363" t="s">
        <v>19</v>
      </c>
      <c r="AG363" t="s">
        <v>19</v>
      </c>
      <c r="AH363" t="s">
        <v>24</v>
      </c>
      <c r="AI363" t="s">
        <v>19</v>
      </c>
      <c r="AJ363" t="s">
        <v>19</v>
      </c>
      <c r="AK363" t="s">
        <v>19</v>
      </c>
      <c r="AL363" t="s">
        <v>19</v>
      </c>
      <c r="AM363" t="s">
        <v>19</v>
      </c>
      <c r="AN363" t="s">
        <v>21</v>
      </c>
      <c r="AO363" s="153">
        <v>639</v>
      </c>
    </row>
    <row r="364" spans="1:41">
      <c r="A364" s="154">
        <v>502</v>
      </c>
      <c r="B364" s="39" t="s">
        <v>2215</v>
      </c>
      <c r="C364" s="44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51"/>
      <c r="Z364">
        <v>4</v>
      </c>
      <c r="AA364" t="s">
        <v>25</v>
      </c>
      <c r="AB364" t="s">
        <v>19</v>
      </c>
      <c r="AC364" t="s">
        <v>19</v>
      </c>
      <c r="AD364" t="s">
        <v>19</v>
      </c>
      <c r="AE364" t="s">
        <v>19</v>
      </c>
      <c r="AF364" t="s">
        <v>19</v>
      </c>
      <c r="AG364" t="s">
        <v>19</v>
      </c>
      <c r="AH364" t="s">
        <v>907</v>
      </c>
      <c r="AI364" t="s">
        <v>19</v>
      </c>
      <c r="AJ364" t="s">
        <v>19</v>
      </c>
      <c r="AK364" t="s">
        <v>19</v>
      </c>
      <c r="AL364" t="s">
        <v>19</v>
      </c>
      <c r="AM364" t="s">
        <v>19</v>
      </c>
      <c r="AN364" t="s">
        <v>21</v>
      </c>
      <c r="AO364" s="153">
        <v>1117</v>
      </c>
    </row>
    <row r="365" spans="1:41">
      <c r="A365" s="154"/>
      <c r="B365" s="35" t="s">
        <v>2215</v>
      </c>
      <c r="C365" s="44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44"/>
      <c r="Q365" s="35"/>
      <c r="R365" s="35"/>
      <c r="S365" s="35"/>
      <c r="T365" s="35"/>
      <c r="U365" s="35"/>
      <c r="V365" s="35"/>
      <c r="W365" s="35"/>
      <c r="X365" s="35"/>
      <c r="Y365" s="46"/>
      <c r="Z365">
        <v>4</v>
      </c>
      <c r="AA365" t="s">
        <v>26</v>
      </c>
      <c r="AB365" t="s">
        <v>19</v>
      </c>
      <c r="AC365" t="s">
        <v>19</v>
      </c>
      <c r="AD365" t="s">
        <v>19</v>
      </c>
      <c r="AE365" t="s">
        <v>19</v>
      </c>
      <c r="AF365" t="s">
        <v>19</v>
      </c>
      <c r="AG365" t="s">
        <v>19</v>
      </c>
      <c r="AH365" t="s">
        <v>908</v>
      </c>
      <c r="AI365" t="s">
        <v>19</v>
      </c>
      <c r="AJ365" t="s">
        <v>19</v>
      </c>
      <c r="AK365" t="s">
        <v>19</v>
      </c>
      <c r="AL365" t="s">
        <v>19</v>
      </c>
      <c r="AM365" t="s">
        <v>19</v>
      </c>
      <c r="AN365" t="s">
        <v>28</v>
      </c>
      <c r="AO365" t="s">
        <v>906</v>
      </c>
    </row>
    <row r="366" spans="1:41">
      <c r="A366" s="154"/>
      <c r="B366" s="35" t="s">
        <v>2215</v>
      </c>
      <c r="C366" s="44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44"/>
      <c r="Q366" s="35"/>
      <c r="R366" s="35"/>
      <c r="S366" s="35"/>
      <c r="T366" s="35"/>
      <c r="U366" s="35"/>
      <c r="V366" s="35"/>
      <c r="W366" s="35"/>
      <c r="X366" s="35"/>
      <c r="Y366" s="46"/>
      <c r="Z366">
        <v>4</v>
      </c>
      <c r="AA366" t="s">
        <v>26</v>
      </c>
      <c r="AB366" t="s">
        <v>19</v>
      </c>
      <c r="AC366" t="s">
        <v>19</v>
      </c>
      <c r="AD366" t="s">
        <v>19</v>
      </c>
      <c r="AE366" t="s">
        <v>19</v>
      </c>
      <c r="AF366" t="s">
        <v>19</v>
      </c>
      <c r="AG366" t="s">
        <v>19</v>
      </c>
      <c r="AH366" t="s">
        <v>37</v>
      </c>
      <c r="AI366" t="s">
        <v>19</v>
      </c>
      <c r="AJ366" t="s">
        <v>19</v>
      </c>
      <c r="AK366" t="s">
        <v>19</v>
      </c>
      <c r="AL366" t="s">
        <v>19</v>
      </c>
      <c r="AM366" t="s">
        <v>19</v>
      </c>
      <c r="AN366" t="s">
        <v>28</v>
      </c>
      <c r="AO366" t="s">
        <v>906</v>
      </c>
    </row>
    <row r="367" spans="1:41">
      <c r="A367" s="154"/>
      <c r="B367" s="35" t="s">
        <v>2215</v>
      </c>
      <c r="C367" s="44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44"/>
      <c r="Q367" s="35"/>
      <c r="R367" s="35"/>
      <c r="S367" s="35"/>
      <c r="T367" s="35"/>
      <c r="U367" s="35"/>
      <c r="V367" s="35"/>
      <c r="W367" s="35"/>
      <c r="X367" s="35"/>
      <c r="Y367" s="46"/>
      <c r="Z367">
        <v>4</v>
      </c>
      <c r="AA367" t="s">
        <v>26</v>
      </c>
      <c r="AB367" t="s">
        <v>19</v>
      </c>
      <c r="AC367" t="s">
        <v>19</v>
      </c>
      <c r="AD367" t="s">
        <v>19</v>
      </c>
      <c r="AE367" t="s">
        <v>19</v>
      </c>
      <c r="AF367" t="s">
        <v>19</v>
      </c>
      <c r="AG367" t="s">
        <v>19</v>
      </c>
      <c r="AH367" t="s">
        <v>49</v>
      </c>
      <c r="AI367" t="s">
        <v>19</v>
      </c>
      <c r="AJ367" t="s">
        <v>19</v>
      </c>
      <c r="AK367" t="s">
        <v>19</v>
      </c>
      <c r="AL367" t="s">
        <v>19</v>
      </c>
      <c r="AM367" t="s">
        <v>19</v>
      </c>
      <c r="AN367" t="s">
        <v>28</v>
      </c>
      <c r="AO367">
        <v>2</v>
      </c>
    </row>
    <row r="368" spans="1:41">
      <c r="A368" s="154"/>
      <c r="B368" s="35" t="s">
        <v>2215</v>
      </c>
      <c r="C368" s="44"/>
      <c r="D368" s="35" t="s">
        <v>2195</v>
      </c>
      <c r="E368" s="35" t="s">
        <v>2224</v>
      </c>
      <c r="F368" s="35" t="s">
        <v>2225</v>
      </c>
      <c r="G368" s="35"/>
      <c r="H368" s="35"/>
      <c r="I368" s="35"/>
      <c r="J368" s="35"/>
      <c r="K368" s="35"/>
      <c r="L368" s="35"/>
      <c r="M368" s="35"/>
      <c r="N368" s="35"/>
      <c r="O368" s="35"/>
      <c r="P368" s="44"/>
      <c r="Q368" s="35"/>
      <c r="R368" s="35"/>
      <c r="S368" s="35"/>
      <c r="T368" s="35"/>
      <c r="U368" s="35"/>
      <c r="V368" s="35"/>
      <c r="W368" s="35"/>
      <c r="X368" s="35"/>
      <c r="Y368" s="46" t="s">
        <v>2189</v>
      </c>
      <c r="Z368">
        <v>3</v>
      </c>
      <c r="AA368" t="s">
        <v>909</v>
      </c>
      <c r="AB368" t="s">
        <v>910</v>
      </c>
      <c r="AC368" t="s">
        <v>19</v>
      </c>
      <c r="AD368" t="s">
        <v>911</v>
      </c>
      <c r="AE368" t="s">
        <v>911</v>
      </c>
      <c r="AF368" t="s">
        <v>912</v>
      </c>
      <c r="AG368" t="s">
        <v>913</v>
      </c>
      <c r="AH368" t="s">
        <v>914</v>
      </c>
      <c r="AI368" t="s">
        <v>915</v>
      </c>
      <c r="AJ368" t="s">
        <v>19</v>
      </c>
      <c r="AK368" t="s">
        <v>668</v>
      </c>
      <c r="AL368" t="s">
        <v>916</v>
      </c>
      <c r="AM368" t="s">
        <v>917</v>
      </c>
      <c r="AN368" t="s">
        <v>28</v>
      </c>
      <c r="AO368" t="s">
        <v>906</v>
      </c>
    </row>
    <row r="369" spans="1:42">
      <c r="A369" s="154"/>
      <c r="B369" s="35" t="s">
        <v>2215</v>
      </c>
      <c r="C369" s="44"/>
      <c r="D369" s="35" t="s">
        <v>2195</v>
      </c>
      <c r="E369" s="35" t="s">
        <v>2224</v>
      </c>
      <c r="F369" s="35" t="s">
        <v>2225</v>
      </c>
      <c r="G369" s="35"/>
      <c r="H369" s="35"/>
      <c r="I369" s="35"/>
      <c r="J369" s="35"/>
      <c r="K369" s="35"/>
      <c r="L369" s="35"/>
      <c r="M369" s="35"/>
      <c r="N369" s="35"/>
      <c r="O369" s="35"/>
      <c r="P369" s="44"/>
      <c r="Q369" s="35"/>
      <c r="R369" s="35"/>
      <c r="S369" s="35"/>
      <c r="T369" s="35"/>
      <c r="U369" s="35"/>
      <c r="V369" s="35"/>
      <c r="W369" s="35"/>
      <c r="X369" s="35"/>
      <c r="Y369" s="46" t="s">
        <v>2189</v>
      </c>
      <c r="Z369">
        <v>3</v>
      </c>
      <c r="AA369" t="s">
        <v>657</v>
      </c>
      <c r="AB369" t="s">
        <v>918</v>
      </c>
      <c r="AC369" t="s">
        <v>19</v>
      </c>
      <c r="AD369" t="s">
        <v>919</v>
      </c>
      <c r="AE369" t="s">
        <v>919</v>
      </c>
      <c r="AF369" t="s">
        <v>920</v>
      </c>
      <c r="AG369" t="s">
        <v>921</v>
      </c>
      <c r="AH369" t="s">
        <v>662</v>
      </c>
      <c r="AI369" t="s">
        <v>111</v>
      </c>
      <c r="AJ369" t="s">
        <v>19</v>
      </c>
      <c r="AK369" t="s">
        <v>663</v>
      </c>
      <c r="AL369" t="s">
        <v>922</v>
      </c>
      <c r="AM369" t="s">
        <v>923</v>
      </c>
      <c r="AN369" t="s">
        <v>28</v>
      </c>
      <c r="AO369" t="s">
        <v>906</v>
      </c>
    </row>
    <row r="370" spans="1:42">
      <c r="A370" s="154"/>
      <c r="B370" s="35" t="s">
        <v>2215</v>
      </c>
      <c r="C370" s="44"/>
      <c r="D370" s="35" t="s">
        <v>2180</v>
      </c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44"/>
      <c r="Q370" s="35"/>
      <c r="R370" s="35"/>
      <c r="S370" s="35"/>
      <c r="T370" s="35"/>
      <c r="U370" s="35"/>
      <c r="V370" s="35"/>
      <c r="W370" s="35"/>
      <c r="X370" s="35"/>
      <c r="Y370" s="46" t="s">
        <v>2182</v>
      </c>
      <c r="Z370">
        <v>3</v>
      </c>
      <c r="AA370" t="s">
        <v>293</v>
      </c>
      <c r="AB370" t="s">
        <v>924</v>
      </c>
      <c r="AC370" t="s">
        <v>19</v>
      </c>
      <c r="AD370" t="s">
        <v>19</v>
      </c>
      <c r="AE370" t="s">
        <v>19</v>
      </c>
      <c r="AF370" t="s">
        <v>924</v>
      </c>
      <c r="AG370" t="s">
        <v>925</v>
      </c>
      <c r="AH370" t="s">
        <v>331</v>
      </c>
      <c r="AI370" t="s">
        <v>19</v>
      </c>
      <c r="AJ370" t="s">
        <v>19</v>
      </c>
      <c r="AK370" t="s">
        <v>19</v>
      </c>
      <c r="AL370" t="s">
        <v>19</v>
      </c>
      <c r="AM370" t="s">
        <v>19</v>
      </c>
      <c r="AN370" t="s">
        <v>28</v>
      </c>
      <c r="AO370" t="s">
        <v>906</v>
      </c>
    </row>
    <row r="371" spans="1:42">
      <c r="A371" s="154"/>
      <c r="B371" s="35" t="s">
        <v>2215</v>
      </c>
      <c r="C371" s="44"/>
      <c r="D371" s="35" t="s">
        <v>2195</v>
      </c>
      <c r="E371" s="35"/>
      <c r="F371" s="35" t="s">
        <v>2225</v>
      </c>
      <c r="G371" s="35"/>
      <c r="H371" s="35" t="s">
        <v>2225</v>
      </c>
      <c r="I371" s="35"/>
      <c r="J371" s="35"/>
      <c r="K371" s="35"/>
      <c r="L371" s="35"/>
      <c r="M371" s="35"/>
      <c r="N371" s="35"/>
      <c r="O371" s="35"/>
      <c r="P371" s="44"/>
      <c r="Q371" s="35"/>
      <c r="R371" s="35"/>
      <c r="S371" s="35"/>
      <c r="T371" s="35"/>
      <c r="U371" s="35"/>
      <c r="V371" s="35"/>
      <c r="W371" s="35"/>
      <c r="X371" s="35"/>
      <c r="Y371" s="46" t="s">
        <v>2189</v>
      </c>
      <c r="Z371">
        <v>3</v>
      </c>
      <c r="AA371" t="s">
        <v>312</v>
      </c>
      <c r="AB371" t="s">
        <v>926</v>
      </c>
      <c r="AC371" t="s">
        <v>19</v>
      </c>
      <c r="AD371" t="s">
        <v>19</v>
      </c>
      <c r="AE371" t="s">
        <v>19</v>
      </c>
      <c r="AF371" t="s">
        <v>926</v>
      </c>
      <c r="AG371" t="s">
        <v>927</v>
      </c>
      <c r="AH371" t="s">
        <v>315</v>
      </c>
      <c r="AI371" t="s">
        <v>19</v>
      </c>
      <c r="AJ371" t="s">
        <v>19</v>
      </c>
      <c r="AK371" t="s">
        <v>19</v>
      </c>
      <c r="AL371" t="s">
        <v>19</v>
      </c>
      <c r="AM371" t="s">
        <v>19</v>
      </c>
      <c r="AN371" t="s">
        <v>28</v>
      </c>
      <c r="AO371" t="s">
        <v>906</v>
      </c>
    </row>
    <row r="372" spans="1:42">
      <c r="A372" s="154"/>
      <c r="B372" s="35" t="s">
        <v>2216</v>
      </c>
      <c r="C372" s="44"/>
      <c r="D372" s="35"/>
      <c r="E372" s="35"/>
      <c r="F372" s="35" t="s">
        <v>2248</v>
      </c>
      <c r="G372" s="35"/>
      <c r="H372" s="35"/>
      <c r="I372" s="35"/>
      <c r="J372" s="35"/>
      <c r="K372" s="35"/>
      <c r="L372" s="35"/>
      <c r="M372" s="35"/>
      <c r="N372" s="35"/>
      <c r="O372" s="35"/>
      <c r="P372" s="44"/>
      <c r="Q372" s="35"/>
      <c r="R372" s="35"/>
      <c r="S372" s="35"/>
      <c r="T372" s="35"/>
      <c r="U372" s="35"/>
      <c r="V372" s="35"/>
      <c r="W372" s="35"/>
      <c r="X372" s="35"/>
      <c r="Y372" s="46"/>
      <c r="Z372">
        <v>1</v>
      </c>
      <c r="AA372" t="s">
        <v>928</v>
      </c>
    </row>
    <row r="373" spans="1:42">
      <c r="A373" s="154">
        <v>502.50400000000002</v>
      </c>
      <c r="B373" s="35" t="s">
        <v>2216</v>
      </c>
      <c r="C373" s="44"/>
      <c r="D373" s="35"/>
      <c r="E373" s="35"/>
      <c r="F373" s="35" t="s">
        <v>2248</v>
      </c>
      <c r="G373" s="35"/>
      <c r="H373" s="35"/>
      <c r="I373" s="35"/>
      <c r="J373" s="35"/>
      <c r="K373" s="35"/>
      <c r="L373" s="35"/>
      <c r="M373" s="35"/>
      <c r="N373" s="35"/>
      <c r="O373" s="35"/>
      <c r="P373" s="44"/>
      <c r="Q373" s="35"/>
      <c r="R373" s="35"/>
      <c r="S373" s="35"/>
      <c r="T373" s="35"/>
      <c r="U373" s="35"/>
      <c r="V373" s="35"/>
      <c r="W373" s="35"/>
      <c r="X373" s="35"/>
      <c r="Y373" s="46"/>
      <c r="Z373">
        <v>2</v>
      </c>
      <c r="AA373" t="s">
        <v>1</v>
      </c>
      <c r="AB373" t="s">
        <v>929</v>
      </c>
      <c r="AC373" t="s">
        <v>930</v>
      </c>
      <c r="AD373" s="153" t="s">
        <v>2367</v>
      </c>
      <c r="AE373" t="s">
        <v>4</v>
      </c>
    </row>
    <row r="374" spans="1:42">
      <c r="A374" s="154">
        <v>502.50400000000002</v>
      </c>
      <c r="B374" s="35" t="s">
        <v>2216</v>
      </c>
      <c r="C374" s="44"/>
      <c r="D374" s="35"/>
      <c r="E374" s="35"/>
      <c r="F374" s="35" t="s">
        <v>2248</v>
      </c>
      <c r="G374" s="35"/>
      <c r="H374" s="35"/>
      <c r="I374" s="35"/>
      <c r="J374" s="35"/>
      <c r="K374" s="35"/>
      <c r="L374" s="35"/>
      <c r="M374" s="35"/>
      <c r="N374" s="35"/>
      <c r="O374" s="35"/>
      <c r="P374" s="44"/>
      <c r="Q374" s="35"/>
      <c r="R374" s="35"/>
      <c r="S374" s="35"/>
      <c r="T374" s="35"/>
      <c r="U374" s="35"/>
      <c r="V374" s="35"/>
      <c r="W374" s="35"/>
      <c r="X374" s="35"/>
      <c r="Y374" s="46"/>
      <c r="Z374">
        <v>2</v>
      </c>
      <c r="AA374" t="s">
        <v>395</v>
      </c>
      <c r="AB374" t="s">
        <v>931</v>
      </c>
      <c r="AC374" t="s">
        <v>932</v>
      </c>
      <c r="AD374" s="153" t="s">
        <v>2368</v>
      </c>
      <c r="AE374" t="s">
        <v>4</v>
      </c>
    </row>
    <row r="375" spans="1:42">
      <c r="A375" s="154"/>
      <c r="B375" s="35" t="s">
        <v>2216</v>
      </c>
      <c r="C375" s="44"/>
      <c r="D375" s="35"/>
      <c r="E375" s="35"/>
      <c r="F375" s="35" t="s">
        <v>2248</v>
      </c>
      <c r="G375" s="35"/>
      <c r="H375" s="35"/>
      <c r="I375" s="35"/>
      <c r="J375" s="35"/>
      <c r="K375" s="35"/>
      <c r="L375" s="35"/>
      <c r="M375" s="35"/>
      <c r="N375" s="35"/>
      <c r="O375" s="35"/>
      <c r="P375" s="44"/>
      <c r="Q375" s="35"/>
      <c r="R375" s="35"/>
      <c r="S375" s="35"/>
      <c r="T375" s="35"/>
      <c r="U375" s="35"/>
      <c r="V375" s="35"/>
      <c r="W375" s="35"/>
      <c r="X375" s="35"/>
      <c r="Y375" s="46"/>
      <c r="Z375">
        <v>0</v>
      </c>
      <c r="AA375" t="s">
        <v>5</v>
      </c>
      <c r="AB375" t="s">
        <v>6</v>
      </c>
      <c r="AC375" t="s">
        <v>7</v>
      </c>
      <c r="AD375" t="s">
        <v>8</v>
      </c>
      <c r="AE375" t="s">
        <v>8</v>
      </c>
      <c r="AF375" t="s">
        <v>9</v>
      </c>
      <c r="AG375" t="s">
        <v>10</v>
      </c>
      <c r="AH375" t="s">
        <v>11</v>
      </c>
      <c r="AI375" t="s">
        <v>12</v>
      </c>
      <c r="AJ375" t="s">
        <v>13</v>
      </c>
      <c r="AK375" t="s">
        <v>14</v>
      </c>
      <c r="AL375" t="s">
        <v>15</v>
      </c>
      <c r="AM375" t="s">
        <v>16</v>
      </c>
      <c r="AN375" t="s">
        <v>17</v>
      </c>
      <c r="AO375" t="s">
        <v>1</v>
      </c>
      <c r="AP375" t="s">
        <v>395</v>
      </c>
    </row>
    <row r="376" spans="1:42">
      <c r="A376" s="154">
        <v>504</v>
      </c>
      <c r="B376" s="35" t="s">
        <v>2216</v>
      </c>
      <c r="C376" s="44"/>
      <c r="D376" s="35"/>
      <c r="E376" s="35"/>
      <c r="F376" s="35" t="s">
        <v>2248</v>
      </c>
      <c r="G376" s="35"/>
      <c r="H376" s="35"/>
      <c r="I376" s="35"/>
      <c r="J376" s="35"/>
      <c r="K376" s="35"/>
      <c r="L376" s="35"/>
      <c r="M376" s="35"/>
      <c r="N376" s="35"/>
      <c r="O376" s="35"/>
      <c r="P376" s="44"/>
      <c r="Q376" s="35"/>
      <c r="R376" s="35"/>
      <c r="S376" s="35"/>
      <c r="T376" s="35"/>
      <c r="U376" s="35"/>
      <c r="V376" s="35"/>
      <c r="W376" s="35"/>
      <c r="X376" s="35"/>
      <c r="Y376" s="46"/>
      <c r="Z376">
        <v>4</v>
      </c>
      <c r="AA376" t="s">
        <v>22</v>
      </c>
      <c r="AB376" t="s">
        <v>19</v>
      </c>
      <c r="AC376" t="s">
        <v>19</v>
      </c>
      <c r="AD376" t="s">
        <v>19</v>
      </c>
      <c r="AE376" t="s">
        <v>19</v>
      </c>
      <c r="AF376" t="s">
        <v>19</v>
      </c>
      <c r="AG376" t="s">
        <v>19</v>
      </c>
      <c r="AH376" t="s">
        <v>23</v>
      </c>
      <c r="AI376" t="s">
        <v>19</v>
      </c>
      <c r="AJ376" t="s">
        <v>19</v>
      </c>
      <c r="AK376" t="s">
        <v>19</v>
      </c>
      <c r="AL376" t="s">
        <v>19</v>
      </c>
      <c r="AM376" t="s">
        <v>19</v>
      </c>
      <c r="AN376" t="s">
        <v>21</v>
      </c>
      <c r="AO376" s="153">
        <v>1994</v>
      </c>
      <c r="AP376" s="153">
        <v>1655</v>
      </c>
    </row>
    <row r="377" spans="1:42">
      <c r="A377" s="154">
        <v>502</v>
      </c>
      <c r="B377" s="35" t="s">
        <v>2216</v>
      </c>
      <c r="C377" s="44"/>
      <c r="D377" s="35"/>
      <c r="E377" s="35"/>
      <c r="F377" s="35" t="s">
        <v>2248</v>
      </c>
      <c r="G377" s="35"/>
      <c r="H377" s="35"/>
      <c r="I377" s="35"/>
      <c r="J377" s="35"/>
      <c r="K377" s="35"/>
      <c r="L377" s="35"/>
      <c r="M377" s="35"/>
      <c r="N377" s="35"/>
      <c r="O377" s="35"/>
      <c r="P377" s="44"/>
      <c r="Q377" s="35"/>
      <c r="R377" s="35"/>
      <c r="S377" s="35"/>
      <c r="T377" s="35"/>
      <c r="U377" s="35"/>
      <c r="V377" s="35"/>
      <c r="W377" s="35"/>
      <c r="X377" s="35"/>
      <c r="Y377" s="46"/>
      <c r="Z377">
        <v>4</v>
      </c>
      <c r="AA377" t="s">
        <v>22</v>
      </c>
      <c r="AB377" t="s">
        <v>19</v>
      </c>
      <c r="AC377" t="s">
        <v>19</v>
      </c>
      <c r="AD377" t="s">
        <v>19</v>
      </c>
      <c r="AE377" t="s">
        <v>19</v>
      </c>
      <c r="AF377" t="s">
        <v>19</v>
      </c>
      <c r="AG377" t="s">
        <v>19</v>
      </c>
      <c r="AH377" t="s">
        <v>24</v>
      </c>
      <c r="AI377" t="s">
        <v>19</v>
      </c>
      <c r="AJ377" t="s">
        <v>19</v>
      </c>
      <c r="AK377" t="s">
        <v>19</v>
      </c>
      <c r="AL377" t="s">
        <v>19</v>
      </c>
      <c r="AM377" t="s">
        <v>19</v>
      </c>
      <c r="AN377" t="s">
        <v>21</v>
      </c>
      <c r="AO377" s="153">
        <v>614</v>
      </c>
      <c r="AP377" s="153">
        <v>614</v>
      </c>
    </row>
    <row r="378" spans="1:42">
      <c r="A378" s="154"/>
      <c r="B378" s="39" t="s">
        <v>2216</v>
      </c>
      <c r="C378" s="44"/>
      <c r="D378" s="39"/>
      <c r="E378" s="39"/>
      <c r="F378" s="39" t="s">
        <v>2248</v>
      </c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51"/>
      <c r="Z378">
        <v>4</v>
      </c>
      <c r="AA378" t="s">
        <v>933</v>
      </c>
      <c r="AB378" t="s">
        <v>19</v>
      </c>
      <c r="AC378" t="s">
        <v>19</v>
      </c>
      <c r="AD378" t="s">
        <v>19</v>
      </c>
      <c r="AE378" t="s">
        <v>19</v>
      </c>
      <c r="AF378" t="s">
        <v>19</v>
      </c>
      <c r="AG378" t="s">
        <v>19</v>
      </c>
      <c r="AH378" t="s">
        <v>934</v>
      </c>
      <c r="AI378" t="s">
        <v>19</v>
      </c>
      <c r="AJ378" t="s">
        <v>19</v>
      </c>
      <c r="AK378" t="s">
        <v>19</v>
      </c>
      <c r="AL378" t="s">
        <v>19</v>
      </c>
      <c r="AM378" t="s">
        <v>19</v>
      </c>
      <c r="AN378" t="s">
        <v>28</v>
      </c>
      <c r="AO378">
        <v>17</v>
      </c>
      <c r="AP378">
        <v>14</v>
      </c>
    </row>
    <row r="379" spans="1:42">
      <c r="A379" s="154"/>
      <c r="B379" s="35" t="s">
        <v>2216</v>
      </c>
      <c r="C379" s="44"/>
      <c r="D379" s="35"/>
      <c r="E379" s="35"/>
      <c r="F379" s="35" t="s">
        <v>2248</v>
      </c>
      <c r="G379" s="35"/>
      <c r="H379" s="35"/>
      <c r="I379" s="35"/>
      <c r="J379" s="35"/>
      <c r="K379" s="35"/>
      <c r="L379" s="35"/>
      <c r="M379" s="35"/>
      <c r="N379" s="35"/>
      <c r="O379" s="35"/>
      <c r="P379" s="44"/>
      <c r="Q379" s="35"/>
      <c r="R379" s="35"/>
      <c r="S379" s="35"/>
      <c r="T379" s="35"/>
      <c r="U379" s="35"/>
      <c r="V379" s="35"/>
      <c r="W379" s="35"/>
      <c r="X379" s="35"/>
      <c r="Y379" s="46"/>
      <c r="Z379">
        <v>4</v>
      </c>
      <c r="AA379" t="s">
        <v>26</v>
      </c>
      <c r="AB379" t="s">
        <v>19</v>
      </c>
      <c r="AC379" t="s">
        <v>19</v>
      </c>
      <c r="AD379" t="s">
        <v>19</v>
      </c>
      <c r="AE379" t="s">
        <v>19</v>
      </c>
      <c r="AF379" t="s">
        <v>19</v>
      </c>
      <c r="AG379" t="s">
        <v>19</v>
      </c>
      <c r="AH379" t="s">
        <v>935</v>
      </c>
      <c r="AI379" t="s">
        <v>19</v>
      </c>
      <c r="AJ379" t="s">
        <v>19</v>
      </c>
      <c r="AK379" t="s">
        <v>19</v>
      </c>
      <c r="AL379" t="s">
        <v>19</v>
      </c>
      <c r="AM379" t="s">
        <v>19</v>
      </c>
      <c r="AN379" t="s">
        <v>28</v>
      </c>
      <c r="AO379">
        <v>3</v>
      </c>
      <c r="AP379" t="s">
        <v>19</v>
      </c>
    </row>
    <row r="380" spans="1:42">
      <c r="A380" s="154"/>
      <c r="B380" s="35" t="s">
        <v>2216</v>
      </c>
      <c r="C380" s="44"/>
      <c r="D380" s="35"/>
      <c r="E380" s="35"/>
      <c r="F380" s="35" t="s">
        <v>2248</v>
      </c>
      <c r="G380" s="35"/>
      <c r="H380" s="35"/>
      <c r="I380" s="35"/>
      <c r="J380" s="35"/>
      <c r="K380" s="35"/>
      <c r="L380" s="35"/>
      <c r="M380" s="35"/>
      <c r="N380" s="35"/>
      <c r="O380" s="35"/>
      <c r="P380" s="44"/>
      <c r="Q380" s="35"/>
      <c r="R380" s="35"/>
      <c r="S380" s="35"/>
      <c r="T380" s="35"/>
      <c r="U380" s="35"/>
      <c r="V380" s="35"/>
      <c r="W380" s="35"/>
      <c r="X380" s="35"/>
      <c r="Y380" s="46"/>
      <c r="Z380">
        <v>4</v>
      </c>
      <c r="AA380" t="s">
        <v>26</v>
      </c>
      <c r="AB380" t="s">
        <v>19</v>
      </c>
      <c r="AC380" t="s">
        <v>19</v>
      </c>
      <c r="AD380" t="s">
        <v>19</v>
      </c>
      <c r="AE380" t="s">
        <v>19</v>
      </c>
      <c r="AF380" t="s">
        <v>19</v>
      </c>
      <c r="AG380" t="s">
        <v>19</v>
      </c>
      <c r="AH380" t="s">
        <v>936</v>
      </c>
      <c r="AI380" t="s">
        <v>19</v>
      </c>
      <c r="AJ380" t="s">
        <v>19</v>
      </c>
      <c r="AK380" t="s">
        <v>19</v>
      </c>
      <c r="AL380" t="s">
        <v>19</v>
      </c>
      <c r="AM380" t="s">
        <v>19</v>
      </c>
      <c r="AN380" t="s">
        <v>28</v>
      </c>
      <c r="AO380">
        <v>4</v>
      </c>
      <c r="AP380">
        <v>4</v>
      </c>
    </row>
    <row r="381" spans="1:42">
      <c r="A381" s="154"/>
      <c r="B381" s="35" t="s">
        <v>2216</v>
      </c>
      <c r="C381" s="44"/>
      <c r="D381" s="35"/>
      <c r="E381" s="35"/>
      <c r="F381" s="35" t="s">
        <v>2248</v>
      </c>
      <c r="G381" s="35"/>
      <c r="H381" s="35"/>
      <c r="I381" s="35"/>
      <c r="J381" s="35"/>
      <c r="K381" s="35"/>
      <c r="L381" s="35"/>
      <c r="M381" s="35"/>
      <c r="N381" s="35"/>
      <c r="O381" s="35"/>
      <c r="P381" s="44"/>
      <c r="Q381" s="35"/>
      <c r="R381" s="35"/>
      <c r="S381" s="35"/>
      <c r="T381" s="35"/>
      <c r="U381" s="35"/>
      <c r="V381" s="35"/>
      <c r="W381" s="35"/>
      <c r="X381" s="35"/>
      <c r="Y381" s="46"/>
      <c r="Z381">
        <v>4</v>
      </c>
      <c r="AA381" t="s">
        <v>26</v>
      </c>
      <c r="AB381" t="s">
        <v>19</v>
      </c>
      <c r="AC381" t="s">
        <v>19</v>
      </c>
      <c r="AD381" t="s">
        <v>19</v>
      </c>
      <c r="AE381" t="s">
        <v>19</v>
      </c>
      <c r="AF381" t="s">
        <v>19</v>
      </c>
      <c r="AG381" t="s">
        <v>19</v>
      </c>
      <c r="AH381" t="s">
        <v>937</v>
      </c>
      <c r="AI381" t="s">
        <v>19</v>
      </c>
      <c r="AJ381" t="s">
        <v>19</v>
      </c>
      <c r="AK381" t="s">
        <v>19</v>
      </c>
      <c r="AL381" t="s">
        <v>19</v>
      </c>
      <c r="AM381" t="s">
        <v>19</v>
      </c>
      <c r="AN381" t="s">
        <v>28</v>
      </c>
      <c r="AO381">
        <v>17</v>
      </c>
      <c r="AP381">
        <v>14</v>
      </c>
    </row>
    <row r="382" spans="1:42">
      <c r="A382" s="154"/>
      <c r="B382" s="35" t="s">
        <v>2216</v>
      </c>
      <c r="C382" s="44"/>
      <c r="D382" s="35"/>
      <c r="E382" s="35"/>
      <c r="F382" s="35" t="s">
        <v>2248</v>
      </c>
      <c r="G382" s="35"/>
      <c r="H382" s="35"/>
      <c r="I382" s="35"/>
      <c r="J382" s="35"/>
      <c r="K382" s="35"/>
      <c r="L382" s="35"/>
      <c r="M382" s="35"/>
      <c r="N382" s="35"/>
      <c r="O382" s="35"/>
      <c r="P382" s="44"/>
      <c r="Q382" s="35"/>
      <c r="R382" s="35"/>
      <c r="S382" s="35"/>
      <c r="T382" s="35"/>
      <c r="U382" s="35"/>
      <c r="V382" s="35"/>
      <c r="W382" s="35"/>
      <c r="X382" s="35"/>
      <c r="Y382" s="46"/>
      <c r="Z382">
        <v>4</v>
      </c>
      <c r="AA382" t="s">
        <v>26</v>
      </c>
      <c r="AB382" t="s">
        <v>19</v>
      </c>
      <c r="AC382" t="s">
        <v>19</v>
      </c>
      <c r="AD382" t="s">
        <v>19</v>
      </c>
      <c r="AE382" t="s">
        <v>19</v>
      </c>
      <c r="AF382" t="s">
        <v>19</v>
      </c>
      <c r="AG382" t="s">
        <v>19</v>
      </c>
      <c r="AH382" t="s">
        <v>938</v>
      </c>
      <c r="AI382" t="s">
        <v>19</v>
      </c>
      <c r="AJ382" t="s">
        <v>19</v>
      </c>
      <c r="AK382" t="s">
        <v>19</v>
      </c>
      <c r="AL382" t="s">
        <v>19</v>
      </c>
      <c r="AM382" t="s">
        <v>19</v>
      </c>
      <c r="AN382" t="s">
        <v>28</v>
      </c>
      <c r="AO382">
        <v>13</v>
      </c>
      <c r="AP382">
        <v>13</v>
      </c>
    </row>
    <row r="383" spans="1:42">
      <c r="A383" s="154"/>
      <c r="B383" s="35" t="s">
        <v>2216</v>
      </c>
      <c r="C383" s="44"/>
      <c r="D383" s="35" t="s">
        <v>2190</v>
      </c>
      <c r="E383" s="35" t="s">
        <v>2224</v>
      </c>
      <c r="F383" s="35" t="s">
        <v>2248</v>
      </c>
      <c r="G383" s="35"/>
      <c r="H383" s="35"/>
      <c r="I383" s="35"/>
      <c r="J383" s="35"/>
      <c r="K383" s="35"/>
      <c r="L383" s="35"/>
      <c r="M383" s="35"/>
      <c r="N383" s="35"/>
      <c r="O383" s="35"/>
      <c r="P383" s="44"/>
      <c r="Q383" s="35"/>
      <c r="R383" s="35"/>
      <c r="S383" s="35"/>
      <c r="T383" s="35"/>
      <c r="U383" s="35"/>
      <c r="V383" s="35"/>
      <c r="W383" s="35"/>
      <c r="X383" s="35"/>
      <c r="Y383" s="46" t="s">
        <v>2189</v>
      </c>
      <c r="Z383">
        <v>3</v>
      </c>
      <c r="AA383" t="s">
        <v>452</v>
      </c>
      <c r="AB383" t="s">
        <v>939</v>
      </c>
      <c r="AC383" t="s">
        <v>19</v>
      </c>
      <c r="AD383" t="s">
        <v>940</v>
      </c>
      <c r="AE383" t="s">
        <v>940</v>
      </c>
      <c r="AF383" t="s">
        <v>941</v>
      </c>
      <c r="AG383" t="s">
        <v>942</v>
      </c>
      <c r="AH383" t="s">
        <v>943</v>
      </c>
      <c r="AI383" t="s">
        <v>19</v>
      </c>
      <c r="AJ383" t="s">
        <v>19</v>
      </c>
      <c r="AK383" t="s">
        <v>144</v>
      </c>
      <c r="AL383" t="s">
        <v>944</v>
      </c>
      <c r="AM383" t="s">
        <v>945</v>
      </c>
      <c r="AN383" t="s">
        <v>28</v>
      </c>
      <c r="AO383" t="s">
        <v>929</v>
      </c>
      <c r="AP383" t="s">
        <v>19</v>
      </c>
    </row>
    <row r="384" spans="1:42">
      <c r="A384" s="154"/>
      <c r="B384" s="35" t="s">
        <v>2216</v>
      </c>
      <c r="C384" s="44"/>
      <c r="D384" s="35" t="s">
        <v>2190</v>
      </c>
      <c r="E384" s="35" t="s">
        <v>2224</v>
      </c>
      <c r="F384" s="35" t="s">
        <v>2248</v>
      </c>
      <c r="G384" s="35"/>
      <c r="H384" s="35"/>
      <c r="I384" s="35"/>
      <c r="J384" s="35"/>
      <c r="K384" s="35"/>
      <c r="L384" s="35"/>
      <c r="M384" s="158">
        <v>920006998</v>
      </c>
      <c r="N384" s="35"/>
      <c r="O384" s="35"/>
      <c r="P384" s="44"/>
      <c r="Q384" s="35"/>
      <c r="R384" s="35"/>
      <c r="S384" s="35"/>
      <c r="T384" s="35"/>
      <c r="U384" s="35"/>
      <c r="V384" s="35"/>
      <c r="W384" s="35"/>
      <c r="X384" s="35"/>
      <c r="Y384" s="46" t="s">
        <v>2189</v>
      </c>
      <c r="Z384">
        <v>3</v>
      </c>
      <c r="AA384" t="s">
        <v>946</v>
      </c>
      <c r="AB384" t="s">
        <v>947</v>
      </c>
      <c r="AC384" t="s">
        <v>19</v>
      </c>
      <c r="AD384" t="s">
        <v>948</v>
      </c>
      <c r="AE384" t="s">
        <v>948</v>
      </c>
      <c r="AF384" t="s">
        <v>949</v>
      </c>
      <c r="AG384" t="s">
        <v>942</v>
      </c>
      <c r="AH384" t="s">
        <v>950</v>
      </c>
      <c r="AI384" t="s">
        <v>19</v>
      </c>
      <c r="AJ384" t="s">
        <v>19</v>
      </c>
      <c r="AK384" t="s">
        <v>144</v>
      </c>
      <c r="AL384" t="s">
        <v>951</v>
      </c>
      <c r="AM384" t="s">
        <v>952</v>
      </c>
      <c r="AN384" t="s">
        <v>28</v>
      </c>
      <c r="AO384" t="s">
        <v>929</v>
      </c>
      <c r="AP384" t="s">
        <v>931</v>
      </c>
    </row>
    <row r="385" spans="1:42">
      <c r="A385" s="196"/>
      <c r="B385" s="197" t="s">
        <v>2216</v>
      </c>
      <c r="C385" s="197"/>
      <c r="D385" s="197" t="s">
        <v>2190</v>
      </c>
      <c r="E385" s="197" t="s">
        <v>2224</v>
      </c>
      <c r="F385" s="197" t="s">
        <v>2248</v>
      </c>
      <c r="G385" s="197"/>
      <c r="H385" s="197"/>
      <c r="I385" s="197"/>
      <c r="J385" s="197"/>
      <c r="K385" s="197"/>
      <c r="L385" s="197"/>
      <c r="M385" s="198">
        <v>920007000</v>
      </c>
      <c r="N385" s="197"/>
      <c r="O385" s="197"/>
      <c r="P385" s="197"/>
      <c r="Q385" s="197"/>
      <c r="R385" s="197"/>
      <c r="S385" s="197"/>
      <c r="T385" s="197"/>
      <c r="U385" s="197"/>
      <c r="V385" s="197"/>
      <c r="W385" s="197"/>
      <c r="X385" s="197"/>
      <c r="Y385" s="199" t="s">
        <v>2189</v>
      </c>
      <c r="Z385" s="196">
        <v>3</v>
      </c>
      <c r="AA385" s="196" t="s">
        <v>2395</v>
      </c>
      <c r="AB385" s="196" t="s">
        <v>947</v>
      </c>
      <c r="AC385" s="196" t="s">
        <v>19</v>
      </c>
      <c r="AD385" s="196" t="s">
        <v>948</v>
      </c>
      <c r="AE385" s="196" t="s">
        <v>948</v>
      </c>
      <c r="AF385" s="196" t="s">
        <v>949</v>
      </c>
      <c r="AG385" s="196" t="s">
        <v>942</v>
      </c>
      <c r="AH385" s="196"/>
      <c r="AI385" s="196" t="s">
        <v>19</v>
      </c>
      <c r="AJ385" s="196" t="s">
        <v>19</v>
      </c>
      <c r="AK385" s="196" t="s">
        <v>144</v>
      </c>
      <c r="AL385" s="196" t="s">
        <v>951</v>
      </c>
      <c r="AM385" s="196" t="s">
        <v>952</v>
      </c>
      <c r="AN385" s="196" t="s">
        <v>28</v>
      </c>
      <c r="AO385" s="196">
        <v>0</v>
      </c>
      <c r="AP385" s="196">
        <v>0</v>
      </c>
    </row>
    <row r="386" spans="1:42">
      <c r="A386" s="196"/>
      <c r="B386" s="197" t="s">
        <v>2216</v>
      </c>
      <c r="C386" s="197"/>
      <c r="D386" s="197" t="s">
        <v>2190</v>
      </c>
      <c r="E386" s="197" t="s">
        <v>2224</v>
      </c>
      <c r="F386" s="197" t="s">
        <v>2248</v>
      </c>
      <c r="G386" s="197"/>
      <c r="H386" s="197"/>
      <c r="I386" s="197"/>
      <c r="J386" s="197"/>
      <c r="K386" s="197"/>
      <c r="L386" s="197"/>
      <c r="M386" s="198">
        <v>920007001</v>
      </c>
      <c r="N386" s="197"/>
      <c r="O386" s="197"/>
      <c r="P386" s="197"/>
      <c r="Q386" s="197"/>
      <c r="R386" s="197"/>
      <c r="S386" s="197"/>
      <c r="T386" s="197"/>
      <c r="U386" s="197"/>
      <c r="V386" s="197"/>
      <c r="W386" s="197"/>
      <c r="X386" s="197"/>
      <c r="Y386" s="199" t="s">
        <v>2189</v>
      </c>
      <c r="Z386" s="196">
        <v>3</v>
      </c>
      <c r="AA386" s="196" t="s">
        <v>2396</v>
      </c>
      <c r="AB386" s="196" t="s">
        <v>947</v>
      </c>
      <c r="AC386" s="196" t="s">
        <v>19</v>
      </c>
      <c r="AD386" s="196" t="s">
        <v>948</v>
      </c>
      <c r="AE386" s="196" t="s">
        <v>948</v>
      </c>
      <c r="AF386" s="196" t="s">
        <v>949</v>
      </c>
      <c r="AG386" s="196" t="s">
        <v>942</v>
      </c>
      <c r="AH386" s="196"/>
      <c r="AI386" s="196" t="s">
        <v>19</v>
      </c>
      <c r="AJ386" s="196" t="s">
        <v>19</v>
      </c>
      <c r="AK386" s="196" t="s">
        <v>144</v>
      </c>
      <c r="AL386" s="196" t="s">
        <v>951</v>
      </c>
      <c r="AM386" s="196" t="s">
        <v>952</v>
      </c>
      <c r="AN386" s="196" t="s">
        <v>28</v>
      </c>
      <c r="AO386" s="196">
        <v>0</v>
      </c>
      <c r="AP386" s="196">
        <v>0</v>
      </c>
    </row>
    <row r="387" spans="1:42">
      <c r="A387" s="196"/>
      <c r="B387" s="197" t="s">
        <v>2216</v>
      </c>
      <c r="C387" s="197"/>
      <c r="D387" s="197" t="s">
        <v>2190</v>
      </c>
      <c r="E387" s="197" t="s">
        <v>2224</v>
      </c>
      <c r="F387" s="197" t="s">
        <v>2248</v>
      </c>
      <c r="G387" s="197"/>
      <c r="H387" s="197"/>
      <c r="I387" s="197"/>
      <c r="J387" s="197"/>
      <c r="K387" s="197"/>
      <c r="L387" s="197"/>
      <c r="M387" s="198">
        <v>920007002</v>
      </c>
      <c r="N387" s="197"/>
      <c r="O387" s="197"/>
      <c r="P387" s="197"/>
      <c r="Q387" s="197"/>
      <c r="R387" s="197"/>
      <c r="S387" s="197"/>
      <c r="T387" s="197"/>
      <c r="U387" s="197"/>
      <c r="V387" s="197"/>
      <c r="W387" s="197"/>
      <c r="X387" s="197"/>
      <c r="Y387" s="199" t="s">
        <v>2189</v>
      </c>
      <c r="Z387" s="196">
        <v>3</v>
      </c>
      <c r="AA387" s="196" t="s">
        <v>2397</v>
      </c>
      <c r="AB387" s="196" t="s">
        <v>947</v>
      </c>
      <c r="AC387" s="196" t="s">
        <v>19</v>
      </c>
      <c r="AD387" s="196" t="s">
        <v>948</v>
      </c>
      <c r="AE387" s="196" t="s">
        <v>948</v>
      </c>
      <c r="AF387" s="196" t="s">
        <v>949</v>
      </c>
      <c r="AG387" s="196" t="s">
        <v>942</v>
      </c>
      <c r="AH387" s="196"/>
      <c r="AI387" s="196" t="s">
        <v>19</v>
      </c>
      <c r="AJ387" s="196" t="s">
        <v>19</v>
      </c>
      <c r="AK387" s="196" t="s">
        <v>144</v>
      </c>
      <c r="AL387" s="196" t="s">
        <v>951</v>
      </c>
      <c r="AM387" s="196" t="s">
        <v>952</v>
      </c>
      <c r="AN387" s="196" t="s">
        <v>28</v>
      </c>
      <c r="AO387" s="196">
        <v>0</v>
      </c>
      <c r="AP387" s="196">
        <v>0</v>
      </c>
    </row>
    <row r="388" spans="1:42">
      <c r="A388" s="154"/>
      <c r="B388" s="35" t="s">
        <v>2216</v>
      </c>
      <c r="C388" s="44"/>
      <c r="D388" s="35" t="s">
        <v>2190</v>
      </c>
      <c r="E388" s="35"/>
      <c r="F388" s="35" t="s">
        <v>2248</v>
      </c>
      <c r="G388" s="35"/>
      <c r="H388" s="35"/>
      <c r="I388" s="35"/>
      <c r="J388" s="35"/>
      <c r="K388" s="35"/>
      <c r="L388" s="35"/>
      <c r="M388" s="35"/>
      <c r="N388" s="35"/>
      <c r="O388" s="35"/>
      <c r="P388" s="44"/>
      <c r="Q388" s="35"/>
      <c r="R388" s="35"/>
      <c r="S388" s="35"/>
      <c r="T388" s="35"/>
      <c r="U388" s="35"/>
      <c r="V388" s="35"/>
      <c r="W388" s="35"/>
      <c r="X388" s="35"/>
      <c r="Y388" s="46" t="s">
        <v>2189</v>
      </c>
      <c r="Z388">
        <v>3</v>
      </c>
      <c r="AA388" t="s">
        <v>953</v>
      </c>
      <c r="AB388" t="s">
        <v>954</v>
      </c>
      <c r="AC388" t="s">
        <v>19</v>
      </c>
      <c r="AD388" t="s">
        <v>19</v>
      </c>
      <c r="AE388" t="s">
        <v>19</v>
      </c>
      <c r="AF388" t="s">
        <v>954</v>
      </c>
      <c r="AG388" t="s">
        <v>942</v>
      </c>
      <c r="AH388" t="s">
        <v>955</v>
      </c>
      <c r="AI388" t="s">
        <v>19</v>
      </c>
      <c r="AJ388" t="s">
        <v>949</v>
      </c>
      <c r="AK388" t="s">
        <v>19</v>
      </c>
      <c r="AL388" t="s">
        <v>19</v>
      </c>
      <c r="AM388" t="s">
        <v>19</v>
      </c>
      <c r="AN388" t="s">
        <v>28</v>
      </c>
      <c r="AO388" t="s">
        <v>929</v>
      </c>
      <c r="AP388" t="s">
        <v>931</v>
      </c>
    </row>
    <row r="389" spans="1:42">
      <c r="A389" s="154"/>
      <c r="B389" s="35" t="s">
        <v>2216</v>
      </c>
      <c r="C389" s="44"/>
      <c r="D389" s="35" t="s">
        <v>2190</v>
      </c>
      <c r="E389" s="35"/>
      <c r="F389" s="35" t="s">
        <v>2248</v>
      </c>
      <c r="G389" s="35"/>
      <c r="H389" s="35"/>
      <c r="I389" s="35"/>
      <c r="J389" s="35"/>
      <c r="K389" s="35"/>
      <c r="L389" s="35"/>
      <c r="M389" s="35"/>
      <c r="N389" s="35"/>
      <c r="O389" s="35"/>
      <c r="P389" s="44"/>
      <c r="Q389" s="35"/>
      <c r="R389" s="35"/>
      <c r="S389" s="35"/>
      <c r="T389" s="35"/>
      <c r="U389" s="35"/>
      <c r="V389" s="35"/>
      <c r="W389" s="35"/>
      <c r="X389" s="35"/>
      <c r="Y389" s="46" t="s">
        <v>2189</v>
      </c>
      <c r="Z389">
        <v>4</v>
      </c>
      <c r="AA389" t="s">
        <v>956</v>
      </c>
      <c r="AB389" t="s">
        <v>19</v>
      </c>
      <c r="AC389" t="s">
        <v>19</v>
      </c>
      <c r="AD389" t="s">
        <v>19</v>
      </c>
      <c r="AE389" t="s">
        <v>19</v>
      </c>
      <c r="AF389" t="s">
        <v>19</v>
      </c>
      <c r="AG389" t="s">
        <v>19</v>
      </c>
      <c r="AH389" t="s">
        <v>957</v>
      </c>
      <c r="AI389" t="s">
        <v>19</v>
      </c>
      <c r="AJ389" t="s">
        <v>949</v>
      </c>
      <c r="AK389" t="s">
        <v>19</v>
      </c>
      <c r="AL389" t="s">
        <v>19</v>
      </c>
      <c r="AM389" t="s">
        <v>19</v>
      </c>
      <c r="AN389" t="s">
        <v>28</v>
      </c>
      <c r="AO389" t="s">
        <v>958</v>
      </c>
      <c r="AP389" t="s">
        <v>958</v>
      </c>
    </row>
    <row r="390" spans="1:42">
      <c r="A390" s="173" t="s">
        <v>2378</v>
      </c>
      <c r="B390" s="50" t="s">
        <v>2216</v>
      </c>
      <c r="C390" s="50"/>
      <c r="D390" s="50" t="s">
        <v>2190</v>
      </c>
      <c r="E390" s="50" t="s">
        <v>2224</v>
      </c>
      <c r="F390" s="50" t="s">
        <v>2248</v>
      </c>
      <c r="G390" s="50"/>
      <c r="H390" s="50"/>
      <c r="I390" s="50"/>
      <c r="J390" s="50"/>
      <c r="K390" s="50"/>
      <c r="L390" s="50"/>
      <c r="M390" s="194">
        <v>980015156</v>
      </c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50"/>
      <c r="Y390" s="52" t="s">
        <v>2189</v>
      </c>
      <c r="Z390" s="173">
        <v>3</v>
      </c>
      <c r="AA390" s="173" t="s">
        <v>959</v>
      </c>
      <c r="AB390" s="173" t="s">
        <v>960</v>
      </c>
      <c r="AC390" s="173" t="s">
        <v>19</v>
      </c>
      <c r="AD390" s="173" t="s">
        <v>961</v>
      </c>
      <c r="AE390" s="173" t="s">
        <v>961</v>
      </c>
      <c r="AF390" s="173" t="s">
        <v>962</v>
      </c>
      <c r="AG390" s="173" t="s">
        <v>963</v>
      </c>
      <c r="AH390" s="173" t="s">
        <v>964</v>
      </c>
      <c r="AI390" s="173" t="s">
        <v>965</v>
      </c>
      <c r="AJ390" s="173" t="s">
        <v>19</v>
      </c>
      <c r="AK390" s="173" t="s">
        <v>966</v>
      </c>
      <c r="AL390" s="173" t="s">
        <v>967</v>
      </c>
      <c r="AM390" s="173" t="s">
        <v>968</v>
      </c>
      <c r="AN390" s="173" t="s">
        <v>28</v>
      </c>
      <c r="AO390" s="173" t="s">
        <v>929</v>
      </c>
      <c r="AP390" s="173" t="s">
        <v>931</v>
      </c>
    </row>
    <row r="391" spans="1:42">
      <c r="A391" s="34" t="s">
        <v>2378</v>
      </c>
      <c r="B391" s="35" t="s">
        <v>2216</v>
      </c>
      <c r="C391" s="44"/>
      <c r="D391" s="35" t="s">
        <v>2190</v>
      </c>
      <c r="E391" s="35" t="s">
        <v>2224</v>
      </c>
      <c r="F391" s="35" t="s">
        <v>2248</v>
      </c>
      <c r="G391" s="35"/>
      <c r="H391" s="35"/>
      <c r="I391" s="35"/>
      <c r="J391" s="35"/>
      <c r="K391" s="35"/>
      <c r="L391" s="35"/>
      <c r="M391" s="158">
        <v>980018078</v>
      </c>
      <c r="N391" s="35"/>
      <c r="O391" s="35"/>
      <c r="P391" s="44"/>
      <c r="Q391" s="35"/>
      <c r="R391" s="35"/>
      <c r="S391" s="35"/>
      <c r="T391" s="35"/>
      <c r="U391" s="35"/>
      <c r="V391" s="35"/>
      <c r="W391" s="35"/>
      <c r="X391" s="35"/>
      <c r="Y391" s="46" t="s">
        <v>2189</v>
      </c>
      <c r="Z391">
        <v>3</v>
      </c>
      <c r="AA391" t="s">
        <v>959</v>
      </c>
      <c r="AB391" t="s">
        <v>960</v>
      </c>
      <c r="AC391" t="s">
        <v>19</v>
      </c>
      <c r="AD391" t="s">
        <v>961</v>
      </c>
      <c r="AE391" t="s">
        <v>961</v>
      </c>
      <c r="AF391" t="s">
        <v>962</v>
      </c>
      <c r="AG391" t="s">
        <v>963</v>
      </c>
      <c r="AH391" t="s">
        <v>964</v>
      </c>
      <c r="AI391" t="s">
        <v>965</v>
      </c>
      <c r="AJ391" t="s">
        <v>19</v>
      </c>
      <c r="AK391" t="s">
        <v>966</v>
      </c>
      <c r="AL391" t="s">
        <v>967</v>
      </c>
      <c r="AM391" t="s">
        <v>968</v>
      </c>
      <c r="AN391" t="s">
        <v>28</v>
      </c>
      <c r="AO391" t="s">
        <v>929</v>
      </c>
      <c r="AP391" t="s">
        <v>931</v>
      </c>
    </row>
    <row r="392" spans="1:42">
      <c r="A392" s="154"/>
      <c r="B392" s="35" t="s">
        <v>2216</v>
      </c>
      <c r="C392" s="44"/>
      <c r="D392" s="35" t="s">
        <v>2190</v>
      </c>
      <c r="E392" s="35" t="s">
        <v>2224</v>
      </c>
      <c r="F392" s="35" t="s">
        <v>2248</v>
      </c>
      <c r="G392" s="35"/>
      <c r="H392" s="35"/>
      <c r="I392" s="35"/>
      <c r="J392" s="35"/>
      <c r="K392" s="35"/>
      <c r="L392" s="35"/>
      <c r="M392" s="181"/>
      <c r="N392" s="35"/>
      <c r="O392" s="35"/>
      <c r="P392" s="44"/>
      <c r="Q392" s="35"/>
      <c r="R392" s="35"/>
      <c r="S392" s="35"/>
      <c r="T392" s="35"/>
      <c r="U392" s="35"/>
      <c r="V392" s="35"/>
      <c r="W392" s="35"/>
      <c r="X392" s="35"/>
      <c r="Y392" s="46" t="s">
        <v>2189</v>
      </c>
      <c r="Z392">
        <v>3</v>
      </c>
      <c r="AA392" t="s">
        <v>959</v>
      </c>
      <c r="AB392" t="s">
        <v>960</v>
      </c>
      <c r="AC392" t="s">
        <v>19</v>
      </c>
      <c r="AD392" t="s">
        <v>961</v>
      </c>
      <c r="AE392" t="s">
        <v>961</v>
      </c>
      <c r="AF392" t="s">
        <v>962</v>
      </c>
      <c r="AG392" t="s">
        <v>963</v>
      </c>
    </row>
    <row r="393" spans="1:42">
      <c r="A393" s="154"/>
      <c r="B393" s="35" t="s">
        <v>2216</v>
      </c>
      <c r="C393" s="44"/>
      <c r="D393" s="35" t="s">
        <v>2190</v>
      </c>
      <c r="E393" s="35" t="s">
        <v>2224</v>
      </c>
      <c r="F393" s="35" t="s">
        <v>2248</v>
      </c>
      <c r="G393" s="35"/>
      <c r="H393" s="35"/>
      <c r="I393" s="35"/>
      <c r="J393" s="35"/>
      <c r="K393" s="35"/>
      <c r="L393" s="35"/>
      <c r="M393" s="181"/>
      <c r="N393" s="35"/>
      <c r="O393" s="35"/>
      <c r="P393" s="44"/>
      <c r="Q393" s="35"/>
      <c r="R393" s="35"/>
      <c r="S393" s="35"/>
      <c r="T393" s="35"/>
      <c r="U393" s="35"/>
      <c r="V393" s="35"/>
      <c r="W393" s="35"/>
      <c r="X393" s="35"/>
      <c r="Y393" s="46" t="s">
        <v>2189</v>
      </c>
      <c r="Z393">
        <v>3</v>
      </c>
      <c r="AA393" t="s">
        <v>959</v>
      </c>
      <c r="AB393" t="s">
        <v>960</v>
      </c>
      <c r="AC393" t="s">
        <v>19</v>
      </c>
      <c r="AD393" t="s">
        <v>961</v>
      </c>
      <c r="AE393" t="s">
        <v>961</v>
      </c>
      <c r="AF393" t="s">
        <v>962</v>
      </c>
      <c r="AG393" t="s">
        <v>963</v>
      </c>
    </row>
    <row r="394" spans="1:42">
      <c r="A394" s="173" t="s">
        <v>2378</v>
      </c>
      <c r="B394" s="50" t="s">
        <v>2216</v>
      </c>
      <c r="C394" s="50"/>
      <c r="D394" s="50" t="s">
        <v>2190</v>
      </c>
      <c r="E394" s="50" t="s">
        <v>2224</v>
      </c>
      <c r="F394" s="50" t="s">
        <v>2248</v>
      </c>
      <c r="G394" s="50"/>
      <c r="H394" s="50"/>
      <c r="I394" s="50"/>
      <c r="J394" s="50"/>
      <c r="K394" s="50"/>
      <c r="L394" s="50"/>
      <c r="M394" s="194">
        <v>980015154</v>
      </c>
      <c r="N394" s="50"/>
      <c r="O394" s="50"/>
      <c r="P394" s="50"/>
      <c r="Q394" s="50"/>
      <c r="R394" s="50"/>
      <c r="S394" s="50"/>
      <c r="T394" s="50"/>
      <c r="U394" s="50"/>
      <c r="V394" s="50"/>
      <c r="W394" s="50"/>
      <c r="X394" s="50"/>
      <c r="Y394" s="52" t="s">
        <v>2189</v>
      </c>
      <c r="Z394" s="173">
        <v>3</v>
      </c>
      <c r="AA394" s="173" t="s">
        <v>959</v>
      </c>
      <c r="AB394" s="173" t="s">
        <v>969</v>
      </c>
      <c r="AC394" s="173" t="s">
        <v>19</v>
      </c>
      <c r="AD394" s="173" t="s">
        <v>970</v>
      </c>
      <c r="AE394" s="173" t="s">
        <v>970</v>
      </c>
      <c r="AF394" s="173" t="s">
        <v>971</v>
      </c>
      <c r="AG394" s="173" t="s">
        <v>972</v>
      </c>
      <c r="AH394" s="173" t="s">
        <v>964</v>
      </c>
      <c r="AI394" s="173" t="s">
        <v>965</v>
      </c>
      <c r="AJ394" s="173" t="s">
        <v>19</v>
      </c>
      <c r="AK394" s="173" t="s">
        <v>966</v>
      </c>
      <c r="AL394" s="173" t="s">
        <v>973</v>
      </c>
      <c r="AM394" s="173" t="s">
        <v>974</v>
      </c>
      <c r="AN394" s="173" t="s">
        <v>28</v>
      </c>
      <c r="AO394" s="173" t="s">
        <v>929</v>
      </c>
      <c r="AP394" s="173" t="s">
        <v>931</v>
      </c>
    </row>
    <row r="395" spans="1:42">
      <c r="A395" s="34" t="s">
        <v>2378</v>
      </c>
      <c r="B395" s="35" t="s">
        <v>2216</v>
      </c>
      <c r="C395" s="44"/>
      <c r="D395" s="35" t="s">
        <v>2190</v>
      </c>
      <c r="E395" s="35" t="s">
        <v>2224</v>
      </c>
      <c r="F395" s="35" t="s">
        <v>2248</v>
      </c>
      <c r="G395" s="35"/>
      <c r="H395" s="35"/>
      <c r="I395" s="35"/>
      <c r="J395" s="35"/>
      <c r="K395" s="35"/>
      <c r="L395" s="35"/>
      <c r="M395" s="158">
        <v>980018079</v>
      </c>
      <c r="N395" s="35"/>
      <c r="O395" s="35"/>
      <c r="P395" s="44"/>
      <c r="Q395" s="35"/>
      <c r="R395" s="35"/>
      <c r="S395" s="35"/>
      <c r="T395" s="35"/>
      <c r="U395" s="35"/>
      <c r="V395" s="35"/>
      <c r="W395" s="35"/>
      <c r="X395" s="35"/>
      <c r="Y395" s="46" t="s">
        <v>2189</v>
      </c>
      <c r="Z395">
        <v>3</v>
      </c>
      <c r="AA395" t="s">
        <v>959</v>
      </c>
      <c r="AB395" t="s">
        <v>969</v>
      </c>
      <c r="AC395" t="s">
        <v>19</v>
      </c>
      <c r="AD395" t="s">
        <v>970</v>
      </c>
      <c r="AE395" t="s">
        <v>970</v>
      </c>
      <c r="AF395" t="s">
        <v>971</v>
      </c>
      <c r="AG395" t="s">
        <v>972</v>
      </c>
      <c r="AH395" t="s">
        <v>964</v>
      </c>
      <c r="AI395" t="s">
        <v>965</v>
      </c>
      <c r="AJ395" t="s">
        <v>19</v>
      </c>
      <c r="AK395" t="s">
        <v>966</v>
      </c>
      <c r="AL395" t="s">
        <v>973</v>
      </c>
      <c r="AM395" t="s">
        <v>974</v>
      </c>
      <c r="AN395" t="s">
        <v>28</v>
      </c>
      <c r="AO395" t="s">
        <v>929</v>
      </c>
      <c r="AP395" t="s">
        <v>931</v>
      </c>
    </row>
    <row r="396" spans="1:42">
      <c r="A396" s="154"/>
      <c r="B396" s="35" t="s">
        <v>2216</v>
      </c>
      <c r="C396" s="44"/>
      <c r="D396" s="35" t="s">
        <v>2190</v>
      </c>
      <c r="E396" s="35" t="s">
        <v>2224</v>
      </c>
      <c r="F396" s="35" t="s">
        <v>2248</v>
      </c>
      <c r="G396" s="35"/>
      <c r="H396" s="35"/>
      <c r="I396" s="35"/>
      <c r="J396" s="35"/>
      <c r="K396" s="35"/>
      <c r="L396" s="35"/>
      <c r="M396" s="181"/>
      <c r="N396" s="35"/>
      <c r="O396" s="35"/>
      <c r="P396" s="44"/>
      <c r="Q396" s="35"/>
      <c r="R396" s="35"/>
      <c r="S396" s="35"/>
      <c r="T396" s="35"/>
      <c r="U396" s="35"/>
      <c r="V396" s="35"/>
      <c r="W396" s="35"/>
      <c r="X396" s="35"/>
      <c r="Y396" s="46" t="s">
        <v>2189</v>
      </c>
      <c r="Z396">
        <v>3</v>
      </c>
      <c r="AA396" t="s">
        <v>959</v>
      </c>
      <c r="AB396" t="s">
        <v>969</v>
      </c>
      <c r="AC396" t="s">
        <v>19</v>
      </c>
      <c r="AD396" t="s">
        <v>970</v>
      </c>
      <c r="AE396" t="s">
        <v>970</v>
      </c>
      <c r="AF396" t="s">
        <v>971</v>
      </c>
      <c r="AG396" t="s">
        <v>972</v>
      </c>
    </row>
    <row r="397" spans="1:42">
      <c r="A397" s="154"/>
      <c r="B397" s="35" t="s">
        <v>2216</v>
      </c>
      <c r="C397" s="44"/>
      <c r="D397" s="35" t="s">
        <v>2190</v>
      </c>
      <c r="E397" s="35" t="s">
        <v>2224</v>
      </c>
      <c r="F397" s="35" t="s">
        <v>2248</v>
      </c>
      <c r="G397" s="35"/>
      <c r="H397" s="35"/>
      <c r="I397" s="35"/>
      <c r="J397" s="35"/>
      <c r="K397" s="35"/>
      <c r="L397" s="35"/>
      <c r="M397" s="181"/>
      <c r="N397" s="35"/>
      <c r="O397" s="35"/>
      <c r="P397" s="44"/>
      <c r="Q397" s="35"/>
      <c r="R397" s="35"/>
      <c r="S397" s="35"/>
      <c r="T397" s="35"/>
      <c r="U397" s="35"/>
      <c r="V397" s="35"/>
      <c r="W397" s="35"/>
      <c r="X397" s="35"/>
      <c r="Y397" s="46" t="s">
        <v>2189</v>
      </c>
      <c r="Z397">
        <v>3</v>
      </c>
      <c r="AA397" t="s">
        <v>959</v>
      </c>
      <c r="AB397" t="s">
        <v>969</v>
      </c>
      <c r="AC397" t="s">
        <v>19</v>
      </c>
      <c r="AD397" t="s">
        <v>970</v>
      </c>
      <c r="AE397" t="s">
        <v>970</v>
      </c>
      <c r="AF397" t="s">
        <v>971</v>
      </c>
      <c r="AG397" t="s">
        <v>972</v>
      </c>
    </row>
    <row r="398" spans="1:42">
      <c r="A398" s="173" t="s">
        <v>2378</v>
      </c>
      <c r="B398" s="50" t="s">
        <v>2216</v>
      </c>
      <c r="C398" s="50"/>
      <c r="D398" s="50" t="s">
        <v>2190</v>
      </c>
      <c r="E398" s="50" t="s">
        <v>2224</v>
      </c>
      <c r="F398" s="50" t="s">
        <v>2248</v>
      </c>
      <c r="G398" s="50"/>
      <c r="H398" s="50"/>
      <c r="I398" s="50"/>
      <c r="J398" s="50"/>
      <c r="K398" s="50"/>
      <c r="L398" s="50"/>
      <c r="M398" s="194">
        <v>980015155</v>
      </c>
      <c r="N398" s="50"/>
      <c r="O398" s="50"/>
      <c r="P398" s="50"/>
      <c r="Q398" s="50"/>
      <c r="R398" s="50"/>
      <c r="S398" s="50"/>
      <c r="T398" s="50"/>
      <c r="U398" s="50"/>
      <c r="V398" s="50"/>
      <c r="W398" s="50"/>
      <c r="X398" s="50"/>
      <c r="Y398" s="52" t="s">
        <v>2189</v>
      </c>
      <c r="Z398" s="173">
        <v>3</v>
      </c>
      <c r="AA398" s="173" t="s">
        <v>959</v>
      </c>
      <c r="AB398" s="173" t="s">
        <v>975</v>
      </c>
      <c r="AC398" s="173" t="s">
        <v>19</v>
      </c>
      <c r="AD398" s="173" t="s">
        <v>976</v>
      </c>
      <c r="AE398" s="173" t="s">
        <v>976</v>
      </c>
      <c r="AF398" s="173" t="s">
        <v>977</v>
      </c>
      <c r="AG398" s="173" t="s">
        <v>978</v>
      </c>
      <c r="AH398" s="173" t="s">
        <v>964</v>
      </c>
      <c r="AI398" s="173" t="s">
        <v>965</v>
      </c>
      <c r="AJ398" s="173" t="s">
        <v>19</v>
      </c>
      <c r="AK398" s="173" t="s">
        <v>966</v>
      </c>
      <c r="AL398" s="173" t="s">
        <v>979</v>
      </c>
      <c r="AM398" s="173" t="s">
        <v>980</v>
      </c>
      <c r="AN398" s="173" t="s">
        <v>28</v>
      </c>
      <c r="AO398" s="173" t="s">
        <v>929</v>
      </c>
      <c r="AP398" s="173" t="s">
        <v>931</v>
      </c>
    </row>
    <row r="399" spans="1:42">
      <c r="A399" s="34" t="s">
        <v>2378</v>
      </c>
      <c r="B399" s="35" t="s">
        <v>2216</v>
      </c>
      <c r="C399" s="44"/>
      <c r="D399" s="35" t="s">
        <v>2190</v>
      </c>
      <c r="E399" s="35" t="s">
        <v>2224</v>
      </c>
      <c r="F399" s="35" t="s">
        <v>2248</v>
      </c>
      <c r="G399" s="35"/>
      <c r="H399" s="35"/>
      <c r="I399" s="35"/>
      <c r="J399" s="35"/>
      <c r="K399" s="35"/>
      <c r="L399" s="35"/>
      <c r="M399" s="158">
        <v>980018080</v>
      </c>
      <c r="N399" s="35"/>
      <c r="O399" s="35"/>
      <c r="P399" s="44"/>
      <c r="Q399" s="35"/>
      <c r="R399" s="35"/>
      <c r="S399" s="35"/>
      <c r="T399" s="35"/>
      <c r="U399" s="35"/>
      <c r="V399" s="35"/>
      <c r="W399" s="35"/>
      <c r="X399" s="35"/>
      <c r="Y399" s="46" t="s">
        <v>2189</v>
      </c>
      <c r="Z399">
        <v>3</v>
      </c>
      <c r="AA399" t="s">
        <v>959</v>
      </c>
      <c r="AB399" t="s">
        <v>975</v>
      </c>
      <c r="AC399" t="s">
        <v>19</v>
      </c>
      <c r="AD399" t="s">
        <v>976</v>
      </c>
      <c r="AE399" t="s">
        <v>976</v>
      </c>
      <c r="AF399" t="s">
        <v>977</v>
      </c>
      <c r="AG399" t="s">
        <v>978</v>
      </c>
      <c r="AH399" t="s">
        <v>964</v>
      </c>
      <c r="AI399" t="s">
        <v>965</v>
      </c>
      <c r="AJ399" t="s">
        <v>19</v>
      </c>
      <c r="AK399" t="s">
        <v>966</v>
      </c>
      <c r="AL399" t="s">
        <v>979</v>
      </c>
      <c r="AM399" t="s">
        <v>980</v>
      </c>
      <c r="AN399" t="s">
        <v>28</v>
      </c>
      <c r="AO399" t="s">
        <v>929</v>
      </c>
      <c r="AP399" t="s">
        <v>931</v>
      </c>
    </row>
    <row r="400" spans="1:42">
      <c r="A400" s="154"/>
      <c r="B400" s="35" t="s">
        <v>2216</v>
      </c>
      <c r="C400" s="44"/>
      <c r="D400" s="35" t="s">
        <v>2190</v>
      </c>
      <c r="E400" s="35" t="s">
        <v>2224</v>
      </c>
      <c r="F400" s="35" t="s">
        <v>2248</v>
      </c>
      <c r="G400" s="35"/>
      <c r="H400" s="35"/>
      <c r="I400" s="35"/>
      <c r="J400" s="35"/>
      <c r="K400" s="35"/>
      <c r="L400" s="35"/>
      <c r="M400" s="181"/>
      <c r="N400" s="35"/>
      <c r="O400" s="35"/>
      <c r="P400" s="44"/>
      <c r="Q400" s="35"/>
      <c r="R400" s="35"/>
      <c r="S400" s="35"/>
      <c r="T400" s="35"/>
      <c r="U400" s="35"/>
      <c r="V400" s="35"/>
      <c r="W400" s="35"/>
      <c r="X400" s="35"/>
      <c r="Y400" s="46" t="s">
        <v>2189</v>
      </c>
      <c r="Z400">
        <v>3</v>
      </c>
      <c r="AA400" t="s">
        <v>959</v>
      </c>
      <c r="AB400" t="s">
        <v>975</v>
      </c>
      <c r="AC400" t="s">
        <v>19</v>
      </c>
      <c r="AD400" t="s">
        <v>976</v>
      </c>
      <c r="AE400" t="s">
        <v>976</v>
      </c>
      <c r="AF400" t="s">
        <v>977</v>
      </c>
      <c r="AG400" t="s">
        <v>978</v>
      </c>
    </row>
    <row r="401" spans="1:42">
      <c r="A401" s="154"/>
      <c r="B401" s="35" t="s">
        <v>2216</v>
      </c>
      <c r="C401" s="44"/>
      <c r="D401" s="35" t="s">
        <v>2190</v>
      </c>
      <c r="E401" s="35" t="s">
        <v>2224</v>
      </c>
      <c r="F401" s="35" t="s">
        <v>2248</v>
      </c>
      <c r="G401" s="35"/>
      <c r="H401" s="35"/>
      <c r="I401" s="35"/>
      <c r="J401" s="35"/>
      <c r="K401" s="35"/>
      <c r="L401" s="35"/>
      <c r="M401" s="181"/>
      <c r="N401" s="35"/>
      <c r="O401" s="35"/>
      <c r="P401" s="44"/>
      <c r="Q401" s="35"/>
      <c r="R401" s="35"/>
      <c r="S401" s="35"/>
      <c r="T401" s="35"/>
      <c r="U401" s="35"/>
      <c r="V401" s="35"/>
      <c r="W401" s="35"/>
      <c r="X401" s="35"/>
      <c r="Y401" s="46" t="s">
        <v>2189</v>
      </c>
      <c r="Z401">
        <v>3</v>
      </c>
      <c r="AA401" t="s">
        <v>959</v>
      </c>
      <c r="AB401" t="s">
        <v>975</v>
      </c>
      <c r="AC401" t="s">
        <v>19</v>
      </c>
      <c r="AD401" t="s">
        <v>976</v>
      </c>
      <c r="AE401" t="s">
        <v>976</v>
      </c>
      <c r="AF401" t="s">
        <v>977</v>
      </c>
      <c r="AG401" t="s">
        <v>978</v>
      </c>
    </row>
    <row r="402" spans="1:42">
      <c r="A402" s="154"/>
      <c r="B402" s="35" t="s">
        <v>2216</v>
      </c>
      <c r="C402" s="44"/>
      <c r="D402" s="35" t="s">
        <v>2190</v>
      </c>
      <c r="E402" s="35" t="s">
        <v>2224</v>
      </c>
      <c r="F402" s="35" t="s">
        <v>2248</v>
      </c>
      <c r="G402" s="35"/>
      <c r="H402" s="35"/>
      <c r="I402" s="35"/>
      <c r="J402" s="35"/>
      <c r="K402" s="35"/>
      <c r="L402" s="35"/>
      <c r="M402" s="158">
        <v>980017457</v>
      </c>
      <c r="N402" s="35"/>
      <c r="O402" s="35"/>
      <c r="P402" s="44"/>
      <c r="Q402" s="35"/>
      <c r="R402" s="35"/>
      <c r="S402" s="35"/>
      <c r="T402" s="35"/>
      <c r="U402" s="35"/>
      <c r="V402" s="35"/>
      <c r="W402" s="35"/>
      <c r="X402" s="35"/>
      <c r="Y402" s="46" t="s">
        <v>2189</v>
      </c>
      <c r="Z402">
        <v>3</v>
      </c>
      <c r="AA402" t="s">
        <v>981</v>
      </c>
      <c r="AB402" t="s">
        <v>982</v>
      </c>
      <c r="AC402" t="s">
        <v>19</v>
      </c>
      <c r="AD402" t="s">
        <v>976</v>
      </c>
      <c r="AE402" t="s">
        <v>976</v>
      </c>
      <c r="AF402" t="s">
        <v>983</v>
      </c>
      <c r="AG402" t="s">
        <v>984</v>
      </c>
      <c r="AH402" t="s">
        <v>985</v>
      </c>
      <c r="AI402" t="s">
        <v>986</v>
      </c>
      <c r="AJ402" t="s">
        <v>19</v>
      </c>
      <c r="AK402" t="s">
        <v>987</v>
      </c>
      <c r="AL402" t="s">
        <v>979</v>
      </c>
      <c r="AM402" t="s">
        <v>980</v>
      </c>
      <c r="AN402" t="s">
        <v>28</v>
      </c>
      <c r="AO402" t="s">
        <v>929</v>
      </c>
      <c r="AP402" t="s">
        <v>931</v>
      </c>
    </row>
    <row r="403" spans="1:42">
      <c r="A403" s="154"/>
      <c r="B403" s="35" t="s">
        <v>2216</v>
      </c>
      <c r="C403" s="44"/>
      <c r="D403" s="35" t="s">
        <v>2190</v>
      </c>
      <c r="E403" s="35" t="s">
        <v>2224</v>
      </c>
      <c r="F403" s="35" t="s">
        <v>2248</v>
      </c>
      <c r="G403" s="35"/>
      <c r="H403" s="35"/>
      <c r="I403" s="35"/>
      <c r="J403" s="35"/>
      <c r="K403" s="35"/>
      <c r="L403" s="44"/>
      <c r="M403" s="35"/>
      <c r="N403" s="35"/>
      <c r="O403" s="35"/>
      <c r="P403" s="44"/>
      <c r="Q403" s="35"/>
      <c r="R403" s="35"/>
      <c r="S403" s="35"/>
      <c r="T403" s="35"/>
      <c r="U403" s="35"/>
      <c r="V403" s="35"/>
      <c r="W403" s="35"/>
      <c r="X403" s="35"/>
      <c r="Y403" s="46" t="s">
        <v>2189</v>
      </c>
      <c r="Z403">
        <v>3</v>
      </c>
      <c r="AA403" t="s">
        <v>988</v>
      </c>
      <c r="AB403" t="s">
        <v>989</v>
      </c>
      <c r="AC403" t="s">
        <v>19</v>
      </c>
      <c r="AD403" t="s">
        <v>976</v>
      </c>
      <c r="AE403" t="s">
        <v>976</v>
      </c>
      <c r="AF403" t="s">
        <v>990</v>
      </c>
      <c r="AG403" t="s">
        <v>991</v>
      </c>
      <c r="AH403" t="s">
        <v>992</v>
      </c>
      <c r="AI403" t="s">
        <v>986</v>
      </c>
      <c r="AJ403" t="s">
        <v>19</v>
      </c>
      <c r="AK403" t="s">
        <v>993</v>
      </c>
      <c r="AL403" t="s">
        <v>979</v>
      </c>
      <c r="AM403" t="s">
        <v>980</v>
      </c>
      <c r="AN403" t="s">
        <v>28</v>
      </c>
      <c r="AO403" t="s">
        <v>929</v>
      </c>
      <c r="AP403" t="s">
        <v>931</v>
      </c>
    </row>
    <row r="404" spans="1:42">
      <c r="A404" s="154"/>
      <c r="B404" s="35" t="s">
        <v>2216</v>
      </c>
      <c r="C404" s="44"/>
      <c r="D404" s="35" t="s">
        <v>2190</v>
      </c>
      <c r="E404" s="35"/>
      <c r="F404" s="35" t="s">
        <v>2248</v>
      </c>
      <c r="G404" s="35"/>
      <c r="H404" s="35"/>
      <c r="I404" s="35"/>
      <c r="J404" s="35"/>
      <c r="K404" s="35"/>
      <c r="L404" s="47" t="s">
        <v>2226</v>
      </c>
      <c r="M404" s="35"/>
      <c r="N404" s="35"/>
      <c r="O404" s="35"/>
      <c r="P404" s="44"/>
      <c r="Q404" s="35"/>
      <c r="R404" s="35"/>
      <c r="S404" s="35"/>
      <c r="T404" s="35"/>
      <c r="U404" s="35"/>
      <c r="V404" s="35"/>
      <c r="W404" s="35"/>
      <c r="X404" s="35"/>
      <c r="Y404" s="46" t="s">
        <v>2189</v>
      </c>
      <c r="Z404">
        <v>3</v>
      </c>
      <c r="AA404" t="s">
        <v>994</v>
      </c>
      <c r="AB404" t="s">
        <v>995</v>
      </c>
      <c r="AC404" t="s">
        <v>19</v>
      </c>
      <c r="AD404" t="s">
        <v>19</v>
      </c>
      <c r="AE404" t="s">
        <v>19</v>
      </c>
      <c r="AF404" t="s">
        <v>995</v>
      </c>
      <c r="AG404" t="s">
        <v>996</v>
      </c>
      <c r="AH404" t="s">
        <v>997</v>
      </c>
      <c r="AI404" t="s">
        <v>19</v>
      </c>
      <c r="AJ404" t="s">
        <v>19</v>
      </c>
      <c r="AK404" t="s">
        <v>19</v>
      </c>
      <c r="AL404" t="s">
        <v>19</v>
      </c>
      <c r="AM404" t="s">
        <v>19</v>
      </c>
      <c r="AN404" t="s">
        <v>28</v>
      </c>
      <c r="AO404" t="s">
        <v>929</v>
      </c>
      <c r="AP404" t="s">
        <v>931</v>
      </c>
    </row>
    <row r="405" spans="1:42">
      <c r="A405" s="154"/>
      <c r="B405" s="35" t="s">
        <v>2216</v>
      </c>
      <c r="C405" s="44"/>
      <c r="D405" s="35" t="s">
        <v>2190</v>
      </c>
      <c r="E405" s="35"/>
      <c r="F405" s="35" t="s">
        <v>2248</v>
      </c>
      <c r="G405" s="35"/>
      <c r="H405" s="35"/>
      <c r="I405" s="35"/>
      <c r="J405" s="35"/>
      <c r="K405" s="35"/>
      <c r="L405" s="47" t="s">
        <v>2226</v>
      </c>
      <c r="M405" s="35"/>
      <c r="N405" s="35"/>
      <c r="O405" s="35"/>
      <c r="P405" s="44"/>
      <c r="Q405" s="35"/>
      <c r="R405" s="35"/>
      <c r="S405" s="35"/>
      <c r="T405" s="35"/>
      <c r="U405" s="35"/>
      <c r="V405" s="35"/>
      <c r="W405" s="35"/>
      <c r="X405" s="35"/>
      <c r="Y405" s="46" t="s">
        <v>2189</v>
      </c>
      <c r="Z405">
        <v>3</v>
      </c>
      <c r="AA405" t="s">
        <v>285</v>
      </c>
      <c r="AB405" t="s">
        <v>998</v>
      </c>
      <c r="AC405" t="s">
        <v>19</v>
      </c>
      <c r="AD405" t="s">
        <v>19</v>
      </c>
      <c r="AE405" t="s">
        <v>19</v>
      </c>
      <c r="AF405" t="s">
        <v>998</v>
      </c>
      <c r="AG405" t="s">
        <v>999</v>
      </c>
      <c r="AH405" t="s">
        <v>288</v>
      </c>
      <c r="AI405" t="s">
        <v>19</v>
      </c>
      <c r="AJ405" t="s">
        <v>19</v>
      </c>
      <c r="AK405" t="s">
        <v>19</v>
      </c>
      <c r="AL405" t="s">
        <v>19</v>
      </c>
      <c r="AM405" t="s">
        <v>19</v>
      </c>
      <c r="AN405" t="s">
        <v>28</v>
      </c>
      <c r="AO405" t="s">
        <v>929</v>
      </c>
      <c r="AP405" t="s">
        <v>931</v>
      </c>
    </row>
    <row r="406" spans="1:42">
      <c r="A406" s="154">
        <v>504</v>
      </c>
      <c r="B406" s="158" t="s">
        <v>2216</v>
      </c>
      <c r="C406" s="158"/>
      <c r="D406" s="158" t="s">
        <v>2190</v>
      </c>
      <c r="E406" s="158"/>
      <c r="F406" s="158" t="s">
        <v>2248</v>
      </c>
      <c r="G406" s="158"/>
      <c r="H406" s="158"/>
      <c r="I406" s="158"/>
      <c r="J406" s="158"/>
      <c r="K406" s="158"/>
      <c r="L406" s="182" t="s">
        <v>2226</v>
      </c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183" t="s">
        <v>2189</v>
      </c>
      <c r="Z406" s="184">
        <v>3</v>
      </c>
      <c r="AA406" s="184" t="s">
        <v>285</v>
      </c>
      <c r="AB406" s="184" t="s">
        <v>2372</v>
      </c>
      <c r="AC406" s="184" t="s">
        <v>19</v>
      </c>
      <c r="AD406" s="184" t="s">
        <v>19</v>
      </c>
      <c r="AE406" s="184" t="s">
        <v>19</v>
      </c>
      <c r="AF406" s="184" t="s">
        <v>2372</v>
      </c>
      <c r="AG406" s="184" t="s">
        <v>2373</v>
      </c>
      <c r="AH406" s="184" t="s">
        <v>288</v>
      </c>
      <c r="AI406" s="184" t="s">
        <v>19</v>
      </c>
      <c r="AJ406" s="184" t="s">
        <v>19</v>
      </c>
      <c r="AK406" s="184" t="s">
        <v>19</v>
      </c>
      <c r="AL406" s="184" t="s">
        <v>19</v>
      </c>
      <c r="AM406" s="184" t="s">
        <v>19</v>
      </c>
      <c r="AN406" s="184" t="s">
        <v>28</v>
      </c>
      <c r="AO406" s="184" t="s">
        <v>929</v>
      </c>
      <c r="AP406" s="184" t="s">
        <v>931</v>
      </c>
    </row>
    <row r="407" spans="1:42">
      <c r="A407" s="154"/>
      <c r="B407" s="39" t="s">
        <v>2221</v>
      </c>
      <c r="C407" s="44"/>
      <c r="D407" s="35"/>
      <c r="E407" s="35"/>
      <c r="F407" s="35"/>
      <c r="G407" s="35"/>
      <c r="H407" s="35"/>
      <c r="I407" s="35"/>
      <c r="J407" s="35"/>
      <c r="K407" s="35"/>
      <c r="L407" s="47"/>
      <c r="M407" s="35"/>
      <c r="N407" s="35"/>
      <c r="O407" s="35"/>
      <c r="P407" s="44"/>
      <c r="Q407" s="35"/>
      <c r="R407" s="35"/>
      <c r="S407" s="35"/>
      <c r="T407" s="35"/>
      <c r="U407" s="35"/>
      <c r="V407" s="35"/>
      <c r="W407" s="35"/>
      <c r="X407" s="35"/>
      <c r="Y407" s="46"/>
      <c r="Z407">
        <v>1</v>
      </c>
      <c r="AA407" t="s">
        <v>1000</v>
      </c>
    </row>
    <row r="408" spans="1:42">
      <c r="A408" s="154"/>
      <c r="B408" s="39" t="s">
        <v>2221</v>
      </c>
      <c r="C408" s="44"/>
      <c r="D408" s="35"/>
      <c r="E408" s="35"/>
      <c r="F408" s="35"/>
      <c r="G408" s="35"/>
      <c r="H408" s="35"/>
      <c r="I408" s="35"/>
      <c r="J408" s="35"/>
      <c r="K408" s="35"/>
      <c r="L408" s="47"/>
      <c r="M408" s="35"/>
      <c r="N408" s="35"/>
      <c r="O408" s="35"/>
      <c r="P408" s="44"/>
      <c r="Q408" s="35"/>
      <c r="R408" s="35"/>
      <c r="S408" s="35"/>
      <c r="T408" s="35"/>
      <c r="U408" s="35"/>
      <c r="V408" s="35"/>
      <c r="W408" s="35"/>
      <c r="X408" s="35"/>
      <c r="Y408" s="46"/>
      <c r="Z408">
        <v>2</v>
      </c>
      <c r="AA408" t="s">
        <v>1</v>
      </c>
      <c r="AB408" t="s">
        <v>1001</v>
      </c>
      <c r="AC408" t="s">
        <v>1002</v>
      </c>
      <c r="AD408" t="s">
        <v>1003</v>
      </c>
    </row>
    <row r="409" spans="1:42">
      <c r="A409" s="154"/>
      <c r="B409" s="39" t="s">
        <v>2221</v>
      </c>
      <c r="C409" s="44"/>
      <c r="D409" s="35"/>
      <c r="E409" s="35"/>
      <c r="F409" s="35"/>
      <c r="G409" s="35"/>
      <c r="H409" s="35"/>
      <c r="I409" s="35"/>
      <c r="J409" s="35"/>
      <c r="K409" s="35"/>
      <c r="L409" s="47"/>
      <c r="M409" s="35"/>
      <c r="N409" s="35"/>
      <c r="O409" s="35"/>
      <c r="P409" s="44"/>
      <c r="Q409" s="35"/>
      <c r="R409" s="35"/>
      <c r="S409" s="35"/>
      <c r="T409" s="35"/>
      <c r="U409" s="35"/>
      <c r="V409" s="35"/>
      <c r="W409" s="35"/>
      <c r="X409" s="35"/>
      <c r="Y409" s="46"/>
      <c r="Z409">
        <v>0</v>
      </c>
      <c r="AA409" t="s">
        <v>5</v>
      </c>
      <c r="AB409" t="s">
        <v>6</v>
      </c>
      <c r="AC409" t="s">
        <v>7</v>
      </c>
      <c r="AD409" t="s">
        <v>8</v>
      </c>
      <c r="AE409" t="s">
        <v>8</v>
      </c>
      <c r="AF409" t="s">
        <v>9</v>
      </c>
      <c r="AG409" t="s">
        <v>10</v>
      </c>
      <c r="AH409" t="s">
        <v>11</v>
      </c>
      <c r="AI409" t="s">
        <v>12</v>
      </c>
      <c r="AJ409" t="s">
        <v>13</v>
      </c>
      <c r="AK409" t="s">
        <v>14</v>
      </c>
      <c r="AL409" t="s">
        <v>15</v>
      </c>
      <c r="AM409" t="s">
        <v>16</v>
      </c>
      <c r="AN409" t="s">
        <v>17</v>
      </c>
      <c r="AO409" t="s">
        <v>1</v>
      </c>
    </row>
    <row r="410" spans="1:42">
      <c r="A410" s="154"/>
      <c r="B410" s="39" t="s">
        <v>2221</v>
      </c>
      <c r="C410" s="44"/>
      <c r="D410" s="35"/>
      <c r="E410" s="35"/>
      <c r="F410" s="35"/>
      <c r="G410" s="35"/>
      <c r="H410" s="35"/>
      <c r="I410" s="35"/>
      <c r="J410" s="35"/>
      <c r="K410" s="35"/>
      <c r="L410" s="47"/>
      <c r="M410" s="35"/>
      <c r="N410" s="35"/>
      <c r="O410" s="35"/>
      <c r="P410" s="44"/>
      <c r="Q410" s="35"/>
      <c r="R410" s="35"/>
      <c r="S410" s="35"/>
      <c r="T410" s="35"/>
      <c r="U410" s="35"/>
      <c r="V410" s="35"/>
      <c r="W410" s="35"/>
      <c r="X410" s="35"/>
      <c r="Y410" s="46"/>
      <c r="Z410">
        <v>4</v>
      </c>
      <c r="AA410" t="s">
        <v>26</v>
      </c>
      <c r="AB410" t="s">
        <v>19</v>
      </c>
      <c r="AC410" t="s">
        <v>19</v>
      </c>
      <c r="AD410" t="s">
        <v>19</v>
      </c>
      <c r="AE410" t="s">
        <v>19</v>
      </c>
      <c r="AF410" t="s">
        <v>19</v>
      </c>
      <c r="AG410" t="s">
        <v>19</v>
      </c>
      <c r="AH410" t="s">
        <v>908</v>
      </c>
      <c r="AI410" t="s">
        <v>19</v>
      </c>
      <c r="AJ410" t="s">
        <v>19</v>
      </c>
      <c r="AK410" t="s">
        <v>19</v>
      </c>
      <c r="AL410" t="s">
        <v>19</v>
      </c>
      <c r="AM410" t="s">
        <v>19</v>
      </c>
      <c r="AN410" t="s">
        <v>28</v>
      </c>
      <c r="AO410" t="s">
        <v>1001</v>
      </c>
    </row>
    <row r="411" spans="1:42">
      <c r="A411" s="154"/>
      <c r="B411" s="39" t="s">
        <v>2221</v>
      </c>
      <c r="C411" s="44"/>
      <c r="D411" s="35"/>
      <c r="E411" s="35"/>
      <c r="F411" s="35"/>
      <c r="G411" s="35"/>
      <c r="H411" s="35"/>
      <c r="I411" s="35"/>
      <c r="J411" s="35"/>
      <c r="K411" s="35"/>
      <c r="L411" s="47"/>
      <c r="M411" s="35"/>
      <c r="N411" s="35"/>
      <c r="O411" s="35"/>
      <c r="P411" s="44"/>
      <c r="Q411" s="35"/>
      <c r="R411" s="35"/>
      <c r="S411" s="35"/>
      <c r="T411" s="35"/>
      <c r="U411" s="35"/>
      <c r="V411" s="35"/>
      <c r="W411" s="35"/>
      <c r="X411" s="35"/>
      <c r="Y411" s="46"/>
      <c r="Z411">
        <v>4</v>
      </c>
      <c r="AA411" t="s">
        <v>26</v>
      </c>
      <c r="AB411" t="s">
        <v>19</v>
      </c>
      <c r="AC411" t="s">
        <v>19</v>
      </c>
      <c r="AD411" t="s">
        <v>19</v>
      </c>
      <c r="AE411" t="s">
        <v>19</v>
      </c>
      <c r="AF411" t="s">
        <v>19</v>
      </c>
      <c r="AG411" t="s">
        <v>19</v>
      </c>
      <c r="AH411" t="s">
        <v>37</v>
      </c>
      <c r="AI411" t="s">
        <v>19</v>
      </c>
      <c r="AJ411" t="s">
        <v>19</v>
      </c>
      <c r="AK411" t="s">
        <v>19</v>
      </c>
      <c r="AL411" t="s">
        <v>19</v>
      </c>
      <c r="AM411" t="s">
        <v>19</v>
      </c>
      <c r="AN411" t="s">
        <v>28</v>
      </c>
      <c r="AO411" t="s">
        <v>1001</v>
      </c>
    </row>
    <row r="412" spans="1:42">
      <c r="A412" s="154"/>
      <c r="B412" s="39" t="s">
        <v>2221</v>
      </c>
      <c r="C412" s="44"/>
      <c r="D412" s="35"/>
      <c r="E412" s="35"/>
      <c r="F412" s="35"/>
      <c r="G412" s="35"/>
      <c r="H412" s="35"/>
      <c r="I412" s="35"/>
      <c r="J412" s="35"/>
      <c r="K412" s="35"/>
      <c r="L412" s="47"/>
      <c r="M412" s="35"/>
      <c r="N412" s="35"/>
      <c r="O412" s="35"/>
      <c r="P412" s="44"/>
      <c r="Q412" s="35"/>
      <c r="R412" s="35"/>
      <c r="S412" s="35"/>
      <c r="T412" s="35"/>
      <c r="U412" s="35"/>
      <c r="V412" s="35"/>
      <c r="W412" s="35"/>
      <c r="X412" s="35"/>
      <c r="Y412" s="46"/>
      <c r="Z412">
        <v>4</v>
      </c>
      <c r="AA412" t="s">
        <v>26</v>
      </c>
      <c r="AB412" t="s">
        <v>19</v>
      </c>
      <c r="AC412" t="s">
        <v>19</v>
      </c>
      <c r="AD412" t="s">
        <v>19</v>
      </c>
      <c r="AE412" t="s">
        <v>19</v>
      </c>
      <c r="AF412" t="s">
        <v>19</v>
      </c>
      <c r="AG412" t="s">
        <v>19</v>
      </c>
      <c r="AH412" t="s">
        <v>49</v>
      </c>
      <c r="AI412" t="s">
        <v>19</v>
      </c>
      <c r="AJ412" t="s">
        <v>19</v>
      </c>
      <c r="AK412" t="s">
        <v>19</v>
      </c>
      <c r="AL412" t="s">
        <v>19</v>
      </c>
      <c r="AM412" t="s">
        <v>19</v>
      </c>
      <c r="AN412" t="s">
        <v>28</v>
      </c>
      <c r="AO412">
        <v>2</v>
      </c>
    </row>
    <row r="413" spans="1:42">
      <c r="A413" s="154"/>
      <c r="B413" s="39" t="s">
        <v>2221</v>
      </c>
      <c r="C413" s="44"/>
      <c r="D413" s="39" t="s">
        <v>2195</v>
      </c>
      <c r="E413" s="39" t="s">
        <v>2224</v>
      </c>
      <c r="F413" s="39" t="s">
        <v>2225</v>
      </c>
      <c r="G413" s="39"/>
      <c r="H413" s="39"/>
      <c r="I413" s="39"/>
      <c r="J413" s="39"/>
      <c r="K413" s="39"/>
      <c r="L413" s="39"/>
      <c r="M413" s="178">
        <v>980016331</v>
      </c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51" t="s">
        <v>2189</v>
      </c>
      <c r="Z413">
        <v>3</v>
      </c>
      <c r="AA413" t="s">
        <v>159</v>
      </c>
      <c r="AB413" t="s">
        <v>1004</v>
      </c>
      <c r="AC413" t="s">
        <v>19</v>
      </c>
      <c r="AD413" t="s">
        <v>96</v>
      </c>
      <c r="AE413" t="s">
        <v>96</v>
      </c>
      <c r="AF413" t="s">
        <v>1005</v>
      </c>
      <c r="AG413" t="s">
        <v>1006</v>
      </c>
      <c r="AH413" t="s">
        <v>165</v>
      </c>
      <c r="AI413" t="s">
        <v>111</v>
      </c>
      <c r="AJ413" t="s">
        <v>19</v>
      </c>
      <c r="AK413" t="s">
        <v>166</v>
      </c>
      <c r="AL413" t="s">
        <v>99</v>
      </c>
      <c r="AM413" t="s">
        <v>19</v>
      </c>
      <c r="AN413" t="s">
        <v>28</v>
      </c>
      <c r="AO413" t="s">
        <v>1001</v>
      </c>
    </row>
    <row r="414" spans="1:42">
      <c r="A414" s="154"/>
      <c r="B414" s="39" t="s">
        <v>2221</v>
      </c>
      <c r="C414" s="44"/>
      <c r="D414" s="39" t="s">
        <v>2195</v>
      </c>
      <c r="E414" s="39" t="s">
        <v>2224</v>
      </c>
      <c r="F414" s="39" t="s">
        <v>2225</v>
      </c>
      <c r="G414" s="39"/>
      <c r="H414" s="39"/>
      <c r="I414" s="39"/>
      <c r="J414" s="39"/>
      <c r="K414" s="39"/>
      <c r="L414" s="39"/>
      <c r="M414" s="178">
        <v>980016331</v>
      </c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51" t="s">
        <v>2189</v>
      </c>
      <c r="Z414">
        <v>3</v>
      </c>
      <c r="AA414" t="s">
        <v>1007</v>
      </c>
      <c r="AB414" t="s">
        <v>1008</v>
      </c>
      <c r="AC414" t="s">
        <v>19</v>
      </c>
      <c r="AD414" t="s">
        <v>1009</v>
      </c>
      <c r="AE414" t="s">
        <v>1009</v>
      </c>
      <c r="AF414" t="s">
        <v>1010</v>
      </c>
      <c r="AG414" t="s">
        <v>164</v>
      </c>
      <c r="AH414" t="s">
        <v>1011</v>
      </c>
      <c r="AI414" t="s">
        <v>915</v>
      </c>
      <c r="AJ414" t="s">
        <v>19</v>
      </c>
      <c r="AK414" t="s">
        <v>796</v>
      </c>
      <c r="AL414" t="s">
        <v>1012</v>
      </c>
      <c r="AM414" t="s">
        <v>1013</v>
      </c>
      <c r="AN414" t="s">
        <v>28</v>
      </c>
      <c r="AO414" t="s">
        <v>1001</v>
      </c>
    </row>
    <row r="415" spans="1:42">
      <c r="A415" s="154"/>
      <c r="B415" s="35" t="s">
        <v>2222</v>
      </c>
      <c r="C415" s="44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44"/>
      <c r="Q415" s="35"/>
      <c r="R415" s="35"/>
      <c r="S415" s="35"/>
      <c r="T415" s="35"/>
      <c r="U415" s="35"/>
      <c r="V415" s="35"/>
      <c r="W415" s="35"/>
      <c r="X415" s="35"/>
      <c r="Y415" s="46"/>
      <c r="Z415">
        <v>1</v>
      </c>
      <c r="AA415" t="s">
        <v>1014</v>
      </c>
    </row>
    <row r="416" spans="1:42">
      <c r="A416" s="154"/>
      <c r="B416" s="35" t="s">
        <v>2222</v>
      </c>
      <c r="C416" s="44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44"/>
      <c r="Q416" s="35"/>
      <c r="R416" s="35"/>
      <c r="S416" s="35"/>
      <c r="T416" s="35"/>
      <c r="U416" s="35"/>
      <c r="V416" s="35"/>
      <c r="W416" s="35"/>
      <c r="X416" s="35"/>
      <c r="Y416" s="46"/>
      <c r="Z416">
        <v>2</v>
      </c>
      <c r="AA416" t="s">
        <v>1</v>
      </c>
      <c r="AB416" t="s">
        <v>1015</v>
      </c>
      <c r="AC416" t="s">
        <v>1016</v>
      </c>
      <c r="AD416" t="s">
        <v>1017</v>
      </c>
    </row>
    <row r="417" spans="1:42">
      <c r="A417" s="154"/>
      <c r="B417" s="35" t="s">
        <v>2222</v>
      </c>
      <c r="C417" s="44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44"/>
      <c r="Q417" s="35"/>
      <c r="R417" s="35"/>
      <c r="S417" s="35"/>
      <c r="T417" s="35"/>
      <c r="U417" s="35"/>
      <c r="V417" s="35"/>
      <c r="W417" s="35"/>
      <c r="X417" s="35"/>
      <c r="Y417" s="46"/>
      <c r="Z417">
        <v>2</v>
      </c>
      <c r="AA417" t="s">
        <v>395</v>
      </c>
      <c r="AB417" t="s">
        <v>1018</v>
      </c>
      <c r="AC417" t="s">
        <v>1019</v>
      </c>
      <c r="AD417" t="s">
        <v>1020</v>
      </c>
    </row>
    <row r="418" spans="1:42">
      <c r="A418" s="154"/>
      <c r="B418" s="35" t="s">
        <v>2222</v>
      </c>
      <c r="C418" s="44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44"/>
      <c r="Q418" s="35"/>
      <c r="R418" s="35"/>
      <c r="S418" s="35"/>
      <c r="T418" s="35"/>
      <c r="U418" s="35"/>
      <c r="V418" s="35"/>
      <c r="W418" s="35"/>
      <c r="X418" s="35"/>
      <c r="Y418" s="46"/>
      <c r="Z418">
        <v>0</v>
      </c>
      <c r="AA418" t="s">
        <v>5</v>
      </c>
      <c r="AB418" t="s">
        <v>6</v>
      </c>
      <c r="AC418" t="s">
        <v>7</v>
      </c>
      <c r="AD418" t="s">
        <v>8</v>
      </c>
      <c r="AE418" t="s">
        <v>8</v>
      </c>
      <c r="AF418" t="s">
        <v>9</v>
      </c>
      <c r="AG418" t="s">
        <v>10</v>
      </c>
      <c r="AH418" t="s">
        <v>11</v>
      </c>
      <c r="AI418" t="s">
        <v>12</v>
      </c>
      <c r="AJ418" t="s">
        <v>13</v>
      </c>
      <c r="AK418" t="s">
        <v>14</v>
      </c>
      <c r="AL418" t="s">
        <v>15</v>
      </c>
      <c r="AM418" t="s">
        <v>16</v>
      </c>
      <c r="AN418" t="s">
        <v>17</v>
      </c>
      <c r="AO418" t="s">
        <v>1</v>
      </c>
      <c r="AP418" t="s">
        <v>395</v>
      </c>
    </row>
    <row r="419" spans="1:42">
      <c r="A419" s="154"/>
      <c r="B419" s="35" t="s">
        <v>2222</v>
      </c>
      <c r="C419" s="44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44"/>
      <c r="Q419" s="35"/>
      <c r="R419" s="35"/>
      <c r="S419" s="35"/>
      <c r="T419" s="35"/>
      <c r="U419" s="35"/>
      <c r="V419" s="35"/>
      <c r="W419" s="35"/>
      <c r="X419" s="35"/>
      <c r="Y419" s="46"/>
      <c r="Z419">
        <v>4</v>
      </c>
      <c r="AA419" t="s">
        <v>22</v>
      </c>
      <c r="AB419" t="s">
        <v>19</v>
      </c>
      <c r="AC419" t="s">
        <v>19</v>
      </c>
      <c r="AD419" t="s">
        <v>19</v>
      </c>
      <c r="AE419" t="s">
        <v>19</v>
      </c>
      <c r="AF419" t="s">
        <v>19</v>
      </c>
      <c r="AG419" t="s">
        <v>19</v>
      </c>
      <c r="AH419" t="s">
        <v>24</v>
      </c>
      <c r="AI419" t="s">
        <v>19</v>
      </c>
      <c r="AJ419" t="s">
        <v>19</v>
      </c>
      <c r="AK419" t="s">
        <v>19</v>
      </c>
      <c r="AL419" t="s">
        <v>19</v>
      </c>
      <c r="AM419" t="s">
        <v>19</v>
      </c>
      <c r="AN419" t="s">
        <v>21</v>
      </c>
      <c r="AO419">
        <v>872</v>
      </c>
      <c r="AP419">
        <v>2730</v>
      </c>
    </row>
    <row r="420" spans="1:42">
      <c r="A420" s="154"/>
      <c r="B420" s="35" t="s">
        <v>2222</v>
      </c>
      <c r="C420" s="44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44"/>
      <c r="Q420" s="35"/>
      <c r="R420" s="35"/>
      <c r="S420" s="35"/>
      <c r="T420" s="35"/>
      <c r="U420" s="35"/>
      <c r="V420" s="35"/>
      <c r="W420" s="35"/>
      <c r="X420" s="35"/>
      <c r="Y420" s="46"/>
      <c r="Z420">
        <v>4</v>
      </c>
      <c r="AA420" t="s">
        <v>26</v>
      </c>
      <c r="AB420" t="s">
        <v>19</v>
      </c>
      <c r="AC420" t="s">
        <v>19</v>
      </c>
      <c r="AD420" t="s">
        <v>19</v>
      </c>
      <c r="AE420" t="s">
        <v>19</v>
      </c>
      <c r="AF420" t="s">
        <v>19</v>
      </c>
      <c r="AG420" t="s">
        <v>19</v>
      </c>
      <c r="AH420" t="s">
        <v>35</v>
      </c>
      <c r="AI420" t="s">
        <v>19</v>
      </c>
      <c r="AJ420" t="s">
        <v>19</v>
      </c>
      <c r="AK420" t="s">
        <v>19</v>
      </c>
      <c r="AL420" t="s">
        <v>19</v>
      </c>
      <c r="AM420" t="s">
        <v>19</v>
      </c>
      <c r="AN420" t="s">
        <v>28</v>
      </c>
      <c r="AO420" t="s">
        <v>1015</v>
      </c>
      <c r="AP420">
        <v>5</v>
      </c>
    </row>
    <row r="421" spans="1:42">
      <c r="A421" s="154"/>
      <c r="B421" s="35" t="s">
        <v>2222</v>
      </c>
      <c r="C421" s="44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44"/>
      <c r="Q421" s="35"/>
      <c r="R421" s="35"/>
      <c r="S421" s="35"/>
      <c r="T421" s="35"/>
      <c r="U421" s="35"/>
      <c r="V421" s="35"/>
      <c r="W421" s="35"/>
      <c r="X421" s="35"/>
      <c r="Y421" s="46"/>
      <c r="Z421">
        <v>4</v>
      </c>
      <c r="AA421" t="s">
        <v>26</v>
      </c>
      <c r="AB421" t="s">
        <v>19</v>
      </c>
      <c r="AC421" t="s">
        <v>19</v>
      </c>
      <c r="AD421" t="s">
        <v>19</v>
      </c>
      <c r="AE421" t="s">
        <v>19</v>
      </c>
      <c r="AF421" t="s">
        <v>19</v>
      </c>
      <c r="AG421" t="s">
        <v>19</v>
      </c>
      <c r="AH421" t="s">
        <v>40</v>
      </c>
      <c r="AI421" t="s">
        <v>19</v>
      </c>
      <c r="AJ421" t="s">
        <v>19</v>
      </c>
      <c r="AK421" t="s">
        <v>19</v>
      </c>
      <c r="AL421" t="s">
        <v>19</v>
      </c>
      <c r="AM421" t="s">
        <v>19</v>
      </c>
      <c r="AN421" t="s">
        <v>28</v>
      </c>
      <c r="AO421">
        <v>2</v>
      </c>
      <c r="AP421" t="s">
        <v>1018</v>
      </c>
    </row>
    <row r="422" spans="1:42">
      <c r="A422" s="154"/>
      <c r="B422" s="35" t="s">
        <v>2222</v>
      </c>
      <c r="C422" s="44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44"/>
      <c r="Q422" s="35"/>
      <c r="R422" s="35"/>
      <c r="S422" s="35"/>
      <c r="T422" s="35"/>
      <c r="U422" s="35"/>
      <c r="V422" s="35"/>
      <c r="W422" s="35"/>
      <c r="X422" s="35"/>
      <c r="Y422" s="46"/>
      <c r="Z422">
        <v>4</v>
      </c>
      <c r="AA422" t="s">
        <v>26</v>
      </c>
      <c r="AB422" t="s">
        <v>19</v>
      </c>
      <c r="AC422" t="s">
        <v>19</v>
      </c>
      <c r="AD422" t="s">
        <v>19</v>
      </c>
      <c r="AE422" t="s">
        <v>19</v>
      </c>
      <c r="AF422" t="s">
        <v>19</v>
      </c>
      <c r="AG422" t="s">
        <v>19</v>
      </c>
      <c r="AH422" t="s">
        <v>41</v>
      </c>
      <c r="AI422" t="s">
        <v>19</v>
      </c>
      <c r="AJ422" t="s">
        <v>19</v>
      </c>
      <c r="AK422" t="s">
        <v>19</v>
      </c>
      <c r="AL422" t="s">
        <v>19</v>
      </c>
      <c r="AM422" t="s">
        <v>19</v>
      </c>
      <c r="AN422" t="s">
        <v>28</v>
      </c>
      <c r="AO422">
        <v>2</v>
      </c>
      <c r="AP422">
        <v>11</v>
      </c>
    </row>
    <row r="423" spans="1:42">
      <c r="A423" s="154"/>
      <c r="B423" s="35" t="s">
        <v>2222</v>
      </c>
      <c r="C423" s="44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44"/>
      <c r="Q423" s="35"/>
      <c r="R423" s="35"/>
      <c r="S423" s="35"/>
      <c r="T423" s="35"/>
      <c r="U423" s="35"/>
      <c r="V423" s="35"/>
      <c r="W423" s="35"/>
      <c r="X423" s="35"/>
      <c r="Y423" s="46"/>
      <c r="Z423">
        <v>4</v>
      </c>
      <c r="AA423" t="s">
        <v>26</v>
      </c>
      <c r="AB423" t="s">
        <v>19</v>
      </c>
      <c r="AC423" t="s">
        <v>19</v>
      </c>
      <c r="AD423" t="s">
        <v>19</v>
      </c>
      <c r="AE423" t="s">
        <v>19</v>
      </c>
      <c r="AF423" t="s">
        <v>19</v>
      </c>
      <c r="AG423" t="s">
        <v>19</v>
      </c>
      <c r="AH423" t="s">
        <v>46</v>
      </c>
      <c r="AI423" t="s">
        <v>19</v>
      </c>
      <c r="AJ423" t="s">
        <v>19</v>
      </c>
      <c r="AK423" t="s">
        <v>19</v>
      </c>
      <c r="AL423" t="s">
        <v>19</v>
      </c>
      <c r="AM423" t="s">
        <v>19</v>
      </c>
      <c r="AN423" t="s">
        <v>28</v>
      </c>
      <c r="AO423">
        <v>2</v>
      </c>
      <c r="AP423">
        <v>10</v>
      </c>
    </row>
    <row r="424" spans="1:42">
      <c r="A424" s="154"/>
      <c r="B424" s="39" t="s">
        <v>2222</v>
      </c>
      <c r="C424" s="44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51"/>
      <c r="Z424">
        <v>4</v>
      </c>
      <c r="AA424" t="s">
        <v>26</v>
      </c>
      <c r="AB424" t="s">
        <v>19</v>
      </c>
      <c r="AC424" t="s">
        <v>19</v>
      </c>
      <c r="AD424" t="s">
        <v>19</v>
      </c>
      <c r="AE424" t="s">
        <v>19</v>
      </c>
      <c r="AF424" t="s">
        <v>19</v>
      </c>
      <c r="AG424" t="s">
        <v>19</v>
      </c>
      <c r="AH424" t="s">
        <v>47</v>
      </c>
      <c r="AI424" t="s">
        <v>19</v>
      </c>
      <c r="AJ424" t="s">
        <v>19</v>
      </c>
      <c r="AK424" t="s">
        <v>19</v>
      </c>
      <c r="AL424" t="s">
        <v>19</v>
      </c>
      <c r="AM424" t="s">
        <v>19</v>
      </c>
      <c r="AN424" t="s">
        <v>28</v>
      </c>
      <c r="AO424" t="s">
        <v>19</v>
      </c>
      <c r="AP424">
        <v>2</v>
      </c>
    </row>
    <row r="425" spans="1:42">
      <c r="A425" s="154"/>
      <c r="B425" s="35" t="s">
        <v>2222</v>
      </c>
      <c r="C425" s="44"/>
      <c r="D425" s="35" t="s">
        <v>2180</v>
      </c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44"/>
      <c r="Q425" s="35"/>
      <c r="R425" s="35"/>
      <c r="S425" s="35"/>
      <c r="T425" s="35"/>
      <c r="U425" s="35"/>
      <c r="V425" s="35"/>
      <c r="W425" s="35"/>
      <c r="X425" s="35"/>
      <c r="Y425" s="46" t="s">
        <v>2182</v>
      </c>
      <c r="Z425">
        <v>3</v>
      </c>
      <c r="AA425" t="s">
        <v>230</v>
      </c>
      <c r="AB425" t="s">
        <v>1021</v>
      </c>
      <c r="AC425" t="s">
        <v>19</v>
      </c>
      <c r="AD425" t="s">
        <v>1022</v>
      </c>
      <c r="AE425" t="s">
        <v>1022</v>
      </c>
      <c r="AF425" t="s">
        <v>1023</v>
      </c>
      <c r="AG425" t="s">
        <v>1024</v>
      </c>
      <c r="AH425" t="s">
        <v>235</v>
      </c>
      <c r="AI425" t="s">
        <v>236</v>
      </c>
      <c r="AJ425" t="s">
        <v>19</v>
      </c>
      <c r="AK425" t="s">
        <v>79</v>
      </c>
      <c r="AL425" t="s">
        <v>1025</v>
      </c>
      <c r="AM425" t="s">
        <v>1026</v>
      </c>
      <c r="AN425" t="s">
        <v>28</v>
      </c>
      <c r="AO425" t="s">
        <v>1015</v>
      </c>
      <c r="AP425" t="s">
        <v>19</v>
      </c>
    </row>
    <row r="426" spans="1:42">
      <c r="A426" s="154"/>
      <c r="B426" s="35" t="s">
        <v>2222</v>
      </c>
      <c r="C426" s="44"/>
      <c r="D426" s="35" t="s">
        <v>2180</v>
      </c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44"/>
      <c r="Q426" s="35"/>
      <c r="R426" s="35"/>
      <c r="S426" s="35"/>
      <c r="T426" s="35"/>
      <c r="U426" s="35"/>
      <c r="V426" s="35"/>
      <c r="W426" s="35"/>
      <c r="X426" s="35"/>
      <c r="Y426" s="46" t="s">
        <v>2182</v>
      </c>
      <c r="Z426">
        <v>3</v>
      </c>
      <c r="AA426" t="s">
        <v>444</v>
      </c>
      <c r="AB426" t="s">
        <v>1027</v>
      </c>
      <c r="AC426" t="s">
        <v>19</v>
      </c>
      <c r="AD426" t="s">
        <v>1022</v>
      </c>
      <c r="AE426" t="s">
        <v>1022</v>
      </c>
      <c r="AF426" t="s">
        <v>1028</v>
      </c>
      <c r="AG426" t="s">
        <v>1029</v>
      </c>
      <c r="AH426" t="s">
        <v>449</v>
      </c>
      <c r="AI426" t="s">
        <v>119</v>
      </c>
      <c r="AJ426" t="s">
        <v>19</v>
      </c>
      <c r="AK426" t="s">
        <v>79</v>
      </c>
      <c r="AL426" t="s">
        <v>1030</v>
      </c>
      <c r="AM426" t="s">
        <v>1031</v>
      </c>
      <c r="AN426" t="s">
        <v>28</v>
      </c>
      <c r="AO426" t="s">
        <v>19</v>
      </c>
      <c r="AP426" t="s">
        <v>1018</v>
      </c>
    </row>
    <row r="427" spans="1:42">
      <c r="A427" s="154"/>
      <c r="B427" s="35" t="s">
        <v>2222</v>
      </c>
      <c r="C427" s="44"/>
      <c r="D427" s="35" t="s">
        <v>2180</v>
      </c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44"/>
      <c r="Q427" s="35"/>
      <c r="R427" s="35"/>
      <c r="S427" s="35"/>
      <c r="T427" s="35"/>
      <c r="U427" s="35"/>
      <c r="V427" s="35"/>
      <c r="W427" s="35"/>
      <c r="X427" s="35"/>
      <c r="Y427" s="46" t="s">
        <v>2182</v>
      </c>
      <c r="Z427">
        <v>3</v>
      </c>
      <c r="AA427" t="s">
        <v>230</v>
      </c>
      <c r="AB427" t="s">
        <v>1032</v>
      </c>
      <c r="AC427" t="s">
        <v>19</v>
      </c>
      <c r="AD427" t="s">
        <v>1033</v>
      </c>
      <c r="AE427" t="s">
        <v>1033</v>
      </c>
      <c r="AF427" t="s">
        <v>1034</v>
      </c>
      <c r="AG427" t="s">
        <v>1035</v>
      </c>
      <c r="AH427" t="s">
        <v>235</v>
      </c>
      <c r="AI427" t="s">
        <v>236</v>
      </c>
      <c r="AJ427" t="s">
        <v>19</v>
      </c>
      <c r="AK427" t="s">
        <v>79</v>
      </c>
      <c r="AL427" t="s">
        <v>1036</v>
      </c>
      <c r="AM427" t="s">
        <v>1026</v>
      </c>
      <c r="AN427" t="s">
        <v>28</v>
      </c>
      <c r="AO427" t="s">
        <v>1015</v>
      </c>
      <c r="AP427" t="s">
        <v>19</v>
      </c>
    </row>
    <row r="428" spans="1:42">
      <c r="A428" s="154"/>
      <c r="B428" s="35" t="s">
        <v>2222</v>
      </c>
      <c r="C428" s="44"/>
      <c r="D428" s="35" t="s">
        <v>2180</v>
      </c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44"/>
      <c r="Q428" s="35"/>
      <c r="R428" s="35"/>
      <c r="S428" s="35"/>
      <c r="T428" s="35"/>
      <c r="U428" s="35"/>
      <c r="V428" s="35"/>
      <c r="W428" s="35"/>
      <c r="X428" s="35"/>
      <c r="Y428" s="46" t="s">
        <v>2182</v>
      </c>
      <c r="Z428">
        <v>3</v>
      </c>
      <c r="AA428" t="s">
        <v>1037</v>
      </c>
      <c r="AB428" t="s">
        <v>1038</v>
      </c>
      <c r="AC428" t="s">
        <v>19</v>
      </c>
      <c r="AD428" t="s">
        <v>1033</v>
      </c>
      <c r="AE428" t="s">
        <v>1033</v>
      </c>
      <c r="AF428" t="s">
        <v>1039</v>
      </c>
      <c r="AG428" t="s">
        <v>1040</v>
      </c>
      <c r="AH428" t="s">
        <v>1041</v>
      </c>
      <c r="AI428" t="s">
        <v>119</v>
      </c>
      <c r="AJ428" t="s">
        <v>19</v>
      </c>
      <c r="AK428" t="s">
        <v>60</v>
      </c>
      <c r="AL428" t="s">
        <v>1042</v>
      </c>
      <c r="AM428" t="s">
        <v>1043</v>
      </c>
      <c r="AN428" t="s">
        <v>28</v>
      </c>
      <c r="AO428" t="s">
        <v>19</v>
      </c>
      <c r="AP428" t="s">
        <v>1018</v>
      </c>
    </row>
    <row r="429" spans="1:42">
      <c r="A429" s="154"/>
      <c r="B429" s="35" t="s">
        <v>2222</v>
      </c>
      <c r="C429" s="44"/>
      <c r="D429" s="35" t="s">
        <v>2180</v>
      </c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44"/>
      <c r="Q429" s="35"/>
      <c r="R429" s="35"/>
      <c r="S429" s="35"/>
      <c r="T429" s="35"/>
      <c r="U429" s="35"/>
      <c r="V429" s="35"/>
      <c r="W429" s="35"/>
      <c r="X429" s="35"/>
      <c r="Y429" s="46" t="s">
        <v>2182</v>
      </c>
      <c r="Z429">
        <v>3</v>
      </c>
      <c r="AA429" t="s">
        <v>444</v>
      </c>
      <c r="AB429" t="s">
        <v>1044</v>
      </c>
      <c r="AC429" t="s">
        <v>19</v>
      </c>
      <c r="AD429" t="s">
        <v>1045</v>
      </c>
      <c r="AE429" t="s">
        <v>1045</v>
      </c>
      <c r="AF429" t="s">
        <v>1046</v>
      </c>
      <c r="AG429" t="s">
        <v>1047</v>
      </c>
      <c r="AH429" t="s">
        <v>449</v>
      </c>
      <c r="AI429" t="s">
        <v>119</v>
      </c>
      <c r="AJ429" t="s">
        <v>19</v>
      </c>
      <c r="AK429" t="s">
        <v>79</v>
      </c>
      <c r="AL429" t="s">
        <v>1048</v>
      </c>
      <c r="AM429" t="s">
        <v>1049</v>
      </c>
      <c r="AN429" t="s">
        <v>28</v>
      </c>
      <c r="AO429" t="s">
        <v>19</v>
      </c>
      <c r="AP429" t="s">
        <v>1018</v>
      </c>
    </row>
    <row r="430" spans="1:42">
      <c r="A430" s="154"/>
      <c r="B430" s="35" t="s">
        <v>2222</v>
      </c>
      <c r="C430" s="44"/>
      <c r="D430" s="35" t="s">
        <v>2180</v>
      </c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44"/>
      <c r="Q430" s="35"/>
      <c r="R430" s="35"/>
      <c r="S430" s="35"/>
      <c r="T430" s="35"/>
      <c r="U430" s="35"/>
      <c r="V430" s="35"/>
      <c r="W430" s="35"/>
      <c r="X430" s="35"/>
      <c r="Y430" s="46" t="s">
        <v>2182</v>
      </c>
      <c r="Z430">
        <v>3</v>
      </c>
      <c r="AA430" t="s">
        <v>444</v>
      </c>
      <c r="AB430" t="s">
        <v>1050</v>
      </c>
      <c r="AC430" t="s">
        <v>19</v>
      </c>
      <c r="AD430" t="s">
        <v>1051</v>
      </c>
      <c r="AE430" t="s">
        <v>1052</v>
      </c>
      <c r="AF430" t="s">
        <v>1053</v>
      </c>
      <c r="AG430" t="s">
        <v>1054</v>
      </c>
      <c r="AH430" t="s">
        <v>449</v>
      </c>
      <c r="AI430" t="s">
        <v>119</v>
      </c>
      <c r="AJ430" t="s">
        <v>19</v>
      </c>
      <c r="AK430" t="s">
        <v>79</v>
      </c>
      <c r="AL430" t="s">
        <v>1055</v>
      </c>
      <c r="AM430" t="s">
        <v>1056</v>
      </c>
      <c r="AN430" t="s">
        <v>28</v>
      </c>
      <c r="AO430" t="s">
        <v>19</v>
      </c>
      <c r="AP430" t="s">
        <v>1018</v>
      </c>
    </row>
    <row r="431" spans="1:42">
      <c r="A431" s="154"/>
      <c r="B431" s="35" t="s">
        <v>2222</v>
      </c>
      <c r="C431" s="44"/>
      <c r="D431" s="35" t="s">
        <v>2180</v>
      </c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44"/>
      <c r="Q431" s="35"/>
      <c r="R431" s="35"/>
      <c r="S431" s="35"/>
      <c r="T431" s="35"/>
      <c r="U431" s="35"/>
      <c r="V431" s="35"/>
      <c r="W431" s="35"/>
      <c r="X431" s="35"/>
      <c r="Y431" s="46" t="s">
        <v>2182</v>
      </c>
      <c r="Z431">
        <v>3</v>
      </c>
      <c r="AA431" t="s">
        <v>1037</v>
      </c>
      <c r="AB431" t="s">
        <v>1057</v>
      </c>
      <c r="AC431" t="s">
        <v>19</v>
      </c>
      <c r="AD431" t="s">
        <v>1058</v>
      </c>
      <c r="AE431" t="s">
        <v>1059</v>
      </c>
      <c r="AF431" t="s">
        <v>1060</v>
      </c>
      <c r="AG431" t="s">
        <v>1054</v>
      </c>
      <c r="AH431" t="s">
        <v>1041</v>
      </c>
      <c r="AI431" t="s">
        <v>119</v>
      </c>
      <c r="AJ431" t="s">
        <v>19</v>
      </c>
      <c r="AK431" t="s">
        <v>60</v>
      </c>
      <c r="AL431" t="s">
        <v>1061</v>
      </c>
      <c r="AM431" t="s">
        <v>1062</v>
      </c>
      <c r="AN431" t="s">
        <v>28</v>
      </c>
      <c r="AO431" t="s">
        <v>19</v>
      </c>
      <c r="AP431" t="s">
        <v>1018</v>
      </c>
    </row>
    <row r="432" spans="1:42">
      <c r="A432" s="154"/>
      <c r="B432" s="35" t="s">
        <v>2222</v>
      </c>
      <c r="C432" s="44"/>
      <c r="D432" s="35" t="s">
        <v>2180</v>
      </c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44"/>
      <c r="Q432" s="35"/>
      <c r="R432" s="35"/>
      <c r="S432" s="35"/>
      <c r="T432" s="35"/>
      <c r="U432" s="35"/>
      <c r="V432" s="35"/>
      <c r="W432" s="35"/>
      <c r="X432" s="35"/>
      <c r="Y432" s="46" t="s">
        <v>2182</v>
      </c>
      <c r="Z432">
        <v>3</v>
      </c>
      <c r="AA432" t="s">
        <v>1037</v>
      </c>
      <c r="AB432" t="s">
        <v>1063</v>
      </c>
      <c r="AC432" t="s">
        <v>19</v>
      </c>
      <c r="AD432" t="s">
        <v>1064</v>
      </c>
      <c r="AE432" t="s">
        <v>1064</v>
      </c>
      <c r="AF432" t="s">
        <v>1065</v>
      </c>
      <c r="AG432" t="s">
        <v>1066</v>
      </c>
      <c r="AH432" t="s">
        <v>1041</v>
      </c>
      <c r="AI432" t="s">
        <v>119</v>
      </c>
      <c r="AJ432" t="s">
        <v>19</v>
      </c>
      <c r="AK432" t="s">
        <v>60</v>
      </c>
      <c r="AL432" t="s">
        <v>1067</v>
      </c>
      <c r="AM432" t="s">
        <v>1068</v>
      </c>
      <c r="AN432" t="s">
        <v>28</v>
      </c>
      <c r="AO432" t="s">
        <v>19</v>
      </c>
      <c r="AP432" t="s">
        <v>1018</v>
      </c>
    </row>
    <row r="433" spans="1:42">
      <c r="A433" s="154"/>
      <c r="B433" s="35" t="s">
        <v>2222</v>
      </c>
      <c r="C433" s="44"/>
      <c r="D433" s="35" t="s">
        <v>2180</v>
      </c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44"/>
      <c r="Q433" s="35"/>
      <c r="R433" s="35"/>
      <c r="S433" s="35"/>
      <c r="T433" s="35"/>
      <c r="U433" s="35"/>
      <c r="V433" s="35"/>
      <c r="W433" s="35"/>
      <c r="X433" s="35"/>
      <c r="Y433" s="46" t="s">
        <v>2182</v>
      </c>
      <c r="Z433">
        <v>3</v>
      </c>
      <c r="AA433" t="s">
        <v>312</v>
      </c>
      <c r="AB433" t="s">
        <v>1069</v>
      </c>
      <c r="AC433" t="s">
        <v>19</v>
      </c>
      <c r="AD433" t="s">
        <v>19</v>
      </c>
      <c r="AE433" t="s">
        <v>19</v>
      </c>
      <c r="AF433" t="s">
        <v>1069</v>
      </c>
      <c r="AG433" t="s">
        <v>1070</v>
      </c>
      <c r="AH433" t="s">
        <v>315</v>
      </c>
      <c r="AI433" t="s">
        <v>19</v>
      </c>
      <c r="AJ433" t="s">
        <v>19</v>
      </c>
      <c r="AK433" t="s">
        <v>19</v>
      </c>
      <c r="AL433" t="s">
        <v>19</v>
      </c>
      <c r="AM433" t="s">
        <v>19</v>
      </c>
      <c r="AN433" t="s">
        <v>28</v>
      </c>
      <c r="AO433" t="s">
        <v>19</v>
      </c>
      <c r="AP433" t="s">
        <v>1018</v>
      </c>
    </row>
    <row r="434" spans="1:42">
      <c r="A434" s="154"/>
      <c r="B434" s="35" t="s">
        <v>2222</v>
      </c>
      <c r="C434" s="44"/>
      <c r="D434" s="35" t="s">
        <v>2180</v>
      </c>
      <c r="E434" s="35"/>
      <c r="F434" s="35"/>
      <c r="G434" s="35"/>
      <c r="H434" s="35"/>
      <c r="I434" s="35"/>
      <c r="J434" s="35"/>
      <c r="K434" s="35"/>
      <c r="L434" s="47" t="s">
        <v>2226</v>
      </c>
      <c r="M434" s="35"/>
      <c r="N434" s="35"/>
      <c r="O434" s="35"/>
      <c r="P434" s="44"/>
      <c r="Q434" s="35"/>
      <c r="R434" s="35"/>
      <c r="S434" s="35"/>
      <c r="T434" s="35"/>
      <c r="U434" s="35"/>
      <c r="V434" s="35"/>
      <c r="W434" s="35"/>
      <c r="X434" s="35"/>
      <c r="Y434" s="46" t="s">
        <v>2182</v>
      </c>
      <c r="Z434">
        <v>3</v>
      </c>
      <c r="AA434" t="s">
        <v>289</v>
      </c>
      <c r="AB434" t="s">
        <v>1071</v>
      </c>
      <c r="AC434" t="s">
        <v>19</v>
      </c>
      <c r="AD434" t="s">
        <v>19</v>
      </c>
      <c r="AE434" t="s">
        <v>19</v>
      </c>
      <c r="AF434" t="s">
        <v>1071</v>
      </c>
      <c r="AG434" t="s">
        <v>1072</v>
      </c>
      <c r="AH434" t="s">
        <v>292</v>
      </c>
      <c r="AI434" t="s">
        <v>19</v>
      </c>
      <c r="AJ434" t="s">
        <v>19</v>
      </c>
      <c r="AK434" t="s">
        <v>19</v>
      </c>
      <c r="AL434" t="s">
        <v>19</v>
      </c>
      <c r="AM434" t="s">
        <v>19</v>
      </c>
      <c r="AN434" t="s">
        <v>28</v>
      </c>
      <c r="AO434" t="s">
        <v>1015</v>
      </c>
      <c r="AP434" t="s">
        <v>1018</v>
      </c>
    </row>
    <row r="437" spans="1:42">
      <c r="AH437" s="180"/>
    </row>
  </sheetData>
  <autoFilter ref="A1:BQ437"/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zmena_v_riadku">
                <anchor moveWithCells="1" sizeWithCells="1">
                  <from>
                    <xdr:col>0</xdr:col>
                    <xdr:colOff>57150</xdr:colOff>
                    <xdr:row>0</xdr:row>
                    <xdr:rowOff>76200</xdr:rowOff>
                  </from>
                  <to>
                    <xdr:col>0</xdr:col>
                    <xdr:colOff>923925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4">
    <tabColor rgb="FFFF0000"/>
  </sheetPr>
  <dimension ref="B3:AB43"/>
  <sheetViews>
    <sheetView zoomScale="70" zoomScaleNormal="70" workbookViewId="0">
      <selection activeCell="AC8" sqref="AC8"/>
    </sheetView>
  </sheetViews>
  <sheetFormatPr baseColWidth="10" defaultColWidth="9.140625" defaultRowHeight="15" outlineLevelCol="1"/>
  <cols>
    <col min="1" max="1" width="9.140625" style="55"/>
    <col min="2" max="2" width="18.140625" style="55" customWidth="1"/>
    <col min="3" max="3" width="12.28515625" style="55" customWidth="1"/>
    <col min="4" max="4" width="9.140625" style="55"/>
    <col min="5" max="5" width="19.42578125" style="55" customWidth="1"/>
    <col min="6" max="6" width="16.7109375" style="55" customWidth="1"/>
    <col min="7" max="7" width="15.42578125" style="55" customWidth="1"/>
    <col min="8" max="8" width="14.7109375" style="55" customWidth="1"/>
    <col min="9" max="9" width="16.42578125" style="55" customWidth="1"/>
    <col min="10" max="10" width="15.42578125" style="55" customWidth="1"/>
    <col min="11" max="11" width="33.7109375" style="55" customWidth="1" outlineLevel="1"/>
    <col min="12" max="12" width="4.42578125" style="55" customWidth="1" outlineLevel="1"/>
    <col min="13" max="13" width="3.85546875" style="55" customWidth="1" outlineLevel="1"/>
    <col min="14" max="14" width="51.85546875" style="55" customWidth="1" outlineLevel="1"/>
    <col min="15" max="15" width="12.42578125" style="55" customWidth="1" outlineLevel="1"/>
    <col min="16" max="16" width="13.140625" style="55" customWidth="1"/>
    <col min="17" max="22" width="5.7109375" style="55" customWidth="1"/>
    <col min="23" max="23" width="5.7109375" style="239" customWidth="1"/>
    <col min="24" max="28" width="9.140625" style="239"/>
    <col min="29" max="16384" width="9.140625" style="55"/>
  </cols>
  <sheetData>
    <row r="3" spans="2:28">
      <c r="P3" s="56" t="s">
        <v>2252</v>
      </c>
    </row>
    <row r="4" spans="2:28" ht="15.75">
      <c r="B4" s="57" t="s">
        <v>2253</v>
      </c>
      <c r="C4" s="58"/>
      <c r="D4" s="58"/>
      <c r="E4" s="58"/>
      <c r="F4" s="58"/>
      <c r="G4" s="58"/>
      <c r="H4" s="58"/>
      <c r="I4" s="59"/>
      <c r="J4" s="59"/>
      <c r="K4" s="58"/>
      <c r="L4" s="58"/>
      <c r="M4" s="58"/>
      <c r="N4" s="58"/>
      <c r="O4" s="58"/>
      <c r="P4" s="56" t="s">
        <v>2254</v>
      </c>
      <c r="Q4" s="59"/>
    </row>
    <row r="5" spans="2:28" s="152" customFormat="1" ht="31.5" customHeight="1">
      <c r="B5" s="226"/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  <c r="N5" s="227"/>
      <c r="O5" s="227"/>
      <c r="P5" s="228"/>
      <c r="Q5" s="62" t="s">
        <v>2255</v>
      </c>
      <c r="R5" s="62" t="s">
        <v>2255</v>
      </c>
      <c r="S5" s="62" t="s">
        <v>2255</v>
      </c>
      <c r="T5" s="62" t="s">
        <v>2255</v>
      </c>
      <c r="U5" s="62" t="s">
        <v>2255</v>
      </c>
      <c r="V5" s="62" t="s">
        <v>2255</v>
      </c>
      <c r="W5" s="220" t="s">
        <v>2255</v>
      </c>
      <c r="X5" s="220" t="s">
        <v>2255</v>
      </c>
      <c r="Y5" s="220" t="s">
        <v>2255</v>
      </c>
      <c r="Z5" s="220" t="s">
        <v>2255</v>
      </c>
      <c r="AA5" s="220" t="s">
        <v>2255</v>
      </c>
      <c r="AB5" s="229" t="s">
        <v>2255</v>
      </c>
    </row>
    <row r="6" spans="2:28" s="152" customFormat="1" ht="45.75" customHeight="1">
      <c r="B6" s="230"/>
      <c r="C6" s="231"/>
      <c r="D6" s="231"/>
      <c r="E6" s="231"/>
      <c r="F6" s="231"/>
      <c r="G6" s="231"/>
      <c r="H6" s="231"/>
      <c r="I6" s="231"/>
      <c r="J6" s="231"/>
      <c r="K6" s="232"/>
      <c r="L6" s="231"/>
      <c r="M6" s="231"/>
      <c r="N6" s="231"/>
      <c r="O6" s="231"/>
      <c r="P6" s="228"/>
      <c r="Q6" s="67" t="s">
        <v>2256</v>
      </c>
      <c r="R6" s="67" t="s">
        <v>2259</v>
      </c>
      <c r="S6" s="67" t="s">
        <v>2260</v>
      </c>
      <c r="T6" s="67" t="s">
        <v>2261</v>
      </c>
      <c r="U6" s="67" t="s">
        <v>2262</v>
      </c>
      <c r="V6" s="67" t="s">
        <v>2263</v>
      </c>
      <c r="W6" s="221" t="s">
        <v>2427</v>
      </c>
      <c r="X6" s="221" t="s">
        <v>2428</v>
      </c>
      <c r="Y6" s="221" t="s">
        <v>2432</v>
      </c>
      <c r="Z6" s="221" t="s">
        <v>2433</v>
      </c>
      <c r="AA6" s="221" t="s">
        <v>2434</v>
      </c>
      <c r="AB6" s="221" t="s">
        <v>2435</v>
      </c>
    </row>
    <row r="7" spans="2:28" s="152" customFormat="1" ht="34.9" customHeight="1">
      <c r="B7" s="233" t="s">
        <v>2249</v>
      </c>
      <c r="C7" s="234"/>
      <c r="D7" s="234"/>
      <c r="E7" s="234" t="s">
        <v>2345</v>
      </c>
      <c r="F7" s="235"/>
      <c r="G7" s="235"/>
      <c r="H7" s="236"/>
      <c r="I7" s="237"/>
      <c r="J7" s="237"/>
      <c r="K7" s="237"/>
      <c r="L7" s="237"/>
      <c r="M7" s="236"/>
      <c r="N7" s="236"/>
      <c r="O7" s="236"/>
      <c r="P7" s="238">
        <f>COUNTA(Q7:AT7)</f>
        <v>12</v>
      </c>
      <c r="Q7" s="67" t="s">
        <v>2264</v>
      </c>
      <c r="R7" s="67" t="s">
        <v>2264</v>
      </c>
      <c r="S7" s="67" t="s">
        <v>2264</v>
      </c>
      <c r="T7" s="67" t="s">
        <v>2264</v>
      </c>
      <c r="U7" s="67" t="s">
        <v>2264</v>
      </c>
      <c r="V7" s="67" t="s">
        <v>2264</v>
      </c>
      <c r="W7" s="221" t="s">
        <v>2264</v>
      </c>
      <c r="X7" s="221" t="s">
        <v>2264</v>
      </c>
      <c r="Y7" s="221" t="s">
        <v>2264</v>
      </c>
      <c r="Z7" s="221" t="s">
        <v>2264</v>
      </c>
      <c r="AA7" s="221" t="s">
        <v>2264</v>
      </c>
      <c r="AB7" s="229" t="s">
        <v>2264</v>
      </c>
    </row>
    <row r="8" spans="2:28" s="152" customFormat="1" ht="48" customHeight="1">
      <c r="B8" s="237"/>
      <c r="C8" s="235"/>
      <c r="D8" s="237"/>
      <c r="E8" s="235"/>
      <c r="F8" s="235"/>
      <c r="G8" s="235"/>
      <c r="H8" s="236"/>
      <c r="I8" s="237"/>
      <c r="J8" s="237"/>
      <c r="K8" s="237"/>
      <c r="L8" s="237"/>
      <c r="M8" s="237"/>
      <c r="N8" s="237"/>
      <c r="O8" s="237"/>
      <c r="P8" s="74" t="s">
        <v>2265</v>
      </c>
      <c r="Q8" s="62" t="s">
        <v>2266</v>
      </c>
      <c r="R8" s="62" t="s">
        <v>2266</v>
      </c>
      <c r="S8" s="62" t="s">
        <v>2266</v>
      </c>
      <c r="T8" s="62" t="s">
        <v>2266</v>
      </c>
      <c r="U8" s="62" t="s">
        <v>2266</v>
      </c>
      <c r="V8" s="62" t="s">
        <v>2266</v>
      </c>
      <c r="W8" s="220" t="s">
        <v>2266</v>
      </c>
      <c r="X8" s="220" t="s">
        <v>2266</v>
      </c>
      <c r="Y8" s="220" t="s">
        <v>2266</v>
      </c>
      <c r="Z8" s="220" t="s">
        <v>2266</v>
      </c>
      <c r="AA8" s="220" t="s">
        <v>2266</v>
      </c>
      <c r="AB8" s="229" t="s">
        <v>2266</v>
      </c>
    </row>
    <row r="9" spans="2:28" s="63" customFormat="1" ht="36.75" customHeight="1">
      <c r="B9" s="75" t="s">
        <v>2267</v>
      </c>
      <c r="C9" s="76" t="s">
        <v>2225</v>
      </c>
      <c r="D9" s="77" t="s">
        <v>2268</v>
      </c>
      <c r="E9" s="76" t="s">
        <v>2269</v>
      </c>
      <c r="F9" s="77" t="s">
        <v>2270</v>
      </c>
      <c r="G9" s="77" t="s">
        <v>2271</v>
      </c>
      <c r="H9" s="77" t="s">
        <v>2272</v>
      </c>
      <c r="I9" s="77" t="s">
        <v>2273</v>
      </c>
      <c r="J9" s="77" t="s">
        <v>2274</v>
      </c>
      <c r="K9" s="78" t="s">
        <v>2275</v>
      </c>
      <c r="L9" s="78" t="s">
        <v>2276</v>
      </c>
      <c r="M9" s="78" t="s">
        <v>2277</v>
      </c>
      <c r="N9" s="78" t="s">
        <v>2278</v>
      </c>
      <c r="O9" s="79" t="s">
        <v>2279</v>
      </c>
      <c r="P9" s="79" t="s">
        <v>2272</v>
      </c>
      <c r="Q9" s="80" t="s">
        <v>2280</v>
      </c>
      <c r="R9" s="80" t="s">
        <v>2283</v>
      </c>
      <c r="S9" s="80" t="s">
        <v>2284</v>
      </c>
      <c r="T9" s="80" t="s">
        <v>2285</v>
      </c>
      <c r="U9" s="80" t="s">
        <v>2139</v>
      </c>
      <c r="V9" s="80" t="s">
        <v>2140</v>
      </c>
      <c r="W9" s="222" t="s">
        <v>2141</v>
      </c>
      <c r="X9" s="222" t="s">
        <v>2142</v>
      </c>
      <c r="Y9" s="222" t="s">
        <v>2143</v>
      </c>
      <c r="Z9" s="222" t="s">
        <v>2144</v>
      </c>
      <c r="AA9" s="222" t="s">
        <v>2145</v>
      </c>
      <c r="AB9" s="222" t="s">
        <v>2146</v>
      </c>
    </row>
    <row r="10" spans="2:28" s="63" customFormat="1" ht="21.95" customHeight="1">
      <c r="B10" s="185" t="s">
        <v>2425</v>
      </c>
      <c r="C10" s="82" t="s">
        <v>2286</v>
      </c>
      <c r="D10" s="83">
        <v>100</v>
      </c>
      <c r="E10" s="300" t="str">
        <f>CONCATENATE("1FE1CL3",MID(F10,9,3),IF(MID(F10,13,1)="",0,MID(F10,13,1)),IF(MID(F10,14,1)="",0,MID(F10,14,1)),G10)</f>
        <v>1FE1CL300000H</v>
      </c>
      <c r="F10" s="301" t="s">
        <v>2287</v>
      </c>
      <c r="G10" s="186" t="s">
        <v>2424</v>
      </c>
      <c r="H10" s="83" t="s">
        <v>2288</v>
      </c>
      <c r="I10" s="302" t="s">
        <v>2290</v>
      </c>
      <c r="J10" s="80"/>
      <c r="K10" s="84" t="s">
        <v>2291</v>
      </c>
      <c r="L10" s="84" t="s">
        <v>2292</v>
      </c>
      <c r="M10" s="85"/>
      <c r="N10" s="86" t="s">
        <v>3</v>
      </c>
      <c r="O10" s="87">
        <v>1</v>
      </c>
      <c r="P10" s="80"/>
      <c r="Q10" s="83" t="s">
        <v>958</v>
      </c>
      <c r="R10" s="83" t="s">
        <v>958</v>
      </c>
      <c r="S10" s="83" t="s">
        <v>958</v>
      </c>
      <c r="T10" s="83" t="s">
        <v>958</v>
      </c>
      <c r="U10" s="83" t="s">
        <v>958</v>
      </c>
      <c r="V10" s="83" t="s">
        <v>958</v>
      </c>
      <c r="W10" s="222" t="s">
        <v>958</v>
      </c>
      <c r="X10" s="222" t="s">
        <v>958</v>
      </c>
      <c r="Y10" s="222" t="s">
        <v>958</v>
      </c>
      <c r="Z10" s="222" t="s">
        <v>958</v>
      </c>
      <c r="AA10" s="222" t="s">
        <v>958</v>
      </c>
      <c r="AB10" s="240" t="s">
        <v>958</v>
      </c>
    </row>
    <row r="11" spans="2:28" s="63" customFormat="1" ht="28.15" customHeight="1">
      <c r="B11" s="88"/>
      <c r="C11" s="82" t="s">
        <v>2286</v>
      </c>
      <c r="D11" s="83">
        <v>200</v>
      </c>
      <c r="E11" s="303" t="str">
        <f t="shared" ref="E11:E18" si="0">CONCATENATE("1FE1CL3",MID(F11,9,3),IF(MID(F11,13,1)="",0,MID(F11,13,1)),IF(MID(F11,14,1)="",0,MID(F11,14,1)),G11)</f>
        <v>1FE1CL321900A</v>
      </c>
      <c r="F11" s="301" t="s">
        <v>2293</v>
      </c>
      <c r="G11" s="83" t="s">
        <v>2189</v>
      </c>
      <c r="H11" s="89"/>
      <c r="I11" s="302" t="s">
        <v>2294</v>
      </c>
      <c r="J11" s="80"/>
      <c r="K11" s="90" t="s">
        <v>2295</v>
      </c>
      <c r="L11" s="84" t="s">
        <v>2292</v>
      </c>
      <c r="M11" s="85"/>
      <c r="N11" s="86" t="s">
        <v>737</v>
      </c>
      <c r="O11" s="87"/>
      <c r="P11" s="80"/>
      <c r="Q11" s="91" t="s">
        <v>958</v>
      </c>
      <c r="R11" s="92" t="s">
        <v>19</v>
      </c>
      <c r="S11" s="92" t="s">
        <v>19</v>
      </c>
      <c r="T11" s="91" t="s">
        <v>958</v>
      </c>
      <c r="U11" s="92" t="s">
        <v>19</v>
      </c>
      <c r="V11" s="92" t="s">
        <v>19</v>
      </c>
      <c r="W11" s="223" t="s">
        <v>19</v>
      </c>
      <c r="X11" s="223" t="s">
        <v>19</v>
      </c>
      <c r="Y11" s="223" t="s">
        <v>19</v>
      </c>
      <c r="Z11" s="223" t="s">
        <v>19</v>
      </c>
      <c r="AA11" s="225" t="s">
        <v>19</v>
      </c>
      <c r="AB11" s="240" t="s">
        <v>19</v>
      </c>
    </row>
    <row r="12" spans="2:28" s="63" customFormat="1" ht="30" customHeight="1">
      <c r="B12" s="88">
        <v>220</v>
      </c>
      <c r="C12" s="82" t="s">
        <v>2286</v>
      </c>
      <c r="D12" s="83">
        <v>201</v>
      </c>
      <c r="E12" s="303" t="str">
        <f t="shared" si="0"/>
        <v>1FE1CL3219B0B</v>
      </c>
      <c r="F12" s="304" t="s">
        <v>738</v>
      </c>
      <c r="G12" s="219" t="s">
        <v>2182</v>
      </c>
      <c r="H12" s="89"/>
      <c r="I12" s="302" t="s">
        <v>2430</v>
      </c>
      <c r="J12" s="116" t="s">
        <v>2296</v>
      </c>
      <c r="K12" s="90" t="s">
        <v>2297</v>
      </c>
      <c r="L12" s="84" t="s">
        <v>2292</v>
      </c>
      <c r="M12" s="85"/>
      <c r="N12" s="86" t="s">
        <v>739</v>
      </c>
      <c r="O12" s="87"/>
      <c r="P12" s="80"/>
      <c r="Q12" s="92" t="s">
        <v>19</v>
      </c>
      <c r="R12" s="92" t="s">
        <v>19</v>
      </c>
      <c r="S12" s="92" t="s">
        <v>19</v>
      </c>
      <c r="T12" s="92" t="s">
        <v>19</v>
      </c>
      <c r="U12" s="92" t="s">
        <v>19</v>
      </c>
      <c r="V12" s="92" t="s">
        <v>19</v>
      </c>
      <c r="W12" s="222" t="s">
        <v>958</v>
      </c>
      <c r="X12" s="223" t="s">
        <v>19</v>
      </c>
      <c r="Y12" s="223" t="s">
        <v>19</v>
      </c>
      <c r="Z12" s="223" t="s">
        <v>958</v>
      </c>
      <c r="AA12" s="225" t="s">
        <v>19</v>
      </c>
      <c r="AB12" s="240" t="s">
        <v>19</v>
      </c>
    </row>
    <row r="13" spans="2:28" s="63" customFormat="1" ht="33" customHeight="1">
      <c r="B13" s="88">
        <v>220</v>
      </c>
      <c r="C13" s="82" t="s">
        <v>2286</v>
      </c>
      <c r="D13" s="83">
        <v>202</v>
      </c>
      <c r="E13" s="303" t="str">
        <f t="shared" si="0"/>
        <v>1FE1CL3219F0B</v>
      </c>
      <c r="F13" s="304" t="s">
        <v>741</v>
      </c>
      <c r="G13" s="219" t="s">
        <v>2182</v>
      </c>
      <c r="H13" s="89"/>
      <c r="I13" s="302" t="s">
        <v>2429</v>
      </c>
      <c r="J13" s="166" t="s">
        <v>2298</v>
      </c>
      <c r="K13" s="90" t="s">
        <v>2299</v>
      </c>
      <c r="L13" s="84" t="s">
        <v>2292</v>
      </c>
      <c r="M13" s="85"/>
      <c r="N13" s="86" t="s">
        <v>742</v>
      </c>
      <c r="O13" s="87"/>
      <c r="P13" s="80"/>
      <c r="Q13" s="92" t="s">
        <v>19</v>
      </c>
      <c r="R13" s="92" t="s">
        <v>19</v>
      </c>
      <c r="S13" s="92" t="s">
        <v>19</v>
      </c>
      <c r="T13" s="92" t="s">
        <v>19</v>
      </c>
      <c r="U13" s="92" t="s">
        <v>19</v>
      </c>
      <c r="V13" s="92" t="s">
        <v>19</v>
      </c>
      <c r="W13" s="223" t="s">
        <v>19</v>
      </c>
      <c r="X13" s="222" t="s">
        <v>958</v>
      </c>
      <c r="Y13" s="222" t="s">
        <v>19</v>
      </c>
      <c r="Z13" s="222" t="s">
        <v>19</v>
      </c>
      <c r="AA13" s="222" t="s">
        <v>958</v>
      </c>
      <c r="AB13" s="240" t="s">
        <v>19</v>
      </c>
    </row>
    <row r="14" spans="2:28" s="63" customFormat="1" ht="25.9" customHeight="1">
      <c r="B14" s="88">
        <v>220</v>
      </c>
      <c r="C14" s="82" t="s">
        <v>2286</v>
      </c>
      <c r="D14" s="83">
        <v>203</v>
      </c>
      <c r="E14" s="303" t="str">
        <f t="shared" si="0"/>
        <v>1FE1CL3219G0B</v>
      </c>
      <c r="F14" s="305" t="s">
        <v>744</v>
      </c>
      <c r="G14" s="219" t="s">
        <v>2182</v>
      </c>
      <c r="H14" s="89"/>
      <c r="I14" s="302" t="s">
        <v>2431</v>
      </c>
      <c r="J14" s="116" t="s">
        <v>2300</v>
      </c>
      <c r="K14" s="90" t="s">
        <v>2301</v>
      </c>
      <c r="L14" s="84" t="s">
        <v>2292</v>
      </c>
      <c r="M14" s="85"/>
      <c r="N14" s="93" t="s">
        <v>745</v>
      </c>
      <c r="O14" s="87"/>
      <c r="P14" s="80"/>
      <c r="Q14" s="92" t="s">
        <v>19</v>
      </c>
      <c r="R14" s="92" t="s">
        <v>19</v>
      </c>
      <c r="S14" s="92" t="s">
        <v>19</v>
      </c>
      <c r="T14" s="92" t="s">
        <v>19</v>
      </c>
      <c r="U14" s="92" t="s">
        <v>19</v>
      </c>
      <c r="V14" s="92" t="s">
        <v>19</v>
      </c>
      <c r="W14" s="223" t="s">
        <v>19</v>
      </c>
      <c r="X14" s="223" t="s">
        <v>19</v>
      </c>
      <c r="Y14" s="223" t="s">
        <v>958</v>
      </c>
      <c r="Z14" s="223" t="s">
        <v>19</v>
      </c>
      <c r="AA14" s="225" t="s">
        <v>19</v>
      </c>
      <c r="AB14" s="240" t="s">
        <v>958</v>
      </c>
    </row>
    <row r="15" spans="2:28" s="63" customFormat="1" ht="31.9" customHeight="1">
      <c r="B15" s="88"/>
      <c r="C15" s="82" t="s">
        <v>2286</v>
      </c>
      <c r="D15" s="83">
        <v>204</v>
      </c>
      <c r="E15" s="303" t="str">
        <f t="shared" si="0"/>
        <v>1FE1CL3219H0A</v>
      </c>
      <c r="F15" s="305" t="s">
        <v>747</v>
      </c>
      <c r="G15" s="83" t="s">
        <v>2189</v>
      </c>
      <c r="H15" s="89"/>
      <c r="I15" s="302" t="s">
        <v>2302</v>
      </c>
      <c r="J15" s="80"/>
      <c r="K15" s="90" t="s">
        <v>2303</v>
      </c>
      <c r="L15" s="84" t="s">
        <v>2292</v>
      </c>
      <c r="M15" s="85"/>
      <c r="N15" s="94" t="s">
        <v>748</v>
      </c>
      <c r="O15" s="87"/>
      <c r="P15" s="80"/>
      <c r="Q15" s="92" t="s">
        <v>19</v>
      </c>
      <c r="R15" s="95" t="s">
        <v>958</v>
      </c>
      <c r="S15" s="92" t="s">
        <v>19</v>
      </c>
      <c r="T15" s="92" t="s">
        <v>19</v>
      </c>
      <c r="U15" s="95" t="s">
        <v>958</v>
      </c>
      <c r="V15" s="92" t="s">
        <v>19</v>
      </c>
      <c r="W15" s="223" t="s">
        <v>19</v>
      </c>
      <c r="X15" s="223" t="s">
        <v>19</v>
      </c>
      <c r="Y15" s="223" t="s">
        <v>19</v>
      </c>
      <c r="Z15" s="223" t="s">
        <v>19</v>
      </c>
      <c r="AA15" s="225" t="s">
        <v>19</v>
      </c>
      <c r="AB15" s="240" t="s">
        <v>19</v>
      </c>
    </row>
    <row r="16" spans="2:28" s="63" customFormat="1" ht="31.5" customHeight="1">
      <c r="B16" s="88"/>
      <c r="C16" s="82" t="s">
        <v>2286</v>
      </c>
      <c r="D16" s="83">
        <v>205</v>
      </c>
      <c r="E16" s="303" t="str">
        <f t="shared" si="0"/>
        <v>1FE1CL3219J0A</v>
      </c>
      <c r="F16" s="305" t="s">
        <v>750</v>
      </c>
      <c r="G16" s="83" t="s">
        <v>2189</v>
      </c>
      <c r="H16" s="89"/>
      <c r="I16" s="302" t="s">
        <v>2304</v>
      </c>
      <c r="J16" s="80"/>
      <c r="K16" s="96" t="s">
        <v>2305</v>
      </c>
      <c r="L16" s="84" t="s">
        <v>2292</v>
      </c>
      <c r="M16" s="85"/>
      <c r="N16" s="94" t="s">
        <v>751</v>
      </c>
      <c r="O16" s="87"/>
      <c r="P16" s="80"/>
      <c r="Q16" s="92" t="s">
        <v>19</v>
      </c>
      <c r="R16" s="92" t="s">
        <v>19</v>
      </c>
      <c r="S16" s="95" t="s">
        <v>958</v>
      </c>
      <c r="T16" s="92" t="s">
        <v>19</v>
      </c>
      <c r="U16" s="92" t="s">
        <v>19</v>
      </c>
      <c r="V16" s="95" t="s">
        <v>958</v>
      </c>
      <c r="W16" s="223" t="s">
        <v>19</v>
      </c>
      <c r="X16" s="223" t="s">
        <v>19</v>
      </c>
      <c r="Y16" s="223" t="s">
        <v>19</v>
      </c>
      <c r="Z16" s="223" t="s">
        <v>19</v>
      </c>
      <c r="AA16" s="225" t="s">
        <v>19</v>
      </c>
      <c r="AB16" s="240" t="s">
        <v>19</v>
      </c>
    </row>
    <row r="17" spans="2:28" s="63" customFormat="1" ht="21.95" customHeight="1">
      <c r="B17" s="88"/>
      <c r="C17" s="82" t="s">
        <v>2286</v>
      </c>
      <c r="D17" s="83">
        <v>300</v>
      </c>
      <c r="E17" s="306" t="str">
        <f t="shared" si="0"/>
        <v>1FE1CL332900A</v>
      </c>
      <c r="F17" s="301" t="s">
        <v>2306</v>
      </c>
      <c r="G17" s="83" t="s">
        <v>2189</v>
      </c>
      <c r="H17" s="89"/>
      <c r="I17" s="302" t="s">
        <v>2307</v>
      </c>
      <c r="J17" s="80"/>
      <c r="K17" s="84" t="s">
        <v>2308</v>
      </c>
      <c r="L17" s="84" t="s">
        <v>2292</v>
      </c>
      <c r="M17" s="85"/>
      <c r="N17" s="86" t="s">
        <v>3</v>
      </c>
      <c r="O17" s="87">
        <v>1</v>
      </c>
      <c r="P17" s="80"/>
      <c r="Q17" s="83" t="s">
        <v>958</v>
      </c>
      <c r="R17" s="83" t="s">
        <v>958</v>
      </c>
      <c r="S17" s="83" t="s">
        <v>958</v>
      </c>
      <c r="T17" s="83" t="s">
        <v>958</v>
      </c>
      <c r="U17" s="83" t="s">
        <v>958</v>
      </c>
      <c r="V17" s="83" t="s">
        <v>958</v>
      </c>
      <c r="W17" s="222" t="s">
        <v>958</v>
      </c>
      <c r="X17" s="222" t="s">
        <v>958</v>
      </c>
      <c r="Y17" s="222" t="s">
        <v>958</v>
      </c>
      <c r="Z17" s="222" t="s">
        <v>958</v>
      </c>
      <c r="AA17" s="222" t="s">
        <v>958</v>
      </c>
      <c r="AB17" s="240" t="s">
        <v>958</v>
      </c>
    </row>
    <row r="18" spans="2:28" s="63" customFormat="1" ht="21.95" customHeight="1">
      <c r="B18" s="97"/>
      <c r="C18" s="82" t="s">
        <v>2286</v>
      </c>
      <c r="D18" s="83">
        <v>400</v>
      </c>
      <c r="E18" s="306" t="str">
        <f t="shared" si="0"/>
        <v>1FE1CL365600A</v>
      </c>
      <c r="F18" s="307" t="s">
        <v>2309</v>
      </c>
      <c r="G18" s="83" t="s">
        <v>2189</v>
      </c>
      <c r="H18" s="80"/>
      <c r="I18" s="302" t="s">
        <v>2310</v>
      </c>
      <c r="J18" s="80"/>
      <c r="K18" s="84" t="s">
        <v>2311</v>
      </c>
      <c r="L18" s="84"/>
      <c r="M18" s="85"/>
      <c r="N18" s="94" t="s">
        <v>1002</v>
      </c>
      <c r="O18" s="87"/>
      <c r="P18" s="80"/>
      <c r="Q18" s="83" t="s">
        <v>958</v>
      </c>
      <c r="R18" s="83" t="s">
        <v>958</v>
      </c>
      <c r="S18" s="83" t="s">
        <v>958</v>
      </c>
      <c r="T18" s="92" t="s">
        <v>19</v>
      </c>
      <c r="U18" s="92" t="s">
        <v>19</v>
      </c>
      <c r="V18" s="92" t="s">
        <v>19</v>
      </c>
      <c r="W18" s="222" t="s">
        <v>958</v>
      </c>
      <c r="X18" s="222" t="s">
        <v>958</v>
      </c>
      <c r="Y18" s="224" t="s">
        <v>958</v>
      </c>
      <c r="Z18" s="224" t="s">
        <v>19</v>
      </c>
      <c r="AA18" s="225" t="s">
        <v>19</v>
      </c>
      <c r="AB18" s="240" t="s">
        <v>19</v>
      </c>
    </row>
    <row r="20" spans="2:28">
      <c r="D20" s="30"/>
      <c r="E20" s="36"/>
      <c r="F20" s="36"/>
    </row>
    <row r="21" spans="2:28">
      <c r="D21" s="30"/>
      <c r="E21" s="36"/>
      <c r="F21" s="36"/>
    </row>
    <row r="22" spans="2:28">
      <c r="D22" s="30"/>
      <c r="E22" s="36"/>
      <c r="F22" s="36"/>
    </row>
    <row r="23" spans="2:28">
      <c r="D23" s="30"/>
      <c r="E23" s="36"/>
      <c r="F23" s="36"/>
    </row>
    <row r="24" spans="2:28">
      <c r="D24" s="30"/>
      <c r="E24" s="36"/>
      <c r="F24" s="36"/>
    </row>
    <row r="25" spans="2:28">
      <c r="D25" s="30"/>
      <c r="E25" s="36"/>
      <c r="F25" s="36"/>
    </row>
    <row r="26" spans="2:28">
      <c r="D26" s="30"/>
      <c r="E26" s="36"/>
      <c r="F26" s="36"/>
    </row>
    <row r="27" spans="2:28">
      <c r="D27" s="30"/>
      <c r="E27" s="36"/>
      <c r="F27" s="36"/>
    </row>
    <row r="28" spans="2:28">
      <c r="D28" s="30"/>
      <c r="E28" s="36"/>
      <c r="F28" s="36"/>
    </row>
    <row r="29" spans="2:28">
      <c r="D29" s="30"/>
      <c r="E29" s="36"/>
      <c r="F29" s="36"/>
    </row>
    <row r="30" spans="2:28">
      <c r="D30" s="30"/>
      <c r="E30" s="36"/>
      <c r="F30" s="36"/>
    </row>
    <row r="31" spans="2:28">
      <c r="D31" s="30"/>
      <c r="E31" s="36"/>
      <c r="F31" s="36"/>
    </row>
    <row r="32" spans="2:28">
      <c r="D32" s="30"/>
      <c r="E32" s="36"/>
      <c r="F32" s="36"/>
    </row>
    <row r="33" spans="4:6">
      <c r="D33" s="30"/>
      <c r="E33" s="36"/>
      <c r="F33" s="36"/>
    </row>
    <row r="34" spans="4:6">
      <c r="D34" s="30"/>
      <c r="E34" s="36"/>
      <c r="F34" s="36"/>
    </row>
    <row r="35" spans="4:6">
      <c r="D35" s="30"/>
      <c r="E35" s="36"/>
      <c r="F35" s="36"/>
    </row>
    <row r="36" spans="4:6">
      <c r="D36" s="30"/>
      <c r="E36" s="36"/>
      <c r="F36" s="36"/>
    </row>
    <row r="37" spans="4:6">
      <c r="D37" s="30"/>
      <c r="E37" s="36"/>
      <c r="F37" s="36"/>
    </row>
    <row r="38" spans="4:6">
      <c r="D38" s="30"/>
      <c r="E38" s="36"/>
      <c r="F38" s="36"/>
    </row>
    <row r="39" spans="4:6">
      <c r="D39" s="30"/>
      <c r="E39" s="36"/>
      <c r="F39" s="36"/>
    </row>
    <row r="40" spans="4:6">
      <c r="D40" s="30"/>
      <c r="E40" s="36"/>
      <c r="F40" s="36"/>
    </row>
    <row r="41" spans="4:6">
      <c r="D41" s="30"/>
      <c r="E41" s="36"/>
      <c r="F41" s="36"/>
    </row>
    <row r="42" spans="4:6">
      <c r="D42" s="53"/>
      <c r="E42" s="98"/>
      <c r="F42" s="98"/>
    </row>
    <row r="43" spans="4:6">
      <c r="D43" s="53"/>
      <c r="E43" s="98"/>
      <c r="F43" s="98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5">
    <tabColor rgb="FFFF0000"/>
  </sheetPr>
  <dimension ref="B3:T33"/>
  <sheetViews>
    <sheetView topLeftCell="A4" zoomScale="80" zoomScaleNormal="80" workbookViewId="0">
      <selection activeCell="U8" sqref="U8"/>
    </sheetView>
  </sheetViews>
  <sheetFormatPr baseColWidth="10" defaultColWidth="9.140625" defaultRowHeight="15" outlineLevelCol="1"/>
  <cols>
    <col min="1" max="1" width="9.140625" style="55"/>
    <col min="2" max="2" width="14.5703125" style="55" customWidth="1"/>
    <col min="3" max="3" width="9.5703125" style="55" customWidth="1"/>
    <col min="4" max="4" width="9.140625" style="55"/>
    <col min="5" max="5" width="19.42578125" style="55" customWidth="1"/>
    <col min="6" max="6" width="15.7109375" style="55" customWidth="1"/>
    <col min="7" max="7" width="7.5703125" style="55" customWidth="1"/>
    <col min="8" max="8" width="10.5703125" style="55" customWidth="1"/>
    <col min="9" max="9" width="16.42578125" style="55" customWidth="1"/>
    <col min="10" max="10" width="19.85546875" style="55" customWidth="1"/>
    <col min="11" max="11" width="30" style="55" customWidth="1" outlineLevel="1"/>
    <col min="12" max="12" width="6" style="55" customWidth="1" outlineLevel="1"/>
    <col min="13" max="13" width="30.85546875" style="55" customWidth="1" outlineLevel="1"/>
    <col min="14" max="14" width="48.7109375" style="55" customWidth="1" outlineLevel="1"/>
    <col min="15" max="15" width="14" style="55" customWidth="1" outlineLevel="1"/>
    <col min="16" max="16" width="13.5703125" style="55" customWidth="1"/>
    <col min="17" max="17" width="5.7109375" style="99" customWidth="1"/>
    <col min="18" max="20" width="5.7109375" style="55" customWidth="1"/>
    <col min="21" max="16384" width="9.140625" style="55"/>
  </cols>
  <sheetData>
    <row r="3" spans="2:20">
      <c r="P3" s="56" t="s">
        <v>2252</v>
      </c>
    </row>
    <row r="4" spans="2:20" ht="18.75">
      <c r="B4" s="57" t="s">
        <v>2194</v>
      </c>
      <c r="C4" s="100" t="s">
        <v>2312</v>
      </c>
      <c r="D4" s="101"/>
      <c r="E4" s="101"/>
      <c r="F4" s="58"/>
      <c r="G4" s="58"/>
      <c r="H4" s="58"/>
      <c r="I4" s="59"/>
      <c r="J4" s="59"/>
      <c r="K4" s="58"/>
      <c r="L4" s="58"/>
      <c r="M4" s="58"/>
      <c r="N4" s="58"/>
      <c r="O4" s="58"/>
      <c r="P4" s="56" t="s">
        <v>2254</v>
      </c>
      <c r="Q4" s="102"/>
      <c r="R4" s="102"/>
      <c r="S4" s="102"/>
      <c r="T4" s="102"/>
    </row>
    <row r="5" spans="2:20" ht="31.5" customHeight="1">
      <c r="B5" s="60"/>
      <c r="C5" s="103"/>
      <c r="D5" s="104"/>
      <c r="E5" s="104"/>
      <c r="F5" s="104"/>
      <c r="G5" s="104"/>
      <c r="H5" s="104"/>
      <c r="I5" s="61"/>
      <c r="J5" s="61"/>
      <c r="K5" s="104"/>
      <c r="L5" s="104"/>
      <c r="M5" s="104"/>
      <c r="N5" s="104"/>
      <c r="O5" s="104"/>
      <c r="P5" s="56"/>
      <c r="Q5" s="62" t="s">
        <v>2313</v>
      </c>
      <c r="R5" s="62" t="s">
        <v>2313</v>
      </c>
      <c r="S5" s="62" t="s">
        <v>2313</v>
      </c>
      <c r="T5" s="62" t="s">
        <v>2313</v>
      </c>
    </row>
    <row r="6" spans="2:20" ht="45.75" customHeight="1">
      <c r="B6" s="64"/>
      <c r="C6" s="65"/>
      <c r="D6" s="65"/>
      <c r="E6" s="65"/>
      <c r="F6" s="65"/>
      <c r="G6" s="65"/>
      <c r="H6" s="65"/>
      <c r="I6" s="65"/>
      <c r="J6" s="65"/>
      <c r="K6" s="66"/>
      <c r="L6" s="65"/>
      <c r="M6" s="65"/>
      <c r="N6" s="65"/>
      <c r="O6" s="65"/>
      <c r="P6" s="56"/>
      <c r="Q6" s="67" t="s">
        <v>2257</v>
      </c>
      <c r="R6" s="67" t="s">
        <v>2258</v>
      </c>
      <c r="S6" s="67" t="s">
        <v>2259</v>
      </c>
      <c r="T6" s="67" t="s">
        <v>2260</v>
      </c>
    </row>
    <row r="7" spans="2:20" ht="34.5" customHeight="1">
      <c r="B7" s="68" t="s">
        <v>2249</v>
      </c>
      <c r="C7" s="69"/>
      <c r="D7" s="69"/>
      <c r="E7" s="69" t="s">
        <v>2345</v>
      </c>
      <c r="F7" s="105"/>
      <c r="G7" s="105"/>
      <c r="H7" s="71"/>
      <c r="I7" s="72"/>
      <c r="J7" s="72"/>
      <c r="K7" s="106"/>
      <c r="L7" s="106"/>
      <c r="M7" s="71"/>
      <c r="N7" s="71"/>
      <c r="O7" s="71"/>
      <c r="P7" s="73">
        <f>COUNTA(Q7:BNK7)</f>
        <v>4</v>
      </c>
      <c r="Q7" s="67" t="s">
        <v>2314</v>
      </c>
      <c r="R7" s="67" t="s">
        <v>2314</v>
      </c>
      <c r="S7" s="67" t="s">
        <v>2314</v>
      </c>
      <c r="T7" s="67" t="s">
        <v>2314</v>
      </c>
    </row>
    <row r="8" spans="2:20" ht="48" customHeight="1">
      <c r="B8" s="106"/>
      <c r="C8" s="70"/>
      <c r="D8" s="106"/>
      <c r="E8" s="70"/>
      <c r="F8" s="70"/>
      <c r="G8" s="70"/>
      <c r="H8" s="71"/>
      <c r="I8" s="72"/>
      <c r="J8" s="72"/>
      <c r="K8" s="106"/>
      <c r="L8" s="106"/>
      <c r="M8" s="106"/>
      <c r="N8" s="106"/>
      <c r="O8" s="106"/>
      <c r="P8" s="74" t="s">
        <v>2265</v>
      </c>
      <c r="Q8" s="62" t="s">
        <v>2266</v>
      </c>
      <c r="R8" s="62" t="s">
        <v>2266</v>
      </c>
      <c r="S8" s="62" t="s">
        <v>2266</v>
      </c>
      <c r="T8" s="62" t="s">
        <v>2266</v>
      </c>
    </row>
    <row r="9" spans="2:20" ht="47.25" customHeight="1">
      <c r="B9" s="75" t="s">
        <v>2267</v>
      </c>
      <c r="C9" s="76" t="s">
        <v>2225</v>
      </c>
      <c r="D9" s="77" t="s">
        <v>2268</v>
      </c>
      <c r="E9" s="76" t="s">
        <v>2269</v>
      </c>
      <c r="F9" s="77" t="s">
        <v>2270</v>
      </c>
      <c r="G9" s="77" t="s">
        <v>2271</v>
      </c>
      <c r="H9" s="77" t="s">
        <v>2272</v>
      </c>
      <c r="I9" s="77" t="s">
        <v>2273</v>
      </c>
      <c r="J9" s="77" t="s">
        <v>2274</v>
      </c>
      <c r="K9" s="78" t="s">
        <v>2275</v>
      </c>
      <c r="L9" s="78" t="s">
        <v>2276</v>
      </c>
      <c r="M9" s="78" t="s">
        <v>2277</v>
      </c>
      <c r="N9" s="78" t="s">
        <v>2278</v>
      </c>
      <c r="O9" s="79" t="s">
        <v>2279</v>
      </c>
      <c r="P9" s="79" t="s">
        <v>2272</v>
      </c>
      <c r="Q9" s="80" t="s">
        <v>2281</v>
      </c>
      <c r="R9" s="80" t="s">
        <v>2282</v>
      </c>
      <c r="S9" s="80" t="s">
        <v>2283</v>
      </c>
      <c r="T9" s="80" t="s">
        <v>2284</v>
      </c>
    </row>
    <row r="10" spans="2:20" ht="21.95" customHeight="1">
      <c r="B10" s="169" t="s">
        <v>2426</v>
      </c>
      <c r="C10" s="82" t="s">
        <v>2315</v>
      </c>
      <c r="D10" s="83">
        <v>100</v>
      </c>
      <c r="E10" s="308" t="str">
        <f>CONCATENATE("1FE1CL3",MID(F10,9,3),IF(MID(F10,13,1)="",0,MID(F10,13,1)),IF(MID(F10,14,1)="",0,MID(F10,14,1)),G10)</f>
        <v>1FE1CL300000H</v>
      </c>
      <c r="F10" s="301" t="s">
        <v>2287</v>
      </c>
      <c r="G10" s="162" t="s">
        <v>2424</v>
      </c>
      <c r="H10" s="83" t="s">
        <v>2288</v>
      </c>
      <c r="I10" s="302" t="s">
        <v>2316</v>
      </c>
      <c r="J10" s="107"/>
      <c r="K10" s="84">
        <v>139.142</v>
      </c>
      <c r="L10" s="84"/>
      <c r="M10" s="108" t="s">
        <v>2312</v>
      </c>
      <c r="N10" s="86" t="s">
        <v>3</v>
      </c>
      <c r="O10" s="87">
        <v>1</v>
      </c>
      <c r="P10" s="80"/>
      <c r="Q10" s="83" t="s">
        <v>958</v>
      </c>
      <c r="R10" s="83" t="s">
        <v>958</v>
      </c>
      <c r="S10" s="83" t="s">
        <v>958</v>
      </c>
      <c r="T10" s="83" t="s">
        <v>958</v>
      </c>
    </row>
    <row r="11" spans="2:20" ht="21.95" customHeight="1">
      <c r="B11" s="81"/>
      <c r="C11" s="82" t="s">
        <v>2315</v>
      </c>
      <c r="D11" s="83">
        <v>200</v>
      </c>
      <c r="E11" s="303" t="str">
        <f>CONCATENATE("1FE1CL3",MID(F11,9,3),IF(MID(F11,13,1)="",0,MID(F11,13,1)),IF(MID(F11,14,1)="",0,MID(F11,14,1)),G11)</f>
        <v>1FE1CL307700C</v>
      </c>
      <c r="F11" s="301" t="s">
        <v>2317</v>
      </c>
      <c r="G11" s="83" t="s">
        <v>2318</v>
      </c>
      <c r="H11" s="83" t="s">
        <v>2182</v>
      </c>
      <c r="I11" s="302" t="s">
        <v>2319</v>
      </c>
      <c r="J11" s="107"/>
      <c r="K11" s="311">
        <v>77001.770040000003</v>
      </c>
      <c r="L11" s="311"/>
      <c r="M11" s="108" t="s">
        <v>2312</v>
      </c>
      <c r="N11" s="86" t="s">
        <v>610</v>
      </c>
      <c r="O11" s="87"/>
      <c r="P11" s="80"/>
      <c r="Q11" s="92" t="s">
        <v>19</v>
      </c>
      <c r="R11" s="83" t="s">
        <v>958</v>
      </c>
      <c r="S11" s="92" t="s">
        <v>19</v>
      </c>
      <c r="T11" s="83" t="s">
        <v>958</v>
      </c>
    </row>
    <row r="12" spans="2:20" ht="21.95" customHeight="1">
      <c r="B12" s="81"/>
      <c r="C12" s="82" t="s">
        <v>2315</v>
      </c>
      <c r="D12" s="219">
        <v>201</v>
      </c>
      <c r="E12" s="303" t="str">
        <f>CONCATENATE("1FE1CL3",MID(F12,9,3),IF(MID(F12,13,1)="",0,MID(F12,13,1)),IF(MID(F12,14,1)="",0,MID(F12,14,1)),G12)</f>
        <v>1FE1CL3077D0C</v>
      </c>
      <c r="F12" s="304" t="s">
        <v>612</v>
      </c>
      <c r="G12" s="83" t="s">
        <v>2318</v>
      </c>
      <c r="H12" s="83" t="s">
        <v>2182</v>
      </c>
      <c r="I12" s="302" t="s">
        <v>2319</v>
      </c>
      <c r="J12" s="107"/>
      <c r="K12" s="312"/>
      <c r="L12" s="312"/>
      <c r="M12" s="108" t="s">
        <v>2312</v>
      </c>
      <c r="N12" s="109" t="s">
        <v>613</v>
      </c>
      <c r="O12" s="87"/>
      <c r="P12" s="80"/>
      <c r="Q12" s="92" t="s">
        <v>19</v>
      </c>
      <c r="R12" s="83" t="s">
        <v>958</v>
      </c>
      <c r="S12" s="92" t="s">
        <v>19</v>
      </c>
      <c r="T12" s="83" t="s">
        <v>958</v>
      </c>
    </row>
    <row r="13" spans="2:20" s="112" customFormat="1" ht="29.25" customHeight="1">
      <c r="B13" s="81"/>
      <c r="C13" s="82" t="s">
        <v>2315</v>
      </c>
      <c r="D13" s="83">
        <v>300</v>
      </c>
      <c r="E13" s="303" t="str">
        <f>CONCATENATE("1FE1CL3",MID(F13,9,3),IF(MID(F13,13,1)="",0,MID(F13,13,1)),IF(MID(F13,14,1)="",0,MID(F13,14,1)),G13)</f>
        <v>1FE1CL321600F</v>
      </c>
      <c r="F13" s="301" t="s">
        <v>2320</v>
      </c>
      <c r="G13" s="95" t="s">
        <v>2288</v>
      </c>
      <c r="H13" s="83" t="s">
        <v>2289</v>
      </c>
      <c r="I13" s="302" t="s">
        <v>2321</v>
      </c>
      <c r="J13" s="110"/>
      <c r="K13" s="111" t="s">
        <v>2322</v>
      </c>
      <c r="L13" s="84"/>
      <c r="M13" s="108" t="s">
        <v>2312</v>
      </c>
      <c r="N13" s="86" t="s">
        <v>679</v>
      </c>
      <c r="O13" s="87">
        <v>1</v>
      </c>
      <c r="P13" s="80"/>
      <c r="Q13" s="92" t="s">
        <v>2251</v>
      </c>
      <c r="R13" s="92" t="s">
        <v>2251</v>
      </c>
      <c r="S13" s="92" t="s">
        <v>958</v>
      </c>
      <c r="T13" s="92" t="s">
        <v>958</v>
      </c>
    </row>
    <row r="14" spans="2:20" ht="21.95" customHeight="1">
      <c r="B14" s="97"/>
      <c r="C14" s="82" t="s">
        <v>2315</v>
      </c>
      <c r="D14" s="83">
        <v>301</v>
      </c>
      <c r="E14" s="306" t="str">
        <f>CONCATENATE("1FE1CL3",MID(F14,9,3),IF(MID(F14,13,1)="",0,MID(F14,13,1)),IF(MID(F14,14,1)="",0,MID(F14,14,1)),G14)</f>
        <v>1FE1CL3216B0D</v>
      </c>
      <c r="F14" s="304" t="s">
        <v>681</v>
      </c>
      <c r="G14" s="95" t="s">
        <v>2323</v>
      </c>
      <c r="H14" s="83" t="s">
        <v>2318</v>
      </c>
      <c r="I14" s="302" t="s">
        <v>2324</v>
      </c>
      <c r="J14" s="107"/>
      <c r="K14" s="113" t="s">
        <v>2325</v>
      </c>
      <c r="L14" s="84"/>
      <c r="M14" s="108" t="s">
        <v>2312</v>
      </c>
      <c r="N14" s="86" t="s">
        <v>682</v>
      </c>
      <c r="O14" s="87">
        <v>1</v>
      </c>
      <c r="P14" s="80"/>
      <c r="Q14" s="83" t="s">
        <v>958</v>
      </c>
      <c r="R14" s="83" t="s">
        <v>958</v>
      </c>
      <c r="S14" s="83" t="s">
        <v>2251</v>
      </c>
      <c r="T14" s="83" t="s">
        <v>2251</v>
      </c>
    </row>
    <row r="18" spans="11:12">
      <c r="K18" s="30"/>
      <c r="L18" s="30"/>
    </row>
    <row r="19" spans="11:12">
      <c r="K19" s="30"/>
      <c r="L19" s="30"/>
    </row>
    <row r="20" spans="11:12">
      <c r="K20" s="30"/>
      <c r="L20" s="30"/>
    </row>
    <row r="21" spans="11:12">
      <c r="K21" s="30"/>
      <c r="L21" s="30"/>
    </row>
    <row r="22" spans="11:12">
      <c r="K22" s="30"/>
      <c r="L22" s="30"/>
    </row>
    <row r="23" spans="11:12">
      <c r="K23" s="30"/>
      <c r="L23" s="103"/>
    </row>
    <row r="24" spans="11:12">
      <c r="K24" s="30"/>
      <c r="L24" s="114"/>
    </row>
    <row r="25" spans="11:12">
      <c r="K25" s="30"/>
      <c r="L25" s="103"/>
    </row>
    <row r="26" spans="11:12">
      <c r="L26" s="114"/>
    </row>
    <row r="27" spans="11:12">
      <c r="L27" s="103"/>
    </row>
    <row r="28" spans="11:12">
      <c r="L28" s="103"/>
    </row>
    <row r="29" spans="11:12">
      <c r="L29" s="103"/>
    </row>
    <row r="30" spans="11:12">
      <c r="L30" s="114"/>
    </row>
    <row r="31" spans="11:12">
      <c r="L31" s="114"/>
    </row>
    <row r="32" spans="11:12">
      <c r="L32" s="103"/>
    </row>
    <row r="33" spans="12:12">
      <c r="L33" s="103"/>
    </row>
  </sheetData>
  <mergeCells count="2">
    <mergeCell ref="K11:K12"/>
    <mergeCell ref="L11:L12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6">
    <tabColor rgb="FFFF0000"/>
  </sheetPr>
  <dimension ref="B3:R21"/>
  <sheetViews>
    <sheetView zoomScale="70" zoomScaleNormal="70" workbookViewId="0">
      <selection activeCell="S8" sqref="S8"/>
    </sheetView>
  </sheetViews>
  <sheetFormatPr baseColWidth="10" defaultColWidth="9.140625" defaultRowHeight="15" outlineLevelCol="1"/>
  <cols>
    <col min="1" max="1" width="9.140625" style="55"/>
    <col min="2" max="2" width="14.5703125" style="55" customWidth="1"/>
    <col min="3" max="3" width="9.5703125" style="55" customWidth="1"/>
    <col min="4" max="4" width="9.140625" style="55"/>
    <col min="5" max="5" width="19.42578125" style="55" customWidth="1"/>
    <col min="6" max="6" width="16.140625" style="55" customWidth="1"/>
    <col min="7" max="7" width="7.5703125" style="55" customWidth="1"/>
    <col min="8" max="8" width="9.140625" style="55" customWidth="1"/>
    <col min="9" max="9" width="16.42578125" style="55" customWidth="1"/>
    <col min="10" max="10" width="19.85546875" style="55" customWidth="1"/>
    <col min="11" max="11" width="20.85546875" style="55" customWidth="1" outlineLevel="1"/>
    <col min="12" max="12" width="3.7109375" style="55" customWidth="1" outlineLevel="1"/>
    <col min="13" max="13" width="23.85546875" style="55" customWidth="1" outlineLevel="1"/>
    <col min="14" max="14" width="26" style="55" customWidth="1" outlineLevel="1"/>
    <col min="15" max="15" width="13.7109375" style="55" customWidth="1" outlineLevel="1"/>
    <col min="16" max="16" width="14.28515625" style="55" customWidth="1"/>
    <col min="17" max="18" width="5.7109375" style="164" customWidth="1"/>
    <col min="19" max="16384" width="9.140625" style="55"/>
  </cols>
  <sheetData>
    <row r="3" spans="2:18" ht="26.25">
      <c r="P3" s="56" t="s">
        <v>2252</v>
      </c>
      <c r="Q3" s="159" t="s">
        <v>2352</v>
      </c>
      <c r="R3" s="159" t="s">
        <v>2352</v>
      </c>
    </row>
    <row r="4" spans="2:18" s="168" customFormat="1" ht="26.25" customHeight="1">
      <c r="B4" s="57" t="s">
        <v>2185</v>
      </c>
      <c r="C4" s="115" t="s">
        <v>2326</v>
      </c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6" t="s">
        <v>2254</v>
      </c>
      <c r="Q4" s="165"/>
      <c r="R4" s="165"/>
    </row>
    <row r="5" spans="2:18" ht="31.5" customHeight="1">
      <c r="B5" s="60"/>
      <c r="C5" s="103"/>
      <c r="D5" s="104"/>
      <c r="E5" s="104"/>
      <c r="F5" s="104"/>
      <c r="G5" s="104"/>
      <c r="H5" s="104"/>
      <c r="I5" s="61"/>
      <c r="J5" s="61"/>
      <c r="K5" s="104"/>
      <c r="L5" s="104"/>
      <c r="M5" s="104"/>
      <c r="N5" s="104"/>
      <c r="O5" s="104"/>
      <c r="P5" s="56"/>
      <c r="Q5" s="159" t="s">
        <v>2350</v>
      </c>
      <c r="R5" s="159" t="s">
        <v>2350</v>
      </c>
    </row>
    <row r="6" spans="2:18" ht="30" customHeight="1">
      <c r="B6" s="64"/>
      <c r="C6" s="65"/>
      <c r="D6" s="65"/>
      <c r="E6" s="65"/>
      <c r="F6" s="65"/>
      <c r="G6" s="65"/>
      <c r="H6" s="65"/>
      <c r="I6" s="65"/>
      <c r="J6" s="65"/>
      <c r="K6" s="66"/>
      <c r="L6" s="65"/>
      <c r="M6" s="65"/>
      <c r="N6" s="65"/>
      <c r="O6" s="65"/>
      <c r="P6" s="56"/>
      <c r="Q6" s="67" t="s">
        <v>2256</v>
      </c>
      <c r="R6" s="67" t="s">
        <v>2257</v>
      </c>
    </row>
    <row r="7" spans="2:18" ht="34.5" customHeight="1">
      <c r="B7" s="68" t="s">
        <v>2249</v>
      </c>
      <c r="C7" s="69"/>
      <c r="D7" s="69"/>
      <c r="E7" s="69" t="s">
        <v>2345</v>
      </c>
      <c r="F7" s="105"/>
      <c r="G7" s="105"/>
      <c r="H7" s="71"/>
      <c r="I7" s="72"/>
      <c r="J7" s="72"/>
      <c r="K7" s="106"/>
      <c r="L7" s="106"/>
      <c r="M7" s="71"/>
      <c r="N7" s="71"/>
      <c r="O7" s="71"/>
      <c r="P7" s="73">
        <f>COUNTA(Q7:BNL7)</f>
        <v>2</v>
      </c>
      <c r="Q7" s="67" t="s">
        <v>2327</v>
      </c>
      <c r="R7" s="67" t="s">
        <v>2327</v>
      </c>
    </row>
    <row r="8" spans="2:18" ht="34.5" customHeight="1">
      <c r="B8" s="106"/>
      <c r="C8" s="70"/>
      <c r="D8" s="106"/>
      <c r="E8" s="70"/>
      <c r="F8" s="70"/>
      <c r="G8" s="70"/>
      <c r="H8" s="71"/>
      <c r="I8" s="72"/>
      <c r="J8" s="72"/>
      <c r="K8" s="106"/>
      <c r="L8" s="106"/>
      <c r="M8" s="106"/>
      <c r="N8" s="106"/>
      <c r="O8" s="106"/>
      <c r="P8" s="74" t="s">
        <v>2265</v>
      </c>
      <c r="Q8" s="62" t="s">
        <v>2266</v>
      </c>
      <c r="R8" s="62" t="s">
        <v>2266</v>
      </c>
    </row>
    <row r="9" spans="2:18" ht="46.5" customHeight="1">
      <c r="B9" s="75" t="s">
        <v>2267</v>
      </c>
      <c r="C9" s="76" t="s">
        <v>2225</v>
      </c>
      <c r="D9" s="77" t="s">
        <v>2268</v>
      </c>
      <c r="E9" s="76" t="s">
        <v>2269</v>
      </c>
      <c r="F9" s="77" t="s">
        <v>2270</v>
      </c>
      <c r="G9" s="77" t="s">
        <v>2271</v>
      </c>
      <c r="H9" s="77" t="s">
        <v>2272</v>
      </c>
      <c r="I9" s="77" t="s">
        <v>2273</v>
      </c>
      <c r="J9" s="77" t="s">
        <v>2274</v>
      </c>
      <c r="K9" s="78" t="s">
        <v>2275</v>
      </c>
      <c r="L9" s="78" t="s">
        <v>2276</v>
      </c>
      <c r="M9" s="78" t="s">
        <v>2277</v>
      </c>
      <c r="N9" s="78" t="s">
        <v>2278</v>
      </c>
      <c r="O9" s="79" t="s">
        <v>2279</v>
      </c>
      <c r="P9" s="79" t="s">
        <v>2272</v>
      </c>
      <c r="Q9" s="83" t="s">
        <v>2280</v>
      </c>
      <c r="R9" s="83" t="s">
        <v>2281</v>
      </c>
    </row>
    <row r="10" spans="2:18" ht="21.95" customHeight="1">
      <c r="B10" s="175" t="s">
        <v>2425</v>
      </c>
      <c r="C10" s="82" t="s">
        <v>2328</v>
      </c>
      <c r="D10" s="83">
        <v>100</v>
      </c>
      <c r="E10" s="308" t="str">
        <f>CONCATENATE("1FE1CL3",MID(F10,9,3),IF(MID(F10,13,1)="",0,MID(F10,13,1)),IF(MID(F10,14,1)="",0,MID(F10,14,1)),G10)</f>
        <v>1FE1CL300000H</v>
      </c>
      <c r="F10" s="301" t="s">
        <v>2287</v>
      </c>
      <c r="G10" s="162" t="s">
        <v>2424</v>
      </c>
      <c r="H10" s="83" t="s">
        <v>2288</v>
      </c>
      <c r="I10" s="309" t="s">
        <v>2351</v>
      </c>
      <c r="J10" s="166" t="s">
        <v>2329</v>
      </c>
      <c r="K10" s="84" t="s">
        <v>2330</v>
      </c>
      <c r="L10" s="84"/>
      <c r="M10" s="108" t="s">
        <v>2331</v>
      </c>
      <c r="N10" s="86" t="s">
        <v>3</v>
      </c>
      <c r="O10" s="87">
        <v>1</v>
      </c>
      <c r="P10" s="80"/>
      <c r="Q10" s="83" t="s">
        <v>958</v>
      </c>
      <c r="R10" s="83" t="s">
        <v>958</v>
      </c>
    </row>
    <row r="11" spans="2:18" ht="21.95" customHeight="1">
      <c r="B11" s="167" t="s">
        <v>2340</v>
      </c>
      <c r="C11" s="82" t="s">
        <v>2328</v>
      </c>
      <c r="D11" s="83">
        <v>200</v>
      </c>
      <c r="E11" s="310" t="str">
        <f>CONCATENATE("1FE1CL3",MID(F11,9,3),IF(MID(F11,13,1)="",0,MID(F11,13,1)),IF(MID(F11,14,1)="",0,MID(F11,14,1)),G11)</f>
        <v>1FE1CL332100B</v>
      </c>
      <c r="F11" s="301" t="s">
        <v>2332</v>
      </c>
      <c r="G11" s="162" t="s">
        <v>2182</v>
      </c>
      <c r="H11" s="83" t="s">
        <v>2189</v>
      </c>
      <c r="I11" s="309" t="s">
        <v>2346</v>
      </c>
      <c r="J11" s="116" t="s">
        <v>2333</v>
      </c>
      <c r="K11" s="84" t="s">
        <v>2334</v>
      </c>
      <c r="L11" s="84"/>
      <c r="M11" s="108" t="s">
        <v>2331</v>
      </c>
      <c r="N11" s="86" t="s">
        <v>890</v>
      </c>
      <c r="O11" s="87"/>
      <c r="P11" s="80"/>
      <c r="Q11" s="92" t="s">
        <v>19</v>
      </c>
      <c r="R11" s="83" t="s">
        <v>958</v>
      </c>
    </row>
    <row r="14" spans="2:18">
      <c r="G14" s="30"/>
    </row>
    <row r="15" spans="2:18">
      <c r="G15" s="30"/>
    </row>
    <row r="16" spans="2:18">
      <c r="G16" s="30"/>
    </row>
    <row r="17" spans="7:7">
      <c r="G17" s="30"/>
    </row>
    <row r="18" spans="7:7">
      <c r="G18" s="30"/>
    </row>
    <row r="19" spans="7:7">
      <c r="G19" s="30"/>
    </row>
    <row r="20" spans="7:7">
      <c r="G20" s="30"/>
    </row>
    <row r="21" spans="7:7">
      <c r="G21" s="30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7">
    <tabColor rgb="FFFFFF00"/>
  </sheetPr>
  <dimension ref="A1:AD14"/>
  <sheetViews>
    <sheetView zoomScale="90" zoomScaleNormal="90" workbookViewId="0">
      <selection activeCell="B18" sqref="B18"/>
    </sheetView>
  </sheetViews>
  <sheetFormatPr baseColWidth="10" defaultColWidth="9.140625" defaultRowHeight="15" outlineLevelCol="1"/>
  <cols>
    <col min="1" max="1" width="9.140625" style="121"/>
    <col min="2" max="2" width="23.5703125" style="121" customWidth="1"/>
    <col min="3" max="3" width="18.85546875" style="121" customWidth="1"/>
    <col min="4" max="4" width="9.140625" style="121"/>
    <col min="5" max="6" width="17.5703125" style="121" customWidth="1"/>
    <col min="7" max="7" width="9.140625" style="121"/>
    <col min="8" max="8" width="10.140625" style="121" customWidth="1"/>
    <col min="9" max="10" width="9.140625" style="121"/>
    <col min="11" max="15" width="9.140625" style="121" outlineLevel="1"/>
    <col min="16" max="16" width="9.140625" style="121"/>
    <col min="17" max="17" width="3.5703125" style="121" customWidth="1"/>
    <col min="18" max="16384" width="9.140625" style="121"/>
  </cols>
  <sheetData>
    <row r="1" spans="1:30" ht="15.75">
      <c r="A1" s="117"/>
      <c r="B1" s="118" t="s">
        <v>2335</v>
      </c>
      <c r="C1" s="119"/>
      <c r="D1" s="119"/>
      <c r="E1" s="119"/>
      <c r="F1" s="119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19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</row>
    <row r="2" spans="1:30" ht="15.75">
      <c r="A2" s="117"/>
      <c r="B2" s="118"/>
      <c r="C2" s="119"/>
      <c r="D2" s="119"/>
      <c r="E2" s="119"/>
      <c r="F2" s="119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19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</row>
    <row r="3" spans="1:30" ht="15.75">
      <c r="A3" s="117"/>
      <c r="B3" s="118"/>
      <c r="C3" s="119"/>
      <c r="D3" s="119"/>
      <c r="E3" s="119"/>
      <c r="F3" s="119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19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</row>
    <row r="4" spans="1:30" ht="15.75">
      <c r="A4" s="117"/>
      <c r="B4" s="118"/>
      <c r="C4" s="119"/>
      <c r="D4" s="119"/>
      <c r="E4" s="119"/>
      <c r="F4" s="119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19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</row>
    <row r="5" spans="1:30" ht="22.5" customHeight="1">
      <c r="A5" s="122"/>
      <c r="B5" s="123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24" t="s">
        <v>2336</v>
      </c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</row>
    <row r="6" spans="1:30" ht="23.25" customHeight="1">
      <c r="A6" s="125"/>
      <c r="B6" s="118"/>
      <c r="C6" s="126"/>
      <c r="D6" s="126"/>
      <c r="E6" s="126"/>
      <c r="F6" s="126"/>
      <c r="G6" s="127"/>
      <c r="H6" s="127"/>
      <c r="I6" s="128"/>
      <c r="J6" s="128"/>
      <c r="K6" s="128"/>
      <c r="L6" s="128"/>
      <c r="M6" s="127"/>
      <c r="N6" s="127"/>
      <c r="O6" s="127"/>
      <c r="P6" s="127"/>
      <c r="Q6" s="124" t="s">
        <v>2337</v>
      </c>
      <c r="R6" s="125"/>
      <c r="S6" s="125"/>
      <c r="T6" s="125"/>
      <c r="U6" s="125"/>
      <c r="V6" s="125"/>
      <c r="W6" s="125"/>
      <c r="X6" s="125"/>
      <c r="Y6" s="125"/>
      <c r="Z6" s="125"/>
      <c r="AA6" s="125"/>
      <c r="AB6" s="125"/>
      <c r="AC6" s="125"/>
      <c r="AD6" s="125"/>
    </row>
    <row r="7" spans="1:30" ht="24.75" customHeight="1">
      <c r="A7" s="117"/>
      <c r="B7" s="68" t="s">
        <v>2249</v>
      </c>
      <c r="C7" s="69"/>
      <c r="D7" s="69"/>
      <c r="E7" s="69" t="s">
        <v>2345</v>
      </c>
      <c r="F7" s="129"/>
      <c r="G7" s="130"/>
      <c r="H7" s="130"/>
      <c r="I7" s="120"/>
      <c r="J7" s="120"/>
      <c r="K7" s="120"/>
      <c r="L7" s="120"/>
      <c r="M7" s="131"/>
      <c r="N7" s="131"/>
      <c r="O7" s="131"/>
      <c r="P7" s="131"/>
      <c r="Q7" s="124" t="s">
        <v>2338</v>
      </c>
      <c r="R7" s="117"/>
      <c r="S7" s="117"/>
      <c r="T7" s="117"/>
      <c r="U7" s="117"/>
      <c r="V7" s="117"/>
      <c r="W7" s="117"/>
      <c r="X7" s="117"/>
      <c r="Y7" s="117"/>
      <c r="Z7" s="117"/>
      <c r="AA7" s="117"/>
      <c r="AB7" s="117"/>
      <c r="AC7" s="117"/>
      <c r="AD7" s="117"/>
    </row>
    <row r="8" spans="1:30" ht="30" customHeight="1">
      <c r="A8" s="117"/>
      <c r="B8" s="120"/>
      <c r="C8" s="129"/>
      <c r="D8" s="129"/>
      <c r="E8" s="129"/>
      <c r="F8" s="129"/>
      <c r="G8" s="132"/>
      <c r="H8" s="132"/>
      <c r="I8" s="120"/>
      <c r="J8" s="120"/>
      <c r="K8" s="120"/>
      <c r="L8" s="120"/>
      <c r="M8" s="131"/>
      <c r="N8" s="131"/>
      <c r="O8" s="133" t="s">
        <v>2265</v>
      </c>
      <c r="P8" s="134"/>
      <c r="Q8" s="135" t="s">
        <v>2339</v>
      </c>
      <c r="R8" s="117"/>
      <c r="S8" s="54"/>
      <c r="T8" s="117"/>
      <c r="U8" s="117"/>
      <c r="V8" s="117"/>
      <c r="W8" s="117"/>
      <c r="X8" s="117"/>
      <c r="Y8" s="117"/>
      <c r="Z8" s="117"/>
      <c r="AA8" s="117"/>
      <c r="AB8" s="117"/>
      <c r="AC8" s="117"/>
      <c r="AD8" s="117"/>
    </row>
    <row r="9" spans="1:30" ht="51">
      <c r="A9" s="136"/>
      <c r="B9" s="137" t="s">
        <v>2267</v>
      </c>
      <c r="C9" s="138" t="s">
        <v>2225</v>
      </c>
      <c r="D9" s="138" t="s">
        <v>2268</v>
      </c>
      <c r="E9" s="138" t="s">
        <v>2269</v>
      </c>
      <c r="F9" s="139" t="s">
        <v>2270</v>
      </c>
      <c r="G9" s="140" t="s">
        <v>2271</v>
      </c>
      <c r="H9" s="140" t="s">
        <v>2272</v>
      </c>
      <c r="I9" s="140" t="s">
        <v>2273</v>
      </c>
      <c r="J9" s="140" t="s">
        <v>2274</v>
      </c>
      <c r="K9" s="141" t="s">
        <v>2275</v>
      </c>
      <c r="L9" s="141" t="s">
        <v>2276</v>
      </c>
      <c r="M9" s="141" t="s">
        <v>2277</v>
      </c>
      <c r="N9" s="141" t="s">
        <v>2278</v>
      </c>
      <c r="O9" s="142" t="s">
        <v>2279</v>
      </c>
      <c r="P9" s="140" t="s">
        <v>2272</v>
      </c>
      <c r="Q9" s="143">
        <v>1</v>
      </c>
      <c r="R9" s="136"/>
      <c r="S9" s="136"/>
      <c r="T9" s="136"/>
      <c r="U9" s="136"/>
      <c r="V9" s="136"/>
      <c r="W9" s="136"/>
      <c r="X9" s="136"/>
      <c r="Y9" s="136"/>
      <c r="Z9" s="136"/>
      <c r="AA9" s="136"/>
      <c r="AB9" s="136"/>
      <c r="AC9" s="136"/>
      <c r="AD9" s="136"/>
    </row>
    <row r="10" spans="1:30">
      <c r="A10" s="144"/>
      <c r="B10" s="170">
        <v>220.501</v>
      </c>
      <c r="C10" s="145" t="s">
        <v>2335</v>
      </c>
      <c r="D10" s="145">
        <v>100</v>
      </c>
      <c r="E10" s="163" t="str">
        <f>CONCATENATE("1FE1CL3",MID(F10,9,3),IF(MID(F10,13,1)="",0,MID(F10,13,1)),IF(MID(F10,14,1)="",0,MID(F10,14,1)),G10)</f>
        <v>1FE1CL300000H</v>
      </c>
      <c r="F10" s="80" t="s">
        <v>2287</v>
      </c>
      <c r="G10" s="162" t="s">
        <v>2424</v>
      </c>
      <c r="H10" s="145" t="s">
        <v>2288</v>
      </c>
      <c r="I10" s="146"/>
      <c r="J10" s="146"/>
      <c r="K10" s="147"/>
      <c r="L10" s="147"/>
      <c r="M10" s="148"/>
      <c r="N10" s="147"/>
      <c r="O10" s="149"/>
      <c r="P10" s="149"/>
      <c r="Q10" s="150" t="s">
        <v>2250</v>
      </c>
      <c r="R10" s="151"/>
      <c r="S10" s="151"/>
      <c r="T10" s="151"/>
      <c r="U10" s="151"/>
      <c r="V10" s="151"/>
      <c r="W10" s="151"/>
      <c r="X10" s="151"/>
      <c r="Y10" s="151"/>
      <c r="Z10" s="151"/>
      <c r="AA10" s="151"/>
      <c r="AB10" s="151"/>
      <c r="AC10" s="151"/>
      <c r="AD10" s="151"/>
    </row>
    <row r="14" spans="1:30">
      <c r="D14" s="10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FF00"/>
  </sheetPr>
  <dimension ref="A1:AF36"/>
  <sheetViews>
    <sheetView topLeftCell="T1" workbookViewId="0">
      <selection activeCell="R37" sqref="R37"/>
    </sheetView>
  </sheetViews>
  <sheetFormatPr baseColWidth="10" defaultRowHeight="15"/>
  <sheetData>
    <row r="1" spans="1:32" ht="91.5" thickBot="1">
      <c r="A1" s="241" t="s">
        <v>2437</v>
      </c>
      <c r="B1" s="241" t="s">
        <v>2438</v>
      </c>
      <c r="C1" s="242" t="s">
        <v>2439</v>
      </c>
      <c r="D1" s="243" t="s">
        <v>2440</v>
      </c>
      <c r="E1" s="241" t="s">
        <v>2441</v>
      </c>
      <c r="F1" s="244" t="s">
        <v>2442</v>
      </c>
      <c r="G1" s="245" t="s">
        <v>2443</v>
      </c>
      <c r="H1" s="244" t="s">
        <v>2444</v>
      </c>
      <c r="I1" s="246" t="s">
        <v>2443</v>
      </c>
      <c r="J1" s="247" t="s">
        <v>2445</v>
      </c>
      <c r="K1" s="248" t="s">
        <v>2446</v>
      </c>
      <c r="L1" s="249" t="s">
        <v>2447</v>
      </c>
      <c r="M1" s="250" t="s">
        <v>2089</v>
      </c>
      <c r="N1" s="251" t="s">
        <v>2448</v>
      </c>
      <c r="O1" s="252" t="s">
        <v>2449</v>
      </c>
      <c r="P1" s="253" t="s">
        <v>2450</v>
      </c>
      <c r="Q1" s="253" t="s">
        <v>2451</v>
      </c>
      <c r="R1" s="253" t="s">
        <v>2452</v>
      </c>
      <c r="S1" s="254" t="s">
        <v>2453</v>
      </c>
      <c r="T1" s="253" t="s">
        <v>2454</v>
      </c>
      <c r="U1" s="255" t="s">
        <v>2455</v>
      </c>
      <c r="V1" s="255" t="s">
        <v>2456</v>
      </c>
      <c r="W1" s="256" t="s">
        <v>2457</v>
      </c>
      <c r="X1" s="257" t="s">
        <v>2458</v>
      </c>
      <c r="Y1" s="248" t="s">
        <v>2459</v>
      </c>
      <c r="Z1" s="248" t="s">
        <v>2460</v>
      </c>
      <c r="AA1" s="248" t="s">
        <v>2461</v>
      </c>
      <c r="AB1" s="258" t="s">
        <v>2462</v>
      </c>
      <c r="AC1" s="258" t="s">
        <v>2463</v>
      </c>
      <c r="AD1" s="258" t="s">
        <v>2194</v>
      </c>
      <c r="AE1" s="258" t="s">
        <v>2185</v>
      </c>
      <c r="AF1" s="259" t="s">
        <v>2464</v>
      </c>
    </row>
    <row r="2" spans="1:32" ht="114.75">
      <c r="A2" s="260"/>
      <c r="B2" s="260"/>
      <c r="C2" s="261"/>
      <c r="D2" s="262"/>
      <c r="E2" s="263"/>
      <c r="F2" s="264"/>
      <c r="G2" s="265"/>
      <c r="H2" s="264"/>
      <c r="I2" s="266"/>
      <c r="J2" s="267"/>
      <c r="K2" s="268"/>
      <c r="L2" s="269"/>
      <c r="M2" s="270"/>
      <c r="N2" s="271"/>
      <c r="O2" s="272"/>
      <c r="P2" s="273"/>
      <c r="Q2" s="274"/>
      <c r="R2" s="274"/>
      <c r="S2" s="275" t="s">
        <v>2465</v>
      </c>
      <c r="T2" s="276"/>
      <c r="U2" s="274"/>
      <c r="V2" s="274"/>
      <c r="W2" s="277"/>
      <c r="X2" s="277"/>
      <c r="Y2" s="268"/>
      <c r="Z2" s="268"/>
      <c r="AA2" s="268"/>
      <c r="AB2" s="278"/>
      <c r="AC2" s="278"/>
      <c r="AD2" s="278"/>
      <c r="AE2" s="278"/>
      <c r="AF2" s="279"/>
    </row>
    <row r="3" spans="1:32" ht="18">
      <c r="A3" s="280"/>
      <c r="B3" s="280"/>
      <c r="C3" s="280"/>
      <c r="D3" s="281"/>
      <c r="E3" s="282"/>
      <c r="F3" s="280"/>
      <c r="G3" s="282"/>
      <c r="H3" s="280"/>
      <c r="I3" s="281"/>
      <c r="J3" s="283"/>
      <c r="K3" s="280"/>
      <c r="L3" s="280"/>
      <c r="M3" s="284"/>
      <c r="N3" s="285"/>
      <c r="O3" s="285"/>
      <c r="P3" s="286"/>
      <c r="Q3" s="286"/>
      <c r="R3" s="286"/>
      <c r="S3" s="287">
        <v>2107</v>
      </c>
      <c r="T3" s="286"/>
      <c r="U3" s="288"/>
      <c r="V3" s="288"/>
      <c r="W3" s="289"/>
      <c r="X3" s="289"/>
      <c r="Y3" s="280"/>
      <c r="Z3" s="280"/>
      <c r="AA3" s="280"/>
      <c r="AB3" s="280"/>
      <c r="AC3" s="280"/>
      <c r="AD3" s="280"/>
      <c r="AE3" s="280"/>
      <c r="AF3" s="290"/>
    </row>
    <row r="4" spans="1:32">
      <c r="A4" s="293" t="s">
        <v>2249</v>
      </c>
      <c r="B4" s="293" t="s">
        <v>0</v>
      </c>
      <c r="C4" s="293"/>
      <c r="D4" s="294" t="s">
        <v>958</v>
      </c>
      <c r="E4" s="293" t="s">
        <v>2471</v>
      </c>
      <c r="F4" s="293" t="s">
        <v>2</v>
      </c>
      <c r="G4" s="293"/>
      <c r="H4" s="293" t="s">
        <v>2466</v>
      </c>
      <c r="I4" s="295">
        <v>0</v>
      </c>
      <c r="J4" s="294" t="s">
        <v>2424</v>
      </c>
      <c r="K4" s="293"/>
      <c r="L4" s="293" t="s">
        <v>3</v>
      </c>
      <c r="M4" s="293" t="s">
        <v>2469</v>
      </c>
      <c r="N4" s="293">
        <v>2107</v>
      </c>
      <c r="O4" s="293"/>
      <c r="P4" s="293"/>
      <c r="Q4" s="293" t="s">
        <v>2</v>
      </c>
      <c r="R4" s="293" t="s">
        <v>2472</v>
      </c>
      <c r="S4" s="296" t="str">
        <f t="shared" ref="S4:S28" si="0">IF(N4="-","KEIN LIEFERUMFANG",IF(AND(N4&lt;=S$3,O4=""),"AKTUELL",IF(O4=N4-1,"KEIN SERIENEINSATZ",IF(N4&gt;S$3,"NOCH NICHT AKTUELL",IF(AND(N4&lt;S$3,O4&lt;S$3),"NICHT AKTUELL",IF(N4&lt;=S$3,"AKTUELL"))))))</f>
        <v>AKTUELL</v>
      </c>
      <c r="T4" s="293"/>
      <c r="U4" s="293"/>
      <c r="V4" s="293"/>
      <c r="W4" s="293" t="s">
        <v>2467</v>
      </c>
      <c r="X4" s="293"/>
      <c r="Y4" s="293" t="s">
        <v>958</v>
      </c>
      <c r="Z4" s="293" t="s">
        <v>958</v>
      </c>
      <c r="AA4" s="293" t="s">
        <v>19</v>
      </c>
      <c r="AB4" s="293" t="s">
        <v>2468</v>
      </c>
      <c r="AC4" s="293" t="s">
        <v>2290</v>
      </c>
      <c r="AD4" s="293" t="s">
        <v>2316</v>
      </c>
      <c r="AE4" s="293" t="s">
        <v>2351</v>
      </c>
      <c r="AF4" s="297"/>
    </row>
    <row r="5" spans="1:32">
      <c r="A5" s="33" t="s">
        <v>2249</v>
      </c>
      <c r="B5" s="33" t="s">
        <v>392</v>
      </c>
      <c r="C5" s="33"/>
      <c r="D5" s="31" t="s">
        <v>958</v>
      </c>
      <c r="E5" s="33"/>
      <c r="F5" s="33" t="s">
        <v>393</v>
      </c>
      <c r="G5" s="33"/>
      <c r="H5" s="33" t="s">
        <v>2473</v>
      </c>
      <c r="I5" s="291">
        <v>0</v>
      </c>
      <c r="J5" s="31" t="s">
        <v>2323</v>
      </c>
      <c r="K5" s="33"/>
      <c r="L5" s="33" t="s">
        <v>2475</v>
      </c>
      <c r="M5" s="33" t="s">
        <v>2476</v>
      </c>
      <c r="N5" s="33">
        <v>2015</v>
      </c>
      <c r="O5" s="33"/>
      <c r="P5" s="33"/>
      <c r="Q5" s="33" t="s">
        <v>393</v>
      </c>
      <c r="R5" s="33" t="s">
        <v>2477</v>
      </c>
      <c r="S5" s="298" t="str">
        <f t="shared" si="0"/>
        <v>AKTUELL</v>
      </c>
      <c r="T5" s="33"/>
      <c r="U5" s="33"/>
      <c r="V5" s="33"/>
      <c r="W5" s="33" t="s">
        <v>2474</v>
      </c>
      <c r="X5" s="33"/>
      <c r="Y5" s="33" t="s">
        <v>19</v>
      </c>
      <c r="Z5" s="33" t="s">
        <v>958</v>
      </c>
      <c r="AA5" s="33" t="s">
        <v>19</v>
      </c>
      <c r="AB5" s="33"/>
      <c r="AC5" s="33"/>
      <c r="AD5" s="33"/>
      <c r="AE5" s="33"/>
      <c r="AF5" s="292"/>
    </row>
    <row r="6" spans="1:32">
      <c r="A6" s="33" t="s">
        <v>2249</v>
      </c>
      <c r="B6" s="33" t="s">
        <v>392</v>
      </c>
      <c r="C6" s="33"/>
      <c r="D6" s="31" t="s">
        <v>958</v>
      </c>
      <c r="E6" s="33"/>
      <c r="F6" s="33" t="s">
        <v>393</v>
      </c>
      <c r="G6" s="33" t="s">
        <v>2182</v>
      </c>
      <c r="H6" s="33" t="s">
        <v>2473</v>
      </c>
      <c r="I6" s="31" t="s">
        <v>2478</v>
      </c>
      <c r="J6" s="31" t="s">
        <v>2323</v>
      </c>
      <c r="K6" s="33"/>
      <c r="L6" s="33" t="s">
        <v>2479</v>
      </c>
      <c r="M6" s="33" t="s">
        <v>2476</v>
      </c>
      <c r="N6" s="33">
        <v>2015</v>
      </c>
      <c r="O6" s="33"/>
      <c r="P6" s="33"/>
      <c r="Q6" s="33" t="s">
        <v>396</v>
      </c>
      <c r="R6" s="33" t="s">
        <v>2480</v>
      </c>
      <c r="S6" s="298" t="str">
        <f t="shared" si="0"/>
        <v>AKTUELL</v>
      </c>
      <c r="T6" s="33"/>
      <c r="U6" s="33"/>
      <c r="V6" s="33"/>
      <c r="W6" s="33" t="s">
        <v>2474</v>
      </c>
      <c r="X6" s="33"/>
      <c r="Y6" s="33" t="s">
        <v>19</v>
      </c>
      <c r="Z6" s="33" t="s">
        <v>958</v>
      </c>
      <c r="AA6" s="33" t="s">
        <v>19</v>
      </c>
      <c r="AB6" s="33"/>
      <c r="AC6" s="33"/>
      <c r="AD6" s="33"/>
      <c r="AE6" s="33"/>
      <c r="AF6" s="292"/>
    </row>
    <row r="7" spans="1:32">
      <c r="A7" s="33" t="s">
        <v>2249</v>
      </c>
      <c r="B7" s="33" t="s">
        <v>392</v>
      </c>
      <c r="C7" s="33"/>
      <c r="D7" s="31" t="s">
        <v>958</v>
      </c>
      <c r="E7" s="33"/>
      <c r="F7" s="33" t="s">
        <v>393</v>
      </c>
      <c r="G7" s="33" t="s">
        <v>2323</v>
      </c>
      <c r="H7" s="33" t="s">
        <v>2473</v>
      </c>
      <c r="I7" s="31" t="s">
        <v>2481</v>
      </c>
      <c r="J7" s="31" t="s">
        <v>2323</v>
      </c>
      <c r="K7" s="33"/>
      <c r="L7" s="33" t="s">
        <v>2483</v>
      </c>
      <c r="M7" s="33" t="s">
        <v>2476</v>
      </c>
      <c r="N7" s="33">
        <v>2015</v>
      </c>
      <c r="O7" s="33"/>
      <c r="P7" s="33"/>
      <c r="Q7" s="33" t="s">
        <v>400</v>
      </c>
      <c r="R7" s="33" t="s">
        <v>2484</v>
      </c>
      <c r="S7" s="298" t="str">
        <f t="shared" si="0"/>
        <v>AKTUELL</v>
      </c>
      <c r="T7" s="33"/>
      <c r="U7" s="33"/>
      <c r="V7" s="33"/>
      <c r="W7" s="33" t="s">
        <v>2482</v>
      </c>
      <c r="X7" s="33"/>
      <c r="Y7" s="33" t="s">
        <v>19</v>
      </c>
      <c r="Z7" s="33" t="s">
        <v>958</v>
      </c>
      <c r="AA7" s="33" t="s">
        <v>19</v>
      </c>
      <c r="AB7" s="33"/>
      <c r="AC7" s="33"/>
      <c r="AD7" s="33"/>
      <c r="AE7" s="33"/>
      <c r="AF7" s="292"/>
    </row>
    <row r="8" spans="1:32">
      <c r="A8" s="293" t="s">
        <v>2249</v>
      </c>
      <c r="B8" s="293" t="s">
        <v>518</v>
      </c>
      <c r="C8" s="293"/>
      <c r="D8" s="294"/>
      <c r="E8" s="293"/>
      <c r="F8" s="293" t="s">
        <v>519</v>
      </c>
      <c r="G8" s="293"/>
      <c r="H8" s="293" t="s">
        <v>2485</v>
      </c>
      <c r="I8" s="295">
        <v>0</v>
      </c>
      <c r="J8" s="294" t="s">
        <v>2189</v>
      </c>
      <c r="K8" s="293"/>
      <c r="L8" s="293" t="s">
        <v>520</v>
      </c>
      <c r="M8" s="293"/>
      <c r="N8" s="293">
        <v>1939</v>
      </c>
      <c r="O8" s="293"/>
      <c r="P8" s="293"/>
      <c r="Q8" s="293" t="s">
        <v>519</v>
      </c>
      <c r="R8" s="293" t="s">
        <v>2486</v>
      </c>
      <c r="S8" s="296" t="str">
        <f t="shared" si="0"/>
        <v>AKTUELL</v>
      </c>
      <c r="T8" s="293"/>
      <c r="U8" s="293"/>
      <c r="V8" s="293"/>
      <c r="W8" s="293" t="s">
        <v>2487</v>
      </c>
      <c r="X8" s="293"/>
      <c r="Y8" s="293" t="s">
        <v>19</v>
      </c>
      <c r="Z8" s="293" t="s">
        <v>958</v>
      </c>
      <c r="AA8" s="293" t="s">
        <v>19</v>
      </c>
      <c r="AB8" s="293"/>
      <c r="AC8" s="293"/>
      <c r="AD8" s="293"/>
      <c r="AE8" s="293"/>
      <c r="AF8" s="297"/>
    </row>
    <row r="9" spans="1:32">
      <c r="A9" s="33" t="s">
        <v>2249</v>
      </c>
      <c r="B9" s="33" t="s">
        <v>540</v>
      </c>
      <c r="C9" s="33"/>
      <c r="D9" s="31" t="s">
        <v>958</v>
      </c>
      <c r="E9" s="33"/>
      <c r="F9" s="33" t="s">
        <v>541</v>
      </c>
      <c r="G9" s="33"/>
      <c r="H9" s="33" t="s">
        <v>2488</v>
      </c>
      <c r="I9" s="291">
        <v>0</v>
      </c>
      <c r="J9" s="31" t="s">
        <v>2323</v>
      </c>
      <c r="K9" s="33"/>
      <c r="L9" s="33" t="s">
        <v>2490</v>
      </c>
      <c r="M9" s="33" t="s">
        <v>2491</v>
      </c>
      <c r="N9" s="33">
        <v>2015</v>
      </c>
      <c r="O9" s="33"/>
      <c r="P9" s="33"/>
      <c r="Q9" s="33" t="s">
        <v>541</v>
      </c>
      <c r="R9" s="33" t="s">
        <v>2492</v>
      </c>
      <c r="S9" s="298" t="str">
        <f t="shared" si="0"/>
        <v>AKTUELL</v>
      </c>
      <c r="T9" s="33"/>
      <c r="U9" s="33"/>
      <c r="V9" s="33"/>
      <c r="W9" s="33" t="s">
        <v>2489</v>
      </c>
      <c r="X9" s="33"/>
      <c r="Y9" s="33" t="s">
        <v>19</v>
      </c>
      <c r="Z9" s="33" t="s">
        <v>958</v>
      </c>
      <c r="AA9" s="33" t="s">
        <v>19</v>
      </c>
      <c r="AB9" s="33"/>
      <c r="AC9" s="33"/>
      <c r="AD9" s="33"/>
      <c r="AE9" s="33"/>
      <c r="AF9" s="292"/>
    </row>
    <row r="10" spans="1:32">
      <c r="A10" s="33" t="s">
        <v>2249</v>
      </c>
      <c r="B10" s="33" t="s">
        <v>540</v>
      </c>
      <c r="C10" s="33"/>
      <c r="D10" s="31" t="s">
        <v>958</v>
      </c>
      <c r="E10" s="33"/>
      <c r="F10" s="33" t="s">
        <v>541</v>
      </c>
      <c r="G10" s="33" t="s">
        <v>2182</v>
      </c>
      <c r="H10" s="33" t="s">
        <v>2488</v>
      </c>
      <c r="I10" s="31" t="s">
        <v>2478</v>
      </c>
      <c r="J10" s="31" t="s">
        <v>2323</v>
      </c>
      <c r="K10" s="33"/>
      <c r="L10" s="33" t="s">
        <v>2494</v>
      </c>
      <c r="M10" s="33" t="s">
        <v>2491</v>
      </c>
      <c r="N10" s="33">
        <v>2015</v>
      </c>
      <c r="O10" s="33"/>
      <c r="P10" s="33"/>
      <c r="Q10" s="33" t="s">
        <v>544</v>
      </c>
      <c r="R10" s="33" t="s">
        <v>2495</v>
      </c>
      <c r="S10" s="298" t="str">
        <f t="shared" si="0"/>
        <v>AKTUELL</v>
      </c>
      <c r="T10" s="33"/>
      <c r="U10" s="33"/>
      <c r="V10" s="33"/>
      <c r="W10" s="33" t="s">
        <v>2493</v>
      </c>
      <c r="X10" s="33"/>
      <c r="Y10" s="33" t="s">
        <v>19</v>
      </c>
      <c r="Z10" s="33" t="s">
        <v>958</v>
      </c>
      <c r="AA10" s="33" t="s">
        <v>19</v>
      </c>
      <c r="AB10" s="33"/>
      <c r="AC10" s="33"/>
      <c r="AD10" s="33"/>
      <c r="AE10" s="33"/>
      <c r="AF10" s="292"/>
    </row>
    <row r="11" spans="1:32">
      <c r="A11" s="293" t="s">
        <v>2249</v>
      </c>
      <c r="B11" s="293" t="s">
        <v>608</v>
      </c>
      <c r="C11" s="293"/>
      <c r="D11" s="294"/>
      <c r="E11" s="293">
        <v>2</v>
      </c>
      <c r="F11" s="293" t="s">
        <v>609</v>
      </c>
      <c r="G11" s="293"/>
      <c r="H11" s="293" t="s">
        <v>2496</v>
      </c>
      <c r="I11" s="295">
        <v>0</v>
      </c>
      <c r="J11" s="294" t="s">
        <v>2318</v>
      </c>
      <c r="K11" s="293"/>
      <c r="L11" s="293" t="s">
        <v>610</v>
      </c>
      <c r="M11" s="293"/>
      <c r="N11" s="293">
        <v>2012</v>
      </c>
      <c r="O11" s="293"/>
      <c r="P11" s="293"/>
      <c r="Q11" s="293" t="s">
        <v>609</v>
      </c>
      <c r="R11" s="293" t="s">
        <v>2498</v>
      </c>
      <c r="S11" s="296" t="str">
        <f t="shared" si="0"/>
        <v>AKTUELL</v>
      </c>
      <c r="T11" s="293"/>
      <c r="U11" s="293"/>
      <c r="V11" s="293"/>
      <c r="W11" s="293" t="s">
        <v>2497</v>
      </c>
      <c r="X11" s="293"/>
      <c r="Y11" s="293" t="s">
        <v>958</v>
      </c>
      <c r="Z11" s="293" t="s">
        <v>958</v>
      </c>
      <c r="AA11" s="293" t="s">
        <v>19</v>
      </c>
      <c r="AB11" s="293"/>
      <c r="AC11" s="293"/>
      <c r="AD11" s="293" t="s">
        <v>2319</v>
      </c>
      <c r="AE11" s="293"/>
      <c r="AF11" s="297"/>
    </row>
    <row r="12" spans="1:32">
      <c r="A12" s="293" t="s">
        <v>2249</v>
      </c>
      <c r="B12" s="293" t="s">
        <v>608</v>
      </c>
      <c r="C12" s="293"/>
      <c r="D12" s="294"/>
      <c r="E12" s="293">
        <v>2</v>
      </c>
      <c r="F12" s="293" t="s">
        <v>609</v>
      </c>
      <c r="G12" s="293" t="s">
        <v>2323</v>
      </c>
      <c r="H12" s="293" t="s">
        <v>2496</v>
      </c>
      <c r="I12" s="294" t="s">
        <v>2481</v>
      </c>
      <c r="J12" s="294" t="s">
        <v>2318</v>
      </c>
      <c r="K12" s="293"/>
      <c r="L12" s="293" t="s">
        <v>613</v>
      </c>
      <c r="M12" s="293"/>
      <c r="N12" s="293">
        <v>2012</v>
      </c>
      <c r="O12" s="293"/>
      <c r="P12" s="293"/>
      <c r="Q12" s="293" t="s">
        <v>612</v>
      </c>
      <c r="R12" s="293" t="s">
        <v>2500</v>
      </c>
      <c r="S12" s="296" t="str">
        <f t="shared" si="0"/>
        <v>AKTUELL</v>
      </c>
      <c r="T12" s="293"/>
      <c r="U12" s="293"/>
      <c r="V12" s="293"/>
      <c r="W12" s="293" t="s">
        <v>2499</v>
      </c>
      <c r="X12" s="293"/>
      <c r="Y12" s="293" t="s">
        <v>958</v>
      </c>
      <c r="Z12" s="293" t="s">
        <v>958</v>
      </c>
      <c r="AA12" s="293" t="s">
        <v>19</v>
      </c>
      <c r="AB12" s="293"/>
      <c r="AC12" s="293"/>
      <c r="AD12" s="293" t="s">
        <v>2319</v>
      </c>
      <c r="AE12" s="293"/>
      <c r="AF12" s="297"/>
    </row>
    <row r="13" spans="1:32">
      <c r="A13" s="293" t="s">
        <v>2249</v>
      </c>
      <c r="B13" s="293" t="s">
        <v>630</v>
      </c>
      <c r="C13" s="293"/>
      <c r="D13" s="294"/>
      <c r="E13" s="293"/>
      <c r="F13" s="293" t="s">
        <v>631</v>
      </c>
      <c r="G13" s="293"/>
      <c r="H13" s="293" t="s">
        <v>2501</v>
      </c>
      <c r="I13" s="295">
        <v>0</v>
      </c>
      <c r="J13" s="294" t="s">
        <v>2189</v>
      </c>
      <c r="K13" s="293"/>
      <c r="L13" s="293" t="s">
        <v>632</v>
      </c>
      <c r="M13" s="293"/>
      <c r="N13" s="293">
        <v>1939</v>
      </c>
      <c r="O13" s="293"/>
      <c r="P13" s="293"/>
      <c r="Q13" s="293" t="s">
        <v>631</v>
      </c>
      <c r="R13" s="293" t="s">
        <v>2502</v>
      </c>
      <c r="S13" s="296" t="str">
        <f t="shared" si="0"/>
        <v>AKTUELL</v>
      </c>
      <c r="T13" s="293"/>
      <c r="U13" s="293"/>
      <c r="V13" s="293"/>
      <c r="W13" s="293" t="s">
        <v>2503</v>
      </c>
      <c r="X13" s="293"/>
      <c r="Y13" s="293" t="s">
        <v>19</v>
      </c>
      <c r="Z13" s="293" t="s">
        <v>958</v>
      </c>
      <c r="AA13" s="293" t="s">
        <v>19</v>
      </c>
      <c r="AB13" s="293"/>
      <c r="AC13" s="293"/>
      <c r="AD13" s="293"/>
      <c r="AE13" s="293"/>
      <c r="AF13" s="297"/>
    </row>
    <row r="14" spans="1:32">
      <c r="A14" s="293" t="s">
        <v>2249</v>
      </c>
      <c r="B14" s="293" t="s">
        <v>636</v>
      </c>
      <c r="C14" s="293"/>
      <c r="D14" s="294"/>
      <c r="E14" s="293"/>
      <c r="F14" s="293" t="s">
        <v>637</v>
      </c>
      <c r="G14" s="293"/>
      <c r="H14" s="293" t="s">
        <v>2504</v>
      </c>
      <c r="I14" s="295">
        <v>0</v>
      </c>
      <c r="J14" s="294" t="s">
        <v>2189</v>
      </c>
      <c r="K14" s="293"/>
      <c r="L14" s="293" t="s">
        <v>638</v>
      </c>
      <c r="M14" s="293"/>
      <c r="N14" s="293">
        <v>1939</v>
      </c>
      <c r="O14" s="293"/>
      <c r="P14" s="293"/>
      <c r="Q14" s="293" t="s">
        <v>637</v>
      </c>
      <c r="R14" s="293" t="s">
        <v>2505</v>
      </c>
      <c r="S14" s="296" t="str">
        <f t="shared" si="0"/>
        <v>AKTUELL</v>
      </c>
      <c r="T14" s="293"/>
      <c r="U14" s="293"/>
      <c r="V14" s="293"/>
      <c r="W14" s="293" t="s">
        <v>2506</v>
      </c>
      <c r="X14" s="293"/>
      <c r="Y14" s="293" t="s">
        <v>19</v>
      </c>
      <c r="Z14" s="293" t="s">
        <v>958</v>
      </c>
      <c r="AA14" s="293" t="s">
        <v>19</v>
      </c>
      <c r="AB14" s="293"/>
      <c r="AC14" s="293"/>
      <c r="AD14" s="293"/>
      <c r="AE14" s="293"/>
      <c r="AF14" s="297"/>
    </row>
    <row r="15" spans="1:32">
      <c r="A15" s="293" t="s">
        <v>2249</v>
      </c>
      <c r="B15" s="293" t="s">
        <v>649</v>
      </c>
      <c r="C15" s="293"/>
      <c r="D15" s="294"/>
      <c r="E15" s="293"/>
      <c r="F15" s="293" t="s">
        <v>650</v>
      </c>
      <c r="G15" s="293"/>
      <c r="H15" s="293" t="s">
        <v>2507</v>
      </c>
      <c r="I15" s="295">
        <v>0</v>
      </c>
      <c r="J15" s="294" t="s">
        <v>2189</v>
      </c>
      <c r="K15" s="293"/>
      <c r="L15" s="293" t="s">
        <v>651</v>
      </c>
      <c r="M15" s="293"/>
      <c r="N15" s="293">
        <v>1939</v>
      </c>
      <c r="O15" s="293"/>
      <c r="P15" s="293"/>
      <c r="Q15" s="293" t="s">
        <v>650</v>
      </c>
      <c r="R15" s="293" t="s">
        <v>2508</v>
      </c>
      <c r="S15" s="296" t="str">
        <f t="shared" si="0"/>
        <v>AKTUELL</v>
      </c>
      <c r="T15" s="293"/>
      <c r="U15" s="293"/>
      <c r="V15" s="293"/>
      <c r="W15" s="293" t="s">
        <v>2509</v>
      </c>
      <c r="X15" s="293"/>
      <c r="Y15" s="293" t="s">
        <v>19</v>
      </c>
      <c r="Z15" s="293" t="s">
        <v>958</v>
      </c>
      <c r="AA15" s="293" t="s">
        <v>19</v>
      </c>
      <c r="AB15" s="293"/>
      <c r="AC15" s="293"/>
      <c r="AD15" s="293"/>
      <c r="AE15" s="293"/>
      <c r="AF15" s="297"/>
    </row>
    <row r="16" spans="1:32">
      <c r="A16" s="293" t="s">
        <v>2249</v>
      </c>
      <c r="B16" s="293" t="s">
        <v>649</v>
      </c>
      <c r="C16" s="293"/>
      <c r="D16" s="294"/>
      <c r="E16" s="293"/>
      <c r="F16" s="293" t="s">
        <v>650</v>
      </c>
      <c r="G16" s="293" t="s">
        <v>2182</v>
      </c>
      <c r="H16" s="293" t="s">
        <v>2507</v>
      </c>
      <c r="I16" s="294" t="s">
        <v>2478</v>
      </c>
      <c r="J16" s="294" t="s">
        <v>2189</v>
      </c>
      <c r="K16" s="293"/>
      <c r="L16" s="293" t="s">
        <v>654</v>
      </c>
      <c r="M16" s="293"/>
      <c r="N16" s="293">
        <v>1939</v>
      </c>
      <c r="O16" s="293"/>
      <c r="P16" s="293"/>
      <c r="Q16" s="293" t="s">
        <v>653</v>
      </c>
      <c r="R16" s="293" t="s">
        <v>2510</v>
      </c>
      <c r="S16" s="296" t="str">
        <f t="shared" si="0"/>
        <v>AKTUELL</v>
      </c>
      <c r="T16" s="293"/>
      <c r="U16" s="293"/>
      <c r="V16" s="293"/>
      <c r="W16" s="293" t="s">
        <v>2511</v>
      </c>
      <c r="X16" s="293"/>
      <c r="Y16" s="293" t="s">
        <v>19</v>
      </c>
      <c r="Z16" s="293" t="s">
        <v>958</v>
      </c>
      <c r="AA16" s="293" t="s">
        <v>19</v>
      </c>
      <c r="AB16" s="293"/>
      <c r="AC16" s="293"/>
      <c r="AD16" s="293"/>
      <c r="AE16" s="293"/>
      <c r="AF16" s="297"/>
    </row>
    <row r="17" spans="1:32">
      <c r="A17" s="293" t="s">
        <v>2249</v>
      </c>
      <c r="B17" s="293" t="s">
        <v>677</v>
      </c>
      <c r="C17" s="293"/>
      <c r="D17" s="294" t="s">
        <v>958</v>
      </c>
      <c r="E17" s="293">
        <v>2</v>
      </c>
      <c r="F17" s="293" t="s">
        <v>678</v>
      </c>
      <c r="G17" s="293"/>
      <c r="H17" s="293" t="s">
        <v>2512</v>
      </c>
      <c r="I17" s="295">
        <v>0</v>
      </c>
      <c r="J17" s="294" t="s">
        <v>2288</v>
      </c>
      <c r="K17" s="293"/>
      <c r="L17" s="293" t="s">
        <v>679</v>
      </c>
      <c r="M17" s="293"/>
      <c r="N17" s="293">
        <v>2021</v>
      </c>
      <c r="O17" s="293"/>
      <c r="P17" s="293"/>
      <c r="Q17" s="293" t="s">
        <v>678</v>
      </c>
      <c r="R17" s="293" t="s">
        <v>2514</v>
      </c>
      <c r="S17" s="296" t="str">
        <f t="shared" si="0"/>
        <v>AKTUELL</v>
      </c>
      <c r="T17" s="293"/>
      <c r="U17" s="293"/>
      <c r="V17" s="293"/>
      <c r="W17" s="293" t="s">
        <v>2513</v>
      </c>
      <c r="X17" s="293"/>
      <c r="Y17" s="293" t="s">
        <v>958</v>
      </c>
      <c r="Z17" s="293" t="s">
        <v>958</v>
      </c>
      <c r="AA17" s="293" t="s">
        <v>19</v>
      </c>
      <c r="AB17" s="293"/>
      <c r="AC17" s="293"/>
      <c r="AD17" s="293" t="s">
        <v>2321</v>
      </c>
      <c r="AE17" s="293"/>
      <c r="AF17" s="297"/>
    </row>
    <row r="18" spans="1:32">
      <c r="A18" s="293" t="s">
        <v>2249</v>
      </c>
      <c r="B18" s="293" t="s">
        <v>677</v>
      </c>
      <c r="C18" s="293"/>
      <c r="D18" s="294" t="s">
        <v>958</v>
      </c>
      <c r="E18" s="293">
        <v>2</v>
      </c>
      <c r="F18" s="293" t="s">
        <v>678</v>
      </c>
      <c r="G18" s="293" t="s">
        <v>2182</v>
      </c>
      <c r="H18" s="293" t="s">
        <v>2512</v>
      </c>
      <c r="I18" s="294" t="s">
        <v>2478</v>
      </c>
      <c r="J18" s="294" t="s">
        <v>2323</v>
      </c>
      <c r="K18" s="293"/>
      <c r="L18" s="293" t="s">
        <v>682</v>
      </c>
      <c r="M18" s="293"/>
      <c r="N18" s="293">
        <v>2021</v>
      </c>
      <c r="O18" s="293"/>
      <c r="P18" s="293"/>
      <c r="Q18" s="293" t="s">
        <v>681</v>
      </c>
      <c r="R18" s="293" t="s">
        <v>2516</v>
      </c>
      <c r="S18" s="296" t="str">
        <f t="shared" si="0"/>
        <v>AKTUELL</v>
      </c>
      <c r="T18" s="293"/>
      <c r="U18" s="293"/>
      <c r="V18" s="293"/>
      <c r="W18" s="293" t="s">
        <v>2515</v>
      </c>
      <c r="X18" s="293"/>
      <c r="Y18" s="293" t="s">
        <v>958</v>
      </c>
      <c r="Z18" s="293" t="s">
        <v>958</v>
      </c>
      <c r="AA18" s="293" t="s">
        <v>19</v>
      </c>
      <c r="AB18" s="293"/>
      <c r="AC18" s="293"/>
      <c r="AD18" s="293" t="s">
        <v>2324</v>
      </c>
      <c r="AE18" s="293"/>
      <c r="AF18" s="297"/>
    </row>
    <row r="19" spans="1:32">
      <c r="A19" s="33" t="s">
        <v>2249</v>
      </c>
      <c r="B19" s="33" t="s">
        <v>710</v>
      </c>
      <c r="C19" s="33"/>
      <c r="D19" s="31"/>
      <c r="E19" s="33"/>
      <c r="F19" s="33" t="s">
        <v>711</v>
      </c>
      <c r="G19" s="33"/>
      <c r="H19" s="33" t="s">
        <v>2517</v>
      </c>
      <c r="I19" s="291">
        <v>0</v>
      </c>
      <c r="J19" s="31" t="s">
        <v>2182</v>
      </c>
      <c r="K19" s="33"/>
      <c r="L19" s="33" t="s">
        <v>712</v>
      </c>
      <c r="M19" s="33"/>
      <c r="N19" s="33">
        <v>2028</v>
      </c>
      <c r="O19" s="33"/>
      <c r="P19" s="33"/>
      <c r="Q19" s="33" t="s">
        <v>711</v>
      </c>
      <c r="R19" s="33" t="s">
        <v>2519</v>
      </c>
      <c r="S19" s="298" t="str">
        <f t="shared" si="0"/>
        <v>AKTUELL</v>
      </c>
      <c r="T19" s="33"/>
      <c r="U19" s="33"/>
      <c r="V19" s="33"/>
      <c r="W19" s="33" t="s">
        <v>2518</v>
      </c>
      <c r="X19" s="33"/>
      <c r="Y19" s="33" t="s">
        <v>19</v>
      </c>
      <c r="Z19" s="33" t="s">
        <v>958</v>
      </c>
      <c r="AA19" s="33" t="s">
        <v>19</v>
      </c>
      <c r="AB19" s="33"/>
      <c r="AC19" s="33"/>
      <c r="AD19" s="33"/>
      <c r="AE19" s="33"/>
      <c r="AF19" s="292"/>
    </row>
    <row r="20" spans="1:32">
      <c r="A20" s="293" t="s">
        <v>2249</v>
      </c>
      <c r="B20" s="293" t="s">
        <v>735</v>
      </c>
      <c r="C20" s="293"/>
      <c r="D20" s="294" t="s">
        <v>958</v>
      </c>
      <c r="E20" s="293">
        <v>1</v>
      </c>
      <c r="F20" s="293" t="s">
        <v>736</v>
      </c>
      <c r="G20" s="293"/>
      <c r="H20" s="293" t="s">
        <v>2520</v>
      </c>
      <c r="I20" s="295">
        <v>0</v>
      </c>
      <c r="J20" s="294" t="s">
        <v>2189</v>
      </c>
      <c r="K20" s="293"/>
      <c r="L20" s="293" t="s">
        <v>737</v>
      </c>
      <c r="M20" s="293"/>
      <c r="N20" s="293">
        <v>1939</v>
      </c>
      <c r="O20" s="293"/>
      <c r="P20" s="293"/>
      <c r="Q20" s="293" t="s">
        <v>736</v>
      </c>
      <c r="R20" s="293" t="s">
        <v>2521</v>
      </c>
      <c r="S20" s="296" t="str">
        <f t="shared" si="0"/>
        <v>AKTUELL</v>
      </c>
      <c r="T20" s="293"/>
      <c r="U20" s="293"/>
      <c r="V20" s="293"/>
      <c r="W20" s="293" t="s">
        <v>2522</v>
      </c>
      <c r="X20" s="293"/>
      <c r="Y20" s="293" t="s">
        <v>958</v>
      </c>
      <c r="Z20" s="293" t="s">
        <v>958</v>
      </c>
      <c r="AA20" s="293" t="s">
        <v>19</v>
      </c>
      <c r="AB20" s="293"/>
      <c r="AC20" s="293" t="s">
        <v>2294</v>
      </c>
      <c r="AD20" s="293"/>
      <c r="AE20" s="293"/>
      <c r="AF20" s="297"/>
    </row>
    <row r="21" spans="1:32">
      <c r="A21" s="293" t="s">
        <v>2249</v>
      </c>
      <c r="B21" s="293" t="s">
        <v>735</v>
      </c>
      <c r="C21" s="293"/>
      <c r="D21" s="294" t="s">
        <v>958</v>
      </c>
      <c r="E21" s="293">
        <v>1</v>
      </c>
      <c r="F21" s="293" t="s">
        <v>736</v>
      </c>
      <c r="G21" s="293" t="s">
        <v>2182</v>
      </c>
      <c r="H21" s="293" t="s">
        <v>2520</v>
      </c>
      <c r="I21" s="294" t="s">
        <v>2478</v>
      </c>
      <c r="J21" s="294" t="s">
        <v>2182</v>
      </c>
      <c r="K21" s="293"/>
      <c r="L21" s="293" t="s">
        <v>739</v>
      </c>
      <c r="M21" s="293"/>
      <c r="N21" s="293">
        <v>2107</v>
      </c>
      <c r="O21" s="293"/>
      <c r="P21" s="293"/>
      <c r="Q21" s="293" t="s">
        <v>738</v>
      </c>
      <c r="R21" s="293" t="s">
        <v>2524</v>
      </c>
      <c r="S21" s="296" t="str">
        <f t="shared" si="0"/>
        <v>AKTUELL</v>
      </c>
      <c r="T21" s="293"/>
      <c r="U21" s="293"/>
      <c r="V21" s="293"/>
      <c r="W21" s="293" t="s">
        <v>2523</v>
      </c>
      <c r="X21" s="293"/>
      <c r="Y21" s="293" t="s">
        <v>958</v>
      </c>
      <c r="Z21" s="293" t="s">
        <v>958</v>
      </c>
      <c r="AA21" s="293" t="s">
        <v>19</v>
      </c>
      <c r="AB21" s="293"/>
      <c r="AC21" s="293" t="s">
        <v>2430</v>
      </c>
      <c r="AD21" s="293"/>
      <c r="AE21" s="293"/>
      <c r="AF21" s="297"/>
    </row>
    <row r="22" spans="1:32">
      <c r="A22" s="293" t="s">
        <v>2249</v>
      </c>
      <c r="B22" s="293" t="s">
        <v>735</v>
      </c>
      <c r="C22" s="293"/>
      <c r="D22" s="294" t="s">
        <v>958</v>
      </c>
      <c r="E22" s="293">
        <v>1</v>
      </c>
      <c r="F22" s="293" t="s">
        <v>736</v>
      </c>
      <c r="G22" s="293" t="s">
        <v>2288</v>
      </c>
      <c r="H22" s="293" t="s">
        <v>2520</v>
      </c>
      <c r="I22" s="294" t="s">
        <v>2525</v>
      </c>
      <c r="J22" s="294" t="s">
        <v>2182</v>
      </c>
      <c r="K22" s="293"/>
      <c r="L22" s="293" t="s">
        <v>742</v>
      </c>
      <c r="M22" s="293"/>
      <c r="N22" s="293">
        <v>2107</v>
      </c>
      <c r="O22" s="293"/>
      <c r="P22" s="293"/>
      <c r="Q22" s="293" t="s">
        <v>741</v>
      </c>
      <c r="R22" s="293" t="s">
        <v>2527</v>
      </c>
      <c r="S22" s="296" t="str">
        <f t="shared" si="0"/>
        <v>AKTUELL</v>
      </c>
      <c r="T22" s="293"/>
      <c r="U22" s="293"/>
      <c r="V22" s="293"/>
      <c r="W22" s="293" t="s">
        <v>2526</v>
      </c>
      <c r="X22" s="293"/>
      <c r="Y22" s="293" t="s">
        <v>958</v>
      </c>
      <c r="Z22" s="293" t="s">
        <v>958</v>
      </c>
      <c r="AA22" s="293" t="s">
        <v>19</v>
      </c>
      <c r="AB22" s="293"/>
      <c r="AC22" s="293" t="s">
        <v>2429</v>
      </c>
      <c r="AD22" s="293"/>
      <c r="AE22" s="293"/>
      <c r="AF22" s="297"/>
    </row>
    <row r="23" spans="1:32">
      <c r="A23" s="293" t="s">
        <v>2249</v>
      </c>
      <c r="B23" s="293" t="s">
        <v>735</v>
      </c>
      <c r="C23" s="293"/>
      <c r="D23" s="294" t="s">
        <v>958</v>
      </c>
      <c r="E23" s="293">
        <v>1</v>
      </c>
      <c r="F23" s="293" t="s">
        <v>736</v>
      </c>
      <c r="G23" s="293" t="s">
        <v>2470</v>
      </c>
      <c r="H23" s="293" t="s">
        <v>2520</v>
      </c>
      <c r="I23" s="294" t="s">
        <v>2528</v>
      </c>
      <c r="J23" s="294" t="s">
        <v>2182</v>
      </c>
      <c r="K23" s="293"/>
      <c r="L23" s="293" t="s">
        <v>745</v>
      </c>
      <c r="M23" s="293"/>
      <c r="N23" s="293">
        <v>2107</v>
      </c>
      <c r="O23" s="293"/>
      <c r="P23" s="293"/>
      <c r="Q23" s="293" t="s">
        <v>744</v>
      </c>
      <c r="R23" s="293" t="s">
        <v>2530</v>
      </c>
      <c r="S23" s="296" t="str">
        <f t="shared" si="0"/>
        <v>AKTUELL</v>
      </c>
      <c r="T23" s="293"/>
      <c r="U23" s="293"/>
      <c r="V23" s="293"/>
      <c r="W23" s="293" t="s">
        <v>2529</v>
      </c>
      <c r="X23" s="293"/>
      <c r="Y23" s="293" t="s">
        <v>958</v>
      </c>
      <c r="Z23" s="293" t="s">
        <v>958</v>
      </c>
      <c r="AA23" s="293" t="s">
        <v>19</v>
      </c>
      <c r="AB23" s="293"/>
      <c r="AC23" s="293" t="s">
        <v>2431</v>
      </c>
      <c r="AD23" s="293"/>
      <c r="AE23" s="293"/>
      <c r="AF23" s="297"/>
    </row>
    <row r="24" spans="1:32">
      <c r="A24" s="293" t="s">
        <v>2249</v>
      </c>
      <c r="B24" s="293" t="s">
        <v>735</v>
      </c>
      <c r="C24" s="293"/>
      <c r="D24" s="294" t="s">
        <v>958</v>
      </c>
      <c r="E24" s="293">
        <v>1</v>
      </c>
      <c r="F24" s="293" t="s">
        <v>736</v>
      </c>
      <c r="G24" s="293" t="s">
        <v>2424</v>
      </c>
      <c r="H24" s="293" t="s">
        <v>2520</v>
      </c>
      <c r="I24" s="294" t="s">
        <v>2531</v>
      </c>
      <c r="J24" s="294" t="s">
        <v>2189</v>
      </c>
      <c r="K24" s="293"/>
      <c r="L24" s="293" t="s">
        <v>748</v>
      </c>
      <c r="M24" s="293"/>
      <c r="N24" s="293">
        <v>2012</v>
      </c>
      <c r="O24" s="293"/>
      <c r="P24" s="293"/>
      <c r="Q24" s="293" t="s">
        <v>747</v>
      </c>
      <c r="R24" s="293" t="s">
        <v>2532</v>
      </c>
      <c r="S24" s="296" t="str">
        <f t="shared" si="0"/>
        <v>AKTUELL</v>
      </c>
      <c r="T24" s="293"/>
      <c r="U24" s="293"/>
      <c r="V24" s="293"/>
      <c r="W24" s="293" t="s">
        <v>2533</v>
      </c>
      <c r="X24" s="293"/>
      <c r="Y24" s="293" t="s">
        <v>958</v>
      </c>
      <c r="Z24" s="293" t="s">
        <v>958</v>
      </c>
      <c r="AA24" s="293" t="s">
        <v>19</v>
      </c>
      <c r="AB24" s="293"/>
      <c r="AC24" s="293" t="s">
        <v>2302</v>
      </c>
      <c r="AD24" s="293"/>
      <c r="AE24" s="293"/>
      <c r="AF24" s="297"/>
    </row>
    <row r="25" spans="1:32">
      <c r="A25" s="293" t="s">
        <v>2249</v>
      </c>
      <c r="B25" s="293" t="s">
        <v>735</v>
      </c>
      <c r="C25" s="293"/>
      <c r="D25" s="294" t="s">
        <v>958</v>
      </c>
      <c r="E25" s="293">
        <v>1</v>
      </c>
      <c r="F25" s="293" t="s">
        <v>736</v>
      </c>
      <c r="G25" s="293" t="s">
        <v>2534</v>
      </c>
      <c r="H25" s="293" t="s">
        <v>2520</v>
      </c>
      <c r="I25" s="294" t="s">
        <v>2535</v>
      </c>
      <c r="J25" s="294" t="s">
        <v>2189</v>
      </c>
      <c r="K25" s="293"/>
      <c r="L25" s="293" t="s">
        <v>751</v>
      </c>
      <c r="M25" s="293"/>
      <c r="N25" s="293">
        <v>2012</v>
      </c>
      <c r="O25" s="293"/>
      <c r="P25" s="293"/>
      <c r="Q25" s="293" t="s">
        <v>750</v>
      </c>
      <c r="R25" s="293" t="s">
        <v>2536</v>
      </c>
      <c r="S25" s="296" t="str">
        <f t="shared" si="0"/>
        <v>AKTUELL</v>
      </c>
      <c r="T25" s="293"/>
      <c r="U25" s="293"/>
      <c r="V25" s="293"/>
      <c r="W25" s="293" t="s">
        <v>2537</v>
      </c>
      <c r="X25" s="293"/>
      <c r="Y25" s="293" t="s">
        <v>958</v>
      </c>
      <c r="Z25" s="293" t="s">
        <v>958</v>
      </c>
      <c r="AA25" s="293" t="s">
        <v>19</v>
      </c>
      <c r="AB25" s="293"/>
      <c r="AC25" s="293" t="s">
        <v>2304</v>
      </c>
      <c r="AD25" s="293"/>
      <c r="AE25" s="293"/>
      <c r="AF25" s="297"/>
    </row>
    <row r="26" spans="1:32">
      <c r="A26" s="293" t="s">
        <v>2249</v>
      </c>
      <c r="B26" s="293" t="s">
        <v>855</v>
      </c>
      <c r="C26" s="293"/>
      <c r="D26" s="294" t="s">
        <v>2538</v>
      </c>
      <c r="E26" s="293"/>
      <c r="F26" s="293" t="s">
        <v>856</v>
      </c>
      <c r="G26" s="293"/>
      <c r="H26" s="293" t="s">
        <v>2539</v>
      </c>
      <c r="I26" s="295">
        <v>0</v>
      </c>
      <c r="J26" s="294" t="s">
        <v>2189</v>
      </c>
      <c r="K26" s="293"/>
      <c r="L26" s="293" t="s">
        <v>679</v>
      </c>
      <c r="M26" s="293"/>
      <c r="N26" s="293">
        <v>1939</v>
      </c>
      <c r="O26" s="293"/>
      <c r="P26" s="293"/>
      <c r="Q26" s="293" t="s">
        <v>856</v>
      </c>
      <c r="R26" s="293" t="s">
        <v>2540</v>
      </c>
      <c r="S26" s="296" t="str">
        <f t="shared" si="0"/>
        <v>AKTUELL</v>
      </c>
      <c r="T26" s="293"/>
      <c r="U26" s="293"/>
      <c r="V26" s="293"/>
      <c r="W26" s="293" t="s">
        <v>2513</v>
      </c>
      <c r="X26" s="293"/>
      <c r="Y26" s="293" t="s">
        <v>19</v>
      </c>
      <c r="Z26" s="293" t="s">
        <v>958</v>
      </c>
      <c r="AA26" s="293" t="s">
        <v>19</v>
      </c>
      <c r="AB26" s="293"/>
      <c r="AC26" s="293"/>
      <c r="AD26" s="293"/>
      <c r="AE26" s="293"/>
      <c r="AF26" s="297"/>
    </row>
    <row r="27" spans="1:32">
      <c r="A27" s="33" t="s">
        <v>2249</v>
      </c>
      <c r="B27" s="33" t="s">
        <v>858</v>
      </c>
      <c r="C27" s="33"/>
      <c r="D27" s="31" t="s">
        <v>958</v>
      </c>
      <c r="E27" s="33"/>
      <c r="F27" s="33" t="s">
        <v>859</v>
      </c>
      <c r="G27" s="33"/>
      <c r="H27" s="33" t="s">
        <v>2541</v>
      </c>
      <c r="I27" s="291">
        <v>0</v>
      </c>
      <c r="J27" s="31" t="s">
        <v>2182</v>
      </c>
      <c r="K27" s="33"/>
      <c r="L27" s="33" t="s">
        <v>2542</v>
      </c>
      <c r="M27" s="33"/>
      <c r="N27" s="33">
        <v>2015</v>
      </c>
      <c r="O27" s="33"/>
      <c r="P27" s="33"/>
      <c r="Q27" s="33" t="s">
        <v>859</v>
      </c>
      <c r="R27" s="33" t="s">
        <v>2543</v>
      </c>
      <c r="S27" s="298" t="str">
        <f t="shared" si="0"/>
        <v>AKTUELL</v>
      </c>
      <c r="T27" s="33"/>
      <c r="U27" s="33"/>
      <c r="V27" s="33"/>
      <c r="W27" s="33" t="s">
        <v>2467</v>
      </c>
      <c r="X27" s="33"/>
      <c r="Y27" s="33" t="s">
        <v>19</v>
      </c>
      <c r="Z27" s="33" t="s">
        <v>958</v>
      </c>
      <c r="AA27" s="33" t="s">
        <v>19</v>
      </c>
      <c r="AB27" s="33"/>
      <c r="AC27" s="33"/>
      <c r="AD27" s="33"/>
      <c r="AE27" s="33"/>
      <c r="AF27" s="292"/>
    </row>
    <row r="28" spans="1:32">
      <c r="A28" s="293" t="s">
        <v>2249</v>
      </c>
      <c r="B28" s="293" t="s">
        <v>877</v>
      </c>
      <c r="C28" s="293"/>
      <c r="D28" s="294" t="s">
        <v>958</v>
      </c>
      <c r="E28" s="293"/>
      <c r="F28" s="293" t="s">
        <v>878</v>
      </c>
      <c r="G28" s="293"/>
      <c r="H28" s="293" t="s">
        <v>2544</v>
      </c>
      <c r="I28" s="295">
        <v>0</v>
      </c>
      <c r="J28" s="294" t="s">
        <v>2189</v>
      </c>
      <c r="K28" s="293"/>
      <c r="L28" s="293" t="s">
        <v>3</v>
      </c>
      <c r="M28" s="293"/>
      <c r="N28" s="293">
        <v>1939</v>
      </c>
      <c r="O28" s="293"/>
      <c r="P28" s="293"/>
      <c r="Q28" s="293" t="s">
        <v>878</v>
      </c>
      <c r="R28" s="293" t="s">
        <v>2545</v>
      </c>
      <c r="S28" s="296" t="str">
        <f t="shared" si="0"/>
        <v>AKTUELL</v>
      </c>
      <c r="T28" s="293"/>
      <c r="U28" s="293"/>
      <c r="V28" s="293"/>
      <c r="W28" s="293" t="s">
        <v>2546</v>
      </c>
      <c r="X28" s="293"/>
      <c r="Y28" s="293" t="s">
        <v>19</v>
      </c>
      <c r="Z28" s="293" t="s">
        <v>958</v>
      </c>
      <c r="AA28" s="293" t="s">
        <v>19</v>
      </c>
      <c r="AB28" s="293"/>
      <c r="AC28" s="293"/>
      <c r="AD28" s="293"/>
      <c r="AE28" s="293"/>
      <c r="AF28" s="297"/>
    </row>
    <row r="29" spans="1:32">
      <c r="A29" s="293" t="s">
        <v>2249</v>
      </c>
      <c r="B29" s="293" t="s">
        <v>888</v>
      </c>
      <c r="C29" s="293"/>
      <c r="D29" s="294"/>
      <c r="E29" s="293">
        <v>3</v>
      </c>
      <c r="F29" s="293" t="s">
        <v>889</v>
      </c>
      <c r="G29" s="293"/>
      <c r="H29" s="293" t="s">
        <v>2547</v>
      </c>
      <c r="I29" s="295">
        <v>0</v>
      </c>
      <c r="J29" s="294" t="s">
        <v>2182</v>
      </c>
      <c r="K29" s="293"/>
      <c r="L29" s="293" t="s">
        <v>890</v>
      </c>
      <c r="M29" s="293"/>
      <c r="N29" s="293">
        <v>2045</v>
      </c>
      <c r="O29" s="293"/>
      <c r="P29" s="293"/>
      <c r="Q29" s="293" t="s">
        <v>889</v>
      </c>
      <c r="R29" s="293" t="s">
        <v>2549</v>
      </c>
      <c r="S29" s="296" t="str">
        <f t="shared" ref="S29:S36" si="1">IF(N29="-","KEIN LIEFERUMFANG",IF(AND(N29&lt;=S$3,O29=""),"AKTUELL",IF(O29=N29-1,"KEIN SERIENEINSATZ",IF(N29&gt;S$3,"NOCH NICHT AKTUELL",IF(AND(N29&lt;S$3,O29&lt;S$3),"NICHT AKTUELL",IF(N29&lt;=S$3,"AKTUELL"))))))</f>
        <v>AKTUELL</v>
      </c>
      <c r="T29" s="293"/>
      <c r="U29" s="293"/>
      <c r="V29" s="293"/>
      <c r="W29" s="293" t="s">
        <v>2548</v>
      </c>
      <c r="X29" s="293"/>
      <c r="Y29" s="293" t="s">
        <v>958</v>
      </c>
      <c r="Z29" s="293" t="s">
        <v>958</v>
      </c>
      <c r="AA29" s="293" t="s">
        <v>19</v>
      </c>
      <c r="AB29" s="293"/>
      <c r="AC29" s="293"/>
      <c r="AD29" s="293"/>
      <c r="AE29" s="293" t="s">
        <v>2346</v>
      </c>
      <c r="AF29" s="297"/>
    </row>
    <row r="30" spans="1:32">
      <c r="A30" s="293" t="s">
        <v>2249</v>
      </c>
      <c r="B30" s="293" t="s">
        <v>901</v>
      </c>
      <c r="C30" s="293"/>
      <c r="D30" s="294"/>
      <c r="E30" s="293"/>
      <c r="F30" s="293" t="s">
        <v>902</v>
      </c>
      <c r="G30" s="293"/>
      <c r="H30" s="293" t="s">
        <v>2550</v>
      </c>
      <c r="I30" s="295">
        <v>0</v>
      </c>
      <c r="J30" s="294" t="s">
        <v>2189</v>
      </c>
      <c r="K30" s="293"/>
      <c r="L30" s="293" t="s">
        <v>903</v>
      </c>
      <c r="M30" s="293"/>
      <c r="N30" s="293">
        <v>1939</v>
      </c>
      <c r="O30" s="293"/>
      <c r="P30" s="293"/>
      <c r="Q30" s="293" t="s">
        <v>902</v>
      </c>
      <c r="R30" s="293" t="s">
        <v>2551</v>
      </c>
      <c r="S30" s="296" t="str">
        <f t="shared" si="1"/>
        <v>AKTUELL</v>
      </c>
      <c r="T30" s="293"/>
      <c r="U30" s="293"/>
      <c r="V30" s="293"/>
      <c r="W30" s="293" t="s">
        <v>2552</v>
      </c>
      <c r="X30" s="293"/>
      <c r="Y30" s="293" t="s">
        <v>19</v>
      </c>
      <c r="Z30" s="293" t="s">
        <v>958</v>
      </c>
      <c r="AA30" s="293" t="s">
        <v>19</v>
      </c>
      <c r="AB30" s="293"/>
      <c r="AC30" s="293"/>
      <c r="AD30" s="293"/>
      <c r="AE30" s="293"/>
      <c r="AF30" s="297"/>
    </row>
    <row r="31" spans="1:32">
      <c r="A31" s="293" t="s">
        <v>2249</v>
      </c>
      <c r="B31" s="293" t="s">
        <v>905</v>
      </c>
      <c r="C31" s="293"/>
      <c r="D31" s="294" t="s">
        <v>958</v>
      </c>
      <c r="E31" s="293">
        <v>1</v>
      </c>
      <c r="F31" s="293" t="s">
        <v>906</v>
      </c>
      <c r="G31" s="293"/>
      <c r="H31" s="293" t="s">
        <v>2553</v>
      </c>
      <c r="I31" s="295">
        <v>0</v>
      </c>
      <c r="J31" s="294" t="s">
        <v>2189</v>
      </c>
      <c r="K31" s="293"/>
      <c r="L31" s="293" t="s">
        <v>3</v>
      </c>
      <c r="M31" s="293"/>
      <c r="N31" s="293">
        <v>1939</v>
      </c>
      <c r="O31" s="293"/>
      <c r="P31" s="293"/>
      <c r="Q31" s="293" t="s">
        <v>906</v>
      </c>
      <c r="R31" s="293" t="s">
        <v>2554</v>
      </c>
      <c r="S31" s="296" t="str">
        <f t="shared" si="1"/>
        <v>AKTUELL</v>
      </c>
      <c r="T31" s="293"/>
      <c r="U31" s="293"/>
      <c r="V31" s="293"/>
      <c r="W31" s="293" t="s">
        <v>2467</v>
      </c>
      <c r="X31" s="293"/>
      <c r="Y31" s="293" t="s">
        <v>958</v>
      </c>
      <c r="Z31" s="293" t="s">
        <v>958</v>
      </c>
      <c r="AA31" s="293" t="s">
        <v>19</v>
      </c>
      <c r="AB31" s="293"/>
      <c r="AC31" s="293" t="s">
        <v>2307</v>
      </c>
      <c r="AD31" s="293"/>
      <c r="AE31" s="293"/>
      <c r="AF31" s="297"/>
    </row>
    <row r="32" spans="1:32">
      <c r="A32" s="33" t="s">
        <v>2249</v>
      </c>
      <c r="B32" s="33" t="s">
        <v>928</v>
      </c>
      <c r="C32" s="33"/>
      <c r="D32" s="31" t="s">
        <v>958</v>
      </c>
      <c r="E32" s="33"/>
      <c r="F32" s="33" t="s">
        <v>929</v>
      </c>
      <c r="G32" s="33"/>
      <c r="H32" s="33" t="s">
        <v>2555</v>
      </c>
      <c r="I32" s="291">
        <v>0</v>
      </c>
      <c r="J32" s="31" t="s">
        <v>2318</v>
      </c>
      <c r="K32" s="33"/>
      <c r="L32" s="33" t="s">
        <v>2557</v>
      </c>
      <c r="M32" s="33"/>
      <c r="N32" s="33">
        <v>2045</v>
      </c>
      <c r="O32" s="33"/>
      <c r="P32" s="33"/>
      <c r="Q32" s="33" t="s">
        <v>929</v>
      </c>
      <c r="R32" s="33" t="s">
        <v>2558</v>
      </c>
      <c r="S32" s="298" t="str">
        <f t="shared" si="1"/>
        <v>AKTUELL</v>
      </c>
      <c r="T32" s="33"/>
      <c r="U32" s="33"/>
      <c r="V32" s="33"/>
      <c r="W32" s="33" t="s">
        <v>2556</v>
      </c>
      <c r="X32" s="33"/>
      <c r="Y32" s="33" t="s">
        <v>958</v>
      </c>
      <c r="Z32" s="33" t="s">
        <v>19</v>
      </c>
      <c r="AA32" s="33" t="s">
        <v>958</v>
      </c>
      <c r="AB32" s="33"/>
      <c r="AC32" s="33"/>
      <c r="AD32" s="33"/>
      <c r="AE32" s="33"/>
      <c r="AF32" s="292"/>
    </row>
    <row r="33" spans="1:32">
      <c r="A33" s="33" t="s">
        <v>2249</v>
      </c>
      <c r="B33" s="33" t="s">
        <v>928</v>
      </c>
      <c r="C33" s="33"/>
      <c r="D33" s="31" t="s">
        <v>958</v>
      </c>
      <c r="E33" s="33"/>
      <c r="F33" s="33" t="s">
        <v>929</v>
      </c>
      <c r="G33" s="33" t="s">
        <v>2182</v>
      </c>
      <c r="H33" s="33" t="s">
        <v>2555</v>
      </c>
      <c r="I33" s="31" t="s">
        <v>2478</v>
      </c>
      <c r="J33" s="31" t="s">
        <v>2182</v>
      </c>
      <c r="K33" s="33"/>
      <c r="L33" s="33" t="s">
        <v>2559</v>
      </c>
      <c r="M33" s="33"/>
      <c r="N33" s="33">
        <v>2015</v>
      </c>
      <c r="O33" s="33"/>
      <c r="P33" s="33"/>
      <c r="Q33" s="33" t="s">
        <v>931</v>
      </c>
      <c r="R33" s="33" t="s">
        <v>2560</v>
      </c>
      <c r="S33" s="298" t="str">
        <f t="shared" si="1"/>
        <v>AKTUELL</v>
      </c>
      <c r="T33" s="33"/>
      <c r="U33" s="33"/>
      <c r="V33" s="33"/>
      <c r="W33" s="33" t="s">
        <v>2526</v>
      </c>
      <c r="X33" s="33"/>
      <c r="Y33" s="33" t="s">
        <v>958</v>
      </c>
      <c r="Z33" s="33" t="s">
        <v>19</v>
      </c>
      <c r="AA33" s="33" t="s">
        <v>958</v>
      </c>
      <c r="AB33" s="33"/>
      <c r="AC33" s="33"/>
      <c r="AD33" s="33"/>
      <c r="AE33" s="33"/>
      <c r="AF33" s="292"/>
    </row>
    <row r="34" spans="1:32">
      <c r="A34" s="293" t="s">
        <v>2249</v>
      </c>
      <c r="B34" s="293" t="s">
        <v>1000</v>
      </c>
      <c r="C34" s="293"/>
      <c r="D34" s="294"/>
      <c r="E34" s="293">
        <v>1</v>
      </c>
      <c r="F34" s="293" t="s">
        <v>1001</v>
      </c>
      <c r="G34" s="293"/>
      <c r="H34" s="293" t="s">
        <v>2561</v>
      </c>
      <c r="I34" s="295">
        <v>0</v>
      </c>
      <c r="J34" s="294" t="s">
        <v>2189</v>
      </c>
      <c r="K34" s="293"/>
      <c r="L34" s="293" t="s">
        <v>1002</v>
      </c>
      <c r="M34" s="293"/>
      <c r="N34" s="293">
        <v>2028</v>
      </c>
      <c r="O34" s="293"/>
      <c r="P34" s="293"/>
      <c r="Q34" s="293" t="s">
        <v>1001</v>
      </c>
      <c r="R34" s="293" t="s">
        <v>2562</v>
      </c>
      <c r="S34" s="296" t="str">
        <f t="shared" si="1"/>
        <v>AKTUELL</v>
      </c>
      <c r="T34" s="293"/>
      <c r="U34" s="293"/>
      <c r="V34" s="293"/>
      <c r="W34" s="293" t="s">
        <v>2506</v>
      </c>
      <c r="X34" s="293"/>
      <c r="Y34" s="293" t="s">
        <v>958</v>
      </c>
      <c r="Z34" s="293" t="s">
        <v>19</v>
      </c>
      <c r="AA34" s="293" t="s">
        <v>19</v>
      </c>
      <c r="AB34" s="293"/>
      <c r="AC34" s="293" t="s">
        <v>2310</v>
      </c>
      <c r="AD34" s="293"/>
      <c r="AE34" s="293"/>
      <c r="AF34" s="297"/>
    </row>
    <row r="35" spans="1:32">
      <c r="A35" s="33" t="s">
        <v>2249</v>
      </c>
      <c r="B35" s="33" t="s">
        <v>1014</v>
      </c>
      <c r="C35" s="33"/>
      <c r="D35" s="31" t="s">
        <v>958</v>
      </c>
      <c r="E35" s="33"/>
      <c r="F35" s="33" t="s">
        <v>1015</v>
      </c>
      <c r="G35" s="33"/>
      <c r="H35" s="33" t="s">
        <v>2563</v>
      </c>
      <c r="I35" s="291">
        <v>0</v>
      </c>
      <c r="J35" s="31" t="s">
        <v>2182</v>
      </c>
      <c r="K35" s="33"/>
      <c r="L35" s="33" t="s">
        <v>1019</v>
      </c>
      <c r="M35" s="33"/>
      <c r="N35" s="33">
        <v>2021</v>
      </c>
      <c r="O35" s="33"/>
      <c r="P35" s="33"/>
      <c r="Q35" s="33" t="s">
        <v>1015</v>
      </c>
      <c r="R35" s="33" t="s">
        <v>2565</v>
      </c>
      <c r="S35" s="298" t="str">
        <f t="shared" si="1"/>
        <v>AKTUELL</v>
      </c>
      <c r="T35" s="33"/>
      <c r="U35" s="33"/>
      <c r="V35" s="33"/>
      <c r="W35" s="33" t="s">
        <v>2564</v>
      </c>
      <c r="X35" s="33"/>
      <c r="Y35" s="33" t="s">
        <v>19</v>
      </c>
      <c r="Z35" s="33" t="s">
        <v>958</v>
      </c>
      <c r="AA35" s="33" t="s">
        <v>19</v>
      </c>
      <c r="AB35" s="33"/>
      <c r="AC35" s="33"/>
      <c r="AD35" s="33"/>
      <c r="AE35" s="33"/>
      <c r="AF35" s="292"/>
    </row>
    <row r="36" spans="1:32">
      <c r="A36" s="33" t="s">
        <v>2249</v>
      </c>
      <c r="B36" s="33" t="s">
        <v>1014</v>
      </c>
      <c r="C36" s="33"/>
      <c r="D36" s="31" t="s">
        <v>958</v>
      </c>
      <c r="E36" s="33"/>
      <c r="F36" s="33" t="s">
        <v>1015</v>
      </c>
      <c r="G36" s="33" t="s">
        <v>2182</v>
      </c>
      <c r="H36" s="33" t="s">
        <v>2563</v>
      </c>
      <c r="I36" s="31" t="s">
        <v>2478</v>
      </c>
      <c r="J36" s="31" t="s">
        <v>2323</v>
      </c>
      <c r="K36" s="33"/>
      <c r="L36" s="33" t="s">
        <v>2567</v>
      </c>
      <c r="M36" s="33" t="s">
        <v>2568</v>
      </c>
      <c r="N36" s="33">
        <v>2021</v>
      </c>
      <c r="O36" s="33"/>
      <c r="P36" s="33"/>
      <c r="Q36" s="33" t="s">
        <v>1018</v>
      </c>
      <c r="R36" s="33" t="s">
        <v>2569</v>
      </c>
      <c r="S36" s="298" t="str">
        <f t="shared" si="1"/>
        <v>AKTUELL</v>
      </c>
      <c r="T36" s="33"/>
      <c r="U36" s="33"/>
      <c r="V36" s="33"/>
      <c r="W36" s="33" t="s">
        <v>2566</v>
      </c>
      <c r="X36" s="33"/>
      <c r="Y36" s="33" t="s">
        <v>19</v>
      </c>
      <c r="Z36" s="33" t="s">
        <v>958</v>
      </c>
      <c r="AA36" s="33" t="s">
        <v>19</v>
      </c>
      <c r="AB36" s="33"/>
      <c r="AC36" s="33"/>
      <c r="AD36" s="33"/>
      <c r="AE36" s="33"/>
      <c r="AF36" s="292"/>
    </row>
  </sheetData>
  <conditionalFormatting sqref="S1:S2">
    <cfRule type="cellIs" dxfId="16" priority="37" operator="equal">
      <formula>"KEIN LIEFERUMFANG"</formula>
    </cfRule>
    <cfRule type="cellIs" dxfId="15" priority="38" stopIfTrue="1" operator="equal">
      <formula>"KEIN SERIENEINSATZ"</formula>
    </cfRule>
    <cfRule type="cellIs" dxfId="14" priority="39" stopIfTrue="1" operator="equal">
      <formula>"NICHT AKTUELL"</formula>
    </cfRule>
    <cfRule type="cellIs" dxfId="13" priority="40" stopIfTrue="1" operator="equal">
      <formula>"NOCH NICHT AKTUELL"</formula>
    </cfRule>
    <cfRule type="cellIs" dxfId="12" priority="41" stopIfTrue="1" operator="equal">
      <formula>"AKTUELL"</formula>
    </cfRule>
  </conditionalFormatting>
  <conditionalFormatting sqref="S1:S36">
    <cfRule type="cellIs" dxfId="11" priority="29" operator="equal">
      <formula>"KEIN SERIENEINSATZ"</formula>
    </cfRule>
    <cfRule type="cellIs" dxfId="10" priority="30" operator="equal">
      <formula>"NOCH NICHT AKTUELL"</formula>
    </cfRule>
    <cfRule type="cellIs" dxfId="9" priority="31" operator="equal">
      <formula>"NICHT AKTUELL"</formula>
    </cfRule>
    <cfRule type="cellIs" dxfId="8" priority="32" operator="equal">
      <formula>"AKTUELL"</formula>
    </cfRule>
    <cfRule type="cellIs" dxfId="7" priority="33" operator="equal">
      <formula>"KEIN SERIENEINSATZ"</formula>
    </cfRule>
    <cfRule type="cellIs" dxfId="6" priority="34" operator="equal">
      <formula>"NOCH NICHT AKTUELL"</formula>
    </cfRule>
    <cfRule type="cellIs" dxfId="5" priority="35" operator="equal">
      <formula>"NICHT AKTUELL"</formula>
    </cfRule>
    <cfRule type="cellIs" dxfId="4" priority="36" operator="equal">
      <formula>"AKTUELL"</formula>
    </cfRule>
  </conditionalFormatting>
  <conditionalFormatting sqref="S1:S36">
    <cfRule type="cellIs" dxfId="3" priority="9" operator="equal">
      <formula>"KEIN SERIENEINSATZ"</formula>
    </cfRule>
    <cfRule type="cellIs" dxfId="2" priority="10" operator="equal">
      <formula>"NOCH NICHT AKTUELL"</formula>
    </cfRule>
    <cfRule type="cellIs" dxfId="1" priority="11" operator="equal">
      <formula>"NICHT AKTUELL"</formula>
    </cfRule>
    <cfRule type="cellIs" dxfId="0" priority="12" operator="equal">
      <formula>"AKTUELL"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Anstat_FK</vt:lpstr>
      <vt:lpstr>PM_FK</vt:lpstr>
      <vt:lpstr>Sonata</vt:lpstr>
      <vt:lpstr>SUMAS</vt:lpstr>
      <vt:lpstr>WIRE</vt:lpstr>
      <vt:lpstr>BOM</vt:lpstr>
      <vt:lpstr>VT01_ANT</vt:lpstr>
      <vt:lpstr>VT02</vt:lpstr>
      <vt:lpstr>VT03</vt:lpstr>
      <vt:lpstr>Steuerungsvorgabe</vt:lpstr>
      <vt:lpstr>KM_Liste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Elzbieta Remiszewska</dc:creator>
  <cp:lastModifiedBy>Jesus Roldan</cp:lastModifiedBy>
  <dcterms:created xsi:type="dcterms:W3CDTF">2020-07-03T06:54:59Z</dcterms:created>
  <dcterms:modified xsi:type="dcterms:W3CDTF">2021-01-15T08:53:58Z</dcterms:modified>
</cp:coreProperties>
</file>