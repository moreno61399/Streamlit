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ento_zošit" defaultThemeVersion="124226"/>
  <bookViews>
    <workbookView xWindow="-15" yWindow="105" windowWidth="28830" windowHeight="6285" tabRatio="748"/>
  </bookViews>
  <sheets>
    <sheet name="KM_liste" sheetId="49" r:id="rId1"/>
  </sheets>
  <calcPr calcId="162913"/>
</workbook>
</file>

<file path=xl/calcChain.xml><?xml version="1.0" encoding="utf-8"?>
<calcChain xmlns="http://schemas.openxmlformats.org/spreadsheetml/2006/main">
  <c r="R5" i="49" l="1"/>
  <c r="R6" i="49"/>
  <c r="R7" i="49"/>
  <c r="R8" i="49"/>
  <c r="R9" i="49"/>
  <c r="R10" i="49"/>
  <c r="R11" i="49"/>
  <c r="R12" i="49"/>
  <c r="S11" i="49"/>
  <c r="I11" i="49"/>
  <c r="F11" i="49"/>
  <c r="H11" i="49" s="1"/>
  <c r="E11" i="49"/>
  <c r="S7" i="49"/>
  <c r="I7" i="49"/>
  <c r="F7" i="49"/>
  <c r="H7" i="49" s="1"/>
  <c r="E7" i="49"/>
  <c r="S95" i="49" l="1"/>
  <c r="I95" i="49"/>
  <c r="F95" i="49"/>
  <c r="H95" i="49" s="1"/>
  <c r="E95" i="49"/>
  <c r="R95" i="49" l="1"/>
  <c r="S85" i="49"/>
  <c r="R85" i="49"/>
  <c r="S79" i="49" l="1"/>
  <c r="I79" i="49"/>
  <c r="F79" i="49"/>
  <c r="H79" i="49" s="1"/>
  <c r="R79" i="49" s="1"/>
  <c r="S75" i="49"/>
  <c r="I75" i="49"/>
  <c r="F75" i="49"/>
  <c r="H75" i="49" s="1"/>
  <c r="R75" i="49" l="1"/>
  <c r="S71" i="49"/>
  <c r="I71" i="49"/>
  <c r="F71" i="49"/>
  <c r="H71" i="49" s="1"/>
  <c r="R71" i="49" s="1"/>
  <c r="E71" i="49"/>
  <c r="S68" i="49"/>
  <c r="I68" i="49"/>
  <c r="F68" i="49"/>
  <c r="H68" i="49" s="1"/>
  <c r="R68" i="49" s="1"/>
  <c r="E68" i="49"/>
  <c r="S65" i="49"/>
  <c r="I65" i="49"/>
  <c r="H65" i="49"/>
  <c r="R65" i="49" s="1"/>
  <c r="F65" i="49"/>
  <c r="E65" i="49"/>
  <c r="S83" i="49" l="1"/>
  <c r="I83" i="49"/>
  <c r="F83" i="49"/>
  <c r="H83" i="49" s="1"/>
  <c r="E83" i="49"/>
  <c r="R83" i="49" l="1"/>
  <c r="S78" i="49" l="1"/>
  <c r="I78" i="49"/>
  <c r="F78" i="49"/>
  <c r="H78" i="49" s="1"/>
  <c r="S74" i="49"/>
  <c r="I74" i="49"/>
  <c r="F74" i="49"/>
  <c r="H74" i="49" s="1"/>
  <c r="R74" i="49" l="1"/>
  <c r="R78" i="49"/>
  <c r="S92" i="49" l="1"/>
  <c r="I92" i="49"/>
  <c r="F92" i="49"/>
  <c r="H92" i="49" s="1"/>
  <c r="E92" i="49"/>
  <c r="R92" i="49" l="1"/>
  <c r="S6" i="49"/>
  <c r="I6" i="49"/>
  <c r="F6" i="49"/>
  <c r="H6" i="49" s="1"/>
  <c r="E6" i="49"/>
  <c r="S102" i="49" l="1"/>
  <c r="I102" i="49"/>
  <c r="F102" i="49"/>
  <c r="H102" i="49" s="1"/>
  <c r="E102" i="49"/>
  <c r="S101" i="49"/>
  <c r="I101" i="49"/>
  <c r="F101" i="49"/>
  <c r="H101" i="49" s="1"/>
  <c r="E101" i="49"/>
  <c r="S100" i="49"/>
  <c r="I100" i="49"/>
  <c r="F100" i="49"/>
  <c r="H100" i="49" s="1"/>
  <c r="E100" i="49"/>
  <c r="S99" i="49"/>
  <c r="I99" i="49"/>
  <c r="F99" i="49"/>
  <c r="H99" i="49" s="1"/>
  <c r="R99" i="49" s="1"/>
  <c r="E99" i="49"/>
  <c r="S98" i="49"/>
  <c r="I98" i="49"/>
  <c r="F98" i="49"/>
  <c r="H98" i="49" s="1"/>
  <c r="R98" i="49" s="1"/>
  <c r="E98" i="49"/>
  <c r="S97" i="49"/>
  <c r="I97" i="49"/>
  <c r="R97" i="49" s="1"/>
  <c r="S96" i="49"/>
  <c r="F96" i="49"/>
  <c r="H96" i="49" s="1"/>
  <c r="R96" i="49" s="1"/>
  <c r="S94" i="49"/>
  <c r="I94" i="49"/>
  <c r="F94" i="49"/>
  <c r="H94" i="49" s="1"/>
  <c r="R94" i="49" s="1"/>
  <c r="E94" i="49"/>
  <c r="S93" i="49"/>
  <c r="I93" i="49"/>
  <c r="F93" i="49"/>
  <c r="H93" i="49" s="1"/>
  <c r="E93" i="49"/>
  <c r="S91" i="49"/>
  <c r="I91" i="49"/>
  <c r="F91" i="49"/>
  <c r="H91" i="49" s="1"/>
  <c r="R91" i="49" s="1"/>
  <c r="E91" i="49"/>
  <c r="S90" i="49"/>
  <c r="I90" i="49"/>
  <c r="F90" i="49"/>
  <c r="H90" i="49" s="1"/>
  <c r="E90" i="49"/>
  <c r="S89" i="49"/>
  <c r="I89" i="49"/>
  <c r="F89" i="49"/>
  <c r="H89" i="49" s="1"/>
  <c r="E89" i="49"/>
  <c r="S88" i="49"/>
  <c r="I88" i="49"/>
  <c r="F88" i="49"/>
  <c r="H88" i="49" s="1"/>
  <c r="E88" i="49"/>
  <c r="S87" i="49"/>
  <c r="I87" i="49"/>
  <c r="F87" i="49"/>
  <c r="H87" i="49" s="1"/>
  <c r="E87" i="49"/>
  <c r="S86" i="49"/>
  <c r="I86" i="49"/>
  <c r="F86" i="49"/>
  <c r="H86" i="49" s="1"/>
  <c r="R86" i="49" s="1"/>
  <c r="E86" i="49"/>
  <c r="S84" i="49"/>
  <c r="F84" i="49"/>
  <c r="H84" i="49" s="1"/>
  <c r="R84" i="49" s="1"/>
  <c r="S82" i="49"/>
  <c r="I82" i="49"/>
  <c r="F82" i="49"/>
  <c r="H82" i="49" s="1"/>
  <c r="E82" i="49"/>
  <c r="S81" i="49"/>
  <c r="I81" i="49"/>
  <c r="F81" i="49"/>
  <c r="H81" i="49" s="1"/>
  <c r="E81" i="49"/>
  <c r="S80" i="49"/>
  <c r="I80" i="49"/>
  <c r="F80" i="49"/>
  <c r="H80" i="49" s="1"/>
  <c r="E80" i="49"/>
  <c r="S77" i="49"/>
  <c r="I77" i="49"/>
  <c r="F77" i="49"/>
  <c r="H77" i="49" s="1"/>
  <c r="S76" i="49"/>
  <c r="I76" i="49"/>
  <c r="F76" i="49"/>
  <c r="H76" i="49" s="1"/>
  <c r="S73" i="49"/>
  <c r="I73" i="49"/>
  <c r="F73" i="49"/>
  <c r="H73" i="49" s="1"/>
  <c r="S72" i="49"/>
  <c r="I72" i="49"/>
  <c r="F72" i="49"/>
  <c r="H72" i="49" s="1"/>
  <c r="R72" i="49" s="1"/>
  <c r="S70" i="49"/>
  <c r="I70" i="49"/>
  <c r="F70" i="49"/>
  <c r="H70" i="49" s="1"/>
  <c r="E70" i="49"/>
  <c r="S69" i="49"/>
  <c r="I69" i="49"/>
  <c r="F69" i="49"/>
  <c r="H69" i="49" s="1"/>
  <c r="E69" i="49"/>
  <c r="S67" i="49"/>
  <c r="I67" i="49"/>
  <c r="F67" i="49"/>
  <c r="H67" i="49" s="1"/>
  <c r="E67" i="49"/>
  <c r="S66" i="49"/>
  <c r="I66" i="49"/>
  <c r="F66" i="49"/>
  <c r="H66" i="49" s="1"/>
  <c r="E66" i="49"/>
  <c r="S64" i="49"/>
  <c r="I64" i="49"/>
  <c r="F64" i="49"/>
  <c r="H64" i="49" s="1"/>
  <c r="E64" i="49"/>
  <c r="S63" i="49"/>
  <c r="I63" i="49"/>
  <c r="F63" i="49"/>
  <c r="H63" i="49" s="1"/>
  <c r="E63" i="49"/>
  <c r="S62" i="49"/>
  <c r="I62" i="49"/>
  <c r="F62" i="49"/>
  <c r="H62" i="49" s="1"/>
  <c r="E62" i="49"/>
  <c r="S61" i="49"/>
  <c r="I61" i="49"/>
  <c r="F61" i="49"/>
  <c r="H61" i="49" s="1"/>
  <c r="E61" i="49"/>
  <c r="S60" i="49"/>
  <c r="F60" i="49"/>
  <c r="H60" i="49" s="1"/>
  <c r="R60" i="49" s="1"/>
  <c r="S59" i="49"/>
  <c r="F59" i="49"/>
  <c r="H59" i="49" s="1"/>
  <c r="R59" i="49" s="1"/>
  <c r="S58" i="49"/>
  <c r="I58" i="49"/>
  <c r="F58" i="49"/>
  <c r="H58" i="49" s="1"/>
  <c r="E58" i="49"/>
  <c r="S57" i="49"/>
  <c r="I57" i="49"/>
  <c r="F57" i="49"/>
  <c r="H57" i="49" s="1"/>
  <c r="E57" i="49"/>
  <c r="S56" i="49"/>
  <c r="I56" i="49"/>
  <c r="F56" i="49"/>
  <c r="H56" i="49" s="1"/>
  <c r="E56" i="49"/>
  <c r="S55" i="49"/>
  <c r="I55" i="49"/>
  <c r="F55" i="49"/>
  <c r="H55" i="49" s="1"/>
  <c r="E55" i="49"/>
  <c r="S54" i="49"/>
  <c r="I54" i="49"/>
  <c r="F54" i="49"/>
  <c r="H54" i="49" s="1"/>
  <c r="E54" i="49"/>
  <c r="S53" i="49"/>
  <c r="I53" i="49"/>
  <c r="F53" i="49"/>
  <c r="H53" i="49" s="1"/>
  <c r="E53" i="49"/>
  <c r="S52" i="49"/>
  <c r="I52" i="49"/>
  <c r="F52" i="49"/>
  <c r="H52" i="49" s="1"/>
  <c r="E52" i="49"/>
  <c r="S51" i="49"/>
  <c r="I51" i="49"/>
  <c r="H51" i="49"/>
  <c r="F51" i="49"/>
  <c r="E51" i="49"/>
  <c r="S50" i="49"/>
  <c r="I50" i="49"/>
  <c r="F50" i="49"/>
  <c r="H50" i="49" s="1"/>
  <c r="E50" i="49"/>
  <c r="S49" i="49"/>
  <c r="I49" i="49"/>
  <c r="F49" i="49"/>
  <c r="H49" i="49" s="1"/>
  <c r="E49" i="49"/>
  <c r="S48" i="49"/>
  <c r="I48" i="49"/>
  <c r="F48" i="49"/>
  <c r="H48" i="49" s="1"/>
  <c r="E48" i="49"/>
  <c r="S47" i="49"/>
  <c r="I47" i="49"/>
  <c r="F47" i="49"/>
  <c r="H47" i="49" s="1"/>
  <c r="E47" i="49"/>
  <c r="S46" i="49"/>
  <c r="I46" i="49"/>
  <c r="F46" i="49"/>
  <c r="H46" i="49" s="1"/>
  <c r="E46" i="49"/>
  <c r="S45" i="49"/>
  <c r="I45" i="49"/>
  <c r="F45" i="49"/>
  <c r="H45" i="49" s="1"/>
  <c r="E45" i="49"/>
  <c r="S44" i="49"/>
  <c r="I44" i="49"/>
  <c r="F44" i="49"/>
  <c r="H44" i="49" s="1"/>
  <c r="E44" i="49"/>
  <c r="S43" i="49"/>
  <c r="I43" i="49"/>
  <c r="F43" i="49"/>
  <c r="H43" i="49" s="1"/>
  <c r="E43" i="49"/>
  <c r="S42" i="49"/>
  <c r="I42" i="49"/>
  <c r="F42" i="49"/>
  <c r="H42" i="49" s="1"/>
  <c r="E42" i="49"/>
  <c r="S41" i="49"/>
  <c r="I41" i="49"/>
  <c r="F41" i="49"/>
  <c r="H41" i="49" s="1"/>
  <c r="E41" i="49"/>
  <c r="S40" i="49"/>
  <c r="I40" i="49"/>
  <c r="F40" i="49"/>
  <c r="H40" i="49" s="1"/>
  <c r="E40" i="49"/>
  <c r="S39" i="49"/>
  <c r="I39" i="49"/>
  <c r="F39" i="49"/>
  <c r="H39" i="49" s="1"/>
  <c r="E39" i="49"/>
  <c r="S38" i="49"/>
  <c r="I38" i="49"/>
  <c r="F38" i="49"/>
  <c r="H38" i="49" s="1"/>
  <c r="E38" i="49"/>
  <c r="S37" i="49"/>
  <c r="I37" i="49"/>
  <c r="F37" i="49"/>
  <c r="H37" i="49" s="1"/>
  <c r="E37" i="49"/>
  <c r="S36" i="49"/>
  <c r="I36" i="49"/>
  <c r="F36" i="49"/>
  <c r="H36" i="49" s="1"/>
  <c r="E36" i="49"/>
  <c r="S35" i="49"/>
  <c r="I35" i="49"/>
  <c r="F35" i="49"/>
  <c r="H35" i="49" s="1"/>
  <c r="E35" i="49"/>
  <c r="S34" i="49"/>
  <c r="I34" i="49"/>
  <c r="F34" i="49"/>
  <c r="H34" i="49" s="1"/>
  <c r="E34" i="49"/>
  <c r="S33" i="49"/>
  <c r="I33" i="49"/>
  <c r="F33" i="49"/>
  <c r="H33" i="49" s="1"/>
  <c r="E33" i="49"/>
  <c r="S32" i="49"/>
  <c r="I32" i="49"/>
  <c r="F32" i="49"/>
  <c r="H32" i="49" s="1"/>
  <c r="R32" i="49" s="1"/>
  <c r="E32" i="49"/>
  <c r="S31" i="49"/>
  <c r="I31" i="49"/>
  <c r="F31" i="49"/>
  <c r="H31" i="49" s="1"/>
  <c r="E31" i="49"/>
  <c r="S30" i="49"/>
  <c r="I30" i="49"/>
  <c r="F30" i="49"/>
  <c r="H30" i="49" s="1"/>
  <c r="R30" i="49" s="1"/>
  <c r="E30" i="49"/>
  <c r="S29" i="49"/>
  <c r="I29" i="49"/>
  <c r="F29" i="49"/>
  <c r="H29" i="49" s="1"/>
  <c r="E29" i="49"/>
  <c r="S28" i="49"/>
  <c r="I28" i="49"/>
  <c r="F28" i="49"/>
  <c r="H28" i="49" s="1"/>
  <c r="R28" i="49" s="1"/>
  <c r="E28" i="49"/>
  <c r="S27" i="49"/>
  <c r="I27" i="49"/>
  <c r="F27" i="49"/>
  <c r="H27" i="49" s="1"/>
  <c r="E27" i="49"/>
  <c r="S26" i="49"/>
  <c r="I26" i="49"/>
  <c r="F26" i="49"/>
  <c r="H26" i="49" s="1"/>
  <c r="E26" i="49"/>
  <c r="S25" i="49"/>
  <c r="I25" i="49"/>
  <c r="F25" i="49"/>
  <c r="H25" i="49" s="1"/>
  <c r="E25" i="49"/>
  <c r="S24" i="49"/>
  <c r="I24" i="49"/>
  <c r="F24" i="49"/>
  <c r="H24" i="49" s="1"/>
  <c r="R24" i="49" s="1"/>
  <c r="E24" i="49"/>
  <c r="S23" i="49"/>
  <c r="I23" i="49"/>
  <c r="F23" i="49"/>
  <c r="H23" i="49" s="1"/>
  <c r="E23" i="49"/>
  <c r="S22" i="49"/>
  <c r="I22" i="49"/>
  <c r="F22" i="49"/>
  <c r="H22" i="49" s="1"/>
  <c r="R22" i="49" s="1"/>
  <c r="E22" i="49"/>
  <c r="S21" i="49"/>
  <c r="I21" i="49"/>
  <c r="F21" i="49"/>
  <c r="H21" i="49" s="1"/>
  <c r="E21" i="49"/>
  <c r="S20" i="49"/>
  <c r="I20" i="49"/>
  <c r="F20" i="49"/>
  <c r="H20" i="49" s="1"/>
  <c r="R20" i="49" s="1"/>
  <c r="E20" i="49"/>
  <c r="S19" i="49"/>
  <c r="I19" i="49"/>
  <c r="H19" i="49"/>
  <c r="F19" i="49"/>
  <c r="E19" i="49"/>
  <c r="S18" i="49"/>
  <c r="I18" i="49"/>
  <c r="F18" i="49"/>
  <c r="H18" i="49" s="1"/>
  <c r="E18" i="49"/>
  <c r="S17" i="49"/>
  <c r="I17" i="49"/>
  <c r="F17" i="49"/>
  <c r="H17" i="49" s="1"/>
  <c r="E17" i="49"/>
  <c r="S16" i="49"/>
  <c r="I16" i="49"/>
  <c r="F16" i="49"/>
  <c r="H16" i="49" s="1"/>
  <c r="E16" i="49"/>
  <c r="S15" i="49"/>
  <c r="I15" i="49"/>
  <c r="F15" i="49"/>
  <c r="H15" i="49" s="1"/>
  <c r="E15" i="49"/>
  <c r="S14" i="49"/>
  <c r="I14" i="49"/>
  <c r="F14" i="49"/>
  <c r="H14" i="49" s="1"/>
  <c r="E14" i="49"/>
  <c r="S13" i="49"/>
  <c r="I13" i="49"/>
  <c r="F13" i="49"/>
  <c r="H13" i="49" s="1"/>
  <c r="E13" i="49"/>
  <c r="S12" i="49"/>
  <c r="I12" i="49"/>
  <c r="F12" i="49"/>
  <c r="H12" i="49" s="1"/>
  <c r="E12" i="49"/>
  <c r="S10" i="49"/>
  <c r="I10" i="49"/>
  <c r="F10" i="49"/>
  <c r="H10" i="49" s="1"/>
  <c r="E10" i="49"/>
  <c r="S9" i="49"/>
  <c r="I9" i="49"/>
  <c r="F9" i="49"/>
  <c r="H9" i="49" s="1"/>
  <c r="E9" i="49"/>
  <c r="S8" i="49"/>
  <c r="I8" i="49"/>
  <c r="F8" i="49"/>
  <c r="H8" i="49" s="1"/>
  <c r="E8" i="49"/>
  <c r="S5" i="49"/>
  <c r="I5" i="49"/>
  <c r="F5" i="49"/>
  <c r="H5" i="49" s="1"/>
  <c r="E5" i="49"/>
  <c r="S4" i="49"/>
  <c r="I4" i="49"/>
  <c r="F4" i="49"/>
  <c r="H4" i="49" s="1"/>
  <c r="E4" i="49"/>
  <c r="R52" i="49" l="1"/>
  <c r="R54" i="49"/>
  <c r="R56" i="49"/>
  <c r="R62" i="49"/>
  <c r="R64" i="49"/>
  <c r="R67" i="49"/>
  <c r="R77" i="49"/>
  <c r="R81" i="49"/>
  <c r="R76" i="49"/>
  <c r="R36" i="49"/>
  <c r="R38" i="49"/>
  <c r="R40" i="49"/>
  <c r="R14" i="49"/>
  <c r="R16" i="49"/>
  <c r="R44" i="49"/>
  <c r="R46" i="49"/>
  <c r="R48" i="49"/>
  <c r="R87" i="49"/>
  <c r="R100" i="49"/>
  <c r="R101" i="49"/>
  <c r="R13" i="49"/>
  <c r="R21" i="49"/>
  <c r="R29" i="49"/>
  <c r="R37" i="49"/>
  <c r="R45" i="49"/>
  <c r="R53" i="49"/>
  <c r="R63" i="49"/>
  <c r="R93" i="49"/>
  <c r="R19" i="49"/>
  <c r="R4" i="49"/>
  <c r="R15" i="49"/>
  <c r="R18" i="49"/>
  <c r="R23" i="49"/>
  <c r="R26" i="49"/>
  <c r="R31" i="49"/>
  <c r="R34" i="49"/>
  <c r="R39" i="49"/>
  <c r="R42" i="49"/>
  <c r="R47" i="49"/>
  <c r="R50" i="49"/>
  <c r="R55" i="49"/>
  <c r="R58" i="49"/>
  <c r="R66" i="49"/>
  <c r="R70" i="49"/>
  <c r="R73" i="49"/>
  <c r="R80" i="49"/>
  <c r="R89" i="49"/>
  <c r="R102" i="49"/>
  <c r="R25" i="49"/>
  <c r="R33" i="49"/>
  <c r="R41" i="49"/>
  <c r="R49" i="49"/>
  <c r="R57" i="49"/>
  <c r="R69" i="49"/>
  <c r="R82" i="49"/>
  <c r="R88" i="49"/>
  <c r="R17" i="49"/>
  <c r="R27" i="49"/>
  <c r="R35" i="49"/>
  <c r="R43" i="49"/>
  <c r="R51" i="49"/>
  <c r="R61" i="49"/>
  <c r="R90" i="49"/>
</calcChain>
</file>

<file path=xl/sharedStrings.xml><?xml version="1.0" encoding="utf-8"?>
<sst xmlns="http://schemas.openxmlformats.org/spreadsheetml/2006/main" count="1097" uniqueCount="198">
  <si>
    <t>-</t>
  </si>
  <si>
    <t>AEM</t>
  </si>
  <si>
    <t>LTGS.INNENLEUCHTE</t>
  </si>
  <si>
    <t>LTGS.LAUTSPRECHER</t>
  </si>
  <si>
    <t>LTGS.AIRBAG</t>
  </si>
  <si>
    <t>LTGS.KLIMAANLAGE</t>
  </si>
  <si>
    <t>LTGS.SITZHEIZUNG</t>
  </si>
  <si>
    <t>LTGS.LENKSAULENV.</t>
  </si>
  <si>
    <t>LTGS.ANTENNE</t>
  </si>
  <si>
    <t>LTGS.NOTRUF</t>
  </si>
  <si>
    <t>LTGS.DIAGNOSE</t>
  </si>
  <si>
    <t>LTGS.LWL</t>
  </si>
  <si>
    <t>LTGS.KAMERA</t>
  </si>
  <si>
    <t>LEITUNGSSTRANG</t>
  </si>
  <si>
    <t>x</t>
  </si>
  <si>
    <t>LTGS.JAPAN</t>
  </si>
  <si>
    <t>LTGS.VORBEREI.TEL.</t>
  </si>
  <si>
    <t>LTGS.LENKRAD</t>
  </si>
  <si>
    <t>LTGS.MULTIMEDIA</t>
  </si>
  <si>
    <t>LTGS.RADIO</t>
  </si>
  <si>
    <t>LTGS.FUNKUHR</t>
  </si>
  <si>
    <t>LTGS.NAVIGAT.SYST.</t>
  </si>
  <si>
    <t>VT01</t>
  </si>
  <si>
    <t>VT03</t>
  </si>
  <si>
    <t>A</t>
  </si>
  <si>
    <t>B</t>
  </si>
  <si>
    <t>L0R</t>
  </si>
  <si>
    <t>9JA_974_029</t>
  </si>
  <si>
    <t>L0R+2V1+9AD</t>
  </si>
  <si>
    <t>9JA_974_029_A</t>
  </si>
  <si>
    <t>L0R+2V1+KH5</t>
  </si>
  <si>
    <t>9JA_974_029_B</t>
  </si>
  <si>
    <t>L0R+2V3+9AD</t>
  </si>
  <si>
    <t>9JA_974_029_C</t>
  </si>
  <si>
    <t>L0R+2V3+KH5</t>
  </si>
  <si>
    <t>9JA_974_072</t>
  </si>
  <si>
    <t>L0R+2C7</t>
  </si>
  <si>
    <t>9JA_974_076</t>
  </si>
  <si>
    <t>L0R+9VK</t>
  </si>
  <si>
    <t>9JA_974_076_A</t>
  </si>
  <si>
    <t>L0R+9VL</t>
  </si>
  <si>
    <t>9JA_974_076_B</t>
  </si>
  <si>
    <t>L0R+9VJ</t>
  </si>
  <si>
    <t>9JA_974_089</t>
  </si>
  <si>
    <t>9JA_974_128</t>
  </si>
  <si>
    <t>9JA_974_136</t>
  </si>
  <si>
    <t>L0R+4A4+9AD</t>
  </si>
  <si>
    <t>9JA_974_216</t>
  </si>
  <si>
    <t>L0R+I8L</t>
  </si>
  <si>
    <t>L0R+JH1</t>
  </si>
  <si>
    <t>9JA_974_219</t>
  </si>
  <si>
    <t>9JA_974_219_A</t>
  </si>
  <si>
    <t>9JA_974_219_B</t>
  </si>
  <si>
    <t>9JA_974_230</t>
  </si>
  <si>
    <t>9JA_974_261</t>
  </si>
  <si>
    <t>L0R+9VL/9VJ</t>
  </si>
  <si>
    <t>LTGS.PROJEKTOR</t>
  </si>
  <si>
    <t>9JA_974_321</t>
  </si>
  <si>
    <t>L0R+KS1</t>
  </si>
  <si>
    <t>9JA_974_325</t>
  </si>
  <si>
    <t>L0R+KA6</t>
  </si>
  <si>
    <t>9JA_974_327</t>
  </si>
  <si>
    <t>L0R+9R1</t>
  </si>
  <si>
    <t>9JA_974_328</t>
  </si>
  <si>
    <t>L0R+KA2</t>
  </si>
  <si>
    <t>9JA_974_329</t>
  </si>
  <si>
    <t>L0R+7UG</t>
  </si>
  <si>
    <t>9JA_974_412</t>
  </si>
  <si>
    <t>9JA_974_901</t>
  </si>
  <si>
    <t>L0R+QQ0</t>
  </si>
  <si>
    <t>9JA_974_901_A</t>
  </si>
  <si>
    <t>L0R+QQ1</t>
  </si>
  <si>
    <t>VT04</t>
  </si>
  <si>
    <t>L0R+IW1/IW3</t>
  </si>
  <si>
    <t>9JA_974_412_A</t>
  </si>
  <si>
    <t>L0R+4UF</t>
  </si>
  <si>
    <t>L0R+4UE</t>
  </si>
  <si>
    <t>9JA_974_077_A</t>
  </si>
  <si>
    <t>LTGS.ANTENNE.CUV</t>
  </si>
  <si>
    <t>9JA_974_222</t>
  </si>
  <si>
    <t>9JA_974_222_A</t>
  </si>
  <si>
    <t>TAB_052_663</t>
  </si>
  <si>
    <t>9JA_974_216_A</t>
  </si>
  <si>
    <t>L0R+I8L+F0A/F0C</t>
  </si>
  <si>
    <t>2J2RC0100000C</t>
  </si>
  <si>
    <t>C</t>
  </si>
  <si>
    <t>2J2RC0400000C</t>
  </si>
  <si>
    <t>2J2RC0102900C</t>
  </si>
  <si>
    <t>2J2RC0307700C</t>
  </si>
  <si>
    <t>2J2RC0321600C</t>
  </si>
  <si>
    <t>2J2RC0321601C</t>
  </si>
  <si>
    <t>2J2RC0321800C</t>
  </si>
  <si>
    <t>2J2RC0432100C</t>
  </si>
  <si>
    <t>D</t>
  </si>
  <si>
    <t>9JA_974_029_D</t>
  </si>
  <si>
    <t>L0R+2V4+9AD</t>
  </si>
  <si>
    <t>9JA_974_029_E</t>
  </si>
  <si>
    <t>L0R+2V4+KH5</t>
  </si>
  <si>
    <t>9JA_974_069_C</t>
  </si>
  <si>
    <t>L0R+ER5</t>
  </si>
  <si>
    <t>9JA_974_000_B</t>
  </si>
  <si>
    <t>9JA_974_218_A</t>
  </si>
  <si>
    <t xml:space="preserve">TAB             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</si>
  <si>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</si>
  <si>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</si>
  <si>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</si>
  <si>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</si>
  <si>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</si>
  <si>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</si>
  <si>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</si>
  <si>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 xml:space="preserve">interner Index </t>
  </si>
  <si>
    <t>interner Index neu</t>
  </si>
  <si>
    <t>Teilgültigkeit (Pr.-Nummer)</t>
  </si>
  <si>
    <t>Einsatz
(JJKW)</t>
  </si>
  <si>
    <t>Entfall
(JJKW)</t>
  </si>
  <si>
    <t>Geändert mit Revisions-
stand           (KM-Liste)</t>
  </si>
  <si>
    <t>Kunden-teilenummer</t>
  </si>
  <si>
    <t>interne 
Teilenummer</t>
  </si>
  <si>
    <r>
      <t>Aktuelle Varianten für SONATA:
(</t>
    </r>
    <r>
      <rPr>
        <b/>
        <sz val="10"/>
        <rFont val="Calibri"/>
        <family val="2"/>
        <charset val="238"/>
      </rPr>
      <t>Jahr - KW)</t>
    </r>
  </si>
  <si>
    <t>Zusatz formula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</si>
  <si>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</si>
  <si>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</si>
  <si>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</si>
  <si>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</si>
  <si>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</si>
  <si>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</si>
  <si>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</si>
  <si>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vor dem Filtern richtiges Jahr / KW eintragen // before set the filter write in right Year / CW</t>
  </si>
  <si>
    <t>2J15J1RL02</t>
  </si>
  <si>
    <t>A0</t>
  </si>
  <si>
    <t>BL26</t>
  </si>
  <si>
    <t>2J2RC0100000D</t>
  </si>
  <si>
    <t>E</t>
  </si>
  <si>
    <t>2J2RC0102900D</t>
  </si>
  <si>
    <t>2J2RC0321600D</t>
  </si>
  <si>
    <t>2J2RC0321601D</t>
  </si>
  <si>
    <t>2J2RC0321800D</t>
  </si>
  <si>
    <t>2J2RC0307700D</t>
  </si>
  <si>
    <t>2J2RC0400000D</t>
  </si>
  <si>
    <t>2J2RC0432100D</t>
  </si>
  <si>
    <t>9JA_974_412_B</t>
  </si>
  <si>
    <t>BL27</t>
  </si>
  <si>
    <t>L0R+8LH/8LU//L0R+8LC/8LE+K8X</t>
  </si>
  <si>
    <t>K8S+L0R+QV3+ER1/ER2/ER6/ER7/ER8</t>
  </si>
  <si>
    <t>K8S+L0R+QV0+ER5</t>
  </si>
  <si>
    <t>K8S+L0R+QV0+ER1/ER2/ER6/ER7/ER8</t>
  </si>
  <si>
    <t>F</t>
  </si>
  <si>
    <t>BL28</t>
  </si>
  <si>
    <t>9JA_974_077_B</t>
  </si>
  <si>
    <t>L0R+9ZE+GB0</t>
  </si>
  <si>
    <t>G</t>
  </si>
  <si>
    <t>9JA_974_000_C</t>
  </si>
  <si>
    <t>H</t>
  </si>
  <si>
    <t>L0R+9ZE+GB1/GB2/GB3</t>
  </si>
  <si>
    <t>9JA_974_267_A</t>
  </si>
  <si>
    <t>LTGS.ANTENNEN</t>
  </si>
  <si>
    <t>9JA_974_656</t>
  </si>
  <si>
    <t>L0R+IV1/IV2/IV3/IV4/IV5/IV6/IV7/IV8/JE0/JE1/JE2/JE3/JE4/JE5/JE6</t>
  </si>
  <si>
    <t>1J219JA656</t>
  </si>
  <si>
    <t>VT02</t>
  </si>
  <si>
    <t>6617_6625</t>
  </si>
  <si>
    <t>6001/6013</t>
  </si>
  <si>
    <t>L0R+9ZC/9ZE+ER5</t>
  </si>
  <si>
    <t>9JA_974_069</t>
  </si>
  <si>
    <t>L0R+9ZE</t>
  </si>
  <si>
    <t>L0R+2ZC/2ZX/2PJ/2ZW/2PF/2FM</t>
  </si>
  <si>
    <t>K8S+L0R+QV3+ER1/ER2/ER4/ER6/ER7/ER8</t>
  </si>
  <si>
    <t>K8S+L0R+QV0/QV3+ER5</t>
  </si>
  <si>
    <t>K8S+L0R+QV0+ER1/ER2/ER4/ER6/ER7/ER8</t>
  </si>
  <si>
    <t>K8X+L0R+QV3+ER1/ER2/ER4/ER6/ER7/ER8</t>
  </si>
  <si>
    <t>K8X+L0R+QV0+ER1/ER2/ER4/ER6/ER7/ER8//K8X+L0R+QV0/QV3+ER5</t>
  </si>
  <si>
    <t>L0R+8LH//L0R+8LC/8LE+K8X</t>
  </si>
  <si>
    <t>LTGS.ASSISTENT</t>
  </si>
  <si>
    <t>L0R+GJ2</t>
  </si>
  <si>
    <t>9JA_974_728</t>
  </si>
  <si>
    <t>6617_6612</t>
  </si>
  <si>
    <r>
      <t>6013_</t>
    </r>
    <r>
      <rPr>
        <sz val="11"/>
        <color theme="1"/>
        <rFont val="Calibri"/>
        <family val="2"/>
        <charset val="238"/>
      </rPr>
      <t>6021</t>
    </r>
  </si>
  <si>
    <r>
      <t>6013_</t>
    </r>
    <r>
      <rPr>
        <sz val="11"/>
        <color theme="1"/>
        <rFont val="Calibri"/>
        <family val="2"/>
        <charset val="238"/>
      </rPr>
      <t>6021_6047</t>
    </r>
  </si>
  <si>
    <r>
      <t>6013_</t>
    </r>
    <r>
      <rPr>
        <sz val="11"/>
        <color theme="1"/>
        <rFont val="Calibri"/>
        <family val="2"/>
        <charset val="238"/>
      </rPr>
      <t>6021_6616</t>
    </r>
  </si>
  <si>
    <r>
      <t>6013_</t>
    </r>
    <r>
      <rPr>
        <sz val="11"/>
        <color theme="1"/>
        <rFont val="Calibri"/>
        <family val="2"/>
        <charset val="238"/>
      </rPr>
      <t>6021_6616_6619_6047</t>
    </r>
  </si>
  <si>
    <r>
      <t>6001/6013_</t>
    </r>
    <r>
      <rPr>
        <sz val="11"/>
        <color theme="1"/>
        <rFont val="Calibri"/>
        <family val="2"/>
        <charset val="238"/>
      </rPr>
      <t>6021</t>
    </r>
  </si>
  <si>
    <r>
      <t>6001/6013_</t>
    </r>
    <r>
      <rPr>
        <sz val="11"/>
        <color theme="1"/>
        <rFont val="Calibri"/>
        <family val="2"/>
        <charset val="238"/>
      </rPr>
      <t>6021_6616</t>
    </r>
  </si>
  <si>
    <r>
      <t>6001/6013_</t>
    </r>
    <r>
      <rPr>
        <sz val="11"/>
        <color theme="1"/>
        <rFont val="Calibri"/>
        <family val="2"/>
        <charset val="238"/>
      </rPr>
      <t>6021_6616_6619_6047</t>
    </r>
  </si>
  <si>
    <r>
      <t>6013_</t>
    </r>
    <r>
      <rPr>
        <sz val="11"/>
        <color theme="1"/>
        <rFont val="Calibri"/>
        <family val="2"/>
        <charset val="238"/>
      </rPr>
      <t>6610</t>
    </r>
  </si>
  <si>
    <t>L0R+2ZC/2ZX/2PJ/2ZW/2PF/2FM/1XF/2PS//L0R+2ZP</t>
  </si>
  <si>
    <t>K8X+L0R+QV3+ER1/ER2/ER6/ER7/ER8//K8D+L0R+QV3+ER1/ER2/ER6/ER7/ER8</t>
  </si>
  <si>
    <t>K8X+L0R+QV0+ER1/ER2/ER5/ER6/ER7/ER8//K8D+L0R+QV0+ER1/ER2/ER5/ER6/ER7/ER8</t>
  </si>
  <si>
    <t>9JA_974_267</t>
  </si>
  <si>
    <t>6024_PPE</t>
  </si>
  <si>
    <t>9JA_974_295_A</t>
  </si>
  <si>
    <t>9JA_974_295</t>
  </si>
  <si>
    <t>1J219JA295</t>
  </si>
  <si>
    <t>LOR</t>
  </si>
  <si>
    <t>LTGS.SCHNITTSTELLE</t>
  </si>
  <si>
    <r>
      <t>6011_</t>
    </r>
    <r>
      <rPr>
        <sz val="11"/>
        <color rgb="FF0070C0"/>
        <rFont val="Calibri"/>
        <family val="2"/>
        <charset val="238"/>
        <scheme val="minor"/>
      </rPr>
      <t>7013</t>
    </r>
  </si>
  <si>
    <t>6027_7007</t>
  </si>
  <si>
    <r>
      <t>6024_</t>
    </r>
    <r>
      <rPr>
        <sz val="11"/>
        <color theme="1"/>
        <rFont val="Calibri"/>
        <family val="2"/>
        <scheme val="minor"/>
      </rPr>
      <t>7006_7011</t>
    </r>
  </si>
  <si>
    <r>
      <t>6024_</t>
    </r>
    <r>
      <rPr>
        <sz val="11"/>
        <color theme="1"/>
        <rFont val="Calibri"/>
        <family val="2"/>
        <scheme val="minor"/>
      </rPr>
      <t>7006_7011_PPE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</si>
</sst>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6" formatCode="00"/>
    <numFmt numFmtId="167" formatCode="000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</font>
    <font>
      <sz val="10"/>
      <name val="Helv"/>
    </font>
    <font>
      <sz val="10"/>
      <name val="Andale Mono"/>
    </font>
    <font>
      <sz val="10"/>
      <name val="Arial CE"/>
      <charset val="238"/>
    </font>
    <font>
      <sz val="10"/>
      <name val="Arial"/>
      <family val="2"/>
      <charset val="238"/>
    </font>
    <font>
      <sz val="10"/>
      <name val="Arial CE"/>
    </font>
    <font>
      <b/>
      <sz val="10"/>
      <name val="Calibri"/>
      <family val="2"/>
      <charset val="238"/>
    </font>
    <font>
      <b/>
      <sz val="8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CE"/>
      <family val="2"/>
      <charset val="238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strike/>
      <sz val="11"/>
      <color rgb="FFFF0000"/>
      <name val="Calibri"/>
      <family val="2"/>
      <charset val="238"/>
      <scheme val="minor"/>
    </font>
    <font>
      <sz val="10"/>
      <color rgb="FF0070C0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rgb="FF0070C0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10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8"/>
      <color indexed="8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trike/>
      <sz val="10"/>
      <color rgb="FFFF0000"/>
      <name val="Calibri"/>
      <family val="2"/>
      <charset val="238"/>
      <scheme val="minor"/>
    </font>
    <font>
      <strike/>
      <sz val="10"/>
      <color rgb="FFFF0000"/>
      <name val="Calibri"/>
      <family val="2"/>
      <charset val="238"/>
      <scheme val="minor"/>
    </font>
    <font>
      <strike/>
      <sz val="8"/>
      <color rgb="FFFF0000"/>
      <name val="Arial"/>
      <family val="2"/>
    </font>
    <font>
      <sz val="8"/>
      <color rgb="FF0070C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7">
    <xf numFmtId="0" fontId="0" fillId="0" borderId="0"/>
    <xf numFmtId="0" fontId="18" fillId="0" borderId="0" applyNumberFormat="0" applyFill="0" applyBorder="0" applyAlignment="0" applyProtection="0"/>
    <xf numFmtId="0" fontId="16" fillId="0" borderId="0"/>
    <xf numFmtId="0" fontId="16" fillId="0" borderId="0"/>
    <xf numFmtId="0" fontId="17" fillId="0" borderId="0"/>
    <xf numFmtId="0" fontId="17" fillId="0" borderId="0"/>
    <xf numFmtId="0" fontId="11" fillId="0" borderId="0"/>
    <xf numFmtId="0" fontId="6" fillId="0" borderId="0"/>
    <xf numFmtId="0" fontId="12" fillId="0" borderId="0"/>
    <xf numFmtId="0" fontId="6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9" fontId="16" fillId="0" borderId="0" applyFont="0" applyFill="0" applyBorder="0" applyAlignment="0" applyProtection="0"/>
    <xf numFmtId="0" fontId="16" fillId="0" borderId="0"/>
    <xf numFmtId="0" fontId="7" fillId="0" borderId="0"/>
    <xf numFmtId="0" fontId="7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7" fillId="0" borderId="0"/>
    <xf numFmtId="0" fontId="9" fillId="0" borderId="0"/>
    <xf numFmtId="0" fontId="9" fillId="0" borderId="0"/>
    <xf numFmtId="0" fontId="8" fillId="0" borderId="0"/>
    <xf numFmtId="0" fontId="8" fillId="0" borderId="0"/>
  </cellStyleXfs>
  <cellXfs count="139">
    <xf numFmtId="0" fontId="0" fillId="0" borderId="0" xfId="0"/>
    <xf numFmtId="0" fontId="0" fillId="0" borderId="0" xfId="0" applyFill="1"/>
    <xf numFmtId="0" fontId="0" fillId="0" borderId="0" xfId="0"/>
    <xf numFmtId="0" fontId="20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4" fillId="0" borderId="0" xfId="0" applyFont="1" applyFill="1"/>
    <xf numFmtId="0" fontId="26" fillId="0" borderId="0" xfId="0" applyFont="1" applyFill="1"/>
    <xf numFmtId="0" fontId="27" fillId="0" borderId="0" xfId="0" applyFont="1" applyFill="1"/>
    <xf numFmtId="0" fontId="26" fillId="0" borderId="0" xfId="0" applyFont="1" applyFill="1" applyAlignment="1">
      <alignment horizontal="center"/>
    </xf>
    <xf numFmtId="0" fontId="28" fillId="0" borderId="0" xfId="0" applyFont="1" applyFill="1"/>
    <xf numFmtId="0" fontId="27" fillId="0" borderId="0" xfId="0" applyFont="1"/>
    <xf numFmtId="0" fontId="28" fillId="0" borderId="0" xfId="0" applyFont="1"/>
    <xf numFmtId="0" fontId="26" fillId="5" borderId="0" xfId="0" applyFont="1" applyFill="1"/>
    <xf numFmtId="0" fontId="0" fillId="0" borderId="0" xfId="0" applyBorder="1"/>
    <xf numFmtId="0" fontId="26" fillId="0" borderId="0" xfId="0" applyFont="1"/>
    <xf numFmtId="49" fontId="30" fillId="6" borderId="3" xfId="24" applyNumberFormat="1" applyFont="1" applyFill="1" applyBorder="1" applyAlignment="1">
      <alignment horizontal="center" wrapText="1"/>
    </xf>
    <xf numFmtId="49" fontId="31" fillId="6" borderId="3" xfId="24" applyNumberFormat="1" applyFont="1" applyFill="1" applyBorder="1" applyAlignment="1"/>
    <xf numFmtId="49" fontId="31" fillId="6" borderId="3" xfId="24" applyNumberFormat="1" applyFont="1" applyFill="1" applyBorder="1" applyAlignment="1">
      <alignment horizontal="center" wrapText="1"/>
    </xf>
    <xf numFmtId="49" fontId="31" fillId="6" borderId="2" xfId="24" applyNumberFormat="1" applyFont="1" applyFill="1" applyBorder="1" applyAlignment="1">
      <alignment horizontal="center" wrapText="1"/>
    </xf>
    <xf numFmtId="49" fontId="14" fillId="6" borderId="3" xfId="24" applyNumberFormat="1" applyFont="1" applyFill="1" applyBorder="1" applyAlignment="1">
      <alignment horizontal="center"/>
    </xf>
    <xf numFmtId="49" fontId="31" fillId="6" borderId="4" xfId="24" applyNumberFormat="1" applyFont="1" applyFill="1" applyBorder="1" applyAlignment="1">
      <alignment horizontal="center" wrapText="1"/>
    </xf>
    <xf numFmtId="166" fontId="31" fillId="6" borderId="1" xfId="24" applyNumberFormat="1" applyFont="1" applyFill="1" applyBorder="1" applyAlignment="1">
      <alignment horizontal="center" textRotation="90" wrapText="1"/>
    </xf>
    <xf numFmtId="49" fontId="31" fillId="6" borderId="2" xfId="24" applyNumberFormat="1" applyFont="1" applyFill="1" applyBorder="1" applyAlignment="1">
      <alignment horizontal="center" textRotation="90" wrapText="1"/>
    </xf>
    <xf numFmtId="49" fontId="31" fillId="6" borderId="2" xfId="24" applyNumberFormat="1" applyFont="1" applyFill="1" applyBorder="1" applyAlignment="1"/>
    <xf numFmtId="49" fontId="31" fillId="6" borderId="2" xfId="24" applyNumberFormat="1" applyFont="1" applyFill="1" applyBorder="1" applyAlignment="1">
      <alignment horizontal="left"/>
    </xf>
    <xf numFmtId="1" fontId="30" fillId="6" borderId="2" xfId="24" applyNumberFormat="1" applyFont="1" applyFill="1" applyBorder="1" applyAlignment="1">
      <alignment horizontal="center" wrapText="1"/>
    </xf>
    <xf numFmtId="49" fontId="30" fillId="6" borderId="1" xfId="23" applyNumberFormat="1" applyFont="1" applyFill="1" applyBorder="1" applyAlignment="1">
      <alignment horizontal="center" wrapText="1"/>
    </xf>
    <xf numFmtId="49" fontId="30" fillId="0" borderId="1" xfId="23" applyNumberFormat="1" applyFont="1" applyFill="1" applyBorder="1" applyAlignment="1">
      <alignment horizontal="center" wrapText="1"/>
    </xf>
    <xf numFmtId="9" fontId="14" fillId="0" borderId="1" xfId="14" applyFont="1" applyFill="1" applyBorder="1" applyAlignment="1">
      <alignment horizontal="center" textRotation="90" wrapText="1"/>
    </xf>
    <xf numFmtId="49" fontId="14" fillId="6" borderId="2" xfId="24" applyNumberFormat="1" applyFont="1" applyFill="1" applyBorder="1" applyAlignment="1">
      <alignment horizontal="center" textRotation="90" wrapText="1"/>
    </xf>
    <xf numFmtId="0" fontId="30" fillId="6" borderId="1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49" fontId="32" fillId="0" borderId="0" xfId="23" applyNumberFormat="1" applyFont="1" applyFill="1" applyAlignment="1"/>
    <xf numFmtId="49" fontId="22" fillId="0" borderId="0" xfId="23" applyNumberFormat="1" applyFont="1" applyFill="1" applyAlignment="1"/>
    <xf numFmtId="49" fontId="30" fillId="0" borderId="3" xfId="24" applyNumberFormat="1" applyFont="1" applyFill="1" applyBorder="1" applyAlignment="1">
      <alignment horizontal="center" wrapText="1"/>
    </xf>
    <xf numFmtId="49" fontId="31" fillId="0" borderId="3" xfId="24" applyNumberFormat="1" applyFont="1" applyFill="1" applyBorder="1" applyAlignment="1"/>
    <xf numFmtId="49" fontId="31" fillId="0" borderId="3" xfId="24" applyNumberFormat="1" applyFont="1" applyFill="1" applyBorder="1" applyAlignment="1">
      <alignment horizontal="center" wrapText="1"/>
    </xf>
    <xf numFmtId="49" fontId="31" fillId="0" borderId="2" xfId="24" applyNumberFormat="1" applyFont="1" applyFill="1" applyBorder="1" applyAlignment="1">
      <alignment horizontal="center" wrapText="1"/>
    </xf>
    <xf numFmtId="49" fontId="31" fillId="0" borderId="4" xfId="24" applyNumberFormat="1" applyFont="1" applyFill="1" applyBorder="1" applyAlignment="1">
      <alignment horizontal="center" wrapText="1"/>
    </xf>
    <xf numFmtId="166" fontId="31" fillId="0" borderId="1" xfId="24" applyNumberFormat="1" applyFont="1" applyFill="1" applyBorder="1" applyAlignment="1">
      <alignment horizontal="center" textRotation="90" wrapText="1"/>
    </xf>
    <xf numFmtId="49" fontId="32" fillId="0" borderId="2" xfId="24" applyNumberFormat="1" applyFont="1" applyFill="1" applyBorder="1" applyAlignment="1">
      <alignment horizontal="center" textRotation="90" wrapText="1"/>
    </xf>
    <xf numFmtId="49" fontId="31" fillId="0" borderId="2" xfId="24" applyNumberFormat="1" applyFont="1" applyFill="1" applyBorder="1" applyAlignment="1"/>
    <xf numFmtId="49" fontId="32" fillId="0" borderId="2" xfId="24" applyNumberFormat="1" applyFont="1" applyFill="1" applyBorder="1" applyAlignment="1">
      <alignment horizontal="left"/>
    </xf>
    <xf numFmtId="1" fontId="30" fillId="0" borderId="2" xfId="24" applyNumberFormat="1" applyFont="1" applyFill="1" applyBorder="1" applyAlignment="1">
      <alignment horizontal="center" wrapText="1"/>
    </xf>
    <xf numFmtId="49" fontId="22" fillId="0" borderId="1" xfId="23" applyNumberFormat="1" applyFont="1" applyFill="1" applyBorder="1" applyAlignment="1">
      <alignment horizontal="center" wrapText="1"/>
    </xf>
    <xf numFmtId="0" fontId="7" fillId="0" borderId="5" xfId="17" applyFont="1" applyBorder="1" applyAlignment="1">
      <alignment horizontal="center" vertical="center" wrapText="1"/>
    </xf>
    <xf numFmtId="9" fontId="15" fillId="0" borderId="1" xfId="14" applyFont="1" applyFill="1" applyBorder="1" applyAlignment="1">
      <alignment horizontal="center" textRotation="90" wrapText="1"/>
    </xf>
    <xf numFmtId="49" fontId="15" fillId="0" borderId="2" xfId="24" applyNumberFormat="1" applyFont="1" applyFill="1" applyBorder="1" applyAlignment="1">
      <alignment horizontal="center" textRotation="90" wrapText="1"/>
    </xf>
    <xf numFmtId="0" fontId="22" fillId="0" borderId="1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49" fontId="31" fillId="3" borderId="1" xfId="24" applyNumberFormat="1" applyFont="1" applyFill="1" applyBorder="1" applyAlignment="1">
      <alignment vertical="top"/>
    </xf>
    <xf numFmtId="49" fontId="31" fillId="3" borderId="1" xfId="24" applyNumberFormat="1" applyFont="1" applyFill="1" applyBorder="1" applyAlignment="1">
      <alignment horizontal="center" vertical="top"/>
    </xf>
    <xf numFmtId="166" fontId="31" fillId="3" borderId="1" xfId="24" applyNumberFormat="1" applyFont="1" applyFill="1" applyBorder="1" applyAlignment="1">
      <alignment horizontal="right" vertical="top"/>
    </xf>
    <xf numFmtId="49" fontId="31" fillId="3" borderId="1" xfId="24" applyNumberFormat="1" applyFont="1" applyFill="1" applyBorder="1" applyAlignment="1">
      <alignment horizontal="left" vertical="top"/>
    </xf>
    <xf numFmtId="166" fontId="31" fillId="3" borderId="1" xfId="24" applyNumberFormat="1" applyFont="1" applyFill="1" applyBorder="1" applyAlignment="1">
      <alignment horizontal="center" vertical="top"/>
    </xf>
    <xf numFmtId="49" fontId="32" fillId="3" borderId="1" xfId="24" applyNumberFormat="1" applyFont="1" applyFill="1" applyBorder="1" applyAlignment="1">
      <alignment horizontal="center" vertical="top"/>
    </xf>
    <xf numFmtId="49" fontId="32" fillId="3" borderId="1" xfId="24" quotePrefix="1" applyNumberFormat="1" applyFont="1" applyFill="1" applyBorder="1" applyAlignment="1">
      <alignment horizontal="left" vertical="top"/>
    </xf>
    <xf numFmtId="1" fontId="32" fillId="3" borderId="1" xfId="24" applyNumberFormat="1" applyFont="1" applyFill="1" applyBorder="1" applyAlignment="1">
      <alignment horizontal="center"/>
    </xf>
    <xf numFmtId="49" fontId="32" fillId="3" borderId="1" xfId="23" applyNumberFormat="1" applyFont="1" applyFill="1" applyBorder="1" applyAlignment="1">
      <alignment horizontal="center" vertical="top" wrapText="1"/>
    </xf>
    <xf numFmtId="0" fontId="32" fillId="5" borderId="1" xfId="17" applyFont="1" applyFill="1" applyBorder="1" applyAlignment="1">
      <alignment horizontal="center"/>
    </xf>
    <xf numFmtId="167" fontId="33" fillId="5" borderId="1" xfId="17" applyNumberFormat="1" applyFont="1" applyFill="1" applyBorder="1" applyAlignment="1">
      <alignment horizontal="center"/>
    </xf>
    <xf numFmtId="0" fontId="32" fillId="5" borderId="1" xfId="17" applyFont="1" applyFill="1" applyBorder="1" applyAlignment="1">
      <alignment horizontal="left"/>
    </xf>
    <xf numFmtId="0" fontId="34" fillId="0" borderId="1" xfId="0" applyFont="1" applyBorder="1"/>
    <xf numFmtId="0" fontId="34" fillId="0" borderId="0" xfId="0" applyFont="1"/>
    <xf numFmtId="0" fontId="22" fillId="0" borderId="0" xfId="0" applyFont="1" applyFill="1" applyBorder="1"/>
    <xf numFmtId="0" fontId="15" fillId="2" borderId="0" xfId="17" applyFont="1" applyFill="1" applyAlignment="1">
      <alignment horizontal="center" vertical="center"/>
    </xf>
    <xf numFmtId="0" fontId="22" fillId="6" borderId="0" xfId="17" applyFont="1" applyFill="1"/>
    <xf numFmtId="0" fontId="22" fillId="0" borderId="0" xfId="23" applyNumberFormat="1" applyFont="1" applyFill="1" applyAlignment="1"/>
    <xf numFmtId="0" fontId="22" fillId="6" borderId="0" xfId="17" applyFont="1" applyFill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34" fillId="0" borderId="2" xfId="0" applyFont="1" applyBorder="1"/>
    <xf numFmtId="0" fontId="36" fillId="0" borderId="0" xfId="0" applyFont="1" applyFill="1" applyBorder="1"/>
    <xf numFmtId="0" fontId="36" fillId="6" borderId="0" xfId="17" applyFont="1" applyFill="1"/>
    <xf numFmtId="0" fontId="36" fillId="0" borderId="0" xfId="25" applyFont="1" applyFill="1" applyBorder="1" applyAlignment="1">
      <alignment horizontal="left" vertical="center"/>
    </xf>
    <xf numFmtId="10" fontId="21" fillId="0" borderId="6" xfId="0" applyNumberFormat="1" applyFont="1" applyFill="1" applyBorder="1" applyAlignment="1">
      <alignment vertical="center"/>
    </xf>
    <xf numFmtId="0" fontId="37" fillId="0" borderId="0" xfId="25" applyFont="1" applyFill="1" applyBorder="1" applyAlignment="1">
      <alignment vertical="center"/>
    </xf>
    <xf numFmtId="0" fontId="37" fillId="0" borderId="0" xfId="25" applyFont="1" applyFill="1" applyBorder="1" applyAlignment="1">
      <alignment horizontal="left" vertical="center"/>
    </xf>
    <xf numFmtId="0" fontId="0" fillId="4" borderId="0" xfId="0" applyFill="1" applyBorder="1"/>
    <xf numFmtId="0" fontId="22" fillId="4" borderId="0" xfId="17" applyFont="1" applyFill="1" applyBorder="1"/>
    <xf numFmtId="0" fontId="0" fillId="0" borderId="0" xfId="0" applyFont="1" applyAlignment="1">
      <alignment horizontal="left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26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38" fillId="6" borderId="1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Fill="1"/>
    <xf numFmtId="0" fontId="5" fillId="0" borderId="0" xfId="0" applyFont="1" applyAlignment="1">
      <alignment horizontal="center"/>
    </xf>
    <xf numFmtId="0" fontId="29" fillId="2" borderId="0" xfId="17" applyFont="1" applyFill="1" applyAlignment="1">
      <alignment horizontal="center" vertical="center"/>
    </xf>
    <xf numFmtId="0" fontId="5" fillId="0" borderId="0" xfId="0" applyFont="1" applyFill="1" applyAlignment="1">
      <alignment horizontal="left"/>
    </xf>
    <xf numFmtId="0" fontId="36" fillId="0" borderId="0" xfId="23" applyNumberFormat="1" applyFont="1" applyFill="1" applyAlignment="1"/>
    <xf numFmtId="0" fontId="5" fillId="0" borderId="0" xfId="0" applyFont="1" applyAlignment="1">
      <alignment horizontal="left"/>
    </xf>
    <xf numFmtId="10" fontId="5" fillId="0" borderId="1" xfId="0" applyNumberFormat="1" applyFont="1" applyBorder="1"/>
    <xf numFmtId="0" fontId="5" fillId="0" borderId="0" xfId="0" applyFont="1" applyFill="1" applyBorder="1"/>
    <xf numFmtId="0" fontId="22" fillId="7" borderId="0" xfId="23" applyNumberFormat="1" applyFont="1" applyFill="1" applyAlignment="1"/>
    <xf numFmtId="0" fontId="36" fillId="5" borderId="0" xfId="23" applyNumberFormat="1" applyFont="1" applyFill="1" applyAlignment="1"/>
    <xf numFmtId="0" fontId="22" fillId="5" borderId="0" xfId="23" applyNumberFormat="1" applyFont="1" applyFill="1" applyAlignment="1"/>
    <xf numFmtId="10" fontId="5" fillId="0" borderId="6" xfId="0" applyNumberFormat="1" applyFont="1" applyFill="1" applyBorder="1" applyAlignment="1">
      <alignment vertical="center"/>
    </xf>
    <xf numFmtId="0" fontId="29" fillId="6" borderId="0" xfId="17" applyFont="1" applyFill="1" applyAlignment="1">
      <alignment horizontal="center" vertical="center"/>
    </xf>
    <xf numFmtId="0" fontId="15" fillId="6" borderId="0" xfId="17" applyFont="1" applyFill="1" applyAlignment="1">
      <alignment horizontal="center" vertic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15" fillId="2" borderId="0" xfId="17" applyFont="1" applyFill="1" applyBorder="1" applyAlignment="1">
      <alignment horizontal="center" vertical="center"/>
    </xf>
    <xf numFmtId="0" fontId="22" fillId="0" borderId="0" xfId="23" applyNumberFormat="1" applyFont="1" applyFill="1" applyBorder="1" applyAlignment="1"/>
    <xf numFmtId="0" fontId="0" fillId="6" borderId="0" xfId="0" applyFont="1" applyFill="1"/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0" xfId="0" applyFont="1"/>
    <xf numFmtId="0" fontId="27" fillId="5" borderId="0" xfId="0" applyFont="1" applyFill="1"/>
    <xf numFmtId="0" fontId="24" fillId="0" borderId="0" xfId="0" applyFont="1" applyFill="1" applyAlignment="1">
      <alignment horizontal="center"/>
    </xf>
    <xf numFmtId="0" fontId="26" fillId="5" borderId="0" xfId="0" applyFont="1" applyFill="1" applyBorder="1"/>
    <xf numFmtId="0" fontId="26" fillId="0" borderId="0" xfId="0" applyFont="1" applyAlignment="1">
      <alignment horizontal="left"/>
    </xf>
    <xf numFmtId="0" fontId="39" fillId="0" borderId="0" xfId="0" applyFont="1" applyFill="1" applyBorder="1"/>
    <xf numFmtId="0" fontId="24" fillId="0" borderId="0" xfId="0" applyFont="1"/>
    <xf numFmtId="0" fontId="24" fillId="0" borderId="0" xfId="0" applyFont="1" applyAlignment="1">
      <alignment horizontal="center"/>
    </xf>
    <xf numFmtId="0" fontId="40" fillId="2" borderId="0" xfId="17" applyFont="1" applyFill="1" applyAlignment="1">
      <alignment horizontal="center" vertical="center"/>
    </xf>
    <xf numFmtId="0" fontId="39" fillId="6" borderId="0" xfId="17" applyFont="1" applyFill="1"/>
    <xf numFmtId="0" fontId="24" fillId="0" borderId="0" xfId="0" applyFont="1" applyAlignment="1">
      <alignment horizontal="left"/>
    </xf>
    <xf numFmtId="0" fontId="39" fillId="0" borderId="0" xfId="23" applyNumberFormat="1" applyFont="1" applyFill="1" applyAlignment="1"/>
    <xf numFmtId="10" fontId="24" fillId="0" borderId="6" xfId="0" applyNumberFormat="1" applyFont="1" applyFill="1" applyBorder="1" applyAlignment="1">
      <alignment vertical="center"/>
    </xf>
    <xf numFmtId="0" fontId="2" fillId="5" borderId="0" xfId="0" applyFont="1" applyFill="1"/>
    <xf numFmtId="0" fontId="41" fillId="2" borderId="0" xfId="17" applyFont="1" applyFill="1" applyAlignment="1">
      <alignment horizontal="center" vertical="center"/>
    </xf>
    <xf numFmtId="0" fontId="25" fillId="6" borderId="0" xfId="17" applyFont="1" applyFill="1"/>
    <xf numFmtId="10" fontId="26" fillId="0" borderId="6" xfId="0" applyNumberFormat="1" applyFont="1" applyFill="1" applyBorder="1" applyAlignment="1">
      <alignment vertical="center"/>
    </xf>
    <xf numFmtId="0" fontId="26" fillId="0" borderId="0" xfId="0" applyFont="1" applyFill="1" applyAlignment="1">
      <alignment horizontal="left"/>
    </xf>
    <xf numFmtId="0" fontId="25" fillId="0" borderId="0" xfId="0" applyFont="1" applyFill="1" applyBorder="1"/>
    <xf numFmtId="0" fontId="1" fillId="0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Fill="1"/>
    <xf numFmtId="0" fontId="1" fillId="0" borderId="0" xfId="0" applyFont="1" applyBorder="1"/>
  </cellXfs>
  <cellStyles count="27">
    <cellStyle name="Hyperlink 3" xfId="1"/>
    <cellStyle name="Normal" xfId="0" builtinId="0"/>
    <cellStyle name="Normálna 2" xfId="2"/>
    <cellStyle name="Normálna 2 2" xfId="3"/>
    <cellStyle name="Normálna 3" xfId="4"/>
    <cellStyle name="Normálna 3 2" xfId="5"/>
    <cellStyle name="Normálna 4" xfId="6"/>
    <cellStyle name="normálne_Hárok1" xfId="7"/>
    <cellStyle name="normální 2" xfId="8"/>
    <cellStyle name="normální 2 2" xfId="9"/>
    <cellStyle name="normální 3" xfId="10"/>
    <cellStyle name="Normalny 14" xfId="11"/>
    <cellStyle name="Normalny 21" xfId="12"/>
    <cellStyle name="Normalny 4" xfId="13"/>
    <cellStyle name="Porcentaje" xfId="14" builtinId="5"/>
    <cellStyle name="Standard 11" xfId="15"/>
    <cellStyle name="Standard 2" xfId="16"/>
    <cellStyle name="Standard 2 10" xfId="17"/>
    <cellStyle name="Standard 3" xfId="18"/>
    <cellStyle name="Standard 4 2" xfId="19"/>
    <cellStyle name="Standard 5 2" xfId="20"/>
    <cellStyle name="Standard 6" xfId="21"/>
    <cellStyle name="Standard 7" xfId="22"/>
    <cellStyle name="Standard_KSK_ABS" xfId="23"/>
    <cellStyle name="Standard_TAB_016_450_451_Serie" xfId="24"/>
    <cellStyle name="Standard_V01_TAB_450AA_IR_inkl_aem072_230710_PIM_20110110" xfId="25"/>
    <cellStyle name="Stil 1" xfId="26"/>
  </cellStyles>
  <dxfs count="245"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"/>
  <dimension ref="A1:IP170"/>
  <sheetViews>
    <sheetView tabSelected="1" zoomScale="90" zoomScaleNormal="90" workbookViewId="0">
      <selection activeCell="C11" sqref="C11"/>
    </sheetView>
  </sheetViews>
  <sheetFormatPr baseColWidth="10" defaultColWidth="11.42578125" defaultRowHeight="15"/>
  <cols>
    <col min="1" max="1" width="12.28515625" style="93" customWidth="1"/>
    <col min="2" max="2" width="18.7109375" style="93" customWidth="1"/>
    <col min="3" max="3" width="7.28515625" style="93" customWidth="1"/>
    <col min="4" max="4" width="4.28515625" style="95" customWidth="1"/>
    <col min="5" max="5" width="15.85546875" style="93" customWidth="1"/>
    <col min="6" max="6" width="12" style="93" customWidth="1"/>
    <col min="7" max="7" width="3.140625" style="95" bestFit="1" customWidth="1"/>
    <col min="8" max="8" width="12.5703125" style="93" customWidth="1"/>
    <col min="9" max="9" width="3.140625" style="93" bestFit="1" customWidth="1"/>
    <col min="10" max="10" width="3.140625" style="95" bestFit="1" customWidth="1"/>
    <col min="11" max="11" width="4.28515625" style="93" customWidth="1"/>
    <col min="12" max="12" width="46.7109375" style="93" customWidth="1"/>
    <col min="13" max="13" width="27.42578125" style="93" customWidth="1"/>
    <col min="14" max="14" width="7.7109375" style="93" customWidth="1"/>
    <col min="15" max="15" width="8.140625" style="95" customWidth="1"/>
    <col min="16" max="16" width="8.42578125" style="93" customWidth="1"/>
    <col min="17" max="17" width="20" style="93" customWidth="1"/>
    <col min="18" max="18" width="15.28515625" style="93" customWidth="1"/>
    <col min="19" max="19" width="19.7109375" style="93" customWidth="1"/>
    <col min="20" max="21" width="7.5703125" style="93" customWidth="1"/>
    <col min="22" max="22" width="6.5703125" style="93" customWidth="1"/>
    <col min="23" max="23" width="7.5703125" style="93" customWidth="1"/>
    <col min="24" max="24" width="6.85546875" style="93" customWidth="1"/>
    <col min="25" max="27" width="3.5703125" style="93" customWidth="1"/>
    <col min="28" max="28" width="13.42578125" style="93" customWidth="1"/>
    <col min="29" max="29" width="15" style="93" customWidth="1"/>
    <col min="30" max="30" width="4.42578125" style="93" customWidth="1"/>
    <col min="31" max="32" width="15" style="93" customWidth="1"/>
    <col min="33" max="34" width="10.7109375" style="93" customWidth="1"/>
    <col min="35" max="250" width="11.42578125" style="93" customWidth="1"/>
    <col min="251" max="16384" width="11.42578125" style="2"/>
  </cols>
  <sheetData>
    <row r="1" spans="1:250" ht="114.75" thickBot="1">
      <c r="A1" s="17" t="s">
        <v>102</v>
      </c>
      <c r="B1" s="18" t="s">
        <v>103</v>
      </c>
      <c r="C1" s="19" t="s">
        <v>104</v>
      </c>
      <c r="D1" s="20" t="s">
        <v>105</v>
      </c>
      <c r="E1" s="21" t="s">
        <v>106</v>
      </c>
      <c r="F1" s="22" t="s">
        <v>107</v>
      </c>
      <c r="G1" s="23" t="s">
        <v>108</v>
      </c>
      <c r="H1" s="22" t="s">
        <v>109</v>
      </c>
      <c r="I1" s="23" t="s">
        <v>108</v>
      </c>
      <c r="J1" s="24" t="s">
        <v>110</v>
      </c>
      <c r="K1" s="24" t="s">
        <v>111</v>
      </c>
      <c r="L1" s="25" t="s">
        <v>112</v>
      </c>
      <c r="M1" s="26" t="s">
        <v>1</v>
      </c>
      <c r="N1" s="27" t="s">
        <v>113</v>
      </c>
      <c r="O1" s="27" t="s">
        <v>114</v>
      </c>
      <c r="P1" s="28" t="s">
        <v>115</v>
      </c>
      <c r="Q1" s="28" t="s">
        <v>116</v>
      </c>
      <c r="R1" s="28" t="s">
        <v>117</v>
      </c>
      <c r="S1" s="28" t="s">
        <v>118</v>
      </c>
      <c r="T1" s="28" t="s">
        <v>119</v>
      </c>
      <c r="U1" s="29"/>
      <c r="V1" s="29" t="s">
        <v>120</v>
      </c>
      <c r="W1" s="30" t="s">
        <v>121</v>
      </c>
      <c r="X1" s="30" t="s">
        <v>122</v>
      </c>
      <c r="Y1" s="31" t="s">
        <v>123</v>
      </c>
      <c r="Z1" s="31" t="s">
        <v>124</v>
      </c>
      <c r="AA1" s="31" t="s">
        <v>125</v>
      </c>
      <c r="AB1" s="20" t="s">
        <v>126</v>
      </c>
      <c r="AC1" s="32" t="s">
        <v>22</v>
      </c>
      <c r="AD1" s="92" t="s">
        <v>159</v>
      </c>
      <c r="AE1" s="32" t="s">
        <v>23</v>
      </c>
      <c r="AF1" s="32" t="s">
        <v>72</v>
      </c>
      <c r="AG1" s="33"/>
      <c r="AH1" s="33"/>
      <c r="AI1" s="34"/>
      <c r="AJ1" s="34"/>
      <c r="AK1" s="34"/>
      <c r="AL1" s="35"/>
      <c r="AM1" s="35"/>
      <c r="AN1" s="35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</row>
    <row r="2" spans="1:250" s="1" customFormat="1" ht="18.75" customHeight="1">
      <c r="A2" s="37"/>
      <c r="B2" s="38"/>
      <c r="C2" s="39"/>
      <c r="D2" s="40"/>
      <c r="E2" s="40"/>
      <c r="F2" s="41"/>
      <c r="G2" s="42"/>
      <c r="H2" s="41"/>
      <c r="I2" s="42"/>
      <c r="J2" s="43"/>
      <c r="K2" s="43"/>
      <c r="L2" s="44"/>
      <c r="M2" s="45"/>
      <c r="N2" s="46"/>
      <c r="O2" s="46"/>
      <c r="P2" s="47"/>
      <c r="Q2" s="47"/>
      <c r="R2" s="47"/>
      <c r="S2" s="48" t="s">
        <v>127</v>
      </c>
      <c r="T2" s="47"/>
      <c r="U2" s="47"/>
      <c r="V2" s="47"/>
      <c r="W2" s="49"/>
      <c r="X2" s="49"/>
      <c r="Y2" s="50"/>
      <c r="Z2" s="50"/>
      <c r="AA2" s="50"/>
      <c r="AB2" s="40"/>
      <c r="AC2" s="51"/>
      <c r="AD2" s="51"/>
      <c r="AE2" s="51"/>
      <c r="AF2" s="51"/>
      <c r="AG2" s="52"/>
      <c r="AH2" s="52"/>
      <c r="AI2" s="53"/>
      <c r="AJ2" s="53"/>
      <c r="AK2" s="53"/>
      <c r="AL2" s="35"/>
      <c r="AM2" s="35"/>
      <c r="AN2" s="35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</row>
    <row r="3" spans="1:250" ht="18.75">
      <c r="A3" s="54"/>
      <c r="B3" s="54"/>
      <c r="C3" s="55"/>
      <c r="D3" s="55"/>
      <c r="E3" s="56"/>
      <c r="F3" s="57"/>
      <c r="G3" s="58"/>
      <c r="H3" s="57"/>
      <c r="I3" s="55"/>
      <c r="J3" s="59"/>
      <c r="K3" s="55"/>
      <c r="L3" s="54"/>
      <c r="M3" s="60"/>
      <c r="N3" s="61"/>
      <c r="O3" s="61"/>
      <c r="P3" s="62"/>
      <c r="Q3" s="63"/>
      <c r="R3" s="63"/>
      <c r="S3" s="64">
        <v>2048</v>
      </c>
      <c r="T3" s="64"/>
      <c r="U3" s="64"/>
      <c r="V3" s="64"/>
      <c r="W3" s="65"/>
      <c r="X3" s="65"/>
      <c r="Y3" s="65"/>
      <c r="Z3" s="65"/>
      <c r="AA3" s="65"/>
      <c r="AB3" s="55"/>
      <c r="AC3" s="75"/>
      <c r="AD3" s="66"/>
      <c r="AE3" s="66"/>
      <c r="AF3" s="75"/>
      <c r="AG3" s="67"/>
      <c r="AH3" s="67"/>
      <c r="AI3" s="67"/>
      <c r="AJ3" s="67"/>
      <c r="AK3" s="67"/>
      <c r="AL3" s="67"/>
      <c r="AM3" s="67"/>
      <c r="AN3" s="67"/>
    </row>
    <row r="4" spans="1:250" s="73" customFormat="1">
      <c r="A4" s="76" t="s">
        <v>81</v>
      </c>
      <c r="B4" s="94" t="s">
        <v>13</v>
      </c>
      <c r="C4" s="93"/>
      <c r="D4" s="95" t="s">
        <v>14</v>
      </c>
      <c r="E4" s="96" t="str">
        <f t="shared" ref="E4:E58" si="0">CONCATENATE(IF(AC4&gt;0,$AC$1," ")," ",IF(AD4&gt;0,$AD$1," ")," ",IF(AE4&gt;0,$AE$1," ")," ",IF(AF4&gt;0,$AF$1," ")," ",IF(AG4&gt;0,$AG$1," ")," ",IF(AH4&gt;0,$AH$1," ")," ",IF(AI4&gt;0,$AI$1," ")," ",IF(AJ4&gt;0,$AJ$1," ")," ",IF(AK4&gt;0,$AK$1," "))</f>
        <v xml:space="preserve">VT01     VT04          </v>
      </c>
      <c r="F4" s="77" t="str">
        <f t="shared" ref="F4:F72" si="1">LEFT(Q4,11)</f>
        <v>9JA_974_000</v>
      </c>
      <c r="G4" s="90" t="s">
        <v>25</v>
      </c>
      <c r="H4" s="77" t="str">
        <f t="shared" ref="H4:H72" si="2">CONCATENATE(IF(MID(Q4,5,3)="974","1J21"),LEFT(F4,3),RIGHT(F4,3))</f>
        <v>1J219JA000</v>
      </c>
      <c r="I4" s="77" t="str">
        <f t="shared" ref="I4:I58" si="3">IF(G4=0,"00",IF(LEN(G4)=1,CONCATENATE(G4,0),G4))</f>
        <v>B0</v>
      </c>
      <c r="J4" s="90" t="s">
        <v>24</v>
      </c>
      <c r="K4" s="93"/>
      <c r="L4" s="73" t="s">
        <v>26</v>
      </c>
      <c r="M4" s="97"/>
      <c r="N4" s="93">
        <v>1912</v>
      </c>
      <c r="O4" s="95">
        <v>1917</v>
      </c>
      <c r="Q4" s="88" t="s">
        <v>100</v>
      </c>
      <c r="R4" s="28" t="str">
        <f t="shared" ref="R4:R72" si="4">IF(J4&lt;&gt;"",CONCATENATE(H4,I4,J4),CONCATENATE(H4,I4,K4))</f>
        <v>1J219JA000B0A</v>
      </c>
      <c r="S4" s="98" t="str">
        <f t="shared" ref="S4:S72" si="5">IF(N4="-","KEIN LIEFERUMFANG",IF(AND(N4&lt;=S$3,O4=""),"AKTUELL",IF(O4=N4,"KEIN SERIENEINSATZ",IF(N4&gt;S$3,"NOCH NICHT AKTUELL",IF(AND(N4&lt;S$3,O4&lt;S$3),"NICHT AKTUELL",IF(N4&lt;=S$3,"AKTUELL"))))))</f>
        <v>NICHT AKTUELL</v>
      </c>
      <c r="T4" s="93"/>
      <c r="U4" s="93"/>
      <c r="V4" s="93"/>
      <c r="W4" s="79">
        <v>0.15000000000000002</v>
      </c>
      <c r="X4" s="93"/>
      <c r="Y4" s="93" t="s">
        <v>14</v>
      </c>
      <c r="Z4" s="93" t="s">
        <v>14</v>
      </c>
      <c r="AA4" s="93" t="s">
        <v>0</v>
      </c>
      <c r="AB4" s="94" t="s">
        <v>128</v>
      </c>
      <c r="AC4" s="78" t="s">
        <v>84</v>
      </c>
      <c r="AD4" s="78"/>
      <c r="AE4" s="94"/>
      <c r="AF4" s="78" t="s">
        <v>86</v>
      </c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3"/>
      <c r="FK4" s="93"/>
      <c r="FL4" s="93"/>
      <c r="FM4" s="93"/>
      <c r="FN4" s="93"/>
      <c r="FO4" s="93"/>
      <c r="FP4" s="93"/>
      <c r="FQ4" s="93"/>
      <c r="FR4" s="93"/>
      <c r="FS4" s="93"/>
      <c r="FT4" s="93"/>
      <c r="FU4" s="93"/>
      <c r="FV4" s="93"/>
      <c r="FW4" s="93"/>
      <c r="FX4" s="93"/>
      <c r="FY4" s="93"/>
      <c r="FZ4" s="93"/>
      <c r="GA4" s="93"/>
      <c r="GB4" s="93"/>
      <c r="GC4" s="93"/>
      <c r="GD4" s="93"/>
      <c r="GE4" s="93"/>
      <c r="GF4" s="93"/>
      <c r="GG4" s="93"/>
      <c r="GH4" s="93"/>
      <c r="GI4" s="93"/>
      <c r="GJ4" s="93"/>
      <c r="GK4" s="93"/>
      <c r="GL4" s="93"/>
      <c r="GM4" s="93"/>
      <c r="GN4" s="93"/>
      <c r="GO4" s="93"/>
      <c r="GP4" s="93"/>
      <c r="GQ4" s="93"/>
      <c r="GR4" s="93"/>
      <c r="GS4" s="93"/>
      <c r="GT4" s="93"/>
      <c r="GU4" s="93"/>
      <c r="GV4" s="93"/>
      <c r="GW4" s="93"/>
      <c r="GX4" s="93"/>
      <c r="GY4" s="93"/>
      <c r="GZ4" s="93"/>
      <c r="HA4" s="93"/>
      <c r="HB4" s="93"/>
      <c r="HC4" s="93"/>
      <c r="HD4" s="93"/>
      <c r="HE4" s="93"/>
      <c r="HF4" s="93"/>
      <c r="HG4" s="93"/>
      <c r="HH4" s="93"/>
      <c r="HI4" s="93"/>
      <c r="HJ4" s="93"/>
      <c r="HK4" s="93"/>
      <c r="HL4" s="93"/>
      <c r="HM4" s="93"/>
      <c r="HN4" s="93"/>
      <c r="HO4" s="93"/>
      <c r="HP4" s="93"/>
      <c r="HQ4" s="93"/>
      <c r="HR4" s="93"/>
      <c r="HS4" s="93"/>
      <c r="HT4" s="93"/>
      <c r="HU4" s="93"/>
      <c r="HV4" s="93"/>
      <c r="HW4" s="93"/>
      <c r="HX4" s="93"/>
      <c r="HY4" s="93"/>
      <c r="HZ4" s="93"/>
      <c r="IA4" s="93"/>
      <c r="IB4" s="93"/>
      <c r="IC4" s="93"/>
      <c r="ID4" s="93"/>
      <c r="IE4" s="93"/>
      <c r="IF4" s="93"/>
      <c r="IG4" s="93"/>
      <c r="IH4" s="93"/>
      <c r="II4" s="93"/>
      <c r="IJ4" s="93"/>
      <c r="IK4" s="93"/>
      <c r="IL4" s="93"/>
      <c r="IM4" s="93"/>
      <c r="IN4" s="93"/>
      <c r="IO4" s="93"/>
      <c r="IP4" s="93"/>
    </row>
    <row r="5" spans="1:250">
      <c r="A5" s="68" t="s">
        <v>81</v>
      </c>
      <c r="B5" s="5" t="s">
        <v>13</v>
      </c>
      <c r="D5" s="95" t="s">
        <v>14</v>
      </c>
      <c r="E5" s="69" t="str">
        <f t="shared" si="0"/>
        <v xml:space="preserve">VT01     VT04          </v>
      </c>
      <c r="F5" s="70" t="str">
        <f t="shared" si="1"/>
        <v>9JA_974_000</v>
      </c>
      <c r="G5" s="90" t="s">
        <v>25</v>
      </c>
      <c r="H5" s="70" t="str">
        <f t="shared" si="2"/>
        <v>1J219JA000</v>
      </c>
      <c r="I5" s="70" t="str">
        <f t="shared" si="3"/>
        <v>B0</v>
      </c>
      <c r="J5" s="90" t="s">
        <v>25</v>
      </c>
      <c r="L5" s="2" t="s">
        <v>26</v>
      </c>
      <c r="M5" s="4">
        <v>6013</v>
      </c>
      <c r="N5" s="93">
        <v>1918</v>
      </c>
      <c r="O5" s="114">
        <v>2024</v>
      </c>
      <c r="P5" s="88" t="s">
        <v>130</v>
      </c>
      <c r="Q5" s="1" t="s">
        <v>100</v>
      </c>
      <c r="R5" s="28" t="str">
        <f t="shared" si="4"/>
        <v>1J219JA000B0B</v>
      </c>
      <c r="S5" s="71" t="str">
        <f t="shared" si="5"/>
        <v>NICHT AKTUELL</v>
      </c>
      <c r="W5" s="79">
        <v>0.15000000000000002</v>
      </c>
      <c r="Y5" s="93" t="s">
        <v>14</v>
      </c>
      <c r="Z5" s="93" t="s">
        <v>14</v>
      </c>
      <c r="AA5" s="93" t="s">
        <v>0</v>
      </c>
      <c r="AB5" s="94" t="s">
        <v>128</v>
      </c>
      <c r="AC5" s="81" t="s">
        <v>131</v>
      </c>
      <c r="AD5" s="78"/>
      <c r="AE5" s="94"/>
      <c r="AF5" s="78" t="s">
        <v>138</v>
      </c>
      <c r="AG5" s="94"/>
      <c r="AH5" s="94"/>
    </row>
    <row r="6" spans="1:250">
      <c r="A6" s="68" t="s">
        <v>81</v>
      </c>
      <c r="B6" s="5" t="s">
        <v>13</v>
      </c>
      <c r="D6" s="95" t="s">
        <v>14</v>
      </c>
      <c r="E6" s="69" t="str">
        <f t="shared" ref="E6" si="6">CONCATENATE(IF(AC6&gt;0,$AC$1," ")," ",IF(AD6&gt;0,$AD$1," ")," ",IF(AE6&gt;0,$AE$1," ")," ",IF(AF6&gt;0,$AF$1," ")," ",IF(AG6&gt;0,$AG$1," ")," ",IF(AH6&gt;0,$AH$1," ")," ",IF(AI6&gt;0,$AI$1," ")," ",IF(AJ6&gt;0,$AJ$1," ")," ",IF(AK6&gt;0,$AK$1," "))</f>
        <v xml:space="preserve">VT01     VT04          </v>
      </c>
      <c r="F6" s="70" t="str">
        <f t="shared" ref="F6" si="7">LEFT(Q6,11)</f>
        <v>9JA_974_000</v>
      </c>
      <c r="G6" s="90" t="s">
        <v>25</v>
      </c>
      <c r="H6" s="70" t="str">
        <f t="shared" ref="H6" si="8">CONCATENATE(IF(MID(Q6,5,3)="974","1J21"),LEFT(F6,3),RIGHT(F6,3))</f>
        <v>1J219JA000</v>
      </c>
      <c r="I6" s="70" t="str">
        <f t="shared" ref="I6" si="9">IF(G6=0,"00",IF(LEN(G6)=1,CONCATENATE(G6,0),G6))</f>
        <v>B0</v>
      </c>
      <c r="J6" s="134" t="s">
        <v>85</v>
      </c>
      <c r="K6" s="113"/>
      <c r="L6" s="2" t="s">
        <v>26</v>
      </c>
      <c r="M6" s="4">
        <v>6013</v>
      </c>
      <c r="N6" s="93">
        <v>2025</v>
      </c>
      <c r="O6" s="136">
        <v>2047</v>
      </c>
      <c r="P6" s="88" t="s">
        <v>130</v>
      </c>
      <c r="Q6" s="1" t="s">
        <v>100</v>
      </c>
      <c r="R6" s="28" t="str">
        <f t="shared" si="4"/>
        <v>1J219JA000B0C</v>
      </c>
      <c r="S6" s="71" t="str">
        <f t="shared" ref="S6" si="10">IF(N6="-","KEIN LIEFERUMFANG",IF(AND(N6&lt;=S$3,O6=""),"AKTUELL",IF(O6=N6,"KEIN SERIENEINSATZ",IF(N6&gt;S$3,"NOCH NICHT AKTUELL",IF(AND(N6&lt;S$3,O6&lt;S$3),"NICHT AKTUELL",IF(N6&lt;=S$3,"AKTUELL"))))))</f>
        <v>NICHT AKTUELL</v>
      </c>
      <c r="W6" s="79">
        <v>0.15000000000000002</v>
      </c>
      <c r="Y6" s="93" t="s">
        <v>14</v>
      </c>
      <c r="Z6" s="93" t="s">
        <v>14</v>
      </c>
      <c r="AA6" s="93" t="s">
        <v>0</v>
      </c>
      <c r="AB6" s="94" t="s">
        <v>128</v>
      </c>
      <c r="AC6" s="81" t="s">
        <v>131</v>
      </c>
      <c r="AD6" s="78"/>
      <c r="AE6" s="94"/>
      <c r="AF6" s="78" t="s">
        <v>138</v>
      </c>
      <c r="AG6" s="94"/>
      <c r="AH6" s="94"/>
    </row>
    <row r="7" spans="1:250">
      <c r="A7" s="68" t="s">
        <v>81</v>
      </c>
      <c r="B7" s="5" t="s">
        <v>13</v>
      </c>
      <c r="D7" s="95" t="s">
        <v>14</v>
      </c>
      <c r="E7" s="69" t="str">
        <f t="shared" ref="E7" si="11">CONCATENATE(IF(AC7&gt;0,$AC$1," ")," ",IF(AD7&gt;0,$AD$1," ")," ",IF(AE7&gt;0,$AE$1," ")," ",IF(AF7&gt;0,$AF$1," ")," ",IF(AG7&gt;0,$AG$1," ")," ",IF(AH7&gt;0,$AH$1," ")," ",IF(AI7&gt;0,$AI$1," ")," ",IF(AJ7&gt;0,$AJ$1," ")," ",IF(AK7&gt;0,$AK$1," "))</f>
        <v xml:space="preserve">VT01     VT04          </v>
      </c>
      <c r="F7" s="70" t="str">
        <f t="shared" ref="F7" si="12">LEFT(Q7,11)</f>
        <v>9JA_974_000</v>
      </c>
      <c r="G7" s="90" t="s">
        <v>25</v>
      </c>
      <c r="H7" s="70" t="str">
        <f t="shared" ref="H7" si="13">CONCATENATE(IF(MID(Q7,5,3)="974","1J21"),LEFT(F7,3),RIGHT(F7,3))</f>
        <v>1J219JA000</v>
      </c>
      <c r="I7" s="70" t="str">
        <f t="shared" ref="I7" si="14">IF(G7=0,"00",IF(LEN(G7)=1,CONCATENATE(G7,0),G7))</f>
        <v>B0</v>
      </c>
      <c r="J7" s="90"/>
      <c r="K7" s="14" t="s">
        <v>93</v>
      </c>
      <c r="L7" s="2" t="s">
        <v>26</v>
      </c>
      <c r="M7" s="132">
        <v>7203</v>
      </c>
      <c r="N7" s="16">
        <v>2048</v>
      </c>
      <c r="O7" s="87"/>
      <c r="P7" s="88" t="s">
        <v>130</v>
      </c>
      <c r="Q7" s="1" t="s">
        <v>100</v>
      </c>
      <c r="R7" s="28" t="str">
        <f t="shared" si="4"/>
        <v>1J219JA000B0D</v>
      </c>
      <c r="S7" s="71" t="str">
        <f t="shared" ref="S7" si="15">IF(N7="-","KEIN LIEFERUMFANG",IF(AND(N7&lt;=S$3,O7=""),"AKTUELL",IF(O7=N7,"KEIN SERIENEINSATZ",IF(N7&gt;S$3,"NOCH NICHT AKTUELL",IF(AND(N7&lt;S$3,O7&lt;S$3),"NICHT AKTUELL",IF(N7&lt;=S$3,"AKTUELL"))))))</f>
        <v>AKTUELL</v>
      </c>
      <c r="W7" s="79">
        <v>0.15000000000000002</v>
      </c>
      <c r="Y7" s="93" t="s">
        <v>14</v>
      </c>
      <c r="Z7" s="93" t="s">
        <v>14</v>
      </c>
      <c r="AA7" s="93" t="s">
        <v>0</v>
      </c>
      <c r="AB7" s="94" t="s">
        <v>128</v>
      </c>
      <c r="AC7" s="81" t="s">
        <v>131</v>
      </c>
      <c r="AD7" s="78"/>
      <c r="AE7" s="94"/>
      <c r="AF7" s="78" t="s">
        <v>138</v>
      </c>
      <c r="AG7" s="94"/>
      <c r="AH7" s="94"/>
    </row>
    <row r="8" spans="1:250" s="73" customFormat="1">
      <c r="A8" s="76" t="s">
        <v>81</v>
      </c>
      <c r="B8" s="94" t="s">
        <v>13</v>
      </c>
      <c r="C8" s="93"/>
      <c r="D8" s="95" t="s">
        <v>14</v>
      </c>
      <c r="E8" s="96" t="str">
        <f>CONCATENATE(IF(AC8&gt;0,$AC$1," ")," ",IF(AD8&gt;0,$AD$1," ")," ",IF(AE8&gt;0,$AE$1," ")," ",IF(AF8&gt;0,$AF$1," ")," ",IF(AG8&gt;0,$AG$1," ")," ",IF(AH8&gt;0,$AH$1," ")," ",IF(AI8&gt;0,$AI$1," ")," ",IF(AJ8&gt;0,$AJ$1," ")," ",IF(AK8&gt;0,$AK$1," "))</f>
        <v xml:space="preserve">VT01     VT04          </v>
      </c>
      <c r="F8" s="77" t="str">
        <f>LEFT(Q8,11)</f>
        <v>9JA_974_000</v>
      </c>
      <c r="G8" s="90" t="s">
        <v>85</v>
      </c>
      <c r="H8" s="77" t="str">
        <f>CONCATENATE(IF(MID(Q8,5,3)="974","1J21"),LEFT(F8,3),RIGHT(F8,3))</f>
        <v>1J219JA000</v>
      </c>
      <c r="I8" s="77" t="str">
        <f>IF(G8=0,"00",IF(LEN(G8)=1,CONCATENATE(G8,0),G8))</f>
        <v>C0</v>
      </c>
      <c r="J8" s="90" t="s">
        <v>24</v>
      </c>
      <c r="K8" s="93"/>
      <c r="L8" s="73" t="s">
        <v>26</v>
      </c>
      <c r="M8" s="97">
        <v>6617</v>
      </c>
      <c r="N8" s="93">
        <v>1950</v>
      </c>
      <c r="O8" s="95">
        <v>2020</v>
      </c>
      <c r="P8" s="88" t="s">
        <v>147</v>
      </c>
      <c r="Q8" s="88" t="s">
        <v>151</v>
      </c>
      <c r="R8" s="28" t="str">
        <f t="shared" si="4"/>
        <v>1J219JA000C0A</v>
      </c>
      <c r="S8" s="98" t="str">
        <f>IF(N8="-","KEIN LIEFERUMFANG",IF(AND(N8&lt;=S$3,O8=""),"AKTUELL",IF(O8=N8,"KEIN SERIENEINSATZ",IF(N8&gt;S$3,"NOCH NICHT AKTUELL",IF(AND(N8&lt;S$3,O8&lt;S$3),"NICHT AKTUELL",IF(N8&lt;=S$3,"AKTUELL"))))))</f>
        <v>NICHT AKTUELL</v>
      </c>
      <c r="T8" s="93"/>
      <c r="U8" s="93"/>
      <c r="V8" s="93"/>
      <c r="W8" s="105">
        <v>0</v>
      </c>
      <c r="X8" s="93"/>
      <c r="Y8" s="93" t="s">
        <v>14</v>
      </c>
      <c r="Z8" s="93" t="s">
        <v>14</v>
      </c>
      <c r="AA8" s="93" t="s">
        <v>0</v>
      </c>
      <c r="AB8" s="94" t="s">
        <v>128</v>
      </c>
      <c r="AC8" s="81" t="s">
        <v>131</v>
      </c>
      <c r="AD8" s="78"/>
      <c r="AE8" s="94"/>
      <c r="AF8" s="78" t="s">
        <v>138</v>
      </c>
      <c r="AG8" s="94"/>
      <c r="AH8" s="94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93"/>
      <c r="CA8" s="93"/>
      <c r="CB8" s="93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93"/>
      <c r="DI8" s="93"/>
      <c r="DJ8" s="93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  <c r="FN8" s="93"/>
      <c r="FO8" s="93"/>
      <c r="FP8" s="93"/>
      <c r="FQ8" s="93"/>
      <c r="FR8" s="93"/>
      <c r="FS8" s="93"/>
      <c r="FT8" s="93"/>
      <c r="FU8" s="93"/>
      <c r="FV8" s="93"/>
      <c r="FW8" s="93"/>
      <c r="FX8" s="93"/>
      <c r="FY8" s="93"/>
      <c r="FZ8" s="93"/>
      <c r="GA8" s="93"/>
      <c r="GB8" s="93"/>
      <c r="GC8" s="93"/>
      <c r="GD8" s="93"/>
      <c r="GE8" s="93"/>
      <c r="GF8" s="93"/>
      <c r="GG8" s="93"/>
      <c r="GH8" s="93"/>
      <c r="GI8" s="93"/>
      <c r="GJ8" s="93"/>
      <c r="GK8" s="93"/>
      <c r="GL8" s="93"/>
      <c r="GM8" s="93"/>
      <c r="GN8" s="93"/>
      <c r="GO8" s="93"/>
      <c r="GP8" s="93"/>
      <c r="GQ8" s="93"/>
      <c r="GR8" s="93"/>
      <c r="GS8" s="93"/>
      <c r="GT8" s="93"/>
      <c r="GU8" s="93"/>
      <c r="GV8" s="93"/>
      <c r="GW8" s="93"/>
      <c r="GX8" s="93"/>
      <c r="GY8" s="93"/>
      <c r="GZ8" s="93"/>
      <c r="HA8" s="93"/>
      <c r="HB8" s="93"/>
      <c r="HC8" s="93"/>
      <c r="HD8" s="93"/>
      <c r="HE8" s="93"/>
      <c r="HF8" s="93"/>
      <c r="HG8" s="93"/>
      <c r="HH8" s="93"/>
      <c r="HI8" s="93"/>
      <c r="HJ8" s="93"/>
      <c r="HK8" s="93"/>
      <c r="HL8" s="93"/>
      <c r="HM8" s="93"/>
      <c r="HN8" s="93"/>
      <c r="HO8" s="93"/>
      <c r="HP8" s="93"/>
      <c r="HQ8" s="93"/>
      <c r="HR8" s="93"/>
      <c r="HS8" s="93"/>
      <c r="HT8" s="93"/>
      <c r="HU8" s="93"/>
      <c r="HV8" s="93"/>
      <c r="HW8" s="93"/>
      <c r="HX8" s="93"/>
      <c r="HY8" s="93"/>
      <c r="HZ8" s="93"/>
      <c r="IA8" s="93"/>
      <c r="IB8" s="93"/>
      <c r="IC8" s="93"/>
      <c r="ID8" s="93"/>
      <c r="IE8" s="93"/>
      <c r="IF8" s="93"/>
      <c r="IG8" s="93"/>
      <c r="IH8" s="93"/>
      <c r="II8" s="93"/>
      <c r="IJ8" s="93"/>
      <c r="IK8" s="93"/>
      <c r="IL8" s="93"/>
      <c r="IM8" s="93"/>
      <c r="IN8" s="93"/>
      <c r="IO8" s="93"/>
      <c r="IP8" s="93"/>
    </row>
    <row r="9" spans="1:250" s="12" customFormat="1">
      <c r="A9" s="76" t="s">
        <v>81</v>
      </c>
      <c r="B9" s="94" t="s">
        <v>13</v>
      </c>
      <c r="C9" s="93"/>
      <c r="D9" s="95" t="s">
        <v>14</v>
      </c>
      <c r="E9" s="96" t="str">
        <f>CONCATENATE(IF(AC9&gt;0,$AC$1," ")," ",IF(AD9&gt;0,$AD$1," ")," ",IF(AE9&gt;0,$AE$1," ")," ",IF(AF9&gt;0,$AF$1," ")," ",IF(AG9&gt;0,$AG$1," ")," ",IF(AH9&gt;0,$AH$1," ")," ",IF(AI9&gt;0,$AI$1," ")," ",IF(AJ9&gt;0,$AJ$1," ")," ",IF(AK9&gt;0,$AK$1," "))</f>
        <v xml:space="preserve">VT01     VT04          </v>
      </c>
      <c r="F9" s="77" t="str">
        <f>LEFT(Q9,11)</f>
        <v>9JA_974_000</v>
      </c>
      <c r="G9" s="90" t="s">
        <v>85</v>
      </c>
      <c r="H9" s="77" t="str">
        <f>CONCATENATE(IF(MID(Q9,5,3)="974","1J21"),LEFT(F9,3),RIGHT(F9,3))</f>
        <v>1J219JA000</v>
      </c>
      <c r="I9" s="77" t="str">
        <f>IF(G9=0,"00",IF(LEN(G9)=1,CONCATENATE(G9,0),G9))</f>
        <v>C0</v>
      </c>
      <c r="J9" s="90" t="s">
        <v>25</v>
      </c>
      <c r="L9" s="73" t="s">
        <v>26</v>
      </c>
      <c r="M9" s="97" t="s">
        <v>175</v>
      </c>
      <c r="N9" s="93">
        <v>2003</v>
      </c>
      <c r="O9" s="95">
        <v>2020</v>
      </c>
      <c r="P9" s="94" t="s">
        <v>147</v>
      </c>
      <c r="Q9" s="88" t="s">
        <v>151</v>
      </c>
      <c r="R9" s="28" t="str">
        <f t="shared" si="4"/>
        <v>1J219JA000C0B</v>
      </c>
      <c r="S9" s="98" t="str">
        <f>IF(N9="-","KEIN LIEFERUMFANG",IF(AND(N9&lt;=S$3,O9=""),"AKTUELL",IF(O9=N9,"KEIN SERIENEINSATZ",IF(N9&gt;S$3,"NOCH NICHT AKTUELL",IF(AND(N9&lt;S$3,O9&lt;S$3),"NICHT AKTUELL",IF(N9&lt;=S$3,"AKTUELL"))))))</f>
        <v>NICHT AKTUELL</v>
      </c>
      <c r="T9" s="16"/>
      <c r="U9" s="16"/>
      <c r="V9" s="16"/>
      <c r="W9" s="105">
        <v>0</v>
      </c>
      <c r="X9" s="93"/>
      <c r="Y9" s="93" t="s">
        <v>14</v>
      </c>
      <c r="Z9" s="93" t="s">
        <v>14</v>
      </c>
      <c r="AA9" s="93" t="s">
        <v>0</v>
      </c>
      <c r="AB9" s="94" t="s">
        <v>128</v>
      </c>
      <c r="AC9" s="81" t="s">
        <v>131</v>
      </c>
      <c r="AD9" s="78"/>
      <c r="AE9" s="94"/>
      <c r="AF9" s="78" t="s">
        <v>138</v>
      </c>
      <c r="AG9" s="8"/>
      <c r="AH9" s="8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</row>
    <row r="10" spans="1:250" s="12" customFormat="1">
      <c r="A10" s="76" t="s">
        <v>81</v>
      </c>
      <c r="B10" s="94" t="s">
        <v>13</v>
      </c>
      <c r="C10" s="93"/>
      <c r="D10" s="95" t="s">
        <v>14</v>
      </c>
      <c r="E10" s="96" t="str">
        <f>CONCATENATE(IF(AC10&gt;0,$AC$1," ")," ",IF(AD10&gt;0,$AD$1," ")," ",IF(AE10&gt;0,$AE$1," ")," ",IF(AF10&gt;0,$AF$1," ")," ",IF(AG10&gt;0,$AG$1," ")," ",IF(AH10&gt;0,$AH$1," ")," ",IF(AI10&gt;0,$AI$1," ")," ",IF(AJ10&gt;0,$AJ$1," ")," ",IF(AK10&gt;0,$AK$1," "))</f>
        <v xml:space="preserve">VT01     VT04          </v>
      </c>
      <c r="F10" s="77" t="str">
        <f>LEFT(Q10,11)</f>
        <v>9JA_974_000</v>
      </c>
      <c r="G10" s="90" t="s">
        <v>85</v>
      </c>
      <c r="H10" s="77" t="str">
        <f>CONCATENATE(IF(MID(Q10,5,3)="974","1J21"),LEFT(F10,3),RIGHT(F10,3))</f>
        <v>1J219JA000</v>
      </c>
      <c r="I10" s="77" t="str">
        <f>IF(G10=0,"00",IF(LEN(G10)=1,CONCATENATE(G10,0),G10))</f>
        <v>C0</v>
      </c>
      <c r="J10" s="90" t="s">
        <v>85</v>
      </c>
      <c r="L10" s="73" t="s">
        <v>26</v>
      </c>
      <c r="M10" s="97" t="s">
        <v>160</v>
      </c>
      <c r="N10" s="93">
        <v>2021</v>
      </c>
      <c r="O10" s="95">
        <v>2047</v>
      </c>
      <c r="P10" s="94" t="s">
        <v>147</v>
      </c>
      <c r="Q10" s="88" t="s">
        <v>151</v>
      </c>
      <c r="R10" s="28" t="str">
        <f t="shared" si="4"/>
        <v>1J219JA000C0C</v>
      </c>
      <c r="S10" s="98" t="str">
        <f>IF(N10="-","KEIN LIEFERUMFANG",IF(AND(N10&lt;=S$3,O10=""),"AKTUELL",IF(O10=N10,"KEIN SERIENEINSATZ",IF(N10&gt;S$3,"NOCH NICHT AKTUELL",IF(AND(N10&lt;S$3,O10&lt;S$3),"NICHT AKTUELL",IF(N10&lt;=S$3,"AKTUELL"))))))</f>
        <v>NICHT AKTUELL</v>
      </c>
      <c r="T10" s="16"/>
      <c r="U10" s="16"/>
      <c r="V10" s="16"/>
      <c r="W10" s="105">
        <v>0</v>
      </c>
      <c r="X10" s="93"/>
      <c r="Y10" s="93" t="s">
        <v>14</v>
      </c>
      <c r="Z10" s="93" t="s">
        <v>14</v>
      </c>
      <c r="AA10" s="93" t="s">
        <v>0</v>
      </c>
      <c r="AB10" s="94" t="s">
        <v>128</v>
      </c>
      <c r="AC10" s="81" t="s">
        <v>131</v>
      </c>
      <c r="AD10" s="78"/>
      <c r="AE10" s="94"/>
      <c r="AF10" s="78" t="s">
        <v>138</v>
      </c>
      <c r="AG10" s="8"/>
      <c r="AH10" s="8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</row>
    <row r="11" spans="1:250" s="12" customFormat="1">
      <c r="A11" s="76" t="s">
        <v>81</v>
      </c>
      <c r="B11" s="94" t="s">
        <v>13</v>
      </c>
      <c r="C11" s="93"/>
      <c r="D11" s="95" t="s">
        <v>14</v>
      </c>
      <c r="E11" s="96" t="str">
        <f>CONCATENATE(IF(AC11&gt;0,$AC$1," ")," ",IF(AD11&gt;0,$AD$1," ")," ",IF(AE11&gt;0,$AE$1," ")," ",IF(AF11&gt;0,$AF$1," ")," ",IF(AG11&gt;0,$AG$1," ")," ",IF(AH11&gt;0,$AH$1," ")," ",IF(AI11&gt;0,$AI$1," ")," ",IF(AJ11&gt;0,$AJ$1," ")," ",IF(AK11&gt;0,$AK$1," "))</f>
        <v xml:space="preserve">VT01     VT04          </v>
      </c>
      <c r="F11" s="77" t="str">
        <f>LEFT(Q11,11)</f>
        <v>9JA_974_000</v>
      </c>
      <c r="G11" s="90" t="s">
        <v>85</v>
      </c>
      <c r="H11" s="77" t="str">
        <f>CONCATENATE(IF(MID(Q11,5,3)="974","1J21"),LEFT(F11,3),RIGHT(F11,3))</f>
        <v>1J219JA000</v>
      </c>
      <c r="I11" s="77" t="str">
        <f>IF(G11=0,"00",IF(LEN(G11)=1,CONCATENATE(G11,0),G11))</f>
        <v>C0</v>
      </c>
      <c r="J11" s="90"/>
      <c r="K11" s="116" t="s">
        <v>93</v>
      </c>
      <c r="L11" s="73" t="s">
        <v>26</v>
      </c>
      <c r="M11" s="132">
        <v>7203</v>
      </c>
      <c r="N11" s="16">
        <v>2048</v>
      </c>
      <c r="O11" s="95"/>
      <c r="P11" s="94" t="s">
        <v>147</v>
      </c>
      <c r="Q11" s="88" t="s">
        <v>151</v>
      </c>
      <c r="R11" s="28" t="str">
        <f t="shared" si="4"/>
        <v>1J219JA000C0D</v>
      </c>
      <c r="S11" s="98" t="str">
        <f>IF(N11="-","KEIN LIEFERUMFANG",IF(AND(N11&lt;=S$3,O11=""),"AKTUELL",IF(O11=N11,"KEIN SERIENEINSATZ",IF(N11&gt;S$3,"NOCH NICHT AKTUELL",IF(AND(N11&lt;S$3,O11&lt;S$3),"NICHT AKTUELL",IF(N11&lt;=S$3,"AKTUELL"))))))</f>
        <v>AKTUELL</v>
      </c>
      <c r="T11" s="16"/>
      <c r="U11" s="16"/>
      <c r="V11" s="16"/>
      <c r="W11" s="105">
        <v>0</v>
      </c>
      <c r="X11" s="93"/>
      <c r="Y11" s="93" t="s">
        <v>14</v>
      </c>
      <c r="Z11" s="93" t="s">
        <v>14</v>
      </c>
      <c r="AA11" s="93" t="s">
        <v>0</v>
      </c>
      <c r="AB11" s="94" t="s">
        <v>128</v>
      </c>
      <c r="AC11" s="81" t="s">
        <v>131</v>
      </c>
      <c r="AD11" s="78"/>
      <c r="AE11" s="94"/>
      <c r="AF11" s="78" t="s">
        <v>138</v>
      </c>
      <c r="AG11" s="8"/>
      <c r="AH11" s="8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</row>
    <row r="12" spans="1:250" s="73" customFormat="1">
      <c r="A12" s="76" t="s">
        <v>81</v>
      </c>
      <c r="B12" s="94" t="s">
        <v>5</v>
      </c>
      <c r="C12" s="93"/>
      <c r="D12" s="95" t="s">
        <v>14</v>
      </c>
      <c r="E12" s="96" t="str">
        <f t="shared" si="0"/>
        <v xml:space="preserve">                 </v>
      </c>
      <c r="F12" s="77" t="str">
        <f t="shared" si="1"/>
        <v>9JA_974_029</v>
      </c>
      <c r="G12" s="95">
        <v>0</v>
      </c>
      <c r="H12" s="77" t="str">
        <f t="shared" si="2"/>
        <v>1J219JA029</v>
      </c>
      <c r="I12" s="77" t="str">
        <f t="shared" si="3"/>
        <v>00</v>
      </c>
      <c r="J12" s="90" t="s">
        <v>93</v>
      </c>
      <c r="K12" s="93"/>
      <c r="L12" s="88" t="s">
        <v>28</v>
      </c>
      <c r="M12" s="99"/>
      <c r="N12" s="93">
        <v>1903</v>
      </c>
      <c r="O12" s="95">
        <v>1917</v>
      </c>
      <c r="P12" s="94"/>
      <c r="Q12" s="88" t="s">
        <v>27</v>
      </c>
      <c r="R12" s="28" t="str">
        <f t="shared" si="4"/>
        <v>1J219JA02900D</v>
      </c>
      <c r="S12" s="98" t="str">
        <f t="shared" si="5"/>
        <v>NICHT AKTUELL</v>
      </c>
      <c r="T12" s="93"/>
      <c r="U12" s="93"/>
      <c r="V12" s="93"/>
      <c r="W12" s="100">
        <v>3.2399999999999998E-2</v>
      </c>
      <c r="X12" s="93"/>
      <c r="Y12" s="93" t="s">
        <v>0</v>
      </c>
      <c r="Z12" s="93" t="s">
        <v>14</v>
      </c>
      <c r="AA12" s="93" t="s">
        <v>0</v>
      </c>
      <c r="AB12" s="94"/>
      <c r="AC12" s="101"/>
      <c r="AD12" s="94"/>
      <c r="AE12" s="94"/>
      <c r="AF12" s="101"/>
      <c r="AG12" s="94"/>
      <c r="AH12" s="94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  <c r="BI12" s="93"/>
      <c r="BJ12" s="93"/>
      <c r="BK12" s="93"/>
      <c r="BL12" s="93"/>
      <c r="BM12" s="93"/>
      <c r="BN12" s="93"/>
      <c r="BO12" s="93"/>
      <c r="BP12" s="93"/>
      <c r="BQ12" s="93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3"/>
      <c r="CG12" s="93"/>
      <c r="CH12" s="93"/>
      <c r="CI12" s="93"/>
      <c r="CJ12" s="93"/>
      <c r="CK12" s="93"/>
      <c r="CL12" s="93"/>
      <c r="CM12" s="93"/>
      <c r="CN12" s="93"/>
      <c r="CO12" s="93"/>
      <c r="CP12" s="93"/>
      <c r="CQ12" s="93"/>
      <c r="CR12" s="93"/>
      <c r="CS12" s="93"/>
      <c r="CT12" s="93"/>
      <c r="CU12" s="93"/>
      <c r="CV12" s="93"/>
      <c r="CW12" s="93"/>
      <c r="CX12" s="93"/>
      <c r="CY12" s="93"/>
      <c r="CZ12" s="93"/>
      <c r="DA12" s="93"/>
      <c r="DB12" s="93"/>
      <c r="DC12" s="93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  <c r="EI12" s="93"/>
      <c r="EJ12" s="93"/>
      <c r="EK12" s="93"/>
      <c r="EL12" s="93"/>
      <c r="EM12" s="93"/>
      <c r="EN12" s="93"/>
      <c r="EO12" s="93"/>
      <c r="EP12" s="93"/>
      <c r="EQ12" s="93"/>
      <c r="ER12" s="93"/>
      <c r="ES12" s="93"/>
      <c r="ET12" s="93"/>
      <c r="EU12" s="93"/>
      <c r="EV12" s="93"/>
      <c r="EW12" s="93"/>
      <c r="EX12" s="93"/>
      <c r="EY12" s="93"/>
      <c r="EZ12" s="93"/>
      <c r="FA12" s="93"/>
      <c r="FB12" s="93"/>
      <c r="FC12" s="93"/>
      <c r="FD12" s="93"/>
      <c r="FE12" s="93"/>
      <c r="FF12" s="93"/>
      <c r="FG12" s="93"/>
      <c r="FH12" s="93"/>
      <c r="FI12" s="93"/>
      <c r="FJ12" s="93"/>
      <c r="FK12" s="93"/>
      <c r="FL12" s="93"/>
      <c r="FM12" s="93"/>
      <c r="FN12" s="93"/>
      <c r="FO12" s="93"/>
      <c r="FP12" s="93"/>
      <c r="FQ12" s="93"/>
      <c r="FR12" s="93"/>
      <c r="FS12" s="93"/>
      <c r="FT12" s="93"/>
      <c r="FU12" s="93"/>
      <c r="FV12" s="93"/>
      <c r="FW12" s="93"/>
      <c r="FX12" s="93"/>
      <c r="FY12" s="93"/>
      <c r="FZ12" s="93"/>
      <c r="GA12" s="93"/>
      <c r="GB12" s="93"/>
      <c r="GC12" s="93"/>
      <c r="GD12" s="93"/>
      <c r="GE12" s="93"/>
      <c r="GF12" s="93"/>
      <c r="GG12" s="93"/>
      <c r="GH12" s="93"/>
      <c r="GI12" s="93"/>
      <c r="GJ12" s="93"/>
      <c r="GK12" s="93"/>
      <c r="GL12" s="93"/>
      <c r="GM12" s="93"/>
      <c r="GN12" s="93"/>
      <c r="GO12" s="93"/>
      <c r="GP12" s="93"/>
      <c r="GQ12" s="93"/>
      <c r="GR12" s="93"/>
      <c r="GS12" s="93"/>
      <c r="GT12" s="93"/>
      <c r="GU12" s="93"/>
      <c r="GV12" s="93"/>
      <c r="GW12" s="93"/>
      <c r="GX12" s="93"/>
      <c r="GY12" s="93"/>
      <c r="GZ12" s="93"/>
      <c r="HA12" s="93"/>
      <c r="HB12" s="93"/>
      <c r="HC12" s="93"/>
      <c r="HD12" s="93"/>
      <c r="HE12" s="93"/>
      <c r="HF12" s="93"/>
      <c r="HG12" s="93"/>
      <c r="HH12" s="93"/>
      <c r="HI12" s="93"/>
      <c r="HJ12" s="93"/>
      <c r="HK12" s="93"/>
      <c r="HL12" s="93"/>
      <c r="HM12" s="93"/>
      <c r="HN12" s="93"/>
      <c r="HO12" s="93"/>
      <c r="HP12" s="93"/>
      <c r="HQ12" s="93"/>
      <c r="HR12" s="93"/>
      <c r="HS12" s="93"/>
      <c r="HT12" s="93"/>
      <c r="HU12" s="93"/>
      <c r="HV12" s="93"/>
      <c r="HW12" s="93"/>
      <c r="HX12" s="93"/>
      <c r="HY12" s="93"/>
      <c r="HZ12" s="93"/>
      <c r="IA12" s="93"/>
      <c r="IB12" s="93"/>
      <c r="IC12" s="93"/>
      <c r="ID12" s="93"/>
      <c r="IE12" s="93"/>
      <c r="IF12" s="93"/>
      <c r="IG12" s="93"/>
      <c r="IH12" s="93"/>
      <c r="II12" s="93"/>
      <c r="IJ12" s="93"/>
      <c r="IK12" s="93"/>
      <c r="IL12" s="93"/>
      <c r="IM12" s="93"/>
      <c r="IN12" s="93"/>
      <c r="IO12" s="93"/>
      <c r="IP12" s="93"/>
    </row>
    <row r="13" spans="1:250">
      <c r="A13" s="68" t="s">
        <v>81</v>
      </c>
      <c r="B13" s="5" t="s">
        <v>5</v>
      </c>
      <c r="D13" s="95" t="s">
        <v>14</v>
      </c>
      <c r="E13" s="69" t="str">
        <f t="shared" si="0"/>
        <v xml:space="preserve">                 </v>
      </c>
      <c r="F13" s="70" t="str">
        <f t="shared" si="1"/>
        <v>9JA_974_029</v>
      </c>
      <c r="G13" s="95">
        <v>0</v>
      </c>
      <c r="H13" s="70" t="str">
        <f t="shared" si="2"/>
        <v>1J219JA029</v>
      </c>
      <c r="I13" s="70" t="str">
        <f t="shared" si="3"/>
        <v>00</v>
      </c>
      <c r="J13" s="90" t="s">
        <v>132</v>
      </c>
      <c r="L13" s="1" t="s">
        <v>28</v>
      </c>
      <c r="M13" s="99">
        <v>6013</v>
      </c>
      <c r="N13" s="93">
        <v>1918</v>
      </c>
      <c r="O13" s="95">
        <v>1934</v>
      </c>
      <c r="P13" s="94" t="s">
        <v>130</v>
      </c>
      <c r="Q13" s="1" t="s">
        <v>27</v>
      </c>
      <c r="R13" s="28" t="str">
        <f t="shared" si="4"/>
        <v>1J219JA02900E</v>
      </c>
      <c r="S13" s="71" t="str">
        <f t="shared" si="5"/>
        <v>NICHT AKTUELL</v>
      </c>
      <c r="W13" s="100">
        <v>3.2399999999999998E-2</v>
      </c>
      <c r="Y13" s="93" t="s">
        <v>0</v>
      </c>
      <c r="Z13" s="93" t="s">
        <v>14</v>
      </c>
      <c r="AA13" s="93" t="s">
        <v>0</v>
      </c>
      <c r="AB13" s="94"/>
      <c r="AC13" s="101"/>
      <c r="AD13" s="94"/>
      <c r="AE13" s="94"/>
      <c r="AF13" s="94"/>
      <c r="AG13" s="94"/>
      <c r="AH13" s="94"/>
    </row>
    <row r="14" spans="1:250">
      <c r="A14" s="68" t="s">
        <v>81</v>
      </c>
      <c r="B14" s="5" t="s">
        <v>5</v>
      </c>
      <c r="D14" s="95" t="s">
        <v>14</v>
      </c>
      <c r="E14" s="69" t="str">
        <f t="shared" si="0"/>
        <v xml:space="preserve">                 </v>
      </c>
      <c r="F14" s="70" t="str">
        <f t="shared" si="1"/>
        <v>9JA_974_029</v>
      </c>
      <c r="G14" s="95">
        <v>0</v>
      </c>
      <c r="H14" s="70" t="str">
        <f t="shared" si="2"/>
        <v>1J219JA029</v>
      </c>
      <c r="I14" s="70" t="str">
        <f t="shared" si="3"/>
        <v>00</v>
      </c>
      <c r="J14" s="90" t="s">
        <v>146</v>
      </c>
      <c r="L14" s="1" t="s">
        <v>28</v>
      </c>
      <c r="M14" s="99" t="s">
        <v>176</v>
      </c>
      <c r="N14" s="93">
        <v>1935</v>
      </c>
      <c r="O14" s="95">
        <v>2012</v>
      </c>
      <c r="P14" s="94" t="s">
        <v>141</v>
      </c>
      <c r="Q14" s="1" t="s">
        <v>27</v>
      </c>
      <c r="R14" s="28" t="str">
        <f t="shared" si="4"/>
        <v>1J219JA02900F</v>
      </c>
      <c r="S14" s="71" t="str">
        <f t="shared" si="5"/>
        <v>NICHT AKTUELL</v>
      </c>
      <c r="W14" s="100">
        <v>3.2399999999999998E-2</v>
      </c>
      <c r="Y14" s="93" t="s">
        <v>0</v>
      </c>
      <c r="Z14" s="93" t="s">
        <v>14</v>
      </c>
      <c r="AA14" s="93" t="s">
        <v>0</v>
      </c>
      <c r="AB14" s="94"/>
      <c r="AC14" s="101"/>
      <c r="AD14" s="94"/>
      <c r="AE14" s="94"/>
      <c r="AF14" s="94"/>
      <c r="AG14" s="94"/>
      <c r="AH14" s="94"/>
    </row>
    <row r="15" spans="1:250">
      <c r="A15" s="68" t="s">
        <v>81</v>
      </c>
      <c r="B15" s="5" t="s">
        <v>5</v>
      </c>
      <c r="D15" s="95" t="s">
        <v>14</v>
      </c>
      <c r="E15" s="69" t="str">
        <f>CONCATENATE(IF(AC15&gt;0,$AC$1," ")," ",IF(AD15&gt;0,$AD$1," ")," ",IF(AE15&gt;0,$AE$1," ")," ",IF(AF15&gt;0,$AF$1," ")," ",IF(AG15&gt;0,$AG$1," ")," ",IF(AH15&gt;0,$AH$1," ")," ",IF(AI15&gt;0,$AI$1," ")," ",IF(AJ15&gt;0,$AJ$1," ")," ",IF(AK15&gt;0,$AK$1," "))</f>
        <v xml:space="preserve">                 </v>
      </c>
      <c r="F15" s="70" t="str">
        <f>LEFT(Q15,11)</f>
        <v>9JA_974_029</v>
      </c>
      <c r="G15" s="95">
        <v>0</v>
      </c>
      <c r="H15" s="70" t="str">
        <f>CONCATENATE(IF(MID(Q15,5,3)="974","1J21"),LEFT(F15,3),RIGHT(F15,3))</f>
        <v>1J219JA029</v>
      </c>
      <c r="I15" s="70" t="str">
        <f>IF(G15=0,"00",IF(LEN(G15)=1,CONCATENATE(G15,0),G15))</f>
        <v>00</v>
      </c>
      <c r="J15" s="90" t="s">
        <v>150</v>
      </c>
      <c r="K15" s="2"/>
      <c r="L15" s="1" t="s">
        <v>28</v>
      </c>
      <c r="M15" s="99" t="s">
        <v>177</v>
      </c>
      <c r="N15" s="93">
        <v>2013</v>
      </c>
      <c r="P15" s="94" t="s">
        <v>147</v>
      </c>
      <c r="Q15" s="1" t="s">
        <v>27</v>
      </c>
      <c r="R15" s="28" t="str">
        <f>IF(J15&lt;&gt;"",CONCATENATE(H15,I15,J15),CONCATENATE(H15,I15,#REF!))</f>
        <v>1J219JA02900G</v>
      </c>
      <c r="S15" s="102" t="str">
        <f>IF(N15="-","KEIN LIEFERUMFANG",IF(AND(N15&lt;=S$3,O15=""),"AKTUELL",IF(O15=N15,"KEIN SERIENEINSATZ",IF(N15&gt;S$3,"NOCH NICHT AKTUELL",IF(AND(N15&lt;S$3,O15&lt;S$3),"NICHT AKTUELL",IF(N15&lt;=S$3,"AKTUELL"))))))</f>
        <v>AKTUELL</v>
      </c>
      <c r="W15" s="100">
        <v>3.2399999999999998E-2</v>
      </c>
      <c r="Y15" s="93" t="s">
        <v>0</v>
      </c>
      <c r="Z15" s="93" t="s">
        <v>14</v>
      </c>
      <c r="AA15" s="93" t="s">
        <v>0</v>
      </c>
      <c r="AB15" s="94"/>
      <c r="AC15" s="101"/>
      <c r="AD15" s="94"/>
      <c r="AE15" s="94"/>
      <c r="AF15" s="94"/>
      <c r="AG15" s="94"/>
      <c r="AH15" s="94"/>
    </row>
    <row r="16" spans="1:250" s="73" customFormat="1">
      <c r="A16" s="76" t="s">
        <v>81</v>
      </c>
      <c r="B16" s="94" t="s">
        <v>5</v>
      </c>
      <c r="C16" s="93"/>
      <c r="D16" s="95" t="s">
        <v>14</v>
      </c>
      <c r="E16" s="96" t="str">
        <f t="shared" si="0"/>
        <v xml:space="preserve">VT01                </v>
      </c>
      <c r="F16" s="77" t="str">
        <f t="shared" si="1"/>
        <v>9JA_974_029</v>
      </c>
      <c r="G16" s="95" t="s">
        <v>24</v>
      </c>
      <c r="H16" s="77" t="str">
        <f t="shared" si="2"/>
        <v>1J219JA029</v>
      </c>
      <c r="I16" s="77" t="str">
        <f t="shared" si="3"/>
        <v>A0</v>
      </c>
      <c r="J16" s="90" t="s">
        <v>93</v>
      </c>
      <c r="K16" s="93"/>
      <c r="L16" s="88" t="s">
        <v>30</v>
      </c>
      <c r="M16" s="94"/>
      <c r="N16" s="93">
        <v>1903</v>
      </c>
      <c r="O16" s="95">
        <v>1917</v>
      </c>
      <c r="P16" s="94"/>
      <c r="Q16" s="88" t="s">
        <v>29</v>
      </c>
      <c r="R16" s="28" t="str">
        <f t="shared" si="4"/>
        <v>1J219JA029A0D</v>
      </c>
      <c r="S16" s="98" t="str">
        <f t="shared" si="5"/>
        <v>NICHT AKTUELL</v>
      </c>
      <c r="T16" s="93"/>
      <c r="U16" s="93"/>
      <c r="V16" s="93"/>
      <c r="W16" s="100">
        <v>2.9000000000000001E-2</v>
      </c>
      <c r="X16" s="93"/>
      <c r="Y16" s="93" t="s">
        <v>14</v>
      </c>
      <c r="Z16" s="93" t="s">
        <v>14</v>
      </c>
      <c r="AA16" s="93" t="s">
        <v>0</v>
      </c>
      <c r="AB16" s="94"/>
      <c r="AC16" s="78" t="s">
        <v>87</v>
      </c>
      <c r="AD16" s="78"/>
      <c r="AE16" s="94"/>
      <c r="AF16" s="94"/>
      <c r="AG16" s="94"/>
      <c r="AH16" s="94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93"/>
      <c r="BM16" s="93"/>
      <c r="BN16" s="93"/>
      <c r="BO16" s="93"/>
      <c r="BP16" s="93"/>
      <c r="BQ16" s="93"/>
      <c r="BR16" s="93"/>
      <c r="BS16" s="93"/>
      <c r="BT16" s="93"/>
      <c r="BU16" s="93"/>
      <c r="BV16" s="93"/>
      <c r="BW16" s="93"/>
      <c r="BX16" s="93"/>
      <c r="BY16" s="93"/>
      <c r="BZ16" s="93"/>
      <c r="CA16" s="93"/>
      <c r="CB16" s="93"/>
      <c r="CC16" s="93"/>
      <c r="CD16" s="93"/>
      <c r="CE16" s="93"/>
      <c r="CF16" s="93"/>
      <c r="CG16" s="93"/>
      <c r="CH16" s="93"/>
      <c r="CI16" s="93"/>
      <c r="CJ16" s="93"/>
      <c r="CK16" s="93"/>
      <c r="CL16" s="93"/>
      <c r="CM16" s="93"/>
      <c r="CN16" s="93"/>
      <c r="CO16" s="93"/>
      <c r="CP16" s="93"/>
      <c r="CQ16" s="93"/>
      <c r="CR16" s="93"/>
      <c r="CS16" s="93"/>
      <c r="CT16" s="93"/>
      <c r="CU16" s="93"/>
      <c r="CV16" s="93"/>
      <c r="CW16" s="93"/>
      <c r="CX16" s="93"/>
      <c r="CY16" s="93"/>
      <c r="CZ16" s="93"/>
      <c r="DA16" s="93"/>
      <c r="DB16" s="93"/>
      <c r="DC16" s="93"/>
      <c r="DD16" s="93"/>
      <c r="DE16" s="93"/>
      <c r="DF16" s="93"/>
      <c r="DG16" s="93"/>
      <c r="DH16" s="93"/>
      <c r="DI16" s="93"/>
      <c r="DJ16" s="93"/>
      <c r="DK16" s="93"/>
      <c r="DL16" s="93"/>
      <c r="DM16" s="93"/>
      <c r="DN16" s="93"/>
      <c r="DO16" s="93"/>
      <c r="DP16" s="93"/>
      <c r="DQ16" s="93"/>
      <c r="DR16" s="93"/>
      <c r="DS16" s="93"/>
      <c r="DT16" s="93"/>
      <c r="DU16" s="93"/>
      <c r="DV16" s="93"/>
      <c r="DW16" s="93"/>
      <c r="DX16" s="93"/>
      <c r="DY16" s="93"/>
      <c r="DZ16" s="93"/>
      <c r="EA16" s="93"/>
      <c r="EB16" s="93"/>
      <c r="EC16" s="93"/>
      <c r="ED16" s="93"/>
      <c r="EE16" s="93"/>
      <c r="EF16" s="93"/>
      <c r="EG16" s="93"/>
      <c r="EH16" s="93"/>
      <c r="EI16" s="93"/>
      <c r="EJ16" s="93"/>
      <c r="EK16" s="93"/>
      <c r="EL16" s="93"/>
      <c r="EM16" s="93"/>
      <c r="EN16" s="93"/>
      <c r="EO16" s="93"/>
      <c r="EP16" s="93"/>
      <c r="EQ16" s="93"/>
      <c r="ER16" s="93"/>
      <c r="ES16" s="93"/>
      <c r="ET16" s="93"/>
      <c r="EU16" s="93"/>
      <c r="EV16" s="93"/>
      <c r="EW16" s="93"/>
      <c r="EX16" s="93"/>
      <c r="EY16" s="93"/>
      <c r="EZ16" s="93"/>
      <c r="FA16" s="93"/>
      <c r="FB16" s="93"/>
      <c r="FC16" s="93"/>
      <c r="FD16" s="93"/>
      <c r="FE16" s="93"/>
      <c r="FF16" s="93"/>
      <c r="FG16" s="93"/>
      <c r="FH16" s="93"/>
      <c r="FI16" s="93"/>
      <c r="FJ16" s="93"/>
      <c r="FK16" s="93"/>
      <c r="FL16" s="93"/>
      <c r="FM16" s="93"/>
      <c r="FN16" s="93"/>
      <c r="FO16" s="93"/>
      <c r="FP16" s="93"/>
      <c r="FQ16" s="93"/>
      <c r="FR16" s="93"/>
      <c r="FS16" s="93"/>
      <c r="FT16" s="93"/>
      <c r="FU16" s="93"/>
      <c r="FV16" s="93"/>
      <c r="FW16" s="93"/>
      <c r="FX16" s="93"/>
      <c r="FY16" s="93"/>
      <c r="FZ16" s="93"/>
      <c r="GA16" s="93"/>
      <c r="GB16" s="93"/>
      <c r="GC16" s="93"/>
      <c r="GD16" s="93"/>
      <c r="GE16" s="93"/>
      <c r="GF16" s="93"/>
      <c r="GG16" s="93"/>
      <c r="GH16" s="93"/>
      <c r="GI16" s="93"/>
      <c r="GJ16" s="93"/>
      <c r="GK16" s="93"/>
      <c r="GL16" s="93"/>
      <c r="GM16" s="93"/>
      <c r="GN16" s="93"/>
      <c r="GO16" s="93"/>
      <c r="GP16" s="93"/>
      <c r="GQ16" s="93"/>
      <c r="GR16" s="93"/>
      <c r="GS16" s="93"/>
      <c r="GT16" s="93"/>
      <c r="GU16" s="93"/>
      <c r="GV16" s="93"/>
      <c r="GW16" s="93"/>
      <c r="GX16" s="93"/>
      <c r="GY16" s="93"/>
      <c r="GZ16" s="93"/>
      <c r="HA16" s="93"/>
      <c r="HB16" s="93"/>
      <c r="HC16" s="93"/>
      <c r="HD16" s="93"/>
      <c r="HE16" s="93"/>
      <c r="HF16" s="93"/>
      <c r="HG16" s="93"/>
      <c r="HH16" s="93"/>
      <c r="HI16" s="93"/>
      <c r="HJ16" s="93"/>
      <c r="HK16" s="93"/>
      <c r="HL16" s="93"/>
      <c r="HM16" s="93"/>
      <c r="HN16" s="93"/>
      <c r="HO16" s="93"/>
      <c r="HP16" s="93"/>
      <c r="HQ16" s="93"/>
      <c r="HR16" s="93"/>
      <c r="HS16" s="93"/>
      <c r="HT16" s="93"/>
      <c r="HU16" s="93"/>
      <c r="HV16" s="93"/>
      <c r="HW16" s="93"/>
      <c r="HX16" s="93"/>
      <c r="HY16" s="93"/>
      <c r="HZ16" s="93"/>
      <c r="IA16" s="93"/>
      <c r="IB16" s="93"/>
      <c r="IC16" s="93"/>
      <c r="ID16" s="93"/>
      <c r="IE16" s="93"/>
      <c r="IF16" s="93"/>
      <c r="IG16" s="93"/>
      <c r="IH16" s="93"/>
      <c r="II16" s="93"/>
      <c r="IJ16" s="93"/>
      <c r="IK16" s="93"/>
      <c r="IL16" s="93"/>
      <c r="IM16" s="93"/>
      <c r="IN16" s="93"/>
      <c r="IO16" s="93"/>
      <c r="IP16" s="93"/>
    </row>
    <row r="17" spans="1:250">
      <c r="A17" s="68" t="s">
        <v>81</v>
      </c>
      <c r="B17" s="5" t="s">
        <v>5</v>
      </c>
      <c r="D17" s="95" t="s">
        <v>14</v>
      </c>
      <c r="E17" s="69" t="str">
        <f t="shared" si="0"/>
        <v xml:space="preserve">VT01                </v>
      </c>
      <c r="F17" s="70" t="str">
        <f t="shared" si="1"/>
        <v>9JA_974_029</v>
      </c>
      <c r="G17" s="95" t="s">
        <v>24</v>
      </c>
      <c r="H17" s="70" t="str">
        <f t="shared" si="2"/>
        <v>1J219JA029</v>
      </c>
      <c r="I17" s="70" t="str">
        <f t="shared" si="3"/>
        <v>A0</v>
      </c>
      <c r="J17" s="90" t="s">
        <v>132</v>
      </c>
      <c r="L17" s="1" t="s">
        <v>30</v>
      </c>
      <c r="M17" s="94">
        <v>6013</v>
      </c>
      <c r="N17" s="93">
        <v>1918</v>
      </c>
      <c r="O17" s="95">
        <v>1934</v>
      </c>
      <c r="P17" s="94" t="s">
        <v>130</v>
      </c>
      <c r="Q17" s="1" t="s">
        <v>29</v>
      </c>
      <c r="R17" s="28" t="str">
        <f t="shared" si="4"/>
        <v>1J219JA029A0E</v>
      </c>
      <c r="S17" s="71" t="str">
        <f t="shared" si="5"/>
        <v>NICHT AKTUELL</v>
      </c>
      <c r="W17" s="100">
        <v>2.9000000000000001E-2</v>
      </c>
      <c r="Y17" s="93" t="s">
        <v>14</v>
      </c>
      <c r="Z17" s="93" t="s">
        <v>14</v>
      </c>
      <c r="AA17" s="93" t="s">
        <v>0</v>
      </c>
      <c r="AB17" s="94"/>
      <c r="AC17" s="80" t="s">
        <v>133</v>
      </c>
      <c r="AD17" s="78"/>
      <c r="AE17" s="94"/>
      <c r="AF17" s="94"/>
      <c r="AG17" s="94"/>
      <c r="AH17" s="94"/>
    </row>
    <row r="18" spans="1:250">
      <c r="A18" s="68" t="s">
        <v>81</v>
      </c>
      <c r="B18" s="5" t="s">
        <v>5</v>
      </c>
      <c r="D18" s="95" t="s">
        <v>14</v>
      </c>
      <c r="E18" s="69" t="str">
        <f t="shared" si="0"/>
        <v xml:space="preserve">VT01                </v>
      </c>
      <c r="F18" s="70" t="str">
        <f t="shared" si="1"/>
        <v>9JA_974_029</v>
      </c>
      <c r="G18" s="95" t="s">
        <v>24</v>
      </c>
      <c r="H18" s="70" t="str">
        <f t="shared" si="2"/>
        <v>1J219JA029</v>
      </c>
      <c r="I18" s="70" t="str">
        <f t="shared" si="3"/>
        <v>A0</v>
      </c>
      <c r="J18" s="90" t="s">
        <v>146</v>
      </c>
      <c r="L18" s="1" t="s">
        <v>30</v>
      </c>
      <c r="M18" s="94" t="s">
        <v>176</v>
      </c>
      <c r="N18" s="93">
        <v>1935</v>
      </c>
      <c r="O18" s="95">
        <v>2012</v>
      </c>
      <c r="P18" s="94" t="s">
        <v>141</v>
      </c>
      <c r="Q18" s="1" t="s">
        <v>29</v>
      </c>
      <c r="R18" s="28" t="str">
        <f t="shared" si="4"/>
        <v>1J219JA029A0F</v>
      </c>
      <c r="S18" s="71" t="str">
        <f t="shared" si="5"/>
        <v>NICHT AKTUELL</v>
      </c>
      <c r="W18" s="100">
        <v>2.9000000000000001E-2</v>
      </c>
      <c r="Y18" s="93" t="s">
        <v>14</v>
      </c>
      <c r="Z18" s="93" t="s">
        <v>14</v>
      </c>
      <c r="AA18" s="93" t="s">
        <v>0</v>
      </c>
      <c r="AB18" s="94"/>
      <c r="AC18" s="80" t="s">
        <v>133</v>
      </c>
      <c r="AD18" s="78"/>
      <c r="AE18" s="94"/>
      <c r="AF18" s="94"/>
      <c r="AG18" s="94"/>
      <c r="AH18" s="94"/>
    </row>
    <row r="19" spans="1:250">
      <c r="A19" s="68" t="s">
        <v>81</v>
      </c>
      <c r="B19" s="5" t="s">
        <v>5</v>
      </c>
      <c r="D19" s="95" t="s">
        <v>14</v>
      </c>
      <c r="E19" s="69" t="str">
        <f>CONCATENATE(IF(AC19&gt;0,$AC$1," ")," ",IF(AD19&gt;0,$AD$1," ")," ",IF(AE19&gt;0,$AE$1," ")," ",IF(AF19&gt;0,$AF$1," ")," ",IF(AG19&gt;0,$AG$1," ")," ",IF(AH19&gt;0,$AH$1," ")," ",IF(AI19&gt;0,$AI$1," ")," ",IF(AJ19&gt;0,$AJ$1," ")," ",IF(AK19&gt;0,$AK$1," "))</f>
        <v xml:space="preserve">VT01                </v>
      </c>
      <c r="F19" s="70" t="str">
        <f>LEFT(Q19,11)</f>
        <v>9JA_974_029</v>
      </c>
      <c r="G19" s="95" t="s">
        <v>24</v>
      </c>
      <c r="H19" s="70" t="str">
        <f>CONCATENATE(IF(MID(Q19,5,3)="974","1J21"),LEFT(F19,3),RIGHT(F19,3))</f>
        <v>1J219JA029</v>
      </c>
      <c r="I19" s="70" t="str">
        <f>IF(G19=0,"00",IF(LEN(G19)=1,CONCATENATE(G19,0),G19))</f>
        <v>A0</v>
      </c>
      <c r="J19" s="90" t="s">
        <v>150</v>
      </c>
      <c r="K19" s="2"/>
      <c r="L19" s="1" t="s">
        <v>30</v>
      </c>
      <c r="M19" s="94" t="s">
        <v>177</v>
      </c>
      <c r="N19" s="93">
        <v>2013</v>
      </c>
      <c r="P19" s="94" t="s">
        <v>147</v>
      </c>
      <c r="Q19" s="1" t="s">
        <v>29</v>
      </c>
      <c r="R19" s="28" t="str">
        <f>IF(J19&lt;&gt;"",CONCATENATE(H19,I19,J19),CONCATENATE(H19,I19,#REF!))</f>
        <v>1J219JA029A0G</v>
      </c>
      <c r="S19" s="102" t="str">
        <f>IF(N19="-","KEIN LIEFERUMFANG",IF(AND(N19&lt;=S$3,O19=""),"AKTUELL",IF(O19=N19,"KEIN SERIENEINSATZ",IF(N19&gt;S$3,"NOCH NICHT AKTUELL",IF(AND(N19&lt;S$3,O19&lt;S$3),"NICHT AKTUELL",IF(N19&lt;=S$3,"AKTUELL"))))))</f>
        <v>AKTUELL</v>
      </c>
      <c r="W19" s="100">
        <v>2.9000000000000001E-2</v>
      </c>
      <c r="Y19" s="93" t="s">
        <v>14</v>
      </c>
      <c r="Z19" s="93" t="s">
        <v>14</v>
      </c>
      <c r="AA19" s="93" t="s">
        <v>0</v>
      </c>
      <c r="AB19" s="94"/>
      <c r="AC19" s="80" t="s">
        <v>133</v>
      </c>
      <c r="AD19" s="78"/>
      <c r="AE19" s="94"/>
      <c r="AF19" s="94"/>
      <c r="AG19" s="94"/>
      <c r="AH19" s="94"/>
    </row>
    <row r="20" spans="1:250" s="73" customFormat="1">
      <c r="A20" s="76" t="s">
        <v>81</v>
      </c>
      <c r="B20" s="94" t="s">
        <v>5</v>
      </c>
      <c r="C20" s="93"/>
      <c r="D20" s="95" t="s">
        <v>14</v>
      </c>
      <c r="E20" s="96" t="str">
        <f t="shared" si="0"/>
        <v xml:space="preserve">                 </v>
      </c>
      <c r="F20" s="77" t="str">
        <f t="shared" si="1"/>
        <v>9JA_974_029</v>
      </c>
      <c r="G20" s="95" t="s">
        <v>25</v>
      </c>
      <c r="H20" s="77" t="str">
        <f t="shared" si="2"/>
        <v>1J219JA029</v>
      </c>
      <c r="I20" s="77" t="str">
        <f t="shared" si="3"/>
        <v>B0</v>
      </c>
      <c r="J20" s="90" t="s">
        <v>93</v>
      </c>
      <c r="K20" s="93"/>
      <c r="L20" s="88" t="s">
        <v>32</v>
      </c>
      <c r="M20" s="99"/>
      <c r="N20" s="93">
        <v>1903</v>
      </c>
      <c r="O20" s="95">
        <v>1917</v>
      </c>
      <c r="P20" s="94"/>
      <c r="Q20" s="88" t="s">
        <v>31</v>
      </c>
      <c r="R20" s="28" t="str">
        <f t="shared" si="4"/>
        <v>1J219JA029B0D</v>
      </c>
      <c r="S20" s="98" t="str">
        <f t="shared" si="5"/>
        <v>NICHT AKTUELL</v>
      </c>
      <c r="T20" s="93"/>
      <c r="U20" s="93"/>
      <c r="V20" s="93"/>
      <c r="W20" s="100">
        <v>1.7399999999999999E-2</v>
      </c>
      <c r="X20" s="93"/>
      <c r="Y20" s="93" t="s">
        <v>0</v>
      </c>
      <c r="Z20" s="93" t="s">
        <v>14</v>
      </c>
      <c r="AA20" s="93" t="s">
        <v>0</v>
      </c>
      <c r="AB20" s="94"/>
      <c r="AC20" s="78"/>
      <c r="AD20" s="78"/>
      <c r="AE20" s="94"/>
      <c r="AF20" s="94"/>
      <c r="AG20" s="94"/>
      <c r="AH20" s="94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93"/>
      <c r="AX20" s="93"/>
      <c r="AY20" s="93"/>
      <c r="AZ20" s="93"/>
      <c r="BA20" s="93"/>
      <c r="BB20" s="93"/>
      <c r="BC20" s="93"/>
      <c r="BD20" s="93"/>
      <c r="BE20" s="93"/>
      <c r="BF20" s="93"/>
      <c r="BG20" s="93"/>
      <c r="BH20" s="93"/>
      <c r="BI20" s="93"/>
      <c r="BJ20" s="93"/>
      <c r="BK20" s="93"/>
      <c r="BL20" s="93"/>
      <c r="BM20" s="93"/>
      <c r="BN20" s="93"/>
      <c r="BO20" s="93"/>
      <c r="BP20" s="93"/>
      <c r="BQ20" s="93"/>
      <c r="BR20" s="93"/>
      <c r="BS20" s="93"/>
      <c r="BT20" s="93"/>
      <c r="BU20" s="93"/>
      <c r="BV20" s="93"/>
      <c r="BW20" s="93"/>
      <c r="BX20" s="93"/>
      <c r="BY20" s="93"/>
      <c r="BZ20" s="93"/>
      <c r="CA20" s="93"/>
      <c r="CB20" s="93"/>
      <c r="CC20" s="93"/>
      <c r="CD20" s="93"/>
      <c r="CE20" s="93"/>
      <c r="CF20" s="93"/>
      <c r="CG20" s="93"/>
      <c r="CH20" s="93"/>
      <c r="CI20" s="93"/>
      <c r="CJ20" s="93"/>
      <c r="CK20" s="93"/>
      <c r="CL20" s="93"/>
      <c r="CM20" s="93"/>
      <c r="CN20" s="93"/>
      <c r="CO20" s="93"/>
      <c r="CP20" s="93"/>
      <c r="CQ20" s="93"/>
      <c r="CR20" s="93"/>
      <c r="CS20" s="93"/>
      <c r="CT20" s="93"/>
      <c r="CU20" s="93"/>
      <c r="CV20" s="93"/>
      <c r="CW20" s="93"/>
      <c r="CX20" s="93"/>
      <c r="CY20" s="93"/>
      <c r="CZ20" s="93"/>
      <c r="DA20" s="93"/>
      <c r="DB20" s="93"/>
      <c r="DC20" s="93"/>
      <c r="DD20" s="93"/>
      <c r="DE20" s="93"/>
      <c r="DF20" s="93"/>
      <c r="DG20" s="93"/>
      <c r="DH20" s="93"/>
      <c r="DI20" s="93"/>
      <c r="DJ20" s="93"/>
      <c r="DK20" s="93"/>
      <c r="DL20" s="93"/>
      <c r="DM20" s="93"/>
      <c r="DN20" s="93"/>
      <c r="DO20" s="93"/>
      <c r="DP20" s="93"/>
      <c r="DQ20" s="93"/>
      <c r="DR20" s="93"/>
      <c r="DS20" s="93"/>
      <c r="DT20" s="93"/>
      <c r="DU20" s="93"/>
      <c r="DV20" s="93"/>
      <c r="DW20" s="93"/>
      <c r="DX20" s="93"/>
      <c r="DY20" s="93"/>
      <c r="DZ20" s="93"/>
      <c r="EA20" s="93"/>
      <c r="EB20" s="93"/>
      <c r="EC20" s="93"/>
      <c r="ED20" s="93"/>
      <c r="EE20" s="93"/>
      <c r="EF20" s="93"/>
      <c r="EG20" s="93"/>
      <c r="EH20" s="93"/>
      <c r="EI20" s="93"/>
      <c r="EJ20" s="93"/>
      <c r="EK20" s="93"/>
      <c r="EL20" s="93"/>
      <c r="EM20" s="93"/>
      <c r="EN20" s="93"/>
      <c r="EO20" s="93"/>
      <c r="EP20" s="93"/>
      <c r="EQ20" s="93"/>
      <c r="ER20" s="93"/>
      <c r="ES20" s="93"/>
      <c r="ET20" s="93"/>
      <c r="EU20" s="93"/>
      <c r="EV20" s="93"/>
      <c r="EW20" s="93"/>
      <c r="EX20" s="93"/>
      <c r="EY20" s="93"/>
      <c r="EZ20" s="93"/>
      <c r="FA20" s="93"/>
      <c r="FB20" s="93"/>
      <c r="FC20" s="93"/>
      <c r="FD20" s="93"/>
      <c r="FE20" s="93"/>
      <c r="FF20" s="93"/>
      <c r="FG20" s="93"/>
      <c r="FH20" s="93"/>
      <c r="FI20" s="93"/>
      <c r="FJ20" s="93"/>
      <c r="FK20" s="93"/>
      <c r="FL20" s="93"/>
      <c r="FM20" s="93"/>
      <c r="FN20" s="93"/>
      <c r="FO20" s="93"/>
      <c r="FP20" s="93"/>
      <c r="FQ20" s="93"/>
      <c r="FR20" s="93"/>
      <c r="FS20" s="93"/>
      <c r="FT20" s="93"/>
      <c r="FU20" s="93"/>
      <c r="FV20" s="93"/>
      <c r="FW20" s="93"/>
      <c r="FX20" s="93"/>
      <c r="FY20" s="93"/>
      <c r="FZ20" s="93"/>
      <c r="GA20" s="93"/>
      <c r="GB20" s="93"/>
      <c r="GC20" s="93"/>
      <c r="GD20" s="93"/>
      <c r="GE20" s="93"/>
      <c r="GF20" s="93"/>
      <c r="GG20" s="93"/>
      <c r="GH20" s="93"/>
      <c r="GI20" s="93"/>
      <c r="GJ20" s="93"/>
      <c r="GK20" s="93"/>
      <c r="GL20" s="93"/>
      <c r="GM20" s="93"/>
      <c r="GN20" s="93"/>
      <c r="GO20" s="93"/>
      <c r="GP20" s="93"/>
      <c r="GQ20" s="93"/>
      <c r="GR20" s="93"/>
      <c r="GS20" s="93"/>
      <c r="GT20" s="93"/>
      <c r="GU20" s="93"/>
      <c r="GV20" s="93"/>
      <c r="GW20" s="93"/>
      <c r="GX20" s="93"/>
      <c r="GY20" s="93"/>
      <c r="GZ20" s="93"/>
      <c r="HA20" s="93"/>
      <c r="HB20" s="93"/>
      <c r="HC20" s="93"/>
      <c r="HD20" s="93"/>
      <c r="HE20" s="93"/>
      <c r="HF20" s="93"/>
      <c r="HG20" s="93"/>
      <c r="HH20" s="93"/>
      <c r="HI20" s="93"/>
      <c r="HJ20" s="93"/>
      <c r="HK20" s="93"/>
      <c r="HL20" s="93"/>
      <c r="HM20" s="93"/>
      <c r="HN20" s="93"/>
      <c r="HO20" s="93"/>
      <c r="HP20" s="93"/>
      <c r="HQ20" s="93"/>
      <c r="HR20" s="93"/>
      <c r="HS20" s="93"/>
      <c r="HT20" s="93"/>
      <c r="HU20" s="93"/>
      <c r="HV20" s="93"/>
      <c r="HW20" s="93"/>
      <c r="HX20" s="93"/>
      <c r="HY20" s="93"/>
      <c r="HZ20" s="93"/>
      <c r="IA20" s="93"/>
      <c r="IB20" s="93"/>
      <c r="IC20" s="93"/>
      <c r="ID20" s="93"/>
      <c r="IE20" s="93"/>
      <c r="IF20" s="93"/>
      <c r="IG20" s="93"/>
      <c r="IH20" s="93"/>
      <c r="II20" s="93"/>
      <c r="IJ20" s="93"/>
      <c r="IK20" s="93"/>
      <c r="IL20" s="93"/>
      <c r="IM20" s="93"/>
      <c r="IN20" s="93"/>
      <c r="IO20" s="93"/>
      <c r="IP20" s="93"/>
    </row>
    <row r="21" spans="1:250">
      <c r="A21" s="68" t="s">
        <v>81</v>
      </c>
      <c r="B21" s="5" t="s">
        <v>5</v>
      </c>
      <c r="D21" s="95" t="s">
        <v>14</v>
      </c>
      <c r="E21" s="69" t="str">
        <f t="shared" si="0"/>
        <v xml:space="preserve">                 </v>
      </c>
      <c r="F21" s="70" t="str">
        <f t="shared" si="1"/>
        <v>9JA_974_029</v>
      </c>
      <c r="G21" s="95" t="s">
        <v>25</v>
      </c>
      <c r="H21" s="70" t="str">
        <f t="shared" si="2"/>
        <v>1J219JA029</v>
      </c>
      <c r="I21" s="70" t="str">
        <f t="shared" si="3"/>
        <v>B0</v>
      </c>
      <c r="J21" s="90" t="s">
        <v>132</v>
      </c>
      <c r="L21" s="1" t="s">
        <v>32</v>
      </c>
      <c r="M21" s="99">
        <v>6013</v>
      </c>
      <c r="N21" s="93">
        <v>1918</v>
      </c>
      <c r="O21" s="95">
        <v>1934</v>
      </c>
      <c r="P21" s="94" t="s">
        <v>130</v>
      </c>
      <c r="Q21" s="1" t="s">
        <v>31</v>
      </c>
      <c r="R21" s="28" t="str">
        <f t="shared" si="4"/>
        <v>1J219JA029B0E</v>
      </c>
      <c r="S21" s="71" t="str">
        <f t="shared" si="5"/>
        <v>NICHT AKTUELL</v>
      </c>
      <c r="W21" s="100">
        <v>1.7399999999999999E-2</v>
      </c>
      <c r="Y21" s="93" t="s">
        <v>0</v>
      </c>
      <c r="Z21" s="93" t="s">
        <v>14</v>
      </c>
      <c r="AA21" s="93" t="s">
        <v>0</v>
      </c>
      <c r="AB21" s="94"/>
      <c r="AC21" s="78"/>
      <c r="AD21" s="78"/>
      <c r="AE21" s="94"/>
      <c r="AF21" s="94"/>
      <c r="AG21" s="94"/>
      <c r="AH21" s="94"/>
    </row>
    <row r="22" spans="1:250">
      <c r="A22" s="68" t="s">
        <v>81</v>
      </c>
      <c r="B22" s="5" t="s">
        <v>5</v>
      </c>
      <c r="D22" s="95" t="s">
        <v>14</v>
      </c>
      <c r="E22" s="69" t="str">
        <f t="shared" si="0"/>
        <v xml:space="preserve">                 </v>
      </c>
      <c r="F22" s="70" t="str">
        <f t="shared" si="1"/>
        <v>9JA_974_029</v>
      </c>
      <c r="G22" s="95" t="s">
        <v>25</v>
      </c>
      <c r="H22" s="70" t="str">
        <f t="shared" si="2"/>
        <v>1J219JA029</v>
      </c>
      <c r="I22" s="70" t="str">
        <f t="shared" si="3"/>
        <v>B0</v>
      </c>
      <c r="J22" s="90" t="s">
        <v>146</v>
      </c>
      <c r="L22" s="1" t="s">
        <v>32</v>
      </c>
      <c r="M22" s="99" t="s">
        <v>176</v>
      </c>
      <c r="N22" s="93">
        <v>1935</v>
      </c>
      <c r="O22" s="95">
        <v>1944</v>
      </c>
      <c r="P22" s="94" t="s">
        <v>141</v>
      </c>
      <c r="Q22" s="1" t="s">
        <v>31</v>
      </c>
      <c r="R22" s="28" t="str">
        <f t="shared" si="4"/>
        <v>1J219JA029B0F</v>
      </c>
      <c r="S22" s="71" t="str">
        <f t="shared" si="5"/>
        <v>NICHT AKTUELL</v>
      </c>
      <c r="W22" s="100">
        <v>1.7399999999999999E-2</v>
      </c>
      <c r="Y22" s="93" t="s">
        <v>0</v>
      </c>
      <c r="Z22" s="93" t="s">
        <v>14</v>
      </c>
      <c r="AA22" s="93" t="s">
        <v>0</v>
      </c>
      <c r="AB22" s="94"/>
      <c r="AC22" s="78"/>
      <c r="AD22" s="78"/>
      <c r="AE22" s="94"/>
      <c r="AF22" s="94"/>
      <c r="AG22" s="94"/>
      <c r="AH22" s="94"/>
    </row>
    <row r="23" spans="1:250">
      <c r="A23" s="68" t="s">
        <v>81</v>
      </c>
      <c r="B23" s="5" t="s">
        <v>5</v>
      </c>
      <c r="D23" s="95" t="s">
        <v>14</v>
      </c>
      <c r="E23" s="69" t="str">
        <f>CONCATENATE(IF(AC23&gt;0,$AC$1," ")," ",IF(AD23&gt;0,$AD$1," ")," ",IF(AE23&gt;0,$AE$1," ")," ",IF(AF23&gt;0,$AF$1," ")," ",IF(AG23&gt;0,$AG$1," ")," ",IF(AH23&gt;0,$AH$1," ")," ",IF(AI23&gt;0,$AI$1," ")," ",IF(AJ23&gt;0,$AJ$1," ")," ",IF(AK23&gt;0,$AK$1," "))</f>
        <v xml:space="preserve">                 </v>
      </c>
      <c r="F23" s="70" t="str">
        <f>LEFT(Q23,11)</f>
        <v>9JA_974_029</v>
      </c>
      <c r="G23" s="95" t="s">
        <v>25</v>
      </c>
      <c r="H23" s="70" t="str">
        <f>CONCATENATE(IF(MID(Q23,5,3)="974","1J21"),LEFT(F23,3),RIGHT(F23,3))</f>
        <v>1J219JA029</v>
      </c>
      <c r="I23" s="70" t="str">
        <f>IF(G23=0,"00",IF(LEN(G23)=1,CONCATENATE(G23,0),G23))</f>
        <v>B0</v>
      </c>
      <c r="J23" s="90" t="s">
        <v>150</v>
      </c>
      <c r="L23" s="1" t="s">
        <v>32</v>
      </c>
      <c r="M23" s="99" t="s">
        <v>178</v>
      </c>
      <c r="N23" s="93">
        <v>1945</v>
      </c>
      <c r="O23" s="95">
        <v>2012</v>
      </c>
      <c r="P23" s="94" t="s">
        <v>147</v>
      </c>
      <c r="Q23" s="1" t="s">
        <v>31</v>
      </c>
      <c r="R23" s="28" t="str">
        <f>IF(J23&lt;&gt;"",CONCATENATE(H23,I23,J23),CONCATENATE(H23,I23,K23))</f>
        <v>1J219JA029B0G</v>
      </c>
      <c r="S23" s="71" t="str">
        <f>IF(N23="-","KEIN LIEFERUMFANG",IF(AND(N23&lt;=S$3,O23=""),"AKTUELL",IF(O23=N23,"KEIN SERIENEINSATZ",IF(N23&gt;S$3,"NOCH NICHT AKTUELL",IF(AND(N23&lt;S$3,O23&lt;S$3),"NICHT AKTUELL",IF(N23&lt;=S$3,"AKTUELL"))))))</f>
        <v>NICHT AKTUELL</v>
      </c>
      <c r="W23" s="100">
        <v>1.7399999999999999E-2</v>
      </c>
      <c r="Y23" s="93" t="s">
        <v>0</v>
      </c>
      <c r="Z23" s="93" t="s">
        <v>14</v>
      </c>
      <c r="AA23" s="93" t="s">
        <v>0</v>
      </c>
      <c r="AB23" s="94"/>
      <c r="AC23" s="78"/>
      <c r="AD23" s="78"/>
      <c r="AE23" s="94"/>
      <c r="AF23" s="94"/>
      <c r="AG23" s="94"/>
      <c r="AH23" s="94"/>
    </row>
    <row r="24" spans="1:250">
      <c r="A24" s="68" t="s">
        <v>81</v>
      </c>
      <c r="B24" s="5" t="s">
        <v>5</v>
      </c>
      <c r="D24" s="95" t="s">
        <v>14</v>
      </c>
      <c r="E24" s="69" t="str">
        <f>CONCATENATE(IF(AC24&gt;0,$AC$1," ")," ",IF(AD24&gt;0,$AD$1," ")," ",IF(AE24&gt;0,$AE$1," ")," ",IF(AF24&gt;0,$AF$1," ")," ",IF(AG24&gt;0,$AG$1," ")," ",IF(AH24&gt;0,$AH$1," ")," ",IF(AI24&gt;0,$AI$1," ")," ",IF(AJ24&gt;0,$AJ$1," ")," ",IF(AK24&gt;0,$AK$1," "))</f>
        <v xml:space="preserve">                 </v>
      </c>
      <c r="F24" s="70" t="str">
        <f>LEFT(Q24,11)</f>
        <v>9JA_974_029</v>
      </c>
      <c r="G24" s="95" t="s">
        <v>25</v>
      </c>
      <c r="H24" s="70" t="str">
        <f>CONCATENATE(IF(MID(Q24,5,3)="974","1J21"),LEFT(F24,3),RIGHT(F24,3))</f>
        <v>1J219JA029</v>
      </c>
      <c r="I24" s="70" t="str">
        <f>IF(G24=0,"00",IF(LEN(G24)=1,CONCATENATE(G24,0),G24))</f>
        <v>B0</v>
      </c>
      <c r="J24" s="90" t="s">
        <v>152</v>
      </c>
      <c r="K24" s="2"/>
      <c r="L24" s="1" t="s">
        <v>32</v>
      </c>
      <c r="M24" s="99" t="s">
        <v>179</v>
      </c>
      <c r="N24" s="93">
        <v>2013</v>
      </c>
      <c r="P24" s="94" t="s">
        <v>147</v>
      </c>
      <c r="Q24" s="1" t="s">
        <v>31</v>
      </c>
      <c r="R24" s="28" t="str">
        <f>IF(J24&lt;&gt;"",CONCATENATE(H24,I24,J24),CONCATENATE(H24,I24,#REF!))</f>
        <v>1J219JA029B0H</v>
      </c>
      <c r="S24" s="102" t="str">
        <f>IF(N24="-","KEIN LIEFERUMFANG",IF(AND(N24&lt;=S$3,O24=""),"AKTUELL",IF(O24=N24,"KEIN SERIENEINSATZ",IF(N24&gt;S$3,"NOCH NICHT AKTUELL",IF(AND(N24&lt;S$3,O24&lt;S$3),"NICHT AKTUELL",IF(N24&lt;=S$3,"AKTUELL"))))))</f>
        <v>AKTUELL</v>
      </c>
      <c r="W24" s="100">
        <v>1.7399999999999999E-2</v>
      </c>
      <c r="Y24" s="93" t="s">
        <v>0</v>
      </c>
      <c r="Z24" s="93" t="s">
        <v>14</v>
      </c>
      <c r="AA24" s="93" t="s">
        <v>0</v>
      </c>
      <c r="AB24" s="94"/>
      <c r="AC24" s="78"/>
      <c r="AD24" s="78"/>
      <c r="AE24" s="94"/>
      <c r="AF24" s="94"/>
      <c r="AG24" s="94"/>
      <c r="AH24" s="94"/>
    </row>
    <row r="25" spans="1:250" s="73" customFormat="1">
      <c r="A25" s="76" t="s">
        <v>81</v>
      </c>
      <c r="B25" s="94" t="s">
        <v>5</v>
      </c>
      <c r="C25" s="93"/>
      <c r="D25" s="95" t="s">
        <v>14</v>
      </c>
      <c r="E25" s="96" t="str">
        <f t="shared" si="0"/>
        <v xml:space="preserve">VT01                </v>
      </c>
      <c r="F25" s="77" t="str">
        <f t="shared" si="1"/>
        <v>9JA_974_029</v>
      </c>
      <c r="G25" s="95" t="s">
        <v>85</v>
      </c>
      <c r="H25" s="77" t="str">
        <f t="shared" si="2"/>
        <v>1J219JA029</v>
      </c>
      <c r="I25" s="77" t="str">
        <f t="shared" si="3"/>
        <v>C0</v>
      </c>
      <c r="J25" s="90" t="s">
        <v>93</v>
      </c>
      <c r="K25" s="93"/>
      <c r="L25" s="88" t="s">
        <v>34</v>
      </c>
      <c r="M25" s="99"/>
      <c r="N25" s="93">
        <v>1903</v>
      </c>
      <c r="O25" s="95">
        <v>1917</v>
      </c>
      <c r="P25" s="94"/>
      <c r="Q25" s="88" t="s">
        <v>33</v>
      </c>
      <c r="R25" s="28" t="str">
        <f t="shared" si="4"/>
        <v>1J219JA029C0D</v>
      </c>
      <c r="S25" s="98" t="str">
        <f t="shared" si="5"/>
        <v>NICHT AKTUELL</v>
      </c>
      <c r="T25" s="93"/>
      <c r="U25" s="93"/>
      <c r="V25" s="93"/>
      <c r="W25" s="100">
        <v>1.5599999999999999E-2</v>
      </c>
      <c r="X25" s="93"/>
      <c r="Y25" s="93" t="s">
        <v>14</v>
      </c>
      <c r="Z25" s="93" t="s">
        <v>14</v>
      </c>
      <c r="AA25" s="93" t="s">
        <v>0</v>
      </c>
      <c r="AB25" s="94"/>
      <c r="AC25" s="78" t="s">
        <v>87</v>
      </c>
      <c r="AD25" s="78"/>
      <c r="AE25" s="94"/>
      <c r="AF25" s="94"/>
      <c r="AG25" s="94"/>
      <c r="AH25" s="94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  <c r="BI25" s="93"/>
      <c r="BJ25" s="93"/>
      <c r="BK25" s="93"/>
      <c r="BL25" s="93"/>
      <c r="BM25" s="93"/>
      <c r="BN25" s="93"/>
      <c r="BO25" s="93"/>
      <c r="BP25" s="93"/>
      <c r="BQ25" s="93"/>
      <c r="BR25" s="93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3"/>
      <c r="CE25" s="93"/>
      <c r="CF25" s="93"/>
      <c r="CG25" s="93"/>
      <c r="CH25" s="93"/>
      <c r="CI25" s="93"/>
      <c r="CJ25" s="93"/>
      <c r="CK25" s="93"/>
      <c r="CL25" s="93"/>
      <c r="CM25" s="93"/>
      <c r="CN25" s="93"/>
      <c r="CO25" s="93"/>
      <c r="CP25" s="93"/>
      <c r="CQ25" s="93"/>
      <c r="CR25" s="93"/>
      <c r="CS25" s="93"/>
      <c r="CT25" s="93"/>
      <c r="CU25" s="93"/>
      <c r="CV25" s="93"/>
      <c r="CW25" s="93"/>
      <c r="CX25" s="93"/>
      <c r="CY25" s="93"/>
      <c r="CZ25" s="93"/>
      <c r="DA25" s="93"/>
      <c r="DB25" s="93"/>
      <c r="DC25" s="93"/>
      <c r="DD25" s="93"/>
      <c r="DE25" s="93"/>
      <c r="DF25" s="93"/>
      <c r="DG25" s="93"/>
      <c r="DH25" s="93"/>
      <c r="DI25" s="93"/>
      <c r="DJ25" s="93"/>
      <c r="DK25" s="93"/>
      <c r="DL25" s="93"/>
      <c r="DM25" s="93"/>
      <c r="DN25" s="93"/>
      <c r="DO25" s="93"/>
      <c r="DP25" s="93"/>
      <c r="DQ25" s="93"/>
      <c r="DR25" s="93"/>
      <c r="DS25" s="93"/>
      <c r="DT25" s="93"/>
      <c r="DU25" s="93"/>
      <c r="DV25" s="93"/>
      <c r="DW25" s="93"/>
      <c r="DX25" s="93"/>
      <c r="DY25" s="93"/>
      <c r="DZ25" s="93"/>
      <c r="EA25" s="93"/>
      <c r="EB25" s="93"/>
      <c r="EC25" s="93"/>
      <c r="ED25" s="93"/>
      <c r="EE25" s="93"/>
      <c r="EF25" s="93"/>
      <c r="EG25" s="93"/>
      <c r="EH25" s="93"/>
      <c r="EI25" s="93"/>
      <c r="EJ25" s="93"/>
      <c r="EK25" s="93"/>
      <c r="EL25" s="93"/>
      <c r="EM25" s="93"/>
      <c r="EN25" s="93"/>
      <c r="EO25" s="93"/>
      <c r="EP25" s="93"/>
      <c r="EQ25" s="93"/>
      <c r="ER25" s="93"/>
      <c r="ES25" s="93"/>
      <c r="ET25" s="93"/>
      <c r="EU25" s="93"/>
      <c r="EV25" s="93"/>
      <c r="EW25" s="93"/>
      <c r="EX25" s="93"/>
      <c r="EY25" s="93"/>
      <c r="EZ25" s="93"/>
      <c r="FA25" s="93"/>
      <c r="FB25" s="93"/>
      <c r="FC25" s="93"/>
      <c r="FD25" s="93"/>
      <c r="FE25" s="93"/>
      <c r="FF25" s="93"/>
      <c r="FG25" s="93"/>
      <c r="FH25" s="93"/>
      <c r="FI25" s="93"/>
      <c r="FJ25" s="93"/>
      <c r="FK25" s="93"/>
      <c r="FL25" s="93"/>
      <c r="FM25" s="93"/>
      <c r="FN25" s="93"/>
      <c r="FO25" s="93"/>
      <c r="FP25" s="93"/>
      <c r="FQ25" s="93"/>
      <c r="FR25" s="93"/>
      <c r="FS25" s="93"/>
      <c r="FT25" s="93"/>
      <c r="FU25" s="93"/>
      <c r="FV25" s="93"/>
      <c r="FW25" s="93"/>
      <c r="FX25" s="93"/>
      <c r="FY25" s="93"/>
      <c r="FZ25" s="93"/>
      <c r="GA25" s="93"/>
      <c r="GB25" s="93"/>
      <c r="GC25" s="93"/>
      <c r="GD25" s="93"/>
      <c r="GE25" s="93"/>
      <c r="GF25" s="93"/>
      <c r="GG25" s="93"/>
      <c r="GH25" s="93"/>
      <c r="GI25" s="93"/>
      <c r="GJ25" s="93"/>
      <c r="GK25" s="93"/>
      <c r="GL25" s="93"/>
      <c r="GM25" s="93"/>
      <c r="GN25" s="93"/>
      <c r="GO25" s="93"/>
      <c r="GP25" s="93"/>
      <c r="GQ25" s="93"/>
      <c r="GR25" s="93"/>
      <c r="GS25" s="93"/>
      <c r="GT25" s="93"/>
      <c r="GU25" s="93"/>
      <c r="GV25" s="93"/>
      <c r="GW25" s="93"/>
      <c r="GX25" s="93"/>
      <c r="GY25" s="93"/>
      <c r="GZ25" s="93"/>
      <c r="HA25" s="93"/>
      <c r="HB25" s="93"/>
      <c r="HC25" s="93"/>
      <c r="HD25" s="93"/>
      <c r="HE25" s="93"/>
      <c r="HF25" s="93"/>
      <c r="HG25" s="93"/>
      <c r="HH25" s="93"/>
      <c r="HI25" s="93"/>
      <c r="HJ25" s="93"/>
      <c r="HK25" s="93"/>
      <c r="HL25" s="93"/>
      <c r="HM25" s="93"/>
      <c r="HN25" s="93"/>
      <c r="HO25" s="93"/>
      <c r="HP25" s="93"/>
      <c r="HQ25" s="93"/>
      <c r="HR25" s="93"/>
      <c r="HS25" s="93"/>
      <c r="HT25" s="93"/>
      <c r="HU25" s="93"/>
      <c r="HV25" s="93"/>
      <c r="HW25" s="93"/>
      <c r="HX25" s="93"/>
      <c r="HY25" s="93"/>
      <c r="HZ25" s="93"/>
      <c r="IA25" s="93"/>
      <c r="IB25" s="93"/>
      <c r="IC25" s="93"/>
      <c r="ID25" s="93"/>
      <c r="IE25" s="93"/>
      <c r="IF25" s="93"/>
      <c r="IG25" s="93"/>
      <c r="IH25" s="93"/>
      <c r="II25" s="93"/>
      <c r="IJ25" s="93"/>
      <c r="IK25" s="93"/>
      <c r="IL25" s="93"/>
      <c r="IM25" s="93"/>
      <c r="IN25" s="93"/>
      <c r="IO25" s="93"/>
      <c r="IP25" s="93"/>
    </row>
    <row r="26" spans="1:250">
      <c r="A26" s="68" t="s">
        <v>81</v>
      </c>
      <c r="B26" s="5" t="s">
        <v>5</v>
      </c>
      <c r="D26" s="95" t="s">
        <v>14</v>
      </c>
      <c r="E26" s="69" t="str">
        <f t="shared" si="0"/>
        <v xml:space="preserve">VT01                </v>
      </c>
      <c r="F26" s="70" t="str">
        <f t="shared" si="1"/>
        <v>9JA_974_029</v>
      </c>
      <c r="G26" s="95" t="s">
        <v>85</v>
      </c>
      <c r="H26" s="70" t="str">
        <f t="shared" si="2"/>
        <v>1J219JA029</v>
      </c>
      <c r="I26" s="70" t="str">
        <f t="shared" si="3"/>
        <v>C0</v>
      </c>
      <c r="J26" s="90" t="s">
        <v>132</v>
      </c>
      <c r="L26" s="1" t="s">
        <v>34</v>
      </c>
      <c r="M26" s="99">
        <v>6013</v>
      </c>
      <c r="N26" s="93">
        <v>1918</v>
      </c>
      <c r="O26" s="95">
        <v>1934</v>
      </c>
      <c r="P26" s="94" t="s">
        <v>130</v>
      </c>
      <c r="Q26" s="1" t="s">
        <v>33</v>
      </c>
      <c r="R26" s="28" t="str">
        <f t="shared" si="4"/>
        <v>1J219JA029C0E</v>
      </c>
      <c r="S26" s="71" t="str">
        <f t="shared" si="5"/>
        <v>NICHT AKTUELL</v>
      </c>
      <c r="W26" s="100">
        <v>1.5599999999999999E-2</v>
      </c>
      <c r="Y26" s="93" t="s">
        <v>14</v>
      </c>
      <c r="Z26" s="93" t="s">
        <v>14</v>
      </c>
      <c r="AA26" s="93" t="s">
        <v>0</v>
      </c>
      <c r="AB26" s="94"/>
      <c r="AC26" s="80" t="s">
        <v>133</v>
      </c>
      <c r="AD26" s="78"/>
      <c r="AE26" s="94"/>
      <c r="AF26" s="94"/>
      <c r="AG26" s="94"/>
      <c r="AH26" s="94"/>
    </row>
    <row r="27" spans="1:250">
      <c r="A27" s="68" t="s">
        <v>81</v>
      </c>
      <c r="B27" s="5" t="s">
        <v>5</v>
      </c>
      <c r="D27" s="95" t="s">
        <v>14</v>
      </c>
      <c r="E27" s="69" t="str">
        <f t="shared" si="0"/>
        <v xml:space="preserve">VT01                </v>
      </c>
      <c r="F27" s="70" t="str">
        <f t="shared" si="1"/>
        <v>9JA_974_029</v>
      </c>
      <c r="G27" s="95" t="s">
        <v>85</v>
      </c>
      <c r="H27" s="70" t="str">
        <f t="shared" si="2"/>
        <v>1J219JA029</v>
      </c>
      <c r="I27" s="70" t="str">
        <f t="shared" si="3"/>
        <v>C0</v>
      </c>
      <c r="J27" s="90" t="s">
        <v>146</v>
      </c>
      <c r="L27" s="1" t="s">
        <v>34</v>
      </c>
      <c r="M27" s="99" t="s">
        <v>176</v>
      </c>
      <c r="N27" s="93">
        <v>1935</v>
      </c>
      <c r="O27" s="95">
        <v>1944</v>
      </c>
      <c r="P27" s="94" t="s">
        <v>141</v>
      </c>
      <c r="Q27" s="1" t="s">
        <v>33</v>
      </c>
      <c r="R27" s="28" t="str">
        <f t="shared" si="4"/>
        <v>1J219JA029C0F</v>
      </c>
      <c r="S27" s="71" t="str">
        <f t="shared" si="5"/>
        <v>NICHT AKTUELL</v>
      </c>
      <c r="W27" s="100">
        <v>1.5599999999999999E-2</v>
      </c>
      <c r="Y27" s="93" t="s">
        <v>14</v>
      </c>
      <c r="Z27" s="93" t="s">
        <v>14</v>
      </c>
      <c r="AA27" s="93" t="s">
        <v>0</v>
      </c>
      <c r="AB27" s="94"/>
      <c r="AC27" s="80" t="s">
        <v>133</v>
      </c>
      <c r="AD27" s="78"/>
      <c r="AE27" s="94"/>
      <c r="AF27" s="94"/>
      <c r="AG27" s="94"/>
      <c r="AH27" s="94"/>
    </row>
    <row r="28" spans="1:250">
      <c r="A28" s="68" t="s">
        <v>81</v>
      </c>
      <c r="B28" s="5" t="s">
        <v>5</v>
      </c>
      <c r="D28" s="95" t="s">
        <v>14</v>
      </c>
      <c r="E28" s="69" t="str">
        <f>CONCATENATE(IF(AC28&gt;0,$AC$1," ")," ",IF(AD28&gt;0,$AD$1," ")," ",IF(AE28&gt;0,$AE$1," ")," ",IF(AF28&gt;0,$AF$1," ")," ",IF(AG28&gt;0,$AG$1," ")," ",IF(AH28&gt;0,$AH$1," ")," ",IF(AI28&gt;0,$AI$1," ")," ",IF(AJ28&gt;0,$AJ$1," ")," ",IF(AK28&gt;0,$AK$1," "))</f>
        <v xml:space="preserve">VT01                </v>
      </c>
      <c r="F28" s="70" t="str">
        <f>LEFT(Q28,11)</f>
        <v>9JA_974_029</v>
      </c>
      <c r="G28" s="95" t="s">
        <v>85</v>
      </c>
      <c r="H28" s="70" t="str">
        <f>CONCATENATE(IF(MID(Q28,5,3)="974","1J21"),LEFT(F28,3),RIGHT(F28,3))</f>
        <v>1J219JA029</v>
      </c>
      <c r="I28" s="70" t="str">
        <f>IF(G28=0,"00",IF(LEN(G28)=1,CONCATENATE(G28,0),G28))</f>
        <v>C0</v>
      </c>
      <c r="J28" s="10" t="s">
        <v>150</v>
      </c>
      <c r="L28" s="1" t="s">
        <v>34</v>
      </c>
      <c r="M28" s="99" t="s">
        <v>178</v>
      </c>
      <c r="N28" s="93">
        <v>1945</v>
      </c>
      <c r="O28" s="95">
        <v>2012</v>
      </c>
      <c r="P28" s="94" t="s">
        <v>147</v>
      </c>
      <c r="Q28" s="1" t="s">
        <v>33</v>
      </c>
      <c r="R28" s="28" t="str">
        <f>IF(J28&lt;&gt;"",CONCATENATE(H28,I28,J28),CONCATENATE(H28,I28,K28))</f>
        <v>1J219JA029C0G</v>
      </c>
      <c r="S28" s="71" t="str">
        <f>IF(N28="-","KEIN LIEFERUMFANG",IF(AND(N28&lt;=S$3,O28=""),"AKTUELL",IF(O28=N28,"KEIN SERIENEINSATZ",IF(N28&gt;S$3,"NOCH NICHT AKTUELL",IF(AND(N28&lt;S$3,O28&lt;S$3),"NICHT AKTUELL",IF(N28&lt;=S$3,"AKTUELL"))))))</f>
        <v>NICHT AKTUELL</v>
      </c>
      <c r="W28" s="100">
        <v>1.5599999999999999E-2</v>
      </c>
      <c r="Y28" s="93" t="s">
        <v>14</v>
      </c>
      <c r="Z28" s="93" t="s">
        <v>14</v>
      </c>
      <c r="AA28" s="93" t="s">
        <v>0</v>
      </c>
      <c r="AB28" s="94"/>
      <c r="AC28" s="80" t="s">
        <v>133</v>
      </c>
      <c r="AD28" s="78"/>
      <c r="AE28" s="94"/>
      <c r="AF28" s="94"/>
      <c r="AG28" s="94"/>
      <c r="AH28" s="94"/>
    </row>
    <row r="29" spans="1:250">
      <c r="A29" s="68" t="s">
        <v>81</v>
      </c>
      <c r="B29" s="5" t="s">
        <v>5</v>
      </c>
      <c r="D29" s="95" t="s">
        <v>14</v>
      </c>
      <c r="E29" s="69" t="str">
        <f>CONCATENATE(IF(AC29&gt;0,$AC$1," ")," ",IF(AD29&gt;0,$AD$1," ")," ",IF(AE29&gt;0,$AE$1," ")," ",IF(AF29&gt;0,$AF$1," ")," ",IF(AG29&gt;0,$AG$1," ")," ",IF(AH29&gt;0,$AH$1," ")," ",IF(AI29&gt;0,$AI$1," ")," ",IF(AJ29&gt;0,$AJ$1," ")," ",IF(AK29&gt;0,$AK$1," "))</f>
        <v xml:space="preserve">VT01                </v>
      </c>
      <c r="F29" s="70" t="str">
        <f>LEFT(Q29,11)</f>
        <v>9JA_974_029</v>
      </c>
      <c r="G29" s="95" t="s">
        <v>85</v>
      </c>
      <c r="H29" s="70" t="str">
        <f>CONCATENATE(IF(MID(Q29,5,3)="974","1J21"),LEFT(F29,3),RIGHT(F29,3))</f>
        <v>1J219JA029</v>
      </c>
      <c r="I29" s="70" t="str">
        <f>IF(G29=0,"00",IF(LEN(G29)=1,CONCATENATE(G29,0),G29))</f>
        <v>C0</v>
      </c>
      <c r="J29" s="90" t="s">
        <v>152</v>
      </c>
      <c r="K29" s="2"/>
      <c r="L29" s="1" t="s">
        <v>34</v>
      </c>
      <c r="M29" s="99" t="s">
        <v>179</v>
      </c>
      <c r="N29" s="93">
        <v>2013</v>
      </c>
      <c r="P29" s="94" t="s">
        <v>147</v>
      </c>
      <c r="Q29" s="1" t="s">
        <v>33</v>
      </c>
      <c r="R29" s="28" t="str">
        <f>IF(J29&lt;&gt;"",CONCATENATE(H29,I29,J29),CONCATENATE(H29,I29,#REF!))</f>
        <v>1J219JA029C0H</v>
      </c>
      <c r="S29" s="102" t="str">
        <f>IF(N29="-","KEIN LIEFERUMFANG",IF(AND(N29&lt;=S$3,O29=""),"AKTUELL",IF(O29=N29,"KEIN SERIENEINSATZ",IF(N29&gt;S$3,"NOCH NICHT AKTUELL",IF(AND(N29&lt;S$3,O29&lt;S$3),"NICHT AKTUELL",IF(N29&lt;=S$3,"AKTUELL"))))))</f>
        <v>AKTUELL</v>
      </c>
      <c r="W29" s="100">
        <v>1.5599999999999999E-2</v>
      </c>
      <c r="Y29" s="93" t="s">
        <v>14</v>
      </c>
      <c r="Z29" s="93" t="s">
        <v>14</v>
      </c>
      <c r="AA29" s="93" t="s">
        <v>0</v>
      </c>
      <c r="AB29" s="94"/>
      <c r="AC29" s="80" t="s">
        <v>133</v>
      </c>
      <c r="AD29" s="78"/>
      <c r="AE29" s="94"/>
      <c r="AF29" s="94"/>
      <c r="AG29" s="94"/>
      <c r="AH29" s="94"/>
    </row>
    <row r="30" spans="1:250">
      <c r="A30" s="68" t="s">
        <v>81</v>
      </c>
      <c r="B30" s="5" t="s">
        <v>5</v>
      </c>
      <c r="D30" s="95" t="s">
        <v>14</v>
      </c>
      <c r="E30" s="69" t="str">
        <f t="shared" si="0"/>
        <v xml:space="preserve">                 </v>
      </c>
      <c r="F30" s="70" t="str">
        <f t="shared" si="1"/>
        <v>9JA_974_029</v>
      </c>
      <c r="G30" s="95" t="s">
        <v>93</v>
      </c>
      <c r="H30" s="70" t="str">
        <f t="shared" si="2"/>
        <v>1J219JA029</v>
      </c>
      <c r="I30" s="70" t="str">
        <f t="shared" si="3"/>
        <v>D0</v>
      </c>
      <c r="J30" s="90" t="s">
        <v>24</v>
      </c>
      <c r="L30" s="73" t="s">
        <v>95</v>
      </c>
      <c r="M30" s="99" t="s">
        <v>161</v>
      </c>
      <c r="O30" s="95">
        <v>1917</v>
      </c>
      <c r="P30" s="94" t="s">
        <v>130</v>
      </c>
      <c r="Q30" s="1" t="s">
        <v>94</v>
      </c>
      <c r="R30" s="28" t="str">
        <f t="shared" si="4"/>
        <v>1J219JA029D0A</v>
      </c>
      <c r="S30" s="71" t="str">
        <f t="shared" si="5"/>
        <v>NICHT AKTUELL</v>
      </c>
      <c r="W30" s="100">
        <v>1.7399999999999999E-2</v>
      </c>
      <c r="Y30" s="93" t="s">
        <v>0</v>
      </c>
      <c r="Z30" s="93" t="s">
        <v>14</v>
      </c>
      <c r="AA30" s="93" t="s">
        <v>0</v>
      </c>
      <c r="AB30" s="94"/>
      <c r="AC30" s="80"/>
      <c r="AD30" s="78"/>
      <c r="AE30" s="94"/>
      <c r="AF30" s="94"/>
      <c r="AG30" s="94"/>
      <c r="AH30" s="94"/>
    </row>
    <row r="31" spans="1:250">
      <c r="A31" s="68" t="s">
        <v>81</v>
      </c>
      <c r="B31" s="5" t="s">
        <v>5</v>
      </c>
      <c r="D31" s="95" t="s">
        <v>14</v>
      </c>
      <c r="E31" s="69" t="str">
        <f t="shared" si="0"/>
        <v xml:space="preserve">                 </v>
      </c>
      <c r="F31" s="70" t="str">
        <f t="shared" si="1"/>
        <v>9JA_974_029</v>
      </c>
      <c r="G31" s="95" t="s">
        <v>93</v>
      </c>
      <c r="H31" s="70" t="str">
        <f t="shared" si="2"/>
        <v>1J219JA029</v>
      </c>
      <c r="I31" s="70" t="str">
        <f t="shared" si="3"/>
        <v>D0</v>
      </c>
      <c r="J31" s="90" t="s">
        <v>25</v>
      </c>
      <c r="L31" s="73" t="s">
        <v>95</v>
      </c>
      <c r="M31" s="99" t="s">
        <v>161</v>
      </c>
      <c r="N31" s="93">
        <v>1918</v>
      </c>
      <c r="O31" s="95">
        <v>1934</v>
      </c>
      <c r="P31" s="94" t="s">
        <v>130</v>
      </c>
      <c r="Q31" s="1" t="s">
        <v>94</v>
      </c>
      <c r="R31" s="28" t="str">
        <f t="shared" si="4"/>
        <v>1J219JA029D0B</v>
      </c>
      <c r="S31" s="71" t="str">
        <f t="shared" si="5"/>
        <v>NICHT AKTUELL</v>
      </c>
      <c r="W31" s="100">
        <v>1.7399999999999999E-2</v>
      </c>
      <c r="Y31" s="93" t="s">
        <v>0</v>
      </c>
      <c r="Z31" s="93" t="s">
        <v>14</v>
      </c>
      <c r="AA31" s="93" t="s">
        <v>0</v>
      </c>
      <c r="AB31" s="94"/>
      <c r="AC31" s="80"/>
      <c r="AD31" s="78"/>
      <c r="AE31" s="94"/>
      <c r="AF31" s="94"/>
      <c r="AG31" s="94"/>
      <c r="AH31" s="94"/>
    </row>
    <row r="32" spans="1:250">
      <c r="A32" s="68" t="s">
        <v>81</v>
      </c>
      <c r="B32" s="5" t="s">
        <v>5</v>
      </c>
      <c r="D32" s="95" t="s">
        <v>14</v>
      </c>
      <c r="E32" s="69" t="str">
        <f t="shared" si="0"/>
        <v xml:space="preserve">                 </v>
      </c>
      <c r="F32" s="70" t="str">
        <f t="shared" si="1"/>
        <v>9JA_974_029</v>
      </c>
      <c r="G32" s="95" t="s">
        <v>93</v>
      </c>
      <c r="H32" s="70" t="str">
        <f t="shared" si="2"/>
        <v>1J219JA029</v>
      </c>
      <c r="I32" s="70" t="str">
        <f t="shared" si="3"/>
        <v>D0</v>
      </c>
      <c r="J32" s="90" t="s">
        <v>85</v>
      </c>
      <c r="L32" s="73" t="s">
        <v>95</v>
      </c>
      <c r="M32" s="99" t="s">
        <v>180</v>
      </c>
      <c r="N32" s="93">
        <v>1935</v>
      </c>
      <c r="O32" s="95">
        <v>1944</v>
      </c>
      <c r="P32" s="94" t="s">
        <v>141</v>
      </c>
      <c r="Q32" s="1" t="s">
        <v>94</v>
      </c>
      <c r="R32" s="28" t="str">
        <f t="shared" si="4"/>
        <v>1J219JA029D0C</v>
      </c>
      <c r="S32" s="71" t="str">
        <f t="shared" si="5"/>
        <v>NICHT AKTUELL</v>
      </c>
      <c r="W32" s="100">
        <v>1.7399999999999999E-2</v>
      </c>
      <c r="Y32" s="93" t="s">
        <v>0</v>
      </c>
      <c r="Z32" s="93" t="s">
        <v>14</v>
      </c>
      <c r="AA32" s="93" t="s">
        <v>0</v>
      </c>
      <c r="AB32" s="94"/>
      <c r="AC32" s="80"/>
      <c r="AD32" s="78"/>
      <c r="AE32" s="94"/>
      <c r="AF32" s="94"/>
      <c r="AG32" s="94"/>
      <c r="AH32" s="94"/>
    </row>
    <row r="33" spans="1:250">
      <c r="A33" s="68" t="s">
        <v>81</v>
      </c>
      <c r="B33" s="5" t="s">
        <v>5</v>
      </c>
      <c r="D33" s="95" t="s">
        <v>14</v>
      </c>
      <c r="E33" s="69" t="str">
        <f>CONCATENATE(IF(AC33&gt;0,$AC$1," ")," ",IF(AD33&gt;0,$AD$1," ")," ",IF(AE33&gt;0,$AE$1," ")," ",IF(AF33&gt;0,$AF$1," ")," ",IF(AG33&gt;0,$AG$1," ")," ",IF(AH33&gt;0,$AH$1," ")," ",IF(AI33&gt;0,$AI$1," ")," ",IF(AJ33&gt;0,$AJ$1," ")," ",IF(AK33&gt;0,$AK$1," "))</f>
        <v xml:space="preserve">                 </v>
      </c>
      <c r="F33" s="70" t="str">
        <f>LEFT(Q33,11)</f>
        <v>9JA_974_029</v>
      </c>
      <c r="G33" s="95" t="s">
        <v>93</v>
      </c>
      <c r="H33" s="70" t="str">
        <f>CONCATENATE(IF(MID(Q33,5,3)="974","1J21"),LEFT(F33,3),RIGHT(F33,3))</f>
        <v>1J219JA029</v>
      </c>
      <c r="I33" s="70" t="str">
        <f>IF(G33=0,"00",IF(LEN(G33)=1,CONCATENATE(G33,0),G33))</f>
        <v>D0</v>
      </c>
      <c r="J33" s="90" t="s">
        <v>93</v>
      </c>
      <c r="L33" s="73" t="s">
        <v>95</v>
      </c>
      <c r="M33" s="99" t="s">
        <v>181</v>
      </c>
      <c r="N33" s="93">
        <v>1945</v>
      </c>
      <c r="O33" s="95">
        <v>2012</v>
      </c>
      <c r="P33" s="94" t="s">
        <v>147</v>
      </c>
      <c r="Q33" s="1" t="s">
        <v>94</v>
      </c>
      <c r="R33" s="28" t="str">
        <f>IF(J33&lt;&gt;"",CONCATENATE(H33,I33,J33),CONCATENATE(H33,I33,K33))</f>
        <v>1J219JA029D0D</v>
      </c>
      <c r="S33" s="71" t="str">
        <f>IF(N33="-","KEIN LIEFERUMFANG",IF(AND(N33&lt;=S$3,O33=""),"AKTUELL",IF(O33=N33,"KEIN SERIENEINSATZ",IF(N33&gt;S$3,"NOCH NICHT AKTUELL",IF(AND(N33&lt;S$3,O33&lt;S$3),"NICHT AKTUELL",IF(N33&lt;=S$3,"AKTUELL"))))))</f>
        <v>NICHT AKTUELL</v>
      </c>
      <c r="W33" s="100">
        <v>1.7399999999999999E-2</v>
      </c>
      <c r="Y33" s="93" t="s">
        <v>0</v>
      </c>
      <c r="Z33" s="93" t="s">
        <v>14</v>
      </c>
      <c r="AA33" s="93" t="s">
        <v>0</v>
      </c>
      <c r="AB33" s="94"/>
      <c r="AC33" s="80"/>
      <c r="AD33" s="78"/>
      <c r="AE33" s="94"/>
      <c r="AF33" s="94"/>
      <c r="AG33" s="94"/>
      <c r="AH33" s="94"/>
    </row>
    <row r="34" spans="1:250">
      <c r="A34" s="68" t="s">
        <v>81</v>
      </c>
      <c r="B34" s="5" t="s">
        <v>5</v>
      </c>
      <c r="D34" s="95" t="s">
        <v>14</v>
      </c>
      <c r="E34" s="69" t="str">
        <f>CONCATENATE(IF(AC34&gt;0,$AC$1," ")," ",IF(AD34&gt;0,$AD$1," ")," ",IF(AE34&gt;0,$AE$1," ")," ",IF(AF34&gt;0,$AF$1," ")," ",IF(AG34&gt;0,$AG$1," ")," ",IF(AH34&gt;0,$AH$1," ")," ",IF(AI34&gt;0,$AI$1," ")," ",IF(AJ34&gt;0,$AJ$1," ")," ",IF(AK34&gt;0,$AK$1," "))</f>
        <v xml:space="preserve">                 </v>
      </c>
      <c r="F34" s="70" t="str">
        <f>LEFT(Q34,11)</f>
        <v>9JA_974_029</v>
      </c>
      <c r="G34" s="95" t="s">
        <v>93</v>
      </c>
      <c r="H34" s="70" t="str">
        <f>CONCATENATE(IF(MID(Q34,5,3)="974","1J21"),LEFT(F34,3),RIGHT(F34,3))</f>
        <v>1J219JA029</v>
      </c>
      <c r="I34" s="70" t="str">
        <f>IF(G34=0,"00",IF(LEN(G34)=1,CONCATENATE(G34,0),G34))</f>
        <v>D0</v>
      </c>
      <c r="J34" s="90" t="s">
        <v>132</v>
      </c>
      <c r="K34" s="2"/>
      <c r="L34" s="73" t="s">
        <v>95</v>
      </c>
      <c r="M34" s="99" t="s">
        <v>182</v>
      </c>
      <c r="N34" s="93">
        <v>2013</v>
      </c>
      <c r="P34" s="94" t="s">
        <v>147</v>
      </c>
      <c r="Q34" s="1" t="s">
        <v>94</v>
      </c>
      <c r="R34" s="28" t="str">
        <f>IF(J34&lt;&gt;"",CONCATENATE(H34,I34,J34),CONCATENATE(H34,I34,#REF!))</f>
        <v>1J219JA029D0E</v>
      </c>
      <c r="S34" s="102" t="str">
        <f>IF(N34="-","KEIN LIEFERUMFANG",IF(AND(N34&lt;=S$3,O34=""),"AKTUELL",IF(O34=N34,"KEIN SERIENEINSATZ",IF(N34&gt;S$3,"NOCH NICHT AKTUELL",IF(AND(N34&lt;S$3,O34&lt;S$3),"NICHT AKTUELL",IF(N34&lt;=S$3,"AKTUELL"))))))</f>
        <v>AKTUELL</v>
      </c>
      <c r="W34" s="100">
        <v>1.7399999999999999E-2</v>
      </c>
      <c r="Y34" s="93" t="s">
        <v>0</v>
      </c>
      <c r="Z34" s="93" t="s">
        <v>14</v>
      </c>
      <c r="AA34" s="93" t="s">
        <v>0</v>
      </c>
      <c r="AB34" s="94"/>
      <c r="AC34" s="80"/>
      <c r="AD34" s="78"/>
      <c r="AE34" s="94"/>
      <c r="AF34" s="94"/>
      <c r="AG34" s="94"/>
      <c r="AH34" s="94"/>
    </row>
    <row r="35" spans="1:250">
      <c r="A35" s="68" t="s">
        <v>81</v>
      </c>
      <c r="B35" s="5" t="s">
        <v>5</v>
      </c>
      <c r="D35" s="95" t="s">
        <v>14</v>
      </c>
      <c r="E35" s="69" t="str">
        <f t="shared" si="0"/>
        <v xml:space="preserve">VT01                </v>
      </c>
      <c r="F35" s="70" t="str">
        <f t="shared" si="1"/>
        <v>9JA_974_029</v>
      </c>
      <c r="G35" s="95" t="s">
        <v>132</v>
      </c>
      <c r="H35" s="70" t="str">
        <f t="shared" si="2"/>
        <v>1J219JA029</v>
      </c>
      <c r="I35" s="70" t="str">
        <f t="shared" si="3"/>
        <v>E0</v>
      </c>
      <c r="J35" s="90" t="s">
        <v>24</v>
      </c>
      <c r="L35" s="73" t="s">
        <v>97</v>
      </c>
      <c r="M35" s="99" t="s">
        <v>161</v>
      </c>
      <c r="O35" s="95">
        <v>1917</v>
      </c>
      <c r="P35" s="94" t="s">
        <v>130</v>
      </c>
      <c r="Q35" s="1" t="s">
        <v>96</v>
      </c>
      <c r="R35" s="28" t="str">
        <f t="shared" si="4"/>
        <v>1J219JA029E0A</v>
      </c>
      <c r="S35" s="71" t="str">
        <f t="shared" si="5"/>
        <v>NICHT AKTUELL</v>
      </c>
      <c r="W35" s="100">
        <v>1.5599999999999999E-2</v>
      </c>
      <c r="Y35" s="93" t="s">
        <v>14</v>
      </c>
      <c r="Z35" s="93" t="s">
        <v>14</v>
      </c>
      <c r="AA35" s="93" t="s">
        <v>0</v>
      </c>
      <c r="AB35" s="94"/>
      <c r="AC35" s="80" t="s">
        <v>133</v>
      </c>
      <c r="AD35" s="78"/>
      <c r="AE35" s="94"/>
      <c r="AF35" s="94"/>
      <c r="AG35" s="94"/>
      <c r="AH35" s="94"/>
    </row>
    <row r="36" spans="1:250">
      <c r="A36" s="68" t="s">
        <v>81</v>
      </c>
      <c r="B36" s="5" t="s">
        <v>5</v>
      </c>
      <c r="D36" s="95" t="s">
        <v>14</v>
      </c>
      <c r="E36" s="69" t="str">
        <f t="shared" si="0"/>
        <v xml:space="preserve">VT01                </v>
      </c>
      <c r="F36" s="70" t="str">
        <f t="shared" si="1"/>
        <v>9JA_974_029</v>
      </c>
      <c r="G36" s="95" t="s">
        <v>132</v>
      </c>
      <c r="H36" s="70" t="str">
        <f t="shared" si="2"/>
        <v>1J219JA029</v>
      </c>
      <c r="I36" s="70" t="str">
        <f t="shared" si="3"/>
        <v>E0</v>
      </c>
      <c r="J36" s="90" t="s">
        <v>25</v>
      </c>
      <c r="L36" s="73" t="s">
        <v>97</v>
      </c>
      <c r="M36" s="99" t="s">
        <v>161</v>
      </c>
      <c r="N36" s="93">
        <v>1918</v>
      </c>
      <c r="O36" s="95">
        <v>1934</v>
      </c>
      <c r="P36" s="94" t="s">
        <v>130</v>
      </c>
      <c r="Q36" s="1" t="s">
        <v>96</v>
      </c>
      <c r="R36" s="28" t="str">
        <f t="shared" si="4"/>
        <v>1J219JA029E0B</v>
      </c>
      <c r="S36" s="71" t="str">
        <f t="shared" si="5"/>
        <v>NICHT AKTUELL</v>
      </c>
      <c r="W36" s="100">
        <v>1.5599999999999999E-2</v>
      </c>
      <c r="Y36" s="93" t="s">
        <v>14</v>
      </c>
      <c r="Z36" s="93" t="s">
        <v>14</v>
      </c>
      <c r="AA36" s="93" t="s">
        <v>0</v>
      </c>
      <c r="AB36" s="94"/>
      <c r="AC36" s="80" t="s">
        <v>133</v>
      </c>
      <c r="AD36" s="78"/>
      <c r="AE36" s="94"/>
      <c r="AF36" s="94"/>
      <c r="AG36" s="94"/>
      <c r="AH36" s="94"/>
    </row>
    <row r="37" spans="1:250">
      <c r="A37" s="68" t="s">
        <v>81</v>
      </c>
      <c r="B37" s="5" t="s">
        <v>5</v>
      </c>
      <c r="D37" s="95" t="s">
        <v>14</v>
      </c>
      <c r="E37" s="69" t="str">
        <f t="shared" si="0"/>
        <v xml:space="preserve">VT01                </v>
      </c>
      <c r="F37" s="70" t="str">
        <f t="shared" si="1"/>
        <v>9JA_974_029</v>
      </c>
      <c r="G37" s="95" t="s">
        <v>132</v>
      </c>
      <c r="H37" s="70" t="str">
        <f t="shared" si="2"/>
        <v>1J219JA029</v>
      </c>
      <c r="I37" s="70" t="str">
        <f t="shared" si="3"/>
        <v>E0</v>
      </c>
      <c r="J37" s="90" t="s">
        <v>85</v>
      </c>
      <c r="L37" s="73" t="s">
        <v>97</v>
      </c>
      <c r="M37" s="99" t="s">
        <v>180</v>
      </c>
      <c r="N37" s="93">
        <v>1935</v>
      </c>
      <c r="O37" s="95">
        <v>1944</v>
      </c>
      <c r="P37" s="94" t="s">
        <v>141</v>
      </c>
      <c r="Q37" s="1" t="s">
        <v>96</v>
      </c>
      <c r="R37" s="28" t="str">
        <f t="shared" si="4"/>
        <v>1J219JA029E0C</v>
      </c>
      <c r="S37" s="71" t="str">
        <f t="shared" si="5"/>
        <v>NICHT AKTUELL</v>
      </c>
      <c r="W37" s="100">
        <v>1.5599999999999999E-2</v>
      </c>
      <c r="Y37" s="93" t="s">
        <v>14</v>
      </c>
      <c r="Z37" s="93" t="s">
        <v>14</v>
      </c>
      <c r="AA37" s="93" t="s">
        <v>0</v>
      </c>
      <c r="AB37" s="94"/>
      <c r="AC37" s="80" t="s">
        <v>133</v>
      </c>
      <c r="AD37" s="78"/>
      <c r="AE37" s="94"/>
      <c r="AF37" s="94"/>
      <c r="AG37" s="94"/>
      <c r="AH37" s="94"/>
    </row>
    <row r="38" spans="1:250">
      <c r="A38" s="68" t="s">
        <v>81</v>
      </c>
      <c r="B38" s="5" t="s">
        <v>5</v>
      </c>
      <c r="D38" s="95" t="s">
        <v>14</v>
      </c>
      <c r="E38" s="69" t="str">
        <f>CONCATENATE(IF(AC38&gt;0,$AC$1," ")," ",IF(AD38&gt;0,$AD$1," ")," ",IF(AE38&gt;0,$AE$1," ")," ",IF(AF38&gt;0,$AF$1," ")," ",IF(AG38&gt;0,$AG$1," ")," ",IF(AH38&gt;0,$AH$1," ")," ",IF(AI38&gt;0,$AI$1," ")," ",IF(AJ38&gt;0,$AJ$1," ")," ",IF(AK38&gt;0,$AK$1," "))</f>
        <v xml:space="preserve">VT01                </v>
      </c>
      <c r="F38" s="70" t="str">
        <f>LEFT(Q38,11)</f>
        <v>9JA_974_029</v>
      </c>
      <c r="G38" s="95" t="s">
        <v>132</v>
      </c>
      <c r="H38" s="70" t="str">
        <f>CONCATENATE(IF(MID(Q38,5,3)="974","1J21"),LEFT(F38,3),RIGHT(F38,3))</f>
        <v>1J219JA029</v>
      </c>
      <c r="I38" s="70" t="str">
        <f>IF(G38=0,"00",IF(LEN(G38)=1,CONCATENATE(G38,0),G38))</f>
        <v>E0</v>
      </c>
      <c r="J38" s="90" t="s">
        <v>93</v>
      </c>
      <c r="L38" s="73" t="s">
        <v>97</v>
      </c>
      <c r="M38" s="99" t="s">
        <v>181</v>
      </c>
      <c r="N38" s="93">
        <v>1945</v>
      </c>
      <c r="O38" s="95">
        <v>2012</v>
      </c>
      <c r="P38" s="94" t="s">
        <v>147</v>
      </c>
      <c r="Q38" s="1" t="s">
        <v>96</v>
      </c>
      <c r="R38" s="28" t="str">
        <f>IF(J38&lt;&gt;"",CONCATENATE(H38,I38,J38),CONCATENATE(H38,I38,K38))</f>
        <v>1J219JA029E0D</v>
      </c>
      <c r="S38" s="71" t="str">
        <f>IF(N38="-","KEIN LIEFERUMFANG",IF(AND(N38&lt;=S$3,O38=""),"AKTUELL",IF(O38=N38,"KEIN SERIENEINSATZ",IF(N38&gt;S$3,"NOCH NICHT AKTUELL",IF(AND(N38&lt;S$3,O38&lt;S$3),"NICHT AKTUELL",IF(N38&lt;=S$3,"AKTUELL"))))))</f>
        <v>NICHT AKTUELL</v>
      </c>
      <c r="W38" s="100">
        <v>1.5599999999999999E-2</v>
      </c>
      <c r="Y38" s="93" t="s">
        <v>14</v>
      </c>
      <c r="Z38" s="93" t="s">
        <v>14</v>
      </c>
      <c r="AA38" s="93" t="s">
        <v>0</v>
      </c>
      <c r="AB38" s="94"/>
      <c r="AC38" s="80" t="s">
        <v>133</v>
      </c>
      <c r="AD38" s="78"/>
      <c r="AE38" s="94"/>
      <c r="AF38" s="94"/>
      <c r="AG38" s="94"/>
      <c r="AH38" s="94"/>
    </row>
    <row r="39" spans="1:250">
      <c r="A39" s="68" t="s">
        <v>81</v>
      </c>
      <c r="B39" s="5" t="s">
        <v>5</v>
      </c>
      <c r="D39" s="95" t="s">
        <v>14</v>
      </c>
      <c r="E39" s="69" t="str">
        <f>CONCATENATE(IF(AC39&gt;0,$AC$1," ")," ",IF(AD39&gt;0,$AD$1," ")," ",IF(AE39&gt;0,$AE$1," ")," ",IF(AF39&gt;0,$AF$1," ")," ",IF(AG39&gt;0,$AG$1," ")," ",IF(AH39&gt;0,$AH$1," ")," ",IF(AI39&gt;0,$AI$1," ")," ",IF(AJ39&gt;0,$AJ$1," ")," ",IF(AK39&gt;0,$AK$1," "))</f>
        <v xml:space="preserve">VT01                </v>
      </c>
      <c r="F39" s="70" t="str">
        <f>LEFT(Q39,11)</f>
        <v>9JA_974_029</v>
      </c>
      <c r="G39" s="95" t="s">
        <v>132</v>
      </c>
      <c r="H39" s="70" t="str">
        <f>CONCATENATE(IF(MID(Q39,5,3)="974","1J21"),LEFT(F39,3),RIGHT(F39,3))</f>
        <v>1J219JA029</v>
      </c>
      <c r="I39" s="70" t="str">
        <f>IF(G39=0,"00",IF(LEN(G39)=1,CONCATENATE(G39,0),G39))</f>
        <v>E0</v>
      </c>
      <c r="J39" s="90" t="s">
        <v>132</v>
      </c>
      <c r="K39" s="2"/>
      <c r="L39" s="73" t="s">
        <v>97</v>
      </c>
      <c r="M39" s="99" t="s">
        <v>182</v>
      </c>
      <c r="N39" s="93">
        <v>2013</v>
      </c>
      <c r="P39" s="94" t="s">
        <v>147</v>
      </c>
      <c r="Q39" s="1" t="s">
        <v>96</v>
      </c>
      <c r="R39" s="28" t="str">
        <f>IF(J39&lt;&gt;"",CONCATENATE(H39,I39,J39),CONCATENATE(H39,I39,#REF!))</f>
        <v>1J219JA029E0E</v>
      </c>
      <c r="S39" s="102" t="str">
        <f>IF(N39="-","KEIN LIEFERUMFANG",IF(AND(N39&lt;=S$3,O39=""),"AKTUELL",IF(O39=N39,"KEIN SERIENEINSATZ",IF(N39&gt;S$3,"NOCH NICHT AKTUELL",IF(AND(N39&lt;S$3,O39&lt;S$3),"NICHT AKTUELL",IF(N39&lt;=S$3,"AKTUELL"))))))</f>
        <v>AKTUELL</v>
      </c>
      <c r="W39" s="100">
        <v>1.5599999999999999E-2</v>
      </c>
      <c r="Y39" s="93" t="s">
        <v>14</v>
      </c>
      <c r="Z39" s="93" t="s">
        <v>14</v>
      </c>
      <c r="AA39" s="93" t="s">
        <v>0</v>
      </c>
      <c r="AB39" s="94"/>
      <c r="AC39" s="80" t="s">
        <v>133</v>
      </c>
      <c r="AD39" s="78"/>
      <c r="AE39" s="94"/>
      <c r="AF39" s="94"/>
      <c r="AG39" s="94"/>
      <c r="AH39" s="94"/>
    </row>
    <row r="40" spans="1:250" s="88" customFormat="1">
      <c r="A40" s="76" t="s">
        <v>81</v>
      </c>
      <c r="B40" s="94" t="s">
        <v>15</v>
      </c>
      <c r="C40" s="94"/>
      <c r="D40" s="90"/>
      <c r="E40" s="96" t="str">
        <f t="shared" si="0"/>
        <v xml:space="preserve">                 </v>
      </c>
      <c r="F40" s="77" t="str">
        <f t="shared" si="1"/>
        <v>9JA_974_069</v>
      </c>
      <c r="G40" s="95">
        <v>0</v>
      </c>
      <c r="H40" s="77" t="str">
        <f t="shared" si="2"/>
        <v>1J219JA069</v>
      </c>
      <c r="I40" s="77" t="str">
        <f t="shared" si="3"/>
        <v>00</v>
      </c>
      <c r="J40" s="90" t="s">
        <v>25</v>
      </c>
      <c r="K40" s="94"/>
      <c r="L40" s="88" t="s">
        <v>162</v>
      </c>
      <c r="M40" s="94">
        <v>6002</v>
      </c>
      <c r="N40" s="94"/>
      <c r="O40" s="90">
        <v>1917</v>
      </c>
      <c r="P40" s="94"/>
      <c r="Q40" s="88" t="s">
        <v>163</v>
      </c>
      <c r="R40" s="28" t="str">
        <f t="shared" si="4"/>
        <v>1J219JA06900B</v>
      </c>
      <c r="S40" s="103" t="str">
        <f t="shared" si="5"/>
        <v>NICHT AKTUELL</v>
      </c>
      <c r="T40" s="94"/>
      <c r="U40" s="94"/>
      <c r="V40" s="94"/>
      <c r="W40" s="79">
        <v>2.9897999999999999E-3</v>
      </c>
      <c r="X40" s="94"/>
      <c r="Y40" s="94" t="s">
        <v>0</v>
      </c>
      <c r="Z40" s="94" t="s">
        <v>14</v>
      </c>
      <c r="AA40" s="94" t="s">
        <v>0</v>
      </c>
      <c r="AB40" s="94"/>
      <c r="AC40" s="101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/>
      <c r="BY40" s="94"/>
      <c r="BZ40" s="94"/>
      <c r="CA40" s="94"/>
      <c r="CB40" s="94"/>
      <c r="CC40" s="94"/>
      <c r="CD40" s="94"/>
      <c r="CE40" s="94"/>
      <c r="CF40" s="94"/>
      <c r="CG40" s="94"/>
      <c r="CH40" s="94"/>
      <c r="CI40" s="94"/>
      <c r="CJ40" s="94"/>
      <c r="CK40" s="94"/>
      <c r="CL40" s="94"/>
      <c r="CM40" s="94"/>
      <c r="CN40" s="94"/>
      <c r="CO40" s="94"/>
      <c r="CP40" s="94"/>
      <c r="CQ40" s="94"/>
      <c r="CR40" s="94"/>
      <c r="CS40" s="94"/>
      <c r="CT40" s="94"/>
      <c r="CU40" s="94"/>
      <c r="CV40" s="94"/>
      <c r="CW40" s="94"/>
      <c r="CX40" s="94"/>
      <c r="CY40" s="94"/>
      <c r="CZ40" s="94"/>
      <c r="DA40" s="94"/>
      <c r="DB40" s="94"/>
      <c r="DC40" s="94"/>
      <c r="DD40" s="94"/>
      <c r="DE40" s="94"/>
      <c r="DF40" s="94"/>
      <c r="DG40" s="94"/>
      <c r="DH40" s="94"/>
      <c r="DI40" s="94"/>
      <c r="DJ40" s="94"/>
      <c r="DK40" s="94"/>
      <c r="DL40" s="94"/>
      <c r="DM40" s="94"/>
      <c r="DN40" s="94"/>
      <c r="DO40" s="94"/>
      <c r="DP40" s="94"/>
      <c r="DQ40" s="94"/>
      <c r="DR40" s="94"/>
      <c r="DS40" s="94"/>
      <c r="DT40" s="94"/>
      <c r="DU40" s="94"/>
      <c r="DV40" s="94"/>
      <c r="DW40" s="94"/>
      <c r="DX40" s="94"/>
      <c r="DY40" s="94"/>
      <c r="DZ40" s="94"/>
      <c r="EA40" s="94"/>
      <c r="EB40" s="94"/>
      <c r="EC40" s="94"/>
      <c r="ED40" s="94"/>
      <c r="EE40" s="94"/>
      <c r="EF40" s="94"/>
      <c r="EG40" s="94"/>
      <c r="EH40" s="94"/>
      <c r="EI40" s="94"/>
      <c r="EJ40" s="94"/>
      <c r="EK40" s="94"/>
      <c r="EL40" s="94"/>
      <c r="EM40" s="94"/>
      <c r="EN40" s="94"/>
      <c r="EO40" s="94"/>
      <c r="EP40" s="94"/>
      <c r="EQ40" s="94"/>
      <c r="ER40" s="94"/>
      <c r="ES40" s="94"/>
      <c r="ET40" s="94"/>
      <c r="EU40" s="94"/>
      <c r="EV40" s="94"/>
      <c r="EW40" s="94"/>
      <c r="EX40" s="94"/>
      <c r="EY40" s="94"/>
      <c r="EZ40" s="94"/>
      <c r="FA40" s="94"/>
      <c r="FB40" s="94"/>
      <c r="FC40" s="94"/>
      <c r="FD40" s="94"/>
      <c r="FE40" s="94"/>
      <c r="FF40" s="94"/>
      <c r="FG40" s="94"/>
      <c r="FH40" s="94"/>
      <c r="FI40" s="94"/>
      <c r="FJ40" s="94"/>
      <c r="FK40" s="94"/>
      <c r="FL40" s="94"/>
      <c r="FM40" s="94"/>
      <c r="FN40" s="94"/>
      <c r="FO40" s="94"/>
      <c r="FP40" s="94"/>
      <c r="FQ40" s="94"/>
      <c r="FR40" s="94"/>
      <c r="FS40" s="94"/>
      <c r="FT40" s="94"/>
      <c r="FU40" s="94"/>
      <c r="FV40" s="94"/>
      <c r="FW40" s="94"/>
      <c r="FX40" s="94"/>
      <c r="FY40" s="94"/>
      <c r="FZ40" s="94"/>
      <c r="GA40" s="94"/>
      <c r="GB40" s="94"/>
      <c r="GC40" s="94"/>
      <c r="GD40" s="94"/>
      <c r="GE40" s="94"/>
      <c r="GF40" s="94"/>
      <c r="GG40" s="94"/>
      <c r="GH40" s="94"/>
      <c r="GI40" s="94"/>
      <c r="GJ40" s="94"/>
      <c r="GK40" s="94"/>
      <c r="GL40" s="94"/>
      <c r="GM40" s="94"/>
      <c r="GN40" s="94"/>
      <c r="GO40" s="94"/>
      <c r="GP40" s="94"/>
      <c r="GQ40" s="94"/>
      <c r="GR40" s="94"/>
      <c r="GS40" s="94"/>
      <c r="GT40" s="94"/>
      <c r="GU40" s="94"/>
      <c r="GV40" s="94"/>
      <c r="GW40" s="94"/>
      <c r="GX40" s="94"/>
      <c r="GY40" s="94"/>
      <c r="GZ40" s="94"/>
      <c r="HA40" s="94"/>
      <c r="HB40" s="94"/>
      <c r="HC40" s="94"/>
      <c r="HD40" s="94"/>
      <c r="HE40" s="94"/>
      <c r="HF40" s="94"/>
      <c r="HG40" s="94"/>
      <c r="HH40" s="94"/>
      <c r="HI40" s="94"/>
      <c r="HJ40" s="94"/>
      <c r="HK40" s="94"/>
      <c r="HL40" s="94"/>
      <c r="HM40" s="94"/>
      <c r="HN40" s="94"/>
      <c r="HO40" s="94"/>
      <c r="HP40" s="94"/>
      <c r="HQ40" s="94"/>
      <c r="HR40" s="94"/>
      <c r="HS40" s="94"/>
      <c r="HT40" s="94"/>
      <c r="HU40" s="94"/>
      <c r="HV40" s="94"/>
      <c r="HW40" s="94"/>
      <c r="HX40" s="94"/>
      <c r="HY40" s="94"/>
      <c r="HZ40" s="94"/>
      <c r="IA40" s="94"/>
      <c r="IB40" s="94"/>
      <c r="IC40" s="94"/>
      <c r="ID40" s="94"/>
      <c r="IE40" s="94"/>
      <c r="IF40" s="94"/>
      <c r="IG40" s="94"/>
      <c r="IH40" s="94"/>
      <c r="II40" s="94"/>
      <c r="IJ40" s="94"/>
      <c r="IK40" s="94"/>
      <c r="IL40" s="94"/>
      <c r="IM40" s="94"/>
      <c r="IN40" s="94"/>
      <c r="IO40" s="94"/>
      <c r="IP40" s="94"/>
    </row>
    <row r="41" spans="1:250" s="1" customFormat="1">
      <c r="A41" s="68" t="s">
        <v>81</v>
      </c>
      <c r="B41" s="5" t="s">
        <v>15</v>
      </c>
      <c r="C41" s="94"/>
      <c r="D41" s="90"/>
      <c r="E41" s="69" t="str">
        <f t="shared" si="0"/>
        <v xml:space="preserve">                 </v>
      </c>
      <c r="F41" s="70" t="str">
        <f t="shared" si="1"/>
        <v>9JA_974_069</v>
      </c>
      <c r="G41" s="6" t="s">
        <v>85</v>
      </c>
      <c r="H41" s="70" t="str">
        <f t="shared" si="2"/>
        <v>1J219JA069</v>
      </c>
      <c r="I41" s="70" t="str">
        <f t="shared" si="3"/>
        <v>C0</v>
      </c>
      <c r="J41" s="90" t="s">
        <v>24</v>
      </c>
      <c r="K41" s="94"/>
      <c r="L41" s="88" t="s">
        <v>99</v>
      </c>
      <c r="M41" s="137" t="s">
        <v>195</v>
      </c>
      <c r="N41" s="94">
        <v>1912</v>
      </c>
      <c r="O41" s="90"/>
      <c r="P41" s="94"/>
      <c r="Q41" s="1" t="s">
        <v>98</v>
      </c>
      <c r="R41" s="28" t="str">
        <f t="shared" si="4"/>
        <v>1J219JA069C0A</v>
      </c>
      <c r="S41" s="104" t="str">
        <f t="shared" si="5"/>
        <v>AKTUELL</v>
      </c>
      <c r="T41" s="94"/>
      <c r="U41" s="94"/>
      <c r="V41" s="94"/>
      <c r="W41" s="79">
        <v>1.9602000000000005E-3</v>
      </c>
      <c r="X41" s="94"/>
      <c r="Y41" s="94" t="s">
        <v>0</v>
      </c>
      <c r="Z41" s="94" t="s">
        <v>14</v>
      </c>
      <c r="AA41" s="94" t="s">
        <v>0</v>
      </c>
      <c r="AB41" s="94"/>
      <c r="AC41" s="101"/>
      <c r="AD41" s="94"/>
      <c r="AE41" s="94"/>
      <c r="AF41" s="94"/>
      <c r="AG41" s="94"/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BC41" s="94"/>
      <c r="BD41" s="94"/>
      <c r="BE41" s="94"/>
      <c r="BF41" s="94"/>
      <c r="BG41" s="94"/>
      <c r="BH41" s="94"/>
      <c r="BI41" s="94"/>
      <c r="BJ41" s="94"/>
      <c r="BK41" s="94"/>
      <c r="BL41" s="94"/>
      <c r="BM41" s="94"/>
      <c r="BN41" s="94"/>
      <c r="BO41" s="94"/>
      <c r="BP41" s="94"/>
      <c r="BQ41" s="94"/>
      <c r="BR41" s="94"/>
      <c r="BS41" s="94"/>
      <c r="BT41" s="94"/>
      <c r="BU41" s="94"/>
      <c r="BV41" s="94"/>
      <c r="BW41" s="94"/>
      <c r="BX41" s="94"/>
      <c r="BY41" s="94"/>
      <c r="BZ41" s="94"/>
      <c r="CA41" s="94"/>
      <c r="CB41" s="94"/>
      <c r="CC41" s="94"/>
      <c r="CD41" s="94"/>
      <c r="CE41" s="94"/>
      <c r="CF41" s="94"/>
      <c r="CG41" s="94"/>
      <c r="CH41" s="94"/>
      <c r="CI41" s="94"/>
      <c r="CJ41" s="94"/>
      <c r="CK41" s="94"/>
      <c r="CL41" s="94"/>
      <c r="CM41" s="94"/>
      <c r="CN41" s="94"/>
      <c r="CO41" s="94"/>
      <c r="CP41" s="94"/>
      <c r="CQ41" s="94"/>
      <c r="CR41" s="94"/>
      <c r="CS41" s="94"/>
      <c r="CT41" s="94"/>
      <c r="CU41" s="94"/>
      <c r="CV41" s="94"/>
      <c r="CW41" s="94"/>
      <c r="CX41" s="94"/>
      <c r="CY41" s="94"/>
      <c r="CZ41" s="94"/>
      <c r="DA41" s="94"/>
      <c r="DB41" s="94"/>
      <c r="DC41" s="94"/>
      <c r="DD41" s="94"/>
      <c r="DE41" s="94"/>
      <c r="DF41" s="94"/>
      <c r="DG41" s="94"/>
      <c r="DH41" s="94"/>
      <c r="DI41" s="94"/>
      <c r="DJ41" s="94"/>
      <c r="DK41" s="94"/>
      <c r="DL41" s="94"/>
      <c r="DM41" s="94"/>
      <c r="DN41" s="94"/>
      <c r="DO41" s="94"/>
      <c r="DP41" s="94"/>
      <c r="DQ41" s="94"/>
      <c r="DR41" s="94"/>
      <c r="DS41" s="94"/>
      <c r="DT41" s="94"/>
      <c r="DU41" s="94"/>
      <c r="DV41" s="94"/>
      <c r="DW41" s="94"/>
      <c r="DX41" s="94"/>
      <c r="DY41" s="94"/>
      <c r="DZ41" s="94"/>
      <c r="EA41" s="94"/>
      <c r="EB41" s="94"/>
      <c r="EC41" s="94"/>
      <c r="ED41" s="94"/>
      <c r="EE41" s="94"/>
      <c r="EF41" s="94"/>
      <c r="EG41" s="94"/>
      <c r="EH41" s="94"/>
      <c r="EI41" s="94"/>
      <c r="EJ41" s="94"/>
      <c r="EK41" s="94"/>
      <c r="EL41" s="94"/>
      <c r="EM41" s="94"/>
      <c r="EN41" s="94"/>
      <c r="EO41" s="94"/>
      <c r="EP41" s="94"/>
      <c r="EQ41" s="94"/>
      <c r="ER41" s="94"/>
      <c r="ES41" s="94"/>
      <c r="ET41" s="94"/>
      <c r="EU41" s="94"/>
      <c r="EV41" s="94"/>
      <c r="EW41" s="94"/>
      <c r="EX41" s="94"/>
      <c r="EY41" s="94"/>
      <c r="EZ41" s="94"/>
      <c r="FA41" s="94"/>
      <c r="FB41" s="94"/>
      <c r="FC41" s="94"/>
      <c r="FD41" s="94"/>
      <c r="FE41" s="94"/>
      <c r="FF41" s="94"/>
      <c r="FG41" s="94"/>
      <c r="FH41" s="94"/>
      <c r="FI41" s="94"/>
      <c r="FJ41" s="94"/>
      <c r="FK41" s="94"/>
      <c r="FL41" s="94"/>
      <c r="FM41" s="94"/>
      <c r="FN41" s="94"/>
      <c r="FO41" s="94"/>
      <c r="FP41" s="94"/>
      <c r="FQ41" s="94"/>
      <c r="FR41" s="94"/>
      <c r="FS41" s="94"/>
      <c r="FT41" s="94"/>
      <c r="FU41" s="94"/>
      <c r="FV41" s="94"/>
      <c r="FW41" s="94"/>
      <c r="FX41" s="94"/>
      <c r="FY41" s="94"/>
      <c r="FZ41" s="94"/>
      <c r="GA41" s="94"/>
      <c r="GB41" s="94"/>
      <c r="GC41" s="94"/>
      <c r="GD41" s="94"/>
      <c r="GE41" s="94"/>
      <c r="GF41" s="94"/>
      <c r="GG41" s="94"/>
      <c r="GH41" s="94"/>
      <c r="GI41" s="94"/>
      <c r="GJ41" s="94"/>
      <c r="GK41" s="94"/>
      <c r="GL41" s="94"/>
      <c r="GM41" s="94"/>
      <c r="GN41" s="94"/>
      <c r="GO41" s="94"/>
      <c r="GP41" s="94"/>
      <c r="GQ41" s="94"/>
      <c r="GR41" s="94"/>
      <c r="GS41" s="94"/>
      <c r="GT41" s="94"/>
      <c r="GU41" s="94"/>
      <c r="GV41" s="94"/>
      <c r="GW41" s="94"/>
      <c r="GX41" s="94"/>
      <c r="GY41" s="94"/>
      <c r="GZ41" s="94"/>
      <c r="HA41" s="94"/>
      <c r="HB41" s="94"/>
      <c r="HC41" s="94"/>
      <c r="HD41" s="94"/>
      <c r="HE41" s="94"/>
      <c r="HF41" s="94"/>
      <c r="HG41" s="94"/>
      <c r="HH41" s="94"/>
      <c r="HI41" s="94"/>
      <c r="HJ41" s="94"/>
      <c r="HK41" s="94"/>
      <c r="HL41" s="94"/>
      <c r="HM41" s="94"/>
      <c r="HN41" s="94"/>
      <c r="HO41" s="94"/>
      <c r="HP41" s="94"/>
      <c r="HQ41" s="94"/>
      <c r="HR41" s="94"/>
      <c r="HS41" s="94"/>
      <c r="HT41" s="94"/>
      <c r="HU41" s="94"/>
      <c r="HV41" s="94"/>
      <c r="HW41" s="94"/>
      <c r="HX41" s="94"/>
      <c r="HY41" s="94"/>
      <c r="HZ41" s="94"/>
      <c r="IA41" s="94"/>
      <c r="IB41" s="94"/>
      <c r="IC41" s="94"/>
      <c r="ID41" s="94"/>
      <c r="IE41" s="94"/>
      <c r="IF41" s="94"/>
      <c r="IG41" s="94"/>
      <c r="IH41" s="94"/>
      <c r="II41" s="94"/>
      <c r="IJ41" s="94"/>
      <c r="IK41" s="94"/>
      <c r="IL41" s="94"/>
      <c r="IM41" s="94"/>
      <c r="IN41" s="94"/>
      <c r="IO41" s="94"/>
      <c r="IP41" s="94"/>
    </row>
    <row r="42" spans="1:250">
      <c r="A42" s="68" t="s">
        <v>81</v>
      </c>
      <c r="B42" s="5" t="s">
        <v>7</v>
      </c>
      <c r="E42" s="69" t="str">
        <f t="shared" si="0"/>
        <v xml:space="preserve">                 </v>
      </c>
      <c r="F42" s="70" t="str">
        <f t="shared" si="1"/>
        <v>9JA_974_072</v>
      </c>
      <c r="G42" s="95">
        <v>0</v>
      </c>
      <c r="H42" s="70" t="str">
        <f t="shared" si="2"/>
        <v>1J219JA072</v>
      </c>
      <c r="I42" s="70" t="str">
        <f t="shared" si="3"/>
        <v>00</v>
      </c>
      <c r="J42" s="90" t="s">
        <v>25</v>
      </c>
      <c r="L42" s="1" t="s">
        <v>36</v>
      </c>
      <c r="P42" s="94"/>
      <c r="Q42" s="1" t="s">
        <v>35</v>
      </c>
      <c r="R42" s="28" t="str">
        <f t="shared" si="4"/>
        <v>1J219JA07200B</v>
      </c>
      <c r="S42" s="71" t="str">
        <f t="shared" si="5"/>
        <v>AKTUELL</v>
      </c>
      <c r="W42" s="79">
        <v>8.8650000000000007E-2</v>
      </c>
      <c r="Y42" s="93" t="s">
        <v>0</v>
      </c>
      <c r="Z42" s="93" t="s">
        <v>14</v>
      </c>
      <c r="AA42" s="93" t="s">
        <v>0</v>
      </c>
      <c r="AB42" s="94"/>
      <c r="AC42" s="94"/>
      <c r="AD42" s="94"/>
      <c r="AE42" s="94"/>
      <c r="AF42" s="94"/>
      <c r="AG42" s="94"/>
      <c r="AH42" s="94"/>
    </row>
    <row r="43" spans="1:250">
      <c r="A43" s="68" t="s">
        <v>81</v>
      </c>
      <c r="B43" s="5" t="s">
        <v>3</v>
      </c>
      <c r="D43" s="95" t="s">
        <v>14</v>
      </c>
      <c r="E43" s="69" t="str">
        <f t="shared" si="0"/>
        <v xml:space="preserve">                 </v>
      </c>
      <c r="F43" s="70" t="str">
        <f t="shared" si="1"/>
        <v>9JA_974_076</v>
      </c>
      <c r="G43" s="95">
        <v>0</v>
      </c>
      <c r="H43" s="70" t="str">
        <f t="shared" si="2"/>
        <v>1J219JA076</v>
      </c>
      <c r="I43" s="70" t="str">
        <f t="shared" si="3"/>
        <v>00</v>
      </c>
      <c r="J43" s="90" t="s">
        <v>25</v>
      </c>
      <c r="L43" s="1" t="s">
        <v>38</v>
      </c>
      <c r="O43" s="95">
        <v>1934</v>
      </c>
      <c r="P43" s="94"/>
      <c r="Q43" s="1" t="s">
        <v>37</v>
      </c>
      <c r="R43" s="28" t="str">
        <f t="shared" si="4"/>
        <v>1J219JA07600B</v>
      </c>
      <c r="S43" s="71" t="str">
        <f t="shared" si="5"/>
        <v>NICHT AKTUELL</v>
      </c>
      <c r="W43" s="79">
        <v>5.1150000000000008E-2</v>
      </c>
      <c r="Y43" s="93" t="s">
        <v>0</v>
      </c>
      <c r="Z43" s="93" t="s">
        <v>14</v>
      </c>
      <c r="AA43" s="93" t="s">
        <v>0</v>
      </c>
      <c r="AB43" s="94"/>
      <c r="AC43" s="94"/>
      <c r="AD43" s="94"/>
      <c r="AE43" s="94"/>
      <c r="AF43" s="94"/>
      <c r="AG43" s="94"/>
      <c r="AH43" s="94"/>
    </row>
    <row r="44" spans="1:250">
      <c r="A44" s="68" t="s">
        <v>81</v>
      </c>
      <c r="B44" s="5" t="s">
        <v>3</v>
      </c>
      <c r="D44" s="95" t="s">
        <v>14</v>
      </c>
      <c r="E44" s="69" t="str">
        <f t="shared" si="0"/>
        <v xml:space="preserve">                 </v>
      </c>
      <c r="F44" s="70" t="str">
        <f t="shared" si="1"/>
        <v>9JA_974_076</v>
      </c>
      <c r="G44" s="95">
        <v>0</v>
      </c>
      <c r="H44" s="70" t="str">
        <f t="shared" si="2"/>
        <v>1J219JA076</v>
      </c>
      <c r="I44" s="70" t="str">
        <f t="shared" si="3"/>
        <v>00</v>
      </c>
      <c r="J44" s="90" t="s">
        <v>85</v>
      </c>
      <c r="L44" s="1" t="s">
        <v>38</v>
      </c>
      <c r="M44" s="99">
        <v>6021</v>
      </c>
      <c r="N44" s="93">
        <v>1635</v>
      </c>
      <c r="P44" s="94" t="s">
        <v>141</v>
      </c>
      <c r="Q44" s="1" t="s">
        <v>37</v>
      </c>
      <c r="R44" s="28" t="str">
        <f t="shared" si="4"/>
        <v>1J219JA07600C</v>
      </c>
      <c r="S44" s="71" t="str">
        <f t="shared" si="5"/>
        <v>AKTUELL</v>
      </c>
      <c r="W44" s="79">
        <v>5.1150000000000008E-2</v>
      </c>
      <c r="Y44" s="93" t="s">
        <v>0</v>
      </c>
      <c r="Z44" s="93" t="s">
        <v>14</v>
      </c>
      <c r="AA44" s="93" t="s">
        <v>0</v>
      </c>
      <c r="AB44" s="94"/>
      <c r="AC44" s="94"/>
      <c r="AD44" s="94"/>
      <c r="AE44" s="94"/>
      <c r="AF44" s="94"/>
      <c r="AG44" s="94"/>
      <c r="AH44" s="94"/>
    </row>
    <row r="45" spans="1:250">
      <c r="A45" s="68" t="s">
        <v>81</v>
      </c>
      <c r="B45" s="5" t="s">
        <v>3</v>
      </c>
      <c r="D45" s="95" t="s">
        <v>14</v>
      </c>
      <c r="E45" s="69" t="str">
        <f t="shared" si="0"/>
        <v xml:space="preserve">                 </v>
      </c>
      <c r="F45" s="70" t="str">
        <f t="shared" si="1"/>
        <v>9JA_974_076</v>
      </c>
      <c r="G45" s="95" t="s">
        <v>24</v>
      </c>
      <c r="H45" s="70" t="str">
        <f t="shared" si="2"/>
        <v>1J219JA076</v>
      </c>
      <c r="I45" s="70" t="str">
        <f t="shared" si="3"/>
        <v>A0</v>
      </c>
      <c r="J45" s="90" t="s">
        <v>25</v>
      </c>
      <c r="L45" s="1" t="s">
        <v>40</v>
      </c>
      <c r="O45" s="95">
        <v>1934</v>
      </c>
      <c r="P45" s="94"/>
      <c r="Q45" s="1" t="s">
        <v>39</v>
      </c>
      <c r="R45" s="28" t="str">
        <f t="shared" si="4"/>
        <v>1J219JA076A0B</v>
      </c>
      <c r="S45" s="71" t="str">
        <f t="shared" si="5"/>
        <v>NICHT AKTUELL</v>
      </c>
      <c r="W45" s="79">
        <v>9.1050000000000006E-2</v>
      </c>
      <c r="Y45" s="93" t="s">
        <v>0</v>
      </c>
      <c r="Z45" s="93" t="s">
        <v>14</v>
      </c>
      <c r="AA45" s="93" t="s">
        <v>0</v>
      </c>
      <c r="AB45" s="94"/>
      <c r="AC45" s="94"/>
      <c r="AD45" s="94"/>
      <c r="AE45" s="94"/>
      <c r="AF45" s="94"/>
      <c r="AG45" s="94"/>
      <c r="AH45" s="94"/>
    </row>
    <row r="46" spans="1:250">
      <c r="A46" s="68" t="s">
        <v>81</v>
      </c>
      <c r="B46" s="5" t="s">
        <v>3</v>
      </c>
      <c r="D46" s="95" t="s">
        <v>14</v>
      </c>
      <c r="E46" s="69" t="str">
        <f t="shared" si="0"/>
        <v xml:space="preserve">                 </v>
      </c>
      <c r="F46" s="70" t="str">
        <f t="shared" si="1"/>
        <v>9JA_974_076</v>
      </c>
      <c r="G46" s="95" t="s">
        <v>24</v>
      </c>
      <c r="H46" s="70" t="str">
        <f t="shared" si="2"/>
        <v>1J219JA076</v>
      </c>
      <c r="I46" s="70" t="str">
        <f t="shared" si="3"/>
        <v>A0</v>
      </c>
      <c r="J46" s="90" t="s">
        <v>85</v>
      </c>
      <c r="L46" s="1" t="s">
        <v>40</v>
      </c>
      <c r="M46" s="99">
        <v>6021</v>
      </c>
      <c r="N46" s="93">
        <v>1935</v>
      </c>
      <c r="P46" s="94" t="s">
        <v>141</v>
      </c>
      <c r="Q46" s="1" t="s">
        <v>39</v>
      </c>
      <c r="R46" s="28" t="str">
        <f t="shared" si="4"/>
        <v>1J219JA076A0C</v>
      </c>
      <c r="S46" s="71" t="str">
        <f t="shared" si="5"/>
        <v>AKTUELL</v>
      </c>
      <c r="W46" s="79">
        <v>9.1050000000000006E-2</v>
      </c>
      <c r="Y46" s="93" t="s">
        <v>0</v>
      </c>
      <c r="Z46" s="93" t="s">
        <v>14</v>
      </c>
      <c r="AA46" s="93" t="s">
        <v>0</v>
      </c>
      <c r="AB46" s="94"/>
      <c r="AC46" s="94"/>
      <c r="AD46" s="94"/>
      <c r="AE46" s="94"/>
      <c r="AF46" s="94"/>
      <c r="AG46" s="94"/>
      <c r="AH46" s="94"/>
    </row>
    <row r="47" spans="1:250">
      <c r="A47" s="68" t="s">
        <v>81</v>
      </c>
      <c r="B47" s="5" t="s">
        <v>3</v>
      </c>
      <c r="D47" s="95" t="s">
        <v>14</v>
      </c>
      <c r="E47" s="69" t="str">
        <f t="shared" si="0"/>
        <v xml:space="preserve">                 </v>
      </c>
      <c r="F47" s="70" t="str">
        <f t="shared" si="1"/>
        <v>9JA_974_076</v>
      </c>
      <c r="G47" s="95" t="s">
        <v>25</v>
      </c>
      <c r="H47" s="70" t="str">
        <f t="shared" si="2"/>
        <v>1J219JA076</v>
      </c>
      <c r="I47" s="70" t="str">
        <f t="shared" si="3"/>
        <v>B0</v>
      </c>
      <c r="J47" s="90" t="s">
        <v>25</v>
      </c>
      <c r="L47" s="1" t="s">
        <v>42</v>
      </c>
      <c r="O47" s="95">
        <v>1934</v>
      </c>
      <c r="P47" s="94"/>
      <c r="Q47" s="1" t="s">
        <v>41</v>
      </c>
      <c r="R47" s="28" t="str">
        <f t="shared" si="4"/>
        <v>1J219JA076B0B</v>
      </c>
      <c r="S47" s="71" t="str">
        <f t="shared" si="5"/>
        <v>NICHT AKTUELL</v>
      </c>
      <c r="W47" s="79">
        <v>7.7999999999999996E-3</v>
      </c>
      <c r="Y47" s="93" t="s">
        <v>0</v>
      </c>
      <c r="Z47" s="93" t="s">
        <v>14</v>
      </c>
      <c r="AA47" s="93" t="s">
        <v>0</v>
      </c>
      <c r="AB47" s="94"/>
      <c r="AC47" s="94"/>
      <c r="AD47" s="94"/>
      <c r="AE47" s="94"/>
      <c r="AF47" s="94"/>
      <c r="AG47" s="94"/>
      <c r="AH47" s="94"/>
    </row>
    <row r="48" spans="1:250">
      <c r="A48" s="68" t="s">
        <v>81</v>
      </c>
      <c r="B48" s="5" t="s">
        <v>3</v>
      </c>
      <c r="D48" s="95" t="s">
        <v>14</v>
      </c>
      <c r="E48" s="69" t="str">
        <f t="shared" si="0"/>
        <v xml:space="preserve">                 </v>
      </c>
      <c r="F48" s="70" t="str">
        <f t="shared" si="1"/>
        <v>9JA_974_076</v>
      </c>
      <c r="G48" s="95" t="s">
        <v>25</v>
      </c>
      <c r="H48" s="70" t="str">
        <f t="shared" si="2"/>
        <v>1J219JA076</v>
      </c>
      <c r="I48" s="70" t="str">
        <f t="shared" si="3"/>
        <v>B0</v>
      </c>
      <c r="J48" s="90" t="s">
        <v>85</v>
      </c>
      <c r="L48" s="1" t="s">
        <v>42</v>
      </c>
      <c r="M48" s="99">
        <v>6021</v>
      </c>
      <c r="N48" s="93">
        <v>1935</v>
      </c>
      <c r="P48" s="94" t="s">
        <v>141</v>
      </c>
      <c r="Q48" s="1" t="s">
        <v>41</v>
      </c>
      <c r="R48" s="28" t="str">
        <f t="shared" si="4"/>
        <v>1J219JA076B0C</v>
      </c>
      <c r="S48" s="71" t="str">
        <f t="shared" si="5"/>
        <v>AKTUELL</v>
      </c>
      <c r="W48" s="79">
        <v>7.7999999999999996E-3</v>
      </c>
      <c r="Y48" s="93" t="s">
        <v>0</v>
      </c>
      <c r="Z48" s="93" t="s">
        <v>14</v>
      </c>
      <c r="AA48" s="93" t="s">
        <v>0</v>
      </c>
      <c r="AB48" s="94"/>
      <c r="AC48" s="94"/>
      <c r="AD48" s="94"/>
      <c r="AE48" s="94"/>
      <c r="AF48" s="94"/>
      <c r="AG48" s="94"/>
      <c r="AH48" s="94"/>
    </row>
    <row r="49" spans="1:250" s="73" customFormat="1">
      <c r="A49" s="76" t="s">
        <v>81</v>
      </c>
      <c r="B49" s="94" t="s">
        <v>16</v>
      </c>
      <c r="C49" s="93"/>
      <c r="D49" s="95"/>
      <c r="E49" s="96" t="str">
        <f t="shared" si="0"/>
        <v xml:space="preserve">    VT03            </v>
      </c>
      <c r="F49" s="77" t="str">
        <f t="shared" si="1"/>
        <v>9JA_974_077</v>
      </c>
      <c r="G49" s="95" t="s">
        <v>24</v>
      </c>
      <c r="H49" s="77" t="str">
        <f t="shared" si="2"/>
        <v>1J219JA077</v>
      </c>
      <c r="I49" s="77" t="str">
        <f t="shared" si="3"/>
        <v>A0</v>
      </c>
      <c r="J49" s="90" t="s">
        <v>93</v>
      </c>
      <c r="K49" s="93"/>
      <c r="L49" s="88" t="s">
        <v>164</v>
      </c>
      <c r="M49" s="99"/>
      <c r="N49" s="93">
        <v>1910</v>
      </c>
      <c r="O49" s="95">
        <v>1917</v>
      </c>
      <c r="P49" s="94"/>
      <c r="Q49" s="88" t="s">
        <v>77</v>
      </c>
      <c r="R49" s="28" t="str">
        <f t="shared" si="4"/>
        <v>1J219JA077A0D</v>
      </c>
      <c r="S49" s="98" t="str">
        <f t="shared" si="5"/>
        <v>NICHT AKTUELL</v>
      </c>
      <c r="T49" s="93"/>
      <c r="U49" s="93"/>
      <c r="V49" s="93"/>
      <c r="W49" s="79">
        <v>9.06E-2</v>
      </c>
      <c r="X49" s="93"/>
      <c r="Y49" s="93" t="s">
        <v>14</v>
      </c>
      <c r="Z49" s="93" t="s">
        <v>0</v>
      </c>
      <c r="AA49" s="93" t="s">
        <v>0</v>
      </c>
      <c r="AB49" s="94"/>
      <c r="AC49" s="94"/>
      <c r="AD49" s="94"/>
      <c r="AE49" s="78" t="s">
        <v>88</v>
      </c>
      <c r="AF49" s="94"/>
      <c r="AG49" s="94"/>
      <c r="AH49" s="94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  <c r="BI49" s="93"/>
      <c r="BJ49" s="93"/>
      <c r="BK49" s="93"/>
      <c r="BL49" s="93"/>
      <c r="BM49" s="93"/>
      <c r="BN49" s="93"/>
      <c r="BO49" s="93"/>
      <c r="BP49" s="93"/>
      <c r="BQ49" s="93"/>
      <c r="BR49" s="93"/>
      <c r="BS49" s="93"/>
      <c r="BT49" s="93"/>
      <c r="BU49" s="93"/>
      <c r="BV49" s="93"/>
      <c r="BW49" s="93"/>
      <c r="BX49" s="93"/>
      <c r="BY49" s="93"/>
      <c r="BZ49" s="93"/>
      <c r="CA49" s="93"/>
      <c r="CB49" s="93"/>
      <c r="CC49" s="93"/>
      <c r="CD49" s="93"/>
      <c r="CE49" s="93"/>
      <c r="CF49" s="93"/>
      <c r="CG49" s="93"/>
      <c r="CH49" s="93"/>
      <c r="CI49" s="93"/>
      <c r="CJ49" s="93"/>
      <c r="CK49" s="93"/>
      <c r="CL49" s="93"/>
      <c r="CM49" s="93"/>
      <c r="CN49" s="93"/>
      <c r="CO49" s="93"/>
      <c r="CP49" s="93"/>
      <c r="CQ49" s="93"/>
      <c r="CR49" s="93"/>
      <c r="CS49" s="93"/>
      <c r="CT49" s="93"/>
      <c r="CU49" s="93"/>
      <c r="CV49" s="93"/>
      <c r="CW49" s="93"/>
      <c r="CX49" s="93"/>
      <c r="CY49" s="93"/>
      <c r="CZ49" s="93"/>
      <c r="DA49" s="93"/>
      <c r="DB49" s="93"/>
      <c r="DC49" s="93"/>
      <c r="DD49" s="93"/>
      <c r="DE49" s="93"/>
      <c r="DF49" s="93"/>
      <c r="DG49" s="93"/>
      <c r="DH49" s="93"/>
      <c r="DI49" s="93"/>
      <c r="DJ49" s="93"/>
      <c r="DK49" s="93"/>
      <c r="DL49" s="93"/>
      <c r="DM49" s="93"/>
      <c r="DN49" s="93"/>
      <c r="DO49" s="93"/>
      <c r="DP49" s="93"/>
      <c r="DQ49" s="93"/>
      <c r="DR49" s="93"/>
      <c r="DS49" s="93"/>
      <c r="DT49" s="93"/>
      <c r="DU49" s="93"/>
      <c r="DV49" s="93"/>
      <c r="DW49" s="93"/>
      <c r="DX49" s="93"/>
      <c r="DY49" s="93"/>
      <c r="DZ49" s="93"/>
      <c r="EA49" s="93"/>
      <c r="EB49" s="93"/>
      <c r="EC49" s="93"/>
      <c r="ED49" s="93"/>
      <c r="EE49" s="93"/>
      <c r="EF49" s="93"/>
      <c r="EG49" s="93"/>
      <c r="EH49" s="93"/>
      <c r="EI49" s="93"/>
      <c r="EJ49" s="93"/>
      <c r="EK49" s="93"/>
      <c r="EL49" s="93"/>
      <c r="EM49" s="93"/>
      <c r="EN49" s="93"/>
      <c r="EO49" s="93"/>
      <c r="EP49" s="93"/>
      <c r="EQ49" s="93"/>
      <c r="ER49" s="93"/>
      <c r="ES49" s="93"/>
      <c r="ET49" s="93"/>
      <c r="EU49" s="93"/>
      <c r="EV49" s="93"/>
      <c r="EW49" s="93"/>
      <c r="EX49" s="93"/>
      <c r="EY49" s="93"/>
      <c r="EZ49" s="93"/>
      <c r="FA49" s="93"/>
      <c r="FB49" s="93"/>
      <c r="FC49" s="93"/>
      <c r="FD49" s="93"/>
      <c r="FE49" s="93"/>
      <c r="FF49" s="93"/>
      <c r="FG49" s="93"/>
      <c r="FH49" s="93"/>
      <c r="FI49" s="93"/>
      <c r="FJ49" s="93"/>
      <c r="FK49" s="93"/>
      <c r="FL49" s="93"/>
      <c r="FM49" s="93"/>
      <c r="FN49" s="93"/>
      <c r="FO49" s="93"/>
      <c r="FP49" s="93"/>
      <c r="FQ49" s="93"/>
      <c r="FR49" s="93"/>
      <c r="FS49" s="93"/>
      <c r="FT49" s="93"/>
      <c r="FU49" s="93"/>
      <c r="FV49" s="93"/>
      <c r="FW49" s="93"/>
      <c r="FX49" s="93"/>
      <c r="FY49" s="93"/>
      <c r="FZ49" s="93"/>
      <c r="GA49" s="93"/>
      <c r="GB49" s="93"/>
      <c r="GC49" s="93"/>
      <c r="GD49" s="93"/>
      <c r="GE49" s="93"/>
      <c r="GF49" s="93"/>
      <c r="GG49" s="93"/>
      <c r="GH49" s="93"/>
      <c r="GI49" s="93"/>
      <c r="GJ49" s="93"/>
      <c r="GK49" s="93"/>
      <c r="GL49" s="93"/>
      <c r="GM49" s="93"/>
      <c r="GN49" s="93"/>
      <c r="GO49" s="93"/>
      <c r="GP49" s="93"/>
      <c r="GQ49" s="93"/>
      <c r="GR49" s="93"/>
      <c r="GS49" s="93"/>
      <c r="GT49" s="93"/>
      <c r="GU49" s="93"/>
      <c r="GV49" s="93"/>
      <c r="GW49" s="93"/>
      <c r="GX49" s="93"/>
      <c r="GY49" s="93"/>
      <c r="GZ49" s="93"/>
      <c r="HA49" s="93"/>
      <c r="HB49" s="93"/>
      <c r="HC49" s="93"/>
      <c r="HD49" s="93"/>
      <c r="HE49" s="93"/>
      <c r="HF49" s="93"/>
      <c r="HG49" s="93"/>
      <c r="HH49" s="93"/>
      <c r="HI49" s="93"/>
      <c r="HJ49" s="93"/>
      <c r="HK49" s="93"/>
      <c r="HL49" s="93"/>
      <c r="HM49" s="93"/>
      <c r="HN49" s="93"/>
      <c r="HO49" s="93"/>
      <c r="HP49" s="93"/>
      <c r="HQ49" s="93"/>
      <c r="HR49" s="93"/>
      <c r="HS49" s="93"/>
      <c r="HT49" s="93"/>
      <c r="HU49" s="93"/>
      <c r="HV49" s="93"/>
      <c r="HW49" s="93"/>
      <c r="HX49" s="93"/>
      <c r="HY49" s="93"/>
      <c r="HZ49" s="93"/>
      <c r="IA49" s="93"/>
      <c r="IB49" s="93"/>
      <c r="IC49" s="93"/>
      <c r="ID49" s="93"/>
      <c r="IE49" s="93"/>
      <c r="IF49" s="93"/>
      <c r="IG49" s="93"/>
      <c r="IH49" s="93"/>
      <c r="II49" s="93"/>
      <c r="IJ49" s="93"/>
      <c r="IK49" s="93"/>
      <c r="IL49" s="93"/>
      <c r="IM49" s="93"/>
      <c r="IN49" s="93"/>
      <c r="IO49" s="93"/>
      <c r="IP49" s="93"/>
    </row>
    <row r="50" spans="1:250">
      <c r="A50" s="68" t="s">
        <v>81</v>
      </c>
      <c r="B50" s="5" t="s">
        <v>16</v>
      </c>
      <c r="E50" s="69" t="str">
        <f t="shared" si="0"/>
        <v xml:space="preserve">    VT03            </v>
      </c>
      <c r="F50" s="70" t="str">
        <f t="shared" si="1"/>
        <v>9JA_974_077</v>
      </c>
      <c r="G50" s="95" t="s">
        <v>24</v>
      </c>
      <c r="H50" s="70" t="str">
        <f t="shared" si="2"/>
        <v>1J219JA077</v>
      </c>
      <c r="I50" s="70" t="str">
        <f t="shared" si="3"/>
        <v>A0</v>
      </c>
      <c r="J50" s="90" t="s">
        <v>132</v>
      </c>
      <c r="L50" s="1" t="s">
        <v>164</v>
      </c>
      <c r="M50" s="99">
        <v>6013</v>
      </c>
      <c r="N50" s="93">
        <v>1918</v>
      </c>
      <c r="O50" s="95">
        <v>2012</v>
      </c>
      <c r="P50" s="94" t="s">
        <v>130</v>
      </c>
      <c r="Q50" s="1" t="s">
        <v>77</v>
      </c>
      <c r="R50" s="28" t="str">
        <f t="shared" si="4"/>
        <v>1J219JA077A0E</v>
      </c>
      <c r="S50" s="71" t="str">
        <f t="shared" si="5"/>
        <v>NICHT AKTUELL</v>
      </c>
      <c r="W50" s="79">
        <v>9.06E-2</v>
      </c>
      <c r="Y50" s="93" t="s">
        <v>14</v>
      </c>
      <c r="Z50" s="93" t="s">
        <v>0</v>
      </c>
      <c r="AA50" s="93" t="s">
        <v>0</v>
      </c>
      <c r="AB50" s="94"/>
      <c r="AC50" s="94"/>
      <c r="AD50" s="94"/>
      <c r="AE50" s="81" t="s">
        <v>137</v>
      </c>
      <c r="AF50" s="94"/>
      <c r="AG50" s="94"/>
      <c r="AH50" s="94"/>
    </row>
    <row r="51" spans="1:250">
      <c r="A51" s="68" t="s">
        <v>81</v>
      </c>
      <c r="B51" s="5" t="s">
        <v>16</v>
      </c>
      <c r="E51" s="69" t="str">
        <f>CONCATENATE(IF(AC51&gt;0,$AC$1," ")," ",IF(AD51&gt;0,$AD$1," ")," ",IF(AE51&gt;0,$AE$1," ")," ",IF(AF51&gt;0,$AF$1," ")," ",IF(AG51&gt;0,$AG$1," ")," ",IF(AH51&gt;0,$AH$1," ")," ",IF(AI51&gt;0,$AI$1," ")," ",IF(AJ51&gt;0,$AJ$1," ")," ",IF(AK51&gt;0,$AK$1," "))</f>
        <v xml:space="preserve">    VT03            </v>
      </c>
      <c r="F51" s="70" t="str">
        <f>LEFT(Q51,11)</f>
        <v>9JA_974_077</v>
      </c>
      <c r="G51" s="95" t="s">
        <v>24</v>
      </c>
      <c r="H51" s="70" t="str">
        <f>CONCATENATE(IF(MID(Q51,5,3)="974","1J21"),LEFT(F51,3),RIGHT(F51,3))</f>
        <v>1J219JA077</v>
      </c>
      <c r="I51" s="70" t="str">
        <f>IF(G51=0,"00",IF(LEN(G51)=1,CONCATENATE(G51,0),G51))</f>
        <v>A0</v>
      </c>
      <c r="J51" s="90" t="s">
        <v>132</v>
      </c>
      <c r="L51" s="88" t="s">
        <v>153</v>
      </c>
      <c r="M51" s="99" t="s">
        <v>183</v>
      </c>
      <c r="N51" s="93">
        <v>2013</v>
      </c>
      <c r="P51" s="94" t="s">
        <v>147</v>
      </c>
      <c r="Q51" s="1" t="s">
        <v>77</v>
      </c>
      <c r="R51" s="28" t="str">
        <f>IF(J51&lt;&gt;"",CONCATENATE(H51,I51,J51),CONCATENATE(H51,I51,K51))</f>
        <v>1J219JA077A0E</v>
      </c>
      <c r="S51" s="71" t="str">
        <f>IF(N51="-","KEIN LIEFERUMFANG",IF(AND(N51&lt;=S$3,O51=""),"AKTUELL",IF(O51=N51,"KEIN SERIENEINSATZ",IF(N51&gt;S$3,"NOCH NICHT AKTUELL",IF(AND(N51&lt;S$3,O51&lt;S$3),"NICHT AKTUELL",IF(N51&lt;=S$3,"AKTUELL"))))))</f>
        <v>AKTUELL</v>
      </c>
      <c r="W51" s="79">
        <v>9.06E-2</v>
      </c>
      <c r="Y51" s="93" t="s">
        <v>14</v>
      </c>
      <c r="Z51" s="93" t="s">
        <v>0</v>
      </c>
      <c r="AA51" s="93" t="s">
        <v>0</v>
      </c>
      <c r="AB51" s="94"/>
      <c r="AC51" s="94"/>
      <c r="AD51" s="94"/>
      <c r="AE51" s="81" t="s">
        <v>137</v>
      </c>
      <c r="AF51" s="94"/>
      <c r="AG51" s="94"/>
      <c r="AH51" s="94"/>
    </row>
    <row r="52" spans="1:250" s="73" customFormat="1">
      <c r="A52" s="76" t="s">
        <v>81</v>
      </c>
      <c r="B52" s="94" t="s">
        <v>16</v>
      </c>
      <c r="C52" s="93"/>
      <c r="D52" s="95"/>
      <c r="E52" s="96" t="str">
        <f>CONCATENATE(IF(AC52&gt;0,$AC$1," ")," ",IF(AD52&gt;0,$AD$1," ")," ",IF(AE52&gt;0,$AE$1," ")," ",IF(AF52&gt;0,$AF$1," ")," ",IF(AG52&gt;0,$AG$1," ")," ",IF(AH52&gt;0,$AH$1," ")," ",IF(AI52&gt;0,$AI$1," ")," ",IF(AJ52&gt;0,$AJ$1," ")," ",IF(AK52&gt;0,$AK$1," "))</f>
        <v xml:space="preserve">    VT03            </v>
      </c>
      <c r="F52" s="77" t="str">
        <f>LEFT(Q52,11)</f>
        <v>9JA_974_077</v>
      </c>
      <c r="G52" s="95" t="s">
        <v>25</v>
      </c>
      <c r="H52" s="77" t="str">
        <f>CONCATENATE(IF(MID(Q52,5,3)="974","1J21"),LEFT(F52,3),RIGHT(F52,3))</f>
        <v>1J219JA077</v>
      </c>
      <c r="I52" s="77" t="str">
        <f>IF(G52=0,"00",IF(LEN(G52)=1,CONCATENATE(G52,0),G52))</f>
        <v>B0</v>
      </c>
      <c r="J52" s="90" t="s">
        <v>24</v>
      </c>
      <c r="K52" s="88"/>
      <c r="L52" s="88" t="s">
        <v>149</v>
      </c>
      <c r="M52" s="99">
        <v>6041</v>
      </c>
      <c r="N52" s="93">
        <v>1946</v>
      </c>
      <c r="O52" s="95"/>
      <c r="P52" s="94" t="s">
        <v>147</v>
      </c>
      <c r="Q52" s="88" t="s">
        <v>148</v>
      </c>
      <c r="R52" s="28" t="str">
        <f>IF(J52&lt;&gt;"",CONCATENATE(H52,I52,J52),CONCATENATE(H52,I52,#REF!))</f>
        <v>1J219JA077B0A</v>
      </c>
      <c r="S52" s="98" t="str">
        <f>IF(N52="-","KEIN LIEFERUMFANG",IF(AND(N52&lt;=S$3,O52=""),"AKTUELL",IF(O52=N52,"KEIN SERIENEINSATZ",IF(N52&gt;S$3,"NOCH NICHT AKTUELL",IF(AND(N52&lt;S$3,O52&lt;S$3),"NICHT AKTUELL",IF(N52&lt;=S$3,"AKTUELL"))))))</f>
        <v>AKTUELL</v>
      </c>
      <c r="T52" s="93"/>
      <c r="U52" s="93"/>
      <c r="V52" s="93"/>
      <c r="W52" s="105">
        <v>9.06E-2</v>
      </c>
      <c r="X52" s="93"/>
      <c r="Y52" s="93" t="s">
        <v>14</v>
      </c>
      <c r="Z52" s="93" t="s">
        <v>0</v>
      </c>
      <c r="AA52" s="93" t="s">
        <v>0</v>
      </c>
      <c r="AB52" s="94"/>
      <c r="AC52" s="94"/>
      <c r="AD52" s="94"/>
      <c r="AE52" s="81" t="s">
        <v>137</v>
      </c>
      <c r="AF52" s="94"/>
      <c r="AG52" s="94"/>
      <c r="AH52" s="94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93"/>
      <c r="BH52" s="93"/>
      <c r="BI52" s="93"/>
      <c r="BJ52" s="93"/>
      <c r="BK52" s="93"/>
      <c r="BL52" s="93"/>
      <c r="BM52" s="93"/>
      <c r="BN52" s="93"/>
      <c r="BO52" s="93"/>
      <c r="BP52" s="93"/>
      <c r="BQ52" s="93"/>
      <c r="BR52" s="93"/>
      <c r="BS52" s="93"/>
      <c r="BT52" s="93"/>
      <c r="BU52" s="93"/>
      <c r="BV52" s="93"/>
      <c r="BW52" s="93"/>
      <c r="BX52" s="93"/>
      <c r="BY52" s="93"/>
      <c r="BZ52" s="93"/>
      <c r="CA52" s="93"/>
      <c r="CB52" s="93"/>
      <c r="CC52" s="93"/>
      <c r="CD52" s="93"/>
      <c r="CE52" s="93"/>
      <c r="CF52" s="93"/>
      <c r="CG52" s="93"/>
      <c r="CH52" s="93"/>
      <c r="CI52" s="93"/>
      <c r="CJ52" s="93"/>
      <c r="CK52" s="93"/>
      <c r="CL52" s="93"/>
      <c r="CM52" s="93"/>
      <c r="CN52" s="93"/>
      <c r="CO52" s="93"/>
      <c r="CP52" s="93"/>
      <c r="CQ52" s="93"/>
      <c r="CR52" s="93"/>
      <c r="CS52" s="93"/>
      <c r="CT52" s="93"/>
      <c r="CU52" s="93"/>
      <c r="CV52" s="93"/>
      <c r="CW52" s="93"/>
      <c r="CX52" s="93"/>
      <c r="CY52" s="93"/>
      <c r="CZ52" s="93"/>
      <c r="DA52" s="93"/>
      <c r="DB52" s="93"/>
      <c r="DC52" s="93"/>
      <c r="DD52" s="93"/>
      <c r="DE52" s="93"/>
      <c r="DF52" s="93"/>
      <c r="DG52" s="93"/>
      <c r="DH52" s="93"/>
      <c r="DI52" s="93"/>
      <c r="DJ52" s="93"/>
      <c r="DK52" s="93"/>
      <c r="DL52" s="93"/>
      <c r="DM52" s="93"/>
      <c r="DN52" s="93"/>
      <c r="DO52" s="93"/>
      <c r="DP52" s="93"/>
      <c r="DQ52" s="93"/>
      <c r="DR52" s="93"/>
      <c r="DS52" s="93"/>
      <c r="DT52" s="93"/>
      <c r="DU52" s="93"/>
      <c r="DV52" s="93"/>
      <c r="DW52" s="93"/>
      <c r="DX52" s="93"/>
      <c r="DY52" s="93"/>
      <c r="DZ52" s="93"/>
      <c r="EA52" s="93"/>
      <c r="EB52" s="93"/>
      <c r="EC52" s="93"/>
      <c r="ED52" s="93"/>
      <c r="EE52" s="93"/>
      <c r="EF52" s="93"/>
      <c r="EG52" s="93"/>
      <c r="EH52" s="93"/>
      <c r="EI52" s="93"/>
      <c r="EJ52" s="93"/>
      <c r="EK52" s="93"/>
      <c r="EL52" s="93"/>
      <c r="EM52" s="93"/>
      <c r="EN52" s="93"/>
      <c r="EO52" s="93"/>
      <c r="EP52" s="93"/>
      <c r="EQ52" s="93"/>
      <c r="ER52" s="93"/>
      <c r="ES52" s="93"/>
      <c r="ET52" s="93"/>
      <c r="EU52" s="93"/>
      <c r="EV52" s="93"/>
      <c r="EW52" s="93"/>
      <c r="EX52" s="93"/>
      <c r="EY52" s="93"/>
      <c r="EZ52" s="93"/>
      <c r="FA52" s="93"/>
      <c r="FB52" s="93"/>
      <c r="FC52" s="93"/>
      <c r="FD52" s="93"/>
      <c r="FE52" s="93"/>
      <c r="FF52" s="93"/>
      <c r="FG52" s="93"/>
      <c r="FH52" s="93"/>
      <c r="FI52" s="93"/>
      <c r="FJ52" s="93"/>
      <c r="FK52" s="93"/>
      <c r="FL52" s="93"/>
      <c r="FM52" s="93"/>
      <c r="FN52" s="93"/>
      <c r="FO52" s="93"/>
      <c r="FP52" s="93"/>
      <c r="FQ52" s="93"/>
      <c r="FR52" s="93"/>
      <c r="FS52" s="93"/>
      <c r="FT52" s="93"/>
      <c r="FU52" s="93"/>
      <c r="FV52" s="93"/>
      <c r="FW52" s="93"/>
      <c r="FX52" s="93"/>
      <c r="FY52" s="93"/>
      <c r="FZ52" s="93"/>
      <c r="GA52" s="93"/>
      <c r="GB52" s="93"/>
      <c r="GC52" s="93"/>
      <c r="GD52" s="93"/>
      <c r="GE52" s="93"/>
      <c r="GF52" s="93"/>
      <c r="GG52" s="93"/>
      <c r="GH52" s="93"/>
      <c r="GI52" s="93"/>
      <c r="GJ52" s="93"/>
      <c r="GK52" s="93"/>
      <c r="GL52" s="93"/>
      <c r="GM52" s="93"/>
      <c r="GN52" s="93"/>
      <c r="GO52" s="93"/>
      <c r="GP52" s="93"/>
      <c r="GQ52" s="93"/>
      <c r="GR52" s="93"/>
      <c r="GS52" s="93"/>
      <c r="GT52" s="93"/>
      <c r="GU52" s="93"/>
      <c r="GV52" s="93"/>
      <c r="GW52" s="93"/>
      <c r="GX52" s="93"/>
      <c r="GY52" s="93"/>
      <c r="GZ52" s="93"/>
      <c r="HA52" s="93"/>
      <c r="HB52" s="93"/>
      <c r="HC52" s="93"/>
      <c r="HD52" s="93"/>
      <c r="HE52" s="93"/>
      <c r="HF52" s="93"/>
      <c r="HG52" s="93"/>
      <c r="HH52" s="93"/>
      <c r="HI52" s="93"/>
      <c r="HJ52" s="93"/>
      <c r="HK52" s="93"/>
      <c r="HL52" s="93"/>
      <c r="HM52" s="93"/>
      <c r="HN52" s="93"/>
      <c r="HO52" s="93"/>
      <c r="HP52" s="93"/>
      <c r="HQ52" s="93"/>
      <c r="HR52" s="93"/>
      <c r="HS52" s="93"/>
      <c r="HT52" s="93"/>
      <c r="HU52" s="93"/>
      <c r="HV52" s="93"/>
      <c r="HW52" s="93"/>
      <c r="HX52" s="93"/>
      <c r="HY52" s="93"/>
      <c r="HZ52" s="93"/>
      <c r="IA52" s="93"/>
      <c r="IB52" s="93"/>
      <c r="IC52" s="93"/>
      <c r="ID52" s="93"/>
      <c r="IE52" s="93"/>
      <c r="IF52" s="93"/>
      <c r="IG52" s="93"/>
      <c r="IH52" s="93"/>
      <c r="II52" s="93"/>
      <c r="IJ52" s="93"/>
      <c r="IK52" s="93"/>
      <c r="IL52" s="93"/>
      <c r="IM52" s="93"/>
      <c r="IN52" s="93"/>
      <c r="IO52" s="93"/>
      <c r="IP52" s="93"/>
    </row>
    <row r="53" spans="1:250">
      <c r="A53" s="68" t="s">
        <v>81</v>
      </c>
      <c r="B53" s="5" t="s">
        <v>17</v>
      </c>
      <c r="E53" s="69" t="str">
        <f t="shared" si="0"/>
        <v xml:space="preserve">                 </v>
      </c>
      <c r="F53" s="70" t="str">
        <f t="shared" si="1"/>
        <v>9JA_974_089</v>
      </c>
      <c r="G53" s="95">
        <v>0</v>
      </c>
      <c r="H53" s="70" t="str">
        <f t="shared" si="2"/>
        <v>1J219JA089</v>
      </c>
      <c r="I53" s="70" t="str">
        <f t="shared" si="3"/>
        <v>00</v>
      </c>
      <c r="J53" s="90" t="s">
        <v>25</v>
      </c>
      <c r="L53" s="88" t="s">
        <v>165</v>
      </c>
      <c r="O53" s="95">
        <v>1917</v>
      </c>
      <c r="P53" s="94"/>
      <c r="Q53" s="1" t="s">
        <v>43</v>
      </c>
      <c r="R53" s="28" t="str">
        <f t="shared" si="4"/>
        <v>1J219JA08900B</v>
      </c>
      <c r="S53" s="71" t="str">
        <f t="shared" si="5"/>
        <v>NICHT AKTUELL</v>
      </c>
      <c r="W53" s="79">
        <v>0.15000000000000002</v>
      </c>
      <c r="Y53" s="93" t="s">
        <v>0</v>
      </c>
      <c r="Z53" s="93" t="s">
        <v>14</v>
      </c>
      <c r="AA53" s="93" t="s">
        <v>0</v>
      </c>
      <c r="AB53" s="94"/>
      <c r="AC53" s="94"/>
      <c r="AD53" s="94"/>
      <c r="AE53" s="101"/>
      <c r="AF53" s="94"/>
      <c r="AG53" s="94"/>
      <c r="AH53" s="94"/>
    </row>
    <row r="54" spans="1:250">
      <c r="A54" s="68" t="s">
        <v>81</v>
      </c>
      <c r="B54" s="5" t="s">
        <v>17</v>
      </c>
      <c r="E54" s="69" t="str">
        <f t="shared" si="0"/>
        <v xml:space="preserve">                 </v>
      </c>
      <c r="F54" s="70" t="str">
        <f t="shared" si="1"/>
        <v>9JA_974_089</v>
      </c>
      <c r="G54" s="95">
        <v>0</v>
      </c>
      <c r="H54" s="70" t="str">
        <f t="shared" si="2"/>
        <v>1J219JA089</v>
      </c>
      <c r="I54" s="70" t="str">
        <f t="shared" si="3"/>
        <v>00</v>
      </c>
      <c r="J54" s="90" t="s">
        <v>25</v>
      </c>
      <c r="L54" s="14" t="s">
        <v>184</v>
      </c>
      <c r="M54" s="16">
        <v>7010</v>
      </c>
      <c r="N54" s="93">
        <v>1918</v>
      </c>
      <c r="P54" s="88" t="s">
        <v>130</v>
      </c>
      <c r="Q54" s="1" t="s">
        <v>43</v>
      </c>
      <c r="R54" s="28" t="str">
        <f t="shared" si="4"/>
        <v>1J219JA08900B</v>
      </c>
      <c r="S54" s="71" t="str">
        <f t="shared" si="5"/>
        <v>AKTUELL</v>
      </c>
      <c r="W54" s="79">
        <v>0.15000000000000002</v>
      </c>
      <c r="Y54" s="93" t="s">
        <v>0</v>
      </c>
      <c r="Z54" s="93" t="s">
        <v>14</v>
      </c>
      <c r="AA54" s="93" t="s">
        <v>0</v>
      </c>
      <c r="AB54" s="94"/>
      <c r="AC54" s="94"/>
      <c r="AD54" s="94"/>
      <c r="AE54" s="101"/>
      <c r="AF54" s="94"/>
      <c r="AG54" s="94"/>
      <c r="AH54" s="94"/>
    </row>
    <row r="55" spans="1:250">
      <c r="A55" s="68" t="s">
        <v>81</v>
      </c>
      <c r="B55" s="5" t="s">
        <v>9</v>
      </c>
      <c r="E55" s="69" t="str">
        <f t="shared" si="0"/>
        <v xml:space="preserve">                 </v>
      </c>
      <c r="F55" s="70" t="str">
        <f t="shared" si="1"/>
        <v>9JA_974_128</v>
      </c>
      <c r="G55" s="95">
        <v>0</v>
      </c>
      <c r="H55" s="70" t="str">
        <f t="shared" si="2"/>
        <v>1J219JA128</v>
      </c>
      <c r="I55" s="70" t="str">
        <f t="shared" si="3"/>
        <v>00</v>
      </c>
      <c r="J55" s="90" t="s">
        <v>25</v>
      </c>
      <c r="L55" s="1" t="s">
        <v>73</v>
      </c>
      <c r="O55" s="87"/>
      <c r="P55" s="1"/>
      <c r="Q55" s="1" t="s">
        <v>44</v>
      </c>
      <c r="R55" s="28" t="str">
        <f t="shared" si="4"/>
        <v>1J219JA12800B</v>
      </c>
      <c r="S55" s="71" t="str">
        <f t="shared" si="5"/>
        <v>AKTUELL</v>
      </c>
      <c r="W55" s="79">
        <v>0.15000000000000002</v>
      </c>
      <c r="Y55" s="93" t="s">
        <v>0</v>
      </c>
      <c r="Z55" s="93" t="s">
        <v>14</v>
      </c>
      <c r="AA55" s="93" t="s">
        <v>0</v>
      </c>
      <c r="AB55" s="94"/>
      <c r="AC55" s="94"/>
      <c r="AD55" s="94"/>
      <c r="AE55" s="101"/>
      <c r="AF55" s="94"/>
      <c r="AG55" s="94"/>
      <c r="AH55" s="94"/>
    </row>
    <row r="56" spans="1:250">
      <c r="A56" s="68" t="s">
        <v>81</v>
      </c>
      <c r="B56" s="5" t="s">
        <v>6</v>
      </c>
      <c r="E56" s="69" t="str">
        <f t="shared" si="0"/>
        <v xml:space="preserve">                 </v>
      </c>
      <c r="F56" s="70" t="str">
        <f t="shared" si="1"/>
        <v>9JA_974_136</v>
      </c>
      <c r="G56" s="95">
        <v>0</v>
      </c>
      <c r="H56" s="70" t="str">
        <f t="shared" si="2"/>
        <v>1J219JA136</v>
      </c>
      <c r="I56" s="70" t="str">
        <f t="shared" si="3"/>
        <v>00</v>
      </c>
      <c r="J56" s="90" t="s">
        <v>25</v>
      </c>
      <c r="L56" s="1" t="s">
        <v>46</v>
      </c>
      <c r="P56" s="1"/>
      <c r="Q56" s="1" t="s">
        <v>45</v>
      </c>
      <c r="R56" s="28" t="str">
        <f t="shared" si="4"/>
        <v>1J219JA13600B</v>
      </c>
      <c r="S56" s="98" t="str">
        <f t="shared" si="5"/>
        <v>AKTUELL</v>
      </c>
      <c r="W56" s="79">
        <v>4.1422200000000006E-2</v>
      </c>
      <c r="Y56" s="93" t="s">
        <v>0</v>
      </c>
      <c r="Z56" s="93" t="s">
        <v>14</v>
      </c>
      <c r="AA56" s="93" t="s">
        <v>0</v>
      </c>
      <c r="AB56" s="94"/>
      <c r="AC56" s="94"/>
      <c r="AD56" s="94"/>
      <c r="AE56" s="101"/>
      <c r="AF56" s="94"/>
      <c r="AG56" s="94"/>
      <c r="AH56" s="94"/>
    </row>
    <row r="57" spans="1:250" s="73" customFormat="1">
      <c r="A57" s="76" t="s">
        <v>81</v>
      </c>
      <c r="B57" s="94" t="s">
        <v>19</v>
      </c>
      <c r="C57" s="93"/>
      <c r="D57" s="95" t="s">
        <v>14</v>
      </c>
      <c r="E57" s="96" t="str">
        <f t="shared" si="0"/>
        <v xml:space="preserve">    VT03            </v>
      </c>
      <c r="F57" s="77" t="str">
        <f t="shared" si="1"/>
        <v>9JA_974_216</v>
      </c>
      <c r="G57" s="95">
        <v>0</v>
      </c>
      <c r="H57" s="77" t="str">
        <f t="shared" si="2"/>
        <v>1J219JA216</v>
      </c>
      <c r="I57" s="77" t="str">
        <f t="shared" si="3"/>
        <v>00</v>
      </c>
      <c r="J57" s="90" t="s">
        <v>85</v>
      </c>
      <c r="K57" s="93"/>
      <c r="L57" s="88" t="s">
        <v>48</v>
      </c>
      <c r="M57" s="94"/>
      <c r="N57" s="93"/>
      <c r="O57" s="95">
        <v>1917</v>
      </c>
      <c r="P57" s="88"/>
      <c r="Q57" s="88" t="s">
        <v>47</v>
      </c>
      <c r="R57" s="28" t="str">
        <f t="shared" si="4"/>
        <v>1J219JA21600C</v>
      </c>
      <c r="S57" s="98" t="str">
        <f t="shared" si="5"/>
        <v>NICHT AKTUELL</v>
      </c>
      <c r="T57" s="93"/>
      <c r="U57" s="93"/>
      <c r="V57" s="93"/>
      <c r="W57" s="79">
        <v>3.0000000000000003E-4</v>
      </c>
      <c r="X57" s="93"/>
      <c r="Y57" s="93" t="s">
        <v>14</v>
      </c>
      <c r="Z57" s="93" t="s">
        <v>14</v>
      </c>
      <c r="AA57" s="93" t="s">
        <v>0</v>
      </c>
      <c r="AB57" s="94"/>
      <c r="AC57" s="94"/>
      <c r="AD57" s="94"/>
      <c r="AE57" s="78" t="s">
        <v>89</v>
      </c>
      <c r="AF57" s="94"/>
      <c r="AG57" s="94"/>
      <c r="AH57" s="94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  <c r="BI57" s="93"/>
      <c r="BJ57" s="93"/>
      <c r="BK57" s="93"/>
      <c r="BL57" s="93"/>
      <c r="BM57" s="93"/>
      <c r="BN57" s="93"/>
      <c r="BO57" s="93"/>
      <c r="BP57" s="93"/>
      <c r="BQ57" s="93"/>
      <c r="BR57" s="93"/>
      <c r="BS57" s="93"/>
      <c r="BT57" s="93"/>
      <c r="BU57" s="93"/>
      <c r="BV57" s="93"/>
      <c r="BW57" s="93"/>
      <c r="BX57" s="93"/>
      <c r="BY57" s="93"/>
      <c r="BZ57" s="93"/>
      <c r="CA57" s="93"/>
      <c r="CB57" s="93"/>
      <c r="CC57" s="93"/>
      <c r="CD57" s="93"/>
      <c r="CE57" s="93"/>
      <c r="CF57" s="93"/>
      <c r="CG57" s="93"/>
      <c r="CH57" s="93"/>
      <c r="CI57" s="93"/>
      <c r="CJ57" s="93"/>
      <c r="CK57" s="93"/>
      <c r="CL57" s="93"/>
      <c r="CM57" s="93"/>
      <c r="CN57" s="93"/>
      <c r="CO57" s="93"/>
      <c r="CP57" s="93"/>
      <c r="CQ57" s="93"/>
      <c r="CR57" s="93"/>
      <c r="CS57" s="93"/>
      <c r="CT57" s="93"/>
      <c r="CU57" s="93"/>
      <c r="CV57" s="93"/>
      <c r="CW57" s="93"/>
      <c r="CX57" s="93"/>
      <c r="CY57" s="93"/>
      <c r="CZ57" s="93"/>
      <c r="DA57" s="93"/>
      <c r="DB57" s="93"/>
      <c r="DC57" s="93"/>
      <c r="DD57" s="93"/>
      <c r="DE57" s="93"/>
      <c r="DF57" s="93"/>
      <c r="DG57" s="93"/>
      <c r="DH57" s="93"/>
      <c r="DI57" s="93"/>
      <c r="DJ57" s="93"/>
      <c r="DK57" s="93"/>
      <c r="DL57" s="93"/>
      <c r="DM57" s="93"/>
      <c r="DN57" s="93"/>
      <c r="DO57" s="93"/>
      <c r="DP57" s="93"/>
      <c r="DQ57" s="93"/>
      <c r="DR57" s="93"/>
      <c r="DS57" s="93"/>
      <c r="DT57" s="93"/>
      <c r="DU57" s="93"/>
      <c r="DV57" s="93"/>
      <c r="DW57" s="93"/>
      <c r="DX57" s="93"/>
      <c r="DY57" s="93"/>
      <c r="DZ57" s="93"/>
      <c r="EA57" s="93"/>
      <c r="EB57" s="93"/>
      <c r="EC57" s="93"/>
      <c r="ED57" s="93"/>
      <c r="EE57" s="93"/>
      <c r="EF57" s="93"/>
      <c r="EG57" s="93"/>
      <c r="EH57" s="93"/>
      <c r="EI57" s="93"/>
      <c r="EJ57" s="93"/>
      <c r="EK57" s="93"/>
      <c r="EL57" s="93"/>
      <c r="EM57" s="93"/>
      <c r="EN57" s="93"/>
      <c r="EO57" s="93"/>
      <c r="EP57" s="93"/>
      <c r="EQ57" s="93"/>
      <c r="ER57" s="93"/>
      <c r="ES57" s="93"/>
      <c r="ET57" s="93"/>
      <c r="EU57" s="93"/>
      <c r="EV57" s="93"/>
      <c r="EW57" s="93"/>
      <c r="EX57" s="93"/>
      <c r="EY57" s="93"/>
      <c r="EZ57" s="93"/>
      <c r="FA57" s="93"/>
      <c r="FB57" s="93"/>
      <c r="FC57" s="93"/>
      <c r="FD57" s="93"/>
      <c r="FE57" s="93"/>
      <c r="FF57" s="93"/>
      <c r="FG57" s="93"/>
      <c r="FH57" s="93"/>
      <c r="FI57" s="93"/>
      <c r="FJ57" s="93"/>
      <c r="FK57" s="93"/>
      <c r="FL57" s="93"/>
      <c r="FM57" s="93"/>
      <c r="FN57" s="93"/>
      <c r="FO57" s="93"/>
      <c r="FP57" s="93"/>
      <c r="FQ57" s="93"/>
      <c r="FR57" s="93"/>
      <c r="FS57" s="93"/>
      <c r="FT57" s="93"/>
      <c r="FU57" s="93"/>
      <c r="FV57" s="93"/>
      <c r="FW57" s="93"/>
      <c r="FX57" s="93"/>
      <c r="FY57" s="93"/>
      <c r="FZ57" s="93"/>
      <c r="GA57" s="93"/>
      <c r="GB57" s="93"/>
      <c r="GC57" s="93"/>
      <c r="GD57" s="93"/>
      <c r="GE57" s="93"/>
      <c r="GF57" s="93"/>
      <c r="GG57" s="93"/>
      <c r="GH57" s="93"/>
      <c r="GI57" s="93"/>
      <c r="GJ57" s="93"/>
      <c r="GK57" s="93"/>
      <c r="GL57" s="93"/>
      <c r="GM57" s="93"/>
      <c r="GN57" s="93"/>
      <c r="GO57" s="93"/>
      <c r="GP57" s="93"/>
      <c r="GQ57" s="93"/>
      <c r="GR57" s="93"/>
      <c r="GS57" s="93"/>
      <c r="GT57" s="93"/>
      <c r="GU57" s="93"/>
      <c r="GV57" s="93"/>
      <c r="GW57" s="93"/>
      <c r="GX57" s="93"/>
      <c r="GY57" s="93"/>
      <c r="GZ57" s="93"/>
      <c r="HA57" s="93"/>
      <c r="HB57" s="93"/>
      <c r="HC57" s="93"/>
      <c r="HD57" s="93"/>
      <c r="HE57" s="93"/>
      <c r="HF57" s="93"/>
      <c r="HG57" s="93"/>
      <c r="HH57" s="93"/>
      <c r="HI57" s="93"/>
      <c r="HJ57" s="93"/>
      <c r="HK57" s="93"/>
      <c r="HL57" s="93"/>
      <c r="HM57" s="93"/>
      <c r="HN57" s="93"/>
      <c r="HO57" s="93"/>
      <c r="HP57" s="93"/>
      <c r="HQ57" s="93"/>
      <c r="HR57" s="93"/>
      <c r="HS57" s="93"/>
      <c r="HT57" s="93"/>
      <c r="HU57" s="93"/>
      <c r="HV57" s="93"/>
      <c r="HW57" s="93"/>
      <c r="HX57" s="93"/>
      <c r="HY57" s="93"/>
      <c r="HZ57" s="93"/>
      <c r="IA57" s="93"/>
      <c r="IB57" s="93"/>
      <c r="IC57" s="93"/>
      <c r="ID57" s="93"/>
      <c r="IE57" s="93"/>
      <c r="IF57" s="93"/>
      <c r="IG57" s="93"/>
      <c r="IH57" s="93"/>
      <c r="II57" s="93"/>
      <c r="IJ57" s="93"/>
      <c r="IK57" s="93"/>
      <c r="IL57" s="93"/>
      <c r="IM57" s="93"/>
      <c r="IN57" s="93"/>
      <c r="IO57" s="93"/>
      <c r="IP57" s="93"/>
    </row>
    <row r="58" spans="1:250">
      <c r="A58" s="68" t="s">
        <v>81</v>
      </c>
      <c r="B58" s="5" t="s">
        <v>19</v>
      </c>
      <c r="D58" s="95" t="s">
        <v>14</v>
      </c>
      <c r="E58" s="69" t="str">
        <f t="shared" si="0"/>
        <v xml:space="preserve">    VT03            </v>
      </c>
      <c r="F58" s="70" t="str">
        <f t="shared" si="1"/>
        <v>9JA_974_216</v>
      </c>
      <c r="G58" s="95">
        <v>0</v>
      </c>
      <c r="H58" s="70" t="str">
        <f t="shared" si="2"/>
        <v>1J219JA216</v>
      </c>
      <c r="I58" s="70" t="str">
        <f t="shared" si="3"/>
        <v>00</v>
      </c>
      <c r="J58" s="90" t="s">
        <v>93</v>
      </c>
      <c r="L58" s="1" t="s">
        <v>48</v>
      </c>
      <c r="M58" s="5">
        <v>6013</v>
      </c>
      <c r="N58" s="93">
        <v>1918</v>
      </c>
      <c r="P58" s="88" t="s">
        <v>130</v>
      </c>
      <c r="Q58" s="1" t="s">
        <v>47</v>
      </c>
      <c r="R58" s="28" t="str">
        <f t="shared" si="4"/>
        <v>1J219JA21600D</v>
      </c>
      <c r="S58" s="71" t="str">
        <f t="shared" si="5"/>
        <v>AKTUELL</v>
      </c>
      <c r="W58" s="79">
        <v>3.0000000000000003E-4</v>
      </c>
      <c r="Y58" s="93" t="s">
        <v>14</v>
      </c>
      <c r="Z58" s="93" t="s">
        <v>14</v>
      </c>
      <c r="AA58" s="93" t="s">
        <v>0</v>
      </c>
      <c r="AB58" s="94"/>
      <c r="AC58" s="94"/>
      <c r="AD58" s="94"/>
      <c r="AE58" s="81" t="s">
        <v>134</v>
      </c>
      <c r="AF58" s="94"/>
      <c r="AG58" s="94"/>
      <c r="AH58" s="94"/>
    </row>
    <row r="59" spans="1:250" s="88" customFormat="1">
      <c r="A59" s="76" t="s">
        <v>81</v>
      </c>
      <c r="B59" s="94" t="s">
        <v>19</v>
      </c>
      <c r="C59" s="94"/>
      <c r="D59" s="90"/>
      <c r="E59" s="106"/>
      <c r="F59" s="77" t="str">
        <f t="shared" si="1"/>
        <v>9JA_974_216</v>
      </c>
      <c r="G59" s="90" t="s">
        <v>24</v>
      </c>
      <c r="H59" s="77" t="str">
        <f t="shared" si="2"/>
        <v>1J219JA216</v>
      </c>
      <c r="I59" s="77" t="s">
        <v>129</v>
      </c>
      <c r="J59" s="90" t="s">
        <v>85</v>
      </c>
      <c r="K59" s="94"/>
      <c r="L59" s="88" t="s">
        <v>83</v>
      </c>
      <c r="M59" s="94"/>
      <c r="N59" s="94">
        <v>1906</v>
      </c>
      <c r="O59" s="95">
        <v>1917</v>
      </c>
      <c r="Q59" s="88" t="s">
        <v>82</v>
      </c>
      <c r="R59" s="28" t="str">
        <f t="shared" si="4"/>
        <v>1J219JA216A0C</v>
      </c>
      <c r="S59" s="98" t="str">
        <f t="shared" si="5"/>
        <v>NICHT AKTUELL</v>
      </c>
      <c r="T59" s="94"/>
      <c r="U59" s="94"/>
      <c r="V59" s="94"/>
      <c r="W59" s="79">
        <v>0.1497</v>
      </c>
      <c r="X59" s="94"/>
      <c r="Y59" s="94" t="s">
        <v>14</v>
      </c>
      <c r="Z59" s="94" t="s">
        <v>14</v>
      </c>
      <c r="AA59" s="94" t="s">
        <v>0</v>
      </c>
      <c r="AB59" s="94"/>
      <c r="AC59" s="94"/>
      <c r="AD59" s="94"/>
      <c r="AE59" s="78" t="s">
        <v>90</v>
      </c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</row>
    <row r="60" spans="1:250" s="3" customFormat="1">
      <c r="A60" s="68" t="s">
        <v>81</v>
      </c>
      <c r="B60" s="5" t="s">
        <v>19</v>
      </c>
      <c r="C60" s="5"/>
      <c r="D60" s="6"/>
      <c r="E60" s="107"/>
      <c r="F60" s="70" t="str">
        <f t="shared" si="1"/>
        <v>9JA_974_216</v>
      </c>
      <c r="G60" s="6" t="s">
        <v>24</v>
      </c>
      <c r="H60" s="70" t="str">
        <f t="shared" si="2"/>
        <v>1J219JA216</v>
      </c>
      <c r="I60" s="70" t="s">
        <v>129</v>
      </c>
      <c r="J60" s="90" t="s">
        <v>93</v>
      </c>
      <c r="K60" s="5"/>
      <c r="L60" s="3" t="s">
        <v>83</v>
      </c>
      <c r="M60" s="5">
        <v>6013</v>
      </c>
      <c r="N60" s="93">
        <v>1918</v>
      </c>
      <c r="O60" s="6"/>
      <c r="P60" s="88" t="s">
        <v>130</v>
      </c>
      <c r="Q60" s="3" t="s">
        <v>82</v>
      </c>
      <c r="R60" s="28" t="str">
        <f t="shared" si="4"/>
        <v>1J219JA216A0D</v>
      </c>
      <c r="S60" s="71" t="str">
        <f t="shared" si="5"/>
        <v>AKTUELL</v>
      </c>
      <c r="T60" s="5"/>
      <c r="U60" s="5"/>
      <c r="V60" s="5"/>
      <c r="W60" s="79">
        <v>0.1497</v>
      </c>
      <c r="X60" s="5"/>
      <c r="Y60" s="5" t="s">
        <v>14</v>
      </c>
      <c r="Z60" s="5" t="s">
        <v>14</v>
      </c>
      <c r="AA60" s="5" t="s">
        <v>0</v>
      </c>
      <c r="AB60" s="94"/>
      <c r="AC60" s="94"/>
      <c r="AD60" s="94"/>
      <c r="AE60" s="81" t="s">
        <v>135</v>
      </c>
      <c r="AF60" s="94"/>
      <c r="AG60" s="94"/>
      <c r="AH60" s="94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</row>
    <row r="61" spans="1:250" s="73" customFormat="1">
      <c r="A61" s="76" t="s">
        <v>81</v>
      </c>
      <c r="B61" s="94" t="s">
        <v>18</v>
      </c>
      <c r="C61" s="93"/>
      <c r="D61" s="95"/>
      <c r="E61" s="96" t="str">
        <f t="shared" ref="E61:E70" si="16">CONCATENATE(IF(AC61&gt;0,$AC$1," ")," ",IF(AD61&gt;0,$AD$1," ")," ",IF(AE61&gt;0,$AE$1," ")," ",IF(AF61&gt;0,$AF$1," ")," ",IF(AG61&gt;0,$AG$1," ")," ",IF(AH61&gt;0,$AH$1," ")," ",IF(AI61&gt;0,$AI$1," ")," ",IF(AJ61&gt;0,$AJ$1," ")," ",IF(AK61&gt;0,$AK$1," "))</f>
        <v xml:space="preserve">    VT03            </v>
      </c>
      <c r="F61" s="77" t="str">
        <f t="shared" si="1"/>
        <v>9JA_974_218</v>
      </c>
      <c r="G61" s="90" t="s">
        <v>24</v>
      </c>
      <c r="H61" s="77" t="str">
        <f t="shared" si="2"/>
        <v>1J219JA218</v>
      </c>
      <c r="I61" s="77" t="str">
        <f t="shared" ref="I61:I83" si="17">IF(G61=0,"00",IF(LEN(G61)=1,CONCATENATE(G61,0),G61))</f>
        <v>A0</v>
      </c>
      <c r="J61" s="90" t="s">
        <v>24</v>
      </c>
      <c r="K61" s="93"/>
      <c r="L61" s="88" t="s">
        <v>49</v>
      </c>
      <c r="M61" s="97"/>
      <c r="N61" s="93">
        <v>1912</v>
      </c>
      <c r="O61" s="95">
        <v>1917</v>
      </c>
      <c r="P61" s="88"/>
      <c r="Q61" s="88" t="s">
        <v>101</v>
      </c>
      <c r="R61" s="28" t="str">
        <f t="shared" si="4"/>
        <v>1J219JA218A0A</v>
      </c>
      <c r="S61" s="98" t="str">
        <f t="shared" si="5"/>
        <v>NICHT AKTUELL</v>
      </c>
      <c r="T61" s="93"/>
      <c r="U61" s="93"/>
      <c r="V61" s="93"/>
      <c r="W61" s="79">
        <v>0.15000000000000002</v>
      </c>
      <c r="X61" s="93"/>
      <c r="Y61" s="93" t="s">
        <v>14</v>
      </c>
      <c r="Z61" s="93" t="s">
        <v>14</v>
      </c>
      <c r="AA61" s="93" t="s">
        <v>0</v>
      </c>
      <c r="AB61" s="94"/>
      <c r="AC61" s="94"/>
      <c r="AD61" s="94"/>
      <c r="AE61" s="78" t="s">
        <v>91</v>
      </c>
      <c r="AF61" s="94"/>
      <c r="AG61" s="94"/>
      <c r="AH61" s="94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  <c r="BI61" s="93"/>
      <c r="BJ61" s="93"/>
      <c r="BK61" s="93"/>
      <c r="BL61" s="93"/>
      <c r="BM61" s="93"/>
      <c r="BN61" s="93"/>
      <c r="BO61" s="93"/>
      <c r="BP61" s="93"/>
      <c r="BQ61" s="93"/>
      <c r="BR61" s="93"/>
      <c r="BS61" s="93"/>
      <c r="BT61" s="93"/>
      <c r="BU61" s="93"/>
      <c r="BV61" s="93"/>
      <c r="BW61" s="93"/>
      <c r="BX61" s="93"/>
      <c r="BY61" s="93"/>
      <c r="BZ61" s="93"/>
      <c r="CA61" s="93"/>
      <c r="CB61" s="93"/>
      <c r="CC61" s="93"/>
      <c r="CD61" s="93"/>
      <c r="CE61" s="93"/>
      <c r="CF61" s="93"/>
      <c r="CG61" s="93"/>
      <c r="CH61" s="93"/>
      <c r="CI61" s="93"/>
      <c r="CJ61" s="93"/>
      <c r="CK61" s="93"/>
      <c r="CL61" s="93"/>
      <c r="CM61" s="93"/>
      <c r="CN61" s="93"/>
      <c r="CO61" s="93"/>
      <c r="CP61" s="93"/>
      <c r="CQ61" s="93"/>
      <c r="CR61" s="93"/>
      <c r="CS61" s="93"/>
      <c r="CT61" s="93"/>
      <c r="CU61" s="93"/>
      <c r="CV61" s="93"/>
      <c r="CW61" s="93"/>
      <c r="CX61" s="93"/>
      <c r="CY61" s="93"/>
      <c r="CZ61" s="93"/>
      <c r="DA61" s="93"/>
      <c r="DB61" s="93"/>
      <c r="DC61" s="93"/>
      <c r="DD61" s="93"/>
      <c r="DE61" s="93"/>
      <c r="DF61" s="93"/>
      <c r="DG61" s="93"/>
      <c r="DH61" s="93"/>
      <c r="DI61" s="93"/>
      <c r="DJ61" s="93"/>
      <c r="DK61" s="93"/>
      <c r="DL61" s="93"/>
      <c r="DM61" s="93"/>
      <c r="DN61" s="93"/>
      <c r="DO61" s="93"/>
      <c r="DP61" s="93"/>
      <c r="DQ61" s="93"/>
      <c r="DR61" s="93"/>
      <c r="DS61" s="93"/>
      <c r="DT61" s="93"/>
      <c r="DU61" s="93"/>
      <c r="DV61" s="93"/>
      <c r="DW61" s="93"/>
      <c r="DX61" s="93"/>
      <c r="DY61" s="93"/>
      <c r="DZ61" s="93"/>
      <c r="EA61" s="93"/>
      <c r="EB61" s="93"/>
      <c r="EC61" s="93"/>
      <c r="ED61" s="93"/>
      <c r="EE61" s="93"/>
      <c r="EF61" s="93"/>
      <c r="EG61" s="93"/>
      <c r="EH61" s="93"/>
      <c r="EI61" s="93"/>
      <c r="EJ61" s="93"/>
      <c r="EK61" s="93"/>
      <c r="EL61" s="93"/>
      <c r="EM61" s="93"/>
      <c r="EN61" s="93"/>
      <c r="EO61" s="93"/>
      <c r="EP61" s="93"/>
      <c r="EQ61" s="93"/>
      <c r="ER61" s="93"/>
      <c r="ES61" s="93"/>
      <c r="ET61" s="93"/>
      <c r="EU61" s="93"/>
      <c r="EV61" s="93"/>
      <c r="EW61" s="93"/>
      <c r="EX61" s="93"/>
      <c r="EY61" s="93"/>
      <c r="EZ61" s="93"/>
      <c r="FA61" s="93"/>
      <c r="FB61" s="93"/>
      <c r="FC61" s="93"/>
      <c r="FD61" s="93"/>
      <c r="FE61" s="93"/>
      <c r="FF61" s="93"/>
      <c r="FG61" s="93"/>
      <c r="FH61" s="93"/>
      <c r="FI61" s="93"/>
      <c r="FJ61" s="93"/>
      <c r="FK61" s="93"/>
      <c r="FL61" s="93"/>
      <c r="FM61" s="93"/>
      <c r="FN61" s="93"/>
      <c r="FO61" s="93"/>
      <c r="FP61" s="93"/>
      <c r="FQ61" s="93"/>
      <c r="FR61" s="93"/>
      <c r="FS61" s="93"/>
      <c r="FT61" s="93"/>
      <c r="FU61" s="93"/>
      <c r="FV61" s="93"/>
      <c r="FW61" s="93"/>
      <c r="FX61" s="93"/>
      <c r="FY61" s="93"/>
      <c r="FZ61" s="93"/>
      <c r="GA61" s="93"/>
      <c r="GB61" s="93"/>
      <c r="GC61" s="93"/>
      <c r="GD61" s="93"/>
      <c r="GE61" s="93"/>
      <c r="GF61" s="93"/>
      <c r="GG61" s="93"/>
      <c r="GH61" s="93"/>
      <c r="GI61" s="93"/>
      <c r="GJ61" s="93"/>
      <c r="GK61" s="93"/>
      <c r="GL61" s="93"/>
      <c r="GM61" s="93"/>
      <c r="GN61" s="93"/>
      <c r="GO61" s="93"/>
      <c r="GP61" s="93"/>
      <c r="GQ61" s="93"/>
      <c r="GR61" s="93"/>
      <c r="GS61" s="93"/>
      <c r="GT61" s="93"/>
      <c r="GU61" s="93"/>
      <c r="GV61" s="93"/>
      <c r="GW61" s="93"/>
      <c r="GX61" s="93"/>
      <c r="GY61" s="93"/>
      <c r="GZ61" s="93"/>
      <c r="HA61" s="93"/>
      <c r="HB61" s="93"/>
      <c r="HC61" s="93"/>
      <c r="HD61" s="93"/>
      <c r="HE61" s="93"/>
      <c r="HF61" s="93"/>
      <c r="HG61" s="93"/>
      <c r="HH61" s="93"/>
      <c r="HI61" s="93"/>
      <c r="HJ61" s="93"/>
      <c r="HK61" s="93"/>
      <c r="HL61" s="93"/>
      <c r="HM61" s="93"/>
      <c r="HN61" s="93"/>
      <c r="HO61" s="93"/>
      <c r="HP61" s="93"/>
      <c r="HQ61" s="93"/>
      <c r="HR61" s="93"/>
      <c r="HS61" s="93"/>
      <c r="HT61" s="93"/>
      <c r="HU61" s="93"/>
      <c r="HV61" s="93"/>
      <c r="HW61" s="93"/>
      <c r="HX61" s="93"/>
      <c r="HY61" s="93"/>
      <c r="HZ61" s="93"/>
      <c r="IA61" s="93"/>
      <c r="IB61" s="93"/>
      <c r="IC61" s="93"/>
      <c r="ID61" s="93"/>
      <c r="IE61" s="93"/>
      <c r="IF61" s="93"/>
      <c r="IG61" s="93"/>
      <c r="IH61" s="93"/>
      <c r="II61" s="93"/>
      <c r="IJ61" s="93"/>
      <c r="IK61" s="93"/>
      <c r="IL61" s="93"/>
      <c r="IM61" s="93"/>
      <c r="IN61" s="93"/>
      <c r="IO61" s="93"/>
      <c r="IP61" s="93"/>
    </row>
    <row r="62" spans="1:250">
      <c r="A62" s="68" t="s">
        <v>81</v>
      </c>
      <c r="B62" s="5" t="s">
        <v>18</v>
      </c>
      <c r="E62" s="69" t="str">
        <f t="shared" si="16"/>
        <v xml:space="preserve">    VT03            </v>
      </c>
      <c r="F62" s="70" t="str">
        <f t="shared" si="1"/>
        <v>9JA_974_218</v>
      </c>
      <c r="G62" s="90" t="s">
        <v>24</v>
      </c>
      <c r="H62" s="70" t="str">
        <f t="shared" si="2"/>
        <v>1J219JA218</v>
      </c>
      <c r="I62" s="70" t="str">
        <f t="shared" si="17"/>
        <v>A0</v>
      </c>
      <c r="J62" s="90" t="s">
        <v>25</v>
      </c>
      <c r="L62" s="1" t="s">
        <v>49</v>
      </c>
      <c r="M62" s="4">
        <v>6013</v>
      </c>
      <c r="N62" s="93">
        <v>1918</v>
      </c>
      <c r="P62" s="88" t="s">
        <v>130</v>
      </c>
      <c r="Q62" s="1" t="s">
        <v>101</v>
      </c>
      <c r="R62" s="28" t="str">
        <f t="shared" si="4"/>
        <v>1J219JA218A0B</v>
      </c>
      <c r="S62" s="71" t="str">
        <f t="shared" si="5"/>
        <v>AKTUELL</v>
      </c>
      <c r="W62" s="79">
        <v>0.15000000000000002</v>
      </c>
      <c r="Y62" s="93" t="s">
        <v>14</v>
      </c>
      <c r="Z62" s="93" t="s">
        <v>14</v>
      </c>
      <c r="AA62" s="93" t="s">
        <v>0</v>
      </c>
      <c r="AB62" s="94"/>
      <c r="AC62" s="94"/>
      <c r="AD62" s="94"/>
      <c r="AE62" s="81" t="s">
        <v>136</v>
      </c>
      <c r="AF62" s="94"/>
      <c r="AG62" s="94"/>
      <c r="AH62" s="94"/>
    </row>
    <row r="63" spans="1:250">
      <c r="A63" s="68" t="s">
        <v>81</v>
      </c>
      <c r="B63" s="5" t="s">
        <v>8</v>
      </c>
      <c r="D63" s="95" t="s">
        <v>14</v>
      </c>
      <c r="E63" s="69" t="str">
        <f t="shared" si="16"/>
        <v xml:space="preserve">                 </v>
      </c>
      <c r="F63" s="70" t="str">
        <f t="shared" si="1"/>
        <v>9JA_974_219</v>
      </c>
      <c r="G63" s="95">
        <v>0</v>
      </c>
      <c r="H63" s="70" t="str">
        <f t="shared" si="2"/>
        <v>1J219JA219</v>
      </c>
      <c r="I63" s="70" t="str">
        <f t="shared" si="17"/>
        <v>00</v>
      </c>
      <c r="J63" s="90" t="s">
        <v>25</v>
      </c>
      <c r="L63" s="1" t="s">
        <v>166</v>
      </c>
      <c r="O63" s="95">
        <v>1934</v>
      </c>
      <c r="P63" s="1"/>
      <c r="Q63" s="1" t="s">
        <v>50</v>
      </c>
      <c r="R63" s="28" t="str">
        <f t="shared" si="4"/>
        <v>1J219JA21900B</v>
      </c>
      <c r="S63" s="71" t="str">
        <f t="shared" si="5"/>
        <v>NICHT AKTUELL</v>
      </c>
      <c r="W63" s="79">
        <v>2.085E-2</v>
      </c>
      <c r="Y63" s="93" t="s">
        <v>0</v>
      </c>
      <c r="Z63" s="93" t="s">
        <v>0</v>
      </c>
      <c r="AA63" s="93" t="s">
        <v>14</v>
      </c>
      <c r="AB63" s="94"/>
      <c r="AC63" s="94"/>
      <c r="AD63" s="94"/>
      <c r="AE63" s="101"/>
      <c r="AF63" s="94"/>
      <c r="AG63" s="94"/>
      <c r="AH63" s="94"/>
    </row>
    <row r="64" spans="1:250">
      <c r="A64" s="68" t="s">
        <v>81</v>
      </c>
      <c r="B64" s="5" t="s">
        <v>8</v>
      </c>
      <c r="D64" s="95" t="s">
        <v>14</v>
      </c>
      <c r="E64" s="69" t="str">
        <f t="shared" si="16"/>
        <v xml:space="preserve">                 </v>
      </c>
      <c r="F64" s="70" t="str">
        <f t="shared" si="1"/>
        <v>9JA_974_219</v>
      </c>
      <c r="G64" s="95">
        <v>0</v>
      </c>
      <c r="H64" s="70" t="str">
        <f t="shared" si="2"/>
        <v>1J219JA219</v>
      </c>
      <c r="I64" s="70" t="str">
        <f t="shared" si="17"/>
        <v>00</v>
      </c>
      <c r="J64" s="90" t="s">
        <v>25</v>
      </c>
      <c r="L64" s="88" t="s">
        <v>143</v>
      </c>
      <c r="M64" s="84">
        <v>6024</v>
      </c>
      <c r="N64" s="93">
        <v>1935</v>
      </c>
      <c r="O64" s="95">
        <v>2035</v>
      </c>
      <c r="P64" s="1" t="s">
        <v>141</v>
      </c>
      <c r="Q64" s="1" t="s">
        <v>50</v>
      </c>
      <c r="R64" s="28" t="str">
        <f t="shared" si="4"/>
        <v>1J219JA21900B</v>
      </c>
      <c r="S64" s="71" t="str">
        <f t="shared" si="5"/>
        <v>NICHT AKTUELL</v>
      </c>
      <c r="W64" s="79">
        <v>2.085E-2</v>
      </c>
      <c r="Y64" s="93" t="s">
        <v>0</v>
      </c>
      <c r="Z64" s="93" t="s">
        <v>0</v>
      </c>
      <c r="AA64" s="93" t="s">
        <v>14</v>
      </c>
      <c r="AB64" s="94"/>
      <c r="AC64" s="94"/>
      <c r="AD64" s="94"/>
      <c r="AE64" s="101"/>
      <c r="AF64" s="94"/>
      <c r="AG64" s="94"/>
      <c r="AH64" s="94"/>
    </row>
    <row r="65" spans="1:250">
      <c r="A65" s="68" t="s">
        <v>81</v>
      </c>
      <c r="B65" s="5" t="s">
        <v>8</v>
      </c>
      <c r="D65" s="95" t="s">
        <v>14</v>
      </c>
      <c r="E65" s="69" t="str">
        <f t="shared" ref="E65" si="18">CONCATENATE(IF(AC65&gt;0,$AC$1," ")," ",IF(AD65&gt;0,$AD$1," ")," ",IF(AE65&gt;0,$AE$1," ")," ",IF(AF65&gt;0,$AF$1," ")," ",IF(AG65&gt;0,$AG$1," ")," ",IF(AH65&gt;0,$AH$1," ")," ",IF(AI65&gt;0,$AI$1," ")," ",IF(AJ65&gt;0,$AJ$1," ")," ",IF(AK65&gt;0,$AK$1," "))</f>
        <v xml:space="preserve">                 </v>
      </c>
      <c r="F65" s="70" t="str">
        <f t="shared" ref="F65" si="19">LEFT(Q65,11)</f>
        <v>9JA_974_219</v>
      </c>
      <c r="G65" s="95">
        <v>0</v>
      </c>
      <c r="H65" s="70" t="str">
        <f t="shared" ref="H65" si="20">CONCATENATE(IF(MID(Q65,5,3)="974","1J21"),LEFT(F65,3),RIGHT(F65,3))</f>
        <v>1J219JA219</v>
      </c>
      <c r="I65" s="70" t="str">
        <f t="shared" ref="I65" si="21">IF(G65=0,"00",IF(LEN(G65)=1,CONCATENATE(G65,0),G65))</f>
        <v>00</v>
      </c>
      <c r="J65" s="90"/>
      <c r="K65" s="128" t="s">
        <v>85</v>
      </c>
      <c r="L65" s="88" t="s">
        <v>143</v>
      </c>
      <c r="M65" s="84" t="s">
        <v>188</v>
      </c>
      <c r="N65" s="93">
        <v>2036</v>
      </c>
      <c r="P65" s="1"/>
      <c r="Q65" s="1" t="s">
        <v>50</v>
      </c>
      <c r="R65" s="28" t="str">
        <f t="shared" ref="R65" si="22">IF(J65&lt;&gt;"",CONCATENATE(H65,I65,J65),CONCATENATE(H65,I65,K65))</f>
        <v>1J219JA21900C</v>
      </c>
      <c r="S65" s="71" t="str">
        <f t="shared" ref="S65" si="23">IF(N65="-","KEIN LIEFERUMFANG",IF(AND(N65&lt;=S$3,O65=""),"AKTUELL",IF(O65=N65,"KEIN SERIENEINSATZ",IF(N65&gt;S$3,"NOCH NICHT AKTUELL",IF(AND(N65&lt;S$3,O65&lt;S$3),"NICHT AKTUELL",IF(N65&lt;=S$3,"AKTUELL"))))))</f>
        <v>AKTUELL</v>
      </c>
      <c r="W65" s="79">
        <v>2.085E-2</v>
      </c>
      <c r="Y65" s="93" t="s">
        <v>0</v>
      </c>
      <c r="Z65" s="93" t="s">
        <v>0</v>
      </c>
      <c r="AA65" s="93" t="s">
        <v>14</v>
      </c>
      <c r="AB65" s="94"/>
      <c r="AC65" s="94"/>
      <c r="AD65" s="94"/>
      <c r="AE65" s="101"/>
      <c r="AF65" s="94"/>
      <c r="AG65" s="94"/>
      <c r="AH65" s="94"/>
    </row>
    <row r="66" spans="1:250">
      <c r="A66" s="68" t="s">
        <v>81</v>
      </c>
      <c r="B66" s="5" t="s">
        <v>8</v>
      </c>
      <c r="D66" s="95" t="s">
        <v>14</v>
      </c>
      <c r="E66" s="69" t="str">
        <f t="shared" si="16"/>
        <v xml:space="preserve">                 </v>
      </c>
      <c r="F66" s="70" t="str">
        <f t="shared" si="1"/>
        <v>9JA_974_219</v>
      </c>
      <c r="G66" s="95" t="s">
        <v>24</v>
      </c>
      <c r="H66" s="70" t="str">
        <f t="shared" si="2"/>
        <v>1J219JA219</v>
      </c>
      <c r="I66" s="70" t="str">
        <f t="shared" si="17"/>
        <v>A0</v>
      </c>
      <c r="J66" s="90" t="s">
        <v>25</v>
      </c>
      <c r="L66" s="88" t="s">
        <v>167</v>
      </c>
      <c r="M66" s="73"/>
      <c r="O66" s="95">
        <v>1934</v>
      </c>
      <c r="P66" s="1"/>
      <c r="Q66" s="1" t="s">
        <v>51</v>
      </c>
      <c r="R66" s="28" t="str">
        <f t="shared" si="4"/>
        <v>1J219JA219A0B</v>
      </c>
      <c r="S66" s="71" t="str">
        <f t="shared" si="5"/>
        <v>NICHT AKTUELL</v>
      </c>
      <c r="W66" s="79">
        <v>2.0999999999999999E-3</v>
      </c>
      <c r="Y66" s="93" t="s">
        <v>0</v>
      </c>
      <c r="Z66" s="93" t="s">
        <v>0</v>
      </c>
      <c r="AA66" s="93" t="s">
        <v>14</v>
      </c>
      <c r="AB66" s="94"/>
      <c r="AC66" s="94"/>
      <c r="AD66" s="94"/>
      <c r="AE66" s="94"/>
      <c r="AF66" s="94"/>
      <c r="AG66" s="94"/>
      <c r="AH66" s="94"/>
    </row>
    <row r="67" spans="1:250">
      <c r="A67" s="68" t="s">
        <v>81</v>
      </c>
      <c r="B67" s="5" t="s">
        <v>8</v>
      </c>
      <c r="D67" s="95" t="s">
        <v>14</v>
      </c>
      <c r="E67" s="69" t="str">
        <f t="shared" si="16"/>
        <v xml:space="preserve">                 </v>
      </c>
      <c r="F67" s="70" t="str">
        <f t="shared" si="1"/>
        <v>9JA_974_219</v>
      </c>
      <c r="G67" s="95" t="s">
        <v>24</v>
      </c>
      <c r="H67" s="70" t="str">
        <f t="shared" si="2"/>
        <v>1J219JA219</v>
      </c>
      <c r="I67" s="70" t="str">
        <f t="shared" si="17"/>
        <v>A0</v>
      </c>
      <c r="J67" s="90" t="s">
        <v>25</v>
      </c>
      <c r="L67" s="88" t="s">
        <v>144</v>
      </c>
      <c r="M67" s="84">
        <v>6024</v>
      </c>
      <c r="N67" s="93">
        <v>1935</v>
      </c>
      <c r="O67" s="95">
        <v>2035</v>
      </c>
      <c r="P67" s="1" t="s">
        <v>141</v>
      </c>
      <c r="Q67" s="1" t="s">
        <v>51</v>
      </c>
      <c r="R67" s="28" t="str">
        <f t="shared" si="4"/>
        <v>1J219JA219A0B</v>
      </c>
      <c r="S67" s="71" t="str">
        <f t="shared" si="5"/>
        <v>NICHT AKTUELL</v>
      </c>
      <c r="W67" s="79">
        <v>2.0999999999999999E-3</v>
      </c>
      <c r="Y67" s="93" t="s">
        <v>0</v>
      </c>
      <c r="Z67" s="93" t="s">
        <v>0</v>
      </c>
      <c r="AA67" s="93" t="s">
        <v>14</v>
      </c>
      <c r="AB67" s="94"/>
      <c r="AC67" s="94"/>
      <c r="AD67" s="94"/>
      <c r="AE67" s="94"/>
      <c r="AF67" s="94"/>
      <c r="AG67" s="94"/>
      <c r="AH67" s="94"/>
    </row>
    <row r="68" spans="1:250">
      <c r="A68" s="68" t="s">
        <v>81</v>
      </c>
      <c r="B68" s="5" t="s">
        <v>8</v>
      </c>
      <c r="D68" s="95" t="s">
        <v>14</v>
      </c>
      <c r="E68" s="69" t="str">
        <f t="shared" ref="E68" si="24">CONCATENATE(IF(AC68&gt;0,$AC$1," ")," ",IF(AD68&gt;0,$AD$1," ")," ",IF(AE68&gt;0,$AE$1," ")," ",IF(AF68&gt;0,$AF$1," ")," ",IF(AG68&gt;0,$AG$1," ")," ",IF(AH68&gt;0,$AH$1," ")," ",IF(AI68&gt;0,$AI$1," ")," ",IF(AJ68&gt;0,$AJ$1," ")," ",IF(AK68&gt;0,$AK$1," "))</f>
        <v xml:space="preserve">                 </v>
      </c>
      <c r="F68" s="70" t="str">
        <f t="shared" ref="F68" si="25">LEFT(Q68,11)</f>
        <v>9JA_974_219</v>
      </c>
      <c r="G68" s="95" t="s">
        <v>24</v>
      </c>
      <c r="H68" s="70" t="str">
        <f t="shared" ref="H68" si="26">CONCATENATE(IF(MID(Q68,5,3)="974","1J21"),LEFT(F68,3),RIGHT(F68,3))</f>
        <v>1J219JA219</v>
      </c>
      <c r="I68" s="70" t="str">
        <f t="shared" ref="I68" si="27">IF(G68=0,"00",IF(LEN(G68)=1,CONCATENATE(G68,0),G68))</f>
        <v>A0</v>
      </c>
      <c r="J68" s="90"/>
      <c r="K68" s="128" t="s">
        <v>85</v>
      </c>
      <c r="L68" s="88" t="s">
        <v>144</v>
      </c>
      <c r="M68" s="84" t="s">
        <v>188</v>
      </c>
      <c r="N68" s="93">
        <v>2036</v>
      </c>
      <c r="P68" s="1"/>
      <c r="Q68" s="1" t="s">
        <v>51</v>
      </c>
      <c r="R68" s="28" t="str">
        <f t="shared" ref="R68" si="28">IF(J68&lt;&gt;"",CONCATENATE(H68,I68,J68),CONCATENATE(H68,I68,K68))</f>
        <v>1J219JA219A0C</v>
      </c>
      <c r="S68" s="71" t="str">
        <f t="shared" ref="S68" si="29">IF(N68="-","KEIN LIEFERUMFANG",IF(AND(N68&lt;=S$3,O68=""),"AKTUELL",IF(O68=N68,"KEIN SERIENEINSATZ",IF(N68&gt;S$3,"NOCH NICHT AKTUELL",IF(AND(N68&lt;S$3,O68&lt;S$3),"NICHT AKTUELL",IF(N68&lt;=S$3,"AKTUELL"))))))</f>
        <v>AKTUELL</v>
      </c>
      <c r="W68" s="79">
        <v>2.0999999999999999E-3</v>
      </c>
      <c r="Y68" s="93" t="s">
        <v>0</v>
      </c>
      <c r="Z68" s="93" t="s">
        <v>0</v>
      </c>
      <c r="AA68" s="93" t="s">
        <v>14</v>
      </c>
      <c r="AB68" s="94"/>
      <c r="AC68" s="94"/>
      <c r="AD68" s="94"/>
      <c r="AE68" s="94"/>
      <c r="AF68" s="94"/>
      <c r="AG68" s="94"/>
      <c r="AH68" s="94"/>
    </row>
    <row r="69" spans="1:250">
      <c r="A69" s="68" t="s">
        <v>81</v>
      </c>
      <c r="B69" s="5" t="s">
        <v>8</v>
      </c>
      <c r="D69" s="95" t="s">
        <v>14</v>
      </c>
      <c r="E69" s="69" t="str">
        <f t="shared" si="16"/>
        <v xml:space="preserve">                 </v>
      </c>
      <c r="F69" s="70" t="str">
        <f t="shared" si="1"/>
        <v>9JA_974_219</v>
      </c>
      <c r="G69" s="95" t="s">
        <v>25</v>
      </c>
      <c r="H69" s="70" t="str">
        <f t="shared" si="2"/>
        <v>1J219JA219</v>
      </c>
      <c r="I69" s="70" t="str">
        <f t="shared" si="17"/>
        <v>B0</v>
      </c>
      <c r="J69" s="90" t="s">
        <v>25</v>
      </c>
      <c r="L69" s="88" t="s">
        <v>168</v>
      </c>
      <c r="M69" s="73"/>
      <c r="O69" s="95">
        <v>1934</v>
      </c>
      <c r="P69" s="1"/>
      <c r="Q69" s="1" t="s">
        <v>52</v>
      </c>
      <c r="R69" s="28" t="str">
        <f t="shared" si="4"/>
        <v>1J219JA219B0B</v>
      </c>
      <c r="S69" s="71" t="str">
        <f t="shared" si="5"/>
        <v>NICHT AKTUELL</v>
      </c>
      <c r="W69" s="79">
        <v>2.6550000000000001E-2</v>
      </c>
      <c r="Y69" s="93" t="s">
        <v>0</v>
      </c>
      <c r="Z69" s="93" t="s">
        <v>0</v>
      </c>
      <c r="AA69" s="93" t="s">
        <v>14</v>
      </c>
      <c r="AB69" s="94"/>
      <c r="AC69" s="94"/>
      <c r="AD69" s="94"/>
      <c r="AE69" s="94"/>
      <c r="AF69" s="94"/>
      <c r="AG69" s="94"/>
      <c r="AH69" s="94"/>
    </row>
    <row r="70" spans="1:250">
      <c r="A70" s="68" t="s">
        <v>81</v>
      </c>
      <c r="B70" s="5" t="s">
        <v>8</v>
      </c>
      <c r="D70" s="95" t="s">
        <v>14</v>
      </c>
      <c r="E70" s="69" t="str">
        <f t="shared" si="16"/>
        <v xml:space="preserve">                 </v>
      </c>
      <c r="F70" s="70" t="str">
        <f t="shared" si="1"/>
        <v>9JA_974_219</v>
      </c>
      <c r="G70" s="95" t="s">
        <v>25</v>
      </c>
      <c r="H70" s="70" t="str">
        <f t="shared" si="2"/>
        <v>1J219JA219</v>
      </c>
      <c r="I70" s="70" t="str">
        <f t="shared" si="17"/>
        <v>B0</v>
      </c>
      <c r="J70" s="90" t="s">
        <v>25</v>
      </c>
      <c r="L70" s="88" t="s">
        <v>145</v>
      </c>
      <c r="M70" s="84">
        <v>6024</v>
      </c>
      <c r="N70" s="93">
        <v>1935</v>
      </c>
      <c r="O70" s="95">
        <v>2035</v>
      </c>
      <c r="P70" s="1" t="s">
        <v>141</v>
      </c>
      <c r="Q70" s="1" t="s">
        <v>52</v>
      </c>
      <c r="R70" s="28" t="str">
        <f t="shared" si="4"/>
        <v>1J219JA219B0B</v>
      </c>
      <c r="S70" s="71" t="str">
        <f t="shared" si="5"/>
        <v>NICHT AKTUELL</v>
      </c>
      <c r="W70" s="79">
        <v>2.6550000000000001E-2</v>
      </c>
      <c r="Y70" s="93" t="s">
        <v>0</v>
      </c>
      <c r="Z70" s="93" t="s">
        <v>0</v>
      </c>
      <c r="AA70" s="93" t="s">
        <v>14</v>
      </c>
      <c r="AB70" s="94"/>
      <c r="AC70" s="94"/>
      <c r="AD70" s="94"/>
      <c r="AE70" s="94"/>
      <c r="AF70" s="94"/>
      <c r="AG70" s="94"/>
      <c r="AH70" s="94"/>
    </row>
    <row r="71" spans="1:250">
      <c r="A71" s="68" t="s">
        <v>81</v>
      </c>
      <c r="B71" s="5" t="s">
        <v>8</v>
      </c>
      <c r="D71" s="95" t="s">
        <v>14</v>
      </c>
      <c r="E71" s="69" t="str">
        <f t="shared" ref="E71" si="30">CONCATENATE(IF(AC71&gt;0,$AC$1," ")," ",IF(AD71&gt;0,$AD$1," ")," ",IF(AE71&gt;0,$AE$1," ")," ",IF(AF71&gt;0,$AF$1," ")," ",IF(AG71&gt;0,$AG$1," ")," ",IF(AH71&gt;0,$AH$1," ")," ",IF(AI71&gt;0,$AI$1," ")," ",IF(AJ71&gt;0,$AJ$1," ")," ",IF(AK71&gt;0,$AK$1," "))</f>
        <v xml:space="preserve">                 </v>
      </c>
      <c r="F71" s="70" t="str">
        <f t="shared" ref="F71" si="31">LEFT(Q71,11)</f>
        <v>9JA_974_219</v>
      </c>
      <c r="G71" s="95" t="s">
        <v>25</v>
      </c>
      <c r="H71" s="70" t="str">
        <f t="shared" ref="H71" si="32">CONCATENATE(IF(MID(Q71,5,3)="974","1J21"),LEFT(F71,3),RIGHT(F71,3))</f>
        <v>1J219JA219</v>
      </c>
      <c r="I71" s="70" t="str">
        <f t="shared" ref="I71" si="33">IF(G71=0,"00",IF(LEN(G71)=1,CONCATENATE(G71,0),G71))</f>
        <v>B0</v>
      </c>
      <c r="J71" s="90"/>
      <c r="K71" s="128" t="s">
        <v>85</v>
      </c>
      <c r="L71" s="88" t="s">
        <v>145</v>
      </c>
      <c r="M71" s="84" t="s">
        <v>188</v>
      </c>
      <c r="N71" s="93">
        <v>2036</v>
      </c>
      <c r="P71" s="1"/>
      <c r="Q71" s="1" t="s">
        <v>52</v>
      </c>
      <c r="R71" s="28" t="str">
        <f t="shared" ref="R71" si="34">IF(J71&lt;&gt;"",CONCATENATE(H71,I71,J71),CONCATENATE(H71,I71,K71))</f>
        <v>1J219JA219B0C</v>
      </c>
      <c r="S71" s="71" t="str">
        <f t="shared" ref="S71" si="35">IF(N71="-","KEIN LIEFERUMFANG",IF(AND(N71&lt;=S$3,O71=""),"AKTUELL",IF(O71=N71,"KEIN SERIENEINSATZ",IF(N71&gt;S$3,"NOCH NICHT AKTUELL",IF(AND(N71&lt;S$3,O71&lt;S$3),"NICHT AKTUELL",IF(N71&lt;=S$3,"AKTUELL"))))))</f>
        <v>AKTUELL</v>
      </c>
      <c r="W71" s="79">
        <v>2.6550000000000001E-2</v>
      </c>
      <c r="Y71" s="93" t="s">
        <v>0</v>
      </c>
      <c r="Z71" s="93" t="s">
        <v>0</v>
      </c>
      <c r="AA71" s="93" t="s">
        <v>14</v>
      </c>
      <c r="AB71" s="94"/>
      <c r="AC71" s="94"/>
      <c r="AD71" s="94"/>
      <c r="AE71" s="94"/>
      <c r="AF71" s="94"/>
      <c r="AG71" s="94"/>
      <c r="AH71" s="94"/>
    </row>
    <row r="72" spans="1:250" s="15" customFormat="1" ht="15" customHeight="1">
      <c r="A72" s="68" t="s">
        <v>81</v>
      </c>
      <c r="B72" s="82" t="s">
        <v>78</v>
      </c>
      <c r="C72" s="108"/>
      <c r="D72" s="109"/>
      <c r="E72" s="110"/>
      <c r="F72" s="83" t="str">
        <f t="shared" si="1"/>
        <v>9JA_974_222</v>
      </c>
      <c r="G72" s="109">
        <v>0</v>
      </c>
      <c r="H72" s="72" t="str">
        <f t="shared" si="2"/>
        <v>1J219JA222</v>
      </c>
      <c r="I72" s="72" t="str">
        <f t="shared" si="17"/>
        <v>00</v>
      </c>
      <c r="J72" s="91" t="s">
        <v>24</v>
      </c>
      <c r="K72" s="108"/>
      <c r="L72" s="89" t="s">
        <v>169</v>
      </c>
      <c r="M72" s="85"/>
      <c r="N72" s="108"/>
      <c r="O72" s="109">
        <v>1934</v>
      </c>
      <c r="P72" s="108"/>
      <c r="Q72" s="82" t="s">
        <v>79</v>
      </c>
      <c r="R72" s="28" t="str">
        <f t="shared" si="4"/>
        <v>1J219JA22200A</v>
      </c>
      <c r="S72" s="111" t="str">
        <f t="shared" si="5"/>
        <v>NICHT AKTUELL</v>
      </c>
      <c r="T72" s="108"/>
      <c r="U72" s="108"/>
      <c r="V72" s="108"/>
      <c r="W72" s="79">
        <v>1.2750000000000001E-2</v>
      </c>
      <c r="X72" s="108"/>
      <c r="Y72" s="108" t="s">
        <v>0</v>
      </c>
      <c r="Z72" s="108" t="s">
        <v>0</v>
      </c>
      <c r="AA72" s="108" t="s">
        <v>14</v>
      </c>
      <c r="AB72" s="101"/>
      <c r="AC72" s="101"/>
      <c r="AD72" s="101"/>
      <c r="AE72" s="101"/>
      <c r="AF72" s="101"/>
      <c r="AG72" s="101"/>
      <c r="AH72" s="101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</row>
    <row r="73" spans="1:250" s="15" customFormat="1" ht="15" customHeight="1">
      <c r="A73" s="68" t="s">
        <v>81</v>
      </c>
      <c r="B73" s="82" t="s">
        <v>78</v>
      </c>
      <c r="C73" s="108"/>
      <c r="D73" s="109"/>
      <c r="E73" s="110"/>
      <c r="F73" s="83" t="str">
        <f>LEFT(Q73,11)</f>
        <v>9JA_974_222</v>
      </c>
      <c r="G73" s="109">
        <v>0</v>
      </c>
      <c r="H73" s="72" t="str">
        <f>CONCATENATE(IF(MID(Q73,5,3)="974","1J21"),LEFT(F73,3),RIGHT(F73,3))</f>
        <v>1J219JA222</v>
      </c>
      <c r="I73" s="72" t="str">
        <f>IF(G73=0,"00",IF(LEN(G73)=1,CONCATENATE(G73,0),G73))</f>
        <v>00</v>
      </c>
      <c r="J73" s="91" t="s">
        <v>24</v>
      </c>
      <c r="K73" s="108"/>
      <c r="L73" s="135" t="s">
        <v>185</v>
      </c>
      <c r="M73" s="86">
        <v>6024</v>
      </c>
      <c r="N73" s="108">
        <v>1935</v>
      </c>
      <c r="O73" s="109">
        <v>2035</v>
      </c>
      <c r="P73" s="1" t="s">
        <v>141</v>
      </c>
      <c r="Q73" s="82" t="s">
        <v>79</v>
      </c>
      <c r="R73" s="28" t="str">
        <f>IF(J73&lt;&gt;"",CONCATENATE(H73,I73,J73),CONCATENATE(H73,I73,K73))</f>
        <v>1J219JA22200A</v>
      </c>
      <c r="S73" s="111" t="str">
        <f>IF(N73="-","KEIN LIEFERUMFANG",IF(AND(N73&lt;=S$3,O73=""),"AKTUELL",IF(O73=N73,"KEIN SERIENEINSATZ",IF(N73&gt;S$3,"NOCH NICHT AKTUELL",IF(AND(N73&lt;S$3,O73&lt;S$3),"NICHT AKTUELL",IF(N73&lt;=S$3,"AKTUELL"))))))</f>
        <v>NICHT AKTUELL</v>
      </c>
      <c r="T73" s="108"/>
      <c r="U73" s="108"/>
      <c r="V73" s="108"/>
      <c r="W73" s="79">
        <v>1.2750000000000001E-2</v>
      </c>
      <c r="X73" s="108"/>
      <c r="Y73" s="108" t="s">
        <v>0</v>
      </c>
      <c r="Z73" s="108" t="s">
        <v>0</v>
      </c>
      <c r="AA73" s="108" t="s">
        <v>14</v>
      </c>
      <c r="AB73" s="101"/>
      <c r="AC73" s="101"/>
      <c r="AD73" s="101"/>
      <c r="AE73" s="101"/>
      <c r="AF73" s="101"/>
      <c r="AG73" s="101"/>
      <c r="AH73" s="101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</row>
    <row r="74" spans="1:250" s="15" customFormat="1" ht="15" customHeight="1">
      <c r="A74" s="68" t="s">
        <v>81</v>
      </c>
      <c r="B74" s="82" t="s">
        <v>78</v>
      </c>
      <c r="C74" s="108"/>
      <c r="D74" s="109"/>
      <c r="E74" s="110"/>
      <c r="F74" s="83" t="str">
        <f>LEFT(Q74,11)</f>
        <v>9JA_974_222</v>
      </c>
      <c r="G74" s="109">
        <v>0</v>
      </c>
      <c r="H74" s="72" t="str">
        <f>CONCATENATE(IF(MID(Q74,5,3)="974","1J21"),LEFT(F74,3),RIGHT(F74,3))</f>
        <v>1J219JA222</v>
      </c>
      <c r="I74" s="72" t="str">
        <f>IF(G74=0,"00",IF(LEN(G74)=1,CONCATENATE(G74,0),G74))</f>
        <v>00</v>
      </c>
      <c r="J74" s="91"/>
      <c r="K74" s="118" t="s">
        <v>25</v>
      </c>
      <c r="L74" s="135" t="s">
        <v>185</v>
      </c>
      <c r="M74" s="86" t="s">
        <v>196</v>
      </c>
      <c r="N74" s="138">
        <v>2036</v>
      </c>
      <c r="O74" s="109">
        <v>2037</v>
      </c>
      <c r="P74" s="1" t="s">
        <v>141</v>
      </c>
      <c r="Q74" s="82" t="s">
        <v>79</v>
      </c>
      <c r="R74" s="28" t="str">
        <f>IF(J74&lt;&gt;"",CONCATENATE(H74,I74,J74),CONCATENATE(H74,I74,K74))</f>
        <v>1J219JA22200B</v>
      </c>
      <c r="S74" s="111" t="str">
        <f>IF(N74="-","KEIN LIEFERUMFANG",IF(AND(N74&lt;=S$3,O74=""),"AKTUELL",IF(O74=N74,"KEIN SERIENEINSATZ",IF(N74&gt;S$3,"NOCH NICHT AKTUELL",IF(AND(N74&lt;S$3,O74&lt;S$3),"NICHT AKTUELL",IF(N74&lt;=S$3,"AKTUELL"))))))</f>
        <v>NICHT AKTUELL</v>
      </c>
      <c r="T74" s="108"/>
      <c r="U74" s="108"/>
      <c r="V74" s="108"/>
      <c r="W74" s="79">
        <v>1.2750000000000001E-2</v>
      </c>
      <c r="X74" s="108"/>
      <c r="Y74" s="108" t="s">
        <v>0</v>
      </c>
      <c r="Z74" s="108" t="s">
        <v>0</v>
      </c>
      <c r="AA74" s="108" t="s">
        <v>14</v>
      </c>
      <c r="AB74" s="101"/>
      <c r="AC74" s="101"/>
      <c r="AD74" s="101"/>
      <c r="AE74" s="101"/>
      <c r="AF74" s="101"/>
      <c r="AG74" s="101"/>
      <c r="AH74" s="101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</row>
    <row r="75" spans="1:250" s="15" customFormat="1" ht="15" customHeight="1">
      <c r="A75" s="68" t="s">
        <v>81</v>
      </c>
      <c r="B75" s="82" t="s">
        <v>78</v>
      </c>
      <c r="C75" s="108"/>
      <c r="D75" s="109"/>
      <c r="E75" s="110"/>
      <c r="F75" s="83" t="str">
        <f>LEFT(Q75,11)</f>
        <v>9JA_974_222</v>
      </c>
      <c r="G75" s="109">
        <v>0</v>
      </c>
      <c r="H75" s="72" t="str">
        <f>CONCATENATE(IF(MID(Q75,5,3)="974","1J21"),LEFT(F75,3),RIGHT(F75,3))</f>
        <v>1J219JA222</v>
      </c>
      <c r="I75" s="72" t="str">
        <f>IF(G75=0,"00",IF(LEN(G75)=1,CONCATENATE(G75,0),G75))</f>
        <v>00</v>
      </c>
      <c r="J75" s="91"/>
      <c r="K75" s="118" t="s">
        <v>85</v>
      </c>
      <c r="L75" s="137" t="s">
        <v>185</v>
      </c>
      <c r="M75" s="86" t="s">
        <v>197</v>
      </c>
      <c r="N75" s="138">
        <v>2038</v>
      </c>
      <c r="O75" s="109"/>
      <c r="P75" s="1"/>
      <c r="Q75" s="82" t="s">
        <v>79</v>
      </c>
      <c r="R75" s="28" t="str">
        <f>IF(J75&lt;&gt;"",CONCATENATE(H75,I75,J75),CONCATENATE(H75,I75,K75))</f>
        <v>1J219JA22200C</v>
      </c>
      <c r="S75" s="111" t="str">
        <f>IF(N75="-","KEIN LIEFERUMFANG",IF(AND(N75&lt;=S$3,O75=""),"AKTUELL",IF(O75=N75,"KEIN SERIENEINSATZ",IF(N75&gt;S$3,"NOCH NICHT AKTUELL",IF(AND(N75&lt;S$3,O75&lt;S$3),"NICHT AKTUELL",IF(N75&lt;=S$3,"AKTUELL"))))))</f>
        <v>AKTUELL</v>
      </c>
      <c r="T75" s="108"/>
      <c r="U75" s="108"/>
      <c r="V75" s="108"/>
      <c r="W75" s="79">
        <v>1.2750000000000001E-2</v>
      </c>
      <c r="X75" s="108"/>
      <c r="Y75" s="108" t="s">
        <v>0</v>
      </c>
      <c r="Z75" s="108" t="s">
        <v>0</v>
      </c>
      <c r="AA75" s="108" t="s">
        <v>14</v>
      </c>
      <c r="AB75" s="101"/>
      <c r="AC75" s="101"/>
      <c r="AD75" s="101"/>
      <c r="AE75" s="101"/>
      <c r="AF75" s="101"/>
      <c r="AG75" s="101"/>
      <c r="AH75" s="101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</row>
    <row r="76" spans="1:250" s="15" customFormat="1">
      <c r="A76" s="68" t="s">
        <v>81</v>
      </c>
      <c r="B76" s="82" t="s">
        <v>78</v>
      </c>
      <c r="C76" s="108"/>
      <c r="D76" s="109"/>
      <c r="E76" s="110"/>
      <c r="F76" s="83" t="str">
        <f t="shared" ref="F76:F101" si="36">LEFT(Q76,11)</f>
        <v>9JA_974_222</v>
      </c>
      <c r="G76" s="109" t="s">
        <v>24</v>
      </c>
      <c r="H76" s="72" t="str">
        <f t="shared" ref="H76:H101" si="37">CONCATENATE(IF(MID(Q76,5,3)="974","1J21"),LEFT(F76,3),RIGHT(F76,3))</f>
        <v>1J219JA222</v>
      </c>
      <c r="I76" s="72" t="str">
        <f t="shared" si="17"/>
        <v>A0</v>
      </c>
      <c r="J76" s="91" t="s">
        <v>24</v>
      </c>
      <c r="K76" s="108"/>
      <c r="L76" s="89" t="s">
        <v>170</v>
      </c>
      <c r="M76" s="85"/>
      <c r="N76" s="138"/>
      <c r="O76" s="109">
        <v>1934</v>
      </c>
      <c r="P76" s="108"/>
      <c r="Q76" s="82" t="s">
        <v>80</v>
      </c>
      <c r="R76" s="28" t="str">
        <f t="shared" ref="R76:R101" si="38">IF(J76&lt;&gt;"",CONCATENATE(H76,I76,J76),CONCATENATE(H76,I76,K76))</f>
        <v>1J219JA222A0A</v>
      </c>
      <c r="S76" s="111" t="str">
        <f t="shared" ref="S76:S101" si="39">IF(N76="-","KEIN LIEFERUMFANG",IF(AND(N76&lt;=S$3,O76=""),"AKTUELL",IF(O76=N76,"KEIN SERIENEINSATZ",IF(N76&gt;S$3,"NOCH NICHT AKTUELL",IF(AND(N76&lt;S$3,O76&lt;S$3),"NICHT AKTUELL",IF(N76&lt;=S$3,"AKTUELL"))))))</f>
        <v>NICHT AKTUELL</v>
      </c>
      <c r="T76" s="108"/>
      <c r="U76" s="108"/>
      <c r="V76" s="108"/>
      <c r="W76" s="79">
        <v>1.755E-2</v>
      </c>
      <c r="X76" s="108"/>
      <c r="Y76" s="108" t="s">
        <v>0</v>
      </c>
      <c r="Z76" s="108" t="s">
        <v>0</v>
      </c>
      <c r="AA76" s="108" t="s">
        <v>14</v>
      </c>
      <c r="AB76" s="101"/>
      <c r="AC76" s="101"/>
      <c r="AD76" s="101"/>
      <c r="AE76" s="101"/>
      <c r="AF76" s="101"/>
      <c r="AG76" s="101"/>
      <c r="AH76" s="101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</row>
    <row r="77" spans="1:250" s="15" customFormat="1">
      <c r="A77" s="68" t="s">
        <v>81</v>
      </c>
      <c r="B77" s="82" t="s">
        <v>78</v>
      </c>
      <c r="C77" s="108"/>
      <c r="D77" s="109"/>
      <c r="E77" s="110"/>
      <c r="F77" s="83" t="str">
        <f t="shared" si="36"/>
        <v>9JA_974_222</v>
      </c>
      <c r="G77" s="109" t="s">
        <v>24</v>
      </c>
      <c r="H77" s="72" t="str">
        <f t="shared" si="37"/>
        <v>1J219JA222</v>
      </c>
      <c r="I77" s="72" t="str">
        <f t="shared" si="17"/>
        <v>A0</v>
      </c>
      <c r="J77" s="91" t="s">
        <v>24</v>
      </c>
      <c r="K77" s="108"/>
      <c r="L77" s="135" t="s">
        <v>186</v>
      </c>
      <c r="M77" s="86">
        <v>6024</v>
      </c>
      <c r="N77" s="138">
        <v>1935</v>
      </c>
      <c r="O77" s="109">
        <v>2035</v>
      </c>
      <c r="P77" s="1" t="s">
        <v>141</v>
      </c>
      <c r="Q77" s="82" t="s">
        <v>80</v>
      </c>
      <c r="R77" s="28" t="str">
        <f t="shared" si="38"/>
        <v>1J219JA222A0A</v>
      </c>
      <c r="S77" s="111" t="str">
        <f t="shared" si="39"/>
        <v>NICHT AKTUELL</v>
      </c>
      <c r="T77" s="108"/>
      <c r="U77" s="108"/>
      <c r="V77" s="108"/>
      <c r="W77" s="79">
        <v>1.755E-2</v>
      </c>
      <c r="X77" s="108"/>
      <c r="Y77" s="108" t="s">
        <v>0</v>
      </c>
      <c r="Z77" s="108" t="s">
        <v>0</v>
      </c>
      <c r="AA77" s="108" t="s">
        <v>14</v>
      </c>
      <c r="AB77" s="101"/>
      <c r="AC77" s="101"/>
      <c r="AD77" s="101"/>
      <c r="AE77" s="101"/>
      <c r="AF77" s="101"/>
      <c r="AG77" s="101"/>
      <c r="AH77" s="101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</row>
    <row r="78" spans="1:250" s="15" customFormat="1">
      <c r="A78" s="68" t="s">
        <v>81</v>
      </c>
      <c r="B78" s="82" t="s">
        <v>78</v>
      </c>
      <c r="C78" s="108"/>
      <c r="D78" s="109"/>
      <c r="E78" s="110"/>
      <c r="F78" s="83" t="str">
        <f t="shared" ref="F78" si="40">LEFT(Q78,11)</f>
        <v>9JA_974_222</v>
      </c>
      <c r="G78" s="109" t="s">
        <v>24</v>
      </c>
      <c r="H78" s="72" t="str">
        <f t="shared" ref="H78" si="41">CONCATENATE(IF(MID(Q78,5,3)="974","1J21"),LEFT(F78,3),RIGHT(F78,3))</f>
        <v>1J219JA222</v>
      </c>
      <c r="I78" s="72" t="str">
        <f t="shared" ref="I78" si="42">IF(G78=0,"00",IF(LEN(G78)=1,CONCATENATE(G78,0),G78))</f>
        <v>A0</v>
      </c>
      <c r="J78" s="91"/>
      <c r="K78" s="118" t="s">
        <v>25</v>
      </c>
      <c r="L78" s="135" t="s">
        <v>186</v>
      </c>
      <c r="M78" s="86" t="s">
        <v>196</v>
      </c>
      <c r="N78" s="138">
        <v>2036</v>
      </c>
      <c r="O78" s="109">
        <v>2037</v>
      </c>
      <c r="P78" s="1" t="s">
        <v>141</v>
      </c>
      <c r="Q78" s="82" t="s">
        <v>80</v>
      </c>
      <c r="R78" s="28" t="str">
        <f t="shared" ref="R78" si="43">IF(J78&lt;&gt;"",CONCATENATE(H78,I78,J78),CONCATENATE(H78,I78,K78))</f>
        <v>1J219JA222A0B</v>
      </c>
      <c r="S78" s="111" t="str">
        <f t="shared" ref="S78" si="44">IF(N78="-","KEIN LIEFERUMFANG",IF(AND(N78&lt;=S$3,O78=""),"AKTUELL",IF(O78=N78,"KEIN SERIENEINSATZ",IF(N78&gt;S$3,"NOCH NICHT AKTUELL",IF(AND(N78&lt;S$3,O78&lt;S$3),"NICHT AKTUELL",IF(N78&lt;=S$3,"AKTUELL"))))))</f>
        <v>NICHT AKTUELL</v>
      </c>
      <c r="T78" s="108"/>
      <c r="U78" s="108"/>
      <c r="V78" s="108"/>
      <c r="W78" s="79">
        <v>1.755E-2</v>
      </c>
      <c r="X78" s="108"/>
      <c r="Y78" s="108" t="s">
        <v>0</v>
      </c>
      <c r="Z78" s="108" t="s">
        <v>0</v>
      </c>
      <c r="AA78" s="108" t="s">
        <v>14</v>
      </c>
      <c r="AB78" s="101"/>
      <c r="AC78" s="101"/>
      <c r="AD78" s="101"/>
      <c r="AE78" s="101"/>
      <c r="AF78" s="101"/>
      <c r="AG78" s="101"/>
      <c r="AH78" s="101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</row>
    <row r="79" spans="1:250" s="15" customFormat="1">
      <c r="A79" s="68" t="s">
        <v>81</v>
      </c>
      <c r="B79" s="82" t="s">
        <v>78</v>
      </c>
      <c r="C79" s="108"/>
      <c r="D79" s="109"/>
      <c r="E79" s="110"/>
      <c r="F79" s="83" t="str">
        <f t="shared" ref="F79" si="45">LEFT(Q79,11)</f>
        <v>9JA_974_222</v>
      </c>
      <c r="G79" s="109" t="s">
        <v>24</v>
      </c>
      <c r="H79" s="72" t="str">
        <f t="shared" ref="H79" si="46">CONCATENATE(IF(MID(Q79,5,3)="974","1J21"),LEFT(F79,3),RIGHT(F79,3))</f>
        <v>1J219JA222</v>
      </c>
      <c r="I79" s="72" t="str">
        <f t="shared" ref="I79" si="47">IF(G79=0,"00",IF(LEN(G79)=1,CONCATENATE(G79,0),G79))</f>
        <v>A0</v>
      </c>
      <c r="J79" s="91"/>
      <c r="K79" s="118" t="s">
        <v>85</v>
      </c>
      <c r="L79" s="137" t="s">
        <v>186</v>
      </c>
      <c r="M79" s="86" t="s">
        <v>197</v>
      </c>
      <c r="N79" s="138">
        <v>2038</v>
      </c>
      <c r="O79" s="109"/>
      <c r="P79" s="1"/>
      <c r="Q79" s="82" t="s">
        <v>80</v>
      </c>
      <c r="R79" s="28" t="str">
        <f t="shared" ref="R79" si="48">IF(J79&lt;&gt;"",CONCATENATE(H79,I79,J79),CONCATENATE(H79,I79,K79))</f>
        <v>1J219JA222A0C</v>
      </c>
      <c r="S79" s="111" t="str">
        <f t="shared" ref="S79" si="49">IF(N79="-","KEIN LIEFERUMFANG",IF(AND(N79&lt;=S$3,O79=""),"AKTUELL",IF(O79=N79,"KEIN SERIENEINSATZ",IF(N79&gt;S$3,"NOCH NICHT AKTUELL",IF(AND(N79&lt;S$3,O79&lt;S$3),"NICHT AKTUELL",IF(N79&lt;=S$3,"AKTUELL"))))))</f>
        <v>AKTUELL</v>
      </c>
      <c r="T79" s="108"/>
      <c r="U79" s="108"/>
      <c r="V79" s="108"/>
      <c r="W79" s="79">
        <v>1.755E-2</v>
      </c>
      <c r="X79" s="108"/>
      <c r="Y79" s="108" t="s">
        <v>0</v>
      </c>
      <c r="Z79" s="108" t="s">
        <v>0</v>
      </c>
      <c r="AA79" s="108" t="s">
        <v>14</v>
      </c>
      <c r="AB79" s="101"/>
      <c r="AC79" s="101"/>
      <c r="AD79" s="101"/>
      <c r="AE79" s="101"/>
      <c r="AF79" s="101"/>
      <c r="AG79" s="101"/>
      <c r="AH79" s="101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</row>
    <row r="80" spans="1:250">
      <c r="A80" s="68" t="s">
        <v>81</v>
      </c>
      <c r="B80" s="5" t="s">
        <v>10</v>
      </c>
      <c r="E80" s="69" t="str">
        <f>CONCATENATE(IF(AC80&gt;0,$AC$1," ")," ",IF(AD80&gt;0,$AD$1," ")," ",IF(AE80&gt;0,$AE$1," ")," ",IF(AF80&gt;0,$AF$1," ")," ",IF(AG80&gt;0,$AG$1," ")," ",IF(AH80&gt;0,$AH$1," ")," ",IF(AI80&gt;0,$AI$1," ")," ",IF(AJ80&gt;0,$AJ$1," ")," ",IF(AK80&gt;0,$AK$1," "))</f>
        <v xml:space="preserve">                 </v>
      </c>
      <c r="F80" s="70" t="str">
        <f t="shared" si="36"/>
        <v>9JA_974_230</v>
      </c>
      <c r="G80" s="95">
        <v>0</v>
      </c>
      <c r="H80" s="70" t="str">
        <f t="shared" si="37"/>
        <v>1J219JA230</v>
      </c>
      <c r="I80" s="70" t="str">
        <f t="shared" si="17"/>
        <v>00</v>
      </c>
      <c r="J80" s="90" t="s">
        <v>25</v>
      </c>
      <c r="L80" s="88" t="s">
        <v>26</v>
      </c>
      <c r="M80" s="73"/>
      <c r="P80" s="2"/>
      <c r="Q80" s="1" t="s">
        <v>53</v>
      </c>
      <c r="R80" s="28" t="str">
        <f t="shared" si="38"/>
        <v>1J219JA23000B</v>
      </c>
      <c r="S80" s="71" t="str">
        <f t="shared" si="39"/>
        <v>AKTUELL</v>
      </c>
      <c r="W80" s="79">
        <v>0.15000000000000002</v>
      </c>
      <c r="Y80" s="93" t="s">
        <v>0</v>
      </c>
      <c r="Z80" s="93" t="s">
        <v>14</v>
      </c>
      <c r="AA80" s="93" t="s">
        <v>0</v>
      </c>
      <c r="AB80" s="94"/>
      <c r="AC80" s="94"/>
      <c r="AD80" s="94"/>
      <c r="AE80" s="94"/>
      <c r="AF80" s="94"/>
      <c r="AG80" s="94"/>
      <c r="AH80" s="94"/>
    </row>
    <row r="81" spans="1:250">
      <c r="A81" s="68" t="s">
        <v>81</v>
      </c>
      <c r="B81" s="5" t="s">
        <v>20</v>
      </c>
      <c r="E81" s="69" t="str">
        <f>CONCATENATE(IF(AC81&gt;0,$AC$1," ")," ",IF(AD81&gt;0,$AD$1," ")," ",IF(AE81&gt;0,$AE$1," ")," ",IF(AF81&gt;0,$AF$1," ")," ",IF(AG81&gt;0,$AG$1," ")," ",IF(AH81&gt;0,$AH$1," ")," ",IF(AI81&gt;0,$AI$1," ")," ",IF(AJ81&gt;0,$AJ$1," ")," ",IF(AK81&gt;0,$AK$1," "))</f>
        <v xml:space="preserve">                 </v>
      </c>
      <c r="F81" s="70" t="str">
        <f t="shared" si="36"/>
        <v>9JA_974_261</v>
      </c>
      <c r="G81" s="95">
        <v>0</v>
      </c>
      <c r="H81" s="70" t="str">
        <f t="shared" si="37"/>
        <v>1J219JA261</v>
      </c>
      <c r="I81" s="70" t="str">
        <f t="shared" si="17"/>
        <v>00</v>
      </c>
      <c r="J81" s="90" t="s">
        <v>85</v>
      </c>
      <c r="L81" s="88" t="s">
        <v>171</v>
      </c>
      <c r="M81" s="74"/>
      <c r="O81" s="95">
        <v>1934</v>
      </c>
      <c r="P81" s="2"/>
      <c r="Q81" s="1" t="s">
        <v>54</v>
      </c>
      <c r="R81" s="28" t="str">
        <f t="shared" si="38"/>
        <v>1J219JA26100C</v>
      </c>
      <c r="S81" s="71" t="str">
        <f t="shared" si="39"/>
        <v>NICHT AKTUELL</v>
      </c>
      <c r="W81" s="79">
        <v>0.06</v>
      </c>
      <c r="Y81" s="93" t="s">
        <v>0</v>
      </c>
      <c r="Z81" s="93" t="s">
        <v>14</v>
      </c>
      <c r="AA81" s="93" t="s">
        <v>0</v>
      </c>
      <c r="AB81" s="94"/>
      <c r="AC81" s="94"/>
      <c r="AD81" s="94"/>
      <c r="AE81" s="94"/>
      <c r="AF81" s="94"/>
      <c r="AG81" s="94"/>
      <c r="AH81" s="94"/>
    </row>
    <row r="82" spans="1:250">
      <c r="A82" s="68" t="s">
        <v>81</v>
      </c>
      <c r="B82" s="5" t="s">
        <v>20</v>
      </c>
      <c r="E82" s="69" t="str">
        <f>CONCATENATE(IF(AC82&gt;0,$AC$1," ")," ",IF(AD82&gt;0,$AD$1," ")," ",IF(AE82&gt;0,$AE$1," ")," ",IF(AF82&gt;0,$AF$1," ")," ",IF(AG82&gt;0,$AG$1," ")," ",IF(AH82&gt;0,$AH$1," ")," ",IF(AI82&gt;0,$AI$1," ")," ",IF(AJ82&gt;0,$AJ$1," ")," ",IF(AK82&gt;0,$AK$1," "))</f>
        <v xml:space="preserve">                 </v>
      </c>
      <c r="F82" s="70" t="str">
        <f t="shared" si="36"/>
        <v>9JA_974_261</v>
      </c>
      <c r="G82" s="95">
        <v>0</v>
      </c>
      <c r="H82" s="70" t="str">
        <f t="shared" si="37"/>
        <v>1J219JA261</v>
      </c>
      <c r="I82" s="70" t="str">
        <f t="shared" si="17"/>
        <v>00</v>
      </c>
      <c r="J82" s="90" t="s">
        <v>85</v>
      </c>
      <c r="L82" s="88" t="s">
        <v>142</v>
      </c>
      <c r="M82" s="74">
        <v>6025</v>
      </c>
      <c r="N82" s="93">
        <v>1935</v>
      </c>
      <c r="P82" s="1" t="s">
        <v>141</v>
      </c>
      <c r="Q82" s="1" t="s">
        <v>54</v>
      </c>
      <c r="R82" s="28" t="str">
        <f t="shared" si="38"/>
        <v>1J219JA26100C</v>
      </c>
      <c r="S82" s="71" t="str">
        <f t="shared" si="39"/>
        <v>AKTUELL</v>
      </c>
      <c r="W82" s="79">
        <v>0.06</v>
      </c>
      <c r="Y82" s="93" t="s">
        <v>0</v>
      </c>
      <c r="Z82" s="93" t="s">
        <v>14</v>
      </c>
      <c r="AA82" s="93" t="s">
        <v>0</v>
      </c>
      <c r="AB82" s="94"/>
      <c r="AC82" s="94"/>
      <c r="AD82" s="94"/>
      <c r="AE82" s="94"/>
      <c r="AF82" s="94"/>
      <c r="AG82" s="94"/>
      <c r="AH82" s="94"/>
    </row>
    <row r="83" spans="1:250" s="13" customFormat="1">
      <c r="A83" s="120" t="s">
        <v>81</v>
      </c>
      <c r="B83" s="7" t="s">
        <v>11</v>
      </c>
      <c r="C83" s="121"/>
      <c r="D83" s="122"/>
      <c r="E83" s="123" t="str">
        <f t="shared" ref="E83" si="50">CONCATENATE(IF(AC83&gt;0,$AC$1," ")," ",IF(AD83&gt;0,$AD$1," ")," ",IF(AE83&gt;0,$AE$1," ")," ",IF(AF83&gt;0,$AF$1," ")," ",IF(AG83&gt;0,$AG$1," ")," ",IF(AH83&gt;0,$AH$1," ")," ",IF(AI83&gt;0,$AI$1," ")," ",IF(AJ83&gt;0,$AJ$1," ")," ",IF(AK83&gt;0,$AK$1," "))</f>
        <v xml:space="preserve">                 </v>
      </c>
      <c r="F83" s="124" t="str">
        <f t="shared" si="36"/>
        <v>9JA_974_267</v>
      </c>
      <c r="G83" s="122">
        <v>0</v>
      </c>
      <c r="H83" s="124" t="str">
        <f t="shared" si="37"/>
        <v>1J219JA267</v>
      </c>
      <c r="I83" s="124" t="str">
        <f t="shared" si="17"/>
        <v>00</v>
      </c>
      <c r="J83" s="117" t="s">
        <v>25</v>
      </c>
      <c r="K83" s="121"/>
      <c r="L83" s="13" t="s">
        <v>55</v>
      </c>
      <c r="M83" s="125"/>
      <c r="N83" s="121"/>
      <c r="O83" s="122"/>
      <c r="Q83" s="11" t="s">
        <v>187</v>
      </c>
      <c r="R83" s="28" t="str">
        <f t="shared" si="38"/>
        <v>1J219JA26700B</v>
      </c>
      <c r="S83" s="126" t="str">
        <f t="shared" si="39"/>
        <v>AKTUELL</v>
      </c>
      <c r="T83" s="121"/>
      <c r="U83" s="121"/>
      <c r="V83" s="121"/>
      <c r="W83" s="127">
        <v>9.8849999999999993E-2</v>
      </c>
      <c r="X83" s="121"/>
      <c r="Y83" s="121" t="s">
        <v>0</v>
      </c>
      <c r="Z83" s="121" t="s">
        <v>14</v>
      </c>
      <c r="AA83" s="121" t="s">
        <v>0</v>
      </c>
      <c r="AB83" s="7"/>
      <c r="AC83" s="7"/>
      <c r="AD83" s="7"/>
      <c r="AE83" s="7"/>
      <c r="AF83" s="7"/>
      <c r="AG83" s="7"/>
      <c r="AH83" s="7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1"/>
      <c r="BK83" s="121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121"/>
      <c r="BW83" s="121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1"/>
      <c r="CU83" s="121"/>
      <c r="CV83" s="121"/>
      <c r="CW83" s="121"/>
      <c r="CX83" s="121"/>
      <c r="CY83" s="121"/>
      <c r="CZ83" s="121"/>
      <c r="DA83" s="121"/>
      <c r="DB83" s="121"/>
      <c r="DC83" s="121"/>
      <c r="DD83" s="121"/>
      <c r="DE83" s="121"/>
      <c r="DF83" s="121"/>
      <c r="DG83" s="121"/>
      <c r="DH83" s="121"/>
      <c r="DI83" s="121"/>
      <c r="DJ83" s="121"/>
      <c r="DK83" s="121"/>
      <c r="DL83" s="121"/>
      <c r="DM83" s="121"/>
      <c r="DN83" s="121"/>
      <c r="DO83" s="121"/>
      <c r="DP83" s="121"/>
      <c r="DQ83" s="121"/>
      <c r="DR83" s="121"/>
      <c r="DS83" s="121"/>
      <c r="DT83" s="121"/>
      <c r="DU83" s="121"/>
      <c r="DV83" s="121"/>
      <c r="DW83" s="121"/>
      <c r="DX83" s="121"/>
      <c r="DY83" s="121"/>
      <c r="DZ83" s="121"/>
      <c r="EA83" s="121"/>
      <c r="EB83" s="121"/>
      <c r="EC83" s="121"/>
      <c r="ED83" s="121"/>
      <c r="EE83" s="121"/>
      <c r="EF83" s="121"/>
      <c r="EG83" s="121"/>
      <c r="EH83" s="121"/>
      <c r="EI83" s="121"/>
      <c r="EJ83" s="121"/>
      <c r="EK83" s="121"/>
      <c r="EL83" s="121"/>
      <c r="EM83" s="121"/>
      <c r="EN83" s="121"/>
      <c r="EO83" s="121"/>
      <c r="EP83" s="121"/>
      <c r="EQ83" s="121"/>
      <c r="ER83" s="121"/>
      <c r="ES83" s="121"/>
      <c r="ET83" s="121"/>
      <c r="EU83" s="121"/>
      <c r="EV83" s="121"/>
      <c r="EW83" s="121"/>
      <c r="EX83" s="121"/>
      <c r="EY83" s="121"/>
      <c r="EZ83" s="121"/>
      <c r="FA83" s="121"/>
      <c r="FB83" s="121"/>
      <c r="FC83" s="121"/>
      <c r="FD83" s="121"/>
      <c r="FE83" s="121"/>
      <c r="FF83" s="121"/>
      <c r="FG83" s="121"/>
      <c r="FH83" s="121"/>
      <c r="FI83" s="121"/>
      <c r="FJ83" s="121"/>
      <c r="FK83" s="121"/>
      <c r="FL83" s="121"/>
      <c r="FM83" s="121"/>
      <c r="FN83" s="121"/>
      <c r="FO83" s="121"/>
      <c r="FP83" s="121"/>
      <c r="FQ83" s="121"/>
      <c r="FR83" s="121"/>
      <c r="FS83" s="121"/>
      <c r="FT83" s="121"/>
      <c r="FU83" s="121"/>
      <c r="FV83" s="121"/>
      <c r="FW83" s="121"/>
      <c r="FX83" s="121"/>
      <c r="FY83" s="121"/>
      <c r="FZ83" s="121"/>
      <c r="GA83" s="121"/>
      <c r="GB83" s="121"/>
      <c r="GC83" s="121"/>
      <c r="GD83" s="121"/>
      <c r="GE83" s="121"/>
      <c r="GF83" s="121"/>
      <c r="GG83" s="121"/>
      <c r="GH83" s="121"/>
      <c r="GI83" s="121"/>
      <c r="GJ83" s="121"/>
      <c r="GK83" s="121"/>
      <c r="GL83" s="121"/>
      <c r="GM83" s="121"/>
      <c r="GN83" s="121"/>
      <c r="GO83" s="121"/>
      <c r="GP83" s="121"/>
      <c r="GQ83" s="121"/>
      <c r="GR83" s="121"/>
      <c r="GS83" s="121"/>
      <c r="GT83" s="121"/>
      <c r="GU83" s="121"/>
      <c r="GV83" s="121"/>
      <c r="GW83" s="121"/>
      <c r="GX83" s="121"/>
      <c r="GY83" s="121"/>
      <c r="GZ83" s="121"/>
      <c r="HA83" s="121"/>
      <c r="HB83" s="121"/>
      <c r="HC83" s="121"/>
      <c r="HD83" s="121"/>
      <c r="HE83" s="121"/>
      <c r="HF83" s="121"/>
      <c r="HG83" s="121"/>
      <c r="HH83" s="121"/>
      <c r="HI83" s="121"/>
      <c r="HJ83" s="121"/>
      <c r="HK83" s="121"/>
      <c r="HL83" s="121"/>
      <c r="HM83" s="121"/>
      <c r="HN83" s="121"/>
      <c r="HO83" s="121"/>
      <c r="HP83" s="121"/>
      <c r="HQ83" s="121"/>
      <c r="HR83" s="121"/>
      <c r="HS83" s="121"/>
      <c r="HT83" s="121"/>
      <c r="HU83" s="121"/>
      <c r="HV83" s="121"/>
      <c r="HW83" s="121"/>
      <c r="HX83" s="121"/>
      <c r="HY83" s="121"/>
      <c r="HZ83" s="121"/>
      <c r="IA83" s="121"/>
      <c r="IB83" s="121"/>
      <c r="IC83" s="121"/>
      <c r="ID83" s="121"/>
      <c r="IE83" s="121"/>
      <c r="IF83" s="121"/>
      <c r="IG83" s="121"/>
      <c r="IH83" s="121"/>
      <c r="II83" s="121"/>
      <c r="IJ83" s="121"/>
      <c r="IK83" s="121"/>
      <c r="IL83" s="121"/>
      <c r="IM83" s="121"/>
      <c r="IN83" s="121"/>
      <c r="IO83" s="121"/>
      <c r="IP83" s="121"/>
    </row>
    <row r="84" spans="1:250" s="73" customFormat="1">
      <c r="A84" s="76" t="s">
        <v>81</v>
      </c>
      <c r="B84" s="94" t="s">
        <v>11</v>
      </c>
      <c r="C84" s="93"/>
      <c r="D84" s="95"/>
      <c r="E84" s="96"/>
      <c r="F84" s="77" t="str">
        <f t="shared" si="36"/>
        <v>9JA_974_267</v>
      </c>
      <c r="G84" s="95" t="s">
        <v>24</v>
      </c>
      <c r="H84" s="77" t="str">
        <f t="shared" si="37"/>
        <v>1J219JA267</v>
      </c>
      <c r="I84" s="77" t="s">
        <v>129</v>
      </c>
      <c r="J84" s="90" t="s">
        <v>24</v>
      </c>
      <c r="K84" s="93"/>
      <c r="L84" s="73" t="s">
        <v>55</v>
      </c>
      <c r="M84" s="99">
        <v>6606</v>
      </c>
      <c r="N84" s="93">
        <v>2013</v>
      </c>
      <c r="O84" s="95"/>
      <c r="P84" s="88" t="s">
        <v>147</v>
      </c>
      <c r="Q84" s="88" t="s">
        <v>154</v>
      </c>
      <c r="R84" s="28" t="str">
        <f t="shared" si="38"/>
        <v>1J219JA267A0A</v>
      </c>
      <c r="S84" s="98" t="str">
        <f t="shared" si="39"/>
        <v>AKTUELL</v>
      </c>
      <c r="T84" s="93"/>
      <c r="U84" s="93"/>
      <c r="V84" s="93"/>
      <c r="W84" s="105">
        <v>9.8900000000000002E-2</v>
      </c>
      <c r="X84" s="93"/>
      <c r="Y84" s="93" t="s">
        <v>0</v>
      </c>
      <c r="Z84" s="93" t="s">
        <v>14</v>
      </c>
      <c r="AA84" s="93" t="s">
        <v>0</v>
      </c>
      <c r="AB84" s="94"/>
      <c r="AC84" s="94"/>
      <c r="AD84" s="94"/>
      <c r="AE84" s="94"/>
      <c r="AF84" s="94"/>
      <c r="AG84" s="94"/>
      <c r="AH84" s="94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93"/>
      <c r="BD84" s="93"/>
      <c r="BE84" s="93"/>
      <c r="BF84" s="93"/>
      <c r="BG84" s="93"/>
      <c r="BH84" s="93"/>
      <c r="BI84" s="93"/>
      <c r="BJ84" s="93"/>
      <c r="BK84" s="93"/>
      <c r="BL84" s="93"/>
      <c r="BM84" s="93"/>
      <c r="BN84" s="93"/>
      <c r="BO84" s="93"/>
      <c r="BP84" s="93"/>
      <c r="BQ84" s="93"/>
      <c r="BR84" s="93"/>
      <c r="BS84" s="93"/>
      <c r="BT84" s="93"/>
      <c r="BU84" s="93"/>
      <c r="BV84" s="93"/>
      <c r="BW84" s="93"/>
      <c r="BX84" s="93"/>
      <c r="BY84" s="93"/>
      <c r="BZ84" s="93"/>
      <c r="CA84" s="93"/>
      <c r="CB84" s="93"/>
      <c r="CC84" s="93"/>
      <c r="CD84" s="93"/>
      <c r="CE84" s="93"/>
      <c r="CF84" s="93"/>
      <c r="CG84" s="93"/>
      <c r="CH84" s="93"/>
      <c r="CI84" s="93"/>
      <c r="CJ84" s="93"/>
      <c r="CK84" s="93"/>
      <c r="CL84" s="93"/>
      <c r="CM84" s="93"/>
      <c r="CN84" s="93"/>
      <c r="CO84" s="93"/>
      <c r="CP84" s="93"/>
      <c r="CQ84" s="93"/>
      <c r="CR84" s="93"/>
      <c r="CS84" s="93"/>
      <c r="CT84" s="93"/>
      <c r="CU84" s="93"/>
      <c r="CV84" s="93"/>
      <c r="CW84" s="93"/>
      <c r="CX84" s="93"/>
      <c r="CY84" s="93"/>
      <c r="CZ84" s="93"/>
      <c r="DA84" s="93"/>
      <c r="DB84" s="93"/>
      <c r="DC84" s="93"/>
      <c r="DD84" s="93"/>
      <c r="DE84" s="93"/>
      <c r="DF84" s="93"/>
      <c r="DG84" s="93"/>
      <c r="DH84" s="93"/>
      <c r="DI84" s="93"/>
      <c r="DJ84" s="93"/>
      <c r="DK84" s="93"/>
      <c r="DL84" s="93"/>
      <c r="DM84" s="93"/>
      <c r="DN84" s="93"/>
      <c r="DO84" s="93"/>
      <c r="DP84" s="93"/>
      <c r="DQ84" s="93"/>
      <c r="DR84" s="93"/>
      <c r="DS84" s="93"/>
      <c r="DT84" s="93"/>
      <c r="DU84" s="93"/>
      <c r="DV84" s="93"/>
      <c r="DW84" s="93"/>
      <c r="DX84" s="93"/>
      <c r="DY84" s="93"/>
      <c r="DZ84" s="93"/>
      <c r="EA84" s="93"/>
      <c r="EB84" s="93"/>
      <c r="EC84" s="93"/>
      <c r="ED84" s="93"/>
      <c r="EE84" s="93"/>
      <c r="EF84" s="93"/>
      <c r="EG84" s="93"/>
      <c r="EH84" s="93"/>
      <c r="EI84" s="93"/>
      <c r="EJ84" s="93"/>
      <c r="EK84" s="93"/>
      <c r="EL84" s="93"/>
      <c r="EM84" s="93"/>
      <c r="EN84" s="93"/>
      <c r="EO84" s="93"/>
      <c r="EP84" s="93"/>
      <c r="EQ84" s="93"/>
      <c r="ER84" s="93"/>
      <c r="ES84" s="93"/>
      <c r="ET84" s="93"/>
      <c r="EU84" s="93"/>
      <c r="EV84" s="93"/>
      <c r="EW84" s="93"/>
      <c r="EX84" s="93"/>
      <c r="EY84" s="93"/>
      <c r="EZ84" s="93"/>
      <c r="FA84" s="93"/>
      <c r="FB84" s="93"/>
      <c r="FC84" s="93"/>
      <c r="FD84" s="93"/>
      <c r="FE84" s="93"/>
      <c r="FF84" s="93"/>
      <c r="FG84" s="93"/>
      <c r="FH84" s="93"/>
      <c r="FI84" s="93"/>
      <c r="FJ84" s="93"/>
      <c r="FK84" s="93"/>
      <c r="FL84" s="93"/>
      <c r="FM84" s="93"/>
      <c r="FN84" s="93"/>
      <c r="FO84" s="93"/>
      <c r="FP84" s="93"/>
      <c r="FQ84" s="93"/>
      <c r="FR84" s="93"/>
      <c r="FS84" s="93"/>
      <c r="FT84" s="93"/>
      <c r="FU84" s="93"/>
      <c r="FV84" s="93"/>
      <c r="FW84" s="93"/>
      <c r="FX84" s="93"/>
      <c r="FY84" s="93"/>
      <c r="FZ84" s="93"/>
      <c r="GA84" s="93"/>
      <c r="GB84" s="93"/>
      <c r="GC84" s="93"/>
      <c r="GD84" s="93"/>
      <c r="GE84" s="93"/>
      <c r="GF84" s="93"/>
      <c r="GG84" s="93"/>
      <c r="GH84" s="93"/>
      <c r="GI84" s="93"/>
      <c r="GJ84" s="93"/>
      <c r="GK84" s="93"/>
      <c r="GL84" s="93"/>
      <c r="GM84" s="93"/>
      <c r="GN84" s="93"/>
      <c r="GO84" s="93"/>
      <c r="GP84" s="93"/>
      <c r="GQ84" s="93"/>
      <c r="GR84" s="93"/>
      <c r="GS84" s="93"/>
      <c r="GT84" s="93"/>
      <c r="GU84" s="93"/>
      <c r="GV84" s="93"/>
      <c r="GW84" s="93"/>
      <c r="GX84" s="93"/>
      <c r="GY84" s="93"/>
      <c r="GZ84" s="93"/>
      <c r="HA84" s="93"/>
      <c r="HB84" s="93"/>
      <c r="HC84" s="93"/>
      <c r="HD84" s="93"/>
      <c r="HE84" s="93"/>
      <c r="HF84" s="93"/>
      <c r="HG84" s="93"/>
      <c r="HH84" s="93"/>
      <c r="HI84" s="93"/>
      <c r="HJ84" s="93"/>
      <c r="HK84" s="93"/>
      <c r="HL84" s="93"/>
      <c r="HM84" s="93"/>
      <c r="HN84" s="93"/>
      <c r="HO84" s="93"/>
      <c r="HP84" s="93"/>
      <c r="HQ84" s="93"/>
      <c r="HR84" s="93"/>
      <c r="HS84" s="93"/>
      <c r="HT84" s="93"/>
      <c r="HU84" s="93"/>
      <c r="HV84" s="93"/>
      <c r="HW84" s="93"/>
      <c r="HX84" s="93"/>
      <c r="HY84" s="93"/>
      <c r="HZ84" s="93"/>
      <c r="IA84" s="93"/>
      <c r="IB84" s="93"/>
      <c r="IC84" s="93"/>
      <c r="ID84" s="93"/>
      <c r="IE84" s="93"/>
      <c r="IF84" s="93"/>
      <c r="IG84" s="93"/>
      <c r="IH84" s="93"/>
      <c r="II84" s="93"/>
      <c r="IJ84" s="93"/>
      <c r="IK84" s="93"/>
      <c r="IL84" s="93"/>
      <c r="IM84" s="93"/>
      <c r="IN84" s="93"/>
      <c r="IO84" s="93"/>
      <c r="IP84" s="93"/>
    </row>
    <row r="85" spans="1:250" s="12" customFormat="1">
      <c r="A85" s="133" t="s">
        <v>81</v>
      </c>
      <c r="B85" s="9" t="s">
        <v>193</v>
      </c>
      <c r="C85" s="16"/>
      <c r="D85" s="87"/>
      <c r="E85" s="129"/>
      <c r="F85" s="130" t="s">
        <v>190</v>
      </c>
      <c r="G85" s="87" t="s">
        <v>24</v>
      </c>
      <c r="H85" s="130" t="s">
        <v>191</v>
      </c>
      <c r="I85" s="130" t="s">
        <v>129</v>
      </c>
      <c r="J85" s="10"/>
      <c r="K85" s="14" t="s">
        <v>24</v>
      </c>
      <c r="L85" s="9" t="s">
        <v>192</v>
      </c>
      <c r="M85" s="132">
        <v>7008</v>
      </c>
      <c r="N85" s="8">
        <v>2048</v>
      </c>
      <c r="O85" s="87"/>
      <c r="P85" s="9"/>
      <c r="Q85" s="116" t="s">
        <v>189</v>
      </c>
      <c r="R85" s="28" t="str">
        <f t="shared" si="38"/>
        <v>1J219JA295A0A</v>
      </c>
      <c r="S85" s="98" t="str">
        <f t="shared" si="39"/>
        <v>AKTUELL</v>
      </c>
      <c r="T85" s="16"/>
      <c r="U85" s="16"/>
      <c r="V85" s="16"/>
      <c r="W85" s="131">
        <v>0</v>
      </c>
      <c r="X85" s="16"/>
      <c r="Y85" s="16" t="s">
        <v>0</v>
      </c>
      <c r="Z85" s="16" t="s">
        <v>14</v>
      </c>
      <c r="AA85" s="16" t="s">
        <v>0</v>
      </c>
      <c r="AB85" s="8"/>
      <c r="AC85" s="8"/>
      <c r="AD85" s="8"/>
      <c r="AE85" s="8"/>
      <c r="AF85" s="8"/>
      <c r="AG85" s="8"/>
      <c r="AH85" s="8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16"/>
      <c r="FD85" s="16"/>
      <c r="FE85" s="16"/>
      <c r="FF85" s="16"/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  <c r="HD85" s="16"/>
      <c r="HE85" s="16"/>
      <c r="HF85" s="16"/>
      <c r="HG85" s="16"/>
      <c r="HH85" s="16"/>
      <c r="HI85" s="16"/>
      <c r="HJ85" s="16"/>
      <c r="HK85" s="16"/>
      <c r="HL85" s="16"/>
      <c r="HM85" s="16"/>
      <c r="HN85" s="16"/>
      <c r="HO85" s="16"/>
      <c r="HP85" s="16"/>
      <c r="HQ85" s="16"/>
      <c r="HR85" s="16"/>
      <c r="HS85" s="16"/>
      <c r="HT85" s="16"/>
      <c r="HU85" s="16"/>
      <c r="HV85" s="16"/>
      <c r="HW85" s="16"/>
      <c r="HX85" s="16"/>
      <c r="HY85" s="16"/>
      <c r="HZ85" s="16"/>
      <c r="IA85" s="16"/>
      <c r="IB85" s="16"/>
      <c r="IC85" s="16"/>
      <c r="ID85" s="16"/>
      <c r="IE85" s="16"/>
      <c r="IF85" s="16"/>
      <c r="IG85" s="16"/>
      <c r="IH85" s="16"/>
      <c r="II85" s="16"/>
      <c r="IJ85" s="16"/>
      <c r="IK85" s="16"/>
      <c r="IL85" s="16"/>
      <c r="IM85" s="16"/>
      <c r="IN85" s="16"/>
      <c r="IO85" s="16"/>
      <c r="IP85" s="16"/>
    </row>
    <row r="86" spans="1:250" s="73" customFormat="1">
      <c r="A86" s="76" t="s">
        <v>81</v>
      </c>
      <c r="B86" s="88" t="s">
        <v>56</v>
      </c>
      <c r="C86" s="93"/>
      <c r="D86" s="95"/>
      <c r="E86" s="96" t="str">
        <f t="shared" ref="E86:E101" si="51">CONCATENATE(IF(AC86&gt;0,$AC$1," ")," ",IF(AD86&gt;0,$AD$1," ")," ",IF(AE86&gt;0,$AE$1," ")," ",IF(AF86&gt;0,$AF$1," ")," ",IF(AG86&gt;0,$AG$1," ")," ",IF(AH86&gt;0,$AH$1," ")," ",IF(AI86&gt;0,$AI$1," ")," ",IF(AJ86&gt;0,$AJ$1," ")," ",IF(AK86&gt;0,$AK$1," "))</f>
        <v xml:space="preserve">      VT04          </v>
      </c>
      <c r="F86" s="77" t="str">
        <f t="shared" si="36"/>
        <v>9JA_974_321</v>
      </c>
      <c r="G86" s="95">
        <v>0</v>
      </c>
      <c r="H86" s="77" t="str">
        <f t="shared" si="37"/>
        <v>1J219JA321</v>
      </c>
      <c r="I86" s="77" t="str">
        <f t="shared" ref="I86:I93" si="52">IF(G86=0,"00",IF(LEN(G86)=1,CONCATENATE(G86,0),G86))</f>
        <v>00</v>
      </c>
      <c r="J86" s="90" t="s">
        <v>85</v>
      </c>
      <c r="K86" s="93"/>
      <c r="L86" s="73" t="s">
        <v>58</v>
      </c>
      <c r="M86" s="97"/>
      <c r="N86" s="93"/>
      <c r="O86" s="95">
        <v>1917</v>
      </c>
      <c r="Q86" s="88" t="s">
        <v>57</v>
      </c>
      <c r="R86" s="28" t="str">
        <f t="shared" si="38"/>
        <v>1J219JA32100C</v>
      </c>
      <c r="S86" s="98" t="str">
        <f t="shared" si="39"/>
        <v>NICHT AKTUELL</v>
      </c>
      <c r="T86" s="93"/>
      <c r="U86" s="93"/>
      <c r="V86" s="93"/>
      <c r="W86" s="79">
        <v>0.12</v>
      </c>
      <c r="X86" s="93"/>
      <c r="Y86" s="93" t="s">
        <v>14</v>
      </c>
      <c r="Z86" s="93" t="s">
        <v>14</v>
      </c>
      <c r="AA86" s="93" t="s">
        <v>0</v>
      </c>
      <c r="AB86" s="94"/>
      <c r="AC86" s="94"/>
      <c r="AD86" s="94"/>
      <c r="AE86" s="94"/>
      <c r="AF86" s="78" t="s">
        <v>92</v>
      </c>
      <c r="AG86" s="94"/>
      <c r="AH86" s="94"/>
      <c r="AI86" s="93"/>
      <c r="AJ86" s="93"/>
      <c r="AK86" s="93"/>
      <c r="AL86" s="93"/>
      <c r="AM86" s="93"/>
      <c r="AN86" s="93"/>
      <c r="AO86" s="93"/>
      <c r="AP86" s="93"/>
      <c r="AQ86" s="93"/>
      <c r="AR86" s="93"/>
      <c r="AS86" s="93"/>
      <c r="AT86" s="93"/>
      <c r="AU86" s="93"/>
      <c r="AV86" s="93"/>
      <c r="AW86" s="93"/>
      <c r="AX86" s="93"/>
      <c r="AY86" s="93"/>
      <c r="AZ86" s="93"/>
      <c r="BA86" s="93"/>
      <c r="BB86" s="93"/>
      <c r="BC86" s="93"/>
      <c r="BD86" s="93"/>
      <c r="BE86" s="93"/>
      <c r="BF86" s="93"/>
      <c r="BG86" s="93"/>
      <c r="BH86" s="93"/>
      <c r="BI86" s="93"/>
      <c r="BJ86" s="93"/>
      <c r="BK86" s="93"/>
      <c r="BL86" s="93"/>
      <c r="BM86" s="93"/>
      <c r="BN86" s="93"/>
      <c r="BO86" s="93"/>
      <c r="BP86" s="93"/>
      <c r="BQ86" s="93"/>
      <c r="BR86" s="93"/>
      <c r="BS86" s="93"/>
      <c r="BT86" s="93"/>
      <c r="BU86" s="93"/>
      <c r="BV86" s="93"/>
      <c r="BW86" s="93"/>
      <c r="BX86" s="93"/>
      <c r="BY86" s="93"/>
      <c r="BZ86" s="93"/>
      <c r="CA86" s="93"/>
      <c r="CB86" s="93"/>
      <c r="CC86" s="93"/>
      <c r="CD86" s="93"/>
      <c r="CE86" s="93"/>
      <c r="CF86" s="93"/>
      <c r="CG86" s="93"/>
      <c r="CH86" s="93"/>
      <c r="CI86" s="93"/>
      <c r="CJ86" s="93"/>
      <c r="CK86" s="93"/>
      <c r="CL86" s="93"/>
      <c r="CM86" s="93"/>
      <c r="CN86" s="93"/>
      <c r="CO86" s="93"/>
      <c r="CP86" s="93"/>
      <c r="CQ86" s="93"/>
      <c r="CR86" s="93"/>
      <c r="CS86" s="93"/>
      <c r="CT86" s="93"/>
      <c r="CU86" s="93"/>
      <c r="CV86" s="93"/>
      <c r="CW86" s="93"/>
      <c r="CX86" s="93"/>
      <c r="CY86" s="93"/>
      <c r="CZ86" s="93"/>
      <c r="DA86" s="93"/>
      <c r="DB86" s="93"/>
      <c r="DC86" s="93"/>
      <c r="DD86" s="93"/>
      <c r="DE86" s="93"/>
      <c r="DF86" s="93"/>
      <c r="DG86" s="93"/>
      <c r="DH86" s="93"/>
      <c r="DI86" s="93"/>
      <c r="DJ86" s="93"/>
      <c r="DK86" s="93"/>
      <c r="DL86" s="93"/>
      <c r="DM86" s="93"/>
      <c r="DN86" s="93"/>
      <c r="DO86" s="93"/>
      <c r="DP86" s="93"/>
      <c r="DQ86" s="93"/>
      <c r="DR86" s="93"/>
      <c r="DS86" s="93"/>
      <c r="DT86" s="93"/>
      <c r="DU86" s="93"/>
      <c r="DV86" s="93"/>
      <c r="DW86" s="93"/>
      <c r="DX86" s="93"/>
      <c r="DY86" s="93"/>
      <c r="DZ86" s="93"/>
      <c r="EA86" s="93"/>
      <c r="EB86" s="93"/>
      <c r="EC86" s="93"/>
      <c r="ED86" s="93"/>
      <c r="EE86" s="93"/>
      <c r="EF86" s="93"/>
      <c r="EG86" s="93"/>
      <c r="EH86" s="93"/>
      <c r="EI86" s="93"/>
      <c r="EJ86" s="93"/>
      <c r="EK86" s="93"/>
      <c r="EL86" s="93"/>
      <c r="EM86" s="93"/>
      <c r="EN86" s="93"/>
      <c r="EO86" s="93"/>
      <c r="EP86" s="93"/>
      <c r="EQ86" s="93"/>
      <c r="ER86" s="93"/>
      <c r="ES86" s="93"/>
      <c r="ET86" s="93"/>
      <c r="EU86" s="93"/>
      <c r="EV86" s="93"/>
      <c r="EW86" s="93"/>
      <c r="EX86" s="93"/>
      <c r="EY86" s="93"/>
      <c r="EZ86" s="93"/>
      <c r="FA86" s="93"/>
      <c r="FB86" s="93"/>
      <c r="FC86" s="93"/>
      <c r="FD86" s="93"/>
      <c r="FE86" s="93"/>
      <c r="FF86" s="93"/>
      <c r="FG86" s="93"/>
      <c r="FH86" s="93"/>
      <c r="FI86" s="93"/>
      <c r="FJ86" s="93"/>
      <c r="FK86" s="93"/>
      <c r="FL86" s="93"/>
      <c r="FM86" s="93"/>
      <c r="FN86" s="93"/>
      <c r="FO86" s="93"/>
      <c r="FP86" s="93"/>
      <c r="FQ86" s="93"/>
      <c r="FR86" s="93"/>
      <c r="FS86" s="93"/>
      <c r="FT86" s="93"/>
      <c r="FU86" s="93"/>
      <c r="FV86" s="93"/>
      <c r="FW86" s="93"/>
      <c r="FX86" s="93"/>
      <c r="FY86" s="93"/>
      <c r="FZ86" s="93"/>
      <c r="GA86" s="93"/>
      <c r="GB86" s="93"/>
      <c r="GC86" s="93"/>
      <c r="GD86" s="93"/>
      <c r="GE86" s="93"/>
      <c r="GF86" s="93"/>
      <c r="GG86" s="93"/>
      <c r="GH86" s="93"/>
      <c r="GI86" s="93"/>
      <c r="GJ86" s="93"/>
      <c r="GK86" s="93"/>
      <c r="GL86" s="93"/>
      <c r="GM86" s="93"/>
      <c r="GN86" s="93"/>
      <c r="GO86" s="93"/>
      <c r="GP86" s="93"/>
      <c r="GQ86" s="93"/>
      <c r="GR86" s="93"/>
      <c r="GS86" s="93"/>
      <c r="GT86" s="93"/>
      <c r="GU86" s="93"/>
      <c r="GV86" s="93"/>
      <c r="GW86" s="93"/>
      <c r="GX86" s="93"/>
      <c r="GY86" s="93"/>
      <c r="GZ86" s="93"/>
      <c r="HA86" s="93"/>
      <c r="HB86" s="93"/>
      <c r="HC86" s="93"/>
      <c r="HD86" s="93"/>
      <c r="HE86" s="93"/>
      <c r="HF86" s="93"/>
      <c r="HG86" s="93"/>
      <c r="HH86" s="93"/>
      <c r="HI86" s="93"/>
      <c r="HJ86" s="93"/>
      <c r="HK86" s="93"/>
      <c r="HL86" s="93"/>
      <c r="HM86" s="93"/>
      <c r="HN86" s="93"/>
      <c r="HO86" s="93"/>
      <c r="HP86" s="93"/>
      <c r="HQ86" s="93"/>
      <c r="HR86" s="93"/>
      <c r="HS86" s="93"/>
      <c r="HT86" s="93"/>
      <c r="HU86" s="93"/>
      <c r="HV86" s="93"/>
      <c r="HW86" s="93"/>
      <c r="HX86" s="93"/>
      <c r="HY86" s="93"/>
      <c r="HZ86" s="93"/>
      <c r="IA86" s="93"/>
      <c r="IB86" s="93"/>
      <c r="IC86" s="93"/>
      <c r="ID86" s="93"/>
      <c r="IE86" s="93"/>
      <c r="IF86" s="93"/>
      <c r="IG86" s="93"/>
      <c r="IH86" s="93"/>
      <c r="II86" s="93"/>
      <c r="IJ86" s="93"/>
      <c r="IK86" s="93"/>
      <c r="IL86" s="93"/>
      <c r="IM86" s="93"/>
      <c r="IN86" s="93"/>
      <c r="IO86" s="93"/>
      <c r="IP86" s="93"/>
    </row>
    <row r="87" spans="1:250">
      <c r="A87" s="68" t="s">
        <v>81</v>
      </c>
      <c r="B87" s="1" t="s">
        <v>56</v>
      </c>
      <c r="E87" s="69" t="str">
        <f>CONCATENATE(IF(AC87&gt;0,$AC$1," ")," ",IF(AD87&gt;0,$AD$1," ")," ",IF(AE87&gt;0,$AE$1," ")," ",IF(AF87&gt;0,$AF$1," ")," ",IF(AG87&gt;0,$AG$1," ")," ",IF(AH87&gt;0,$AH$1," ")," ",IF(AI87&gt;0,$AI$1," ")," ",IF(AJ87&gt;0,$AJ$1," ")," ",IF(AK87&gt;0,$AK$1," "))</f>
        <v xml:space="preserve">      VT04          </v>
      </c>
      <c r="F87" s="70" t="str">
        <f>LEFT(Q87,11)</f>
        <v>9JA_974_321</v>
      </c>
      <c r="G87" s="95">
        <v>0</v>
      </c>
      <c r="H87" s="70" t="str">
        <f>CONCATENATE(IF(MID(Q87,5,3)="974","1J21"),LEFT(F87,3),RIGHT(F87,3))</f>
        <v>1J219JA321</v>
      </c>
      <c r="I87" s="70" t="str">
        <f>IF(G87=0,"00",IF(LEN(G87)=1,CONCATENATE(G87,0),G87))</f>
        <v>00</v>
      </c>
      <c r="J87" s="90" t="s">
        <v>93</v>
      </c>
      <c r="L87" s="2" t="s">
        <v>58</v>
      </c>
      <c r="M87" s="4">
        <v>6013</v>
      </c>
      <c r="N87" s="93">
        <v>1918</v>
      </c>
      <c r="O87" s="87"/>
      <c r="P87" s="88" t="s">
        <v>130</v>
      </c>
      <c r="Q87" s="1" t="s">
        <v>57</v>
      </c>
      <c r="R87" s="28" t="str">
        <f>IF(J87&lt;&gt;"",CONCATENATE(H87,I87,J87),CONCATENATE(H87,I87,K87))</f>
        <v>1J219JA32100D</v>
      </c>
      <c r="S87" s="71" t="str">
        <f>IF(N87="-","KEIN LIEFERUMFANG",IF(AND(N87&lt;=S$3,O87=""),"AKTUELL",IF(O87=N87,"KEIN SERIENEINSATZ",IF(N87&gt;S$3,"NOCH NICHT AKTUELL",IF(AND(N87&lt;S$3,O87&lt;S$3),"NICHT AKTUELL",IF(N87&lt;=S$3,"AKTUELL"))))))</f>
        <v>AKTUELL</v>
      </c>
      <c r="W87" s="79">
        <v>0.12</v>
      </c>
      <c r="Y87" s="93" t="s">
        <v>14</v>
      </c>
      <c r="Z87" s="93" t="s">
        <v>14</v>
      </c>
      <c r="AA87" s="93" t="s">
        <v>0</v>
      </c>
      <c r="AB87" s="94"/>
      <c r="AC87" s="94"/>
      <c r="AD87" s="94"/>
      <c r="AE87" s="94"/>
      <c r="AF87" s="78" t="s">
        <v>139</v>
      </c>
      <c r="AG87" s="94"/>
      <c r="AH87" s="94"/>
    </row>
    <row r="88" spans="1:250">
      <c r="A88" s="68" t="s">
        <v>81</v>
      </c>
      <c r="B88" s="5" t="s">
        <v>12</v>
      </c>
      <c r="E88" s="69" t="str">
        <f t="shared" si="51"/>
        <v xml:space="preserve">                 </v>
      </c>
      <c r="F88" s="70" t="str">
        <f t="shared" si="36"/>
        <v>9JA_974_325</v>
      </c>
      <c r="G88" s="95">
        <v>0</v>
      </c>
      <c r="H88" s="70" t="str">
        <f t="shared" si="37"/>
        <v>1J219JA325</v>
      </c>
      <c r="I88" s="70" t="str">
        <f t="shared" si="52"/>
        <v>00</v>
      </c>
      <c r="J88" s="90" t="s">
        <v>25</v>
      </c>
      <c r="L88" s="2" t="s">
        <v>60</v>
      </c>
      <c r="P88" s="2"/>
      <c r="Q88" s="1" t="s">
        <v>59</v>
      </c>
      <c r="R88" s="28" t="str">
        <f t="shared" si="38"/>
        <v>1J219JA32500B</v>
      </c>
      <c r="S88" s="71" t="str">
        <f t="shared" si="39"/>
        <v>AKTUELL</v>
      </c>
      <c r="W88" s="79">
        <v>5.7300000000000004E-2</v>
      </c>
      <c r="Y88" s="93" t="s">
        <v>0</v>
      </c>
      <c r="Z88" s="93" t="s">
        <v>14</v>
      </c>
      <c r="AA88" s="93" t="s">
        <v>0</v>
      </c>
      <c r="AB88" s="94"/>
      <c r="AC88" s="94"/>
      <c r="AD88" s="94"/>
      <c r="AE88" s="94"/>
      <c r="AF88" s="101"/>
      <c r="AG88" s="94"/>
      <c r="AH88" s="94"/>
    </row>
    <row r="89" spans="1:250">
      <c r="A89" s="68" t="s">
        <v>81</v>
      </c>
      <c r="B89" s="5" t="s">
        <v>12</v>
      </c>
      <c r="E89" s="69" t="str">
        <f t="shared" si="51"/>
        <v xml:space="preserve">                 </v>
      </c>
      <c r="F89" s="70" t="str">
        <f t="shared" si="36"/>
        <v>9JA_974_327</v>
      </c>
      <c r="G89" s="95">
        <v>0</v>
      </c>
      <c r="H89" s="70" t="str">
        <f t="shared" si="37"/>
        <v>1J219JA327</v>
      </c>
      <c r="I89" s="70" t="str">
        <f t="shared" si="52"/>
        <v>00</v>
      </c>
      <c r="J89" s="90" t="s">
        <v>25</v>
      </c>
      <c r="L89" s="2" t="s">
        <v>62</v>
      </c>
      <c r="P89" s="2"/>
      <c r="Q89" s="1" t="s">
        <v>61</v>
      </c>
      <c r="R89" s="28" t="str">
        <f t="shared" si="38"/>
        <v>1J219JA32700B</v>
      </c>
      <c r="S89" s="71" t="str">
        <f t="shared" si="39"/>
        <v>AKTUELL</v>
      </c>
      <c r="W89" s="79">
        <v>7.9500000000000005E-3</v>
      </c>
      <c r="Y89" s="93" t="s">
        <v>0</v>
      </c>
      <c r="Z89" s="93" t="s">
        <v>14</v>
      </c>
      <c r="AA89" s="93" t="s">
        <v>0</v>
      </c>
      <c r="AB89" s="94"/>
      <c r="AC89" s="94"/>
      <c r="AD89" s="94"/>
      <c r="AE89" s="94"/>
      <c r="AF89" s="94"/>
      <c r="AG89" s="94"/>
      <c r="AH89" s="94"/>
    </row>
    <row r="90" spans="1:250">
      <c r="A90" s="68" t="s">
        <v>81</v>
      </c>
      <c r="B90" s="5" t="s">
        <v>12</v>
      </c>
      <c r="E90" s="69" t="str">
        <f t="shared" si="51"/>
        <v xml:space="preserve">                 </v>
      </c>
      <c r="F90" s="70" t="str">
        <f t="shared" si="36"/>
        <v>9JA_974_328</v>
      </c>
      <c r="G90" s="95">
        <v>0</v>
      </c>
      <c r="H90" s="70" t="str">
        <f t="shared" si="37"/>
        <v>1J219JA328</v>
      </c>
      <c r="I90" s="70" t="str">
        <f t="shared" si="52"/>
        <v>00</v>
      </c>
      <c r="J90" s="90" t="s">
        <v>25</v>
      </c>
      <c r="L90" s="2" t="s">
        <v>64</v>
      </c>
      <c r="M90" s="119">
        <v>7004</v>
      </c>
      <c r="P90" s="2"/>
      <c r="Q90" s="1" t="s">
        <v>63</v>
      </c>
      <c r="R90" s="28" t="str">
        <f t="shared" si="38"/>
        <v>1J219JA32800B</v>
      </c>
      <c r="S90" s="71" t="str">
        <f t="shared" si="39"/>
        <v>AKTUELL</v>
      </c>
      <c r="W90" s="79">
        <v>8.0400000000000013E-2</v>
      </c>
      <c r="Y90" s="93" t="s">
        <v>0</v>
      </c>
      <c r="Z90" s="93" t="s">
        <v>14</v>
      </c>
      <c r="AA90" s="93" t="s">
        <v>0</v>
      </c>
      <c r="AB90" s="94"/>
      <c r="AC90" s="94"/>
      <c r="AD90" s="94"/>
      <c r="AE90" s="94"/>
      <c r="AF90" s="94"/>
      <c r="AG90" s="94"/>
      <c r="AH90" s="94"/>
    </row>
    <row r="91" spans="1:250">
      <c r="A91" s="68" t="s">
        <v>81</v>
      </c>
      <c r="B91" s="5" t="s">
        <v>21</v>
      </c>
      <c r="D91" s="95" t="s">
        <v>14</v>
      </c>
      <c r="E91" s="69" t="str">
        <f t="shared" si="51"/>
        <v xml:space="preserve">                 </v>
      </c>
      <c r="F91" s="70" t="str">
        <f t="shared" si="36"/>
        <v>9JA_974_329</v>
      </c>
      <c r="G91" s="95">
        <v>0</v>
      </c>
      <c r="H91" s="70" t="str">
        <f t="shared" si="37"/>
        <v>1J219JA329</v>
      </c>
      <c r="I91" s="70" t="str">
        <f t="shared" si="52"/>
        <v>00</v>
      </c>
      <c r="J91" s="90" t="s">
        <v>25</v>
      </c>
      <c r="L91" s="2" t="s">
        <v>66</v>
      </c>
      <c r="O91" s="95">
        <v>2024</v>
      </c>
      <c r="P91" s="2"/>
      <c r="Q91" s="1" t="s">
        <v>65</v>
      </c>
      <c r="R91" s="28" t="str">
        <f t="shared" si="38"/>
        <v>1J219JA32900B</v>
      </c>
      <c r="S91" s="71" t="str">
        <f t="shared" si="39"/>
        <v>NICHT AKTUELL</v>
      </c>
      <c r="W91" s="79">
        <v>0.15000000000000002</v>
      </c>
      <c r="Y91" s="93" t="s">
        <v>0</v>
      </c>
      <c r="Z91" s="93" t="s">
        <v>14</v>
      </c>
      <c r="AA91" s="93" t="s">
        <v>0</v>
      </c>
      <c r="AB91" s="94"/>
      <c r="AC91" s="94"/>
      <c r="AD91" s="94"/>
      <c r="AE91" s="94"/>
      <c r="AF91" s="94"/>
      <c r="AG91" s="94"/>
      <c r="AH91" s="94"/>
    </row>
    <row r="92" spans="1:250">
      <c r="A92" s="68" t="s">
        <v>81</v>
      </c>
      <c r="B92" s="5" t="s">
        <v>21</v>
      </c>
      <c r="D92" s="95" t="s">
        <v>14</v>
      </c>
      <c r="E92" s="69" t="str">
        <f t="shared" ref="E92" si="53">CONCATENATE(IF(AC92&gt;0,$AC$1," ")," ",IF(AD92&gt;0,$AD$1," ")," ",IF(AE92&gt;0,$AE$1," ")," ",IF(AF92&gt;0,$AF$1," ")," ",IF(AG92&gt;0,$AG$1," ")," ",IF(AH92&gt;0,$AH$1," ")," ",IF(AI92&gt;0,$AI$1," ")," ",IF(AJ92&gt;0,$AJ$1," ")," ",IF(AK92&gt;0,$AK$1," "))</f>
        <v xml:space="preserve">                 </v>
      </c>
      <c r="F92" s="70" t="str">
        <f t="shared" ref="F92" si="54">LEFT(Q92,11)</f>
        <v>9JA_974_329</v>
      </c>
      <c r="G92" s="95">
        <v>0</v>
      </c>
      <c r="H92" s="70" t="str">
        <f t="shared" ref="H92" si="55">CONCATENATE(IF(MID(Q92,5,3)="974","1J21"),LEFT(F92,3),RIGHT(F92,3))</f>
        <v>1J219JA329</v>
      </c>
      <c r="I92" s="70" t="str">
        <f t="shared" ref="I92" si="56">IF(G92=0,"00",IF(LEN(G92)=1,CONCATENATE(G92,0),G92))</f>
        <v>00</v>
      </c>
      <c r="J92" s="90"/>
      <c r="K92" s="115" t="s">
        <v>85</v>
      </c>
      <c r="L92" s="2" t="s">
        <v>66</v>
      </c>
      <c r="N92" s="93">
        <v>2025</v>
      </c>
      <c r="P92" s="2"/>
      <c r="Q92" s="1" t="s">
        <v>65</v>
      </c>
      <c r="R92" s="28" t="str">
        <f t="shared" ref="R92" si="57">IF(J92&lt;&gt;"",CONCATENATE(H92,I92,J92),CONCATENATE(H92,I92,K92))</f>
        <v>1J219JA32900C</v>
      </c>
      <c r="S92" s="71" t="str">
        <f t="shared" ref="S92" si="58">IF(N92="-","KEIN LIEFERUMFANG",IF(AND(N92&lt;=S$3,O92=""),"AKTUELL",IF(O92=N92,"KEIN SERIENEINSATZ",IF(N92&gt;S$3,"NOCH NICHT AKTUELL",IF(AND(N92&lt;S$3,O92&lt;S$3),"NICHT AKTUELL",IF(N92&lt;=S$3,"AKTUELL"))))))</f>
        <v>AKTUELL</v>
      </c>
      <c r="W92" s="79">
        <v>0.15000000000000002</v>
      </c>
      <c r="Y92" s="93" t="s">
        <v>0</v>
      </c>
      <c r="Z92" s="93" t="s">
        <v>14</v>
      </c>
      <c r="AA92" s="93" t="s">
        <v>0</v>
      </c>
      <c r="AB92" s="94"/>
      <c r="AC92" s="94"/>
      <c r="AD92" s="94"/>
      <c r="AE92" s="94"/>
      <c r="AF92" s="94"/>
      <c r="AG92" s="94"/>
      <c r="AH92" s="94"/>
    </row>
    <row r="93" spans="1:250" s="73" customFormat="1">
      <c r="A93" s="76" t="s">
        <v>81</v>
      </c>
      <c r="B93" s="94" t="s">
        <v>4</v>
      </c>
      <c r="C93" s="93"/>
      <c r="D93" s="95" t="s">
        <v>14</v>
      </c>
      <c r="E93" s="96" t="str">
        <f t="shared" si="51"/>
        <v xml:space="preserve">                 </v>
      </c>
      <c r="F93" s="77" t="str">
        <f t="shared" si="36"/>
        <v>9JA_974_412</v>
      </c>
      <c r="G93" s="95">
        <v>0</v>
      </c>
      <c r="H93" s="77" t="str">
        <f t="shared" si="37"/>
        <v>1J219JA412</v>
      </c>
      <c r="I93" s="77" t="str">
        <f t="shared" si="52"/>
        <v>00</v>
      </c>
      <c r="J93" s="90" t="s">
        <v>85</v>
      </c>
      <c r="K93" s="93"/>
      <c r="L93" s="73" t="s">
        <v>75</v>
      </c>
      <c r="M93" s="97"/>
      <c r="N93" s="93"/>
      <c r="O93" s="95">
        <v>1917</v>
      </c>
      <c r="Q93" s="88" t="s">
        <v>67</v>
      </c>
      <c r="R93" s="28" t="str">
        <f t="shared" si="38"/>
        <v>1J219JA41200C</v>
      </c>
      <c r="S93" s="71" t="str">
        <f t="shared" si="39"/>
        <v>NICHT AKTUELL</v>
      </c>
      <c r="T93" s="93"/>
      <c r="U93" s="93"/>
      <c r="V93" s="93"/>
      <c r="W93" s="79">
        <v>0.10356666666666665</v>
      </c>
      <c r="X93" s="93"/>
      <c r="Y93" s="93" t="s">
        <v>0</v>
      </c>
      <c r="Z93" s="93" t="s">
        <v>0</v>
      </c>
      <c r="AA93" s="93" t="s">
        <v>14</v>
      </c>
      <c r="AB93" s="94"/>
      <c r="AC93" s="94"/>
      <c r="AD93" s="94"/>
      <c r="AE93" s="94"/>
      <c r="AF93" s="94"/>
      <c r="AG93" s="94"/>
      <c r="AH93" s="94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  <c r="BI93" s="93"/>
      <c r="BJ93" s="93"/>
      <c r="BK93" s="93"/>
      <c r="BL93" s="93"/>
      <c r="BM93" s="93"/>
      <c r="BN93" s="93"/>
      <c r="BO93" s="93"/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  <c r="CE93" s="93"/>
      <c r="CF93" s="93"/>
      <c r="CG93" s="93"/>
      <c r="CH93" s="93"/>
      <c r="CI93" s="93"/>
      <c r="CJ93" s="93"/>
      <c r="CK93" s="93"/>
      <c r="CL93" s="93"/>
      <c r="CM93" s="93"/>
      <c r="CN93" s="93"/>
      <c r="CO93" s="93"/>
      <c r="CP93" s="93"/>
      <c r="CQ93" s="93"/>
      <c r="CR93" s="93"/>
      <c r="CS93" s="93"/>
      <c r="CT93" s="93"/>
      <c r="CU93" s="93"/>
      <c r="CV93" s="93"/>
      <c r="CW93" s="93"/>
      <c r="CX93" s="93"/>
      <c r="CY93" s="93"/>
      <c r="CZ93" s="93"/>
      <c r="DA93" s="93"/>
      <c r="DB93" s="93"/>
      <c r="DC93" s="93"/>
      <c r="DD93" s="93"/>
      <c r="DE93" s="93"/>
      <c r="DF93" s="93"/>
      <c r="DG93" s="93"/>
      <c r="DH93" s="93"/>
      <c r="DI93" s="93"/>
      <c r="DJ93" s="93"/>
      <c r="DK93" s="93"/>
      <c r="DL93" s="93"/>
      <c r="DM93" s="93"/>
      <c r="DN93" s="93"/>
      <c r="DO93" s="93"/>
      <c r="DP93" s="93"/>
      <c r="DQ93" s="93"/>
      <c r="DR93" s="93"/>
      <c r="DS93" s="93"/>
      <c r="DT93" s="93"/>
      <c r="DU93" s="93"/>
      <c r="DV93" s="93"/>
      <c r="DW93" s="93"/>
      <c r="DX93" s="93"/>
      <c r="DY93" s="93"/>
      <c r="DZ93" s="93"/>
      <c r="EA93" s="93"/>
      <c r="EB93" s="93"/>
      <c r="EC93" s="93"/>
      <c r="ED93" s="93"/>
      <c r="EE93" s="93"/>
      <c r="EF93" s="93"/>
      <c r="EG93" s="93"/>
      <c r="EH93" s="93"/>
      <c r="EI93" s="93"/>
      <c r="EJ93" s="93"/>
      <c r="EK93" s="93"/>
      <c r="EL93" s="93"/>
      <c r="EM93" s="93"/>
      <c r="EN93" s="93"/>
      <c r="EO93" s="93"/>
      <c r="EP93" s="93"/>
      <c r="EQ93" s="93"/>
      <c r="ER93" s="93"/>
      <c r="ES93" s="93"/>
      <c r="ET93" s="93"/>
      <c r="EU93" s="93"/>
      <c r="EV93" s="93"/>
      <c r="EW93" s="93"/>
      <c r="EX93" s="93"/>
      <c r="EY93" s="93"/>
      <c r="EZ93" s="93"/>
      <c r="FA93" s="93"/>
      <c r="FB93" s="93"/>
      <c r="FC93" s="93"/>
      <c r="FD93" s="93"/>
      <c r="FE93" s="93"/>
      <c r="FF93" s="93"/>
      <c r="FG93" s="93"/>
      <c r="FH93" s="93"/>
      <c r="FI93" s="93"/>
      <c r="FJ93" s="93"/>
      <c r="FK93" s="93"/>
      <c r="FL93" s="93"/>
      <c r="FM93" s="93"/>
      <c r="FN93" s="93"/>
      <c r="FO93" s="93"/>
      <c r="FP93" s="93"/>
      <c r="FQ93" s="93"/>
      <c r="FR93" s="93"/>
      <c r="FS93" s="93"/>
      <c r="FT93" s="93"/>
      <c r="FU93" s="93"/>
      <c r="FV93" s="93"/>
      <c r="FW93" s="93"/>
      <c r="FX93" s="93"/>
      <c r="FY93" s="93"/>
      <c r="FZ93" s="93"/>
      <c r="GA93" s="93"/>
      <c r="GB93" s="93"/>
      <c r="GC93" s="93"/>
      <c r="GD93" s="93"/>
      <c r="GE93" s="93"/>
      <c r="GF93" s="93"/>
      <c r="GG93" s="93"/>
      <c r="GH93" s="93"/>
      <c r="GI93" s="93"/>
      <c r="GJ93" s="93"/>
      <c r="GK93" s="93"/>
      <c r="GL93" s="93"/>
      <c r="GM93" s="93"/>
      <c r="GN93" s="93"/>
      <c r="GO93" s="93"/>
      <c r="GP93" s="93"/>
      <c r="GQ93" s="93"/>
      <c r="GR93" s="93"/>
      <c r="GS93" s="93"/>
      <c r="GT93" s="93"/>
      <c r="GU93" s="93"/>
      <c r="GV93" s="93"/>
      <c r="GW93" s="93"/>
      <c r="GX93" s="93"/>
      <c r="GY93" s="93"/>
      <c r="GZ93" s="93"/>
      <c r="HA93" s="93"/>
      <c r="HB93" s="93"/>
      <c r="HC93" s="93"/>
      <c r="HD93" s="93"/>
      <c r="HE93" s="93"/>
      <c r="HF93" s="93"/>
      <c r="HG93" s="93"/>
      <c r="HH93" s="93"/>
      <c r="HI93" s="93"/>
      <c r="HJ93" s="93"/>
      <c r="HK93" s="93"/>
      <c r="HL93" s="93"/>
      <c r="HM93" s="93"/>
      <c r="HN93" s="93"/>
      <c r="HO93" s="93"/>
      <c r="HP93" s="93"/>
      <c r="HQ93" s="93"/>
      <c r="HR93" s="93"/>
      <c r="HS93" s="93"/>
      <c r="HT93" s="93"/>
      <c r="HU93" s="93"/>
      <c r="HV93" s="93"/>
      <c r="HW93" s="93"/>
      <c r="HX93" s="93"/>
      <c r="HY93" s="93"/>
      <c r="HZ93" s="93"/>
      <c r="IA93" s="93"/>
      <c r="IB93" s="93"/>
      <c r="IC93" s="93"/>
      <c r="ID93" s="93"/>
      <c r="IE93" s="93"/>
      <c r="IF93" s="93"/>
      <c r="IG93" s="93"/>
      <c r="IH93" s="93"/>
      <c r="II93" s="93"/>
      <c r="IJ93" s="93"/>
      <c r="IK93" s="93"/>
      <c r="IL93" s="93"/>
      <c r="IM93" s="93"/>
      <c r="IN93" s="93"/>
      <c r="IO93" s="93"/>
      <c r="IP93" s="93"/>
    </row>
    <row r="94" spans="1:250">
      <c r="A94" s="68" t="s">
        <v>81</v>
      </c>
      <c r="B94" s="5" t="s">
        <v>4</v>
      </c>
      <c r="D94" s="95" t="s">
        <v>14</v>
      </c>
      <c r="E94" s="69" t="str">
        <f>CONCATENATE(IF(AC94&gt;0,$AC$1," ")," ",IF(AD94&gt;0,$AD$1," ")," ",IF(AE94&gt;0,$AE$1," ")," ",IF(AF94&gt;0,$AF$1," ")," ",IF(AG94&gt;0,$AG$1," ")," ",IF(AH94&gt;0,$AH$1," ")," ",IF(AI94&gt;0,$AI$1," ")," ",IF(AJ94&gt;0,$AJ$1," ")," ",IF(AK94&gt;0,$AK$1," "))</f>
        <v xml:space="preserve">                 </v>
      </c>
      <c r="F94" s="70" t="str">
        <f>LEFT(Q94,11)</f>
        <v>9JA_974_412</v>
      </c>
      <c r="G94" s="95" t="s">
        <v>25</v>
      </c>
      <c r="H94" s="70" t="str">
        <f>CONCATENATE(IF(MID(Q94,5,3)="974","1J21"),LEFT(F94,3),RIGHT(F94,3))</f>
        <v>1J219JA412</v>
      </c>
      <c r="I94" s="70" t="str">
        <f>IF(G94=0,"00",IF(LEN(G94)=1,CONCATENATE(G94,0),G94))</f>
        <v>B0</v>
      </c>
      <c r="J94" s="90" t="s">
        <v>24</v>
      </c>
      <c r="L94" s="2" t="s">
        <v>75</v>
      </c>
      <c r="M94" s="4">
        <v>6011</v>
      </c>
      <c r="N94" s="93">
        <v>1918</v>
      </c>
      <c r="O94" s="95">
        <v>2047</v>
      </c>
      <c r="P94" s="88" t="s">
        <v>130</v>
      </c>
      <c r="Q94" s="1" t="s">
        <v>140</v>
      </c>
      <c r="R94" s="28" t="str">
        <f>IF(J94&lt;&gt;"",CONCATENATE(H94,I94,J94),CONCATENATE(H94,I94,K94))</f>
        <v>1J219JA412B0A</v>
      </c>
      <c r="S94" s="71" t="str">
        <f t="shared" si="39"/>
        <v>NICHT AKTUELL</v>
      </c>
      <c r="W94" s="79">
        <v>0.10356666666666665</v>
      </c>
      <c r="Y94" s="93" t="s">
        <v>0</v>
      </c>
      <c r="Z94" s="93" t="s">
        <v>0</v>
      </c>
      <c r="AA94" s="93" t="s">
        <v>14</v>
      </c>
      <c r="AB94" s="94"/>
      <c r="AC94" s="94"/>
      <c r="AD94" s="94"/>
      <c r="AE94" s="94"/>
      <c r="AF94" s="94"/>
      <c r="AG94" s="94"/>
      <c r="AH94" s="94"/>
    </row>
    <row r="95" spans="1:250">
      <c r="A95" s="68" t="s">
        <v>81</v>
      </c>
      <c r="B95" s="5" t="s">
        <v>4</v>
      </c>
      <c r="D95" s="95" t="s">
        <v>14</v>
      </c>
      <c r="E95" s="69" t="str">
        <f>CONCATENATE(IF(AC95&gt;0,$AC$1," ")," ",IF(AD95&gt;0,$AD$1," ")," ",IF(AE95&gt;0,$AE$1," ")," ",IF(AF95&gt;0,$AF$1," ")," ",IF(AG95&gt;0,$AG$1," ")," ",IF(AH95&gt;0,$AH$1," ")," ",IF(AI95&gt;0,$AI$1," ")," ",IF(AJ95&gt;0,$AJ$1," ")," ",IF(AK95&gt;0,$AK$1," "))</f>
        <v xml:space="preserve">                 </v>
      </c>
      <c r="F95" s="70" t="str">
        <f>LEFT(Q95,11)</f>
        <v>9JA_974_412</v>
      </c>
      <c r="G95" s="95" t="s">
        <v>25</v>
      </c>
      <c r="H95" s="70" t="str">
        <f>CONCATENATE(IF(MID(Q95,5,3)="974","1J21"),LEFT(F95,3),RIGHT(F95,3))</f>
        <v>1J219JA412</v>
      </c>
      <c r="I95" s="70" t="str">
        <f>IF(G95=0,"00",IF(LEN(G95)=1,CONCATENATE(G95,0),G95))</f>
        <v>B0</v>
      </c>
      <c r="J95" s="90"/>
      <c r="K95" s="14" t="s">
        <v>25</v>
      </c>
      <c r="L95" s="2" t="s">
        <v>75</v>
      </c>
      <c r="M95" s="4" t="s">
        <v>194</v>
      </c>
      <c r="N95" s="16">
        <v>2048</v>
      </c>
      <c r="P95" s="88"/>
      <c r="Q95" s="1" t="s">
        <v>140</v>
      </c>
      <c r="R95" s="28" t="str">
        <f>IF(J95&lt;&gt;"",CONCATENATE(H95,I95,J95),CONCATENATE(H95,I95,K95))</f>
        <v>1J219JA412B0B</v>
      </c>
      <c r="S95" s="71" t="str">
        <f t="shared" ref="S95" si="59">IF(N95="-","KEIN LIEFERUMFANG",IF(AND(N95&lt;=S$3,O95=""),"AKTUELL",IF(O95=N95,"KEIN SERIENEINSATZ",IF(N95&gt;S$3,"NOCH NICHT AKTUELL",IF(AND(N95&lt;S$3,O95&lt;S$3),"NICHT AKTUELL",IF(N95&lt;=S$3,"AKTUELL"))))))</f>
        <v>AKTUELL</v>
      </c>
      <c r="W95" s="79">
        <v>0.10356666666666665</v>
      </c>
      <c r="Y95" s="93" t="s">
        <v>0</v>
      </c>
      <c r="Z95" s="93" t="s">
        <v>0</v>
      </c>
      <c r="AA95" s="93" t="s">
        <v>14</v>
      </c>
      <c r="AB95" s="94"/>
      <c r="AC95" s="94"/>
      <c r="AD95" s="94"/>
      <c r="AE95" s="94"/>
      <c r="AF95" s="94"/>
      <c r="AG95" s="94"/>
      <c r="AH95" s="94"/>
    </row>
    <row r="96" spans="1:250">
      <c r="A96" s="68" t="s">
        <v>81</v>
      </c>
      <c r="B96" s="5" t="s">
        <v>4</v>
      </c>
      <c r="D96" s="95" t="s">
        <v>14</v>
      </c>
      <c r="E96" s="69"/>
      <c r="F96" s="70" t="str">
        <f t="shared" si="36"/>
        <v>9JA_974_412</v>
      </c>
      <c r="G96" s="95" t="s">
        <v>24</v>
      </c>
      <c r="H96" s="70" t="str">
        <f t="shared" si="37"/>
        <v>1J219JA412</v>
      </c>
      <c r="I96" s="70" t="s">
        <v>129</v>
      </c>
      <c r="J96" s="90" t="s">
        <v>85</v>
      </c>
      <c r="L96" s="2" t="s">
        <v>76</v>
      </c>
      <c r="M96" s="4"/>
      <c r="P96" s="2"/>
      <c r="Q96" s="1" t="s">
        <v>74</v>
      </c>
      <c r="R96" s="28" t="str">
        <f t="shared" si="38"/>
        <v>1J219JA412A0C</v>
      </c>
      <c r="S96" s="71" t="str">
        <f t="shared" si="39"/>
        <v>AKTUELL</v>
      </c>
      <c r="W96" s="79">
        <v>4.6433333333333333E-2</v>
      </c>
      <c r="Y96" s="93" t="s">
        <v>0</v>
      </c>
      <c r="Z96" s="93" t="s">
        <v>0</v>
      </c>
      <c r="AA96" s="93" t="s">
        <v>14</v>
      </c>
      <c r="AB96" s="94"/>
      <c r="AC96" s="94"/>
      <c r="AD96" s="94"/>
      <c r="AE96" s="94"/>
      <c r="AF96" s="94"/>
      <c r="AG96" s="94"/>
      <c r="AH96" s="94"/>
    </row>
    <row r="97" spans="1:250" s="73" customFormat="1">
      <c r="A97" s="76" t="s">
        <v>81</v>
      </c>
      <c r="B97" s="94" t="s">
        <v>155</v>
      </c>
      <c r="C97" s="93"/>
      <c r="D97" s="95"/>
      <c r="E97" s="96"/>
      <c r="F97" s="112" t="s">
        <v>156</v>
      </c>
      <c r="G97" s="95"/>
      <c r="H97" s="77" t="s">
        <v>158</v>
      </c>
      <c r="I97" s="77" t="str">
        <f t="shared" ref="I97:I102" si="60">IF(G97=0,"00",IF(LEN(G97)=1,CONCATENATE(G97,0),G97))</f>
        <v>00</v>
      </c>
      <c r="J97" s="90" t="s">
        <v>24</v>
      </c>
      <c r="L97" s="73" t="s">
        <v>157</v>
      </c>
      <c r="M97" s="97">
        <v>6625</v>
      </c>
      <c r="N97" s="93">
        <v>2020</v>
      </c>
      <c r="O97" s="95"/>
      <c r="P97" s="73" t="s">
        <v>147</v>
      </c>
      <c r="Q97" s="88" t="s">
        <v>156</v>
      </c>
      <c r="R97" s="28" t="str">
        <f>IF(J97&lt;&gt;"",CONCATENATE(H97,I97,J97),CONCATENATE(H97,I97,#REF!))</f>
        <v>1J219JA65600A</v>
      </c>
      <c r="S97" s="98" t="str">
        <f t="shared" si="39"/>
        <v>AKTUELL</v>
      </c>
      <c r="T97" s="93"/>
      <c r="U97" s="93"/>
      <c r="V97" s="93"/>
      <c r="W97" s="105">
        <v>0</v>
      </c>
      <c r="X97" s="93"/>
      <c r="Y97" s="93" t="s">
        <v>0</v>
      </c>
      <c r="Z97" s="93" t="s">
        <v>14</v>
      </c>
      <c r="AA97" s="93" t="s">
        <v>0</v>
      </c>
      <c r="AB97" s="94"/>
      <c r="AC97" s="94"/>
      <c r="AD97" s="94"/>
      <c r="AE97" s="94"/>
      <c r="AF97" s="94"/>
      <c r="AG97" s="94"/>
      <c r="AH97" s="94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S97" s="93"/>
      <c r="CT97" s="93"/>
      <c r="CU97" s="93"/>
      <c r="CV97" s="93"/>
      <c r="CW97" s="93"/>
      <c r="CX97" s="93"/>
      <c r="CY97" s="93"/>
      <c r="CZ97" s="93"/>
      <c r="DA97" s="93"/>
      <c r="DB97" s="93"/>
      <c r="DC97" s="93"/>
      <c r="DD97" s="93"/>
      <c r="DE97" s="93"/>
      <c r="DF97" s="93"/>
      <c r="DG97" s="93"/>
      <c r="DH97" s="93"/>
      <c r="DI97" s="93"/>
      <c r="DJ97" s="93"/>
      <c r="DK97" s="93"/>
      <c r="DL97" s="93"/>
      <c r="DM97" s="93"/>
      <c r="DN97" s="93"/>
      <c r="DO97" s="93"/>
      <c r="DP97" s="93"/>
      <c r="DQ97" s="93"/>
      <c r="DR97" s="93"/>
      <c r="DS97" s="93"/>
      <c r="DT97" s="93"/>
      <c r="DU97" s="93"/>
      <c r="DV97" s="93"/>
      <c r="DW97" s="93"/>
      <c r="DX97" s="93"/>
      <c r="DY97" s="93"/>
      <c r="DZ97" s="93"/>
      <c r="EA97" s="93"/>
      <c r="EB97" s="93"/>
      <c r="EC97" s="93"/>
      <c r="ED97" s="93"/>
      <c r="EE97" s="93"/>
      <c r="EF97" s="93"/>
      <c r="EG97" s="93"/>
      <c r="EH97" s="93"/>
      <c r="EI97" s="93"/>
      <c r="EJ97" s="93"/>
      <c r="EK97" s="93"/>
      <c r="EL97" s="93"/>
      <c r="EM97" s="93"/>
      <c r="EN97" s="93"/>
      <c r="EO97" s="93"/>
      <c r="EP97" s="93"/>
      <c r="EQ97" s="93"/>
      <c r="ER97" s="93"/>
      <c r="ES97" s="93"/>
      <c r="ET97" s="93"/>
      <c r="EU97" s="93"/>
      <c r="EV97" s="93"/>
      <c r="EW97" s="93"/>
      <c r="EX97" s="93"/>
      <c r="EY97" s="93"/>
      <c r="EZ97" s="93"/>
      <c r="FA97" s="93"/>
      <c r="FB97" s="93"/>
      <c r="FC97" s="93"/>
      <c r="FD97" s="93"/>
      <c r="FE97" s="93"/>
      <c r="FF97" s="93"/>
      <c r="FG97" s="93"/>
      <c r="FH97" s="93"/>
      <c r="FI97" s="93"/>
      <c r="FJ97" s="93"/>
      <c r="FK97" s="93"/>
      <c r="FL97" s="93"/>
      <c r="FM97" s="93"/>
      <c r="FN97" s="93"/>
      <c r="FO97" s="93"/>
      <c r="FP97" s="93"/>
      <c r="FQ97" s="93"/>
      <c r="FR97" s="93"/>
      <c r="FS97" s="93"/>
      <c r="FT97" s="93"/>
      <c r="FU97" s="93"/>
      <c r="FV97" s="93"/>
      <c r="FW97" s="93"/>
      <c r="FX97" s="93"/>
      <c r="FY97" s="93"/>
      <c r="FZ97" s="93"/>
      <c r="GA97" s="93"/>
      <c r="GB97" s="93"/>
      <c r="GC97" s="93"/>
      <c r="GD97" s="93"/>
      <c r="GE97" s="93"/>
      <c r="GF97" s="93"/>
      <c r="GG97" s="93"/>
      <c r="GH97" s="93"/>
      <c r="GI97" s="93"/>
      <c r="GJ97" s="93"/>
      <c r="GK97" s="93"/>
      <c r="GL97" s="93"/>
      <c r="GM97" s="93"/>
      <c r="GN97" s="93"/>
      <c r="GO97" s="93"/>
      <c r="GP97" s="93"/>
      <c r="GQ97" s="93"/>
      <c r="GR97" s="93"/>
      <c r="GS97" s="93"/>
      <c r="GT97" s="93"/>
      <c r="GU97" s="93"/>
      <c r="GV97" s="93"/>
      <c r="GW97" s="93"/>
      <c r="GX97" s="93"/>
      <c r="GY97" s="93"/>
      <c r="GZ97" s="93"/>
      <c r="HA97" s="93"/>
      <c r="HB97" s="93"/>
      <c r="HC97" s="93"/>
      <c r="HD97" s="93"/>
      <c r="HE97" s="93"/>
      <c r="HF97" s="93"/>
      <c r="HG97" s="93"/>
      <c r="HH97" s="93"/>
      <c r="HI97" s="93"/>
      <c r="HJ97" s="93"/>
      <c r="HK97" s="93"/>
      <c r="HL97" s="93"/>
      <c r="HM97" s="93"/>
      <c r="HN97" s="93"/>
      <c r="HO97" s="93"/>
      <c r="HP97" s="93"/>
      <c r="HQ97" s="93"/>
      <c r="HR97" s="93"/>
      <c r="HS97" s="93"/>
      <c r="HT97" s="93"/>
      <c r="HU97" s="93"/>
      <c r="HV97" s="93"/>
      <c r="HW97" s="93"/>
      <c r="HX97" s="93"/>
      <c r="HY97" s="93"/>
      <c r="HZ97" s="93"/>
      <c r="IA97" s="93"/>
      <c r="IB97" s="93"/>
      <c r="IC97" s="93"/>
      <c r="ID97" s="93"/>
      <c r="IE97" s="93"/>
      <c r="IF97" s="93"/>
      <c r="IG97" s="93"/>
      <c r="IH97" s="93"/>
      <c r="II97" s="93"/>
      <c r="IJ97" s="93"/>
      <c r="IK97" s="93"/>
      <c r="IL97" s="93"/>
      <c r="IM97" s="93"/>
      <c r="IN97" s="93"/>
      <c r="IO97" s="93"/>
      <c r="IP97" s="93"/>
    </row>
    <row r="98" spans="1:250">
      <c r="A98" s="68" t="s">
        <v>81</v>
      </c>
      <c r="B98" s="5" t="s">
        <v>172</v>
      </c>
      <c r="E98" s="69" t="str">
        <f t="shared" si="51"/>
        <v xml:space="preserve">                 </v>
      </c>
      <c r="F98" s="70" t="str">
        <f t="shared" si="36"/>
        <v>9JA_974_728</v>
      </c>
      <c r="G98" s="95" t="s">
        <v>24</v>
      </c>
      <c r="H98" s="70" t="str">
        <f t="shared" si="37"/>
        <v>1J219JA728</v>
      </c>
      <c r="I98" s="70" t="str">
        <f t="shared" si="60"/>
        <v>A0</v>
      </c>
      <c r="J98" s="90" t="s">
        <v>85</v>
      </c>
      <c r="L98" s="2" t="s">
        <v>173</v>
      </c>
      <c r="M98" s="4">
        <v>6604</v>
      </c>
      <c r="O98" s="95">
        <v>1944</v>
      </c>
      <c r="P98" s="2" t="s">
        <v>147</v>
      </c>
      <c r="Q98" s="1" t="s">
        <v>174</v>
      </c>
      <c r="R98" s="28" t="str">
        <f t="shared" si="38"/>
        <v>1J219JA728A0C</v>
      </c>
      <c r="S98" s="71" t="str">
        <f t="shared" si="39"/>
        <v>NICHT AKTUELL</v>
      </c>
      <c r="W98" s="79">
        <v>0.15000000000000002</v>
      </c>
      <c r="Y98" s="93" t="s">
        <v>0</v>
      </c>
      <c r="Z98" s="93" t="s">
        <v>14</v>
      </c>
      <c r="AA98" s="93" t="s">
        <v>0</v>
      </c>
      <c r="AB98" s="94"/>
      <c r="AC98" s="94"/>
      <c r="AD98" s="94"/>
      <c r="AE98" s="94"/>
      <c r="AF98" s="94"/>
      <c r="AG98" s="94"/>
      <c r="AH98" s="94"/>
    </row>
    <row r="99" spans="1:250" s="73" customFormat="1">
      <c r="A99" s="76" t="s">
        <v>81</v>
      </c>
      <c r="B99" s="94" t="s">
        <v>2</v>
      </c>
      <c r="C99" s="93"/>
      <c r="D99" s="95" t="s">
        <v>14</v>
      </c>
      <c r="E99" s="96" t="str">
        <f t="shared" si="51"/>
        <v xml:space="preserve">                 </v>
      </c>
      <c r="F99" s="77" t="str">
        <f t="shared" si="36"/>
        <v>9JA_974_901</v>
      </c>
      <c r="G99" s="95">
        <v>0</v>
      </c>
      <c r="H99" s="77" t="str">
        <f t="shared" si="37"/>
        <v>1J219JA901</v>
      </c>
      <c r="I99" s="77" t="str">
        <f t="shared" si="60"/>
        <v>00</v>
      </c>
      <c r="J99" s="90" t="s">
        <v>93</v>
      </c>
      <c r="K99" s="93"/>
      <c r="L99" s="73" t="s">
        <v>69</v>
      </c>
      <c r="M99" s="94"/>
      <c r="N99" s="93">
        <v>1903</v>
      </c>
      <c r="O99" s="95">
        <v>1917</v>
      </c>
      <c r="Q99" s="88" t="s">
        <v>68</v>
      </c>
      <c r="R99" s="28" t="str">
        <f t="shared" si="38"/>
        <v>1J219JA90100D</v>
      </c>
      <c r="S99" s="71" t="str">
        <f t="shared" si="39"/>
        <v>NICHT AKTUELL</v>
      </c>
      <c r="T99" s="93"/>
      <c r="U99" s="93"/>
      <c r="V99" s="93"/>
      <c r="W99" s="79">
        <v>5.2199999999999996E-2</v>
      </c>
      <c r="X99" s="93"/>
      <c r="Y99" s="93" t="s">
        <v>0</v>
      </c>
      <c r="Z99" s="93" t="s">
        <v>14</v>
      </c>
      <c r="AA99" s="93" t="s">
        <v>0</v>
      </c>
      <c r="AB99" s="94"/>
      <c r="AC99" s="94"/>
      <c r="AD99" s="94"/>
      <c r="AE99" s="94"/>
      <c r="AF99" s="94"/>
      <c r="AG99" s="94"/>
      <c r="AH99" s="94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S99" s="93"/>
      <c r="CT99" s="93"/>
      <c r="CU99" s="93"/>
      <c r="CV99" s="93"/>
      <c r="CW99" s="93"/>
      <c r="CX99" s="93"/>
      <c r="CY99" s="93"/>
      <c r="CZ99" s="93"/>
      <c r="DA99" s="93"/>
      <c r="DB99" s="93"/>
      <c r="DC99" s="93"/>
      <c r="DD99" s="93"/>
      <c r="DE99" s="93"/>
      <c r="DF99" s="93"/>
      <c r="DG99" s="93"/>
      <c r="DH99" s="93"/>
      <c r="DI99" s="93"/>
      <c r="DJ99" s="93"/>
      <c r="DK99" s="93"/>
      <c r="DL99" s="93"/>
      <c r="DM99" s="93"/>
      <c r="DN99" s="93"/>
      <c r="DO99" s="93"/>
      <c r="DP99" s="93"/>
      <c r="DQ99" s="93"/>
      <c r="DR99" s="93"/>
      <c r="DS99" s="93"/>
      <c r="DT99" s="93"/>
      <c r="DU99" s="93"/>
      <c r="DV99" s="93"/>
      <c r="DW99" s="93"/>
      <c r="DX99" s="93"/>
      <c r="DY99" s="93"/>
      <c r="DZ99" s="93"/>
      <c r="EA99" s="93"/>
      <c r="EB99" s="93"/>
      <c r="EC99" s="93"/>
      <c r="ED99" s="93"/>
      <c r="EE99" s="93"/>
      <c r="EF99" s="93"/>
      <c r="EG99" s="93"/>
      <c r="EH99" s="93"/>
      <c r="EI99" s="93"/>
      <c r="EJ99" s="93"/>
      <c r="EK99" s="93"/>
      <c r="EL99" s="93"/>
      <c r="EM99" s="93"/>
      <c r="EN99" s="93"/>
      <c r="EO99" s="93"/>
      <c r="EP99" s="93"/>
      <c r="EQ99" s="93"/>
      <c r="ER99" s="93"/>
      <c r="ES99" s="93"/>
      <c r="ET99" s="93"/>
      <c r="EU99" s="93"/>
      <c r="EV99" s="93"/>
      <c r="EW99" s="93"/>
      <c r="EX99" s="93"/>
      <c r="EY99" s="93"/>
      <c r="EZ99" s="93"/>
      <c r="FA99" s="93"/>
      <c r="FB99" s="93"/>
      <c r="FC99" s="93"/>
      <c r="FD99" s="93"/>
      <c r="FE99" s="93"/>
      <c r="FF99" s="93"/>
      <c r="FG99" s="93"/>
      <c r="FH99" s="93"/>
      <c r="FI99" s="93"/>
      <c r="FJ99" s="93"/>
      <c r="FK99" s="93"/>
      <c r="FL99" s="93"/>
      <c r="FM99" s="93"/>
      <c r="FN99" s="93"/>
      <c r="FO99" s="93"/>
      <c r="FP99" s="93"/>
      <c r="FQ99" s="93"/>
      <c r="FR99" s="93"/>
      <c r="FS99" s="93"/>
      <c r="FT99" s="93"/>
      <c r="FU99" s="93"/>
      <c r="FV99" s="93"/>
      <c r="FW99" s="93"/>
      <c r="FX99" s="93"/>
      <c r="FY99" s="93"/>
      <c r="FZ99" s="93"/>
      <c r="GA99" s="93"/>
      <c r="GB99" s="93"/>
      <c r="GC99" s="93"/>
      <c r="GD99" s="93"/>
      <c r="GE99" s="93"/>
      <c r="GF99" s="93"/>
      <c r="GG99" s="93"/>
      <c r="GH99" s="93"/>
      <c r="GI99" s="93"/>
      <c r="GJ99" s="93"/>
      <c r="GK99" s="93"/>
      <c r="GL99" s="93"/>
      <c r="GM99" s="93"/>
      <c r="GN99" s="93"/>
      <c r="GO99" s="93"/>
      <c r="GP99" s="93"/>
      <c r="GQ99" s="93"/>
      <c r="GR99" s="93"/>
      <c r="GS99" s="93"/>
      <c r="GT99" s="93"/>
      <c r="GU99" s="93"/>
      <c r="GV99" s="93"/>
      <c r="GW99" s="93"/>
      <c r="GX99" s="93"/>
      <c r="GY99" s="93"/>
      <c r="GZ99" s="93"/>
      <c r="HA99" s="93"/>
      <c r="HB99" s="93"/>
      <c r="HC99" s="93"/>
      <c r="HD99" s="93"/>
      <c r="HE99" s="93"/>
      <c r="HF99" s="93"/>
      <c r="HG99" s="93"/>
      <c r="HH99" s="93"/>
      <c r="HI99" s="93"/>
      <c r="HJ99" s="93"/>
      <c r="HK99" s="93"/>
      <c r="HL99" s="93"/>
      <c r="HM99" s="93"/>
      <c r="HN99" s="93"/>
      <c r="HO99" s="93"/>
      <c r="HP99" s="93"/>
      <c r="HQ99" s="93"/>
      <c r="HR99" s="93"/>
      <c r="HS99" s="93"/>
      <c r="HT99" s="93"/>
      <c r="HU99" s="93"/>
      <c r="HV99" s="93"/>
      <c r="HW99" s="93"/>
      <c r="HX99" s="93"/>
      <c r="HY99" s="93"/>
      <c r="HZ99" s="93"/>
      <c r="IA99" s="93"/>
      <c r="IB99" s="93"/>
      <c r="IC99" s="93"/>
      <c r="ID99" s="93"/>
      <c r="IE99" s="93"/>
      <c r="IF99" s="93"/>
      <c r="IG99" s="93"/>
      <c r="IH99" s="93"/>
      <c r="II99" s="93"/>
      <c r="IJ99" s="93"/>
      <c r="IK99" s="93"/>
      <c r="IL99" s="93"/>
      <c r="IM99" s="93"/>
      <c r="IN99" s="93"/>
      <c r="IO99" s="93"/>
      <c r="IP99" s="93"/>
    </row>
    <row r="100" spans="1:250">
      <c r="A100" s="68" t="s">
        <v>81</v>
      </c>
      <c r="B100" s="5" t="s">
        <v>2</v>
      </c>
      <c r="D100" s="95" t="s">
        <v>14</v>
      </c>
      <c r="E100" s="69" t="str">
        <f>CONCATENATE(IF(AC100&gt;0,$AC$1," ")," ",IF(AD100&gt;0,$AD$1," ")," ",IF(AE100&gt;0,$AE$1," ")," ",IF(AF100&gt;0,$AF$1," ")," ",IF(AG100&gt;0,$AG$1," ")," ",IF(AH100&gt;0,$AH$1," ")," ",IF(AI100&gt;0,$AI$1," ")," ",IF(AJ100&gt;0,$AJ$1," ")," ",IF(AK100&gt;0,$AK$1," "))</f>
        <v xml:space="preserve">                 </v>
      </c>
      <c r="F100" s="70" t="str">
        <f>LEFT(Q100,11)</f>
        <v>9JA_974_901</v>
      </c>
      <c r="G100" s="95">
        <v>0</v>
      </c>
      <c r="H100" s="70" t="str">
        <f>CONCATENATE(IF(MID(Q100,5,3)="974","1J21"),LEFT(F100,3),RIGHT(F100,3))</f>
        <v>1J219JA901</v>
      </c>
      <c r="I100" s="70" t="str">
        <f t="shared" si="60"/>
        <v>00</v>
      </c>
      <c r="J100" s="90" t="s">
        <v>132</v>
      </c>
      <c r="L100" s="2" t="s">
        <v>69</v>
      </c>
      <c r="M100" s="5">
        <v>6010</v>
      </c>
      <c r="N100" s="93">
        <v>1918</v>
      </c>
      <c r="P100" s="88" t="s">
        <v>130</v>
      </c>
      <c r="Q100" s="1" t="s">
        <v>68</v>
      </c>
      <c r="R100" s="28" t="str">
        <f>IF(J100&lt;&gt;"",CONCATENATE(H100,I100,J100),CONCATENATE(H100,I100,K100))</f>
        <v>1J219JA90100E</v>
      </c>
      <c r="S100" s="71" t="str">
        <f t="shared" si="39"/>
        <v>AKTUELL</v>
      </c>
      <c r="W100" s="79">
        <v>5.2199999999999996E-2</v>
      </c>
      <c r="Y100" s="93" t="s">
        <v>0</v>
      </c>
      <c r="Z100" s="93" t="s">
        <v>14</v>
      </c>
      <c r="AA100" s="93" t="s">
        <v>0</v>
      </c>
      <c r="AB100" s="94"/>
      <c r="AC100" s="94"/>
      <c r="AD100" s="94"/>
      <c r="AE100" s="94"/>
      <c r="AF100" s="94"/>
      <c r="AG100" s="94"/>
      <c r="AH100" s="94"/>
    </row>
    <row r="101" spans="1:250" s="73" customFormat="1">
      <c r="A101" s="76" t="s">
        <v>81</v>
      </c>
      <c r="B101" s="94" t="s">
        <v>2</v>
      </c>
      <c r="C101" s="93"/>
      <c r="D101" s="95" t="s">
        <v>14</v>
      </c>
      <c r="E101" s="96" t="str">
        <f t="shared" si="51"/>
        <v xml:space="preserve">                 </v>
      </c>
      <c r="F101" s="77" t="str">
        <f t="shared" si="36"/>
        <v>9JA_974_901</v>
      </c>
      <c r="G101" s="95" t="s">
        <v>24</v>
      </c>
      <c r="H101" s="77" t="str">
        <f t="shared" si="37"/>
        <v>1J219JA901</v>
      </c>
      <c r="I101" s="77" t="str">
        <f t="shared" si="60"/>
        <v>A0</v>
      </c>
      <c r="J101" s="90" t="s">
        <v>93</v>
      </c>
      <c r="K101" s="93"/>
      <c r="L101" s="73" t="s">
        <v>71</v>
      </c>
      <c r="M101" s="94"/>
      <c r="N101" s="93">
        <v>1903</v>
      </c>
      <c r="O101" s="95">
        <v>1917</v>
      </c>
      <c r="Q101" s="88" t="s">
        <v>70</v>
      </c>
      <c r="R101" s="28" t="str">
        <f t="shared" si="38"/>
        <v>1J219JA901A0D</v>
      </c>
      <c r="S101" s="98" t="str">
        <f t="shared" si="39"/>
        <v>NICHT AKTUELL</v>
      </c>
      <c r="T101" s="93"/>
      <c r="U101" s="93"/>
      <c r="V101" s="93"/>
      <c r="W101" s="79">
        <v>9.7800000000000012E-2</v>
      </c>
      <c r="X101" s="93"/>
      <c r="Y101" s="93" t="s">
        <v>0</v>
      </c>
      <c r="Z101" s="93" t="s">
        <v>14</v>
      </c>
      <c r="AA101" s="93" t="s">
        <v>0</v>
      </c>
      <c r="AB101" s="94"/>
      <c r="AC101" s="94"/>
      <c r="AD101" s="94"/>
      <c r="AE101" s="94"/>
      <c r="AF101" s="94"/>
      <c r="AG101" s="94"/>
      <c r="AH101" s="94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S101" s="93"/>
      <c r="CT101" s="93"/>
      <c r="CU101" s="93"/>
      <c r="CV101" s="93"/>
      <c r="CW101" s="93"/>
      <c r="CX101" s="93"/>
      <c r="CY101" s="93"/>
      <c r="CZ101" s="93"/>
      <c r="DA101" s="93"/>
      <c r="DB101" s="93"/>
      <c r="DC101" s="93"/>
      <c r="DD101" s="93"/>
      <c r="DE101" s="93"/>
      <c r="DF101" s="93"/>
      <c r="DG101" s="93"/>
      <c r="DH101" s="93"/>
      <c r="DI101" s="93"/>
      <c r="DJ101" s="93"/>
      <c r="DK101" s="93"/>
      <c r="DL101" s="93"/>
      <c r="DM101" s="93"/>
      <c r="DN101" s="93"/>
      <c r="DO101" s="93"/>
      <c r="DP101" s="93"/>
      <c r="DQ101" s="93"/>
      <c r="DR101" s="93"/>
      <c r="DS101" s="93"/>
      <c r="DT101" s="93"/>
      <c r="DU101" s="93"/>
      <c r="DV101" s="93"/>
      <c r="DW101" s="93"/>
      <c r="DX101" s="93"/>
      <c r="DY101" s="93"/>
      <c r="DZ101" s="93"/>
      <c r="EA101" s="93"/>
      <c r="EB101" s="93"/>
      <c r="EC101" s="93"/>
      <c r="ED101" s="93"/>
      <c r="EE101" s="93"/>
      <c r="EF101" s="93"/>
      <c r="EG101" s="93"/>
      <c r="EH101" s="93"/>
      <c r="EI101" s="93"/>
      <c r="EJ101" s="93"/>
      <c r="EK101" s="93"/>
      <c r="EL101" s="93"/>
      <c r="EM101" s="93"/>
      <c r="EN101" s="93"/>
      <c r="EO101" s="93"/>
      <c r="EP101" s="93"/>
      <c r="EQ101" s="93"/>
      <c r="ER101" s="93"/>
      <c r="ES101" s="93"/>
      <c r="ET101" s="93"/>
      <c r="EU101" s="93"/>
      <c r="EV101" s="93"/>
      <c r="EW101" s="93"/>
      <c r="EX101" s="93"/>
      <c r="EY101" s="93"/>
      <c r="EZ101" s="93"/>
      <c r="FA101" s="93"/>
      <c r="FB101" s="93"/>
      <c r="FC101" s="93"/>
      <c r="FD101" s="93"/>
      <c r="FE101" s="93"/>
      <c r="FF101" s="93"/>
      <c r="FG101" s="93"/>
      <c r="FH101" s="93"/>
      <c r="FI101" s="93"/>
      <c r="FJ101" s="93"/>
      <c r="FK101" s="93"/>
      <c r="FL101" s="93"/>
      <c r="FM101" s="93"/>
      <c r="FN101" s="93"/>
      <c r="FO101" s="93"/>
      <c r="FP101" s="93"/>
      <c r="FQ101" s="93"/>
      <c r="FR101" s="93"/>
      <c r="FS101" s="93"/>
      <c r="FT101" s="93"/>
      <c r="FU101" s="93"/>
      <c r="FV101" s="93"/>
      <c r="FW101" s="93"/>
      <c r="FX101" s="93"/>
      <c r="FY101" s="93"/>
      <c r="FZ101" s="93"/>
      <c r="GA101" s="93"/>
      <c r="GB101" s="93"/>
      <c r="GC101" s="93"/>
      <c r="GD101" s="93"/>
      <c r="GE101" s="93"/>
      <c r="GF101" s="93"/>
      <c r="GG101" s="93"/>
      <c r="GH101" s="93"/>
      <c r="GI101" s="93"/>
      <c r="GJ101" s="93"/>
      <c r="GK101" s="93"/>
      <c r="GL101" s="93"/>
      <c r="GM101" s="93"/>
      <c r="GN101" s="93"/>
      <c r="GO101" s="93"/>
      <c r="GP101" s="93"/>
      <c r="GQ101" s="93"/>
      <c r="GR101" s="93"/>
      <c r="GS101" s="93"/>
      <c r="GT101" s="93"/>
      <c r="GU101" s="93"/>
      <c r="GV101" s="93"/>
      <c r="GW101" s="93"/>
      <c r="GX101" s="93"/>
      <c r="GY101" s="93"/>
      <c r="GZ101" s="93"/>
      <c r="HA101" s="93"/>
      <c r="HB101" s="93"/>
      <c r="HC101" s="93"/>
      <c r="HD101" s="93"/>
      <c r="HE101" s="93"/>
      <c r="HF101" s="93"/>
      <c r="HG101" s="93"/>
      <c r="HH101" s="93"/>
      <c r="HI101" s="93"/>
      <c r="HJ101" s="93"/>
      <c r="HK101" s="93"/>
      <c r="HL101" s="93"/>
      <c r="HM101" s="93"/>
      <c r="HN101" s="93"/>
      <c r="HO101" s="93"/>
      <c r="HP101" s="93"/>
      <c r="HQ101" s="93"/>
      <c r="HR101" s="93"/>
      <c r="HS101" s="93"/>
      <c r="HT101" s="93"/>
      <c r="HU101" s="93"/>
      <c r="HV101" s="93"/>
      <c r="HW101" s="93"/>
      <c r="HX101" s="93"/>
      <c r="HY101" s="93"/>
      <c r="HZ101" s="93"/>
      <c r="IA101" s="93"/>
      <c r="IB101" s="93"/>
      <c r="IC101" s="93"/>
      <c r="ID101" s="93"/>
      <c r="IE101" s="93"/>
      <c r="IF101" s="93"/>
      <c r="IG101" s="93"/>
      <c r="IH101" s="93"/>
      <c r="II101" s="93"/>
      <c r="IJ101" s="93"/>
      <c r="IK101" s="93"/>
      <c r="IL101" s="93"/>
      <c r="IM101" s="93"/>
      <c r="IN101" s="93"/>
      <c r="IO101" s="93"/>
      <c r="IP101" s="93"/>
    </row>
    <row r="102" spans="1:250">
      <c r="A102" s="68" t="s">
        <v>81</v>
      </c>
      <c r="B102" s="5" t="s">
        <v>2</v>
      </c>
      <c r="D102" s="95" t="s">
        <v>14</v>
      </c>
      <c r="E102" s="69" t="str">
        <f>CONCATENATE(IF(AC102&gt;0,$AC$1," ")," ",IF(AD102&gt;0,$AD$1," ")," ",IF(AE102&gt;0,$AE$1," ")," ",IF(AF102&gt;0,$AF$1," ")," ",IF(AG102&gt;0,$AG$1," ")," ",IF(AH102&gt;0,$AH$1," ")," ",IF(AI102&gt;0,$AI$1," ")," ",IF(AJ102&gt;0,$AJ$1," ")," ",IF(AK102&gt;0,$AK$1," "))</f>
        <v xml:space="preserve">                 </v>
      </c>
      <c r="F102" s="70" t="str">
        <f>LEFT(Q102,11)</f>
        <v>9JA_974_901</v>
      </c>
      <c r="G102" s="95" t="s">
        <v>24</v>
      </c>
      <c r="H102" s="70" t="str">
        <f>CONCATENATE(IF(MID(Q102,5,3)="974","1J21"),LEFT(F102,3),RIGHT(F102,3))</f>
        <v>1J219JA901</v>
      </c>
      <c r="I102" s="70" t="str">
        <f t="shared" si="60"/>
        <v>A0</v>
      </c>
      <c r="J102" s="90" t="s">
        <v>132</v>
      </c>
      <c r="L102" s="2" t="s">
        <v>71</v>
      </c>
      <c r="M102" s="5"/>
      <c r="N102" s="93">
        <v>1918</v>
      </c>
      <c r="P102" s="88" t="s">
        <v>130</v>
      </c>
      <c r="Q102" s="1" t="s">
        <v>70</v>
      </c>
      <c r="R102" s="28" t="str">
        <f>IF(J102&lt;&gt;"",CONCATENATE(H102,I102,J102),CONCATENATE(H102,I102,K102))</f>
        <v>1J219JA901A0E</v>
      </c>
      <c r="S102" s="71" t="str">
        <f>IF(N102="-","KEIN LIEFERUMFANG",IF(AND(N102&lt;=S$3,O102=""),"AKTUELL",IF(O102=N102,"KEIN SERIENEINSATZ",IF(N102&gt;S$3,"NOCH NICHT AKTUELL",IF(AND(N102&lt;S$3,O102&lt;S$3),"NICHT AKTUELL",IF(N102&lt;=S$3,"AKTUELL"))))))</f>
        <v>AKTUELL</v>
      </c>
      <c r="W102" s="79">
        <v>9.7800000000000012E-2</v>
      </c>
      <c r="Y102" s="93" t="s">
        <v>0</v>
      </c>
      <c r="Z102" s="93" t="s">
        <v>14</v>
      </c>
      <c r="AA102" s="93" t="s">
        <v>0</v>
      </c>
      <c r="AB102" s="94"/>
      <c r="AC102" s="94"/>
      <c r="AD102" s="94"/>
      <c r="AE102" s="94"/>
      <c r="AF102" s="94"/>
      <c r="AG102" s="94"/>
      <c r="AH102" s="94"/>
    </row>
    <row r="103" spans="1:250">
      <c r="A103" s="68"/>
    </row>
    <row r="104" spans="1:250">
      <c r="A104" s="68"/>
    </row>
    <row r="105" spans="1:250">
      <c r="A105" s="68"/>
    </row>
    <row r="106" spans="1:250">
      <c r="A106" s="68"/>
    </row>
    <row r="107" spans="1:250">
      <c r="A107" s="68"/>
    </row>
    <row r="108" spans="1:250">
      <c r="A108" s="68"/>
    </row>
    <row r="109" spans="1:250">
      <c r="A109" s="68"/>
    </row>
    <row r="110" spans="1:250">
      <c r="A110" s="68"/>
    </row>
    <row r="111" spans="1:250">
      <c r="A111" s="68"/>
    </row>
    <row r="112" spans="1:250">
      <c r="A112" s="68"/>
    </row>
    <row r="113" spans="1:1">
      <c r="A113" s="68"/>
    </row>
    <row r="114" spans="1:1">
      <c r="A114" s="68"/>
    </row>
    <row r="115" spans="1:1">
      <c r="A115" s="68"/>
    </row>
    <row r="116" spans="1:1">
      <c r="A116" s="68"/>
    </row>
    <row r="117" spans="1:1">
      <c r="A117" s="68"/>
    </row>
    <row r="118" spans="1:1">
      <c r="A118" s="68"/>
    </row>
    <row r="119" spans="1:1">
      <c r="A119" s="68"/>
    </row>
    <row r="120" spans="1:1">
      <c r="A120" s="68"/>
    </row>
    <row r="121" spans="1:1">
      <c r="A121" s="68"/>
    </row>
    <row r="122" spans="1:1">
      <c r="A122" s="68"/>
    </row>
    <row r="123" spans="1:1">
      <c r="A123" s="68"/>
    </row>
    <row r="124" spans="1:1">
      <c r="A124" s="68"/>
    </row>
    <row r="125" spans="1:1">
      <c r="A125" s="68"/>
    </row>
    <row r="126" spans="1:1">
      <c r="A126" s="68"/>
    </row>
    <row r="127" spans="1:1">
      <c r="A127" s="68"/>
    </row>
    <row r="128" spans="1:1">
      <c r="A128" s="68"/>
    </row>
    <row r="129" spans="1:1">
      <c r="A129" s="68"/>
    </row>
    <row r="130" spans="1:1">
      <c r="A130" s="68"/>
    </row>
    <row r="131" spans="1:1">
      <c r="A131" s="68"/>
    </row>
    <row r="132" spans="1:1">
      <c r="A132" s="68"/>
    </row>
    <row r="133" spans="1:1">
      <c r="A133" s="68"/>
    </row>
    <row r="134" spans="1:1">
      <c r="A134" s="68"/>
    </row>
    <row r="135" spans="1:1">
      <c r="A135" s="68"/>
    </row>
    <row r="136" spans="1:1">
      <c r="A136" s="68"/>
    </row>
    <row r="137" spans="1:1">
      <c r="A137" s="68"/>
    </row>
    <row r="138" spans="1:1">
      <c r="A138" s="68"/>
    </row>
    <row r="139" spans="1:1">
      <c r="A139" s="68"/>
    </row>
    <row r="140" spans="1:1">
      <c r="A140" s="68"/>
    </row>
    <row r="141" spans="1:1">
      <c r="A141" s="68"/>
    </row>
    <row r="142" spans="1:1">
      <c r="A142" s="68"/>
    </row>
    <row r="143" spans="1:1">
      <c r="A143" s="68"/>
    </row>
    <row r="144" spans="1:1">
      <c r="A144" s="68"/>
    </row>
    <row r="145" spans="1:1">
      <c r="A145" s="68"/>
    </row>
    <row r="146" spans="1:1">
      <c r="A146" s="68"/>
    </row>
    <row r="147" spans="1:1">
      <c r="A147" s="68"/>
    </row>
    <row r="148" spans="1:1">
      <c r="A148" s="68"/>
    </row>
    <row r="149" spans="1:1">
      <c r="A149" s="68"/>
    </row>
    <row r="150" spans="1:1">
      <c r="A150" s="68"/>
    </row>
    <row r="151" spans="1:1">
      <c r="A151" s="68"/>
    </row>
    <row r="152" spans="1:1">
      <c r="A152" s="68"/>
    </row>
    <row r="153" spans="1:1">
      <c r="A153" s="68"/>
    </row>
    <row r="154" spans="1:1">
      <c r="A154" s="68"/>
    </row>
    <row r="155" spans="1:1">
      <c r="A155" s="68"/>
    </row>
    <row r="156" spans="1:1">
      <c r="A156" s="68"/>
    </row>
    <row r="157" spans="1:1">
      <c r="A157" s="68"/>
    </row>
    <row r="158" spans="1:1">
      <c r="A158" s="68"/>
    </row>
    <row r="159" spans="1:1">
      <c r="A159" s="68"/>
    </row>
    <row r="160" spans="1:1">
      <c r="A160" s="68"/>
    </row>
    <row r="161" spans="1:1">
      <c r="A161" s="68"/>
    </row>
    <row r="162" spans="1:1">
      <c r="A162" s="68"/>
    </row>
    <row r="163" spans="1:1">
      <c r="A163" s="68"/>
    </row>
    <row r="164" spans="1:1">
      <c r="A164" s="68"/>
    </row>
    <row r="165" spans="1:1">
      <c r="A165" s="68"/>
    </row>
    <row r="166" spans="1:1">
      <c r="A166" s="68"/>
    </row>
    <row r="167" spans="1:1">
      <c r="A167" s="68"/>
    </row>
    <row r="168" spans="1:1">
      <c r="A168" s="68"/>
    </row>
    <row r="169" spans="1:1">
      <c r="A169" s="68"/>
    </row>
    <row r="170" spans="1:1">
      <c r="A170" s="68"/>
    </row>
  </sheetData>
  <conditionalFormatting sqref="S2">
    <cfRule type="cellIs" dxfId="244" priority="253" operator="equal">
      <formula>"KEIN LIEFERUMFANG"</formula>
    </cfRule>
    <cfRule type="cellIs" dxfId="243" priority="254" stopIfTrue="1" operator="equal">
      <formula>"KEIN SERIENEINSATZ"</formula>
    </cfRule>
    <cfRule type="cellIs" dxfId="242" priority="255" stopIfTrue="1" operator="equal">
      <formula>"NICHT AKTUELL"</formula>
    </cfRule>
    <cfRule type="cellIs" dxfId="241" priority="256" stopIfTrue="1" operator="equal">
      <formula>"NOCH NICHT AKTUELL"</formula>
    </cfRule>
    <cfRule type="cellIs" dxfId="240" priority="257" stopIfTrue="1" operator="equal">
      <formula>"AKTUELL"</formula>
    </cfRule>
  </conditionalFormatting>
  <conditionalFormatting sqref="S56 S63 S76 S80 S66 S69 S72 S98 S93:S94 S88:S91 S96">
    <cfRule type="cellIs" dxfId="239" priority="250" stopIfTrue="1" operator="equal">
      <formula>"AKTUELL"</formula>
    </cfRule>
    <cfRule type="cellIs" dxfId="238" priority="251" stopIfTrue="1" operator="equal">
      <formula>"NICHT AKTUELL"</formula>
    </cfRule>
    <cfRule type="cellIs" dxfId="237" priority="252" stopIfTrue="1" operator="equal">
      <formula>"NOCH NICHT AKTUELL"</formula>
    </cfRule>
  </conditionalFormatting>
  <conditionalFormatting sqref="S42:S43 S45 S47">
    <cfRule type="cellIs" dxfId="236" priority="247" stopIfTrue="1" operator="equal">
      <formula>"AKTUELL"</formula>
    </cfRule>
    <cfRule type="cellIs" dxfId="235" priority="248" stopIfTrue="1" operator="equal">
      <formula>"NICHT AKTUELL"</formula>
    </cfRule>
    <cfRule type="cellIs" dxfId="234" priority="249" stopIfTrue="1" operator="equal">
      <formula>"NOCH NICHT AKTUELL"</formula>
    </cfRule>
  </conditionalFormatting>
  <conditionalFormatting sqref="S54">
    <cfRule type="cellIs" dxfId="233" priority="244" stopIfTrue="1" operator="equal">
      <formula>"AKTUELL"</formula>
    </cfRule>
    <cfRule type="cellIs" dxfId="232" priority="245" stopIfTrue="1" operator="equal">
      <formula>"NICHT AKTUELL"</formula>
    </cfRule>
    <cfRule type="cellIs" dxfId="231" priority="246" stopIfTrue="1" operator="equal">
      <formula>"NOCH NICHT AKTUELL"</formula>
    </cfRule>
  </conditionalFormatting>
  <conditionalFormatting sqref="S55">
    <cfRule type="cellIs" dxfId="230" priority="241" stopIfTrue="1" operator="equal">
      <formula>"AKTUELL"</formula>
    </cfRule>
    <cfRule type="cellIs" dxfId="229" priority="242" stopIfTrue="1" operator="equal">
      <formula>"NICHT AKTUELL"</formula>
    </cfRule>
    <cfRule type="cellIs" dxfId="228" priority="243" stopIfTrue="1" operator="equal">
      <formula>"NOCH NICHT AKTUELL"</formula>
    </cfRule>
  </conditionalFormatting>
  <conditionalFormatting sqref="S40">
    <cfRule type="cellIs" dxfId="227" priority="238" stopIfTrue="1" operator="equal">
      <formula>"AKTUELL"</formula>
    </cfRule>
    <cfRule type="cellIs" dxfId="226" priority="239" stopIfTrue="1" operator="equal">
      <formula>"NICHT AKTUELL"</formula>
    </cfRule>
    <cfRule type="cellIs" dxfId="225" priority="240" stopIfTrue="1" operator="equal">
      <formula>"NOCH NICHT AKTUELL"</formula>
    </cfRule>
  </conditionalFormatting>
  <conditionalFormatting sqref="S57">
    <cfRule type="cellIs" dxfId="224" priority="235" stopIfTrue="1" operator="equal">
      <formula>"AKTUELL"</formula>
    </cfRule>
    <cfRule type="cellIs" dxfId="223" priority="236" stopIfTrue="1" operator="equal">
      <formula>"NICHT AKTUELL"</formula>
    </cfRule>
    <cfRule type="cellIs" dxfId="222" priority="237" stopIfTrue="1" operator="equal">
      <formula>"NOCH NICHT AKTUELL"</formula>
    </cfRule>
  </conditionalFormatting>
  <conditionalFormatting sqref="S81">
    <cfRule type="cellIs" dxfId="221" priority="232" stopIfTrue="1" operator="equal">
      <formula>"AKTUELL"</formula>
    </cfRule>
    <cfRule type="cellIs" dxfId="220" priority="233" stopIfTrue="1" operator="equal">
      <formula>"NICHT AKTUELL"</formula>
    </cfRule>
    <cfRule type="cellIs" dxfId="219" priority="234" stopIfTrue="1" operator="equal">
      <formula>"NOCH NICHT AKTUELL"</formula>
    </cfRule>
  </conditionalFormatting>
  <conditionalFormatting sqref="S86">
    <cfRule type="cellIs" dxfId="218" priority="229" stopIfTrue="1" operator="equal">
      <formula>"AKTUELL"</formula>
    </cfRule>
    <cfRule type="cellIs" dxfId="217" priority="230" stopIfTrue="1" operator="equal">
      <formula>"NICHT AKTUELL"</formula>
    </cfRule>
    <cfRule type="cellIs" dxfId="216" priority="231" stopIfTrue="1" operator="equal">
      <formula>"NOCH NICHT AKTUELL"</formula>
    </cfRule>
  </conditionalFormatting>
  <conditionalFormatting sqref="S12">
    <cfRule type="cellIs" dxfId="215" priority="226" stopIfTrue="1" operator="equal">
      <formula>"AKTUELL"</formula>
    </cfRule>
    <cfRule type="cellIs" dxfId="214" priority="227" stopIfTrue="1" operator="equal">
      <formula>"NICHT AKTUELL"</formula>
    </cfRule>
    <cfRule type="cellIs" dxfId="213" priority="228" stopIfTrue="1" operator="equal">
      <formula>"NOCH NICHT AKTUELL"</formula>
    </cfRule>
  </conditionalFormatting>
  <conditionalFormatting sqref="S16">
    <cfRule type="cellIs" dxfId="212" priority="223" stopIfTrue="1" operator="equal">
      <formula>"AKTUELL"</formula>
    </cfRule>
    <cfRule type="cellIs" dxfId="211" priority="224" stopIfTrue="1" operator="equal">
      <formula>"NICHT AKTUELL"</formula>
    </cfRule>
    <cfRule type="cellIs" dxfId="210" priority="225" stopIfTrue="1" operator="equal">
      <formula>"NOCH NICHT AKTUELL"</formula>
    </cfRule>
  </conditionalFormatting>
  <conditionalFormatting sqref="S20">
    <cfRule type="cellIs" dxfId="209" priority="220" stopIfTrue="1" operator="equal">
      <formula>"AKTUELL"</formula>
    </cfRule>
    <cfRule type="cellIs" dxfId="208" priority="221" stopIfTrue="1" operator="equal">
      <formula>"NICHT AKTUELL"</formula>
    </cfRule>
    <cfRule type="cellIs" dxfId="207" priority="222" stopIfTrue="1" operator="equal">
      <formula>"NOCH NICHT AKTUELL"</formula>
    </cfRule>
  </conditionalFormatting>
  <conditionalFormatting sqref="S101">
    <cfRule type="cellIs" dxfId="206" priority="214" stopIfTrue="1" operator="equal">
      <formula>"AKTUELL"</formula>
    </cfRule>
    <cfRule type="cellIs" dxfId="205" priority="215" stopIfTrue="1" operator="equal">
      <formula>"NICHT AKTUELL"</formula>
    </cfRule>
    <cfRule type="cellIs" dxfId="204" priority="216" stopIfTrue="1" operator="equal">
      <formula>"NOCH NICHT AKTUELL"</formula>
    </cfRule>
  </conditionalFormatting>
  <conditionalFormatting sqref="S25">
    <cfRule type="cellIs" dxfId="203" priority="217" stopIfTrue="1" operator="equal">
      <formula>"AKTUELL"</formula>
    </cfRule>
    <cfRule type="cellIs" dxfId="202" priority="218" stopIfTrue="1" operator="equal">
      <formula>"NICHT AKTUELL"</formula>
    </cfRule>
    <cfRule type="cellIs" dxfId="201" priority="219" stopIfTrue="1" operator="equal">
      <formula>"NOCH NICHT AKTUELL"</formula>
    </cfRule>
  </conditionalFormatting>
  <conditionalFormatting sqref="S59">
    <cfRule type="cellIs" dxfId="200" priority="211" stopIfTrue="1" operator="equal">
      <formula>"AKTUELL"</formula>
    </cfRule>
    <cfRule type="cellIs" dxfId="199" priority="212" stopIfTrue="1" operator="equal">
      <formula>"NICHT AKTUELL"</formula>
    </cfRule>
    <cfRule type="cellIs" dxfId="198" priority="213" stopIfTrue="1" operator="equal">
      <formula>"NOCH NICHT AKTUELL"</formula>
    </cfRule>
  </conditionalFormatting>
  <conditionalFormatting sqref="S49">
    <cfRule type="cellIs" dxfId="197" priority="208" stopIfTrue="1" operator="equal">
      <formula>"AKTUELL"</formula>
    </cfRule>
    <cfRule type="cellIs" dxfId="196" priority="209" stopIfTrue="1" operator="equal">
      <formula>"NICHT AKTUELL"</formula>
    </cfRule>
    <cfRule type="cellIs" dxfId="195" priority="210" stopIfTrue="1" operator="equal">
      <formula>"NOCH NICHT AKTUELL"</formula>
    </cfRule>
  </conditionalFormatting>
  <conditionalFormatting sqref="S4">
    <cfRule type="cellIs" dxfId="194" priority="205" stopIfTrue="1" operator="equal">
      <formula>"AKTUELL"</formula>
    </cfRule>
    <cfRule type="cellIs" dxfId="193" priority="206" stopIfTrue="1" operator="equal">
      <formula>"NICHT AKTUELL"</formula>
    </cfRule>
    <cfRule type="cellIs" dxfId="192" priority="207" stopIfTrue="1" operator="equal">
      <formula>"NOCH NICHT AKTUELL"</formula>
    </cfRule>
  </conditionalFormatting>
  <conditionalFormatting sqref="S61">
    <cfRule type="cellIs" dxfId="191" priority="202" stopIfTrue="1" operator="equal">
      <formula>"AKTUELL"</formula>
    </cfRule>
    <cfRule type="cellIs" dxfId="190" priority="203" stopIfTrue="1" operator="equal">
      <formula>"NICHT AKTUELL"</formula>
    </cfRule>
    <cfRule type="cellIs" dxfId="189" priority="204" stopIfTrue="1" operator="equal">
      <formula>"NOCH NICHT AKTUELL"</formula>
    </cfRule>
  </conditionalFormatting>
  <conditionalFormatting sqref="S41">
    <cfRule type="cellIs" dxfId="188" priority="199" stopIfTrue="1" operator="equal">
      <formula>"AKTUELL"</formula>
    </cfRule>
    <cfRule type="cellIs" dxfId="187" priority="200" stopIfTrue="1" operator="equal">
      <formula>"NICHT AKTUELL"</formula>
    </cfRule>
    <cfRule type="cellIs" dxfId="186" priority="201" stopIfTrue="1" operator="equal">
      <formula>"NOCH NICHT AKTUELL"</formula>
    </cfRule>
  </conditionalFormatting>
  <conditionalFormatting sqref="S5">
    <cfRule type="cellIs" dxfId="185" priority="196" stopIfTrue="1" operator="equal">
      <formula>"AKTUELL"</formula>
    </cfRule>
    <cfRule type="cellIs" dxfId="184" priority="197" stopIfTrue="1" operator="equal">
      <formula>"NICHT AKTUELL"</formula>
    </cfRule>
    <cfRule type="cellIs" dxfId="183" priority="198" stopIfTrue="1" operator="equal">
      <formula>"NOCH NICHT AKTUELL"</formula>
    </cfRule>
  </conditionalFormatting>
  <conditionalFormatting sqref="S13">
    <cfRule type="cellIs" dxfId="182" priority="193" stopIfTrue="1" operator="equal">
      <formula>"AKTUELL"</formula>
    </cfRule>
    <cfRule type="cellIs" dxfId="181" priority="194" stopIfTrue="1" operator="equal">
      <formula>"NICHT AKTUELL"</formula>
    </cfRule>
    <cfRule type="cellIs" dxfId="180" priority="195" stopIfTrue="1" operator="equal">
      <formula>"NOCH NICHT AKTUELL"</formula>
    </cfRule>
  </conditionalFormatting>
  <conditionalFormatting sqref="S17">
    <cfRule type="cellIs" dxfId="179" priority="190" stopIfTrue="1" operator="equal">
      <formula>"AKTUELL"</formula>
    </cfRule>
    <cfRule type="cellIs" dxfId="178" priority="191" stopIfTrue="1" operator="equal">
      <formula>"NICHT AKTUELL"</formula>
    </cfRule>
    <cfRule type="cellIs" dxfId="177" priority="192" stopIfTrue="1" operator="equal">
      <formula>"NOCH NICHT AKTUELL"</formula>
    </cfRule>
  </conditionalFormatting>
  <conditionalFormatting sqref="S21">
    <cfRule type="cellIs" dxfId="176" priority="187" stopIfTrue="1" operator="equal">
      <formula>"AKTUELL"</formula>
    </cfRule>
    <cfRule type="cellIs" dxfId="175" priority="188" stopIfTrue="1" operator="equal">
      <formula>"NICHT AKTUELL"</formula>
    </cfRule>
    <cfRule type="cellIs" dxfId="174" priority="189" stopIfTrue="1" operator="equal">
      <formula>"NOCH NICHT AKTUELL"</formula>
    </cfRule>
  </conditionalFormatting>
  <conditionalFormatting sqref="S26">
    <cfRule type="cellIs" dxfId="173" priority="184" stopIfTrue="1" operator="equal">
      <formula>"AKTUELL"</formula>
    </cfRule>
    <cfRule type="cellIs" dxfId="172" priority="185" stopIfTrue="1" operator="equal">
      <formula>"NICHT AKTUELL"</formula>
    </cfRule>
    <cfRule type="cellIs" dxfId="171" priority="186" stopIfTrue="1" operator="equal">
      <formula>"NOCH NICHT AKTUELL"</formula>
    </cfRule>
  </conditionalFormatting>
  <conditionalFormatting sqref="S30">
    <cfRule type="cellIs" dxfId="170" priority="181" stopIfTrue="1" operator="equal">
      <formula>"AKTUELL"</formula>
    </cfRule>
    <cfRule type="cellIs" dxfId="169" priority="182" stopIfTrue="1" operator="equal">
      <formula>"NICHT AKTUELL"</formula>
    </cfRule>
    <cfRule type="cellIs" dxfId="168" priority="183" stopIfTrue="1" operator="equal">
      <formula>"NOCH NICHT AKTUELL"</formula>
    </cfRule>
  </conditionalFormatting>
  <conditionalFormatting sqref="S35">
    <cfRule type="cellIs" dxfId="167" priority="178" stopIfTrue="1" operator="equal">
      <formula>"AKTUELL"</formula>
    </cfRule>
    <cfRule type="cellIs" dxfId="166" priority="179" stopIfTrue="1" operator="equal">
      <formula>"NICHT AKTUELL"</formula>
    </cfRule>
    <cfRule type="cellIs" dxfId="165" priority="180" stopIfTrue="1" operator="equal">
      <formula>"NOCH NICHT AKTUELL"</formula>
    </cfRule>
  </conditionalFormatting>
  <conditionalFormatting sqref="S50">
    <cfRule type="cellIs" dxfId="164" priority="175" stopIfTrue="1" operator="equal">
      <formula>"AKTUELL"</formula>
    </cfRule>
    <cfRule type="cellIs" dxfId="163" priority="176" stopIfTrue="1" operator="equal">
      <formula>"NICHT AKTUELL"</formula>
    </cfRule>
    <cfRule type="cellIs" dxfId="162" priority="177" stopIfTrue="1" operator="equal">
      <formula>"NOCH NICHT AKTUELL"</formula>
    </cfRule>
  </conditionalFormatting>
  <conditionalFormatting sqref="S58">
    <cfRule type="cellIs" dxfId="161" priority="172" stopIfTrue="1" operator="equal">
      <formula>"AKTUELL"</formula>
    </cfRule>
    <cfRule type="cellIs" dxfId="160" priority="173" stopIfTrue="1" operator="equal">
      <formula>"NICHT AKTUELL"</formula>
    </cfRule>
    <cfRule type="cellIs" dxfId="159" priority="174" stopIfTrue="1" operator="equal">
      <formula>"NOCH NICHT AKTUELL"</formula>
    </cfRule>
  </conditionalFormatting>
  <conditionalFormatting sqref="S60">
    <cfRule type="cellIs" dxfId="158" priority="169" stopIfTrue="1" operator="equal">
      <formula>"AKTUELL"</formula>
    </cfRule>
    <cfRule type="cellIs" dxfId="157" priority="170" stopIfTrue="1" operator="equal">
      <formula>"NICHT AKTUELL"</formula>
    </cfRule>
    <cfRule type="cellIs" dxfId="156" priority="171" stopIfTrue="1" operator="equal">
      <formula>"NOCH NICHT AKTUELL"</formula>
    </cfRule>
  </conditionalFormatting>
  <conditionalFormatting sqref="S62">
    <cfRule type="cellIs" dxfId="155" priority="166" stopIfTrue="1" operator="equal">
      <formula>"AKTUELL"</formula>
    </cfRule>
    <cfRule type="cellIs" dxfId="154" priority="167" stopIfTrue="1" operator="equal">
      <formula>"NICHT AKTUELL"</formula>
    </cfRule>
    <cfRule type="cellIs" dxfId="153" priority="168" stopIfTrue="1" operator="equal">
      <formula>"NOCH NICHT AKTUELL"</formula>
    </cfRule>
  </conditionalFormatting>
  <conditionalFormatting sqref="S87">
    <cfRule type="cellIs" dxfId="152" priority="163" stopIfTrue="1" operator="equal">
      <formula>"AKTUELL"</formula>
    </cfRule>
    <cfRule type="cellIs" dxfId="151" priority="164" stopIfTrue="1" operator="equal">
      <formula>"NICHT AKTUELL"</formula>
    </cfRule>
    <cfRule type="cellIs" dxfId="150" priority="165" stopIfTrue="1" operator="equal">
      <formula>"NOCH NICHT AKTUELL"</formula>
    </cfRule>
  </conditionalFormatting>
  <conditionalFormatting sqref="S102">
    <cfRule type="cellIs" dxfId="149" priority="160" stopIfTrue="1" operator="equal">
      <formula>"AKTUELL"</formula>
    </cfRule>
    <cfRule type="cellIs" dxfId="148" priority="161" stopIfTrue="1" operator="equal">
      <formula>"NICHT AKTUELL"</formula>
    </cfRule>
    <cfRule type="cellIs" dxfId="147" priority="162" stopIfTrue="1" operator="equal">
      <formula>"NOCH NICHT AKTUELL"</formula>
    </cfRule>
  </conditionalFormatting>
  <conditionalFormatting sqref="S99:S100">
    <cfRule type="cellIs" dxfId="146" priority="157" stopIfTrue="1" operator="equal">
      <formula>"AKTUELL"</formula>
    </cfRule>
    <cfRule type="cellIs" dxfId="145" priority="158" stopIfTrue="1" operator="equal">
      <formula>"NICHT AKTUELL"</formula>
    </cfRule>
    <cfRule type="cellIs" dxfId="144" priority="159" stopIfTrue="1" operator="equal">
      <formula>"NOCH NICHT AKTUELL"</formula>
    </cfRule>
  </conditionalFormatting>
  <conditionalFormatting sqref="S53">
    <cfRule type="cellIs" dxfId="143" priority="154" stopIfTrue="1" operator="equal">
      <formula>"AKTUELL"</formula>
    </cfRule>
    <cfRule type="cellIs" dxfId="142" priority="155" stopIfTrue="1" operator="equal">
      <formula>"NICHT AKTUELL"</formula>
    </cfRule>
    <cfRule type="cellIs" dxfId="141" priority="156" stopIfTrue="1" operator="equal">
      <formula>"NOCH NICHT AKTUELL"</formula>
    </cfRule>
  </conditionalFormatting>
  <conditionalFormatting sqref="S31">
    <cfRule type="cellIs" dxfId="140" priority="151" stopIfTrue="1" operator="equal">
      <formula>"AKTUELL"</formula>
    </cfRule>
    <cfRule type="cellIs" dxfId="139" priority="152" stopIfTrue="1" operator="equal">
      <formula>"NICHT AKTUELL"</formula>
    </cfRule>
    <cfRule type="cellIs" dxfId="138" priority="153" stopIfTrue="1" operator="equal">
      <formula>"NOCH NICHT AKTUELL"</formula>
    </cfRule>
  </conditionalFormatting>
  <conditionalFormatting sqref="S36">
    <cfRule type="cellIs" dxfId="137" priority="148" stopIfTrue="1" operator="equal">
      <formula>"AKTUELL"</formula>
    </cfRule>
    <cfRule type="cellIs" dxfId="136" priority="149" stopIfTrue="1" operator="equal">
      <formula>"NICHT AKTUELL"</formula>
    </cfRule>
    <cfRule type="cellIs" dxfId="135" priority="150" stopIfTrue="1" operator="equal">
      <formula>"NOCH NICHT AKTUELL"</formula>
    </cfRule>
  </conditionalFormatting>
  <conditionalFormatting sqref="S82">
    <cfRule type="cellIs" dxfId="134" priority="145" stopIfTrue="1" operator="equal">
      <formula>"AKTUELL"</formula>
    </cfRule>
    <cfRule type="cellIs" dxfId="133" priority="146" stopIfTrue="1" operator="equal">
      <formula>"NICHT AKTUELL"</formula>
    </cfRule>
    <cfRule type="cellIs" dxfId="132" priority="147" stopIfTrue="1" operator="equal">
      <formula>"NOCH NICHT AKTUELL"</formula>
    </cfRule>
  </conditionalFormatting>
  <conditionalFormatting sqref="S73">
    <cfRule type="cellIs" dxfId="131" priority="142" stopIfTrue="1" operator="equal">
      <formula>"AKTUELL"</formula>
    </cfRule>
    <cfRule type="cellIs" dxfId="130" priority="143" stopIfTrue="1" operator="equal">
      <formula>"NICHT AKTUELL"</formula>
    </cfRule>
    <cfRule type="cellIs" dxfId="129" priority="144" stopIfTrue="1" operator="equal">
      <formula>"NOCH NICHT AKTUELL"</formula>
    </cfRule>
  </conditionalFormatting>
  <conditionalFormatting sqref="S77">
    <cfRule type="cellIs" dxfId="128" priority="139" stopIfTrue="1" operator="equal">
      <formula>"AKTUELL"</formula>
    </cfRule>
    <cfRule type="cellIs" dxfId="127" priority="140" stopIfTrue="1" operator="equal">
      <formula>"NICHT AKTUELL"</formula>
    </cfRule>
    <cfRule type="cellIs" dxfId="126" priority="141" stopIfTrue="1" operator="equal">
      <formula>"NOCH NICHT AKTUELL"</formula>
    </cfRule>
  </conditionalFormatting>
  <conditionalFormatting sqref="S64">
    <cfRule type="cellIs" dxfId="125" priority="136" stopIfTrue="1" operator="equal">
      <formula>"AKTUELL"</formula>
    </cfRule>
    <cfRule type="cellIs" dxfId="124" priority="137" stopIfTrue="1" operator="equal">
      <formula>"NICHT AKTUELL"</formula>
    </cfRule>
    <cfRule type="cellIs" dxfId="123" priority="138" stopIfTrue="1" operator="equal">
      <formula>"NOCH NICHT AKTUELL"</formula>
    </cfRule>
  </conditionalFormatting>
  <conditionalFormatting sqref="S67">
    <cfRule type="cellIs" dxfId="122" priority="133" stopIfTrue="1" operator="equal">
      <formula>"AKTUELL"</formula>
    </cfRule>
    <cfRule type="cellIs" dxfId="121" priority="134" stopIfTrue="1" operator="equal">
      <formula>"NICHT AKTUELL"</formula>
    </cfRule>
    <cfRule type="cellIs" dxfId="120" priority="135" stopIfTrue="1" operator="equal">
      <formula>"NOCH NICHT AKTUELL"</formula>
    </cfRule>
  </conditionalFormatting>
  <conditionalFormatting sqref="S70">
    <cfRule type="cellIs" dxfId="119" priority="130" stopIfTrue="1" operator="equal">
      <formula>"AKTUELL"</formula>
    </cfRule>
    <cfRule type="cellIs" dxfId="118" priority="131" stopIfTrue="1" operator="equal">
      <formula>"NICHT AKTUELL"</formula>
    </cfRule>
    <cfRule type="cellIs" dxfId="117" priority="132" stopIfTrue="1" operator="equal">
      <formula>"NOCH NICHT AKTUELL"</formula>
    </cfRule>
  </conditionalFormatting>
  <conditionalFormatting sqref="S44">
    <cfRule type="cellIs" dxfId="116" priority="127" stopIfTrue="1" operator="equal">
      <formula>"AKTUELL"</formula>
    </cfRule>
    <cfRule type="cellIs" dxfId="115" priority="128" stopIfTrue="1" operator="equal">
      <formula>"NICHT AKTUELL"</formula>
    </cfRule>
    <cfRule type="cellIs" dxfId="114" priority="129" stopIfTrue="1" operator="equal">
      <formula>"NOCH NICHT AKTUELL"</formula>
    </cfRule>
  </conditionalFormatting>
  <conditionalFormatting sqref="S46">
    <cfRule type="cellIs" dxfId="113" priority="124" stopIfTrue="1" operator="equal">
      <formula>"AKTUELL"</formula>
    </cfRule>
    <cfRule type="cellIs" dxfId="112" priority="125" stopIfTrue="1" operator="equal">
      <formula>"NICHT AKTUELL"</formula>
    </cfRule>
    <cfRule type="cellIs" dxfId="111" priority="126" stopIfTrue="1" operator="equal">
      <formula>"NOCH NICHT AKTUELL"</formula>
    </cfRule>
  </conditionalFormatting>
  <conditionalFormatting sqref="S48">
    <cfRule type="cellIs" dxfId="110" priority="121" stopIfTrue="1" operator="equal">
      <formula>"AKTUELL"</formula>
    </cfRule>
    <cfRule type="cellIs" dxfId="109" priority="122" stopIfTrue="1" operator="equal">
      <formula>"NICHT AKTUELL"</formula>
    </cfRule>
    <cfRule type="cellIs" dxfId="108" priority="123" stopIfTrue="1" operator="equal">
      <formula>"NOCH NICHT AKTUELL"</formula>
    </cfRule>
  </conditionalFormatting>
  <conditionalFormatting sqref="S14">
    <cfRule type="cellIs" dxfId="107" priority="118" stopIfTrue="1" operator="equal">
      <formula>"AKTUELL"</formula>
    </cfRule>
    <cfRule type="cellIs" dxfId="106" priority="119" stopIfTrue="1" operator="equal">
      <formula>"NICHT AKTUELL"</formula>
    </cfRule>
    <cfRule type="cellIs" dxfId="105" priority="120" stopIfTrue="1" operator="equal">
      <formula>"NOCH NICHT AKTUELL"</formula>
    </cfRule>
  </conditionalFormatting>
  <conditionalFormatting sqref="S18">
    <cfRule type="cellIs" dxfId="104" priority="115" stopIfTrue="1" operator="equal">
      <formula>"AKTUELL"</formula>
    </cfRule>
    <cfRule type="cellIs" dxfId="103" priority="116" stopIfTrue="1" operator="equal">
      <formula>"NICHT AKTUELL"</formula>
    </cfRule>
    <cfRule type="cellIs" dxfId="102" priority="117" stopIfTrue="1" operator="equal">
      <formula>"NOCH NICHT AKTUELL"</formula>
    </cfRule>
  </conditionalFormatting>
  <conditionalFormatting sqref="S22">
    <cfRule type="cellIs" dxfId="101" priority="112" stopIfTrue="1" operator="equal">
      <formula>"AKTUELL"</formula>
    </cfRule>
    <cfRule type="cellIs" dxfId="100" priority="113" stopIfTrue="1" operator="equal">
      <formula>"NICHT AKTUELL"</formula>
    </cfRule>
    <cfRule type="cellIs" dxfId="99" priority="114" stopIfTrue="1" operator="equal">
      <formula>"NOCH NICHT AKTUELL"</formula>
    </cfRule>
  </conditionalFormatting>
  <conditionalFormatting sqref="S27">
    <cfRule type="cellIs" dxfId="98" priority="109" stopIfTrue="1" operator="equal">
      <formula>"AKTUELL"</formula>
    </cfRule>
    <cfRule type="cellIs" dxfId="97" priority="110" stopIfTrue="1" operator="equal">
      <formula>"NICHT AKTUELL"</formula>
    </cfRule>
    <cfRule type="cellIs" dxfId="96" priority="111" stopIfTrue="1" operator="equal">
      <formula>"NOCH NICHT AKTUELL"</formula>
    </cfRule>
  </conditionalFormatting>
  <conditionalFormatting sqref="S32">
    <cfRule type="cellIs" dxfId="95" priority="106" stopIfTrue="1" operator="equal">
      <formula>"AKTUELL"</formula>
    </cfRule>
    <cfRule type="cellIs" dxfId="94" priority="107" stopIfTrue="1" operator="equal">
      <formula>"NICHT AKTUELL"</formula>
    </cfRule>
    <cfRule type="cellIs" dxfId="93" priority="108" stopIfTrue="1" operator="equal">
      <formula>"NOCH NICHT AKTUELL"</formula>
    </cfRule>
  </conditionalFormatting>
  <conditionalFormatting sqref="S37">
    <cfRule type="cellIs" dxfId="92" priority="103" stopIfTrue="1" operator="equal">
      <formula>"AKTUELL"</formula>
    </cfRule>
    <cfRule type="cellIs" dxfId="91" priority="104" stopIfTrue="1" operator="equal">
      <formula>"NICHT AKTUELL"</formula>
    </cfRule>
    <cfRule type="cellIs" dxfId="90" priority="105" stopIfTrue="1" operator="equal">
      <formula>"NOCH NICHT AKTUELL"</formula>
    </cfRule>
  </conditionalFormatting>
  <conditionalFormatting sqref="S52">
    <cfRule type="cellIs" dxfId="89" priority="100" stopIfTrue="1" operator="equal">
      <formula>"AKTUELL"</formula>
    </cfRule>
    <cfRule type="cellIs" dxfId="88" priority="101" stopIfTrue="1" operator="equal">
      <formula>"NICHT AKTUELL"</formula>
    </cfRule>
    <cfRule type="cellIs" dxfId="87" priority="102" stopIfTrue="1" operator="equal">
      <formula>"NOCH NICHT AKTUELL"</formula>
    </cfRule>
  </conditionalFormatting>
  <conditionalFormatting sqref="S23">
    <cfRule type="cellIs" dxfId="86" priority="97" stopIfTrue="1" operator="equal">
      <formula>"AKTUELL"</formula>
    </cfRule>
    <cfRule type="cellIs" dxfId="85" priority="98" stopIfTrue="1" operator="equal">
      <formula>"NICHT AKTUELL"</formula>
    </cfRule>
    <cfRule type="cellIs" dxfId="84" priority="99" stopIfTrue="1" operator="equal">
      <formula>"NOCH NICHT AKTUELL"</formula>
    </cfRule>
  </conditionalFormatting>
  <conditionalFormatting sqref="S28">
    <cfRule type="cellIs" dxfId="83" priority="94" stopIfTrue="1" operator="equal">
      <formula>"AKTUELL"</formula>
    </cfRule>
    <cfRule type="cellIs" dxfId="82" priority="95" stopIfTrue="1" operator="equal">
      <formula>"NICHT AKTUELL"</formula>
    </cfRule>
    <cfRule type="cellIs" dxfId="81" priority="96" stopIfTrue="1" operator="equal">
      <formula>"NOCH NICHT AKTUELL"</formula>
    </cfRule>
  </conditionalFormatting>
  <conditionalFormatting sqref="S33">
    <cfRule type="cellIs" dxfId="80" priority="91" stopIfTrue="1" operator="equal">
      <formula>"AKTUELL"</formula>
    </cfRule>
    <cfRule type="cellIs" dxfId="79" priority="92" stopIfTrue="1" operator="equal">
      <formula>"NICHT AKTUELL"</formula>
    </cfRule>
    <cfRule type="cellIs" dxfId="78" priority="93" stopIfTrue="1" operator="equal">
      <formula>"NOCH NICHT AKTUELL"</formula>
    </cfRule>
  </conditionalFormatting>
  <conditionalFormatting sqref="S38">
    <cfRule type="cellIs" dxfId="77" priority="88" stopIfTrue="1" operator="equal">
      <formula>"AKTUELL"</formula>
    </cfRule>
    <cfRule type="cellIs" dxfId="76" priority="89" stopIfTrue="1" operator="equal">
      <formula>"NICHT AKTUELL"</formula>
    </cfRule>
    <cfRule type="cellIs" dxfId="75" priority="90" stopIfTrue="1" operator="equal">
      <formula>"NOCH NICHT AKTUELL"</formula>
    </cfRule>
  </conditionalFormatting>
  <conditionalFormatting sqref="S8">
    <cfRule type="cellIs" dxfId="74" priority="85" stopIfTrue="1" operator="equal">
      <formula>"AKTUELL"</formula>
    </cfRule>
    <cfRule type="cellIs" dxfId="73" priority="86" stopIfTrue="1" operator="equal">
      <formula>"NICHT AKTUELL"</formula>
    </cfRule>
    <cfRule type="cellIs" dxfId="72" priority="87" stopIfTrue="1" operator="equal">
      <formula>"NOCH NICHT AKTUELL"</formula>
    </cfRule>
  </conditionalFormatting>
  <conditionalFormatting sqref="S24">
    <cfRule type="cellIs" dxfId="71" priority="82" stopIfTrue="1" operator="equal">
      <formula>"AKTUELL"</formula>
    </cfRule>
    <cfRule type="cellIs" dxfId="70" priority="83" stopIfTrue="1" operator="equal">
      <formula>"NICHT AKTUELL"</formula>
    </cfRule>
    <cfRule type="cellIs" dxfId="69" priority="84" stopIfTrue="1" operator="equal">
      <formula>"NOCH NICHT AKTUELL"</formula>
    </cfRule>
  </conditionalFormatting>
  <conditionalFormatting sqref="S29">
    <cfRule type="cellIs" dxfId="68" priority="79" stopIfTrue="1" operator="equal">
      <formula>"AKTUELL"</formula>
    </cfRule>
    <cfRule type="cellIs" dxfId="67" priority="80" stopIfTrue="1" operator="equal">
      <formula>"NICHT AKTUELL"</formula>
    </cfRule>
    <cfRule type="cellIs" dxfId="66" priority="81" stopIfTrue="1" operator="equal">
      <formula>"NOCH NICHT AKTUELL"</formula>
    </cfRule>
  </conditionalFormatting>
  <conditionalFormatting sqref="S34">
    <cfRule type="cellIs" dxfId="65" priority="76" stopIfTrue="1" operator="equal">
      <formula>"AKTUELL"</formula>
    </cfRule>
    <cfRule type="cellIs" dxfId="64" priority="77" stopIfTrue="1" operator="equal">
      <formula>"NICHT AKTUELL"</formula>
    </cfRule>
    <cfRule type="cellIs" dxfId="63" priority="78" stopIfTrue="1" operator="equal">
      <formula>"NOCH NICHT AKTUELL"</formula>
    </cfRule>
  </conditionalFormatting>
  <conditionalFormatting sqref="S39">
    <cfRule type="cellIs" dxfId="62" priority="73" stopIfTrue="1" operator="equal">
      <formula>"AKTUELL"</formula>
    </cfRule>
    <cfRule type="cellIs" dxfId="61" priority="74" stopIfTrue="1" operator="equal">
      <formula>"NICHT AKTUELL"</formula>
    </cfRule>
    <cfRule type="cellIs" dxfId="60" priority="75" stopIfTrue="1" operator="equal">
      <formula>"NOCH NICHT AKTUELL"</formula>
    </cfRule>
  </conditionalFormatting>
  <conditionalFormatting sqref="S51">
    <cfRule type="cellIs" dxfId="59" priority="70" stopIfTrue="1" operator="equal">
      <formula>"AKTUELL"</formula>
    </cfRule>
    <cfRule type="cellIs" dxfId="58" priority="71" stopIfTrue="1" operator="equal">
      <formula>"NICHT AKTUELL"</formula>
    </cfRule>
    <cfRule type="cellIs" dxfId="57" priority="72" stopIfTrue="1" operator="equal">
      <formula>"NOCH NICHT AKTUELL"</formula>
    </cfRule>
  </conditionalFormatting>
  <conditionalFormatting sqref="S15">
    <cfRule type="cellIs" dxfId="56" priority="67" stopIfTrue="1" operator="equal">
      <formula>"AKTUELL"</formula>
    </cfRule>
    <cfRule type="cellIs" dxfId="55" priority="68" stopIfTrue="1" operator="equal">
      <formula>"NICHT AKTUELL"</formula>
    </cfRule>
    <cfRule type="cellIs" dxfId="54" priority="69" stopIfTrue="1" operator="equal">
      <formula>"NOCH NICHT AKTUELL"</formula>
    </cfRule>
  </conditionalFormatting>
  <conditionalFormatting sqref="S19">
    <cfRule type="cellIs" dxfId="53" priority="64" stopIfTrue="1" operator="equal">
      <formula>"AKTUELL"</formula>
    </cfRule>
    <cfRule type="cellIs" dxfId="52" priority="65" stopIfTrue="1" operator="equal">
      <formula>"NICHT AKTUELL"</formula>
    </cfRule>
    <cfRule type="cellIs" dxfId="51" priority="66" stopIfTrue="1" operator="equal">
      <formula>"NOCH NICHT AKTUELL"</formula>
    </cfRule>
  </conditionalFormatting>
  <conditionalFormatting sqref="S84:S85">
    <cfRule type="cellIs" dxfId="50" priority="61" stopIfTrue="1" operator="equal">
      <formula>"AKTUELL"</formula>
    </cfRule>
    <cfRule type="cellIs" dxfId="49" priority="62" stopIfTrue="1" operator="equal">
      <formula>"NICHT AKTUELL"</formula>
    </cfRule>
    <cfRule type="cellIs" dxfId="48" priority="63" stopIfTrue="1" operator="equal">
      <formula>"NOCH NICHT AKTUELL"</formula>
    </cfRule>
  </conditionalFormatting>
  <conditionalFormatting sqref="S9">
    <cfRule type="cellIs" dxfId="47" priority="58" stopIfTrue="1" operator="equal">
      <formula>"AKTUELL"</formula>
    </cfRule>
    <cfRule type="cellIs" dxfId="46" priority="59" stopIfTrue="1" operator="equal">
      <formula>"NICHT AKTUELL"</formula>
    </cfRule>
    <cfRule type="cellIs" dxfId="45" priority="60" stopIfTrue="1" operator="equal">
      <formula>"NOCH NICHT AKTUELL"</formula>
    </cfRule>
  </conditionalFormatting>
  <conditionalFormatting sqref="S97">
    <cfRule type="cellIs" dxfId="44" priority="55" stopIfTrue="1" operator="equal">
      <formula>"AKTUELL"</formula>
    </cfRule>
    <cfRule type="cellIs" dxfId="43" priority="56" stopIfTrue="1" operator="equal">
      <formula>"NICHT AKTUELL"</formula>
    </cfRule>
    <cfRule type="cellIs" dxfId="42" priority="57" stopIfTrue="1" operator="equal">
      <formula>"NOCH NICHT AKTUELL"</formula>
    </cfRule>
  </conditionalFormatting>
  <conditionalFormatting sqref="S10">
    <cfRule type="cellIs" dxfId="41" priority="52" stopIfTrue="1" operator="equal">
      <formula>"AKTUELL"</formula>
    </cfRule>
    <cfRule type="cellIs" dxfId="40" priority="53" stopIfTrue="1" operator="equal">
      <formula>"NICHT AKTUELL"</formula>
    </cfRule>
    <cfRule type="cellIs" dxfId="39" priority="54" stopIfTrue="1" operator="equal">
      <formula>"NOCH NICHT AKTUELL"</formula>
    </cfRule>
  </conditionalFormatting>
  <conditionalFormatting sqref="S6">
    <cfRule type="cellIs" dxfId="38" priority="46" stopIfTrue="1" operator="equal">
      <formula>"AKTUELL"</formula>
    </cfRule>
    <cfRule type="cellIs" dxfId="37" priority="47" stopIfTrue="1" operator="equal">
      <formula>"NICHT AKTUELL"</formula>
    </cfRule>
    <cfRule type="cellIs" dxfId="36" priority="48" stopIfTrue="1" operator="equal">
      <formula>"NOCH NICHT AKTUELL"</formula>
    </cfRule>
  </conditionalFormatting>
  <conditionalFormatting sqref="S92">
    <cfRule type="cellIs" dxfId="35" priority="43" stopIfTrue="1" operator="equal">
      <formula>"AKTUELL"</formula>
    </cfRule>
    <cfRule type="cellIs" dxfId="34" priority="44" stopIfTrue="1" operator="equal">
      <formula>"NICHT AKTUELL"</formula>
    </cfRule>
    <cfRule type="cellIs" dxfId="33" priority="45" stopIfTrue="1" operator="equal">
      <formula>"NOCH NICHT AKTUELL"</formula>
    </cfRule>
  </conditionalFormatting>
  <conditionalFormatting sqref="S74">
    <cfRule type="cellIs" dxfId="32" priority="40" stopIfTrue="1" operator="equal">
      <formula>"AKTUELL"</formula>
    </cfRule>
    <cfRule type="cellIs" dxfId="31" priority="41" stopIfTrue="1" operator="equal">
      <formula>"NICHT AKTUELL"</formula>
    </cfRule>
    <cfRule type="cellIs" dxfId="30" priority="42" stopIfTrue="1" operator="equal">
      <formula>"NOCH NICHT AKTUELL"</formula>
    </cfRule>
  </conditionalFormatting>
  <conditionalFormatting sqref="S78">
    <cfRule type="cellIs" dxfId="29" priority="37" stopIfTrue="1" operator="equal">
      <formula>"AKTUELL"</formula>
    </cfRule>
    <cfRule type="cellIs" dxfId="28" priority="38" stopIfTrue="1" operator="equal">
      <formula>"NICHT AKTUELL"</formula>
    </cfRule>
    <cfRule type="cellIs" dxfId="27" priority="39" stopIfTrue="1" operator="equal">
      <formula>"NOCH NICHT AKTUELL"</formula>
    </cfRule>
  </conditionalFormatting>
  <conditionalFormatting sqref="S83">
    <cfRule type="cellIs" dxfId="26" priority="28" stopIfTrue="1" operator="equal">
      <formula>"AKTUELL"</formula>
    </cfRule>
    <cfRule type="cellIs" dxfId="25" priority="29" stopIfTrue="1" operator="equal">
      <formula>"NICHT AKTUELL"</formula>
    </cfRule>
    <cfRule type="cellIs" dxfId="24" priority="30" stopIfTrue="1" operator="equal">
      <formula>"NOCH NICHT AKTUELL"</formula>
    </cfRule>
  </conditionalFormatting>
  <conditionalFormatting sqref="S65">
    <cfRule type="cellIs" dxfId="23" priority="25" stopIfTrue="1" operator="equal">
      <formula>"AKTUELL"</formula>
    </cfRule>
    <cfRule type="cellIs" dxfId="22" priority="26" stopIfTrue="1" operator="equal">
      <formula>"NICHT AKTUELL"</formula>
    </cfRule>
    <cfRule type="cellIs" dxfId="21" priority="27" stopIfTrue="1" operator="equal">
      <formula>"NOCH NICHT AKTUELL"</formula>
    </cfRule>
  </conditionalFormatting>
  <conditionalFormatting sqref="S68">
    <cfRule type="cellIs" dxfId="20" priority="22" stopIfTrue="1" operator="equal">
      <formula>"AKTUELL"</formula>
    </cfRule>
    <cfRule type="cellIs" dxfId="19" priority="23" stopIfTrue="1" operator="equal">
      <formula>"NICHT AKTUELL"</formula>
    </cfRule>
    <cfRule type="cellIs" dxfId="18" priority="24" stopIfTrue="1" operator="equal">
      <formula>"NOCH NICHT AKTUELL"</formula>
    </cfRule>
  </conditionalFormatting>
  <conditionalFormatting sqref="S71">
    <cfRule type="cellIs" dxfId="17" priority="19" stopIfTrue="1" operator="equal">
      <formula>"AKTUELL"</formula>
    </cfRule>
    <cfRule type="cellIs" dxfId="16" priority="20" stopIfTrue="1" operator="equal">
      <formula>"NICHT AKTUELL"</formula>
    </cfRule>
    <cfRule type="cellIs" dxfId="15" priority="21" stopIfTrue="1" operator="equal">
      <formula>"NOCH NICHT AKTUELL"</formula>
    </cfRule>
  </conditionalFormatting>
  <conditionalFormatting sqref="S75">
    <cfRule type="cellIs" dxfId="14" priority="16" stopIfTrue="1" operator="equal">
      <formula>"AKTUELL"</formula>
    </cfRule>
    <cfRule type="cellIs" dxfId="13" priority="17" stopIfTrue="1" operator="equal">
      <formula>"NICHT AKTUELL"</formula>
    </cfRule>
    <cfRule type="cellIs" dxfId="12" priority="18" stopIfTrue="1" operator="equal">
      <formula>"NOCH NICHT AKTUELL"</formula>
    </cfRule>
  </conditionalFormatting>
  <conditionalFormatting sqref="S79">
    <cfRule type="cellIs" dxfId="11" priority="13" stopIfTrue="1" operator="equal">
      <formula>"AKTUELL"</formula>
    </cfRule>
    <cfRule type="cellIs" dxfId="10" priority="14" stopIfTrue="1" operator="equal">
      <formula>"NICHT AKTUELL"</formula>
    </cfRule>
    <cfRule type="cellIs" dxfId="9" priority="15" stopIfTrue="1" operator="equal">
      <formula>"NOCH NICHT AKTUELL"</formula>
    </cfRule>
  </conditionalFormatting>
  <conditionalFormatting sqref="S95">
    <cfRule type="cellIs" dxfId="8" priority="10" stopIfTrue="1" operator="equal">
      <formula>"AKTUELL"</formula>
    </cfRule>
    <cfRule type="cellIs" dxfId="7" priority="11" stopIfTrue="1" operator="equal">
      <formula>"NICHT AKTUELL"</formula>
    </cfRule>
    <cfRule type="cellIs" dxfId="6" priority="12" stopIfTrue="1" operator="equal">
      <formula>"NOCH NICHT AKTUELL"</formula>
    </cfRule>
  </conditionalFormatting>
  <conditionalFormatting sqref="S7">
    <cfRule type="cellIs" dxfId="5" priority="4" stopIfTrue="1" operator="equal">
      <formula>"AKTUELL"</formula>
    </cfRule>
    <cfRule type="cellIs" dxfId="4" priority="5" stopIfTrue="1" operator="equal">
      <formula>"NICHT AKTUELL"</formula>
    </cfRule>
    <cfRule type="cellIs" dxfId="3" priority="6" stopIfTrue="1" operator="equal">
      <formula>"NOCH NICHT AKTUELL"</formula>
    </cfRule>
  </conditionalFormatting>
  <conditionalFormatting sqref="S11">
    <cfRule type="cellIs" dxfId="2" priority="1" stopIfTrue="1" operator="equal">
      <formula>"AKTUELL"</formula>
    </cfRule>
    <cfRule type="cellIs" dxfId="1" priority="2" stopIfTrue="1" operator="equal">
      <formula>"NICHT AKTUELL"</formula>
    </cfRule>
    <cfRule type="cellIs" dxfId="0" priority="3" stopIfTrue="1" operator="equal">
      <formula>"NOCH NICHT AKTUELL"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KM_liste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2021-02-17T11:36:02Z</dcterms:modified>
</cp:coreProperties>
</file>