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to_zošit" defaultThemeVersion="124226"/>
  <mc:AlternateContent xmlns:mc="http://schemas.openxmlformats.org/markup-compatibility/2006">
    <mc:Choice Requires="x15">
      <x15ac:absPath xmlns:x15ac="http://schemas.microsoft.com/office/spreadsheetml/2010/11/ac" url="C:\Users\jesus.roldan\Desktop\J1_FK\2115\"/>
    </mc:Choice>
  </mc:AlternateContent>
  <bookViews>
    <workbookView xWindow="-15" yWindow="165" windowWidth="19215" windowHeight="6225" tabRatio="794"/>
  </bookViews>
  <sheets>
    <sheet name="KM_liste" sheetId="49" r:id="rId1"/>
  </sheets>
  <definedNames>
    <definedName name="_xlnm._FilterDatabase" localSheetId="0" hidden="1">KM_liste!$A$3:$IN$113</definedName>
  </definedNames>
  <calcPr calcId="162913"/>
</workbook>
</file>

<file path=xl/calcChain.xml><?xml version="1.0" encoding="utf-8"?>
<calcChain xmlns="http://schemas.openxmlformats.org/spreadsheetml/2006/main">
  <c r="F108" i="49" l="1"/>
  <c r="I105" i="49"/>
  <c r="I106" i="49"/>
  <c r="I107" i="49"/>
  <c r="I108" i="49"/>
  <c r="I97" i="49"/>
  <c r="I98" i="49"/>
  <c r="S108" i="49"/>
  <c r="H108" i="49"/>
  <c r="R108" i="49" s="1"/>
  <c r="S7" i="49" l="1"/>
  <c r="R11" i="49" l="1"/>
  <c r="S11" i="49"/>
  <c r="I11" i="49"/>
  <c r="H11" i="49"/>
  <c r="F11" i="49"/>
  <c r="E11" i="49"/>
  <c r="R6" i="49"/>
  <c r="I7" i="49"/>
  <c r="F7" i="49"/>
  <c r="H7" i="49" s="1"/>
  <c r="R7" i="49" s="1"/>
  <c r="E7" i="49"/>
  <c r="S104" i="49" l="1"/>
  <c r="I104" i="49"/>
  <c r="F104" i="49"/>
  <c r="H104" i="49" s="1"/>
  <c r="R104" i="49" s="1"/>
  <c r="E104" i="49"/>
  <c r="S87" i="49" l="1"/>
  <c r="H87" i="49"/>
  <c r="R87" i="49" s="1"/>
  <c r="S84" i="49"/>
  <c r="R84" i="49"/>
  <c r="H84" i="49"/>
  <c r="S81" i="49"/>
  <c r="H81" i="49"/>
  <c r="R81" i="49" s="1"/>
  <c r="S77" i="49"/>
  <c r="I77" i="49"/>
  <c r="H77" i="49"/>
  <c r="R77" i="49" s="1"/>
  <c r="S72" i="49" l="1"/>
  <c r="I72" i="49"/>
  <c r="H72" i="49"/>
  <c r="R72" i="49" s="1"/>
  <c r="F72" i="49"/>
  <c r="E72" i="49"/>
  <c r="S70" i="49"/>
  <c r="I70" i="49"/>
  <c r="H70" i="49"/>
  <c r="R70" i="49" s="1"/>
  <c r="F70" i="49"/>
  <c r="E70" i="49"/>
  <c r="S68" i="49"/>
  <c r="I68" i="49"/>
  <c r="H68" i="49"/>
  <c r="R68" i="49" s="1"/>
  <c r="G68" i="49"/>
  <c r="F68" i="49"/>
  <c r="E68" i="49"/>
  <c r="S66" i="49"/>
  <c r="I66" i="49"/>
  <c r="H66" i="49"/>
  <c r="R66" i="49" s="1"/>
  <c r="G66" i="49"/>
  <c r="F66" i="49"/>
  <c r="E66" i="49"/>
  <c r="S63" i="49"/>
  <c r="G63" i="49"/>
  <c r="I63" i="49" s="1"/>
  <c r="F63" i="49"/>
  <c r="H63" i="49" s="1"/>
  <c r="R63" i="49" s="1"/>
  <c r="E63" i="49"/>
  <c r="S52" i="49" l="1"/>
  <c r="H52" i="49"/>
  <c r="R52" i="49" s="1"/>
  <c r="G52" i="49"/>
  <c r="I52" i="49" s="1"/>
  <c r="F52" i="49"/>
  <c r="E52" i="49"/>
  <c r="S86" i="49" l="1"/>
  <c r="H86" i="49"/>
  <c r="R86" i="49" s="1"/>
  <c r="S83" i="49"/>
  <c r="H83" i="49"/>
  <c r="R83" i="49" s="1"/>
  <c r="S80" i="49"/>
  <c r="R80" i="49"/>
  <c r="H80" i="49"/>
  <c r="S76" i="49"/>
  <c r="I76" i="49"/>
  <c r="H76" i="49"/>
  <c r="R76" i="49" s="1"/>
  <c r="S6" i="49" l="1"/>
  <c r="I6" i="49"/>
  <c r="F6" i="49"/>
  <c r="H6" i="49" s="1"/>
  <c r="E6" i="49"/>
  <c r="S10" i="49" l="1"/>
  <c r="I10" i="49"/>
  <c r="F10" i="49"/>
  <c r="H10" i="49" s="1"/>
  <c r="E10" i="49"/>
  <c r="R10" i="49" l="1"/>
  <c r="S100" i="49"/>
  <c r="G100" i="49"/>
  <c r="I100" i="49" s="1"/>
  <c r="F100" i="49"/>
  <c r="H100" i="49" s="1"/>
  <c r="E100" i="49"/>
  <c r="E101" i="49"/>
  <c r="F101" i="49"/>
  <c r="H101" i="49" s="1"/>
  <c r="G101" i="49"/>
  <c r="I101" i="49" s="1"/>
  <c r="S101" i="49"/>
  <c r="R101" i="49" l="1"/>
  <c r="R100" i="49"/>
  <c r="S18" i="49" l="1"/>
  <c r="G18" i="49"/>
  <c r="I18" i="49" s="1"/>
  <c r="F18" i="49"/>
  <c r="H18" i="49" s="1"/>
  <c r="R18" i="49" s="1"/>
  <c r="E18" i="49"/>
  <c r="S14" i="49"/>
  <c r="G14" i="49"/>
  <c r="I14" i="49" s="1"/>
  <c r="F14" i="49"/>
  <c r="H14" i="49" s="1"/>
  <c r="R14" i="49" s="1"/>
  <c r="E14" i="49"/>
  <c r="S109" i="49"/>
  <c r="G109" i="49"/>
  <c r="I109" i="49" s="1"/>
  <c r="F109" i="49"/>
  <c r="H109" i="49" s="1"/>
  <c r="E109" i="49"/>
  <c r="S75" i="49"/>
  <c r="I75" i="49"/>
  <c r="H75" i="49"/>
  <c r="S9" i="49"/>
  <c r="I9" i="49"/>
  <c r="F9" i="49"/>
  <c r="H9" i="49" s="1"/>
  <c r="E9" i="49"/>
  <c r="S38" i="49"/>
  <c r="G38" i="49"/>
  <c r="I38" i="49" s="1"/>
  <c r="F38" i="49"/>
  <c r="H38" i="49" s="1"/>
  <c r="R38" i="49" s="1"/>
  <c r="E38" i="49"/>
  <c r="S32" i="49"/>
  <c r="G32" i="49"/>
  <c r="I32" i="49" s="1"/>
  <c r="F32" i="49"/>
  <c r="H32" i="49" s="1"/>
  <c r="E32" i="49"/>
  <c r="S28" i="49"/>
  <c r="G28" i="49"/>
  <c r="I28" i="49" s="1"/>
  <c r="F28" i="49"/>
  <c r="H28" i="49" s="1"/>
  <c r="R28" i="49" s="1"/>
  <c r="E28" i="49"/>
  <c r="S23" i="49"/>
  <c r="G23" i="49"/>
  <c r="I23" i="49" s="1"/>
  <c r="F23" i="49"/>
  <c r="H23" i="49" s="1"/>
  <c r="R23" i="49" s="1"/>
  <c r="E23" i="49"/>
  <c r="S48" i="49"/>
  <c r="G48" i="49"/>
  <c r="I48" i="49" s="1"/>
  <c r="F48" i="49"/>
  <c r="H48" i="49" s="1"/>
  <c r="R48" i="49" s="1"/>
  <c r="E48" i="49"/>
  <c r="S71" i="49"/>
  <c r="I71" i="49"/>
  <c r="F71" i="49"/>
  <c r="H71" i="49" s="1"/>
  <c r="E71" i="49"/>
  <c r="S8" i="49"/>
  <c r="I8" i="49"/>
  <c r="F8" i="49"/>
  <c r="H8" i="49" s="1"/>
  <c r="E8" i="49"/>
  <c r="S37" i="49"/>
  <c r="G37" i="49"/>
  <c r="I37" i="49" s="1"/>
  <c r="F37" i="49"/>
  <c r="H37" i="49" s="1"/>
  <c r="E37" i="49"/>
  <c r="S33" i="49"/>
  <c r="G33" i="49"/>
  <c r="I33" i="49" s="1"/>
  <c r="F33" i="49"/>
  <c r="H33" i="49" s="1"/>
  <c r="R33" i="49" s="1"/>
  <c r="E33" i="49"/>
  <c r="S27" i="49"/>
  <c r="G27" i="49"/>
  <c r="I27" i="49" s="1"/>
  <c r="F27" i="49"/>
  <c r="H27" i="49" s="1"/>
  <c r="E27" i="49"/>
  <c r="S22" i="49"/>
  <c r="G22" i="49"/>
  <c r="I22" i="49" s="1"/>
  <c r="F22" i="49"/>
  <c r="H22" i="49" s="1"/>
  <c r="E22" i="49"/>
  <c r="G49" i="49"/>
  <c r="I49" i="49" s="1"/>
  <c r="S49" i="49"/>
  <c r="F49" i="49"/>
  <c r="H49" i="49" s="1"/>
  <c r="S85" i="49"/>
  <c r="H85" i="49"/>
  <c r="R85" i="49" s="1"/>
  <c r="S79" i="49"/>
  <c r="H79" i="49"/>
  <c r="R79" i="49" s="1"/>
  <c r="S74" i="49"/>
  <c r="I74" i="49"/>
  <c r="H74" i="49"/>
  <c r="S69" i="49"/>
  <c r="I69" i="49"/>
  <c r="F69" i="49"/>
  <c r="H69" i="49" s="1"/>
  <c r="E69" i="49"/>
  <c r="S65" i="49"/>
  <c r="G65" i="49"/>
  <c r="I65" i="49" s="1"/>
  <c r="F65" i="49"/>
  <c r="H65" i="49" s="1"/>
  <c r="E65" i="49"/>
  <c r="S62" i="49"/>
  <c r="G62" i="49"/>
  <c r="I62" i="49" s="1"/>
  <c r="F62" i="49"/>
  <c r="H62" i="49" s="1"/>
  <c r="E62" i="49"/>
  <c r="S111" i="49"/>
  <c r="G111" i="49"/>
  <c r="I111" i="49" s="1"/>
  <c r="F111" i="49"/>
  <c r="H111" i="49" s="1"/>
  <c r="E111" i="49"/>
  <c r="S107" i="49"/>
  <c r="F107" i="49"/>
  <c r="H107" i="49" s="1"/>
  <c r="R107" i="49" s="1"/>
  <c r="S103" i="49"/>
  <c r="I103" i="49"/>
  <c r="F103" i="49"/>
  <c r="H103" i="49" s="1"/>
  <c r="E103" i="49"/>
  <c r="F105" i="49"/>
  <c r="H105" i="49" s="1"/>
  <c r="R105" i="49" s="1"/>
  <c r="S105" i="49"/>
  <c r="S90" i="49"/>
  <c r="G90" i="49"/>
  <c r="I90" i="49" s="1"/>
  <c r="F90" i="49"/>
  <c r="H90" i="49" s="1"/>
  <c r="E90" i="49"/>
  <c r="S45" i="49"/>
  <c r="G45" i="49"/>
  <c r="I45" i="49" s="1"/>
  <c r="F45" i="49"/>
  <c r="H45" i="49" s="1"/>
  <c r="E45" i="49"/>
  <c r="S43" i="49"/>
  <c r="G43" i="49"/>
  <c r="I43" i="49" s="1"/>
  <c r="F43" i="49"/>
  <c r="H43" i="49" s="1"/>
  <c r="E43" i="49"/>
  <c r="S41" i="49"/>
  <c r="G41" i="49"/>
  <c r="I41" i="49" s="1"/>
  <c r="F41" i="49"/>
  <c r="H41" i="49" s="1"/>
  <c r="E41" i="49"/>
  <c r="S36" i="49"/>
  <c r="G36" i="49"/>
  <c r="I36" i="49" s="1"/>
  <c r="F36" i="49"/>
  <c r="H36" i="49" s="1"/>
  <c r="E36" i="49"/>
  <c r="S31" i="49"/>
  <c r="G31" i="49"/>
  <c r="I31" i="49" s="1"/>
  <c r="F31" i="49"/>
  <c r="H31" i="49" s="1"/>
  <c r="E31" i="49"/>
  <c r="S26" i="49"/>
  <c r="G26" i="49"/>
  <c r="I26" i="49" s="1"/>
  <c r="F26" i="49"/>
  <c r="H26" i="49" s="1"/>
  <c r="E26" i="49"/>
  <c r="S21" i="49"/>
  <c r="G21" i="49"/>
  <c r="I21" i="49" s="1"/>
  <c r="F21" i="49"/>
  <c r="H21" i="49" s="1"/>
  <c r="E21" i="49"/>
  <c r="S17" i="49"/>
  <c r="G17" i="49"/>
  <c r="I17" i="49" s="1"/>
  <c r="F17" i="49"/>
  <c r="H17" i="49" s="1"/>
  <c r="E17" i="49"/>
  <c r="E19" i="49"/>
  <c r="F19" i="49"/>
  <c r="H19" i="49" s="1"/>
  <c r="G19" i="49"/>
  <c r="I19" i="49" s="1"/>
  <c r="S19" i="49"/>
  <c r="S13" i="49"/>
  <c r="G13" i="49"/>
  <c r="I13" i="49" s="1"/>
  <c r="F13" i="49"/>
  <c r="H13" i="49" s="1"/>
  <c r="E13" i="49"/>
  <c r="S106" i="49"/>
  <c r="F106" i="49"/>
  <c r="H106" i="49" s="1"/>
  <c r="R106" i="49" s="1"/>
  <c r="S102" i="49"/>
  <c r="I102" i="49"/>
  <c r="F102" i="49"/>
  <c r="H102" i="49" s="1"/>
  <c r="E102" i="49"/>
  <c r="S95" i="49"/>
  <c r="I95" i="49"/>
  <c r="F95" i="49"/>
  <c r="H95" i="49" s="1"/>
  <c r="E95" i="49"/>
  <c r="S60" i="49"/>
  <c r="G60" i="49"/>
  <c r="I60" i="49" s="1"/>
  <c r="F60" i="49"/>
  <c r="H60" i="49" s="1"/>
  <c r="E60" i="49"/>
  <c r="S58" i="49"/>
  <c r="G58" i="49"/>
  <c r="I58" i="49" s="1"/>
  <c r="F58" i="49"/>
  <c r="H58" i="49" s="1"/>
  <c r="E58" i="49"/>
  <c r="S56" i="49"/>
  <c r="G56" i="49"/>
  <c r="I56" i="49" s="1"/>
  <c r="F56" i="49"/>
  <c r="H56" i="49" s="1"/>
  <c r="E56" i="49"/>
  <c r="S47" i="49"/>
  <c r="G47" i="49"/>
  <c r="I47" i="49" s="1"/>
  <c r="F47" i="49"/>
  <c r="H47" i="49" s="1"/>
  <c r="E47" i="49"/>
  <c r="S35" i="49"/>
  <c r="G35" i="49"/>
  <c r="I35" i="49" s="1"/>
  <c r="F35" i="49"/>
  <c r="H35" i="49" s="1"/>
  <c r="E35" i="49"/>
  <c r="S30" i="49"/>
  <c r="G30" i="49"/>
  <c r="I30" i="49" s="1"/>
  <c r="F30" i="49"/>
  <c r="H30" i="49" s="1"/>
  <c r="E30" i="49"/>
  <c r="S25" i="49"/>
  <c r="G25" i="49"/>
  <c r="I25" i="49" s="1"/>
  <c r="F25" i="49"/>
  <c r="H25" i="49" s="1"/>
  <c r="E25" i="49"/>
  <c r="S20" i="49"/>
  <c r="G20" i="49"/>
  <c r="I20" i="49" s="1"/>
  <c r="F20" i="49"/>
  <c r="H20" i="49" s="1"/>
  <c r="E20" i="49"/>
  <c r="S12" i="49"/>
  <c r="G12" i="49"/>
  <c r="I12" i="49" s="1"/>
  <c r="F12" i="49"/>
  <c r="H12" i="49" s="1"/>
  <c r="E12" i="49"/>
  <c r="S16" i="49"/>
  <c r="G16" i="49"/>
  <c r="I16" i="49" s="1"/>
  <c r="F16" i="49"/>
  <c r="H16" i="49" s="1"/>
  <c r="E16" i="49"/>
  <c r="S5" i="49"/>
  <c r="I5" i="49"/>
  <c r="F5" i="49"/>
  <c r="H5" i="49" s="1"/>
  <c r="E5" i="49"/>
  <c r="S51" i="49"/>
  <c r="G51" i="49"/>
  <c r="I51" i="49" s="1"/>
  <c r="F51" i="49"/>
  <c r="H51" i="49" s="1"/>
  <c r="E51" i="49"/>
  <c r="S4" i="49"/>
  <c r="I4" i="49"/>
  <c r="F4" i="49"/>
  <c r="H4" i="49" s="1"/>
  <c r="E4" i="49"/>
  <c r="S59" i="49"/>
  <c r="G59" i="49"/>
  <c r="I59" i="49" s="1"/>
  <c r="F59" i="49"/>
  <c r="H59" i="49" s="1"/>
  <c r="E59" i="49"/>
  <c r="S50" i="49"/>
  <c r="G50" i="49"/>
  <c r="I50" i="49" s="1"/>
  <c r="F50" i="49"/>
  <c r="H50" i="49" s="1"/>
  <c r="E50" i="49"/>
  <c r="S39" i="49"/>
  <c r="G39" i="49"/>
  <c r="I39" i="49" s="1"/>
  <c r="F39" i="49"/>
  <c r="H39" i="49" s="1"/>
  <c r="E39" i="49"/>
  <c r="S112" i="49"/>
  <c r="G112" i="49"/>
  <c r="I112" i="49" s="1"/>
  <c r="F112" i="49"/>
  <c r="H112" i="49" s="1"/>
  <c r="E112" i="49"/>
  <c r="S110" i="49"/>
  <c r="G110" i="49"/>
  <c r="I110" i="49" s="1"/>
  <c r="F110" i="49"/>
  <c r="H110" i="49" s="1"/>
  <c r="E110" i="49"/>
  <c r="S46" i="49"/>
  <c r="G46" i="49"/>
  <c r="I46" i="49" s="1"/>
  <c r="F46" i="49"/>
  <c r="H46" i="49" s="1"/>
  <c r="E46" i="49"/>
  <c r="S34" i="49"/>
  <c r="G34" i="49"/>
  <c r="I34" i="49" s="1"/>
  <c r="F34" i="49"/>
  <c r="H34" i="49" s="1"/>
  <c r="E34" i="49"/>
  <c r="S29" i="49"/>
  <c r="G29" i="49"/>
  <c r="I29" i="49" s="1"/>
  <c r="F29" i="49"/>
  <c r="H29" i="49" s="1"/>
  <c r="E29" i="49"/>
  <c r="S113" i="49"/>
  <c r="G113" i="49"/>
  <c r="I113" i="49" s="1"/>
  <c r="F113" i="49"/>
  <c r="H113" i="49" s="1"/>
  <c r="E113" i="49"/>
  <c r="S99" i="49"/>
  <c r="G99" i="49"/>
  <c r="I99" i="49" s="1"/>
  <c r="F99" i="49"/>
  <c r="H99" i="49" s="1"/>
  <c r="E99" i="49"/>
  <c r="S98" i="49"/>
  <c r="G98" i="49"/>
  <c r="F98" i="49"/>
  <c r="H98" i="49" s="1"/>
  <c r="E98" i="49"/>
  <c r="S97" i="49"/>
  <c r="G97" i="49"/>
  <c r="F97" i="49"/>
  <c r="H97" i="49" s="1"/>
  <c r="E97" i="49"/>
  <c r="S96" i="49"/>
  <c r="G96" i="49"/>
  <c r="I96" i="49" s="1"/>
  <c r="F96" i="49"/>
  <c r="H96" i="49" s="1"/>
  <c r="E96" i="49"/>
  <c r="S94" i="49"/>
  <c r="I94" i="49"/>
  <c r="F94" i="49"/>
  <c r="H94" i="49" s="1"/>
  <c r="E94" i="49"/>
  <c r="S91" i="49"/>
  <c r="G91" i="49"/>
  <c r="I91" i="49" s="1"/>
  <c r="F91" i="49"/>
  <c r="H91" i="49" s="1"/>
  <c r="E91" i="49"/>
  <c r="S89" i="49"/>
  <c r="G89" i="49"/>
  <c r="I89" i="49" s="1"/>
  <c r="F89" i="49"/>
  <c r="H89" i="49" s="1"/>
  <c r="E89" i="49"/>
  <c r="S88" i="49"/>
  <c r="G88" i="49"/>
  <c r="I88" i="49" s="1"/>
  <c r="F88" i="49"/>
  <c r="H88" i="49" s="1"/>
  <c r="E88" i="49"/>
  <c r="S82" i="49"/>
  <c r="H82" i="49"/>
  <c r="R82" i="49" s="1"/>
  <c r="S78" i="49"/>
  <c r="H78" i="49"/>
  <c r="R78" i="49" s="1"/>
  <c r="S73" i="49"/>
  <c r="I73" i="49"/>
  <c r="H73" i="49"/>
  <c r="S67" i="49"/>
  <c r="G67" i="49"/>
  <c r="I67" i="49" s="1"/>
  <c r="F67" i="49"/>
  <c r="H67" i="49" s="1"/>
  <c r="E67" i="49"/>
  <c r="S64" i="49"/>
  <c r="G64" i="49"/>
  <c r="I64" i="49" s="1"/>
  <c r="F64" i="49"/>
  <c r="H64" i="49"/>
  <c r="E64" i="49"/>
  <c r="S61" i="49"/>
  <c r="G61" i="49"/>
  <c r="I61" i="49"/>
  <c r="F61" i="49"/>
  <c r="H61" i="49" s="1"/>
  <c r="E61" i="49"/>
  <c r="S57" i="49"/>
  <c r="G57" i="49"/>
  <c r="I57" i="49" s="1"/>
  <c r="F57" i="49"/>
  <c r="H57" i="49" s="1"/>
  <c r="E57" i="49"/>
  <c r="S55" i="49"/>
  <c r="G55" i="49"/>
  <c r="I55" i="49" s="1"/>
  <c r="F55" i="49"/>
  <c r="H55" i="49" s="1"/>
  <c r="E55" i="49"/>
  <c r="S54" i="49"/>
  <c r="G54" i="49"/>
  <c r="I54" i="49" s="1"/>
  <c r="F54" i="49"/>
  <c r="H54" i="49" s="1"/>
  <c r="E54" i="49"/>
  <c r="S53" i="49"/>
  <c r="G53" i="49"/>
  <c r="I53" i="49" s="1"/>
  <c r="F53" i="49"/>
  <c r="H53" i="49" s="1"/>
  <c r="E53" i="49"/>
  <c r="S44" i="49"/>
  <c r="G44" i="49"/>
  <c r="I44" i="49" s="1"/>
  <c r="F44" i="49"/>
  <c r="H44" i="49" s="1"/>
  <c r="E44" i="49"/>
  <c r="S42" i="49"/>
  <c r="G42" i="49"/>
  <c r="I42" i="49" s="1"/>
  <c r="F42" i="49"/>
  <c r="H42" i="49" s="1"/>
  <c r="E42" i="49"/>
  <c r="S40" i="49"/>
  <c r="G40" i="49"/>
  <c r="I40" i="49" s="1"/>
  <c r="F40" i="49"/>
  <c r="H40" i="49" s="1"/>
  <c r="E40" i="49"/>
  <c r="S24" i="49"/>
  <c r="G24" i="49"/>
  <c r="I24" i="49" s="1"/>
  <c r="F24" i="49"/>
  <c r="H24" i="49" s="1"/>
  <c r="E24" i="49"/>
  <c r="S15" i="49"/>
  <c r="G15" i="49"/>
  <c r="I15" i="49" s="1"/>
  <c r="F15" i="49"/>
  <c r="H15" i="49" s="1"/>
  <c r="E15" i="49"/>
  <c r="R49" i="49" l="1"/>
  <c r="R47" i="49"/>
  <c r="R56" i="49"/>
  <c r="R58" i="49"/>
  <c r="R60" i="49"/>
  <c r="R95" i="49"/>
  <c r="R9" i="49"/>
  <c r="R4" i="49"/>
  <c r="R12" i="49"/>
  <c r="R19" i="49"/>
  <c r="R69" i="49"/>
  <c r="R22" i="49"/>
  <c r="R71" i="49"/>
  <c r="R15" i="49"/>
  <c r="R73" i="49"/>
  <c r="R94" i="49"/>
  <c r="R103" i="49"/>
  <c r="R89" i="49"/>
  <c r="R13" i="49"/>
  <c r="R26" i="49"/>
  <c r="R54" i="49"/>
  <c r="R91" i="49"/>
  <c r="R59" i="49"/>
  <c r="R16" i="49"/>
  <c r="R45" i="49"/>
  <c r="R62" i="49"/>
  <c r="R74" i="49"/>
  <c r="R75" i="49"/>
  <c r="R88" i="49"/>
  <c r="R17" i="49"/>
  <c r="R111" i="49"/>
  <c r="R53" i="49"/>
  <c r="R110" i="49"/>
  <c r="R50" i="49"/>
  <c r="R55" i="49"/>
  <c r="R90" i="49"/>
  <c r="R65" i="49"/>
  <c r="R96" i="49"/>
  <c r="R67" i="49"/>
  <c r="R24" i="49"/>
  <c r="R44" i="49"/>
  <c r="R64" i="49"/>
  <c r="R99" i="49"/>
  <c r="R46" i="49"/>
  <c r="R39" i="49"/>
  <c r="R51" i="49"/>
  <c r="R20" i="49"/>
  <c r="R35" i="49"/>
  <c r="R31" i="49"/>
  <c r="R43" i="49"/>
  <c r="R8" i="49"/>
  <c r="R32" i="49"/>
  <c r="R61" i="49"/>
  <c r="R40" i="49"/>
  <c r="R57" i="49"/>
  <c r="R97" i="49"/>
  <c r="R42" i="49"/>
  <c r="R98" i="49"/>
  <c r="R34" i="49"/>
  <c r="R112" i="49"/>
  <c r="R30" i="49"/>
  <c r="R102" i="49"/>
  <c r="R41" i="49"/>
  <c r="R37" i="49"/>
  <c r="R109" i="49"/>
  <c r="R113" i="49"/>
  <c r="R29" i="49"/>
  <c r="R25" i="49"/>
  <c r="R36" i="49"/>
  <c r="R27" i="49"/>
  <c r="R21" i="49"/>
  <c r="R5" i="49"/>
</calcChain>
</file>

<file path=xl/sharedStrings.xml><?xml version="1.0" encoding="utf-8"?>
<sst xmlns="http://schemas.openxmlformats.org/spreadsheetml/2006/main" count="1184" uniqueCount="209">
  <si>
    <t>-</t>
  </si>
  <si>
    <t>AEM</t>
  </si>
  <si>
    <t>LTGS.INNENLEUCHTE</t>
  </si>
  <si>
    <t>LTGS.LAUTSPRECHER</t>
  </si>
  <si>
    <t xml:space="preserve">L0L </t>
  </si>
  <si>
    <t>LTGS.AIRBAG</t>
  </si>
  <si>
    <t>LTGS.KLIMAANLAGE</t>
  </si>
  <si>
    <t>LTGS.SITZHEIZUNG</t>
  </si>
  <si>
    <t>LTGS.LENKSAULENV.</t>
  </si>
  <si>
    <t>LTGS.NOTRUF</t>
  </si>
  <si>
    <t>LTGS.DIAGNOSE</t>
  </si>
  <si>
    <t>LTGS.LWL</t>
  </si>
  <si>
    <t>LTGS.KAMERA</t>
  </si>
  <si>
    <t>LTGS.ASSISTENT</t>
  </si>
  <si>
    <t xml:space="preserve">L0L+9R1 </t>
  </si>
  <si>
    <t xml:space="preserve">L0L+QQ0 </t>
  </si>
  <si>
    <t xml:space="preserve">L0L+QQ1 </t>
  </si>
  <si>
    <t>LEITUNGSSTRANG</t>
  </si>
  <si>
    <t>x</t>
  </si>
  <si>
    <t>L0L+2C7</t>
  </si>
  <si>
    <t>9J1_974_029</t>
  </si>
  <si>
    <t>9J1_974_029_A</t>
  </si>
  <si>
    <t>9J1_974_029_B</t>
  </si>
  <si>
    <t>9J1_974_029_C</t>
  </si>
  <si>
    <t>9J1_974_072</t>
  </si>
  <si>
    <t>9J1_974_076</t>
  </si>
  <si>
    <t>9J1_974_076_A</t>
  </si>
  <si>
    <t>9J1_974_076_B</t>
  </si>
  <si>
    <t>LTGS.VORBEREI.TEL.</t>
  </si>
  <si>
    <t>LTGS.LENKRAD</t>
  </si>
  <si>
    <t>9J1_974_089</t>
  </si>
  <si>
    <t>9J1_974_128</t>
  </si>
  <si>
    <t>9J1_974_136</t>
  </si>
  <si>
    <t>L0L+4A4+9AD</t>
  </si>
  <si>
    <t>LTGS.MULTIMEDIA</t>
  </si>
  <si>
    <t>L0L+JH1</t>
  </si>
  <si>
    <t>LTGS.RADIO</t>
  </si>
  <si>
    <t>9J1_974_216</t>
  </si>
  <si>
    <t>9J1_974_219</t>
  </si>
  <si>
    <t>9J1_974_219_B</t>
  </si>
  <si>
    <t>9J1_974_219_D</t>
  </si>
  <si>
    <t>9J1_974_230</t>
  </si>
  <si>
    <t>LTGS.FUNKUHR</t>
  </si>
  <si>
    <t>9J1_974_261</t>
  </si>
  <si>
    <t>9J1_974_267</t>
  </si>
  <si>
    <t>9J1_974_325</t>
  </si>
  <si>
    <t>9J1_974_327</t>
  </si>
  <si>
    <t>9J1_974_328</t>
  </si>
  <si>
    <t>L0L+KA2</t>
  </si>
  <si>
    <t>LTGS.NAVIGAT.SYST.</t>
  </si>
  <si>
    <t>9J1_974_329</t>
  </si>
  <si>
    <t xml:space="preserve">L0L+7UG </t>
  </si>
  <si>
    <t>9J1_974_412</t>
  </si>
  <si>
    <t>L0L+GJ2</t>
  </si>
  <si>
    <t>9J1_974_901</t>
  </si>
  <si>
    <t>9J1_974_901_A</t>
  </si>
  <si>
    <t>L0L+9VL/9VJ</t>
  </si>
  <si>
    <t>VT01</t>
  </si>
  <si>
    <t>VT03</t>
  </si>
  <si>
    <t>A</t>
  </si>
  <si>
    <t>B</t>
  </si>
  <si>
    <t>L0L+KA6</t>
  </si>
  <si>
    <t>PPE</t>
  </si>
  <si>
    <t>L0L+2V1+KH5</t>
  </si>
  <si>
    <t>L0L+2V3+KH5</t>
  </si>
  <si>
    <t>LTGS.PROJEKTOR</t>
  </si>
  <si>
    <t>9J1_974_321</t>
  </si>
  <si>
    <t>L0L+KS1</t>
  </si>
  <si>
    <t>VT04</t>
  </si>
  <si>
    <t>L0L+2ZC/2ZX/2PJ/2ZW/2PF/2FM</t>
  </si>
  <si>
    <t>L0L+IW1/IW3</t>
  </si>
  <si>
    <t>L0L</t>
  </si>
  <si>
    <t>L0L+2V1+9AD</t>
  </si>
  <si>
    <t>L0L+2V3+9AD</t>
  </si>
  <si>
    <t>L0L+9VK</t>
  </si>
  <si>
    <t>L0L+9VL</t>
  </si>
  <si>
    <t>L0L+9VJ</t>
  </si>
  <si>
    <t>L0L+4UF</t>
  </si>
  <si>
    <t>9J1_974_412_A</t>
  </si>
  <si>
    <t>9J1_974_077_A</t>
  </si>
  <si>
    <t>L0L+8LH//L0L+8LC/8LE+K8X</t>
  </si>
  <si>
    <t>LTGS.ANTENNE.LIM</t>
  </si>
  <si>
    <t>K8S+L0L+QV3+ER1/ER2/ER4/ER6/ER7/ER8</t>
  </si>
  <si>
    <t>K8S+L0L+QV0+ER1/ER2/ER4/ER6/ER7/ER8</t>
  </si>
  <si>
    <t>K8S+L0L+QU8+ER3</t>
  </si>
  <si>
    <t>LTGS.ANTENNE.CUV</t>
  </si>
  <si>
    <t>9J0_974_222</t>
  </si>
  <si>
    <t>K8X+L0L+QV3+ER1/ER2/ER4/ER6/ER7/ER8</t>
  </si>
  <si>
    <t>9J0_974_222_A</t>
  </si>
  <si>
    <t>K8X+L0L+QV0+ER1/ER2/ER4/ER6/ER7/ER8</t>
  </si>
  <si>
    <t>9J0_974_222_B</t>
  </si>
  <si>
    <t>K8X+L0L+QU8+ER3</t>
  </si>
  <si>
    <t>C</t>
  </si>
  <si>
    <t>TAB_052_662</t>
  </si>
  <si>
    <t>9J1_974_728_A</t>
  </si>
  <si>
    <t>L0L+I8L+F0Q/F0Y</t>
  </si>
  <si>
    <t>9J1_974_216_A</t>
  </si>
  <si>
    <t>L0L+I8L+F0A/F0C</t>
  </si>
  <si>
    <t>L0L+F0Q/F0Y</t>
  </si>
  <si>
    <t>2J2LC0321601A</t>
  </si>
  <si>
    <t>2J2LC0321600B</t>
  </si>
  <si>
    <t>2J2LC0321800B</t>
  </si>
  <si>
    <t>2J2LC0307700B</t>
  </si>
  <si>
    <t>D</t>
  </si>
  <si>
    <t>2J2LC0100000C</t>
  </si>
  <si>
    <t>2J2LC0102900C</t>
  </si>
  <si>
    <t>2J2LC0400000C</t>
  </si>
  <si>
    <t>2J2LC0432100C</t>
  </si>
  <si>
    <t xml:space="preserve">TAB             </t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</si>
  <si>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</si>
  <si>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</si>
  <si>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</si>
  <si>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</si>
  <si>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</si>
  <si>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</si>
  <si>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</si>
  <si>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 xml:space="preserve">interner Index </t>
  </si>
  <si>
    <t>interner Index neu</t>
  </si>
  <si>
    <t>Teilgültigkeit (Pr.-Nummer)</t>
  </si>
  <si>
    <t>Einsatz
(JJKW)</t>
  </si>
  <si>
    <t>Entfall
(JJKW)</t>
  </si>
  <si>
    <t>Geändert mit Revisions-
stand           (KM-Liste)</t>
  </si>
  <si>
    <t>Kunden-teilenummer</t>
  </si>
  <si>
    <t>interne 
Teilenummer</t>
  </si>
  <si>
    <r>
      <t>Aktuelle Varianten für SONATA:
(</t>
    </r>
    <r>
      <rPr>
        <b/>
        <sz val="10"/>
        <rFont val="Calibri"/>
        <family val="2"/>
        <charset val="238"/>
      </rPr>
      <t>Jahr - KW)</t>
    </r>
  </si>
  <si>
    <t>Zusatz formula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</si>
  <si>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</si>
  <si>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</si>
  <si>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</si>
  <si>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</si>
  <si>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</si>
  <si>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</si>
  <si>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</si>
  <si>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vor dem Filtern richtiges Jahr / KW eintragen // before set the filter write in right Year / CW</t>
  </si>
  <si>
    <t>2J15J1LL02</t>
  </si>
  <si>
    <t>A0</t>
  </si>
  <si>
    <t>B0</t>
  </si>
  <si>
    <t>L0L+4UB</t>
  </si>
  <si>
    <t>9J1_974_029_D</t>
  </si>
  <si>
    <t>9J1_974_029_E</t>
  </si>
  <si>
    <t>L0L+2V4+9AD</t>
  </si>
  <si>
    <t>L0L+2V4+KH5</t>
  </si>
  <si>
    <t xml:space="preserve">L0L+9ZE </t>
  </si>
  <si>
    <t>9J1_974_218_A</t>
  </si>
  <si>
    <t>9J1_974_000_B</t>
  </si>
  <si>
    <t>BL26</t>
  </si>
  <si>
    <t>L0L+2ZC/2ZX/2PJ/2ZW/2PF/2FM/1XF/2PS</t>
  </si>
  <si>
    <t>E</t>
  </si>
  <si>
    <t>2J2LC0100000D</t>
  </si>
  <si>
    <t>2J2LC0400000D</t>
  </si>
  <si>
    <t>2J2LC0102900D</t>
  </si>
  <si>
    <t>2J2LC0307700C</t>
  </si>
  <si>
    <t>2J2LC0321600C</t>
  </si>
  <si>
    <t>2J2LC0321601B</t>
  </si>
  <si>
    <t>2J2LC0321800C</t>
  </si>
  <si>
    <t>2J2LC0432100D</t>
  </si>
  <si>
    <t>9J1_974_412_B</t>
  </si>
  <si>
    <t>BL27</t>
  </si>
  <si>
    <t>F</t>
  </si>
  <si>
    <t>L0L+8LH/8LU//L0L+8LC/8LE+K8X</t>
  </si>
  <si>
    <t>6012,AWE_6533</t>
  </si>
  <si>
    <t>6023,AWE_6533</t>
  </si>
  <si>
    <t>K8S+L0L+QV3+ER1/ER2/ER6/ER7/ER8</t>
  </si>
  <si>
    <t>K8S+L0L+QV0+ER1/ER2/ER6/ER7/ER8</t>
  </si>
  <si>
    <t>9J1_974_219_G</t>
  </si>
  <si>
    <t>K8S+L0L+QV0+ER4</t>
  </si>
  <si>
    <t>K8X+L0L+QV3+ER1/ER2/ER6/ER7/ER8</t>
  </si>
  <si>
    <t>K8X+L0L+QV0+ER1/ER2/ER6/ER7/ER8</t>
  </si>
  <si>
    <t>9J0_974_222_C</t>
  </si>
  <si>
    <t>K8X+L0L+QV0+ER4</t>
  </si>
  <si>
    <t>G</t>
  </si>
  <si>
    <t>C0</t>
  </si>
  <si>
    <t>BL28</t>
  </si>
  <si>
    <t>BL27,BL28</t>
  </si>
  <si>
    <t>9J1_974_077_B</t>
  </si>
  <si>
    <t>L0L+9ZE+GB0</t>
  </si>
  <si>
    <t>9J1_974_000_C</t>
  </si>
  <si>
    <t>9J1_974_219_H</t>
  </si>
  <si>
    <t>K8S+L0L+QV6</t>
  </si>
  <si>
    <t>K8X+L0L+QV3+ER1/ER2/ER6/ER7/ER8//K8X+L0L+QV6</t>
  </si>
  <si>
    <t>H</t>
  </si>
  <si>
    <t>L0L+9ZE+GB1/GB2/GB3</t>
  </si>
  <si>
    <t>6002,6015,6611</t>
  </si>
  <si>
    <t>LTGS.ANTENNEN</t>
  </si>
  <si>
    <t>9J1_974_656</t>
  </si>
  <si>
    <t>L0L+IV1/IV2/IV3/IV4/IV5/IV6/IV7/IV8/JE0/JE1/JE2/JE3/JE4/JE5/JE6</t>
  </si>
  <si>
    <t>6025,6618,6622,6053</t>
  </si>
  <si>
    <t>6628storno</t>
  </si>
  <si>
    <t>L0L+2ZC/2ZX/2PJ/2ZW/2PF/2FM/1XF/2PS//L0L+2ZP</t>
  </si>
  <si>
    <t>K8X+L0L+QV3+ER1/ER2/ER6/ER7/ER8//K8X+L0L+QV6//K8D+L0L+QV3+ER1/ER2/ER6/ER7/ER8//K8D+L0L+QV6</t>
  </si>
  <si>
    <t>K8X+L0L+QV0+ER1/ER2/ER6/ER7/ER8//K8D+L0L+QV0+ER1/ER2/ER6/ER7/ER8</t>
  </si>
  <si>
    <t>K8X+L0L+QU8+ER3//K8D+L0L+QU8+ER3</t>
  </si>
  <si>
    <t>K8X+L0L+QV0+ER4//K8D+L0L+QV0+ER4</t>
  </si>
  <si>
    <t>7007, 7012</t>
  </si>
  <si>
    <t>9JA_974_295_A</t>
  </si>
  <si>
    <t>9J1_974_295_A</t>
  </si>
  <si>
    <t>LTGS:SCHNITTSTELLE</t>
  </si>
  <si>
    <t>9JA_974_295</t>
  </si>
  <si>
    <t>1J219JA295</t>
  </si>
  <si>
    <t>1J219JA295A0A</t>
  </si>
  <si>
    <t>AKTUELL</t>
  </si>
  <si>
    <t>9J1_974_295</t>
  </si>
  <si>
    <t>1J219J1295</t>
  </si>
  <si>
    <t>1J219J1295A0A</t>
  </si>
  <si>
    <t>7204_7208</t>
  </si>
  <si>
    <t>LTGS.MAUTSYSTEM</t>
  </si>
  <si>
    <t>9J1_974_445</t>
  </si>
  <si>
    <t>L0L+9B1</t>
  </si>
  <si>
    <t>AWE_7533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</si>
</sst>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0"/>
    <numFmt numFmtId="166" formatCode="0000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</font>
    <font>
      <sz val="10"/>
      <name val="Helv"/>
    </font>
    <font>
      <sz val="10"/>
      <name val="Andale Mono"/>
    </font>
    <font>
      <sz val="10"/>
      <name val="Arial CE"/>
      <charset val="238"/>
    </font>
    <font>
      <sz val="10"/>
      <name val="Arial"/>
      <family val="2"/>
      <charset val="238"/>
    </font>
    <font>
      <sz val="10"/>
      <name val="Arial CE"/>
    </font>
    <font>
      <b/>
      <sz val="10"/>
      <name val="Calibri"/>
      <family val="2"/>
      <charset val="238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CE"/>
      <family val="2"/>
      <charset val="238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trike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70C0"/>
      <name val="Calibri"/>
      <family val="2"/>
      <charset val="238"/>
      <scheme val="minor"/>
    </font>
    <font>
      <sz val="10"/>
      <color rgb="FF0070C0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8"/>
      <color indexed="8"/>
      <name val="Calibri"/>
      <family val="2"/>
      <charset val="238"/>
      <scheme val="minor"/>
    </font>
    <font>
      <sz val="10"/>
      <name val="Calibri"/>
      <family val="2"/>
      <scheme val="minor"/>
    </font>
    <font>
      <strike/>
      <sz val="10"/>
      <color rgb="FFFF0000"/>
      <name val="Calibri"/>
      <family val="2"/>
      <charset val="238"/>
      <scheme val="minor"/>
    </font>
    <font>
      <strike/>
      <sz val="11"/>
      <color rgb="FFFF0000"/>
      <name val="Calibri"/>
      <family val="2"/>
      <charset val="238"/>
      <scheme val="minor"/>
    </font>
    <font>
      <strike/>
      <sz val="8"/>
      <color rgb="FFFF0000"/>
      <name val="Arial"/>
      <family val="2"/>
      <charset val="238"/>
    </font>
    <font>
      <sz val="8"/>
      <color rgb="FF0070C0"/>
      <name val="Arial"/>
      <family val="2"/>
      <charset val="238"/>
    </font>
    <font>
      <sz val="8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7">
    <xf numFmtId="0" fontId="0" fillId="0" borderId="0"/>
    <xf numFmtId="0" fontId="15" fillId="0" borderId="0" applyNumberFormat="0" applyFill="0" applyBorder="0" applyAlignment="0" applyProtection="0"/>
    <xf numFmtId="0" fontId="13" fillId="0" borderId="0"/>
    <xf numFmtId="0" fontId="13" fillId="0" borderId="0"/>
    <xf numFmtId="0" fontId="14" fillId="0" borderId="0"/>
    <xf numFmtId="0" fontId="14" fillId="0" borderId="0"/>
    <xf numFmtId="0" fontId="7" fillId="0" borderId="0"/>
    <xf numFmtId="0" fontId="2" fillId="0" borderId="0"/>
    <xf numFmtId="0" fontId="8" fillId="0" borderId="0"/>
    <xf numFmtId="0" fontId="2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9" fontId="13" fillId="0" borderId="0" applyFont="0" applyFill="0" applyBorder="0" applyAlignment="0" applyProtection="0"/>
    <xf numFmtId="0" fontId="1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2" fillId="0" borderId="0"/>
    <xf numFmtId="0" fontId="3" fillId="0" borderId="0"/>
    <xf numFmtId="0" fontId="5" fillId="0" borderId="0"/>
    <xf numFmtId="0" fontId="5" fillId="0" borderId="0"/>
    <xf numFmtId="0" fontId="4" fillId="0" borderId="0"/>
    <xf numFmtId="0" fontId="4" fillId="0" borderId="0"/>
  </cellStyleXfs>
  <cellXfs count="140">
    <xf numFmtId="0" fontId="0" fillId="0" borderId="0" xfId="0"/>
    <xf numFmtId="0" fontId="0" fillId="0" borderId="0" xfId="0" applyFill="1"/>
    <xf numFmtId="0" fontId="0" fillId="0" borderId="0" xfId="0"/>
    <xf numFmtId="0" fontId="17" fillId="0" borderId="0" xfId="0" applyFont="1" applyFill="1"/>
    <xf numFmtId="0" fontId="14" fillId="0" borderId="0" xfId="0" applyFont="1" applyFill="1"/>
    <xf numFmtId="0" fontId="18" fillId="0" borderId="0" xfId="0" applyFont="1" applyFill="1"/>
    <xf numFmtId="0" fontId="18" fillId="0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left"/>
    </xf>
    <xf numFmtId="0" fontId="19" fillId="0" borderId="0" xfId="0" applyFont="1" applyFill="1"/>
    <xf numFmtId="0" fontId="17" fillId="0" borderId="0" xfId="0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0" fontId="14" fillId="0" borderId="0" xfId="0" applyFont="1"/>
    <xf numFmtId="0" fontId="19" fillId="0" borderId="0" xfId="25" applyFont="1" applyFill="1" applyBorder="1" applyAlignment="1">
      <alignment horizontal="left" vertical="center"/>
    </xf>
    <xf numFmtId="0" fontId="14" fillId="0" borderId="0" xfId="0" applyFont="1" applyAlignment="1">
      <alignment horizontal="center"/>
    </xf>
    <xf numFmtId="0" fontId="17" fillId="0" borderId="0" xfId="0" applyFont="1"/>
    <xf numFmtId="0" fontId="24" fillId="0" borderId="0" xfId="0" applyFont="1" applyFill="1"/>
    <xf numFmtId="0" fontId="25" fillId="0" borderId="0" xfId="0" applyFont="1" applyFill="1"/>
    <xf numFmtId="0" fontId="25" fillId="0" borderId="0" xfId="0" applyFont="1" applyFill="1" applyAlignment="1">
      <alignment horizontal="center"/>
    </xf>
    <xf numFmtId="0" fontId="25" fillId="0" borderId="0" xfId="0" applyFont="1" applyFill="1" applyBorder="1"/>
    <xf numFmtId="0" fontId="26" fillId="0" borderId="0" xfId="0" applyFont="1" applyFill="1" applyAlignment="1">
      <alignment horizontal="left"/>
    </xf>
    <xf numFmtId="0" fontId="25" fillId="4" borderId="0" xfId="0" applyFont="1" applyFill="1"/>
    <xf numFmtId="49" fontId="21" fillId="5" borderId="3" xfId="24" applyNumberFormat="1" applyFont="1" applyFill="1" applyBorder="1" applyAlignment="1">
      <alignment horizontal="center" wrapText="1"/>
    </xf>
    <xf numFmtId="49" fontId="27" fillId="5" borderId="3" xfId="24" applyNumberFormat="1" applyFont="1" applyFill="1" applyBorder="1" applyAlignment="1"/>
    <xf numFmtId="49" fontId="27" fillId="5" borderId="3" xfId="24" applyNumberFormat="1" applyFont="1" applyFill="1" applyBorder="1" applyAlignment="1">
      <alignment horizontal="center" wrapText="1"/>
    </xf>
    <xf numFmtId="49" fontId="27" fillId="5" borderId="2" xfId="24" applyNumberFormat="1" applyFont="1" applyFill="1" applyBorder="1" applyAlignment="1">
      <alignment horizontal="center" wrapText="1"/>
    </xf>
    <xf numFmtId="49" fontId="27" fillId="5" borderId="4" xfId="24" applyNumberFormat="1" applyFont="1" applyFill="1" applyBorder="1" applyAlignment="1">
      <alignment horizontal="center" wrapText="1"/>
    </xf>
    <xf numFmtId="165" fontId="27" fillId="5" borderId="1" xfId="24" applyNumberFormat="1" applyFont="1" applyFill="1" applyBorder="1" applyAlignment="1">
      <alignment horizontal="center" textRotation="90" wrapText="1"/>
    </xf>
    <xf numFmtId="49" fontId="27" fillId="5" borderId="2" xfId="24" applyNumberFormat="1" applyFont="1" applyFill="1" applyBorder="1" applyAlignment="1">
      <alignment horizontal="center" textRotation="90" wrapText="1"/>
    </xf>
    <xf numFmtId="49" fontId="27" fillId="5" borderId="2" xfId="24" applyNumberFormat="1" applyFont="1" applyFill="1" applyBorder="1" applyAlignment="1"/>
    <xf numFmtId="49" fontId="27" fillId="5" borderId="2" xfId="24" applyNumberFormat="1" applyFont="1" applyFill="1" applyBorder="1" applyAlignment="1">
      <alignment horizontal="left"/>
    </xf>
    <xf numFmtId="1" fontId="21" fillId="5" borderId="2" xfId="24" applyNumberFormat="1" applyFont="1" applyFill="1" applyBorder="1" applyAlignment="1">
      <alignment horizontal="center" wrapText="1"/>
    </xf>
    <xf numFmtId="49" fontId="21" fillId="5" borderId="1" xfId="23" applyNumberFormat="1" applyFont="1" applyFill="1" applyBorder="1" applyAlignment="1">
      <alignment horizontal="center" wrapText="1"/>
    </xf>
    <xf numFmtId="49" fontId="21" fillId="0" borderId="1" xfId="23" applyNumberFormat="1" applyFont="1" applyFill="1" applyBorder="1" applyAlignment="1">
      <alignment horizontal="center" wrapText="1"/>
    </xf>
    <xf numFmtId="9" fontId="10" fillId="0" borderId="1" xfId="14" applyFont="1" applyFill="1" applyBorder="1" applyAlignment="1">
      <alignment horizontal="center" textRotation="90" wrapText="1"/>
    </xf>
    <xf numFmtId="49" fontId="10" fillId="5" borderId="2" xfId="24" applyNumberFormat="1" applyFont="1" applyFill="1" applyBorder="1" applyAlignment="1">
      <alignment horizontal="center" textRotation="90" wrapText="1"/>
    </xf>
    <xf numFmtId="0" fontId="21" fillId="5" borderId="1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49" fontId="28" fillId="0" borderId="0" xfId="23" applyNumberFormat="1" applyFont="1" applyFill="1" applyAlignment="1"/>
    <xf numFmtId="49" fontId="19" fillId="0" borderId="0" xfId="23" applyNumberFormat="1" applyFont="1" applyFill="1" applyAlignment="1"/>
    <xf numFmtId="49" fontId="21" fillId="0" borderId="3" xfId="24" applyNumberFormat="1" applyFont="1" applyFill="1" applyBorder="1" applyAlignment="1">
      <alignment horizontal="center" wrapText="1"/>
    </xf>
    <xf numFmtId="49" fontId="27" fillId="0" borderId="3" xfId="24" applyNumberFormat="1" applyFont="1" applyFill="1" applyBorder="1" applyAlignment="1"/>
    <xf numFmtId="49" fontId="27" fillId="0" borderId="3" xfId="24" applyNumberFormat="1" applyFont="1" applyFill="1" applyBorder="1" applyAlignment="1">
      <alignment horizontal="center" wrapText="1"/>
    </xf>
    <xf numFmtId="49" fontId="27" fillId="0" borderId="2" xfId="24" applyNumberFormat="1" applyFont="1" applyFill="1" applyBorder="1" applyAlignment="1">
      <alignment horizontal="center" wrapText="1"/>
    </xf>
    <xf numFmtId="49" fontId="27" fillId="0" borderId="4" xfId="24" applyNumberFormat="1" applyFont="1" applyFill="1" applyBorder="1" applyAlignment="1">
      <alignment horizontal="center" wrapText="1"/>
    </xf>
    <xf numFmtId="165" fontId="27" fillId="0" borderId="1" xfId="24" applyNumberFormat="1" applyFont="1" applyFill="1" applyBorder="1" applyAlignment="1">
      <alignment horizontal="center" textRotation="90" wrapText="1"/>
    </xf>
    <xf numFmtId="49" fontId="28" fillId="0" borderId="2" xfId="24" applyNumberFormat="1" applyFont="1" applyFill="1" applyBorder="1" applyAlignment="1">
      <alignment horizontal="center" textRotation="90" wrapText="1"/>
    </xf>
    <xf numFmtId="49" fontId="27" fillId="0" borderId="2" xfId="24" applyNumberFormat="1" applyFont="1" applyFill="1" applyBorder="1" applyAlignment="1"/>
    <xf numFmtId="49" fontId="28" fillId="0" borderId="2" xfId="24" applyNumberFormat="1" applyFont="1" applyFill="1" applyBorder="1" applyAlignment="1">
      <alignment horizontal="left"/>
    </xf>
    <xf numFmtId="1" fontId="21" fillId="0" borderId="2" xfId="24" applyNumberFormat="1" applyFont="1" applyFill="1" applyBorder="1" applyAlignment="1">
      <alignment horizontal="center" wrapText="1"/>
    </xf>
    <xf numFmtId="49" fontId="19" fillId="0" borderId="1" xfId="23" applyNumberFormat="1" applyFont="1" applyFill="1" applyBorder="1" applyAlignment="1">
      <alignment horizontal="center" wrapText="1"/>
    </xf>
    <xf numFmtId="0" fontId="3" fillId="0" borderId="5" xfId="16" applyFont="1" applyBorder="1" applyAlignment="1">
      <alignment horizontal="center" vertical="center" wrapText="1"/>
    </xf>
    <xf numFmtId="9" fontId="11" fillId="0" borderId="1" xfId="14" applyFont="1" applyFill="1" applyBorder="1" applyAlignment="1">
      <alignment horizontal="center" textRotation="90" wrapText="1"/>
    </xf>
    <xf numFmtId="49" fontId="11" fillId="0" borderId="2" xfId="24" applyNumberFormat="1" applyFont="1" applyFill="1" applyBorder="1" applyAlignment="1">
      <alignment horizontal="center" textRotation="90" wrapText="1"/>
    </xf>
    <xf numFmtId="0" fontId="19" fillId="0" borderId="1" xfId="0" applyFont="1" applyFill="1" applyBorder="1" applyAlignment="1">
      <alignment horizontal="center"/>
    </xf>
    <xf numFmtId="0" fontId="19" fillId="0" borderId="0" xfId="0" applyFont="1" applyFill="1" applyAlignment="1">
      <alignment horizontal="center"/>
    </xf>
    <xf numFmtId="0" fontId="20" fillId="0" borderId="0" xfId="0" applyFont="1" applyFill="1" applyAlignment="1">
      <alignment horizontal="center"/>
    </xf>
    <xf numFmtId="49" fontId="27" fillId="2" borderId="1" xfId="24" applyNumberFormat="1" applyFont="1" applyFill="1" applyBorder="1" applyAlignment="1">
      <alignment vertical="top"/>
    </xf>
    <xf numFmtId="49" fontId="27" fillId="2" borderId="1" xfId="24" applyNumberFormat="1" applyFont="1" applyFill="1" applyBorder="1" applyAlignment="1">
      <alignment horizontal="center" vertical="top"/>
    </xf>
    <xf numFmtId="165" fontId="27" fillId="2" borderId="1" xfId="24" applyNumberFormat="1" applyFont="1" applyFill="1" applyBorder="1" applyAlignment="1">
      <alignment horizontal="center" vertical="top"/>
    </xf>
    <xf numFmtId="49" fontId="27" fillId="2" borderId="1" xfId="24" applyNumberFormat="1" applyFont="1" applyFill="1" applyBorder="1" applyAlignment="1">
      <alignment horizontal="left" vertical="top"/>
    </xf>
    <xf numFmtId="49" fontId="28" fillId="2" borderId="1" xfId="24" quotePrefix="1" applyNumberFormat="1" applyFont="1" applyFill="1" applyBorder="1" applyAlignment="1">
      <alignment horizontal="left" vertical="top"/>
    </xf>
    <xf numFmtId="1" fontId="28" fillId="2" borderId="1" xfId="24" applyNumberFormat="1" applyFont="1" applyFill="1" applyBorder="1" applyAlignment="1">
      <alignment horizontal="center"/>
    </xf>
    <xf numFmtId="49" fontId="28" fillId="2" borderId="1" xfId="23" applyNumberFormat="1" applyFont="1" applyFill="1" applyBorder="1" applyAlignment="1">
      <alignment horizontal="center" vertical="top" wrapText="1"/>
    </xf>
    <xf numFmtId="0" fontId="28" fillId="4" borderId="1" xfId="17" applyFont="1" applyFill="1" applyBorder="1" applyAlignment="1">
      <alignment horizontal="center"/>
    </xf>
    <xf numFmtId="166" fontId="29" fillId="4" borderId="1" xfId="17" applyNumberFormat="1" applyFont="1" applyFill="1" applyBorder="1" applyAlignment="1">
      <alignment horizontal="center"/>
    </xf>
    <xf numFmtId="0" fontId="28" fillId="4" borderId="1" xfId="17" applyFont="1" applyFill="1" applyBorder="1" applyAlignment="1">
      <alignment horizontal="left"/>
    </xf>
    <xf numFmtId="0" fontId="30" fillId="0" borderId="1" xfId="0" applyFont="1" applyBorder="1"/>
    <xf numFmtId="0" fontId="30" fillId="0" borderId="0" xfId="0" applyFont="1"/>
    <xf numFmtId="0" fontId="19" fillId="0" borderId="0" xfId="0" applyFont="1" applyFill="1" applyBorder="1"/>
    <xf numFmtId="0" fontId="19" fillId="5" borderId="0" xfId="17" applyFont="1" applyFill="1"/>
    <xf numFmtId="0" fontId="19" fillId="5" borderId="0" xfId="17" applyFont="1" applyFill="1" applyAlignment="1">
      <alignment horizontal="center"/>
    </xf>
    <xf numFmtId="0" fontId="19" fillId="0" borderId="0" xfId="23" applyNumberFormat="1" applyFont="1" applyFill="1" applyAlignment="1"/>
    <xf numFmtId="0" fontId="19" fillId="4" borderId="0" xfId="23" applyNumberFormat="1" applyFont="1" applyFill="1" applyAlignment="1"/>
    <xf numFmtId="0" fontId="18" fillId="0" borderId="0" xfId="0" applyFont="1"/>
    <xf numFmtId="49" fontId="27" fillId="0" borderId="2" xfId="24" applyNumberFormat="1" applyFont="1" applyFill="1" applyBorder="1" applyAlignment="1">
      <alignment horizontal="left" wrapText="1"/>
    </xf>
    <xf numFmtId="0" fontId="18" fillId="0" borderId="0" xfId="0" applyFont="1" applyFill="1" applyAlignment="1">
      <alignment horizontal="center" vertical="center"/>
    </xf>
    <xf numFmtId="0" fontId="19" fillId="5" borderId="0" xfId="17" applyFont="1" applyFill="1" applyAlignment="1"/>
    <xf numFmtId="10" fontId="10" fillId="0" borderId="1" xfId="14" applyNumberFormat="1" applyFont="1" applyFill="1" applyBorder="1" applyAlignment="1">
      <alignment horizontal="center" textRotation="90" wrapText="1"/>
    </xf>
    <xf numFmtId="10" fontId="11" fillId="0" borderId="1" xfId="14" applyNumberFormat="1" applyFont="1" applyFill="1" applyBorder="1" applyAlignment="1">
      <alignment horizontal="center" textRotation="90" wrapText="1"/>
    </xf>
    <xf numFmtId="10" fontId="28" fillId="4" borderId="1" xfId="17" applyNumberFormat="1" applyFont="1" applyFill="1" applyBorder="1" applyAlignment="1">
      <alignment horizontal="left"/>
    </xf>
    <xf numFmtId="10" fontId="18" fillId="0" borderId="0" xfId="0" applyNumberFormat="1" applyFont="1" applyFill="1"/>
    <xf numFmtId="10" fontId="18" fillId="0" borderId="0" xfId="0" applyNumberFormat="1" applyFont="1"/>
    <xf numFmtId="1" fontId="19" fillId="0" borderId="0" xfId="0" applyNumberFormat="1" applyFont="1" applyFill="1" applyAlignment="1">
      <alignment horizontal="right"/>
    </xf>
    <xf numFmtId="0" fontId="31" fillId="5" borderId="0" xfId="0" applyFont="1" applyFill="1"/>
    <xf numFmtId="0" fontId="18" fillId="0" borderId="0" xfId="0" applyFont="1" applyAlignment="1">
      <alignment horizontal="center"/>
    </xf>
    <xf numFmtId="0" fontId="32" fillId="0" borderId="0" xfId="0" applyFont="1" applyFill="1" applyAlignment="1">
      <alignment horizontal="left"/>
    </xf>
    <xf numFmtId="0" fontId="33" fillId="0" borderId="0" xfId="0" applyFont="1" applyFill="1"/>
    <xf numFmtId="0" fontId="33" fillId="0" borderId="0" xfId="0" applyFont="1" applyFill="1" applyAlignment="1">
      <alignment horizontal="center"/>
    </xf>
    <xf numFmtId="0" fontId="33" fillId="0" borderId="0" xfId="0" applyFont="1" applyFill="1" applyBorder="1"/>
    <xf numFmtId="0" fontId="19" fillId="3" borderId="0" xfId="0" applyFont="1" applyFill="1" applyBorder="1"/>
    <xf numFmtId="0" fontId="17" fillId="3" borderId="0" xfId="0" applyFont="1" applyFill="1"/>
    <xf numFmtId="0" fontId="12" fillId="5" borderId="0" xfId="0" applyFont="1" applyFill="1" applyAlignment="1">
      <alignment horizontal="center" vertical="center"/>
    </xf>
    <xf numFmtId="49" fontId="10" fillId="5" borderId="3" xfId="24" applyNumberFormat="1" applyFont="1" applyFill="1" applyBorder="1" applyAlignment="1">
      <alignment horizontal="center"/>
    </xf>
    <xf numFmtId="49" fontId="27" fillId="5" borderId="2" xfId="24" applyNumberFormat="1" applyFont="1" applyFill="1" applyBorder="1" applyAlignment="1">
      <alignment horizontal="center" vertical="center" textRotation="90" wrapText="1"/>
    </xf>
    <xf numFmtId="49" fontId="28" fillId="0" borderId="2" xfId="24" applyNumberFormat="1" applyFont="1" applyFill="1" applyBorder="1" applyAlignment="1">
      <alignment horizontal="center" vertical="center" textRotation="90" wrapText="1"/>
    </xf>
    <xf numFmtId="49" fontId="28" fillId="2" borderId="1" xfId="24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4" borderId="0" xfId="0" applyFont="1" applyFill="1"/>
    <xf numFmtId="0" fontId="18" fillId="4" borderId="0" xfId="0" applyFont="1" applyFill="1" applyAlignment="1">
      <alignment horizontal="center"/>
    </xf>
    <xf numFmtId="0" fontId="33" fillId="0" borderId="0" xfId="0" applyFont="1" applyFill="1" applyAlignment="1">
      <alignment horizontal="center" vertical="center"/>
    </xf>
    <xf numFmtId="0" fontId="32" fillId="0" borderId="0" xfId="0" applyFont="1" applyFill="1" applyBorder="1"/>
    <xf numFmtId="0" fontId="34" fillId="5" borderId="0" xfId="0" applyFont="1" applyFill="1" applyAlignment="1">
      <alignment horizontal="center" vertical="center"/>
    </xf>
    <xf numFmtId="0" fontId="32" fillId="5" borderId="0" xfId="17" applyFont="1" applyFill="1"/>
    <xf numFmtId="0" fontId="32" fillId="5" borderId="0" xfId="17" applyFont="1" applyFill="1" applyAlignment="1">
      <alignment horizontal="center"/>
    </xf>
    <xf numFmtId="0" fontId="23" fillId="0" borderId="0" xfId="0" applyFont="1" applyFill="1"/>
    <xf numFmtId="0" fontId="32" fillId="0" borderId="0" xfId="0" applyFont="1" applyFill="1"/>
    <xf numFmtId="0" fontId="32" fillId="0" borderId="0" xfId="0" applyFont="1" applyFill="1" applyAlignment="1">
      <alignment horizontal="center"/>
    </xf>
    <xf numFmtId="0" fontId="32" fillId="0" borderId="0" xfId="23" applyNumberFormat="1" applyFont="1" applyFill="1" applyAlignment="1"/>
    <xf numFmtId="10" fontId="33" fillId="0" borderId="0" xfId="0" applyNumberFormat="1" applyFont="1" applyFill="1"/>
    <xf numFmtId="0" fontId="26" fillId="0" borderId="0" xfId="0" applyFont="1" applyFill="1" applyBorder="1"/>
    <xf numFmtId="0" fontId="35" fillId="5" borderId="0" xfId="0" applyFont="1" applyFill="1" applyAlignment="1">
      <alignment horizontal="center" vertical="center"/>
    </xf>
    <xf numFmtId="0" fontId="26" fillId="5" borderId="0" xfId="17" applyFont="1" applyFill="1"/>
    <xf numFmtId="0" fontId="26" fillId="5" borderId="0" xfId="17" applyFont="1" applyFill="1" applyAlignment="1">
      <alignment horizontal="center"/>
    </xf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26" fillId="0" borderId="0" xfId="23" applyNumberFormat="1" applyFont="1" applyFill="1" applyAlignment="1"/>
    <xf numFmtId="10" fontId="25" fillId="0" borderId="0" xfId="0" applyNumberFormat="1" applyFont="1" applyFill="1"/>
    <xf numFmtId="0" fontId="25" fillId="4" borderId="0" xfId="0" applyFont="1" applyFill="1" applyAlignment="1">
      <alignment horizontal="center" vertical="center"/>
    </xf>
    <xf numFmtId="0" fontId="22" fillId="0" borderId="0" xfId="0" applyFont="1" applyFill="1" applyBorder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22" fillId="5" borderId="0" xfId="17" applyFont="1" applyFill="1"/>
    <xf numFmtId="0" fontId="22" fillId="5" borderId="0" xfId="17" applyFont="1" applyFill="1" applyAlignment="1">
      <alignment horizontal="center"/>
    </xf>
    <xf numFmtId="1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center"/>
    </xf>
    <xf numFmtId="0" fontId="22" fillId="0" borderId="0" xfId="0" applyFont="1" applyFill="1"/>
    <xf numFmtId="0" fontId="22" fillId="0" borderId="0" xfId="23" applyNumberFormat="1" applyFont="1" applyFill="1" applyAlignment="1"/>
    <xf numFmtId="10" fontId="1" fillId="0" borderId="0" xfId="0" applyNumberFormat="1" applyFont="1" applyFill="1"/>
    <xf numFmtId="0" fontId="22" fillId="0" borderId="0" xfId="25" applyFont="1" applyFill="1" applyBorder="1" applyAlignment="1">
      <alignment horizontal="left" vertical="center"/>
    </xf>
    <xf numFmtId="0" fontId="1" fillId="0" borderId="0" xfId="0" applyFont="1" applyFill="1" applyBorder="1"/>
    <xf numFmtId="0" fontId="0" fillId="0" borderId="0" xfId="0" applyFont="1"/>
    <xf numFmtId="0" fontId="26" fillId="4" borderId="0" xfId="0" applyFont="1" applyFill="1" applyAlignment="1">
      <alignment horizontal="left"/>
    </xf>
    <xf numFmtId="0" fontId="25" fillId="4" borderId="6" xfId="0" applyFont="1" applyFill="1" applyBorder="1"/>
    <xf numFmtId="0" fontId="19" fillId="4" borderId="0" xfId="0" applyFont="1" applyFill="1" applyBorder="1"/>
    <xf numFmtId="0" fontId="26" fillId="4" borderId="0" xfId="0" applyFont="1" applyFill="1"/>
  </cellXfs>
  <cellStyles count="27">
    <cellStyle name="Hyperlink 3" xfId="1"/>
    <cellStyle name="Normal" xfId="0" builtinId="0"/>
    <cellStyle name="Normálna 2" xfId="2"/>
    <cellStyle name="Normálna 2 2" xfId="3"/>
    <cellStyle name="Normálna 3" xfId="4"/>
    <cellStyle name="Normálna 3 2" xfId="5"/>
    <cellStyle name="Normálna 4" xfId="6"/>
    <cellStyle name="normálne_Hárok1" xfId="7"/>
    <cellStyle name="normální 2" xfId="8"/>
    <cellStyle name="normální 2 2" xfId="9"/>
    <cellStyle name="normální 3" xfId="10"/>
    <cellStyle name="Normalny 14" xfId="11"/>
    <cellStyle name="Normalny 21" xfId="12"/>
    <cellStyle name="Normalny 4" xfId="13"/>
    <cellStyle name="Porcentaje" xfId="14" builtinId="5"/>
    <cellStyle name="Standard 11" xfId="15"/>
    <cellStyle name="Standard 2" xfId="16"/>
    <cellStyle name="Standard 2 10" xfId="17"/>
    <cellStyle name="Standard 3" xfId="18"/>
    <cellStyle name="Standard 4 2" xfId="19"/>
    <cellStyle name="Standard 5 2" xfId="20"/>
    <cellStyle name="Standard 6" xfId="21"/>
    <cellStyle name="Standard 7" xfId="22"/>
    <cellStyle name="Standard_KSK_ABS" xfId="23"/>
    <cellStyle name="Standard_TAB_016_450_451_Serie" xfId="24"/>
    <cellStyle name="Standard_V01_TAB_450AA_IR_inkl_aem072_230710_PIM_20110110" xfId="25"/>
    <cellStyle name="Stil 1" xfId="26"/>
  </cellStyles>
  <dxfs count="359"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8"/>
  <dimension ref="A1:IN231"/>
  <sheetViews>
    <sheetView tabSelected="1" zoomScale="80" zoomScaleNormal="80" workbookViewId="0">
      <pane xSplit="10" ySplit="3" topLeftCell="K74" activePane="bottomRight" state="frozen"/>
      <selection pane="topRight" activeCell="K1" sqref="K1"/>
      <selection pane="bottomLeft" activeCell="A4" sqref="A4"/>
      <selection pane="bottomRight" activeCell="F106" sqref="F106"/>
    </sheetView>
  </sheetViews>
  <sheetFormatPr baseColWidth="10" defaultColWidth="11.42578125" defaultRowHeight="15"/>
  <cols>
    <col min="1" max="1" width="15.85546875" style="13" customWidth="1"/>
    <col min="2" max="2" width="23.140625" style="13" customWidth="1"/>
    <col min="3" max="3" width="7.28515625" style="13" customWidth="1"/>
    <col min="4" max="4" width="4.28515625" style="15" customWidth="1"/>
    <col min="5" max="5" width="17" style="15" customWidth="1"/>
    <col min="6" max="6" width="12" style="13" bestFit="1" customWidth="1"/>
    <col min="7" max="7" width="3.140625" style="15" bestFit="1" customWidth="1"/>
    <col min="8" max="8" width="12.5703125" style="13" customWidth="1"/>
    <col min="9" max="9" width="3.140625" style="13" bestFit="1" customWidth="1"/>
    <col min="10" max="10" width="3.85546875" style="100" customWidth="1"/>
    <col min="11" max="11" width="4.28515625" style="13" customWidth="1"/>
    <col min="12" max="12" width="29.28515625" style="13" customWidth="1"/>
    <col min="13" max="13" width="24.5703125" style="13" customWidth="1"/>
    <col min="14" max="14" width="10.28515625" style="13" customWidth="1"/>
    <col min="15" max="15" width="9.85546875" style="15" customWidth="1"/>
    <col min="16" max="16" width="12.42578125" style="13" customWidth="1"/>
    <col min="17" max="17" width="20" style="13" customWidth="1"/>
    <col min="18" max="18" width="15.140625" style="13" customWidth="1"/>
    <col min="19" max="19" width="19.7109375" style="13" customWidth="1"/>
    <col min="20" max="21" width="7.5703125" style="13" customWidth="1"/>
    <col min="22" max="22" width="6.5703125" style="13" customWidth="1"/>
    <col min="23" max="23" width="9.7109375" style="84" customWidth="1"/>
    <col min="24" max="24" width="6.85546875" style="13" customWidth="1"/>
    <col min="25" max="27" width="3.5703125" style="13" customWidth="1"/>
    <col min="28" max="28" width="13.42578125" style="13" customWidth="1"/>
    <col min="29" max="30" width="15" style="13" customWidth="1"/>
    <col min="31" max="31" width="13.7109375" style="13" bestFit="1" customWidth="1"/>
    <col min="32" max="32" width="10.7109375" style="13" customWidth="1"/>
    <col min="33" max="248" width="11.42578125" style="13" customWidth="1"/>
    <col min="249" max="16384" width="11.42578125" style="2"/>
  </cols>
  <sheetData>
    <row r="1" spans="1:248" ht="113.25">
      <c r="A1" s="23" t="s">
        <v>108</v>
      </c>
      <c r="B1" s="24" t="s">
        <v>109</v>
      </c>
      <c r="C1" s="25" t="s">
        <v>110</v>
      </c>
      <c r="D1" s="26" t="s">
        <v>111</v>
      </c>
      <c r="E1" s="95" t="s">
        <v>112</v>
      </c>
      <c r="F1" s="27" t="s">
        <v>113</v>
      </c>
      <c r="G1" s="28" t="s">
        <v>114</v>
      </c>
      <c r="H1" s="27" t="s">
        <v>115</v>
      </c>
      <c r="I1" s="28" t="s">
        <v>114</v>
      </c>
      <c r="J1" s="96" t="s">
        <v>116</v>
      </c>
      <c r="K1" s="29" t="s">
        <v>117</v>
      </c>
      <c r="L1" s="30" t="s">
        <v>118</v>
      </c>
      <c r="M1" s="31" t="s">
        <v>1</v>
      </c>
      <c r="N1" s="32" t="s">
        <v>119</v>
      </c>
      <c r="O1" s="32" t="s">
        <v>120</v>
      </c>
      <c r="P1" s="33" t="s">
        <v>121</v>
      </c>
      <c r="Q1" s="33" t="s">
        <v>122</v>
      </c>
      <c r="R1" s="33" t="s">
        <v>123</v>
      </c>
      <c r="S1" s="33" t="s">
        <v>124</v>
      </c>
      <c r="T1" s="33" t="s">
        <v>125</v>
      </c>
      <c r="U1" s="34"/>
      <c r="V1" s="34" t="s">
        <v>126</v>
      </c>
      <c r="W1" s="80" t="s">
        <v>127</v>
      </c>
      <c r="X1" s="35" t="s">
        <v>128</v>
      </c>
      <c r="Y1" s="36" t="s">
        <v>129</v>
      </c>
      <c r="Z1" s="36" t="s">
        <v>130</v>
      </c>
      <c r="AA1" s="36" t="s">
        <v>131</v>
      </c>
      <c r="AB1" s="26" t="s">
        <v>132</v>
      </c>
      <c r="AC1" s="37" t="s">
        <v>57</v>
      </c>
      <c r="AD1" s="37" t="s">
        <v>58</v>
      </c>
      <c r="AE1" s="37" t="s">
        <v>68</v>
      </c>
      <c r="AF1" s="38"/>
      <c r="AG1" s="39"/>
      <c r="AH1" s="39"/>
      <c r="AI1" s="39"/>
      <c r="AJ1" s="40"/>
      <c r="AK1" s="40"/>
      <c r="AL1" s="40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  <c r="EB1" s="41"/>
      <c r="EC1" s="41"/>
      <c r="ED1" s="41"/>
      <c r="EE1" s="41"/>
      <c r="EF1" s="41"/>
      <c r="EG1" s="41"/>
      <c r="EH1" s="41"/>
      <c r="EI1" s="41"/>
      <c r="EJ1" s="41"/>
      <c r="EK1" s="41"/>
      <c r="EL1" s="41"/>
      <c r="EM1" s="41"/>
      <c r="EN1" s="41"/>
      <c r="EO1" s="41"/>
      <c r="EP1" s="41"/>
      <c r="EQ1" s="41"/>
      <c r="ER1" s="41"/>
      <c r="ES1" s="41"/>
      <c r="ET1" s="41"/>
      <c r="EU1" s="41"/>
      <c r="EV1" s="41"/>
      <c r="EW1" s="41"/>
      <c r="EX1" s="41"/>
      <c r="EY1" s="41"/>
      <c r="EZ1" s="41"/>
      <c r="FA1" s="41"/>
      <c r="FB1" s="41"/>
      <c r="FC1" s="41"/>
      <c r="FD1" s="41"/>
      <c r="FE1" s="41"/>
      <c r="FF1" s="41"/>
      <c r="FG1" s="41"/>
      <c r="FH1" s="41"/>
      <c r="FI1" s="41"/>
      <c r="FJ1" s="41"/>
      <c r="FK1" s="41"/>
      <c r="FL1" s="41"/>
      <c r="FM1" s="41"/>
      <c r="FN1" s="41"/>
      <c r="FO1" s="41"/>
      <c r="FP1" s="41"/>
      <c r="FQ1" s="41"/>
      <c r="FR1" s="41"/>
      <c r="FS1" s="41"/>
      <c r="FT1" s="41"/>
      <c r="FU1" s="41"/>
      <c r="FV1" s="41"/>
      <c r="FW1" s="41"/>
      <c r="FX1" s="41"/>
      <c r="FY1" s="41"/>
      <c r="FZ1" s="41"/>
      <c r="GA1" s="41"/>
      <c r="GB1" s="41"/>
      <c r="GC1" s="41"/>
      <c r="GD1" s="41"/>
      <c r="GE1" s="41"/>
      <c r="GF1" s="41"/>
      <c r="GG1" s="41"/>
      <c r="GH1" s="41"/>
      <c r="GI1" s="41"/>
      <c r="GJ1" s="41"/>
      <c r="GK1" s="41"/>
      <c r="GL1" s="41"/>
      <c r="GM1" s="41"/>
      <c r="GN1" s="41"/>
      <c r="GO1" s="41"/>
      <c r="GP1" s="41"/>
      <c r="GQ1" s="41"/>
      <c r="GR1" s="41"/>
      <c r="GS1" s="41"/>
      <c r="GT1" s="41"/>
      <c r="GU1" s="41"/>
      <c r="GV1" s="41"/>
      <c r="GW1" s="41"/>
      <c r="GX1" s="41"/>
      <c r="GY1" s="41"/>
      <c r="GZ1" s="41"/>
      <c r="HA1" s="41"/>
      <c r="HB1" s="41"/>
      <c r="HC1" s="41"/>
      <c r="HD1" s="41"/>
      <c r="HE1" s="41"/>
      <c r="HF1" s="41"/>
      <c r="HG1" s="41"/>
      <c r="HH1" s="41"/>
      <c r="HI1" s="41"/>
      <c r="HJ1" s="41"/>
      <c r="HK1" s="41"/>
      <c r="HL1" s="41"/>
      <c r="HM1" s="41"/>
      <c r="HN1" s="41"/>
      <c r="HO1" s="41"/>
      <c r="HP1" s="41"/>
      <c r="HQ1" s="41"/>
      <c r="HR1" s="41"/>
      <c r="HS1" s="41"/>
      <c r="HT1" s="41"/>
      <c r="HU1" s="41"/>
      <c r="HV1" s="41"/>
      <c r="HW1" s="41"/>
      <c r="HX1" s="41"/>
      <c r="HY1" s="41"/>
      <c r="HZ1" s="41"/>
      <c r="IA1" s="41"/>
      <c r="IB1" s="41"/>
      <c r="IC1" s="41"/>
      <c r="ID1" s="41"/>
      <c r="IE1" s="41"/>
      <c r="IF1" s="41"/>
      <c r="IG1" s="41"/>
      <c r="IH1" s="41"/>
      <c r="II1" s="41"/>
      <c r="IJ1" s="41"/>
      <c r="IK1" s="41"/>
      <c r="IL1" s="41"/>
      <c r="IM1" s="41"/>
      <c r="IN1" s="41"/>
    </row>
    <row r="2" spans="1:248" s="1" customFormat="1" ht="18.75" hidden="1" customHeight="1">
      <c r="A2" s="42"/>
      <c r="B2" s="43"/>
      <c r="C2" s="44"/>
      <c r="D2" s="45"/>
      <c r="E2" s="77"/>
      <c r="F2" s="46"/>
      <c r="G2" s="47"/>
      <c r="H2" s="46"/>
      <c r="I2" s="47"/>
      <c r="J2" s="97"/>
      <c r="K2" s="48"/>
      <c r="L2" s="49"/>
      <c r="M2" s="50"/>
      <c r="N2" s="51"/>
      <c r="O2" s="51"/>
      <c r="P2" s="52"/>
      <c r="Q2" s="52"/>
      <c r="R2" s="52"/>
      <c r="S2" s="53" t="s">
        <v>133</v>
      </c>
      <c r="T2" s="52"/>
      <c r="U2" s="52"/>
      <c r="V2" s="52"/>
      <c r="W2" s="81"/>
      <c r="X2" s="54"/>
      <c r="Y2" s="55"/>
      <c r="Z2" s="55"/>
      <c r="AA2" s="55"/>
      <c r="AB2" s="45"/>
      <c r="AC2" s="56"/>
      <c r="AD2" s="56"/>
      <c r="AE2" s="57"/>
      <c r="AF2" s="57"/>
      <c r="AG2" s="58"/>
      <c r="AH2" s="58"/>
      <c r="AI2" s="58"/>
      <c r="AJ2" s="40"/>
      <c r="AK2" s="40"/>
      <c r="AL2" s="40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1"/>
      <c r="CO2" s="41"/>
      <c r="CP2" s="41"/>
      <c r="CQ2" s="41"/>
      <c r="CR2" s="41"/>
      <c r="CS2" s="41"/>
      <c r="CT2" s="41"/>
      <c r="CU2" s="41"/>
      <c r="CV2" s="41"/>
      <c r="CW2" s="41"/>
      <c r="CX2" s="41"/>
      <c r="CY2" s="41"/>
      <c r="CZ2" s="41"/>
      <c r="DA2" s="41"/>
      <c r="DB2" s="41"/>
      <c r="DC2" s="41"/>
      <c r="DD2" s="41"/>
      <c r="DE2" s="41"/>
      <c r="DF2" s="41"/>
      <c r="DG2" s="41"/>
      <c r="DH2" s="41"/>
      <c r="DI2" s="41"/>
      <c r="DJ2" s="41"/>
      <c r="DK2" s="41"/>
      <c r="DL2" s="41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  <c r="EE2" s="41"/>
      <c r="EF2" s="41"/>
      <c r="EG2" s="41"/>
      <c r="EH2" s="41"/>
      <c r="EI2" s="41"/>
      <c r="EJ2" s="41"/>
      <c r="EK2" s="41"/>
      <c r="EL2" s="41"/>
      <c r="EM2" s="41"/>
      <c r="EN2" s="41"/>
      <c r="EO2" s="41"/>
      <c r="EP2" s="41"/>
      <c r="EQ2" s="41"/>
      <c r="ER2" s="41"/>
      <c r="ES2" s="41"/>
      <c r="ET2" s="41"/>
      <c r="EU2" s="41"/>
      <c r="EV2" s="41"/>
      <c r="EW2" s="41"/>
      <c r="EX2" s="41"/>
      <c r="EY2" s="41"/>
      <c r="EZ2" s="41"/>
      <c r="FA2" s="41"/>
      <c r="FB2" s="41"/>
      <c r="FC2" s="41"/>
      <c r="FD2" s="41"/>
      <c r="FE2" s="41"/>
      <c r="FF2" s="41"/>
      <c r="FG2" s="41"/>
      <c r="FH2" s="41"/>
      <c r="FI2" s="41"/>
      <c r="FJ2" s="41"/>
      <c r="FK2" s="41"/>
      <c r="FL2" s="41"/>
      <c r="FM2" s="41"/>
      <c r="FN2" s="41"/>
      <c r="FO2" s="41"/>
      <c r="FP2" s="41"/>
      <c r="FQ2" s="41"/>
      <c r="FR2" s="41"/>
      <c r="FS2" s="41"/>
      <c r="FT2" s="41"/>
      <c r="FU2" s="41"/>
      <c r="FV2" s="41"/>
      <c r="FW2" s="41"/>
      <c r="FX2" s="41"/>
      <c r="FY2" s="41"/>
      <c r="FZ2" s="41"/>
      <c r="GA2" s="41"/>
      <c r="GB2" s="41"/>
      <c r="GC2" s="41"/>
      <c r="GD2" s="41"/>
      <c r="GE2" s="41"/>
      <c r="GF2" s="41"/>
      <c r="GG2" s="41"/>
      <c r="GH2" s="41"/>
      <c r="GI2" s="41"/>
      <c r="GJ2" s="41"/>
      <c r="GK2" s="41"/>
      <c r="GL2" s="41"/>
      <c r="GM2" s="41"/>
      <c r="GN2" s="41"/>
      <c r="GO2" s="41"/>
      <c r="GP2" s="41"/>
      <c r="GQ2" s="41"/>
      <c r="GR2" s="41"/>
      <c r="GS2" s="41"/>
      <c r="GT2" s="41"/>
      <c r="GU2" s="41"/>
      <c r="GV2" s="41"/>
      <c r="GW2" s="41"/>
      <c r="GX2" s="41"/>
      <c r="GY2" s="41"/>
      <c r="GZ2" s="41"/>
      <c r="HA2" s="41"/>
      <c r="HB2" s="41"/>
      <c r="HC2" s="41"/>
      <c r="HD2" s="41"/>
      <c r="HE2" s="41"/>
      <c r="HF2" s="41"/>
      <c r="HG2" s="41"/>
      <c r="HH2" s="41"/>
      <c r="HI2" s="41"/>
      <c r="HJ2" s="41"/>
      <c r="HK2" s="41"/>
      <c r="HL2" s="41"/>
      <c r="HM2" s="41"/>
      <c r="HN2" s="41"/>
      <c r="HO2" s="41"/>
      <c r="HP2" s="41"/>
      <c r="HQ2" s="41"/>
      <c r="HR2" s="41"/>
      <c r="HS2" s="41"/>
      <c r="HT2" s="41"/>
      <c r="HU2" s="41"/>
      <c r="HV2" s="41"/>
      <c r="HW2" s="41"/>
      <c r="HX2" s="41"/>
      <c r="HY2" s="41"/>
      <c r="HZ2" s="41"/>
      <c r="IA2" s="41"/>
      <c r="IB2" s="41"/>
      <c r="IC2" s="41"/>
      <c r="ID2" s="41"/>
      <c r="IE2" s="41"/>
      <c r="IF2" s="41"/>
      <c r="IG2" s="41"/>
      <c r="IH2" s="41"/>
      <c r="II2" s="41"/>
      <c r="IJ2" s="41"/>
      <c r="IK2" s="41"/>
      <c r="IL2" s="41"/>
      <c r="IM2" s="41"/>
      <c r="IN2" s="41"/>
    </row>
    <row r="3" spans="1:248" ht="18.75">
      <c r="A3" s="59"/>
      <c r="B3" s="59"/>
      <c r="C3" s="60"/>
      <c r="D3" s="60"/>
      <c r="E3" s="61"/>
      <c r="F3" s="62"/>
      <c r="G3" s="61"/>
      <c r="H3" s="62"/>
      <c r="I3" s="60"/>
      <c r="J3" s="98"/>
      <c r="K3" s="60"/>
      <c r="L3" s="59"/>
      <c r="M3" s="63"/>
      <c r="N3" s="64"/>
      <c r="O3" s="64"/>
      <c r="P3" s="65"/>
      <c r="Q3" s="66"/>
      <c r="R3" s="66"/>
      <c r="S3" s="67">
        <v>2113</v>
      </c>
      <c r="T3" s="67"/>
      <c r="U3" s="67"/>
      <c r="V3" s="67"/>
      <c r="W3" s="82"/>
      <c r="X3" s="68"/>
      <c r="Y3" s="68"/>
      <c r="Z3" s="68"/>
      <c r="AA3" s="68"/>
      <c r="AB3" s="60"/>
      <c r="AC3" s="69"/>
      <c r="AD3" s="69"/>
      <c r="AE3" s="69"/>
      <c r="AF3" s="70"/>
      <c r="AG3" s="70"/>
      <c r="AH3" s="70"/>
      <c r="AI3" s="70"/>
      <c r="AJ3" s="70"/>
      <c r="AK3" s="70"/>
      <c r="AL3" s="70"/>
    </row>
    <row r="4" spans="1:248" s="16" customFormat="1" ht="15" customHeight="1">
      <c r="A4" s="71" t="s">
        <v>93</v>
      </c>
      <c r="B4" s="5" t="s">
        <v>17</v>
      </c>
      <c r="C4" s="5"/>
      <c r="D4" s="11" t="s">
        <v>18</v>
      </c>
      <c r="E4" s="94" t="str">
        <f t="shared" ref="E4:E53" si="0">CONCATENATE(IF(AC4&gt;0,$AC$1," ")," ",IF(AD4&gt;0,$AD$1," ")," ",IF(AE4&gt;0,$AE$1," ")," ",IF(AF4&gt;0,$AF$1," ")," ",IF(AG4&gt;0,$AG$1," ")," ",IF(AH4&gt;0,$AH$1," ")," ",IF(AI4&gt;0,$AI$1," ")," ",IF(AJ4&gt;0,$AJ$1," ")," ",IF(AK4&gt;0,$AK$1," "))</f>
        <v xml:space="preserve">VT01   VT04            </v>
      </c>
      <c r="F4" s="72" t="str">
        <f t="shared" ref="F4:F53" si="1">LEFT(Q4,11)</f>
        <v>9J1_974_000</v>
      </c>
      <c r="G4" s="73" t="s">
        <v>60</v>
      </c>
      <c r="H4" s="72" t="str">
        <f t="shared" ref="H4:H53" si="2">CONCATENATE(IF(MID(Q4,5,3)="974","1J21"),LEFT(F4,3),RIGHT(F4,3))</f>
        <v>1J219J1000</v>
      </c>
      <c r="I4" s="72" t="str">
        <f t="shared" ref="I4:I53" si="3">IF(G4=0,"00",IF(LEN(G4)=1,CONCATENATE(G4,0),G4))</f>
        <v>B0</v>
      </c>
      <c r="J4" s="78" t="s">
        <v>59</v>
      </c>
      <c r="K4" s="11"/>
      <c r="L4" s="5" t="s">
        <v>4</v>
      </c>
      <c r="M4" s="8">
        <v>6005.6014999999998</v>
      </c>
      <c r="N4" s="85"/>
      <c r="O4" s="57">
        <v>1917</v>
      </c>
      <c r="P4" s="9"/>
      <c r="Q4" s="5" t="s">
        <v>144</v>
      </c>
      <c r="R4" s="72" t="str">
        <f>IF(J4&lt;&gt;"",CONCATENATE(H4,I4,J4),CONCATENATE(H4,I4,K4))</f>
        <v>1J219J1000B0A</v>
      </c>
      <c r="S4" s="74" t="str">
        <f t="shared" ref="S4:S53" si="4">IF(N4="-","KEIN LIEFERUMFANG",IF(AND(N4&lt;=S$3,O4=""),"AKTUELL",IF(O4=N4,"KEIN SERIENEINSATZ",IF(N4&gt;S$3,"NOCH NICHT AKTUELL",IF(AND(N4&lt;S$3,O4&lt;S$3),"NICHT AKTUELL",IF(N4&lt;=S$3,"AKTUELL"))))))</f>
        <v>NICHT AKTUELL</v>
      </c>
      <c r="T4" s="74"/>
      <c r="U4" s="74"/>
      <c r="V4" s="74"/>
      <c r="W4" s="83">
        <v>0.85</v>
      </c>
      <c r="X4" s="5"/>
      <c r="Y4" s="5" t="s">
        <v>18</v>
      </c>
      <c r="Z4" s="5" t="s">
        <v>18</v>
      </c>
      <c r="AA4" s="5" t="s">
        <v>0</v>
      </c>
      <c r="AB4" s="9" t="s">
        <v>134</v>
      </c>
      <c r="AC4" s="14" t="s">
        <v>104</v>
      </c>
      <c r="AD4" s="6"/>
      <c r="AE4" s="14" t="s">
        <v>106</v>
      </c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</row>
    <row r="5" spans="1:248" s="16" customFormat="1" ht="15" customHeight="1">
      <c r="A5" s="71" t="s">
        <v>93</v>
      </c>
      <c r="B5" s="5" t="s">
        <v>17</v>
      </c>
      <c r="C5" s="5"/>
      <c r="D5" s="11" t="s">
        <v>18</v>
      </c>
      <c r="E5" s="94" t="str">
        <f t="shared" si="0"/>
        <v xml:space="preserve">VT01   VT04            </v>
      </c>
      <c r="F5" s="72" t="str">
        <f t="shared" si="1"/>
        <v>9J1_974_000</v>
      </c>
      <c r="G5" s="73" t="s">
        <v>60</v>
      </c>
      <c r="H5" s="72" t="str">
        <f t="shared" si="2"/>
        <v>1J219J1000</v>
      </c>
      <c r="I5" s="72" t="str">
        <f t="shared" si="3"/>
        <v>B0</v>
      </c>
      <c r="J5" s="7" t="s">
        <v>60</v>
      </c>
      <c r="K5" s="11"/>
      <c r="L5" s="5" t="s">
        <v>4</v>
      </c>
      <c r="M5" s="8">
        <v>6005.6014999999998</v>
      </c>
      <c r="N5" s="85">
        <v>1918</v>
      </c>
      <c r="O5" s="57">
        <v>2024</v>
      </c>
      <c r="P5" s="9" t="s">
        <v>145</v>
      </c>
      <c r="Q5" s="5" t="s">
        <v>144</v>
      </c>
      <c r="R5" s="72" t="str">
        <f>IF(J5&lt;&gt;"",CONCATENATE(H5,I5,J5),CONCATENATE(H5,I5,#REF!))</f>
        <v>1J219J1000B0B</v>
      </c>
      <c r="S5" s="74" t="str">
        <f t="shared" si="4"/>
        <v>NICHT AKTUELL</v>
      </c>
      <c r="T5" s="74"/>
      <c r="U5" s="74"/>
      <c r="V5" s="74"/>
      <c r="W5" s="83">
        <v>0.85</v>
      </c>
      <c r="X5" s="5"/>
      <c r="Y5" s="5" t="s">
        <v>18</v>
      </c>
      <c r="Z5" s="5" t="s">
        <v>18</v>
      </c>
      <c r="AA5" s="5" t="s">
        <v>0</v>
      </c>
      <c r="AB5" s="9" t="s">
        <v>134</v>
      </c>
      <c r="AC5" s="14" t="s">
        <v>148</v>
      </c>
      <c r="AD5" s="6"/>
      <c r="AE5" s="14" t="s">
        <v>149</v>
      </c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</row>
    <row r="6" spans="1:248" s="16" customFormat="1" ht="15" customHeight="1">
      <c r="A6" s="71" t="s">
        <v>93</v>
      </c>
      <c r="B6" s="5" t="s">
        <v>17</v>
      </c>
      <c r="C6" s="5"/>
      <c r="D6" s="11" t="s">
        <v>18</v>
      </c>
      <c r="E6" s="94" t="str">
        <f t="shared" ref="E6" si="5">CONCATENATE(IF(AC6&gt;0,$AC$1," ")," ",IF(AD6&gt;0,$AD$1," ")," ",IF(AE6&gt;0,$AE$1," ")," ",IF(AF6&gt;0,$AF$1," ")," ",IF(AG6&gt;0,$AG$1," ")," ",IF(AH6&gt;0,$AH$1," ")," ",IF(AI6&gt;0,$AI$1," ")," ",IF(AJ6&gt;0,$AJ$1," ")," ",IF(AK6&gt;0,$AK$1," "))</f>
        <v xml:space="preserve">VT01   VT04            </v>
      </c>
      <c r="F6" s="72" t="str">
        <f t="shared" ref="F6" si="6">LEFT(Q6,11)</f>
        <v>9J1_974_000</v>
      </c>
      <c r="G6" s="73" t="s">
        <v>60</v>
      </c>
      <c r="H6" s="72" t="str">
        <f t="shared" ref="H6" si="7">CONCATENATE(IF(MID(Q6,5,3)="974","1J21"),LEFT(F6,3),RIGHT(F6,3))</f>
        <v>1J219J1000</v>
      </c>
      <c r="I6" s="72" t="str">
        <f t="shared" ref="I6" si="8">IF(G6=0,"00",IF(LEN(G6)=1,CONCATENATE(G6,0),G6))</f>
        <v>B0</v>
      </c>
      <c r="J6" s="7" t="s">
        <v>92</v>
      </c>
      <c r="K6" s="11"/>
      <c r="L6" s="5" t="s">
        <v>4</v>
      </c>
      <c r="M6" s="8">
        <v>6005.6014999999998</v>
      </c>
      <c r="N6" s="85">
        <v>2025</v>
      </c>
      <c r="O6" s="57">
        <v>2047</v>
      </c>
      <c r="P6" s="9" t="s">
        <v>145</v>
      </c>
      <c r="Q6" s="5" t="s">
        <v>144</v>
      </c>
      <c r="R6" s="72" t="str">
        <f>IF(J6&lt;&gt;"",CONCATENATE(H6,I6,J6),CONCATENATE(H6,I6,#REF!))</f>
        <v>1J219J1000B0C</v>
      </c>
      <c r="S6" s="74" t="str">
        <f t="shared" ref="S6:S7" si="9">IF(N6="-","KEIN LIEFERUMFANG",IF(AND(N6&lt;=S$3,O6=""),"AKTUELL",IF(O6=N6,"KEIN SERIENEINSATZ",IF(N6&gt;S$3,"NOCH NICHT AKTUELL",IF(AND(N6&lt;S$3,O6&lt;S$3),"NICHT AKTUELL",IF(N6&lt;=S$3,"AKTUELL"))))))</f>
        <v>NICHT AKTUELL</v>
      </c>
      <c r="T6" s="74"/>
      <c r="U6" s="74"/>
      <c r="V6" s="74"/>
      <c r="W6" s="83">
        <v>0.85</v>
      </c>
      <c r="X6" s="5"/>
      <c r="Y6" s="5" t="s">
        <v>18</v>
      </c>
      <c r="Z6" s="5" t="s">
        <v>18</v>
      </c>
      <c r="AA6" s="5" t="s">
        <v>0</v>
      </c>
      <c r="AB6" s="9" t="s">
        <v>134</v>
      </c>
      <c r="AC6" s="14" t="s">
        <v>148</v>
      </c>
      <c r="AD6" s="6"/>
      <c r="AE6" s="14" t="s">
        <v>149</v>
      </c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</row>
    <row r="7" spans="1:248" s="135" customFormat="1" ht="15" customHeight="1">
      <c r="A7" s="122" t="s">
        <v>93</v>
      </c>
      <c r="B7" s="123" t="s">
        <v>17</v>
      </c>
      <c r="C7" s="123"/>
      <c r="D7" s="124" t="s">
        <v>18</v>
      </c>
      <c r="E7" s="125" t="str">
        <f t="shared" ref="E7" si="10">CONCATENATE(IF(AC7&gt;0,$AC$1," ")," ",IF(AD7&gt;0,$AD$1," ")," ",IF(AE7&gt;0,$AE$1," ")," ",IF(AF7&gt;0,$AF$1," ")," ",IF(AG7&gt;0,$AG$1," ")," ",IF(AH7&gt;0,$AH$1," ")," ",IF(AI7&gt;0,$AI$1," ")," ",IF(AJ7&gt;0,$AJ$1," ")," ",IF(AK7&gt;0,$AK$1," "))</f>
        <v xml:space="preserve">VT01   VT04            </v>
      </c>
      <c r="F7" s="126" t="str">
        <f t="shared" ref="F7" si="11">LEFT(Q7,11)</f>
        <v>9J1_974_000</v>
      </c>
      <c r="G7" s="127" t="s">
        <v>60</v>
      </c>
      <c r="H7" s="126" t="str">
        <f t="shared" ref="H7" si="12">CONCATENATE(IF(MID(Q7,5,3)="974","1J21"),LEFT(F7,3),RIGHT(F7,3))</f>
        <v>1J219J1000</v>
      </c>
      <c r="I7" s="126" t="str">
        <f t="shared" ref="I7" si="13">IF(G7=0,"00",IF(LEN(G7)=1,CONCATENATE(G7,0),G7))</f>
        <v>B0</v>
      </c>
      <c r="J7" s="124" t="s">
        <v>103</v>
      </c>
      <c r="L7" s="123" t="s">
        <v>4</v>
      </c>
      <c r="M7" s="21" t="s">
        <v>204</v>
      </c>
      <c r="N7" s="128">
        <v>2048</v>
      </c>
      <c r="O7" s="129">
        <v>2112</v>
      </c>
      <c r="P7" s="130"/>
      <c r="Q7" s="123" t="s">
        <v>144</v>
      </c>
      <c r="R7" s="126" t="str">
        <f>IF(J7&lt;&gt;"",CONCATENATE(H7,I7,J7),CONCATENATE(H7,I7,#REF!))</f>
        <v>1J219J1000B0D</v>
      </c>
      <c r="S7" s="131" t="str">
        <f t="shared" si="9"/>
        <v>NICHT AKTUELL</v>
      </c>
      <c r="T7" s="131"/>
      <c r="U7" s="131"/>
      <c r="V7" s="131"/>
      <c r="W7" s="132">
        <v>0.85</v>
      </c>
      <c r="X7" s="123"/>
      <c r="Y7" s="123" t="s">
        <v>18</v>
      </c>
      <c r="Z7" s="123" t="s">
        <v>18</v>
      </c>
      <c r="AA7" s="123" t="s">
        <v>0</v>
      </c>
      <c r="AB7" s="130" t="s">
        <v>134</v>
      </c>
      <c r="AC7" s="133" t="s">
        <v>148</v>
      </c>
      <c r="AD7" s="134"/>
      <c r="AE7" s="133" t="s">
        <v>149</v>
      </c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3"/>
      <c r="CP7" s="123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3"/>
      <c r="DB7" s="123"/>
      <c r="DC7" s="123"/>
      <c r="DD7" s="123"/>
      <c r="DE7" s="123"/>
      <c r="DF7" s="123"/>
      <c r="DG7" s="123"/>
      <c r="DH7" s="123"/>
      <c r="DI7" s="123"/>
      <c r="DJ7" s="123"/>
      <c r="DK7" s="123"/>
      <c r="DL7" s="123"/>
      <c r="DM7" s="123"/>
      <c r="DN7" s="123"/>
      <c r="DO7" s="123"/>
      <c r="DP7" s="123"/>
      <c r="DQ7" s="123"/>
      <c r="DR7" s="123"/>
      <c r="DS7" s="123"/>
      <c r="DT7" s="123"/>
      <c r="DU7" s="123"/>
      <c r="DV7" s="123"/>
      <c r="DW7" s="123"/>
      <c r="DX7" s="123"/>
      <c r="DY7" s="123"/>
      <c r="DZ7" s="123"/>
      <c r="EA7" s="123"/>
      <c r="EB7" s="123"/>
      <c r="EC7" s="123"/>
      <c r="ED7" s="123"/>
      <c r="EE7" s="123"/>
      <c r="EF7" s="123"/>
      <c r="EG7" s="123"/>
      <c r="EH7" s="123"/>
      <c r="EI7" s="123"/>
      <c r="EJ7" s="123"/>
      <c r="EK7" s="123"/>
      <c r="EL7" s="123"/>
      <c r="EM7" s="123"/>
      <c r="EN7" s="123"/>
      <c r="EO7" s="123"/>
      <c r="EP7" s="123"/>
      <c r="EQ7" s="123"/>
      <c r="ER7" s="123"/>
      <c r="ES7" s="123"/>
      <c r="ET7" s="123"/>
      <c r="EU7" s="123"/>
      <c r="EV7" s="123"/>
      <c r="EW7" s="123"/>
      <c r="EX7" s="123"/>
      <c r="EY7" s="123"/>
      <c r="EZ7" s="123"/>
      <c r="FA7" s="123"/>
      <c r="FB7" s="123"/>
      <c r="FC7" s="123"/>
      <c r="FD7" s="123"/>
      <c r="FE7" s="123"/>
      <c r="FF7" s="123"/>
      <c r="FG7" s="123"/>
      <c r="FH7" s="123"/>
      <c r="FI7" s="123"/>
      <c r="FJ7" s="123"/>
      <c r="FK7" s="123"/>
      <c r="FL7" s="123"/>
      <c r="FM7" s="123"/>
      <c r="FN7" s="123"/>
      <c r="FO7" s="123"/>
      <c r="FP7" s="123"/>
      <c r="FQ7" s="123"/>
      <c r="FR7" s="123"/>
      <c r="FS7" s="123"/>
      <c r="FT7" s="123"/>
      <c r="FU7" s="123"/>
      <c r="FV7" s="123"/>
      <c r="FW7" s="123"/>
      <c r="FX7" s="123"/>
      <c r="FY7" s="123"/>
      <c r="FZ7" s="123"/>
      <c r="GA7" s="123"/>
      <c r="GB7" s="123"/>
      <c r="GC7" s="123"/>
      <c r="GD7" s="123"/>
      <c r="GE7" s="123"/>
      <c r="GF7" s="123"/>
      <c r="GG7" s="123"/>
      <c r="GH7" s="123"/>
      <c r="GI7" s="123"/>
      <c r="GJ7" s="123"/>
      <c r="GK7" s="123"/>
      <c r="GL7" s="123"/>
      <c r="GM7" s="123"/>
      <c r="GN7" s="123"/>
      <c r="GO7" s="123"/>
      <c r="GP7" s="123"/>
      <c r="GQ7" s="123"/>
      <c r="GR7" s="123"/>
      <c r="GS7" s="123"/>
      <c r="GT7" s="123"/>
      <c r="GU7" s="123"/>
      <c r="GV7" s="123"/>
      <c r="GW7" s="123"/>
      <c r="GX7" s="123"/>
      <c r="GY7" s="123"/>
      <c r="GZ7" s="123"/>
      <c r="HA7" s="123"/>
      <c r="HB7" s="123"/>
      <c r="HC7" s="123"/>
      <c r="HD7" s="123"/>
      <c r="HE7" s="123"/>
      <c r="HF7" s="123"/>
      <c r="HG7" s="123"/>
      <c r="HH7" s="123"/>
      <c r="HI7" s="123"/>
      <c r="HJ7" s="123"/>
      <c r="HK7" s="123"/>
      <c r="HL7" s="123"/>
      <c r="HM7" s="123"/>
      <c r="HN7" s="123"/>
      <c r="HO7" s="123"/>
      <c r="HP7" s="123"/>
      <c r="HQ7" s="123"/>
      <c r="HR7" s="123"/>
      <c r="HS7" s="123"/>
      <c r="HT7" s="123"/>
      <c r="HU7" s="123"/>
      <c r="HV7" s="123"/>
      <c r="HW7" s="123"/>
      <c r="HX7" s="123"/>
      <c r="HY7" s="123"/>
      <c r="HZ7" s="123"/>
      <c r="IA7" s="123"/>
      <c r="IB7" s="123"/>
      <c r="IC7" s="123"/>
      <c r="ID7" s="123"/>
      <c r="IE7" s="123"/>
      <c r="IF7" s="123"/>
      <c r="IG7" s="123"/>
      <c r="IH7" s="123"/>
      <c r="II7" s="123"/>
      <c r="IJ7" s="123"/>
      <c r="IK7" s="123"/>
      <c r="IL7" s="123"/>
      <c r="IM7" s="123"/>
      <c r="IN7" s="123"/>
    </row>
    <row r="8" spans="1:248" s="16" customFormat="1" ht="15" customHeight="1">
      <c r="A8" s="71" t="s">
        <v>93</v>
      </c>
      <c r="B8" s="5" t="s">
        <v>17</v>
      </c>
      <c r="C8" s="5"/>
      <c r="D8" s="11" t="s">
        <v>18</v>
      </c>
      <c r="E8" s="94" t="str">
        <f>CONCATENATE(IF(AC8&gt;0,$AC$1," ")," ",IF(AD8&gt;0,$AD$1," ")," ",IF(AE8&gt;0,$AE$1," ")," ",IF(AF8&gt;0,$AF$1," ")," ",IF(AG8&gt;0,$AG$1," ")," ",IF(AH8&gt;0,$AH$1," ")," ",IF(AI8&gt;0,$AI$1," ")," ",IF(AJ8&gt;0,$AJ$1," ")," ",IF(AK8&gt;0,$AK$1," "))</f>
        <v xml:space="preserve">VT01   VT04            </v>
      </c>
      <c r="F8" s="72" t="str">
        <f>LEFT(Q8,11)</f>
        <v>9J1_974_000</v>
      </c>
      <c r="G8" s="73" t="s">
        <v>92</v>
      </c>
      <c r="H8" s="72" t="str">
        <f>CONCATENATE(IF(MID(Q8,5,3)="974","1J21"),LEFT(F8,3),RIGHT(F8,3))</f>
        <v>1J219J1000</v>
      </c>
      <c r="I8" s="72" t="str">
        <f>IF(G8=0,"00",IF(LEN(G8)=1,CONCATENATE(G8,0),G8))</f>
        <v>C0</v>
      </c>
      <c r="J8" s="7" t="s">
        <v>59</v>
      </c>
      <c r="K8" s="11"/>
      <c r="L8" s="5" t="s">
        <v>4</v>
      </c>
      <c r="M8" s="8">
        <v>6620</v>
      </c>
      <c r="N8" s="85">
        <v>1950</v>
      </c>
      <c r="O8" s="57">
        <v>2020</v>
      </c>
      <c r="P8" s="9" t="s">
        <v>172</v>
      </c>
      <c r="Q8" s="5" t="s">
        <v>176</v>
      </c>
      <c r="R8" s="72" t="str">
        <f>IF(J8&lt;&gt;"",CONCATENATE(H8,I8,J8),CONCATENATE(H8,I8,#REF!))</f>
        <v>1J219J1000C0A</v>
      </c>
      <c r="S8" s="74" t="str">
        <f>IF(N8="-","KEIN LIEFERUMFANG",IF(AND(N8&lt;=S$3,O8=""),"AKTUELL",IF(O8=N8,"KEIN SERIENEINSATZ",IF(N8&gt;S$3,"NOCH NICHT AKTUELL",IF(AND(N8&lt;S$3,O8&lt;S$3),"NICHT AKTUELL",IF(N8&lt;=S$3,"AKTUELL"))))))</f>
        <v>NICHT AKTUELL</v>
      </c>
      <c r="T8" s="74"/>
      <c r="U8" s="74"/>
      <c r="V8" s="74"/>
      <c r="W8" s="83">
        <v>0</v>
      </c>
      <c r="X8" s="5"/>
      <c r="Y8" s="5" t="s">
        <v>18</v>
      </c>
      <c r="Z8" s="5" t="s">
        <v>18</v>
      </c>
      <c r="AA8" s="5" t="s">
        <v>0</v>
      </c>
      <c r="AB8" s="9" t="s">
        <v>134</v>
      </c>
      <c r="AC8" s="14" t="s">
        <v>148</v>
      </c>
      <c r="AD8" s="6"/>
      <c r="AE8" s="14" t="s">
        <v>149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</row>
    <row r="9" spans="1:248" s="16" customFormat="1" ht="15" customHeight="1">
      <c r="A9" s="71" t="s">
        <v>93</v>
      </c>
      <c r="B9" s="5" t="s">
        <v>17</v>
      </c>
      <c r="C9" s="5"/>
      <c r="D9" s="11" t="s">
        <v>18</v>
      </c>
      <c r="E9" s="94" t="str">
        <f>CONCATENATE(IF(AC9&gt;0,$AC$1," ")," ",IF(AD9&gt;0,$AD$1," ")," ",IF(AE9&gt;0,$AE$1," ")," ",IF(AF9&gt;0,$AF$1," ")," ",IF(AG9&gt;0,$AG$1," ")," ",IF(AH9&gt;0,$AH$1," ")," ",IF(AI9&gt;0,$AI$1," ")," ",IF(AJ9&gt;0,$AJ$1," ")," ",IF(AK9&gt;0,$AK$1," "))</f>
        <v xml:space="preserve">VT01   VT04            </v>
      </c>
      <c r="F9" s="72" t="str">
        <f>LEFT(Q9,11)</f>
        <v>9J1_974_000</v>
      </c>
      <c r="G9" s="73" t="s">
        <v>92</v>
      </c>
      <c r="H9" s="72" t="str">
        <f>CONCATENATE(IF(MID(Q9,5,3)="974","1J21"),LEFT(F9,3),RIGHT(F9,3))</f>
        <v>1J219J1000</v>
      </c>
      <c r="I9" s="72" t="str">
        <f>IF(G9=0,"00",IF(LEN(G9)=1,CONCATENATE(G9,0),G9))</f>
        <v>C0</v>
      </c>
      <c r="J9" s="7" t="s">
        <v>60</v>
      </c>
      <c r="K9" s="11"/>
      <c r="L9" s="5" t="s">
        <v>4</v>
      </c>
      <c r="M9" s="8">
        <v>6620.6614</v>
      </c>
      <c r="N9" s="85">
        <v>2003</v>
      </c>
      <c r="O9" s="57">
        <v>2020</v>
      </c>
      <c r="P9" s="9"/>
      <c r="Q9" s="5" t="s">
        <v>176</v>
      </c>
      <c r="R9" s="72" t="str">
        <f>IF(J9&lt;&gt;"",CONCATENATE(H9,I9,J9),CONCATENATE(H9,I9,#REF!))</f>
        <v>1J219J1000C0B</v>
      </c>
      <c r="S9" s="74" t="str">
        <f>IF(N9="-","KEIN LIEFERUMFANG",IF(AND(N9&lt;=S$3,O9=""),"AKTUELL",IF(O9=N9,"KEIN SERIENEINSATZ",IF(N9&gt;S$3,"NOCH NICHT AKTUELL",IF(AND(N9&lt;S$3,O9&lt;S$3),"NICHT AKTUELL",IF(N9&lt;=S$3,"AKTUELL"))))))</f>
        <v>NICHT AKTUELL</v>
      </c>
      <c r="T9" s="74"/>
      <c r="U9" s="74"/>
      <c r="V9" s="74"/>
      <c r="W9" s="83">
        <v>0</v>
      </c>
      <c r="X9" s="5"/>
      <c r="Y9" s="5" t="s">
        <v>18</v>
      </c>
      <c r="Z9" s="5" t="s">
        <v>18</v>
      </c>
      <c r="AA9" s="5" t="s">
        <v>0</v>
      </c>
      <c r="AB9" s="9" t="s">
        <v>134</v>
      </c>
      <c r="AC9" s="14" t="s">
        <v>148</v>
      </c>
      <c r="AD9" s="6"/>
      <c r="AE9" s="14" t="s">
        <v>149</v>
      </c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</row>
    <row r="10" spans="1:248" s="16" customFormat="1" ht="15" customHeight="1">
      <c r="A10" s="71" t="s">
        <v>93</v>
      </c>
      <c r="B10" s="5" t="s">
        <v>17</v>
      </c>
      <c r="C10" s="5"/>
      <c r="D10" s="11" t="s">
        <v>18</v>
      </c>
      <c r="E10" s="94" t="str">
        <f>CONCATENATE(IF(AC10&gt;0,$AC$1," ")," ",IF(AD10&gt;0,$AD$1," ")," ",IF(AE10&gt;0,$AE$1," ")," ",IF(AF10&gt;0,$AF$1," ")," ",IF(AG10&gt;0,$AG$1," ")," ",IF(AH10&gt;0,$AH$1," ")," ",IF(AI10&gt;0,$AI$1," ")," ",IF(AJ10&gt;0,$AJ$1," ")," ",IF(AK10&gt;0,$AK$1," "))</f>
        <v xml:space="preserve">VT01   VT04            </v>
      </c>
      <c r="F10" s="72" t="str">
        <f>LEFT(Q10,11)</f>
        <v>9J1_974_000</v>
      </c>
      <c r="G10" s="73" t="s">
        <v>92</v>
      </c>
      <c r="H10" s="72" t="str">
        <f>CONCATENATE(IF(MID(Q10,5,3)="974","1J21"),LEFT(F10,3),RIGHT(F10,3))</f>
        <v>1J219J1000</v>
      </c>
      <c r="I10" s="72" t="str">
        <f>IF(G10=0,"00",IF(LEN(G10)=1,CONCATENATE(G10,0),G10))</f>
        <v>C0</v>
      </c>
      <c r="J10" s="7" t="s">
        <v>92</v>
      </c>
      <c r="K10" s="11"/>
      <c r="L10" s="5" t="s">
        <v>4</v>
      </c>
      <c r="M10" s="8">
        <v>6620.6628000000001</v>
      </c>
      <c r="N10" s="85">
        <v>2021</v>
      </c>
      <c r="O10" s="57">
        <v>2047</v>
      </c>
      <c r="P10" s="9"/>
      <c r="Q10" s="5" t="s">
        <v>176</v>
      </c>
      <c r="R10" s="72" t="str">
        <f>IF(J10&lt;&gt;"",CONCATENATE(H10,I10,J10),CONCATENATE(H10,I10,#REF!))</f>
        <v>1J219J1000C0C</v>
      </c>
      <c r="S10" s="74" t="str">
        <f>IF(N10="-","KEIN LIEFERUMFANG",IF(AND(N10&lt;=S$3,O10=""),"AKTUELL",IF(O10=N10,"KEIN SERIENEINSATZ",IF(N10&gt;S$3,"NOCH NICHT AKTUELL",IF(AND(N10&lt;S$3,O10&lt;S$3),"NICHT AKTUELL",IF(N10&lt;=S$3,"AKTUELL"))))))</f>
        <v>NICHT AKTUELL</v>
      </c>
      <c r="T10" s="74"/>
      <c r="U10" s="74"/>
      <c r="V10" s="74"/>
      <c r="W10" s="83">
        <v>0</v>
      </c>
      <c r="X10" s="5"/>
      <c r="Y10" s="5" t="s">
        <v>18</v>
      </c>
      <c r="Z10" s="5" t="s">
        <v>18</v>
      </c>
      <c r="AA10" s="5" t="s">
        <v>0</v>
      </c>
      <c r="AB10" s="9" t="s">
        <v>134</v>
      </c>
      <c r="AC10" s="14" t="s">
        <v>148</v>
      </c>
      <c r="AD10" s="6"/>
      <c r="AE10" s="14" t="s">
        <v>149</v>
      </c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</row>
    <row r="11" spans="1:248" s="16" customFormat="1" ht="15" customHeight="1">
      <c r="A11" s="71" t="s">
        <v>93</v>
      </c>
      <c r="B11" s="5" t="s">
        <v>17</v>
      </c>
      <c r="C11" s="5"/>
      <c r="D11" s="11" t="s">
        <v>18</v>
      </c>
      <c r="E11" s="94" t="str">
        <f>CONCATENATE(IF(AC11&gt;0,$AC$1," ")," ",IF(AD11&gt;0,$AD$1," ")," ",IF(AE11&gt;0,$AE$1," ")," ",IF(AF11&gt;0,$AF$1," ")," ",IF(AG11&gt;0,$AG$1," ")," ",IF(AH11&gt;0,$AH$1," ")," ",IF(AI11&gt;0,$AI$1," ")," ",IF(AJ11&gt;0,$AJ$1," ")," ",IF(AK11&gt;0,$AK$1," "))</f>
        <v xml:space="preserve">VT01   VT04            </v>
      </c>
      <c r="F11" s="72" t="str">
        <f>LEFT(Q11,11)</f>
        <v>9J1_974_000</v>
      </c>
      <c r="G11" s="73" t="s">
        <v>92</v>
      </c>
      <c r="H11" s="72" t="str">
        <f>CONCATENATE(IF(MID(Q11,5,3)="974","1J21"),LEFT(F11,3),RIGHT(F11,3))</f>
        <v>1J219J1000</v>
      </c>
      <c r="I11" s="72" t="str">
        <f>IF(G11=0,"00",IF(LEN(G11)=1,CONCATENATE(G11,0),G11))</f>
        <v>C0</v>
      </c>
      <c r="J11" s="7"/>
      <c r="K11" s="102" t="s">
        <v>103</v>
      </c>
      <c r="L11" s="5" t="s">
        <v>4</v>
      </c>
      <c r="M11" s="21">
        <v>7204</v>
      </c>
      <c r="N11" s="85">
        <v>2048</v>
      </c>
      <c r="O11" s="57"/>
      <c r="P11" s="9"/>
      <c r="Q11" s="5" t="s">
        <v>176</v>
      </c>
      <c r="R11" s="72" t="str">
        <f>IF(K11&lt;&gt;"",CONCATENATE(H11,I11,K11),CONCATENATE(H11,I11,#REF!))</f>
        <v>1J219J1000C0D</v>
      </c>
      <c r="S11" s="74" t="str">
        <f>IF(N11="-","KEIN LIEFERUMFANG",IF(AND(N11&lt;=S$3,O11=""),"AKTUELL",IF(O11=N11,"KEIN SERIENEINSATZ",IF(N11&gt;S$3,"NOCH NICHT AKTUELL",IF(AND(N11&lt;S$3,O11&lt;S$3),"NICHT AKTUELL",IF(N11&lt;=S$3,"AKTUELL"))))))</f>
        <v>AKTUELL</v>
      </c>
      <c r="T11" s="74"/>
      <c r="U11" s="74"/>
      <c r="V11" s="74"/>
      <c r="W11" s="83">
        <v>0</v>
      </c>
      <c r="X11" s="5"/>
      <c r="Y11" s="5" t="s">
        <v>18</v>
      </c>
      <c r="Z11" s="5" t="s">
        <v>18</v>
      </c>
      <c r="AA11" s="5" t="s">
        <v>0</v>
      </c>
      <c r="AB11" s="9" t="s">
        <v>134</v>
      </c>
      <c r="AC11" s="14" t="s">
        <v>148</v>
      </c>
      <c r="AD11" s="6"/>
      <c r="AE11" s="14" t="s">
        <v>149</v>
      </c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</row>
    <row r="12" spans="1:248" s="16" customFormat="1">
      <c r="A12" s="71" t="s">
        <v>93</v>
      </c>
      <c r="B12" s="5" t="s">
        <v>6</v>
      </c>
      <c r="C12" s="5"/>
      <c r="D12" s="11" t="s">
        <v>18</v>
      </c>
      <c r="E12" s="94" t="str">
        <f t="shared" si="0"/>
        <v xml:space="preserve">                 </v>
      </c>
      <c r="F12" s="72" t="str">
        <f t="shared" si="1"/>
        <v>9J1_974_029</v>
      </c>
      <c r="G12" s="73">
        <f t="shared" ref="G12:G54" si="14">IF(LEN(Q12)=11,0,MID(Q12,13,2))</f>
        <v>0</v>
      </c>
      <c r="H12" s="72" t="str">
        <f t="shared" si="2"/>
        <v>1J219J1029</v>
      </c>
      <c r="I12" s="72" t="str">
        <f t="shared" si="3"/>
        <v>00</v>
      </c>
      <c r="J12" s="78" t="s">
        <v>147</v>
      </c>
      <c r="K12" s="10"/>
      <c r="L12" s="3" t="s">
        <v>72</v>
      </c>
      <c r="M12" s="8">
        <v>6015</v>
      </c>
      <c r="N12" s="85">
        <v>1918</v>
      </c>
      <c r="O12" s="57">
        <v>1932</v>
      </c>
      <c r="P12" s="9" t="s">
        <v>145</v>
      </c>
      <c r="Q12" s="5" t="s">
        <v>20</v>
      </c>
      <c r="R12" s="72" t="str">
        <f>IF(J12&lt;&gt;"",CONCATENATE(H12,I12,J12),CONCATENATE(H12,I12,#REF!))</f>
        <v>1J219J102900E</v>
      </c>
      <c r="S12" s="74" t="str">
        <f t="shared" si="4"/>
        <v>NICHT AKTUELL</v>
      </c>
      <c r="T12" s="74"/>
      <c r="U12" s="74"/>
      <c r="V12" s="74"/>
      <c r="W12" s="83">
        <v>0.29120000000000001</v>
      </c>
      <c r="X12" s="5"/>
      <c r="Y12" s="5" t="s">
        <v>0</v>
      </c>
      <c r="Z12" s="5" t="s">
        <v>18</v>
      </c>
      <c r="AA12" s="5" t="s">
        <v>0</v>
      </c>
      <c r="AB12" s="5"/>
      <c r="AC12" s="6"/>
      <c r="AD12" s="6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</row>
    <row r="13" spans="1:248" s="16" customFormat="1">
      <c r="A13" s="71" t="s">
        <v>93</v>
      </c>
      <c r="B13" s="5" t="s">
        <v>6</v>
      </c>
      <c r="C13" s="5"/>
      <c r="D13" s="11" t="s">
        <v>18</v>
      </c>
      <c r="E13" s="94" t="str">
        <f t="shared" si="0"/>
        <v xml:space="preserve">                 </v>
      </c>
      <c r="F13" s="72" t="str">
        <f t="shared" si="1"/>
        <v>9J1_974_029</v>
      </c>
      <c r="G13" s="73">
        <f>IF(LEN(Q13)=11,0,MID(Q13,13,2))</f>
        <v>0</v>
      </c>
      <c r="H13" s="72" t="str">
        <f t="shared" si="2"/>
        <v>1J219J1029</v>
      </c>
      <c r="I13" s="72" t="str">
        <f t="shared" si="3"/>
        <v>00</v>
      </c>
      <c r="J13" s="78" t="s">
        <v>158</v>
      </c>
      <c r="K13" s="10"/>
      <c r="L13" s="3" t="s">
        <v>72</v>
      </c>
      <c r="M13" s="8">
        <v>6025</v>
      </c>
      <c r="N13" s="85">
        <v>1933</v>
      </c>
      <c r="O13" s="57">
        <v>2012</v>
      </c>
      <c r="P13" s="9" t="s">
        <v>157</v>
      </c>
      <c r="Q13" s="5" t="s">
        <v>20</v>
      </c>
      <c r="R13" s="72" t="str">
        <f>IF(J13&lt;&gt;"",CONCATENATE(H13,I13,J13),CONCATENATE(H13,I13,#REF!))</f>
        <v>1J219J102900F</v>
      </c>
      <c r="S13" s="74" t="str">
        <f t="shared" si="4"/>
        <v>NICHT AKTUELL</v>
      </c>
      <c r="T13" s="74"/>
      <c r="U13" s="74"/>
      <c r="V13" s="74"/>
      <c r="W13" s="83">
        <v>0.29120000000000001</v>
      </c>
      <c r="X13" s="5"/>
      <c r="Y13" s="5" t="s">
        <v>0</v>
      </c>
      <c r="Z13" s="5" t="s">
        <v>18</v>
      </c>
      <c r="AA13" s="5" t="s">
        <v>0</v>
      </c>
      <c r="AB13" s="5"/>
      <c r="AC13" s="6"/>
      <c r="AD13" s="6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</row>
    <row r="14" spans="1:248" s="16" customFormat="1">
      <c r="A14" s="71" t="s">
        <v>93</v>
      </c>
      <c r="B14" s="5" t="s">
        <v>6</v>
      </c>
      <c r="C14" s="5"/>
      <c r="D14" s="11" t="s">
        <v>18</v>
      </c>
      <c r="E14" s="94" t="str">
        <f>CONCATENATE(IF(AC14&gt;0,$AC$1," ")," ",IF(AD14&gt;0,$AD$1," ")," ",IF(AE14&gt;0,$AE$1," ")," ",IF(AF14&gt;0,$AF$1," ")," ",IF(AG14&gt;0,$AG$1," ")," ",IF(AH14&gt;0,$AH$1," ")," ",IF(AI14&gt;0,$AI$1," ")," ",IF(AJ14&gt;0,$AJ$1," ")," ",IF(AK14&gt;0,$AK$1," "))</f>
        <v xml:space="preserve">                 </v>
      </c>
      <c r="F14" s="72" t="str">
        <f>LEFT(Q14,11)</f>
        <v>9J1_974_029</v>
      </c>
      <c r="G14" s="73">
        <f>IF(LEN(Q14)=11,0,MID(Q14,13,2))</f>
        <v>0</v>
      </c>
      <c r="H14" s="72" t="str">
        <f>CONCATENATE(IF(MID(Q14,5,3)="974","1J21"),LEFT(F14,3),RIGHT(F14,3))</f>
        <v>1J219J1029</v>
      </c>
      <c r="I14" s="72" t="str">
        <f>IF(G14=0,"00",IF(LEN(G14)=1,CONCATENATE(G14,0),G14))</f>
        <v>00</v>
      </c>
      <c r="J14" s="78" t="s">
        <v>170</v>
      </c>
      <c r="K14" s="11"/>
      <c r="L14" s="3" t="s">
        <v>72</v>
      </c>
      <c r="M14" s="8">
        <v>6025.6053000000002</v>
      </c>
      <c r="N14" s="85">
        <v>2013</v>
      </c>
      <c r="O14" s="57"/>
      <c r="P14" s="9" t="s">
        <v>172</v>
      </c>
      <c r="Q14" s="5" t="s">
        <v>20</v>
      </c>
      <c r="R14" s="72" t="str">
        <f>IF(J14&lt;&gt;"",CONCATENATE(H14,I14,J14),CONCATENATE(H14,I14,#REF!))</f>
        <v>1J219J102900G</v>
      </c>
      <c r="S14" s="74" t="str">
        <f>IF(N14="-","KEIN LIEFERUMFANG",IF(AND(N14&lt;=S$3,O14=""),"AKTUELL",IF(O14=N14,"KEIN SERIENEINSATZ",IF(N14&gt;S$3,"NOCH NICHT AKTUELL",IF(AND(N14&lt;S$3,O14&lt;S$3),"NICHT AKTUELL",IF(N14&lt;=S$3,"AKTUELL"))))))</f>
        <v>AKTUELL</v>
      </c>
      <c r="T14" s="74"/>
      <c r="U14" s="74"/>
      <c r="V14" s="74"/>
      <c r="W14" s="83">
        <v>0.29120000000000001</v>
      </c>
      <c r="X14" s="5"/>
      <c r="Y14" s="5" t="s">
        <v>0</v>
      </c>
      <c r="Z14" s="5" t="s">
        <v>18</v>
      </c>
      <c r="AA14" s="5" t="s">
        <v>0</v>
      </c>
      <c r="AB14" s="5"/>
      <c r="AC14" s="6"/>
      <c r="AD14" s="6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</row>
    <row r="15" spans="1:248" s="16" customFormat="1">
      <c r="A15" s="71" t="s">
        <v>93</v>
      </c>
      <c r="B15" s="5" t="s">
        <v>6</v>
      </c>
      <c r="C15" s="5"/>
      <c r="D15" s="11" t="s">
        <v>18</v>
      </c>
      <c r="E15" s="94" t="str">
        <f t="shared" si="0"/>
        <v xml:space="preserve">VT01                </v>
      </c>
      <c r="F15" s="72" t="str">
        <f t="shared" si="1"/>
        <v>9J1_974_029</v>
      </c>
      <c r="G15" s="73" t="str">
        <f t="shared" si="14"/>
        <v>A</v>
      </c>
      <c r="H15" s="72" t="str">
        <f t="shared" si="2"/>
        <v>1J219J1029</v>
      </c>
      <c r="I15" s="72" t="str">
        <f t="shared" si="3"/>
        <v>A0</v>
      </c>
      <c r="J15" s="78" t="s">
        <v>103</v>
      </c>
      <c r="K15" s="11"/>
      <c r="L15" s="3" t="s">
        <v>63</v>
      </c>
      <c r="M15" s="8"/>
      <c r="N15" s="9"/>
      <c r="O15" s="57">
        <v>1917</v>
      </c>
      <c r="P15" s="9"/>
      <c r="Q15" s="5" t="s">
        <v>21</v>
      </c>
      <c r="R15" s="72" t="str">
        <f>IF(J15&lt;&gt;"",CONCATENATE(H15,I15,J15),CONCATENATE(H15,I15,K15))</f>
        <v>1J219J1029A0D</v>
      </c>
      <c r="S15" s="74" t="str">
        <f t="shared" si="4"/>
        <v>NICHT AKTUELL</v>
      </c>
      <c r="T15" s="74"/>
      <c r="U15" s="74"/>
      <c r="V15" s="74"/>
      <c r="W15" s="83">
        <v>0.26129999999999998</v>
      </c>
      <c r="X15" s="5"/>
      <c r="Y15" s="5" t="s">
        <v>18</v>
      </c>
      <c r="Z15" s="5" t="s">
        <v>18</v>
      </c>
      <c r="AA15" s="5" t="s">
        <v>0</v>
      </c>
      <c r="AB15" s="5"/>
      <c r="AC15" s="14" t="s">
        <v>105</v>
      </c>
      <c r="AD15" s="6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</row>
    <row r="16" spans="1:248" s="16" customFormat="1">
      <c r="A16" s="71" t="s">
        <v>93</v>
      </c>
      <c r="B16" s="5" t="s">
        <v>6</v>
      </c>
      <c r="C16" s="5"/>
      <c r="D16" s="11" t="s">
        <v>18</v>
      </c>
      <c r="E16" s="94" t="str">
        <f t="shared" si="0"/>
        <v xml:space="preserve">VT01                </v>
      </c>
      <c r="F16" s="72" t="str">
        <f t="shared" si="1"/>
        <v>9J1_974_029</v>
      </c>
      <c r="G16" s="73" t="str">
        <f t="shared" si="14"/>
        <v>A</v>
      </c>
      <c r="H16" s="72" t="str">
        <f t="shared" si="2"/>
        <v>1J219J1029</v>
      </c>
      <c r="I16" s="72" t="str">
        <f t="shared" si="3"/>
        <v>A0</v>
      </c>
      <c r="J16" s="78" t="s">
        <v>147</v>
      </c>
      <c r="K16" s="10"/>
      <c r="L16" s="3" t="s">
        <v>63</v>
      </c>
      <c r="M16" s="8">
        <v>6015</v>
      </c>
      <c r="N16" s="85">
        <v>1918</v>
      </c>
      <c r="O16" s="57">
        <v>1932</v>
      </c>
      <c r="P16" s="9" t="s">
        <v>145</v>
      </c>
      <c r="Q16" s="5" t="s">
        <v>21</v>
      </c>
      <c r="R16" s="72" t="str">
        <f>IF(J16&lt;&gt;"",CONCATENATE(H16,I16,J16),CONCATENATE(H16,I16,#REF!))</f>
        <v>1J219J1029A0E</v>
      </c>
      <c r="S16" s="74" t="str">
        <f t="shared" si="4"/>
        <v>NICHT AKTUELL</v>
      </c>
      <c r="T16" s="74"/>
      <c r="U16" s="74"/>
      <c r="V16" s="74"/>
      <c r="W16" s="83">
        <v>0.26129999999999998</v>
      </c>
      <c r="X16" s="5"/>
      <c r="Y16" s="5" t="s">
        <v>18</v>
      </c>
      <c r="Z16" s="5" t="s">
        <v>18</v>
      </c>
      <c r="AA16" s="5" t="s">
        <v>0</v>
      </c>
      <c r="AB16" s="5"/>
      <c r="AC16" s="14" t="s">
        <v>150</v>
      </c>
      <c r="AD16" s="6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</row>
    <row r="17" spans="1:248" s="16" customFormat="1">
      <c r="A17" s="71" t="s">
        <v>93</v>
      </c>
      <c r="B17" s="5" t="s">
        <v>6</v>
      </c>
      <c r="C17" s="5"/>
      <c r="D17" s="11" t="s">
        <v>18</v>
      </c>
      <c r="E17" s="94" t="str">
        <f t="shared" si="0"/>
        <v xml:space="preserve">VT01                </v>
      </c>
      <c r="F17" s="72" t="str">
        <f t="shared" si="1"/>
        <v>9J1_974_029</v>
      </c>
      <c r="G17" s="73" t="str">
        <f>IF(LEN(Q17)=11,0,MID(Q17,13,2))</f>
        <v>A</v>
      </c>
      <c r="H17" s="72" t="str">
        <f t="shared" si="2"/>
        <v>1J219J1029</v>
      </c>
      <c r="I17" s="72" t="str">
        <f t="shared" si="3"/>
        <v>A0</v>
      </c>
      <c r="J17" s="78" t="s">
        <v>158</v>
      </c>
      <c r="K17" s="10"/>
      <c r="L17" s="3" t="s">
        <v>63</v>
      </c>
      <c r="M17" s="8">
        <v>6025</v>
      </c>
      <c r="N17" s="85">
        <v>1933</v>
      </c>
      <c r="O17" s="57">
        <v>2012</v>
      </c>
      <c r="P17" s="9" t="s">
        <v>157</v>
      </c>
      <c r="Q17" s="5" t="s">
        <v>21</v>
      </c>
      <c r="R17" s="72" t="str">
        <f>IF(J17&lt;&gt;"",CONCATENATE(H17,I17,J17),CONCATENATE(H17,I17,#REF!))</f>
        <v>1J219J1029A0F</v>
      </c>
      <c r="S17" s="74" t="str">
        <f t="shared" si="4"/>
        <v>NICHT AKTUELL</v>
      </c>
      <c r="T17" s="74"/>
      <c r="U17" s="74"/>
      <c r="V17" s="74"/>
      <c r="W17" s="83">
        <v>0.26129999999999998</v>
      </c>
      <c r="X17" s="5"/>
      <c r="Y17" s="5" t="s">
        <v>18</v>
      </c>
      <c r="Z17" s="5" t="s">
        <v>18</v>
      </c>
      <c r="AA17" s="5" t="s">
        <v>0</v>
      </c>
      <c r="AB17" s="5"/>
      <c r="AC17" s="14" t="s">
        <v>150</v>
      </c>
      <c r="AD17" s="6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</row>
    <row r="18" spans="1:248" s="16" customFormat="1">
      <c r="A18" s="71" t="s">
        <v>93</v>
      </c>
      <c r="B18" s="5" t="s">
        <v>6</v>
      </c>
      <c r="C18" s="5"/>
      <c r="D18" s="11" t="s">
        <v>18</v>
      </c>
      <c r="E18" s="94" t="str">
        <f>CONCATENATE(IF(AC18&gt;0,$AC$1," ")," ",IF(AD18&gt;0,$AD$1," ")," ",IF(AE18&gt;0,$AE$1," ")," ",IF(AF18&gt;0,$AF$1," ")," ",IF(AG18&gt;0,$AG$1," ")," ",IF(AH18&gt;0,$AH$1," ")," ",IF(AI18&gt;0,$AI$1," ")," ",IF(AJ18&gt;0,$AJ$1," ")," ",IF(AK18&gt;0,$AK$1," "))</f>
        <v xml:space="preserve">VT01                </v>
      </c>
      <c r="F18" s="72" t="str">
        <f>LEFT(Q18,11)</f>
        <v>9J1_974_029</v>
      </c>
      <c r="G18" s="73" t="str">
        <f>IF(LEN(Q18)=11,0,MID(Q18,13,2))</f>
        <v>A</v>
      </c>
      <c r="H18" s="72" t="str">
        <f>CONCATENATE(IF(MID(Q18,5,3)="974","1J21"),LEFT(F18,3),RIGHT(F18,3))</f>
        <v>1J219J1029</v>
      </c>
      <c r="I18" s="72" t="str">
        <f>IF(G18=0,"00",IF(LEN(G18)=1,CONCATENATE(G18,0),G18))</f>
        <v>A0</v>
      </c>
      <c r="J18" s="7" t="s">
        <v>170</v>
      </c>
      <c r="K18" s="11"/>
      <c r="L18" s="3" t="s">
        <v>63</v>
      </c>
      <c r="M18" s="8">
        <v>6025.6053000000002</v>
      </c>
      <c r="N18" s="85">
        <v>2013</v>
      </c>
      <c r="O18" s="57"/>
      <c r="P18" s="9" t="s">
        <v>172</v>
      </c>
      <c r="Q18" s="5" t="s">
        <v>21</v>
      </c>
      <c r="R18" s="72" t="str">
        <f>IF(J18&lt;&gt;"",CONCATENATE(H18,I18,J18),CONCATENATE(H18,I18,#REF!))</f>
        <v>1J219J1029A0G</v>
      </c>
      <c r="S18" s="74" t="str">
        <f>IF(N18="-","KEIN LIEFERUMFANG",IF(AND(N18&lt;=S$3,O18=""),"AKTUELL",IF(O18=N18,"KEIN SERIENEINSATZ",IF(N18&gt;S$3,"NOCH NICHT AKTUELL",IF(AND(N18&lt;S$3,O18&lt;S$3),"NICHT AKTUELL",IF(N18&lt;=S$3,"AKTUELL"))))))</f>
        <v>AKTUELL</v>
      </c>
      <c r="T18" s="74"/>
      <c r="U18" s="74"/>
      <c r="V18" s="74"/>
      <c r="W18" s="83">
        <v>0.26129999999999998</v>
      </c>
      <c r="X18" s="5"/>
      <c r="Y18" s="5" t="s">
        <v>18</v>
      </c>
      <c r="Z18" s="5" t="s">
        <v>18</v>
      </c>
      <c r="AA18" s="5" t="s">
        <v>0</v>
      </c>
      <c r="AB18" s="5"/>
      <c r="AC18" s="14" t="s">
        <v>150</v>
      </c>
      <c r="AD18" s="6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</row>
    <row r="19" spans="1:248" s="16" customFormat="1">
      <c r="A19" s="71" t="s">
        <v>93</v>
      </c>
      <c r="B19" s="5" t="s">
        <v>6</v>
      </c>
      <c r="C19" s="5"/>
      <c r="D19" s="11" t="s">
        <v>18</v>
      </c>
      <c r="E19" s="94" t="str">
        <f t="shared" si="0"/>
        <v xml:space="preserve">                 </v>
      </c>
      <c r="F19" s="72" t="str">
        <f t="shared" si="1"/>
        <v>9J1_974_029</v>
      </c>
      <c r="G19" s="73" t="str">
        <f t="shared" si="14"/>
        <v>B</v>
      </c>
      <c r="H19" s="72" t="str">
        <f t="shared" si="2"/>
        <v>1J219J1029</v>
      </c>
      <c r="I19" s="72" t="str">
        <f t="shared" si="3"/>
        <v>B0</v>
      </c>
      <c r="J19" s="78" t="s">
        <v>103</v>
      </c>
      <c r="K19" s="11"/>
      <c r="L19" s="3" t="s">
        <v>73</v>
      </c>
      <c r="M19" s="8"/>
      <c r="N19" s="9"/>
      <c r="O19" s="57">
        <v>1917</v>
      </c>
      <c r="P19" s="9"/>
      <c r="Q19" s="5" t="s">
        <v>22</v>
      </c>
      <c r="R19" s="72" t="str">
        <f>IF(J19&lt;&gt;"",CONCATENATE(H19,I19,J19),CONCATENATE(H19,I19,K19))</f>
        <v>1J219J1029B0D</v>
      </c>
      <c r="S19" s="74" t="str">
        <f t="shared" si="4"/>
        <v>NICHT AKTUELL</v>
      </c>
      <c r="T19" s="74"/>
      <c r="U19" s="74"/>
      <c r="V19" s="74"/>
      <c r="W19" s="83">
        <v>0.15679999999999999</v>
      </c>
      <c r="X19" s="5"/>
      <c r="Y19" s="5" t="s">
        <v>0</v>
      </c>
      <c r="Z19" s="5" t="s">
        <v>18</v>
      </c>
      <c r="AA19" s="5" t="s">
        <v>0</v>
      </c>
      <c r="AB19" s="5"/>
      <c r="AC19" s="6"/>
      <c r="AD19" s="6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</row>
    <row r="20" spans="1:248" s="16" customFormat="1">
      <c r="A20" s="71" t="s">
        <v>93</v>
      </c>
      <c r="B20" s="5" t="s">
        <v>6</v>
      </c>
      <c r="C20" s="5"/>
      <c r="D20" s="11" t="s">
        <v>18</v>
      </c>
      <c r="E20" s="94" t="str">
        <f t="shared" si="0"/>
        <v xml:space="preserve">                 </v>
      </c>
      <c r="F20" s="72" t="str">
        <f t="shared" si="1"/>
        <v>9J1_974_029</v>
      </c>
      <c r="G20" s="73" t="str">
        <f t="shared" si="14"/>
        <v>B</v>
      </c>
      <c r="H20" s="72" t="str">
        <f t="shared" si="2"/>
        <v>1J219J1029</v>
      </c>
      <c r="I20" s="72" t="str">
        <f t="shared" si="3"/>
        <v>B0</v>
      </c>
      <c r="J20" s="78" t="s">
        <v>147</v>
      </c>
      <c r="K20" s="10"/>
      <c r="L20" s="3" t="s">
        <v>73</v>
      </c>
      <c r="M20" s="8">
        <v>6015</v>
      </c>
      <c r="N20" s="85">
        <v>1918</v>
      </c>
      <c r="O20" s="57">
        <v>1932</v>
      </c>
      <c r="P20" s="9" t="s">
        <v>145</v>
      </c>
      <c r="Q20" s="5" t="s">
        <v>22</v>
      </c>
      <c r="R20" s="72" t="str">
        <f>IF(J20&lt;&gt;"",CONCATENATE(H20,I20,J20),CONCATENATE(H20,I20,#REF!))</f>
        <v>1J219J1029B0E</v>
      </c>
      <c r="S20" s="74" t="str">
        <f t="shared" si="4"/>
        <v>NICHT AKTUELL</v>
      </c>
      <c r="T20" s="74"/>
      <c r="U20" s="74"/>
      <c r="V20" s="74"/>
      <c r="W20" s="83">
        <v>0.15679999999999999</v>
      </c>
      <c r="X20" s="5"/>
      <c r="Y20" s="5" t="s">
        <v>0</v>
      </c>
      <c r="Z20" s="5" t="s">
        <v>18</v>
      </c>
      <c r="AA20" s="5" t="s">
        <v>0</v>
      </c>
      <c r="AB20" s="5"/>
      <c r="AC20" s="6"/>
      <c r="AD20" s="6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</row>
    <row r="21" spans="1:248" s="16" customFormat="1">
      <c r="A21" s="71" t="s">
        <v>93</v>
      </c>
      <c r="B21" s="5" t="s">
        <v>6</v>
      </c>
      <c r="C21" s="5"/>
      <c r="D21" s="11" t="s">
        <v>18</v>
      </c>
      <c r="E21" s="94" t="str">
        <f t="shared" si="0"/>
        <v xml:space="preserve">                 </v>
      </c>
      <c r="F21" s="72" t="str">
        <f t="shared" si="1"/>
        <v>9J1_974_029</v>
      </c>
      <c r="G21" s="73" t="str">
        <f>IF(LEN(Q21)=11,0,MID(Q21,13,2))</f>
        <v>B</v>
      </c>
      <c r="H21" s="72" t="str">
        <f t="shared" si="2"/>
        <v>1J219J1029</v>
      </c>
      <c r="I21" s="72" t="str">
        <f t="shared" si="3"/>
        <v>B0</v>
      </c>
      <c r="J21" s="7" t="s">
        <v>158</v>
      </c>
      <c r="K21" s="11"/>
      <c r="L21" s="3" t="s">
        <v>73</v>
      </c>
      <c r="M21" s="8">
        <v>6025</v>
      </c>
      <c r="N21" s="85">
        <v>1933</v>
      </c>
      <c r="O21" s="57">
        <v>1944</v>
      </c>
      <c r="P21" s="9" t="s">
        <v>157</v>
      </c>
      <c r="Q21" s="5" t="s">
        <v>22</v>
      </c>
      <c r="R21" s="72" t="str">
        <f>IF(J21&lt;&gt;"",CONCATENATE(H21,I21,J21),CONCATENATE(H21,I21,#REF!))</f>
        <v>1J219J1029B0F</v>
      </c>
      <c r="S21" s="74" t="str">
        <f t="shared" si="4"/>
        <v>NICHT AKTUELL</v>
      </c>
      <c r="T21" s="74"/>
      <c r="U21" s="74"/>
      <c r="V21" s="74"/>
      <c r="W21" s="83">
        <v>0.15679999999999999</v>
      </c>
      <c r="X21" s="5"/>
      <c r="Y21" s="5" t="s">
        <v>0</v>
      </c>
      <c r="Z21" s="5" t="s">
        <v>18</v>
      </c>
      <c r="AA21" s="5" t="s">
        <v>0</v>
      </c>
      <c r="AB21" s="5"/>
      <c r="AC21" s="6"/>
      <c r="AD21" s="6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</row>
    <row r="22" spans="1:248" s="16" customFormat="1">
      <c r="A22" s="71" t="s">
        <v>93</v>
      </c>
      <c r="B22" s="5" t="s">
        <v>6</v>
      </c>
      <c r="C22" s="5"/>
      <c r="D22" s="11" t="s">
        <v>18</v>
      </c>
      <c r="E22" s="94" t="str">
        <f>CONCATENATE(IF(AC22&gt;0,$AC$1," ")," ",IF(AD22&gt;0,$AD$1," ")," ",IF(AE22&gt;0,$AE$1," ")," ",IF(AF22&gt;0,$AF$1," ")," ",IF(AG22&gt;0,$AG$1," ")," ",IF(AH22&gt;0,$AH$1," ")," ",IF(AI22&gt;0,$AI$1," ")," ",IF(AJ22&gt;0,$AJ$1," ")," ",IF(AK22&gt;0,$AK$1," "))</f>
        <v xml:space="preserve">                 </v>
      </c>
      <c r="F22" s="72" t="str">
        <f>LEFT(Q22,11)</f>
        <v>9J1_974_029</v>
      </c>
      <c r="G22" s="73" t="str">
        <f>IF(LEN(Q22)=11,0,MID(Q22,13,2))</f>
        <v>B</v>
      </c>
      <c r="H22" s="72" t="str">
        <f>CONCATENATE(IF(MID(Q22,5,3)="974","1J21"),LEFT(F22,3),RIGHT(F22,3))</f>
        <v>1J219J1029</v>
      </c>
      <c r="I22" s="72" t="str">
        <f>IF(G22=0,"00",IF(LEN(G22)=1,CONCATENATE(G22,0),G22))</f>
        <v>B0</v>
      </c>
      <c r="J22" s="7" t="s">
        <v>170</v>
      </c>
      <c r="K22" s="11"/>
      <c r="L22" s="3" t="s">
        <v>73</v>
      </c>
      <c r="M22" s="8">
        <v>6025.6617999999999</v>
      </c>
      <c r="N22" s="85">
        <v>1945</v>
      </c>
      <c r="O22" s="57">
        <v>2012</v>
      </c>
      <c r="P22" s="9" t="s">
        <v>172</v>
      </c>
      <c r="Q22" s="5" t="s">
        <v>22</v>
      </c>
      <c r="R22" s="72" t="str">
        <f>IF(J22&lt;&gt;"",CONCATENATE(H22,I22,J22),CONCATENATE(H22,I22,#REF!))</f>
        <v>1J219J1029B0G</v>
      </c>
      <c r="S22" s="74" t="str">
        <f>IF(N22="-","KEIN LIEFERUMFANG",IF(AND(N22&lt;=S$3,O22=""),"AKTUELL",IF(O22=N22,"KEIN SERIENEINSATZ",IF(N22&gt;S$3,"NOCH NICHT AKTUELL",IF(AND(N22&lt;S$3,O22&lt;S$3),"NICHT AKTUELL",IF(N22&lt;=S$3,"AKTUELL"))))))</f>
        <v>NICHT AKTUELL</v>
      </c>
      <c r="T22" s="74"/>
      <c r="U22" s="74"/>
      <c r="V22" s="74"/>
      <c r="W22" s="83">
        <v>0.15679999999999999</v>
      </c>
      <c r="X22" s="5"/>
      <c r="Y22" s="5" t="s">
        <v>0</v>
      </c>
      <c r="Z22" s="5" t="s">
        <v>18</v>
      </c>
      <c r="AA22" s="5" t="s">
        <v>0</v>
      </c>
      <c r="AB22" s="5"/>
      <c r="AC22" s="6"/>
      <c r="AD22" s="6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</row>
    <row r="23" spans="1:248" s="16" customFormat="1">
      <c r="A23" s="71" t="s">
        <v>93</v>
      </c>
      <c r="B23" s="5" t="s">
        <v>6</v>
      </c>
      <c r="C23" s="5"/>
      <c r="D23" s="11" t="s">
        <v>18</v>
      </c>
      <c r="E23" s="94" t="str">
        <f>CONCATENATE(IF(AC23&gt;0,$AC$1," ")," ",IF(AD23&gt;0,$AD$1," ")," ",IF(AE23&gt;0,$AE$1," ")," ",IF(AF23&gt;0,$AF$1," ")," ",IF(AG23&gt;0,$AG$1," ")," ",IF(AH23&gt;0,$AH$1," ")," ",IF(AI23&gt;0,$AI$1," ")," ",IF(AJ23&gt;0,$AJ$1," ")," ",IF(AK23&gt;0,$AK$1," "))</f>
        <v xml:space="preserve">                 </v>
      </c>
      <c r="F23" s="72" t="str">
        <f>LEFT(Q23,11)</f>
        <v>9J1_974_029</v>
      </c>
      <c r="G23" s="73" t="str">
        <f>IF(LEN(Q23)=11,0,MID(Q23,13,2))</f>
        <v>B</v>
      </c>
      <c r="H23" s="72" t="str">
        <f>CONCATENATE(IF(MID(Q23,5,3)="974","1J21"),LEFT(F23,3),RIGHT(F23,3))</f>
        <v>1J219J1029</v>
      </c>
      <c r="I23" s="72" t="str">
        <f>IF(G23=0,"00",IF(LEN(G23)=1,CONCATENATE(G23,0),G23))</f>
        <v>B0</v>
      </c>
      <c r="J23" s="7" t="s">
        <v>180</v>
      </c>
      <c r="K23" s="11"/>
      <c r="L23" s="3" t="s">
        <v>73</v>
      </c>
      <c r="M23" s="8" t="s">
        <v>186</v>
      </c>
      <c r="N23" s="85">
        <v>2013</v>
      </c>
      <c r="O23" s="57"/>
      <c r="P23" s="9" t="s">
        <v>172</v>
      </c>
      <c r="Q23" s="5" t="s">
        <v>22</v>
      </c>
      <c r="R23" s="72" t="str">
        <f>IF(J23&lt;&gt;"",CONCATENATE(H23,I23,J23),CONCATENATE(H23,I23,#REF!))</f>
        <v>1J219J1029B0H</v>
      </c>
      <c r="S23" s="74" t="str">
        <f>IF(N23="-","KEIN LIEFERUMFANG",IF(AND(N23&lt;=S$3,O23=""),"AKTUELL",IF(O23=N23,"KEIN SERIENEINSATZ",IF(N23&gt;S$3,"NOCH NICHT AKTUELL",IF(AND(N23&lt;S$3,O23&lt;S$3),"NICHT AKTUELL",IF(N23&lt;=S$3,"AKTUELL"))))))</f>
        <v>AKTUELL</v>
      </c>
      <c r="T23" s="74"/>
      <c r="U23" s="74"/>
      <c r="V23" s="74"/>
      <c r="W23" s="83">
        <v>0.15679999999999999</v>
      </c>
      <c r="X23" s="5"/>
      <c r="Y23" s="5" t="s">
        <v>0</v>
      </c>
      <c r="Z23" s="5" t="s">
        <v>18</v>
      </c>
      <c r="AA23" s="5" t="s">
        <v>0</v>
      </c>
      <c r="AB23" s="5"/>
      <c r="AC23" s="6"/>
      <c r="AD23" s="6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</row>
    <row r="24" spans="1:248" s="16" customFormat="1">
      <c r="A24" s="71" t="s">
        <v>93</v>
      </c>
      <c r="B24" s="5" t="s">
        <v>6</v>
      </c>
      <c r="C24" s="5"/>
      <c r="D24" s="11" t="s">
        <v>18</v>
      </c>
      <c r="E24" s="94" t="str">
        <f t="shared" si="0"/>
        <v xml:space="preserve">VT01                </v>
      </c>
      <c r="F24" s="72" t="str">
        <f t="shared" si="1"/>
        <v>9J1_974_029</v>
      </c>
      <c r="G24" s="73" t="str">
        <f t="shared" si="14"/>
        <v>C</v>
      </c>
      <c r="H24" s="72" t="str">
        <f t="shared" si="2"/>
        <v>1J219J1029</v>
      </c>
      <c r="I24" s="72" t="str">
        <f t="shared" si="3"/>
        <v>C0</v>
      </c>
      <c r="J24" s="78" t="s">
        <v>103</v>
      </c>
      <c r="K24" s="11"/>
      <c r="L24" s="3" t="s">
        <v>64</v>
      </c>
      <c r="M24" s="8"/>
      <c r="N24" s="9"/>
      <c r="O24" s="57">
        <v>1917</v>
      </c>
      <c r="P24" s="9"/>
      <c r="Q24" s="5" t="s">
        <v>23</v>
      </c>
      <c r="R24" s="72" t="str">
        <f>IF(J24&lt;&gt;"",CONCATENATE(H24,I24,J24),CONCATENATE(H24,I24,K24))</f>
        <v>1J219J1029C0D</v>
      </c>
      <c r="S24" s="74" t="str">
        <f t="shared" si="4"/>
        <v>NICHT AKTUELL</v>
      </c>
      <c r="T24" s="74"/>
      <c r="U24" s="74"/>
      <c r="V24" s="74"/>
      <c r="W24" s="83">
        <v>0.14069999999999999</v>
      </c>
      <c r="X24" s="5"/>
      <c r="Y24" s="5" t="s">
        <v>18</v>
      </c>
      <c r="Z24" s="5" t="s">
        <v>18</v>
      </c>
      <c r="AA24" s="5" t="s">
        <v>0</v>
      </c>
      <c r="AB24" s="5"/>
      <c r="AC24" s="14" t="s">
        <v>105</v>
      </c>
      <c r="AD24" s="6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</row>
    <row r="25" spans="1:248" s="16" customFormat="1">
      <c r="A25" s="71" t="s">
        <v>93</v>
      </c>
      <c r="B25" s="5" t="s">
        <v>6</v>
      </c>
      <c r="C25" s="5"/>
      <c r="D25" s="11" t="s">
        <v>18</v>
      </c>
      <c r="E25" s="94" t="str">
        <f t="shared" si="0"/>
        <v xml:space="preserve">VT01                </v>
      </c>
      <c r="F25" s="72" t="str">
        <f t="shared" si="1"/>
        <v>9J1_974_029</v>
      </c>
      <c r="G25" s="73" t="str">
        <f t="shared" si="14"/>
        <v>C</v>
      </c>
      <c r="H25" s="72" t="str">
        <f t="shared" si="2"/>
        <v>1J219J1029</v>
      </c>
      <c r="I25" s="72" t="str">
        <f t="shared" si="3"/>
        <v>C0</v>
      </c>
      <c r="J25" s="78" t="s">
        <v>147</v>
      </c>
      <c r="K25" s="10"/>
      <c r="L25" s="3" t="s">
        <v>64</v>
      </c>
      <c r="M25" s="8">
        <v>6015</v>
      </c>
      <c r="N25" s="85">
        <v>1918</v>
      </c>
      <c r="O25" s="57">
        <v>1932</v>
      </c>
      <c r="P25" s="9" t="s">
        <v>145</v>
      </c>
      <c r="Q25" s="5" t="s">
        <v>23</v>
      </c>
      <c r="R25" s="72" t="str">
        <f>IF(J25&lt;&gt;"",CONCATENATE(H25,I25,J25),CONCATENATE(H25,I25,#REF!))</f>
        <v>1J219J1029C0E</v>
      </c>
      <c r="S25" s="74" t="str">
        <f t="shared" si="4"/>
        <v>NICHT AKTUELL</v>
      </c>
      <c r="T25" s="74"/>
      <c r="U25" s="74"/>
      <c r="V25" s="74"/>
      <c r="W25" s="83">
        <v>0.14069999999999999</v>
      </c>
      <c r="X25" s="5"/>
      <c r="Y25" s="5" t="s">
        <v>18</v>
      </c>
      <c r="Z25" s="5" t="s">
        <v>18</v>
      </c>
      <c r="AA25" s="5" t="s">
        <v>0</v>
      </c>
      <c r="AB25" s="5"/>
      <c r="AC25" s="14" t="s">
        <v>150</v>
      </c>
      <c r="AD25" s="6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</row>
    <row r="26" spans="1:248" s="16" customFormat="1">
      <c r="A26" s="71" t="s">
        <v>93</v>
      </c>
      <c r="B26" s="5" t="s">
        <v>6</v>
      </c>
      <c r="C26" s="5"/>
      <c r="D26" s="11" t="s">
        <v>18</v>
      </c>
      <c r="E26" s="94" t="str">
        <f t="shared" si="0"/>
        <v xml:space="preserve">VT01                </v>
      </c>
      <c r="F26" s="72" t="str">
        <f t="shared" si="1"/>
        <v>9J1_974_029</v>
      </c>
      <c r="G26" s="73" t="str">
        <f>IF(LEN(Q26)=11,0,MID(Q26,13,2))</f>
        <v>C</v>
      </c>
      <c r="H26" s="72" t="str">
        <f t="shared" si="2"/>
        <v>1J219J1029</v>
      </c>
      <c r="I26" s="72" t="str">
        <f t="shared" si="3"/>
        <v>C0</v>
      </c>
      <c r="J26" s="7" t="s">
        <v>158</v>
      </c>
      <c r="K26" s="11"/>
      <c r="L26" s="3" t="s">
        <v>64</v>
      </c>
      <c r="M26" s="8">
        <v>6025</v>
      </c>
      <c r="N26" s="85">
        <v>1933</v>
      </c>
      <c r="O26" s="57">
        <v>1944</v>
      </c>
      <c r="P26" s="9" t="s">
        <v>157</v>
      </c>
      <c r="Q26" s="5" t="s">
        <v>23</v>
      </c>
      <c r="R26" s="72" t="str">
        <f>IF(J26&lt;&gt;"",CONCATENATE(H26,I26,J26),CONCATENATE(H26,I26,#REF!))</f>
        <v>1J219J1029C0F</v>
      </c>
      <c r="S26" s="74" t="str">
        <f t="shared" si="4"/>
        <v>NICHT AKTUELL</v>
      </c>
      <c r="T26" s="74"/>
      <c r="U26" s="74"/>
      <c r="V26" s="74"/>
      <c r="W26" s="83">
        <v>0.14069999999999999</v>
      </c>
      <c r="X26" s="5"/>
      <c r="Y26" s="5" t="s">
        <v>18</v>
      </c>
      <c r="Z26" s="5" t="s">
        <v>18</v>
      </c>
      <c r="AA26" s="5" t="s">
        <v>0</v>
      </c>
      <c r="AB26" s="5"/>
      <c r="AC26" s="14" t="s">
        <v>150</v>
      </c>
      <c r="AD26" s="6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</row>
    <row r="27" spans="1:248" s="16" customFormat="1">
      <c r="A27" s="71" t="s">
        <v>93</v>
      </c>
      <c r="B27" s="5" t="s">
        <v>6</v>
      </c>
      <c r="C27" s="5"/>
      <c r="D27" s="11" t="s">
        <v>18</v>
      </c>
      <c r="E27" s="94" t="str">
        <f>CONCATENATE(IF(AC27&gt;0,$AC$1," ")," ",IF(AD27&gt;0,$AD$1," ")," ",IF(AE27&gt;0,$AE$1," ")," ",IF(AF27&gt;0,$AF$1," ")," ",IF(AG27&gt;0,$AG$1," ")," ",IF(AH27&gt;0,$AH$1," ")," ",IF(AI27&gt;0,$AI$1," ")," ",IF(AJ27&gt;0,$AJ$1," ")," ",IF(AK27&gt;0,$AK$1," "))</f>
        <v xml:space="preserve">VT01                </v>
      </c>
      <c r="F27" s="72" t="str">
        <f>LEFT(Q27,11)</f>
        <v>9J1_974_029</v>
      </c>
      <c r="G27" s="73" t="str">
        <f>IF(LEN(Q27)=11,0,MID(Q27,13,2))</f>
        <v>C</v>
      </c>
      <c r="H27" s="72" t="str">
        <f>CONCATENATE(IF(MID(Q27,5,3)="974","1J21"),LEFT(F27,3),RIGHT(F27,3))</f>
        <v>1J219J1029</v>
      </c>
      <c r="I27" s="72" t="str">
        <f>IF(G27=0,"00",IF(LEN(G27)=1,CONCATENATE(G27,0),G27))</f>
        <v>C0</v>
      </c>
      <c r="J27" s="7" t="s">
        <v>170</v>
      </c>
      <c r="K27" s="11"/>
      <c r="L27" s="3" t="s">
        <v>64</v>
      </c>
      <c r="M27" s="8">
        <v>6025.6617999999999</v>
      </c>
      <c r="N27" s="85">
        <v>1945</v>
      </c>
      <c r="O27" s="57">
        <v>2012</v>
      </c>
      <c r="P27" s="9" t="s">
        <v>172</v>
      </c>
      <c r="Q27" s="5" t="s">
        <v>23</v>
      </c>
      <c r="R27" s="72" t="str">
        <f>IF(J27&lt;&gt;"",CONCATENATE(H27,I27,J27),CONCATENATE(H27,I27,#REF!))</f>
        <v>1J219J1029C0G</v>
      </c>
      <c r="S27" s="74" t="str">
        <f>IF(N27="-","KEIN LIEFERUMFANG",IF(AND(N27&lt;=S$3,O27=""),"AKTUELL",IF(O27=N27,"KEIN SERIENEINSATZ",IF(N27&gt;S$3,"NOCH NICHT AKTUELL",IF(AND(N27&lt;S$3,O27&lt;S$3),"NICHT AKTUELL",IF(N27&lt;=S$3,"AKTUELL"))))))</f>
        <v>NICHT AKTUELL</v>
      </c>
      <c r="T27" s="74"/>
      <c r="U27" s="74"/>
      <c r="V27" s="74"/>
      <c r="W27" s="83">
        <v>0.14069999999999999</v>
      </c>
      <c r="X27" s="5"/>
      <c r="Y27" s="5" t="s">
        <v>18</v>
      </c>
      <c r="Z27" s="5" t="s">
        <v>18</v>
      </c>
      <c r="AA27" s="5" t="s">
        <v>0</v>
      </c>
      <c r="AB27" s="5"/>
      <c r="AC27" s="14" t="s">
        <v>150</v>
      </c>
      <c r="AD27" s="6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</row>
    <row r="28" spans="1:248" s="16" customFormat="1">
      <c r="A28" s="71" t="s">
        <v>93</v>
      </c>
      <c r="B28" s="5" t="s">
        <v>6</v>
      </c>
      <c r="C28" s="5"/>
      <c r="D28" s="11" t="s">
        <v>18</v>
      </c>
      <c r="E28" s="94" t="str">
        <f>CONCATENATE(IF(AC28&gt;0,$AC$1," ")," ",IF(AD28&gt;0,$AD$1," ")," ",IF(AE28&gt;0,$AE$1," ")," ",IF(AF28&gt;0,$AF$1," ")," ",IF(AG28&gt;0,$AG$1," ")," ",IF(AH28&gt;0,$AH$1," ")," ",IF(AI28&gt;0,$AI$1," ")," ",IF(AJ28&gt;0,$AJ$1," ")," ",IF(AK28&gt;0,$AK$1," "))</f>
        <v xml:space="preserve">VT01                </v>
      </c>
      <c r="F28" s="72" t="str">
        <f>LEFT(Q28,11)</f>
        <v>9J1_974_029</v>
      </c>
      <c r="G28" s="73" t="str">
        <f>IF(LEN(Q28)=11,0,MID(Q28,13,2))</f>
        <v>C</v>
      </c>
      <c r="H28" s="72" t="str">
        <f>CONCATENATE(IF(MID(Q28,5,3)="974","1J21"),LEFT(F28,3),RIGHT(F28,3))</f>
        <v>1J219J1029</v>
      </c>
      <c r="I28" s="72" t="str">
        <f>IF(G28=0,"00",IF(LEN(G28)=1,CONCATENATE(G28,0),G28))</f>
        <v>C0</v>
      </c>
      <c r="J28" s="7" t="s">
        <v>180</v>
      </c>
      <c r="K28" s="11"/>
      <c r="L28" s="3" t="s">
        <v>64</v>
      </c>
      <c r="M28" s="8" t="s">
        <v>186</v>
      </c>
      <c r="N28" s="85">
        <v>2013</v>
      </c>
      <c r="O28" s="57"/>
      <c r="P28" s="9" t="s">
        <v>172</v>
      </c>
      <c r="Q28" s="5" t="s">
        <v>23</v>
      </c>
      <c r="R28" s="72" t="str">
        <f>IF(J28&lt;&gt;"",CONCATENATE(H28,I28,J28),CONCATENATE(H28,I28,#REF!))</f>
        <v>1J219J1029C0H</v>
      </c>
      <c r="S28" s="74" t="str">
        <f>IF(N28="-","KEIN LIEFERUMFANG",IF(AND(N28&lt;=S$3,O28=""),"AKTUELL",IF(O28=N28,"KEIN SERIENEINSATZ",IF(N28&gt;S$3,"NOCH NICHT AKTUELL",IF(AND(N28&lt;S$3,O28&lt;S$3),"NICHT AKTUELL",IF(N28&lt;=S$3,"AKTUELL"))))))</f>
        <v>AKTUELL</v>
      </c>
      <c r="T28" s="74"/>
      <c r="U28" s="74"/>
      <c r="V28" s="74"/>
      <c r="W28" s="83">
        <v>0.14069999999999999</v>
      </c>
      <c r="X28" s="5"/>
      <c r="Y28" s="5" t="s">
        <v>18</v>
      </c>
      <c r="Z28" s="5" t="s">
        <v>18</v>
      </c>
      <c r="AA28" s="5" t="s">
        <v>0</v>
      </c>
      <c r="AB28" s="5"/>
      <c r="AC28" s="14" t="s">
        <v>150</v>
      </c>
      <c r="AD28" s="6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</row>
    <row r="29" spans="1:248" s="16" customFormat="1">
      <c r="A29" s="71" t="s">
        <v>93</v>
      </c>
      <c r="B29" s="5" t="s">
        <v>6</v>
      </c>
      <c r="C29" s="5"/>
      <c r="D29" s="11" t="s">
        <v>18</v>
      </c>
      <c r="E29" s="94" t="str">
        <f t="shared" si="0"/>
        <v xml:space="preserve">                 </v>
      </c>
      <c r="F29" s="72" t="str">
        <f t="shared" si="1"/>
        <v>9J1_974_029</v>
      </c>
      <c r="G29" s="73" t="str">
        <f t="shared" si="14"/>
        <v>D</v>
      </c>
      <c r="H29" s="72" t="str">
        <f t="shared" si="2"/>
        <v>1J219J1029</v>
      </c>
      <c r="I29" s="72" t="str">
        <f t="shared" si="3"/>
        <v>D0</v>
      </c>
      <c r="J29" s="78" t="s">
        <v>59</v>
      </c>
      <c r="K29" s="11"/>
      <c r="L29" s="3" t="s">
        <v>140</v>
      </c>
      <c r="M29" s="8">
        <v>6001</v>
      </c>
      <c r="N29" s="9"/>
      <c r="O29" s="57">
        <v>1917</v>
      </c>
      <c r="P29" s="9"/>
      <c r="Q29" s="5" t="s">
        <v>138</v>
      </c>
      <c r="R29" s="72" t="str">
        <f>IF(J29&lt;&gt;"",CONCATENATE(H29,I29,J29),CONCATENATE(H29,I29,K29))</f>
        <v>1J219J1029D0A</v>
      </c>
      <c r="S29" s="74" t="str">
        <f t="shared" si="4"/>
        <v>NICHT AKTUELL</v>
      </c>
      <c r="T29" s="74"/>
      <c r="U29" s="74"/>
      <c r="V29" s="74"/>
      <c r="W29" s="83">
        <v>0.15679999999999999</v>
      </c>
      <c r="X29" s="5"/>
      <c r="Y29" s="5" t="s">
        <v>0</v>
      </c>
      <c r="Z29" s="5" t="s">
        <v>18</v>
      </c>
      <c r="AA29" s="5" t="s">
        <v>0</v>
      </c>
      <c r="AB29" s="5"/>
      <c r="AC29" s="6"/>
      <c r="AD29" s="6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</row>
    <row r="30" spans="1:248" s="16" customFormat="1">
      <c r="A30" s="71" t="s">
        <v>93</v>
      </c>
      <c r="B30" s="5" t="s">
        <v>6</v>
      </c>
      <c r="C30" s="5"/>
      <c r="D30" s="11" t="s">
        <v>18</v>
      </c>
      <c r="E30" s="94" t="str">
        <f t="shared" si="0"/>
        <v xml:space="preserve">                 </v>
      </c>
      <c r="F30" s="72" t="str">
        <f t="shared" si="1"/>
        <v>9J1_974_029</v>
      </c>
      <c r="G30" s="73" t="str">
        <f t="shared" si="14"/>
        <v>D</v>
      </c>
      <c r="H30" s="72" t="str">
        <f t="shared" si="2"/>
        <v>1J219J1029</v>
      </c>
      <c r="I30" s="72" t="str">
        <f t="shared" si="3"/>
        <v>D0</v>
      </c>
      <c r="J30" s="78" t="s">
        <v>60</v>
      </c>
      <c r="K30" s="10"/>
      <c r="L30" s="3" t="s">
        <v>140</v>
      </c>
      <c r="M30" s="8">
        <v>6015</v>
      </c>
      <c r="N30" s="85">
        <v>1918</v>
      </c>
      <c r="O30" s="57">
        <v>1932</v>
      </c>
      <c r="P30" s="9" t="s">
        <v>145</v>
      </c>
      <c r="Q30" s="5" t="s">
        <v>138</v>
      </c>
      <c r="R30" s="72" t="str">
        <f>IF(J30&lt;&gt;"",CONCATENATE(H30,I30,J30),CONCATENATE(H30,I30,#REF!))</f>
        <v>1J219J1029D0B</v>
      </c>
      <c r="S30" s="74" t="str">
        <f t="shared" si="4"/>
        <v>NICHT AKTUELL</v>
      </c>
      <c r="T30" s="74"/>
      <c r="U30" s="74"/>
      <c r="V30" s="74"/>
      <c r="W30" s="83">
        <v>0.15679999999999999</v>
      </c>
      <c r="X30" s="5"/>
      <c r="Y30" s="5" t="s">
        <v>0</v>
      </c>
      <c r="Z30" s="5" t="s">
        <v>18</v>
      </c>
      <c r="AA30" s="5" t="s">
        <v>0</v>
      </c>
      <c r="AB30" s="5"/>
      <c r="AC30" s="6"/>
      <c r="AD30" s="6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</row>
    <row r="31" spans="1:248" s="16" customFormat="1">
      <c r="A31" s="71" t="s">
        <v>93</v>
      </c>
      <c r="B31" s="5" t="s">
        <v>6</v>
      </c>
      <c r="C31" s="5"/>
      <c r="D31" s="11" t="s">
        <v>18</v>
      </c>
      <c r="E31" s="94" t="str">
        <f t="shared" si="0"/>
        <v xml:space="preserve">                 </v>
      </c>
      <c r="F31" s="72" t="str">
        <f t="shared" si="1"/>
        <v>9J1_974_029</v>
      </c>
      <c r="G31" s="73" t="str">
        <f>IF(LEN(Q31)=11,0,MID(Q31,13,2))</f>
        <v>D</v>
      </c>
      <c r="H31" s="72" t="str">
        <f t="shared" si="2"/>
        <v>1J219J1029</v>
      </c>
      <c r="I31" s="72" t="str">
        <f t="shared" si="3"/>
        <v>D0</v>
      </c>
      <c r="J31" s="7" t="s">
        <v>92</v>
      </c>
      <c r="K31" s="11"/>
      <c r="L31" s="3" t="s">
        <v>140</v>
      </c>
      <c r="M31" s="8">
        <v>6025</v>
      </c>
      <c r="N31" s="85">
        <v>1933</v>
      </c>
      <c r="O31" s="57">
        <v>1944</v>
      </c>
      <c r="P31" s="9" t="s">
        <v>157</v>
      </c>
      <c r="Q31" s="5" t="s">
        <v>138</v>
      </c>
      <c r="R31" s="72" t="str">
        <f>IF(J31&lt;&gt;"",CONCATENATE(H31,I31,J31),CONCATENATE(H31,I31,#REF!))</f>
        <v>1J219J1029D0C</v>
      </c>
      <c r="S31" s="74" t="str">
        <f t="shared" si="4"/>
        <v>NICHT AKTUELL</v>
      </c>
      <c r="T31" s="74"/>
      <c r="U31" s="74"/>
      <c r="V31" s="74"/>
      <c r="W31" s="83">
        <v>0.15679999999999999</v>
      </c>
      <c r="X31" s="5"/>
      <c r="Y31" s="5" t="s">
        <v>0</v>
      </c>
      <c r="Z31" s="5" t="s">
        <v>18</v>
      </c>
      <c r="AA31" s="5" t="s">
        <v>0</v>
      </c>
      <c r="AB31" s="5"/>
      <c r="AC31" s="6"/>
      <c r="AD31" s="6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</row>
    <row r="32" spans="1:248" s="16" customFormat="1">
      <c r="A32" s="71" t="s">
        <v>93</v>
      </c>
      <c r="B32" s="5" t="s">
        <v>6</v>
      </c>
      <c r="C32" s="5"/>
      <c r="D32" s="11" t="s">
        <v>18</v>
      </c>
      <c r="E32" s="94" t="str">
        <f>CONCATENATE(IF(AC32&gt;0,$AC$1," ")," ",IF(AD32&gt;0,$AD$1," ")," ",IF(AE32&gt;0,$AE$1," ")," ",IF(AF32&gt;0,$AF$1," ")," ",IF(AG32&gt;0,$AG$1," ")," ",IF(AH32&gt;0,$AH$1," ")," ",IF(AI32&gt;0,$AI$1," ")," ",IF(AJ32&gt;0,$AJ$1," ")," ",IF(AK32&gt;0,$AK$1," "))</f>
        <v xml:space="preserve">                 </v>
      </c>
      <c r="F32" s="72" t="str">
        <f>LEFT(Q32,11)</f>
        <v>9J1_974_029</v>
      </c>
      <c r="G32" s="73" t="str">
        <f>IF(LEN(Q32)=11,0,MID(Q32,13,2))</f>
        <v>D</v>
      </c>
      <c r="H32" s="72" t="str">
        <f>CONCATENATE(IF(MID(Q32,5,3)="974","1J21"),LEFT(F32,3),RIGHT(F32,3))</f>
        <v>1J219J1029</v>
      </c>
      <c r="I32" s="72" t="str">
        <f>IF(G32=0,"00",IF(LEN(G32)=1,CONCATENATE(G32,0),G32))</f>
        <v>D0</v>
      </c>
      <c r="J32" s="7" t="s">
        <v>103</v>
      </c>
      <c r="K32" s="11"/>
      <c r="L32" s="3" t="s">
        <v>140</v>
      </c>
      <c r="M32" s="8">
        <v>6025.6617999999999</v>
      </c>
      <c r="N32" s="85">
        <v>1945</v>
      </c>
      <c r="O32" s="57">
        <v>2012</v>
      </c>
      <c r="P32" s="9" t="s">
        <v>172</v>
      </c>
      <c r="Q32" s="5" t="s">
        <v>138</v>
      </c>
      <c r="R32" s="72" t="str">
        <f>IF(J32&lt;&gt;"",CONCATENATE(H32,I32,J32),CONCATENATE(H32,I32,#REF!))</f>
        <v>1J219J1029D0D</v>
      </c>
      <c r="S32" s="74" t="str">
        <f>IF(N32="-","KEIN LIEFERUMFANG",IF(AND(N32&lt;=S$3,O32=""),"AKTUELL",IF(O32=N32,"KEIN SERIENEINSATZ",IF(N32&gt;S$3,"NOCH NICHT AKTUELL",IF(AND(N32&lt;S$3,O32&lt;S$3),"NICHT AKTUELL",IF(N32&lt;=S$3,"AKTUELL"))))))</f>
        <v>NICHT AKTUELL</v>
      </c>
      <c r="T32" s="74"/>
      <c r="U32" s="74"/>
      <c r="V32" s="74"/>
      <c r="W32" s="83">
        <v>0.15679999999999999</v>
      </c>
      <c r="X32" s="5"/>
      <c r="Y32" s="5" t="s">
        <v>0</v>
      </c>
      <c r="Z32" s="5" t="s">
        <v>18</v>
      </c>
      <c r="AA32" s="5" t="s">
        <v>0</v>
      </c>
      <c r="AB32" s="5"/>
      <c r="AC32" s="6"/>
      <c r="AD32" s="6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</row>
    <row r="33" spans="1:248" s="16" customFormat="1">
      <c r="A33" s="71" t="s">
        <v>93</v>
      </c>
      <c r="B33" s="5" t="s">
        <v>6</v>
      </c>
      <c r="C33" s="5"/>
      <c r="D33" s="11" t="s">
        <v>18</v>
      </c>
      <c r="E33" s="94" t="str">
        <f>CONCATENATE(IF(AC33&gt;0,$AC$1," ")," ",IF(AD33&gt;0,$AD$1," ")," ",IF(AE33&gt;0,$AE$1," ")," ",IF(AF33&gt;0,$AF$1," ")," ",IF(AG33&gt;0,$AG$1," ")," ",IF(AH33&gt;0,$AH$1," ")," ",IF(AI33&gt;0,$AI$1," ")," ",IF(AJ33&gt;0,$AJ$1," ")," ",IF(AK33&gt;0,$AK$1," "))</f>
        <v xml:space="preserve">                 </v>
      </c>
      <c r="F33" s="72" t="str">
        <f>LEFT(Q33,11)</f>
        <v>9J1_974_029</v>
      </c>
      <c r="G33" s="73" t="str">
        <f>IF(LEN(Q33)=11,0,MID(Q33,13,2))</f>
        <v>D</v>
      </c>
      <c r="H33" s="72" t="str">
        <f>CONCATENATE(IF(MID(Q33,5,3)="974","1J21"),LEFT(F33,3),RIGHT(F33,3))</f>
        <v>1J219J1029</v>
      </c>
      <c r="I33" s="72" t="str">
        <f>IF(G33=0,"00",IF(LEN(G33)=1,CONCATENATE(G33,0),G33))</f>
        <v>D0</v>
      </c>
      <c r="J33" s="7" t="s">
        <v>147</v>
      </c>
      <c r="K33" s="11"/>
      <c r="L33" s="3" t="s">
        <v>140</v>
      </c>
      <c r="M33" s="8" t="s">
        <v>186</v>
      </c>
      <c r="N33" s="85">
        <v>2013</v>
      </c>
      <c r="O33" s="57"/>
      <c r="P33" s="9" t="s">
        <v>172</v>
      </c>
      <c r="Q33" s="5" t="s">
        <v>138</v>
      </c>
      <c r="R33" s="72" t="str">
        <f>IF(J33&lt;&gt;"",CONCATENATE(H33,I33,J33),CONCATENATE(H33,I33,#REF!))</f>
        <v>1J219J1029D0E</v>
      </c>
      <c r="S33" s="74" t="str">
        <f>IF(N33="-","KEIN LIEFERUMFANG",IF(AND(N33&lt;=S$3,O33=""),"AKTUELL",IF(O33=N33,"KEIN SERIENEINSATZ",IF(N33&gt;S$3,"NOCH NICHT AKTUELL",IF(AND(N33&lt;S$3,O33&lt;S$3),"NICHT AKTUELL",IF(N33&lt;=S$3,"AKTUELL"))))))</f>
        <v>AKTUELL</v>
      </c>
      <c r="T33" s="74"/>
      <c r="U33" s="74"/>
      <c r="V33" s="74"/>
      <c r="W33" s="83">
        <v>0.15679999999999999</v>
      </c>
      <c r="X33" s="5"/>
      <c r="Y33" s="5" t="s">
        <v>0</v>
      </c>
      <c r="Z33" s="5" t="s">
        <v>18</v>
      </c>
      <c r="AA33" s="5" t="s">
        <v>0</v>
      </c>
      <c r="AB33" s="5"/>
      <c r="AC33" s="6"/>
      <c r="AD33" s="6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</row>
    <row r="34" spans="1:248" s="16" customFormat="1">
      <c r="A34" s="71" t="s">
        <v>93</v>
      </c>
      <c r="B34" s="5" t="s">
        <v>6</v>
      </c>
      <c r="C34" s="5"/>
      <c r="D34" s="11" t="s">
        <v>18</v>
      </c>
      <c r="E34" s="94" t="str">
        <f t="shared" si="0"/>
        <v xml:space="preserve">VT01                </v>
      </c>
      <c r="F34" s="72" t="str">
        <f t="shared" si="1"/>
        <v>9J1_974_029</v>
      </c>
      <c r="G34" s="73" t="str">
        <f t="shared" si="14"/>
        <v>E</v>
      </c>
      <c r="H34" s="72" t="str">
        <f t="shared" si="2"/>
        <v>1J219J1029</v>
      </c>
      <c r="I34" s="72" t="str">
        <f t="shared" si="3"/>
        <v>E0</v>
      </c>
      <c r="J34" s="78" t="s">
        <v>59</v>
      </c>
      <c r="K34" s="11"/>
      <c r="L34" s="3" t="s">
        <v>141</v>
      </c>
      <c r="M34" s="8">
        <v>6001</v>
      </c>
      <c r="N34" s="9"/>
      <c r="O34" s="57">
        <v>1917</v>
      </c>
      <c r="P34" s="9"/>
      <c r="Q34" s="5" t="s">
        <v>139</v>
      </c>
      <c r="R34" s="72" t="str">
        <f>IF(J34&lt;&gt;"",CONCATENATE(H34,I34,J34),CONCATENATE(H34,I34,K34))</f>
        <v>1J219J1029E0A</v>
      </c>
      <c r="S34" s="74" t="str">
        <f t="shared" si="4"/>
        <v>NICHT AKTUELL</v>
      </c>
      <c r="T34" s="74"/>
      <c r="U34" s="74"/>
      <c r="V34" s="74"/>
      <c r="W34" s="83">
        <v>0.14069999999999999</v>
      </c>
      <c r="X34" s="5"/>
      <c r="Y34" s="5" t="s">
        <v>18</v>
      </c>
      <c r="Z34" s="5" t="s">
        <v>18</v>
      </c>
      <c r="AA34" s="5" t="s">
        <v>0</v>
      </c>
      <c r="AB34" s="5"/>
      <c r="AC34" s="14" t="s">
        <v>105</v>
      </c>
      <c r="AD34" s="6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</row>
    <row r="35" spans="1:248" s="16" customFormat="1">
      <c r="A35" s="71" t="s">
        <v>93</v>
      </c>
      <c r="B35" s="5" t="s">
        <v>6</v>
      </c>
      <c r="C35" s="5"/>
      <c r="D35" s="11" t="s">
        <v>18</v>
      </c>
      <c r="E35" s="94" t="str">
        <f t="shared" si="0"/>
        <v xml:space="preserve">VT01                </v>
      </c>
      <c r="F35" s="72" t="str">
        <f t="shared" si="1"/>
        <v>9J1_974_029</v>
      </c>
      <c r="G35" s="73" t="str">
        <f t="shared" si="14"/>
        <v>E</v>
      </c>
      <c r="H35" s="72" t="str">
        <f t="shared" si="2"/>
        <v>1J219J1029</v>
      </c>
      <c r="I35" s="72" t="str">
        <f t="shared" si="3"/>
        <v>E0</v>
      </c>
      <c r="J35" s="78" t="s">
        <v>60</v>
      </c>
      <c r="K35" s="10"/>
      <c r="L35" s="3" t="s">
        <v>141</v>
      </c>
      <c r="M35" s="8">
        <v>6015</v>
      </c>
      <c r="N35" s="85">
        <v>1918</v>
      </c>
      <c r="O35" s="57">
        <v>1932</v>
      </c>
      <c r="P35" s="9" t="s">
        <v>145</v>
      </c>
      <c r="Q35" s="5" t="s">
        <v>139</v>
      </c>
      <c r="R35" s="72" t="str">
        <f>IF(J35&lt;&gt;"",CONCATENATE(H35,I35,J35),CONCATENATE(H35,I35,#REF!))</f>
        <v>1J219J1029E0B</v>
      </c>
      <c r="S35" s="74" t="str">
        <f t="shared" si="4"/>
        <v>NICHT AKTUELL</v>
      </c>
      <c r="T35" s="74"/>
      <c r="U35" s="74"/>
      <c r="V35" s="74"/>
      <c r="W35" s="83">
        <v>0.14069999999999999</v>
      </c>
      <c r="X35" s="5"/>
      <c r="Y35" s="5" t="s">
        <v>18</v>
      </c>
      <c r="Z35" s="5" t="s">
        <v>18</v>
      </c>
      <c r="AA35" s="5" t="s">
        <v>0</v>
      </c>
      <c r="AB35" s="5"/>
      <c r="AC35" s="14" t="s">
        <v>150</v>
      </c>
      <c r="AD35" s="6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</row>
    <row r="36" spans="1:248" s="16" customFormat="1">
      <c r="A36" s="71" t="s">
        <v>93</v>
      </c>
      <c r="B36" s="5" t="s">
        <v>6</v>
      </c>
      <c r="C36" s="5"/>
      <c r="D36" s="11" t="s">
        <v>18</v>
      </c>
      <c r="E36" s="94" t="str">
        <f t="shared" si="0"/>
        <v xml:space="preserve">VT01                </v>
      </c>
      <c r="F36" s="72" t="str">
        <f t="shared" si="1"/>
        <v>9J1_974_029</v>
      </c>
      <c r="G36" s="73" t="str">
        <f>IF(LEN(Q36)=11,0,MID(Q36,13,2))</f>
        <v>E</v>
      </c>
      <c r="H36" s="72" t="str">
        <f t="shared" si="2"/>
        <v>1J219J1029</v>
      </c>
      <c r="I36" s="72" t="str">
        <f t="shared" si="3"/>
        <v>E0</v>
      </c>
      <c r="J36" s="7" t="s">
        <v>92</v>
      </c>
      <c r="K36" s="11"/>
      <c r="L36" s="3" t="s">
        <v>141</v>
      </c>
      <c r="M36" s="8">
        <v>6025</v>
      </c>
      <c r="N36" s="85">
        <v>1933</v>
      </c>
      <c r="O36" s="57">
        <v>1944</v>
      </c>
      <c r="P36" s="9" t="s">
        <v>157</v>
      </c>
      <c r="Q36" s="5" t="s">
        <v>139</v>
      </c>
      <c r="R36" s="72" t="str">
        <f>IF(J36&lt;&gt;"",CONCATENATE(H36,I36,J36),CONCATENATE(H36,I36,#REF!))</f>
        <v>1J219J1029E0C</v>
      </c>
      <c r="S36" s="74" t="str">
        <f t="shared" si="4"/>
        <v>NICHT AKTUELL</v>
      </c>
      <c r="T36" s="74"/>
      <c r="U36" s="74"/>
      <c r="V36" s="74"/>
      <c r="W36" s="83">
        <v>0.14069999999999999</v>
      </c>
      <c r="X36" s="5"/>
      <c r="Y36" s="5" t="s">
        <v>18</v>
      </c>
      <c r="Z36" s="5" t="s">
        <v>18</v>
      </c>
      <c r="AA36" s="5" t="s">
        <v>0</v>
      </c>
      <c r="AB36" s="5"/>
      <c r="AC36" s="14" t="s">
        <v>150</v>
      </c>
      <c r="AD36" s="6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</row>
    <row r="37" spans="1:248" s="16" customFormat="1">
      <c r="A37" s="71" t="s">
        <v>93</v>
      </c>
      <c r="B37" s="5" t="s">
        <v>6</v>
      </c>
      <c r="C37" s="5"/>
      <c r="D37" s="11" t="s">
        <v>18</v>
      </c>
      <c r="E37" s="94" t="str">
        <f>CONCATENATE(IF(AC37&gt;0,$AC$1," ")," ",IF(AD37&gt;0,$AD$1," ")," ",IF(AE37&gt;0,$AE$1," ")," ",IF(AF37&gt;0,$AF$1," ")," ",IF(AG37&gt;0,$AG$1," ")," ",IF(AH37&gt;0,$AH$1," ")," ",IF(AI37&gt;0,$AI$1," ")," ",IF(AJ37&gt;0,$AJ$1," ")," ",IF(AK37&gt;0,$AK$1," "))</f>
        <v xml:space="preserve">VT01                </v>
      </c>
      <c r="F37" s="72" t="str">
        <f>LEFT(Q37,11)</f>
        <v>9J1_974_029</v>
      </c>
      <c r="G37" s="73" t="str">
        <f>IF(LEN(Q37)=11,0,MID(Q37,13,2))</f>
        <v>E</v>
      </c>
      <c r="H37" s="72" t="str">
        <f>CONCATENATE(IF(MID(Q37,5,3)="974","1J21"),LEFT(F37,3),RIGHT(F37,3))</f>
        <v>1J219J1029</v>
      </c>
      <c r="I37" s="72" t="str">
        <f>IF(G37=0,"00",IF(LEN(G37)=1,CONCATENATE(G37,0),G37))</f>
        <v>E0</v>
      </c>
      <c r="J37" s="7" t="s">
        <v>103</v>
      </c>
      <c r="K37" s="11"/>
      <c r="L37" s="3" t="s">
        <v>141</v>
      </c>
      <c r="M37" s="8">
        <v>6025.6617999999999</v>
      </c>
      <c r="N37" s="85">
        <v>1945</v>
      </c>
      <c r="O37" s="57">
        <v>2012</v>
      </c>
      <c r="P37" s="9" t="s">
        <v>172</v>
      </c>
      <c r="Q37" s="5" t="s">
        <v>139</v>
      </c>
      <c r="R37" s="72" t="str">
        <f>IF(J37&lt;&gt;"",CONCATENATE(H37,I37,J37),CONCATENATE(H37,I37,#REF!))</f>
        <v>1J219J1029E0D</v>
      </c>
      <c r="S37" s="74" t="str">
        <f>IF(N37="-","KEIN LIEFERUMFANG",IF(AND(N37&lt;=S$3,O37=""),"AKTUELL",IF(O37=N37,"KEIN SERIENEINSATZ",IF(N37&gt;S$3,"NOCH NICHT AKTUELL",IF(AND(N37&lt;S$3,O37&lt;S$3),"NICHT AKTUELL",IF(N37&lt;=S$3,"AKTUELL"))))))</f>
        <v>NICHT AKTUELL</v>
      </c>
      <c r="T37" s="74"/>
      <c r="U37" s="74"/>
      <c r="V37" s="74"/>
      <c r="W37" s="83">
        <v>0.14069999999999999</v>
      </c>
      <c r="X37" s="5"/>
      <c r="Y37" s="5" t="s">
        <v>18</v>
      </c>
      <c r="Z37" s="5" t="s">
        <v>18</v>
      </c>
      <c r="AA37" s="5" t="s">
        <v>0</v>
      </c>
      <c r="AB37" s="5"/>
      <c r="AC37" s="14" t="s">
        <v>150</v>
      </c>
      <c r="AD37" s="6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</row>
    <row r="38" spans="1:248" s="16" customFormat="1">
      <c r="A38" s="71" t="s">
        <v>93</v>
      </c>
      <c r="B38" s="5" t="s">
        <v>6</v>
      </c>
      <c r="C38" s="5"/>
      <c r="D38" s="11" t="s">
        <v>18</v>
      </c>
      <c r="E38" s="94" t="str">
        <f>CONCATENATE(IF(AC38&gt;0,$AC$1," ")," ",IF(AD38&gt;0,$AD$1," ")," ",IF(AE38&gt;0,$AE$1," ")," ",IF(AF38&gt;0,$AF$1," ")," ",IF(AG38&gt;0,$AG$1," ")," ",IF(AH38&gt;0,$AH$1," ")," ",IF(AI38&gt;0,$AI$1," ")," ",IF(AJ38&gt;0,$AJ$1," ")," ",IF(AK38&gt;0,$AK$1," "))</f>
        <v xml:space="preserve">VT01                </v>
      </c>
      <c r="F38" s="72" t="str">
        <f>LEFT(Q38,11)</f>
        <v>9J1_974_029</v>
      </c>
      <c r="G38" s="73" t="str">
        <f>IF(LEN(Q38)=11,0,MID(Q38,13,2))</f>
        <v>E</v>
      </c>
      <c r="H38" s="72" t="str">
        <f>CONCATENATE(IF(MID(Q38,5,3)="974","1J21"),LEFT(F38,3),RIGHT(F38,3))</f>
        <v>1J219J1029</v>
      </c>
      <c r="I38" s="72" t="str">
        <f>IF(G38=0,"00",IF(LEN(G38)=1,CONCATENATE(G38,0),G38))</f>
        <v>E0</v>
      </c>
      <c r="J38" s="7" t="s">
        <v>147</v>
      </c>
      <c r="K38" s="11"/>
      <c r="L38" s="3" t="s">
        <v>141</v>
      </c>
      <c r="M38" s="8" t="s">
        <v>186</v>
      </c>
      <c r="N38" s="85">
        <v>2013</v>
      </c>
      <c r="O38" s="57"/>
      <c r="P38" s="9" t="s">
        <v>172</v>
      </c>
      <c r="Q38" s="5" t="s">
        <v>139</v>
      </c>
      <c r="R38" s="72" t="str">
        <f>IF(J38&lt;&gt;"",CONCATENATE(H38,I38,J38),CONCATENATE(H38,I38,#REF!))</f>
        <v>1J219J1029E0E</v>
      </c>
      <c r="S38" s="74" t="str">
        <f>IF(N38="-","KEIN LIEFERUMFANG",IF(AND(N38&lt;=S$3,O38=""),"AKTUELL",IF(O38=N38,"KEIN SERIENEINSATZ",IF(N38&gt;S$3,"NOCH NICHT AKTUELL",IF(AND(N38&lt;S$3,O38&lt;S$3),"NICHT AKTUELL",IF(N38&lt;=S$3,"AKTUELL"))))))</f>
        <v>AKTUELL</v>
      </c>
      <c r="T38" s="74"/>
      <c r="U38" s="74"/>
      <c r="V38" s="74"/>
      <c r="W38" s="83">
        <v>0.14069999999999999</v>
      </c>
      <c r="X38" s="5"/>
      <c r="Y38" s="5" t="s">
        <v>18</v>
      </c>
      <c r="Z38" s="5" t="s">
        <v>18</v>
      </c>
      <c r="AA38" s="5" t="s">
        <v>0</v>
      </c>
      <c r="AB38" s="5"/>
      <c r="AC38" s="14" t="s">
        <v>150</v>
      </c>
      <c r="AD38" s="6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</row>
    <row r="39" spans="1:248" s="16" customFormat="1" ht="15" customHeight="1">
      <c r="A39" s="71" t="s">
        <v>93</v>
      </c>
      <c r="B39" s="5" t="s">
        <v>8</v>
      </c>
      <c r="C39" s="5"/>
      <c r="D39" s="11"/>
      <c r="E39" s="94" t="str">
        <f t="shared" si="0"/>
        <v xml:space="preserve">                 </v>
      </c>
      <c r="F39" s="72" t="str">
        <f t="shared" si="1"/>
        <v>9J1_974_072</v>
      </c>
      <c r="G39" s="73">
        <f t="shared" si="14"/>
        <v>0</v>
      </c>
      <c r="H39" s="72" t="str">
        <f t="shared" si="2"/>
        <v>1J219J1072</v>
      </c>
      <c r="I39" s="72" t="str">
        <f t="shared" si="3"/>
        <v>00</v>
      </c>
      <c r="J39" s="78" t="s">
        <v>92</v>
      </c>
      <c r="K39" s="11"/>
      <c r="L39" s="5" t="s">
        <v>19</v>
      </c>
      <c r="M39" s="8"/>
      <c r="N39" s="9"/>
      <c r="O39" s="57"/>
      <c r="P39" s="9"/>
      <c r="Q39" s="5" t="s">
        <v>24</v>
      </c>
      <c r="R39" s="72" t="str">
        <f t="shared" ref="R39:R46" si="15">IF(J39&lt;&gt;"",CONCATENATE(H39,I39,J39),CONCATENATE(H39,I39,K39))</f>
        <v>1J219J107200C</v>
      </c>
      <c r="S39" s="74" t="str">
        <f t="shared" si="4"/>
        <v>AKTUELL</v>
      </c>
      <c r="T39" s="74"/>
      <c r="U39" s="74"/>
      <c r="V39" s="74"/>
      <c r="W39" s="83">
        <v>0.50239999999999996</v>
      </c>
      <c r="X39" s="5"/>
      <c r="Y39" s="5" t="s">
        <v>0</v>
      </c>
      <c r="Z39" s="5" t="s">
        <v>18</v>
      </c>
      <c r="AA39" s="5" t="s">
        <v>0</v>
      </c>
      <c r="AB39" s="5"/>
      <c r="AC39" s="6"/>
      <c r="AD39" s="6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</row>
    <row r="40" spans="1:248" s="16" customFormat="1" ht="15" customHeight="1">
      <c r="A40" s="71" t="s">
        <v>93</v>
      </c>
      <c r="B40" s="5" t="s">
        <v>3</v>
      </c>
      <c r="C40" s="5"/>
      <c r="D40" s="11" t="s">
        <v>18</v>
      </c>
      <c r="E40" s="94" t="str">
        <f t="shared" si="0"/>
        <v xml:space="preserve">                 </v>
      </c>
      <c r="F40" s="72" t="str">
        <f t="shared" si="1"/>
        <v>9J1_974_076</v>
      </c>
      <c r="G40" s="73">
        <f t="shared" si="14"/>
        <v>0</v>
      </c>
      <c r="H40" s="72" t="str">
        <f t="shared" si="2"/>
        <v>1J219J1076</v>
      </c>
      <c r="I40" s="72" t="str">
        <f t="shared" si="3"/>
        <v>00</v>
      </c>
      <c r="J40" s="78" t="s">
        <v>60</v>
      </c>
      <c r="K40" s="11"/>
      <c r="L40" s="3" t="s">
        <v>74</v>
      </c>
      <c r="M40" s="8"/>
      <c r="N40" s="9"/>
      <c r="O40" s="57">
        <v>1932</v>
      </c>
      <c r="P40" s="9"/>
      <c r="Q40" s="5" t="s">
        <v>25</v>
      </c>
      <c r="R40" s="72" t="str">
        <f t="shared" si="15"/>
        <v>1J219J107600B</v>
      </c>
      <c r="S40" s="74" t="str">
        <f t="shared" si="4"/>
        <v>NICHT AKTUELL</v>
      </c>
      <c r="T40" s="74"/>
      <c r="U40" s="74"/>
      <c r="V40" s="74"/>
      <c r="W40" s="83">
        <v>0.28989999999999999</v>
      </c>
      <c r="X40" s="5"/>
      <c r="Y40" s="5" t="s">
        <v>0</v>
      </c>
      <c r="Z40" s="5" t="s">
        <v>18</v>
      </c>
      <c r="AA40" s="5" t="s">
        <v>0</v>
      </c>
      <c r="AB40" s="5"/>
      <c r="AC40" s="6"/>
      <c r="AD40" s="6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</row>
    <row r="41" spans="1:248" s="16" customFormat="1" ht="15" customHeight="1">
      <c r="A41" s="71" t="s">
        <v>93</v>
      </c>
      <c r="B41" s="5" t="s">
        <v>3</v>
      </c>
      <c r="C41" s="5"/>
      <c r="D41" s="11" t="s">
        <v>18</v>
      </c>
      <c r="E41" s="94" t="str">
        <f t="shared" si="0"/>
        <v xml:space="preserve">                 </v>
      </c>
      <c r="F41" s="72" t="str">
        <f t="shared" si="1"/>
        <v>9J1_974_076</v>
      </c>
      <c r="G41" s="73">
        <f>IF(LEN(Q41)=11,0,MID(Q41,13,2))</f>
        <v>0</v>
      </c>
      <c r="H41" s="72" t="str">
        <f t="shared" si="2"/>
        <v>1J219J1076</v>
      </c>
      <c r="I41" s="72" t="str">
        <f t="shared" si="3"/>
        <v>00</v>
      </c>
      <c r="J41" s="78" t="s">
        <v>92</v>
      </c>
      <c r="K41" s="11"/>
      <c r="L41" s="3" t="s">
        <v>74</v>
      </c>
      <c r="M41" s="8">
        <v>6025</v>
      </c>
      <c r="N41" s="9">
        <v>1933</v>
      </c>
      <c r="O41" s="57"/>
      <c r="P41" s="9" t="s">
        <v>157</v>
      </c>
      <c r="Q41" s="5" t="s">
        <v>25</v>
      </c>
      <c r="R41" s="72" t="str">
        <f>IF(J41&lt;&gt;"",CONCATENATE(H41,I41,J41),CONCATENATE(H41,I41,K41))</f>
        <v>1J219J107600C</v>
      </c>
      <c r="S41" s="74" t="str">
        <f t="shared" si="4"/>
        <v>AKTUELL</v>
      </c>
      <c r="T41" s="74"/>
      <c r="U41" s="74"/>
      <c r="V41" s="74"/>
      <c r="W41" s="83">
        <v>0.28989999999999999</v>
      </c>
      <c r="X41" s="5"/>
      <c r="Y41" s="5" t="s">
        <v>0</v>
      </c>
      <c r="Z41" s="5" t="s">
        <v>18</v>
      </c>
      <c r="AA41" s="5" t="s">
        <v>0</v>
      </c>
      <c r="AB41" s="5"/>
      <c r="AC41" s="6"/>
      <c r="AD41" s="6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</row>
    <row r="42" spans="1:248" s="16" customFormat="1" ht="15" customHeight="1">
      <c r="A42" s="71" t="s">
        <v>93</v>
      </c>
      <c r="B42" s="5" t="s">
        <v>3</v>
      </c>
      <c r="C42" s="5"/>
      <c r="D42" s="11" t="s">
        <v>18</v>
      </c>
      <c r="E42" s="94" t="str">
        <f t="shared" si="0"/>
        <v xml:space="preserve">                 </v>
      </c>
      <c r="F42" s="72" t="str">
        <f t="shared" si="1"/>
        <v>9J1_974_076</v>
      </c>
      <c r="G42" s="73" t="str">
        <f t="shared" si="14"/>
        <v>A</v>
      </c>
      <c r="H42" s="72" t="str">
        <f t="shared" si="2"/>
        <v>1J219J1076</v>
      </c>
      <c r="I42" s="72" t="str">
        <f t="shared" si="3"/>
        <v>A0</v>
      </c>
      <c r="J42" s="78" t="s">
        <v>60</v>
      </c>
      <c r="K42" s="11"/>
      <c r="L42" s="3" t="s">
        <v>75</v>
      </c>
      <c r="M42" s="8"/>
      <c r="N42" s="9"/>
      <c r="O42" s="57">
        <v>1932</v>
      </c>
      <c r="P42" s="9"/>
      <c r="Q42" s="5" t="s">
        <v>26</v>
      </c>
      <c r="R42" s="72" t="str">
        <f t="shared" si="15"/>
        <v>1J219J1076A0B</v>
      </c>
      <c r="S42" s="74" t="str">
        <f t="shared" si="4"/>
        <v>NICHT AKTUELL</v>
      </c>
      <c r="T42" s="74"/>
      <c r="U42" s="74"/>
      <c r="V42" s="74"/>
      <c r="W42" s="83">
        <v>0.51600000000000001</v>
      </c>
      <c r="X42" s="5"/>
      <c r="Y42" s="5" t="s">
        <v>0</v>
      </c>
      <c r="Z42" s="5" t="s">
        <v>18</v>
      </c>
      <c r="AA42" s="5" t="s">
        <v>0</v>
      </c>
      <c r="AB42" s="5"/>
      <c r="AC42" s="6"/>
      <c r="AD42" s="6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</row>
    <row r="43" spans="1:248" s="16" customFormat="1" ht="15" customHeight="1">
      <c r="A43" s="71" t="s">
        <v>93</v>
      </c>
      <c r="B43" s="5" t="s">
        <v>3</v>
      </c>
      <c r="C43" s="5"/>
      <c r="D43" s="11" t="s">
        <v>18</v>
      </c>
      <c r="E43" s="94" t="str">
        <f t="shared" si="0"/>
        <v xml:space="preserve">                 </v>
      </c>
      <c r="F43" s="72" t="str">
        <f t="shared" si="1"/>
        <v>9J1_974_076</v>
      </c>
      <c r="G43" s="73" t="str">
        <f>IF(LEN(Q43)=11,0,MID(Q43,13,2))</f>
        <v>A</v>
      </c>
      <c r="H43" s="72" t="str">
        <f t="shared" si="2"/>
        <v>1J219J1076</v>
      </c>
      <c r="I43" s="72" t="str">
        <f t="shared" si="3"/>
        <v>A0</v>
      </c>
      <c r="J43" s="78" t="s">
        <v>92</v>
      </c>
      <c r="K43" s="11"/>
      <c r="L43" s="3" t="s">
        <v>75</v>
      </c>
      <c r="M43" s="8">
        <v>6025</v>
      </c>
      <c r="N43" s="9">
        <v>1933</v>
      </c>
      <c r="O43" s="57"/>
      <c r="P43" s="9" t="s">
        <v>157</v>
      </c>
      <c r="Q43" s="5" t="s">
        <v>26</v>
      </c>
      <c r="R43" s="72" t="str">
        <f>IF(J43&lt;&gt;"",CONCATENATE(H43,I43,J43),CONCATENATE(H43,I43,K43))</f>
        <v>1J219J1076A0C</v>
      </c>
      <c r="S43" s="74" t="str">
        <f t="shared" si="4"/>
        <v>AKTUELL</v>
      </c>
      <c r="T43" s="74"/>
      <c r="U43" s="74"/>
      <c r="V43" s="74"/>
      <c r="W43" s="83">
        <v>0.51600000000000001</v>
      </c>
      <c r="X43" s="5"/>
      <c r="Y43" s="5" t="s">
        <v>0</v>
      </c>
      <c r="Z43" s="5" t="s">
        <v>18</v>
      </c>
      <c r="AA43" s="5" t="s">
        <v>0</v>
      </c>
      <c r="AB43" s="5"/>
      <c r="AC43" s="6"/>
      <c r="AD43" s="6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</row>
    <row r="44" spans="1:248" s="16" customFormat="1" ht="15" customHeight="1">
      <c r="A44" s="71" t="s">
        <v>93</v>
      </c>
      <c r="B44" s="5" t="s">
        <v>3</v>
      </c>
      <c r="C44" s="5"/>
      <c r="D44" s="11" t="s">
        <v>18</v>
      </c>
      <c r="E44" s="94" t="str">
        <f t="shared" si="0"/>
        <v xml:space="preserve">                 </v>
      </c>
      <c r="F44" s="72" t="str">
        <f t="shared" si="1"/>
        <v>9J1_974_076</v>
      </c>
      <c r="G44" s="73" t="str">
        <f t="shared" si="14"/>
        <v>B</v>
      </c>
      <c r="H44" s="72" t="str">
        <f t="shared" si="2"/>
        <v>1J219J1076</v>
      </c>
      <c r="I44" s="72" t="str">
        <f t="shared" si="3"/>
        <v>B0</v>
      </c>
      <c r="J44" s="78" t="s">
        <v>60</v>
      </c>
      <c r="K44" s="11"/>
      <c r="L44" s="3" t="s">
        <v>76</v>
      </c>
      <c r="M44" s="8"/>
      <c r="N44" s="9"/>
      <c r="O44" s="57">
        <v>1932</v>
      </c>
      <c r="P44" s="9"/>
      <c r="Q44" s="5" t="s">
        <v>27</v>
      </c>
      <c r="R44" s="72" t="str">
        <f t="shared" si="15"/>
        <v>1J219J1076B0B</v>
      </c>
      <c r="S44" s="74" t="str">
        <f t="shared" si="4"/>
        <v>NICHT AKTUELL</v>
      </c>
      <c r="T44" s="74"/>
      <c r="U44" s="74"/>
      <c r="V44" s="74"/>
      <c r="W44" s="83">
        <v>4.4200000000000003E-2</v>
      </c>
      <c r="X44" s="5"/>
      <c r="Y44" s="5" t="s">
        <v>0</v>
      </c>
      <c r="Z44" s="5" t="s">
        <v>18</v>
      </c>
      <c r="AA44" s="5" t="s">
        <v>0</v>
      </c>
      <c r="AB44" s="5"/>
      <c r="AC44" s="6"/>
      <c r="AD44" s="6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</row>
    <row r="45" spans="1:248" s="16" customFormat="1" ht="15" customHeight="1">
      <c r="A45" s="71" t="s">
        <v>93</v>
      </c>
      <c r="B45" s="5" t="s">
        <v>3</v>
      </c>
      <c r="C45" s="5"/>
      <c r="D45" s="11" t="s">
        <v>18</v>
      </c>
      <c r="E45" s="94" t="str">
        <f t="shared" si="0"/>
        <v xml:space="preserve">                 </v>
      </c>
      <c r="F45" s="72" t="str">
        <f t="shared" si="1"/>
        <v>9J1_974_076</v>
      </c>
      <c r="G45" s="73" t="str">
        <f>IF(LEN(Q45)=11,0,MID(Q45,13,2))</f>
        <v>B</v>
      </c>
      <c r="H45" s="72" t="str">
        <f t="shared" si="2"/>
        <v>1J219J1076</v>
      </c>
      <c r="I45" s="72" t="str">
        <f t="shared" si="3"/>
        <v>B0</v>
      </c>
      <c r="J45" s="78" t="s">
        <v>92</v>
      </c>
      <c r="K45" s="11"/>
      <c r="L45" s="3" t="s">
        <v>76</v>
      </c>
      <c r="M45" s="8">
        <v>6025.6031000000003</v>
      </c>
      <c r="N45" s="9">
        <v>1933</v>
      </c>
      <c r="O45" s="57"/>
      <c r="P45" s="9" t="s">
        <v>157</v>
      </c>
      <c r="Q45" s="5" t="s">
        <v>27</v>
      </c>
      <c r="R45" s="72" t="str">
        <f>IF(J45&lt;&gt;"",CONCATENATE(H45,I45,J45),CONCATENATE(H45,I45,K45))</f>
        <v>1J219J1076B0C</v>
      </c>
      <c r="S45" s="74" t="str">
        <f t="shared" si="4"/>
        <v>AKTUELL</v>
      </c>
      <c r="T45" s="74"/>
      <c r="U45" s="74"/>
      <c r="V45" s="74"/>
      <c r="W45" s="83">
        <v>4.4200000000000003E-2</v>
      </c>
      <c r="X45" s="5"/>
      <c r="Y45" s="5" t="s">
        <v>0</v>
      </c>
      <c r="Z45" s="5" t="s">
        <v>18</v>
      </c>
      <c r="AA45" s="5" t="s">
        <v>0</v>
      </c>
      <c r="AB45" s="5"/>
      <c r="AC45" s="6"/>
      <c r="AD45" s="6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</row>
    <row r="46" spans="1:248" s="16" customFormat="1" ht="15" customHeight="1">
      <c r="A46" s="71" t="s">
        <v>93</v>
      </c>
      <c r="B46" s="5" t="s">
        <v>28</v>
      </c>
      <c r="C46" s="5"/>
      <c r="D46" s="11"/>
      <c r="E46" s="94" t="str">
        <f t="shared" si="0"/>
        <v xml:space="preserve">  VT03              </v>
      </c>
      <c r="F46" s="72" t="str">
        <f t="shared" si="1"/>
        <v>9J1_974_077</v>
      </c>
      <c r="G46" s="73" t="str">
        <f t="shared" si="14"/>
        <v>A</v>
      </c>
      <c r="H46" s="72" t="str">
        <f t="shared" si="2"/>
        <v>1J219J1077</v>
      </c>
      <c r="I46" s="72" t="str">
        <f t="shared" si="3"/>
        <v>A0</v>
      </c>
      <c r="J46" s="78" t="s">
        <v>103</v>
      </c>
      <c r="K46" s="11"/>
      <c r="L46" s="5" t="s">
        <v>142</v>
      </c>
      <c r="M46" s="8">
        <v>6002.6014999999998</v>
      </c>
      <c r="N46" s="9"/>
      <c r="O46" s="57">
        <v>1917</v>
      </c>
      <c r="P46" s="9"/>
      <c r="Q46" s="5" t="s">
        <v>79</v>
      </c>
      <c r="R46" s="72" t="str">
        <f t="shared" si="15"/>
        <v>1J219J1077A0D</v>
      </c>
      <c r="S46" s="74" t="str">
        <f t="shared" si="4"/>
        <v>NICHT AKTUELL</v>
      </c>
      <c r="T46" s="74"/>
      <c r="U46" s="74"/>
      <c r="V46" s="74"/>
      <c r="W46" s="83">
        <v>0.51339999999999997</v>
      </c>
      <c r="X46" s="5"/>
      <c r="Y46" s="5" t="s">
        <v>18</v>
      </c>
      <c r="Z46" s="5" t="s">
        <v>18</v>
      </c>
      <c r="AA46" s="5" t="s">
        <v>0</v>
      </c>
      <c r="AB46" s="5"/>
      <c r="AC46" s="6"/>
      <c r="AD46" s="14" t="s">
        <v>102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</row>
    <row r="47" spans="1:248" s="16" customFormat="1" ht="15" customHeight="1">
      <c r="A47" s="71" t="s">
        <v>93</v>
      </c>
      <c r="B47" s="5" t="s">
        <v>28</v>
      </c>
      <c r="C47" s="5"/>
      <c r="D47" s="11"/>
      <c r="E47" s="94" t="str">
        <f t="shared" si="0"/>
        <v xml:space="preserve">  VT03              </v>
      </c>
      <c r="F47" s="72" t="str">
        <f t="shared" si="1"/>
        <v>9J1_974_077</v>
      </c>
      <c r="G47" s="73" t="str">
        <f t="shared" si="14"/>
        <v>A</v>
      </c>
      <c r="H47" s="72" t="str">
        <f t="shared" si="2"/>
        <v>1J219J1077</v>
      </c>
      <c r="I47" s="72" t="str">
        <f t="shared" si="3"/>
        <v>A0</v>
      </c>
      <c r="J47" s="7" t="s">
        <v>147</v>
      </c>
      <c r="K47" s="11"/>
      <c r="L47" s="5" t="s">
        <v>142</v>
      </c>
      <c r="M47" s="8">
        <v>6002.6014999999998</v>
      </c>
      <c r="N47" s="85">
        <v>1918</v>
      </c>
      <c r="O47" s="57">
        <v>2012</v>
      </c>
      <c r="P47" s="9" t="s">
        <v>145</v>
      </c>
      <c r="Q47" s="5" t="s">
        <v>79</v>
      </c>
      <c r="R47" s="72" t="str">
        <f>IF(J47&lt;&gt;"",CONCATENATE(H47,I47,J47),CONCATENATE(H47,I47,#REF!))</f>
        <v>1J219J1077A0E</v>
      </c>
      <c r="S47" s="74" t="str">
        <f t="shared" si="4"/>
        <v>NICHT AKTUELL</v>
      </c>
      <c r="T47" s="74"/>
      <c r="U47" s="74"/>
      <c r="V47" s="74"/>
      <c r="W47" s="83">
        <v>0.51339999999999997</v>
      </c>
      <c r="X47" s="5"/>
      <c r="Y47" s="5" t="s">
        <v>18</v>
      </c>
      <c r="Z47" s="5" t="s">
        <v>18</v>
      </c>
      <c r="AA47" s="5" t="s">
        <v>0</v>
      </c>
      <c r="AB47" s="5"/>
      <c r="AC47" s="6"/>
      <c r="AD47" s="14" t="s">
        <v>151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</row>
    <row r="48" spans="1:248" s="16" customFormat="1" ht="15" customHeight="1">
      <c r="A48" s="71" t="s">
        <v>93</v>
      </c>
      <c r="B48" s="5" t="s">
        <v>28</v>
      </c>
      <c r="C48" s="5"/>
      <c r="D48" s="11"/>
      <c r="E48" s="94" t="str">
        <f>CONCATENATE(IF(AC48&gt;0,$AC$1," ")," ",IF(AD48&gt;0,$AD$1," ")," ",IF(AE48&gt;0,$AE$1," ")," ",IF(AF48&gt;0,$AF$1," ")," ",IF(AG48&gt;0,$AG$1," ")," ",IF(AH48&gt;0,$AH$1," ")," ",IF(AI48&gt;0,$AI$1," ")," ",IF(AJ48&gt;0,$AJ$1," ")," ",IF(AK48&gt;0,$AK$1," "))</f>
        <v xml:space="preserve">  VT03              </v>
      </c>
      <c r="F48" s="72" t="str">
        <f>LEFT(Q48,11)</f>
        <v>9J1_974_077</v>
      </c>
      <c r="G48" s="73" t="str">
        <f>IF(LEN(Q48)=11,0,MID(Q48,13,2))</f>
        <v>A</v>
      </c>
      <c r="H48" s="72" t="str">
        <f>CONCATENATE(IF(MID(Q48,5,3)="974","1J21"),LEFT(F48,3),RIGHT(F48,3))</f>
        <v>1J219J1077</v>
      </c>
      <c r="I48" s="72" t="str">
        <f>IF(G48=0,"00",IF(LEN(G48)=1,CONCATENATE(G48,0),G48))</f>
        <v>A0</v>
      </c>
      <c r="J48" s="7" t="s">
        <v>147</v>
      </c>
      <c r="K48" s="11"/>
      <c r="L48" s="5" t="s">
        <v>181</v>
      </c>
      <c r="M48" s="8" t="s">
        <v>182</v>
      </c>
      <c r="N48" s="85">
        <v>2013</v>
      </c>
      <c r="O48" s="57"/>
      <c r="P48" s="9" t="s">
        <v>172</v>
      </c>
      <c r="Q48" s="5" t="s">
        <v>79</v>
      </c>
      <c r="R48" s="72" t="str">
        <f>IF(J48&lt;&gt;"",CONCATENATE(H48,I48,J48),CONCATENATE(H48,I48,#REF!))</f>
        <v>1J219J1077A0E</v>
      </c>
      <c r="S48" s="74" t="str">
        <f>IF(N48="-","KEIN LIEFERUMFANG",IF(AND(N48&lt;=S$3,O48=""),"AKTUELL",IF(O48=N48,"KEIN SERIENEINSATZ",IF(N48&gt;S$3,"NOCH NICHT AKTUELL",IF(AND(N48&lt;S$3,O48&lt;S$3),"NICHT AKTUELL",IF(N48&lt;=S$3,"AKTUELL"))))))</f>
        <v>AKTUELL</v>
      </c>
      <c r="T48" s="74"/>
      <c r="U48" s="74"/>
      <c r="V48" s="74"/>
      <c r="W48" s="83">
        <v>0.51339999999999997</v>
      </c>
      <c r="X48" s="5"/>
      <c r="Y48" s="5" t="s">
        <v>18</v>
      </c>
      <c r="Z48" s="5" t="s">
        <v>18</v>
      </c>
      <c r="AA48" s="5" t="s">
        <v>0</v>
      </c>
      <c r="AB48" s="5"/>
      <c r="AC48" s="6"/>
      <c r="AD48" s="14" t="s">
        <v>151</v>
      </c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</row>
    <row r="49" spans="1:248" s="16" customFormat="1" ht="15" customHeight="1">
      <c r="A49" s="71" t="s">
        <v>93</v>
      </c>
      <c r="B49" s="5" t="s">
        <v>28</v>
      </c>
      <c r="C49" s="5"/>
      <c r="D49" s="11"/>
      <c r="E49" s="94" t="s">
        <v>58</v>
      </c>
      <c r="F49" s="72" t="str">
        <f>LEFT(Q49,11)</f>
        <v>9J1_974_077</v>
      </c>
      <c r="G49" s="73" t="str">
        <f t="shared" si="14"/>
        <v>B</v>
      </c>
      <c r="H49" s="72" t="str">
        <f>CONCATENATE(IF(MID(Q49,5,3)="974","1J21"),LEFT(F49,3),RIGHT(F49,3))</f>
        <v>1J219J1077</v>
      </c>
      <c r="I49" s="72" t="str">
        <f>IF(G49=0,"00",IF(LEN(G49)=1,CONCATENATE(G49,0),G49))</f>
        <v>B0</v>
      </c>
      <c r="J49" s="7" t="s">
        <v>59</v>
      </c>
      <c r="K49" s="11"/>
      <c r="L49" s="5" t="s">
        <v>175</v>
      </c>
      <c r="M49" s="8">
        <v>6612</v>
      </c>
      <c r="N49" s="85">
        <v>1946</v>
      </c>
      <c r="O49" s="57"/>
      <c r="P49" s="9" t="s">
        <v>172</v>
      </c>
      <c r="Q49" s="5" t="s">
        <v>174</v>
      </c>
      <c r="R49" s="72" t="str">
        <f>IF(J49&lt;&gt;"",CONCATENATE(H49,I49,J49),CONCATENATE(H49,I49,#REF!))</f>
        <v>1J219J1077B0A</v>
      </c>
      <c r="S49" s="74" t="str">
        <f>IF(N49="-","KEIN LIEFERUMFANG",IF(AND(N49&lt;=S$3,O49=""),"AKTUELL",IF(O49=N49,"KEIN SERIENEINSATZ",IF(N49&gt;S$3,"NOCH NICHT AKTUELL",IF(AND(N49&lt;S$3,O49&lt;S$3),"NICHT AKTUELL",IF(N49&lt;=S$3,"AKTUELL"))))))</f>
        <v>AKTUELL</v>
      </c>
      <c r="T49" s="74"/>
      <c r="U49" s="74"/>
      <c r="V49" s="74"/>
      <c r="W49" s="83">
        <v>4.4999999999999998E-2</v>
      </c>
      <c r="X49" s="5"/>
      <c r="Y49" s="5" t="s">
        <v>18</v>
      </c>
      <c r="Z49" s="5" t="s">
        <v>18</v>
      </c>
      <c r="AA49" s="5" t="s">
        <v>0</v>
      </c>
      <c r="AB49" s="5"/>
      <c r="AC49" s="6"/>
      <c r="AD49" s="14" t="s">
        <v>151</v>
      </c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</row>
    <row r="50" spans="1:248" s="16" customFormat="1" ht="15" customHeight="1">
      <c r="A50" s="71" t="s">
        <v>93</v>
      </c>
      <c r="B50" s="5" t="s">
        <v>29</v>
      </c>
      <c r="C50" s="5"/>
      <c r="D50" s="11"/>
      <c r="E50" s="94" t="str">
        <f t="shared" si="0"/>
        <v xml:space="preserve">                 </v>
      </c>
      <c r="F50" s="72" t="str">
        <f t="shared" si="1"/>
        <v>9J1_974_089</v>
      </c>
      <c r="G50" s="73">
        <f t="shared" si="14"/>
        <v>0</v>
      </c>
      <c r="H50" s="72" t="str">
        <f t="shared" si="2"/>
        <v>1J219J1089</v>
      </c>
      <c r="I50" s="72" t="str">
        <f t="shared" si="3"/>
        <v>00</v>
      </c>
      <c r="J50" s="78" t="s">
        <v>92</v>
      </c>
      <c r="K50" s="11"/>
      <c r="L50" s="3" t="s">
        <v>69</v>
      </c>
      <c r="M50" s="8">
        <v>6022</v>
      </c>
      <c r="N50" s="9"/>
      <c r="O50" s="57">
        <v>1917</v>
      </c>
      <c r="P50" s="9"/>
      <c r="Q50" s="5" t="s">
        <v>30</v>
      </c>
      <c r="R50" s="72" t="str">
        <f t="shared" ref="R50:R55" si="16">IF(J50&lt;&gt;"",CONCATENATE(H50,I50,J50),CONCATENATE(H50,I50,K50))</f>
        <v>1J219J108900C</v>
      </c>
      <c r="S50" s="74" t="str">
        <f t="shared" si="4"/>
        <v>NICHT AKTUELL</v>
      </c>
      <c r="T50" s="74"/>
      <c r="U50" s="74"/>
      <c r="V50" s="74"/>
      <c r="W50" s="83">
        <v>0.85</v>
      </c>
      <c r="X50" s="5"/>
      <c r="Y50" s="5" t="s">
        <v>0</v>
      </c>
      <c r="Z50" s="5" t="s">
        <v>18</v>
      </c>
      <c r="AA50" s="5" t="s">
        <v>0</v>
      </c>
      <c r="AB50" s="5"/>
      <c r="AC50" s="6"/>
      <c r="AD50" s="6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</row>
    <row r="51" spans="1:248" s="16" customFormat="1" ht="15" customHeight="1">
      <c r="A51" s="71" t="s">
        <v>93</v>
      </c>
      <c r="B51" s="5" t="s">
        <v>29</v>
      </c>
      <c r="C51" s="5"/>
      <c r="D51" s="11"/>
      <c r="E51" s="94" t="str">
        <f t="shared" si="0"/>
        <v xml:space="preserve">                 </v>
      </c>
      <c r="F51" s="72" t="str">
        <f t="shared" si="1"/>
        <v>9J1_974_089</v>
      </c>
      <c r="G51" s="73">
        <f t="shared" si="14"/>
        <v>0</v>
      </c>
      <c r="H51" s="72" t="str">
        <f t="shared" si="2"/>
        <v>1J219J1089</v>
      </c>
      <c r="I51" s="72" t="str">
        <f t="shared" si="3"/>
        <v>00</v>
      </c>
      <c r="J51" s="78" t="s">
        <v>92</v>
      </c>
      <c r="K51" s="11"/>
      <c r="L51" s="3" t="s">
        <v>146</v>
      </c>
      <c r="M51" s="8">
        <v>6022</v>
      </c>
      <c r="N51" s="9">
        <v>1918</v>
      </c>
      <c r="O51" s="57">
        <v>2035</v>
      </c>
      <c r="P51" s="9" t="s">
        <v>145</v>
      </c>
      <c r="Q51" s="5" t="s">
        <v>30</v>
      </c>
      <c r="R51" s="72" t="str">
        <f t="shared" si="16"/>
        <v>1J219J108900C</v>
      </c>
      <c r="S51" s="74" t="str">
        <f t="shared" si="4"/>
        <v>NICHT AKTUELL</v>
      </c>
      <c r="T51" s="74"/>
      <c r="U51" s="74"/>
      <c r="V51" s="74"/>
      <c r="W51" s="83">
        <v>0.85</v>
      </c>
      <c r="X51" s="5"/>
      <c r="Y51" s="5" t="s">
        <v>0</v>
      </c>
      <c r="Z51" s="5" t="s">
        <v>18</v>
      </c>
      <c r="AA51" s="5" t="s">
        <v>0</v>
      </c>
      <c r="AB51" s="5"/>
      <c r="AC51" s="6"/>
      <c r="AD51" s="6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</row>
    <row r="52" spans="1:248" s="16" customFormat="1" ht="15" customHeight="1">
      <c r="A52" s="71" t="s">
        <v>93</v>
      </c>
      <c r="B52" s="5" t="s">
        <v>29</v>
      </c>
      <c r="C52" s="5"/>
      <c r="D52" s="11"/>
      <c r="E52" s="94" t="str">
        <f t="shared" ref="E52" si="17">CONCATENATE(IF(AC52&gt;0,$AC$1," ")," ",IF(AD52&gt;0,$AD$1," ")," ",IF(AE52&gt;0,$AE$1," ")," ",IF(AF52&gt;0,$AF$1," ")," ",IF(AG52&gt;0,$AG$1," ")," ",IF(AH52&gt;0,$AH$1," ")," ",IF(AI52&gt;0,$AI$1," ")," ",IF(AJ52&gt;0,$AJ$1," ")," ",IF(AK52&gt;0,$AK$1," "))</f>
        <v xml:space="preserve">                 </v>
      </c>
      <c r="F52" s="72" t="str">
        <f t="shared" ref="F52" si="18">LEFT(Q52,11)</f>
        <v>9J1_974_089</v>
      </c>
      <c r="G52" s="73">
        <f t="shared" ref="G52" si="19">IF(LEN(Q52)=11,0,MID(Q52,13,2))</f>
        <v>0</v>
      </c>
      <c r="H52" s="72" t="str">
        <f t="shared" ref="H52" si="20">CONCATENATE(IF(MID(Q52,5,3)="974","1J21"),LEFT(F52,3),RIGHT(F52,3))</f>
        <v>1J219J1089</v>
      </c>
      <c r="I52" s="72" t="str">
        <f t="shared" ref="I52" si="21">IF(G52=0,"00",IF(LEN(G52)=1,CONCATENATE(G52,0),G52))</f>
        <v>00</v>
      </c>
      <c r="J52" s="78" t="s">
        <v>92</v>
      </c>
      <c r="K52" s="11"/>
      <c r="L52" s="101" t="s">
        <v>188</v>
      </c>
      <c r="M52" s="8">
        <v>7011</v>
      </c>
      <c r="N52" s="9">
        <v>2036</v>
      </c>
      <c r="O52" s="57"/>
      <c r="P52" s="9"/>
      <c r="Q52" s="5" t="s">
        <v>30</v>
      </c>
      <c r="R52" s="72" t="str">
        <f t="shared" si="16"/>
        <v>1J219J108900C</v>
      </c>
      <c r="S52" s="74" t="str">
        <f t="shared" ref="S52" si="22">IF(N52="-","KEIN LIEFERUMFANG",IF(AND(N52&lt;=S$3,O52=""),"AKTUELL",IF(O52=N52,"KEIN SERIENEINSATZ",IF(N52&gt;S$3,"NOCH NICHT AKTUELL",IF(AND(N52&lt;S$3,O52&lt;S$3),"NICHT AKTUELL",IF(N52&lt;=S$3,"AKTUELL"))))))</f>
        <v>AKTUELL</v>
      </c>
      <c r="T52" s="74"/>
      <c r="U52" s="74"/>
      <c r="V52" s="74"/>
      <c r="W52" s="83">
        <v>0.85</v>
      </c>
      <c r="X52" s="5"/>
      <c r="Y52" s="5" t="s">
        <v>0</v>
      </c>
      <c r="Z52" s="5" t="s">
        <v>18</v>
      </c>
      <c r="AA52" s="5" t="s">
        <v>0</v>
      </c>
      <c r="AB52" s="5"/>
      <c r="AC52" s="6"/>
      <c r="AD52" s="6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</row>
    <row r="53" spans="1:248" s="16" customFormat="1" ht="15" customHeight="1">
      <c r="A53" s="71" t="s">
        <v>93</v>
      </c>
      <c r="B53" s="5" t="s">
        <v>9</v>
      </c>
      <c r="C53" s="5"/>
      <c r="D53" s="11"/>
      <c r="E53" s="94" t="str">
        <f t="shared" si="0"/>
        <v xml:space="preserve">                 </v>
      </c>
      <c r="F53" s="72" t="str">
        <f t="shared" si="1"/>
        <v>9J1_974_128</v>
      </c>
      <c r="G53" s="73">
        <f t="shared" si="14"/>
        <v>0</v>
      </c>
      <c r="H53" s="72" t="str">
        <f t="shared" si="2"/>
        <v>1J219J1128</v>
      </c>
      <c r="I53" s="72" t="str">
        <f t="shared" si="3"/>
        <v>00</v>
      </c>
      <c r="J53" s="78" t="s">
        <v>60</v>
      </c>
      <c r="K53" s="11"/>
      <c r="L53" s="5" t="s">
        <v>70</v>
      </c>
      <c r="M53" s="8"/>
      <c r="N53" s="9"/>
      <c r="O53" s="57"/>
      <c r="P53" s="9"/>
      <c r="Q53" s="5" t="s">
        <v>31</v>
      </c>
      <c r="R53" s="72" t="str">
        <f t="shared" si="16"/>
        <v>1J219J112800B</v>
      </c>
      <c r="S53" s="74" t="str">
        <f t="shared" si="4"/>
        <v>AKTUELL</v>
      </c>
      <c r="T53" s="74"/>
      <c r="U53" s="74"/>
      <c r="V53" s="74"/>
      <c r="W53" s="83">
        <v>0.85</v>
      </c>
      <c r="X53" s="5"/>
      <c r="Y53" s="5" t="s">
        <v>0</v>
      </c>
      <c r="Z53" s="5" t="s">
        <v>18</v>
      </c>
      <c r="AA53" s="5" t="s">
        <v>0</v>
      </c>
      <c r="AB53" s="5"/>
      <c r="AC53" s="6"/>
      <c r="AD53" s="6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</row>
    <row r="54" spans="1:248" s="16" customFormat="1" ht="15" customHeight="1">
      <c r="A54" s="71" t="s">
        <v>93</v>
      </c>
      <c r="B54" s="5" t="s">
        <v>7</v>
      </c>
      <c r="C54" s="5"/>
      <c r="D54" s="11"/>
      <c r="E54" s="94" t="str">
        <f t="shared" ref="E54:E67" si="23">CONCATENATE(IF(AC54&gt;0,$AC$1," ")," ",IF(AD54&gt;0,$AD$1," ")," ",IF(AE54&gt;0,$AE$1," ")," ",IF(AF54&gt;0,$AF$1," ")," ",IF(AG54&gt;0,$AG$1," ")," ",IF(AH54&gt;0,$AH$1," ")," ",IF(AI54&gt;0,$AI$1," ")," ",IF(AJ54&gt;0,$AJ$1," ")," ",IF(AK54&gt;0,$AK$1," "))</f>
        <v xml:space="preserve">                 </v>
      </c>
      <c r="F54" s="72" t="str">
        <f t="shared" ref="F54:F67" si="24">LEFT(Q54,11)</f>
        <v>9J1_974_136</v>
      </c>
      <c r="G54" s="73">
        <f t="shared" si="14"/>
        <v>0</v>
      </c>
      <c r="H54" s="72" t="str">
        <f t="shared" ref="H54:H85" si="25">CONCATENATE(IF(MID(Q54,5,3)="974","1J21"),LEFT(F54,3),RIGHT(F54,3))</f>
        <v>1J219J1136</v>
      </c>
      <c r="I54" s="72" t="str">
        <f t="shared" ref="I54:I73" si="26">IF(G54=0,"00",IF(LEN(G54)=1,CONCATENATE(G54,0),G54))</f>
        <v>00</v>
      </c>
      <c r="J54" s="78" t="s">
        <v>92</v>
      </c>
      <c r="K54" s="11"/>
      <c r="L54" s="5" t="s">
        <v>33</v>
      </c>
      <c r="M54" s="8"/>
      <c r="N54" s="9"/>
      <c r="O54" s="57"/>
      <c r="P54" s="9"/>
      <c r="Q54" s="5" t="s">
        <v>32</v>
      </c>
      <c r="R54" s="72" t="str">
        <f t="shared" si="16"/>
        <v>1J219J113600C</v>
      </c>
      <c r="S54" s="74" t="str">
        <f t="shared" ref="S54:S85" si="27">IF(N54="-","KEIN LIEFERUMFANG",IF(AND(N54&lt;=S$3,O54=""),"AKTUELL",IF(O54=N54,"KEIN SERIENEINSATZ",IF(N54&gt;S$3,"NOCH NICHT AKTUELL",IF(AND(N54&lt;S$3,O54&lt;S$3),"NICHT AKTUELL",IF(N54&lt;=S$3,"AKTUELL"))))))</f>
        <v>AKTUELL</v>
      </c>
      <c r="T54" s="74"/>
      <c r="U54" s="74"/>
      <c r="V54" s="74"/>
      <c r="W54" s="83">
        <v>0.23469999999999999</v>
      </c>
      <c r="X54" s="5"/>
      <c r="Y54" s="5" t="s">
        <v>0</v>
      </c>
      <c r="Z54" s="5" t="s">
        <v>18</v>
      </c>
      <c r="AA54" s="5" t="s">
        <v>0</v>
      </c>
      <c r="AB54" s="5"/>
      <c r="AC54" s="6"/>
      <c r="AD54" s="6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</row>
    <row r="55" spans="1:248" s="16" customFormat="1" ht="15" customHeight="1">
      <c r="A55" s="71" t="s">
        <v>93</v>
      </c>
      <c r="B55" s="5" t="s">
        <v>36</v>
      </c>
      <c r="C55" s="5"/>
      <c r="D55" s="11" t="s">
        <v>18</v>
      </c>
      <c r="E55" s="94" t="str">
        <f t="shared" si="23"/>
        <v xml:space="preserve">  VT03              </v>
      </c>
      <c r="F55" s="72" t="str">
        <f t="shared" si="24"/>
        <v>9J1_974_216</v>
      </c>
      <c r="G55" s="73">
        <f t="shared" ref="G55:G67" si="28">IF(LEN(Q55)=11,0,MID(Q55,13,2))</f>
        <v>0</v>
      </c>
      <c r="H55" s="72" t="str">
        <f t="shared" si="25"/>
        <v>1J219J1216</v>
      </c>
      <c r="I55" s="72" t="str">
        <f t="shared" si="26"/>
        <v>00</v>
      </c>
      <c r="J55" s="78" t="s">
        <v>103</v>
      </c>
      <c r="K55" s="11"/>
      <c r="L55" s="5" t="s">
        <v>95</v>
      </c>
      <c r="M55" s="8">
        <v>6015</v>
      </c>
      <c r="N55" s="9"/>
      <c r="O55" s="57">
        <v>1917</v>
      </c>
      <c r="P55" s="9"/>
      <c r="Q55" s="5" t="s">
        <v>37</v>
      </c>
      <c r="R55" s="72" t="str">
        <f t="shared" si="16"/>
        <v>1J219J121600D</v>
      </c>
      <c r="S55" s="74" t="str">
        <f t="shared" si="27"/>
        <v>NICHT AKTUELL</v>
      </c>
      <c r="T55" s="74"/>
      <c r="U55" s="74"/>
      <c r="V55" s="74"/>
      <c r="W55" s="83">
        <v>2.0000000000000001E-4</v>
      </c>
      <c r="X55" s="5"/>
      <c r="Y55" s="5" t="s">
        <v>18</v>
      </c>
      <c r="Z55" s="5" t="s">
        <v>18</v>
      </c>
      <c r="AA55" s="5" t="s">
        <v>0</v>
      </c>
      <c r="AB55" s="5"/>
      <c r="AC55" s="6"/>
      <c r="AD55" s="14" t="s">
        <v>100</v>
      </c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</row>
    <row r="56" spans="1:248" s="16" customFormat="1" ht="15" customHeight="1">
      <c r="A56" s="71" t="s">
        <v>93</v>
      </c>
      <c r="B56" s="5" t="s">
        <v>36</v>
      </c>
      <c r="C56" s="5"/>
      <c r="D56" s="11" t="s">
        <v>18</v>
      </c>
      <c r="E56" s="94" t="str">
        <f>CONCATENATE(IF(AC56&gt;0,$AC$1," ")," ",IF(AD56&gt;0,$AD$1," ")," ",IF(AE56&gt;0,$AE$1," ")," ",IF(AF56&gt;0,$AF$1," ")," ",IF(AG56&gt;0,$AG$1," ")," ",IF(AH56&gt;0,$AH$1," ")," ",IF(AI56&gt;0,$AI$1," ")," ",IF(AJ56&gt;0,$AJ$1," ")," ",IF(AK56&gt;0,$AK$1," "))</f>
        <v xml:space="preserve">  VT03              </v>
      </c>
      <c r="F56" s="72" t="str">
        <f>LEFT(Q56,11)</f>
        <v>9J1_974_216</v>
      </c>
      <c r="G56" s="73">
        <f>IF(LEN(Q56)=11,0,MID(Q56,13,2))</f>
        <v>0</v>
      </c>
      <c r="H56" s="72" t="str">
        <f t="shared" si="25"/>
        <v>1J219J1216</v>
      </c>
      <c r="I56" s="72" t="str">
        <f>IF(G56=0,"00",IF(LEN(G56)=1,CONCATENATE(G56,0),G56))</f>
        <v>00</v>
      </c>
      <c r="J56" s="7" t="s">
        <v>147</v>
      </c>
      <c r="K56" s="11"/>
      <c r="L56" s="5" t="s">
        <v>95</v>
      </c>
      <c r="M56" s="8">
        <v>6015</v>
      </c>
      <c r="N56" s="85">
        <v>1918</v>
      </c>
      <c r="O56" s="57"/>
      <c r="P56" s="9" t="s">
        <v>145</v>
      </c>
      <c r="Q56" s="5" t="s">
        <v>37</v>
      </c>
      <c r="R56" s="72" t="str">
        <f>IF(J56&lt;&gt;"",CONCATENATE(H56,I56,J56),CONCATENATE(H56,I56,#REF!))</f>
        <v>1J219J121600E</v>
      </c>
      <c r="S56" s="74" t="str">
        <f t="shared" si="27"/>
        <v>AKTUELL</v>
      </c>
      <c r="T56" s="74"/>
      <c r="U56" s="74"/>
      <c r="V56" s="74"/>
      <c r="W56" s="83">
        <v>2.0000000000000001E-4</v>
      </c>
      <c r="X56" s="5"/>
      <c r="Y56" s="5" t="s">
        <v>18</v>
      </c>
      <c r="Z56" s="5" t="s">
        <v>18</v>
      </c>
      <c r="AA56" s="5" t="s">
        <v>0</v>
      </c>
      <c r="AB56" s="5"/>
      <c r="AC56" s="6"/>
      <c r="AD56" s="14" t="s">
        <v>152</v>
      </c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</row>
    <row r="57" spans="1:248" s="3" customFormat="1" ht="15" customHeight="1">
      <c r="A57" s="71" t="s">
        <v>93</v>
      </c>
      <c r="B57" s="5" t="s">
        <v>36</v>
      </c>
      <c r="C57" s="5"/>
      <c r="D57" s="11" t="s">
        <v>18</v>
      </c>
      <c r="E57" s="94" t="str">
        <f t="shared" si="23"/>
        <v xml:space="preserve">  VT03              </v>
      </c>
      <c r="F57" s="72" t="str">
        <f t="shared" si="24"/>
        <v>9J1_974_216</v>
      </c>
      <c r="G57" s="73" t="str">
        <f t="shared" si="28"/>
        <v>A</v>
      </c>
      <c r="H57" s="72" t="str">
        <f t="shared" si="25"/>
        <v>1J219J1216</v>
      </c>
      <c r="I57" s="72" t="str">
        <f t="shared" si="26"/>
        <v>A0</v>
      </c>
      <c r="J57" s="78" t="s">
        <v>60</v>
      </c>
      <c r="K57" s="11"/>
      <c r="L57" s="5" t="s">
        <v>97</v>
      </c>
      <c r="M57" s="8">
        <v>6015</v>
      </c>
      <c r="N57" s="9"/>
      <c r="O57" s="57">
        <v>1917</v>
      </c>
      <c r="P57" s="9"/>
      <c r="Q57" s="5" t="s">
        <v>96</v>
      </c>
      <c r="R57" s="72" t="str">
        <f>IF(J57&lt;&gt;"",CONCATENATE(H57,I57,J57),CONCATENATE(H57,I57,K57))</f>
        <v>1J219J1216A0B</v>
      </c>
      <c r="S57" s="75" t="str">
        <f t="shared" si="27"/>
        <v>NICHT AKTUELL</v>
      </c>
      <c r="T57" s="74"/>
      <c r="U57" s="74"/>
      <c r="V57" s="74"/>
      <c r="W57" s="83">
        <v>0.8498</v>
      </c>
      <c r="X57" s="5"/>
      <c r="Y57" s="5" t="s">
        <v>18</v>
      </c>
      <c r="Z57" s="5" t="s">
        <v>18</v>
      </c>
      <c r="AA57" s="5" t="s">
        <v>0</v>
      </c>
      <c r="AB57" s="5"/>
      <c r="AC57" s="6"/>
      <c r="AD57" s="14" t="s">
        <v>99</v>
      </c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</row>
    <row r="58" spans="1:248" s="3" customFormat="1" ht="15" customHeight="1">
      <c r="A58" s="71" t="s">
        <v>93</v>
      </c>
      <c r="B58" s="5" t="s">
        <v>36</v>
      </c>
      <c r="C58" s="5"/>
      <c r="D58" s="11" t="s">
        <v>18</v>
      </c>
      <c r="E58" s="94" t="str">
        <f>CONCATENATE(IF(AC58&gt;0,$AC$1," ")," ",IF(AD58&gt;0,$AD$1," ")," ",IF(AE58&gt;0,$AE$1," ")," ",IF(AF58&gt;0,$AF$1," ")," ",IF(AG58&gt;0,$AG$1," ")," ",IF(AH58&gt;0,$AH$1," ")," ",IF(AI58&gt;0,$AI$1," ")," ",IF(AJ58&gt;0,$AJ$1," ")," ",IF(AK58&gt;0,$AK$1," "))</f>
        <v xml:space="preserve">  VT03              </v>
      </c>
      <c r="F58" s="72" t="str">
        <f>LEFT(Q58,11)</f>
        <v>9J1_974_216</v>
      </c>
      <c r="G58" s="73" t="str">
        <f>IF(LEN(Q58)=11,0,MID(Q58,13,2))</f>
        <v>A</v>
      </c>
      <c r="H58" s="72" t="str">
        <f t="shared" si="25"/>
        <v>1J219J1216</v>
      </c>
      <c r="I58" s="72" t="str">
        <f>IF(G58=0,"00",IF(LEN(G58)=1,CONCATENATE(G58,0),G58))</f>
        <v>A0</v>
      </c>
      <c r="J58" s="7" t="s">
        <v>92</v>
      </c>
      <c r="K58" s="11"/>
      <c r="L58" s="5" t="s">
        <v>97</v>
      </c>
      <c r="M58" s="8">
        <v>6015</v>
      </c>
      <c r="N58" s="85">
        <v>1918</v>
      </c>
      <c r="O58" s="57"/>
      <c r="P58" s="9" t="s">
        <v>145</v>
      </c>
      <c r="Q58" s="5" t="s">
        <v>96</v>
      </c>
      <c r="R58" s="72" t="str">
        <f>IF(J58&lt;&gt;"",CONCATENATE(H58,I58,J58),CONCATENATE(H58,I58,#REF!))</f>
        <v>1J219J1216A0C</v>
      </c>
      <c r="S58" s="75" t="str">
        <f t="shared" si="27"/>
        <v>AKTUELL</v>
      </c>
      <c r="T58" s="74"/>
      <c r="U58" s="74"/>
      <c r="V58" s="74"/>
      <c r="W58" s="83">
        <v>0.8498</v>
      </c>
      <c r="X58" s="5"/>
      <c r="Y58" s="5" t="s">
        <v>18</v>
      </c>
      <c r="Z58" s="5" t="s">
        <v>18</v>
      </c>
      <c r="AA58" s="5" t="s">
        <v>0</v>
      </c>
      <c r="AB58" s="5"/>
      <c r="AC58" s="6"/>
      <c r="AD58" s="14" t="s">
        <v>153</v>
      </c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</row>
    <row r="59" spans="1:248" s="3" customFormat="1" ht="15" customHeight="1">
      <c r="A59" s="71" t="s">
        <v>93</v>
      </c>
      <c r="B59" s="5" t="s">
        <v>34</v>
      </c>
      <c r="C59" s="5"/>
      <c r="D59" s="11"/>
      <c r="E59" s="94" t="str">
        <f>CONCATENATE(IF(AC59&gt;0,$AC$1," ")," ",IF(AD59&gt;0,$AD$1," ")," ",IF(AE59&gt;0,$AE$1," ")," ",IF(AF59&gt;0,$AF$1," ")," ",IF(AG59&gt;0,$AG$1," ")," ",IF(AH59&gt;0,$AH$1," ")," ",IF(AI59&gt;0,$AI$1," ")," ",IF(AJ59&gt;0,$AJ$1," ")," ",IF(AK59&gt;0,$AK$1," "))</f>
        <v xml:space="preserve">  VT03              </v>
      </c>
      <c r="F59" s="72" t="str">
        <f>LEFT(Q59,11)</f>
        <v>9J1_974_218</v>
      </c>
      <c r="G59" s="73" t="str">
        <f t="shared" si="28"/>
        <v>A</v>
      </c>
      <c r="H59" s="72" t="str">
        <f t="shared" si="25"/>
        <v>1J219J1218</v>
      </c>
      <c r="I59" s="72" t="str">
        <f>IF(G59=0,"00",IF(LEN(G59)=1,CONCATENATE(G59,0),G59))</f>
        <v>A0</v>
      </c>
      <c r="J59" s="78" t="s">
        <v>59</v>
      </c>
      <c r="K59" s="11"/>
      <c r="L59" s="5" t="s">
        <v>35</v>
      </c>
      <c r="M59" s="8">
        <v>6015</v>
      </c>
      <c r="N59" s="9"/>
      <c r="O59" s="57">
        <v>1917</v>
      </c>
      <c r="P59" s="9"/>
      <c r="Q59" s="5" t="s">
        <v>143</v>
      </c>
      <c r="R59" s="72" t="str">
        <f>IF(J59&lt;&gt;"",CONCATENATE(H59,I59,J59),CONCATENATE(H59,I59,K59))</f>
        <v>1J219J1218A0A</v>
      </c>
      <c r="S59" s="75" t="str">
        <f t="shared" si="27"/>
        <v>NICHT AKTUELL</v>
      </c>
      <c r="T59" s="74"/>
      <c r="U59" s="74"/>
      <c r="V59" s="74"/>
      <c r="W59" s="83">
        <v>0.85</v>
      </c>
      <c r="X59" s="5"/>
      <c r="Y59" s="5" t="s">
        <v>18</v>
      </c>
      <c r="Z59" s="5" t="s">
        <v>18</v>
      </c>
      <c r="AA59" s="5" t="s">
        <v>0</v>
      </c>
      <c r="AB59" s="5"/>
      <c r="AC59" s="6"/>
      <c r="AD59" s="14" t="s">
        <v>101</v>
      </c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</row>
    <row r="60" spans="1:248" s="3" customFormat="1" ht="15" customHeight="1">
      <c r="A60" s="71" t="s">
        <v>93</v>
      </c>
      <c r="B60" s="5" t="s">
        <v>34</v>
      </c>
      <c r="C60" s="5"/>
      <c r="D60" s="11"/>
      <c r="E60" s="94" t="str">
        <f>CONCATENATE(IF(AC60&gt;0,$AC$1," ")," ",IF(AD60&gt;0,$AD$1," ")," ",IF(AE60&gt;0,$AE$1," ")," ",IF(AF60&gt;0,$AF$1," ")," ",IF(AG60&gt;0,$AG$1," ")," ",IF(AH60&gt;0,$AH$1," ")," ",IF(AI60&gt;0,$AI$1," ")," ",IF(AJ60&gt;0,$AJ$1," ")," ",IF(AK60&gt;0,$AK$1," "))</f>
        <v xml:space="preserve">  VT03              </v>
      </c>
      <c r="F60" s="72" t="str">
        <f>LEFT(Q60,11)</f>
        <v>9J1_974_218</v>
      </c>
      <c r="G60" s="73" t="str">
        <f>IF(LEN(Q60)=11,0,MID(Q60,13,2))</f>
        <v>A</v>
      </c>
      <c r="H60" s="72" t="str">
        <f t="shared" si="25"/>
        <v>1J219J1218</v>
      </c>
      <c r="I60" s="72" t="str">
        <f>IF(G60=0,"00",IF(LEN(G60)=1,CONCATENATE(G60,0),G60))</f>
        <v>A0</v>
      </c>
      <c r="J60" s="7" t="s">
        <v>60</v>
      </c>
      <c r="K60" s="11"/>
      <c r="L60" s="5" t="s">
        <v>35</v>
      </c>
      <c r="M60" s="8">
        <v>6015</v>
      </c>
      <c r="N60" s="85">
        <v>1918</v>
      </c>
      <c r="O60" s="57"/>
      <c r="P60" s="9" t="s">
        <v>145</v>
      </c>
      <c r="Q60" s="5" t="s">
        <v>143</v>
      </c>
      <c r="R60" s="72" t="str">
        <f>IF(J60&lt;&gt;"",CONCATENATE(H60,I60,J60),CONCATENATE(H60,I60,#REF!))</f>
        <v>1J219J1218A0B</v>
      </c>
      <c r="S60" s="75" t="str">
        <f t="shared" si="27"/>
        <v>AKTUELL</v>
      </c>
      <c r="T60" s="74"/>
      <c r="U60" s="74"/>
      <c r="V60" s="74"/>
      <c r="W60" s="83">
        <v>0.85</v>
      </c>
      <c r="X60" s="5"/>
      <c r="Y60" s="5" t="s">
        <v>18</v>
      </c>
      <c r="Z60" s="5" t="s">
        <v>18</v>
      </c>
      <c r="AA60" s="5" t="s">
        <v>0</v>
      </c>
      <c r="AB60" s="5"/>
      <c r="AC60" s="6"/>
      <c r="AD60" s="14" t="s">
        <v>154</v>
      </c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</row>
    <row r="61" spans="1:248" s="3" customFormat="1" ht="15" customHeight="1">
      <c r="A61" s="71" t="s">
        <v>93</v>
      </c>
      <c r="B61" s="5" t="s">
        <v>81</v>
      </c>
      <c r="C61" s="5"/>
      <c r="D61" s="11" t="s">
        <v>18</v>
      </c>
      <c r="E61" s="94" t="str">
        <f t="shared" si="23"/>
        <v xml:space="preserve">                 </v>
      </c>
      <c r="F61" s="72" t="str">
        <f t="shared" si="24"/>
        <v>9J1_974_219</v>
      </c>
      <c r="G61" s="73">
        <f t="shared" si="28"/>
        <v>0</v>
      </c>
      <c r="H61" s="72" t="str">
        <f t="shared" si="25"/>
        <v>1J219J1219</v>
      </c>
      <c r="I61" s="72" t="str">
        <f t="shared" si="26"/>
        <v>00</v>
      </c>
      <c r="J61" s="78" t="s">
        <v>60</v>
      </c>
      <c r="K61" s="11"/>
      <c r="L61" s="5" t="s">
        <v>82</v>
      </c>
      <c r="M61" s="8"/>
      <c r="N61" s="9"/>
      <c r="O61" s="57">
        <v>1932</v>
      </c>
      <c r="P61" s="9"/>
      <c r="Q61" s="5" t="s">
        <v>38</v>
      </c>
      <c r="R61" s="72" t="str">
        <f t="shared" ref="R61:R94" si="29">IF(J61&lt;&gt;"",CONCATENATE(H61,I61,J61),CONCATENATE(H61,I61,K61))</f>
        <v>1J219J121900B</v>
      </c>
      <c r="S61" s="74" t="str">
        <f t="shared" si="27"/>
        <v>NICHT AKTUELL</v>
      </c>
      <c r="T61" s="74"/>
      <c r="U61" s="74"/>
      <c r="V61" s="74"/>
      <c r="W61" s="83">
        <v>0.1182</v>
      </c>
      <c r="X61" s="5"/>
      <c r="Y61" s="5" t="s">
        <v>0</v>
      </c>
      <c r="Z61" s="5" t="s">
        <v>0</v>
      </c>
      <c r="AA61" s="5" t="s">
        <v>18</v>
      </c>
      <c r="AB61" s="5"/>
      <c r="AC61" s="6"/>
      <c r="AD61" s="6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</row>
    <row r="62" spans="1:248" s="3" customFormat="1" ht="15" customHeight="1">
      <c r="A62" s="71" t="s">
        <v>93</v>
      </c>
      <c r="B62" s="5" t="s">
        <v>81</v>
      </c>
      <c r="C62" s="5"/>
      <c r="D62" s="11" t="s">
        <v>18</v>
      </c>
      <c r="E62" s="94" t="str">
        <f>CONCATENATE(IF(AC62&gt;0,$AC$1," ")," ",IF(AD62&gt;0,$AD$1," ")," ",IF(AE62&gt;0,$AE$1," ")," ",IF(AF62&gt;0,$AF$1," ")," ",IF(AG62&gt;0,$AG$1," ")," ",IF(AH62&gt;0,$AH$1," ")," ",IF(AI62&gt;0,$AI$1," ")," ",IF(AJ62&gt;0,$AJ$1," ")," ",IF(AK62&gt;0,$AK$1," "))</f>
        <v xml:space="preserve">                 </v>
      </c>
      <c r="F62" s="72" t="str">
        <f>LEFT(Q62,11)</f>
        <v>9J1_974_219</v>
      </c>
      <c r="G62" s="73">
        <f>IF(LEN(Q62)=11,0,MID(Q62,13,2))</f>
        <v>0</v>
      </c>
      <c r="H62" s="72" t="str">
        <f t="shared" si="25"/>
        <v>1J219J1219</v>
      </c>
      <c r="I62" s="72" t="str">
        <f>IF(G62=0,"00",IF(LEN(G62)=1,CONCATENATE(G62,0),G62))</f>
        <v>00</v>
      </c>
      <c r="J62" s="78" t="s">
        <v>60</v>
      </c>
      <c r="K62" s="11"/>
      <c r="L62" s="5" t="s">
        <v>162</v>
      </c>
      <c r="M62" s="8">
        <v>6028</v>
      </c>
      <c r="N62" s="9">
        <v>1933</v>
      </c>
      <c r="O62" s="57">
        <v>2035</v>
      </c>
      <c r="P62" s="9" t="s">
        <v>157</v>
      </c>
      <c r="Q62" s="5" t="s">
        <v>38</v>
      </c>
      <c r="R62" s="72" t="str">
        <f t="shared" si="29"/>
        <v>1J219J121900B</v>
      </c>
      <c r="S62" s="74" t="str">
        <f t="shared" si="27"/>
        <v>NICHT AKTUELL</v>
      </c>
      <c r="T62" s="74"/>
      <c r="U62" s="74"/>
      <c r="V62" s="74"/>
      <c r="W62" s="83">
        <v>0.1182</v>
      </c>
      <c r="X62" s="5"/>
      <c r="Y62" s="5" t="s">
        <v>0</v>
      </c>
      <c r="Z62" s="5" t="s">
        <v>0</v>
      </c>
      <c r="AA62" s="5" t="s">
        <v>18</v>
      </c>
      <c r="AB62" s="5"/>
      <c r="AC62" s="6"/>
      <c r="AD62" s="6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</row>
    <row r="63" spans="1:248" s="3" customFormat="1" ht="15" customHeight="1">
      <c r="A63" s="71" t="s">
        <v>93</v>
      </c>
      <c r="B63" s="5" t="s">
        <v>81</v>
      </c>
      <c r="C63" s="5"/>
      <c r="D63" s="11" t="s">
        <v>18</v>
      </c>
      <c r="E63" s="94" t="str">
        <f>CONCATENATE(IF(AC63&gt;0,$AC$1," ")," ",IF(AD63&gt;0,$AD$1," ")," ",IF(AE63&gt;0,$AE$1," ")," ",IF(AF63&gt;0,$AF$1," ")," ",IF(AG63&gt;0,$AG$1," ")," ",IF(AH63&gt;0,$AH$1," ")," ",IF(AI63&gt;0,$AI$1," ")," ",IF(AJ63&gt;0,$AJ$1," ")," ",IF(AK63&gt;0,$AK$1," "))</f>
        <v xml:space="preserve">                 </v>
      </c>
      <c r="F63" s="72" t="str">
        <f>LEFT(Q63,11)</f>
        <v>9J1_974_219</v>
      </c>
      <c r="G63" s="73">
        <f>IF(LEN(Q63)=11,0,MID(Q63,13,2))</f>
        <v>0</v>
      </c>
      <c r="H63" s="72" t="str">
        <f t="shared" ref="H63" si="30">CONCATENATE(IF(MID(Q63,5,3)="974","1J21"),LEFT(F63,3),RIGHT(F63,3))</f>
        <v>1J219J1219</v>
      </c>
      <c r="I63" s="72" t="str">
        <f>IF(G63=0,"00",IF(LEN(G63)=1,CONCATENATE(G63,0),G63))</f>
        <v>00</v>
      </c>
      <c r="J63" s="78"/>
      <c r="K63" s="102" t="s">
        <v>92</v>
      </c>
      <c r="L63" s="5" t="s">
        <v>162</v>
      </c>
      <c r="M63" s="8" t="s">
        <v>62</v>
      </c>
      <c r="N63" s="9">
        <v>2036</v>
      </c>
      <c r="O63" s="57"/>
      <c r="P63" s="9"/>
      <c r="Q63" s="5" t="s">
        <v>38</v>
      </c>
      <c r="R63" s="72" t="str">
        <f t="shared" ref="R63" si="31">IF(J63&lt;&gt;"",CONCATENATE(H63,I63,J63),CONCATENATE(H63,I63,K63))</f>
        <v>1J219J121900C</v>
      </c>
      <c r="S63" s="74" t="str">
        <f t="shared" ref="S63" si="32">IF(N63="-","KEIN LIEFERUMFANG",IF(AND(N63&lt;=S$3,O63=""),"AKTUELL",IF(O63=N63,"KEIN SERIENEINSATZ",IF(N63&gt;S$3,"NOCH NICHT AKTUELL",IF(AND(N63&lt;S$3,O63&lt;S$3),"NICHT AKTUELL",IF(N63&lt;=S$3,"AKTUELL"))))))</f>
        <v>AKTUELL</v>
      </c>
      <c r="T63" s="74"/>
      <c r="U63" s="74"/>
      <c r="V63" s="74"/>
      <c r="W63" s="83">
        <v>0.1182</v>
      </c>
      <c r="X63" s="5"/>
      <c r="Y63" s="5" t="s">
        <v>0</v>
      </c>
      <c r="Z63" s="5" t="s">
        <v>0</v>
      </c>
      <c r="AA63" s="5" t="s">
        <v>18</v>
      </c>
      <c r="AB63" s="5"/>
      <c r="AC63" s="6"/>
      <c r="AD63" s="6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</row>
    <row r="64" spans="1:248" s="3" customFormat="1" ht="15" customHeight="1">
      <c r="A64" s="71" t="s">
        <v>93</v>
      </c>
      <c r="B64" s="5" t="s">
        <v>81</v>
      </c>
      <c r="C64" s="5"/>
      <c r="D64" s="11" t="s">
        <v>18</v>
      </c>
      <c r="E64" s="94" t="str">
        <f t="shared" si="23"/>
        <v xml:space="preserve">                 </v>
      </c>
      <c r="F64" s="72" t="str">
        <f t="shared" si="24"/>
        <v>9J1_974_219</v>
      </c>
      <c r="G64" s="73" t="str">
        <f t="shared" si="28"/>
        <v>B</v>
      </c>
      <c r="H64" s="72" t="str">
        <f t="shared" si="25"/>
        <v>1J219J1219</v>
      </c>
      <c r="I64" s="72" t="str">
        <f t="shared" si="26"/>
        <v>B0</v>
      </c>
      <c r="J64" s="78" t="s">
        <v>60</v>
      </c>
      <c r="K64" s="11"/>
      <c r="L64" s="5" t="s">
        <v>83</v>
      </c>
      <c r="M64" s="8"/>
      <c r="N64" s="9"/>
      <c r="O64" s="57">
        <v>1932</v>
      </c>
      <c r="P64" s="9"/>
      <c r="Q64" s="5" t="s">
        <v>39</v>
      </c>
      <c r="R64" s="72" t="str">
        <f t="shared" si="29"/>
        <v>1J219J1219B0B</v>
      </c>
      <c r="S64" s="74" t="str">
        <f t="shared" si="27"/>
        <v>NICHT AKTUELL</v>
      </c>
      <c r="T64" s="74"/>
      <c r="U64" s="74"/>
      <c r="V64" s="74"/>
      <c r="W64" s="83">
        <v>9.7199999999999995E-2</v>
      </c>
      <c r="X64" s="5"/>
      <c r="Y64" s="5" t="s">
        <v>0</v>
      </c>
      <c r="Z64" s="5" t="s">
        <v>0</v>
      </c>
      <c r="AA64" s="5" t="s">
        <v>18</v>
      </c>
      <c r="AB64" s="5"/>
      <c r="AC64" s="6"/>
      <c r="AD64" s="6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</row>
    <row r="65" spans="1:248" s="3" customFormat="1" ht="15" customHeight="1">
      <c r="A65" s="71" t="s">
        <v>93</v>
      </c>
      <c r="B65" s="5" t="s">
        <v>81</v>
      </c>
      <c r="C65" s="5"/>
      <c r="D65" s="11" t="s">
        <v>18</v>
      </c>
      <c r="E65" s="94" t="str">
        <f>CONCATENATE(IF(AC65&gt;0,$AC$1," ")," ",IF(AD65&gt;0,$AD$1," ")," ",IF(AE65&gt;0,$AE$1," ")," ",IF(AF65&gt;0,$AF$1," ")," ",IF(AG65&gt;0,$AG$1," ")," ",IF(AH65&gt;0,$AH$1," ")," ",IF(AI65&gt;0,$AI$1," ")," ",IF(AJ65&gt;0,$AJ$1," ")," ",IF(AK65&gt;0,$AK$1," "))</f>
        <v xml:space="preserve">                 </v>
      </c>
      <c r="F65" s="72" t="str">
        <f>LEFT(Q65,11)</f>
        <v>9J1_974_219</v>
      </c>
      <c r="G65" s="73" t="str">
        <f>IF(LEN(Q65)=11,0,MID(Q65,13,2))</f>
        <v>B</v>
      </c>
      <c r="H65" s="72" t="str">
        <f t="shared" si="25"/>
        <v>1J219J1219</v>
      </c>
      <c r="I65" s="72" t="str">
        <f>IF(G65=0,"00",IF(LEN(G65)=1,CONCATENATE(G65,0),G65))</f>
        <v>B0</v>
      </c>
      <c r="J65" s="78" t="s">
        <v>60</v>
      </c>
      <c r="K65" s="11"/>
      <c r="L65" s="5" t="s">
        <v>163</v>
      </c>
      <c r="M65" s="8">
        <v>6028</v>
      </c>
      <c r="N65" s="9">
        <v>1933</v>
      </c>
      <c r="O65" s="57">
        <v>2035</v>
      </c>
      <c r="P65" s="9" t="s">
        <v>157</v>
      </c>
      <c r="Q65" s="5" t="s">
        <v>39</v>
      </c>
      <c r="R65" s="72" t="str">
        <f t="shared" si="29"/>
        <v>1J219J1219B0B</v>
      </c>
      <c r="S65" s="74" t="str">
        <f t="shared" si="27"/>
        <v>NICHT AKTUELL</v>
      </c>
      <c r="T65" s="74"/>
      <c r="U65" s="74"/>
      <c r="V65" s="74"/>
      <c r="W65" s="83">
        <v>9.7199999999999995E-2</v>
      </c>
      <c r="X65" s="5"/>
      <c r="Y65" s="5" t="s">
        <v>0</v>
      </c>
      <c r="Z65" s="5" t="s">
        <v>0</v>
      </c>
      <c r="AA65" s="5" t="s">
        <v>18</v>
      </c>
      <c r="AB65" s="5"/>
      <c r="AC65" s="6"/>
      <c r="AD65" s="6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</row>
    <row r="66" spans="1:248" s="3" customFormat="1" ht="15" customHeight="1">
      <c r="A66" s="71" t="s">
        <v>93</v>
      </c>
      <c r="B66" s="5" t="s">
        <v>81</v>
      </c>
      <c r="C66" s="5"/>
      <c r="D66" s="11" t="s">
        <v>18</v>
      </c>
      <c r="E66" s="94" t="str">
        <f>CONCATENATE(IF(AC66&gt;0,$AC$1," ")," ",IF(AD66&gt;0,$AD$1," ")," ",IF(AE66&gt;0,$AE$1," ")," ",IF(AF66&gt;0,$AF$1," ")," ",IF(AG66&gt;0,$AG$1," ")," ",IF(AH66&gt;0,$AH$1," ")," ",IF(AI66&gt;0,$AI$1," ")," ",IF(AJ66&gt;0,$AJ$1," ")," ",IF(AK66&gt;0,$AK$1," "))</f>
        <v xml:space="preserve">                 </v>
      </c>
      <c r="F66" s="72" t="str">
        <f>LEFT(Q66,11)</f>
        <v>9J1_974_219</v>
      </c>
      <c r="G66" s="73" t="str">
        <f>IF(LEN(Q66)=11,0,MID(Q66,13,2))</f>
        <v>B</v>
      </c>
      <c r="H66" s="72" t="str">
        <f t="shared" ref="H66" si="33">CONCATENATE(IF(MID(Q66,5,3)="974","1J21"),LEFT(F66,3),RIGHT(F66,3))</f>
        <v>1J219J1219</v>
      </c>
      <c r="I66" s="72" t="str">
        <f>IF(G66=0,"00",IF(LEN(G66)=1,CONCATENATE(G66,0),G66))</f>
        <v>B0</v>
      </c>
      <c r="J66" s="78"/>
      <c r="K66" s="102" t="s">
        <v>92</v>
      </c>
      <c r="L66" s="5" t="s">
        <v>163</v>
      </c>
      <c r="M66" s="8" t="s">
        <v>62</v>
      </c>
      <c r="N66" s="9">
        <v>2036</v>
      </c>
      <c r="O66" s="57"/>
      <c r="P66" s="9"/>
      <c r="Q66" s="5" t="s">
        <v>39</v>
      </c>
      <c r="R66" s="72" t="str">
        <f t="shared" ref="R66" si="34">IF(J66&lt;&gt;"",CONCATENATE(H66,I66,J66),CONCATENATE(H66,I66,K66))</f>
        <v>1J219J1219B0C</v>
      </c>
      <c r="S66" s="74" t="str">
        <f t="shared" ref="S66" si="35">IF(N66="-","KEIN LIEFERUMFANG",IF(AND(N66&lt;=S$3,O66=""),"AKTUELL",IF(O66=N66,"KEIN SERIENEINSATZ",IF(N66&gt;S$3,"NOCH NICHT AKTUELL",IF(AND(N66&lt;S$3,O66&lt;S$3),"NICHT AKTUELL",IF(N66&lt;=S$3,"AKTUELL"))))))</f>
        <v>AKTUELL</v>
      </c>
      <c r="T66" s="74"/>
      <c r="U66" s="74"/>
      <c r="V66" s="74"/>
      <c r="W66" s="83">
        <v>9.7199999999999995E-2</v>
      </c>
      <c r="X66" s="5"/>
      <c r="Y66" s="5" t="s">
        <v>0</v>
      </c>
      <c r="Z66" s="5" t="s">
        <v>0</v>
      </c>
      <c r="AA66" s="5" t="s">
        <v>18</v>
      </c>
      <c r="AB66" s="5"/>
      <c r="AC66" s="6"/>
      <c r="AD66" s="6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</row>
    <row r="67" spans="1:248" s="3" customFormat="1" ht="15" customHeight="1">
      <c r="A67" s="71" t="s">
        <v>93</v>
      </c>
      <c r="B67" s="5" t="s">
        <v>81</v>
      </c>
      <c r="C67" s="5"/>
      <c r="D67" s="11" t="s">
        <v>18</v>
      </c>
      <c r="E67" s="94" t="str">
        <f t="shared" si="23"/>
        <v xml:space="preserve">                 </v>
      </c>
      <c r="F67" s="72" t="str">
        <f t="shared" si="24"/>
        <v>9J1_974_219</v>
      </c>
      <c r="G67" s="73" t="str">
        <f t="shared" si="28"/>
        <v>D</v>
      </c>
      <c r="H67" s="72" t="str">
        <f t="shared" si="25"/>
        <v>1J219J1219</v>
      </c>
      <c r="I67" s="72" t="str">
        <f t="shared" si="26"/>
        <v>D0</v>
      </c>
      <c r="J67" s="78" t="s">
        <v>60</v>
      </c>
      <c r="K67" s="11"/>
      <c r="L67" s="5" t="s">
        <v>84</v>
      </c>
      <c r="M67" s="8"/>
      <c r="N67" s="9"/>
      <c r="O67" s="57">
        <v>2035</v>
      </c>
      <c r="P67" s="9"/>
      <c r="Q67" s="5" t="s">
        <v>40</v>
      </c>
      <c r="R67" s="72" t="str">
        <f t="shared" si="29"/>
        <v>1J219J1219D0B</v>
      </c>
      <c r="S67" s="74" t="str">
        <f t="shared" si="27"/>
        <v>NICHT AKTUELL</v>
      </c>
      <c r="T67" s="74"/>
      <c r="U67" s="74"/>
      <c r="V67" s="74"/>
      <c r="W67" s="83">
        <v>6.2300000000000001E-2</v>
      </c>
      <c r="X67" s="5"/>
      <c r="Y67" s="5" t="s">
        <v>0</v>
      </c>
      <c r="Z67" s="5" t="s">
        <v>0</v>
      </c>
      <c r="AA67" s="5" t="s">
        <v>18</v>
      </c>
      <c r="AB67" s="5"/>
      <c r="AC67" s="6"/>
      <c r="AD67" s="6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</row>
    <row r="68" spans="1:248" s="3" customFormat="1" ht="15" customHeight="1">
      <c r="A68" s="71" t="s">
        <v>93</v>
      </c>
      <c r="B68" s="5" t="s">
        <v>81</v>
      </c>
      <c r="C68" s="5"/>
      <c r="D68" s="11" t="s">
        <v>18</v>
      </c>
      <c r="E68" s="94" t="str">
        <f t="shared" ref="E68" si="36">CONCATENATE(IF(AC68&gt;0,$AC$1," ")," ",IF(AD68&gt;0,$AD$1," ")," ",IF(AE68&gt;0,$AE$1," ")," ",IF(AF68&gt;0,$AF$1," ")," ",IF(AG68&gt;0,$AG$1," ")," ",IF(AH68&gt;0,$AH$1," ")," ",IF(AI68&gt;0,$AI$1," ")," ",IF(AJ68&gt;0,$AJ$1," ")," ",IF(AK68&gt;0,$AK$1," "))</f>
        <v xml:space="preserve">                 </v>
      </c>
      <c r="F68" s="72" t="str">
        <f t="shared" ref="F68" si="37">LEFT(Q68,11)</f>
        <v>9J1_974_219</v>
      </c>
      <c r="G68" s="73" t="str">
        <f t="shared" ref="G68" si="38">IF(LEN(Q68)=11,0,MID(Q68,13,2))</f>
        <v>D</v>
      </c>
      <c r="H68" s="72" t="str">
        <f t="shared" ref="H68" si="39">CONCATENATE(IF(MID(Q68,5,3)="974","1J21"),LEFT(F68,3),RIGHT(F68,3))</f>
        <v>1J219J1219</v>
      </c>
      <c r="I68" s="72" t="str">
        <f t="shared" ref="I68" si="40">IF(G68=0,"00",IF(LEN(G68)=1,CONCATENATE(G68,0),G68))</f>
        <v>D0</v>
      </c>
      <c r="J68" s="78"/>
      <c r="K68" s="102" t="s">
        <v>92</v>
      </c>
      <c r="L68" s="5" t="s">
        <v>84</v>
      </c>
      <c r="M68" s="8" t="s">
        <v>62</v>
      </c>
      <c r="N68" s="9">
        <v>2036</v>
      </c>
      <c r="O68" s="57"/>
      <c r="P68" s="9"/>
      <c r="Q68" s="5" t="s">
        <v>40</v>
      </c>
      <c r="R68" s="72" t="str">
        <f t="shared" ref="R68" si="41">IF(J68&lt;&gt;"",CONCATENATE(H68,I68,J68),CONCATENATE(H68,I68,K68))</f>
        <v>1J219J1219D0C</v>
      </c>
      <c r="S68" s="74" t="str">
        <f t="shared" ref="S68" si="42">IF(N68="-","KEIN LIEFERUMFANG",IF(AND(N68&lt;=S$3,O68=""),"AKTUELL",IF(O68=N68,"KEIN SERIENEINSATZ",IF(N68&gt;S$3,"NOCH NICHT AKTUELL",IF(AND(N68&lt;S$3,O68&lt;S$3),"NICHT AKTUELL",IF(N68&lt;=S$3,"AKTUELL"))))))</f>
        <v>AKTUELL</v>
      </c>
      <c r="T68" s="74"/>
      <c r="U68" s="74"/>
      <c r="V68" s="74"/>
      <c r="W68" s="83">
        <v>6.2300000000000001E-2</v>
      </c>
      <c r="X68" s="5"/>
      <c r="Y68" s="5" t="s">
        <v>0</v>
      </c>
      <c r="Z68" s="5" t="s">
        <v>0</v>
      </c>
      <c r="AA68" s="5" t="s">
        <v>18</v>
      </c>
      <c r="AB68" s="5"/>
      <c r="AC68" s="6"/>
      <c r="AD68" s="6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</row>
    <row r="69" spans="1:248" s="3" customFormat="1" ht="15" customHeight="1">
      <c r="A69" s="71" t="s">
        <v>93</v>
      </c>
      <c r="B69" s="5" t="s">
        <v>81</v>
      </c>
      <c r="C69" s="5"/>
      <c r="D69" s="11" t="s">
        <v>18</v>
      </c>
      <c r="E69" s="94" t="str">
        <f>CONCATENATE(IF(AC69&gt;0,$AC$1," ")," ",IF(AD69&gt;0,$AD$1," ")," ",IF(AE69&gt;0,$AE$1," ")," ",IF(AF69&gt;0,$AF$1," ")," ",IF(AG69&gt;0,$AG$1," ")," ",IF(AH69&gt;0,$AH$1," ")," ",IF(AI69&gt;0,$AI$1," ")," ",IF(AJ69&gt;0,$AJ$1," ")," ",IF(AK69&gt;0,$AK$1," "))</f>
        <v xml:space="preserve">                 </v>
      </c>
      <c r="F69" s="86" t="str">
        <f>LEFT(Q69,11)</f>
        <v>9J1_974_219</v>
      </c>
      <c r="G69" s="73" t="s">
        <v>170</v>
      </c>
      <c r="H69" s="72" t="str">
        <f t="shared" si="25"/>
        <v>1J219J1219</v>
      </c>
      <c r="I69" s="72" t="str">
        <f>IF(G69=0,"00",IF(LEN(G69)=1,CONCATENATE(G69,0),G69))</f>
        <v>G0</v>
      </c>
      <c r="J69" s="78" t="s">
        <v>59</v>
      </c>
      <c r="K69" s="11"/>
      <c r="L69" s="5" t="s">
        <v>165</v>
      </c>
      <c r="M69" s="8">
        <v>6028</v>
      </c>
      <c r="N69" s="9">
        <v>1933</v>
      </c>
      <c r="O69" s="57">
        <v>2035</v>
      </c>
      <c r="P69" s="9" t="s">
        <v>157</v>
      </c>
      <c r="Q69" s="5" t="s">
        <v>164</v>
      </c>
      <c r="R69" s="72" t="str">
        <f t="shared" si="29"/>
        <v>1J219J1219G0A</v>
      </c>
      <c r="S69" s="74" t="str">
        <f t="shared" si="27"/>
        <v>NICHT AKTUELL</v>
      </c>
      <c r="T69" s="74"/>
      <c r="U69" s="74"/>
      <c r="V69" s="74"/>
      <c r="W69" s="83">
        <v>0.02</v>
      </c>
      <c r="X69" s="5"/>
      <c r="Y69" s="5" t="s">
        <v>0</v>
      </c>
      <c r="Z69" s="5" t="s">
        <v>0</v>
      </c>
      <c r="AA69" s="5" t="s">
        <v>18</v>
      </c>
      <c r="AB69" s="5"/>
      <c r="AC69" s="6"/>
      <c r="AD69" s="6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</row>
    <row r="70" spans="1:248" s="3" customFormat="1" ht="15" customHeight="1">
      <c r="A70" s="71" t="s">
        <v>93</v>
      </c>
      <c r="B70" s="5" t="s">
        <v>81</v>
      </c>
      <c r="C70" s="5"/>
      <c r="D70" s="11" t="s">
        <v>18</v>
      </c>
      <c r="E70" s="94" t="str">
        <f>CONCATENATE(IF(AC70&gt;0,$AC$1," ")," ",IF(AD70&gt;0,$AD$1," ")," ",IF(AE70&gt;0,$AE$1," ")," ",IF(AF70&gt;0,$AF$1," ")," ",IF(AG70&gt;0,$AG$1," ")," ",IF(AH70&gt;0,$AH$1," ")," ",IF(AI70&gt;0,$AI$1," ")," ",IF(AJ70&gt;0,$AJ$1," ")," ",IF(AK70&gt;0,$AK$1," "))</f>
        <v xml:space="preserve">                 </v>
      </c>
      <c r="F70" s="86" t="str">
        <f>LEFT(Q70,11)</f>
        <v>9J1_974_219</v>
      </c>
      <c r="G70" s="73" t="s">
        <v>170</v>
      </c>
      <c r="H70" s="72" t="str">
        <f t="shared" ref="H70" si="43">CONCATENATE(IF(MID(Q70,5,3)="974","1J21"),LEFT(F70,3),RIGHT(F70,3))</f>
        <v>1J219J1219</v>
      </c>
      <c r="I70" s="72" t="str">
        <f>IF(G70=0,"00",IF(LEN(G70)=1,CONCATENATE(G70,0),G70))</f>
        <v>G0</v>
      </c>
      <c r="J70" s="78"/>
      <c r="K70" s="102" t="s">
        <v>60</v>
      </c>
      <c r="L70" s="5" t="s">
        <v>165</v>
      </c>
      <c r="M70" s="8" t="s">
        <v>62</v>
      </c>
      <c r="N70" s="9">
        <v>2036</v>
      </c>
      <c r="O70" s="57"/>
      <c r="P70" s="9"/>
      <c r="Q70" s="5" t="s">
        <v>164</v>
      </c>
      <c r="R70" s="72" t="str">
        <f t="shared" ref="R70" si="44">IF(J70&lt;&gt;"",CONCATENATE(H70,I70,J70),CONCATENATE(H70,I70,K70))</f>
        <v>1J219J1219G0B</v>
      </c>
      <c r="S70" s="74" t="str">
        <f t="shared" ref="S70" si="45">IF(N70="-","KEIN LIEFERUMFANG",IF(AND(N70&lt;=S$3,O70=""),"AKTUELL",IF(O70=N70,"KEIN SERIENEINSATZ",IF(N70&gt;S$3,"NOCH NICHT AKTUELL",IF(AND(N70&lt;S$3,O70&lt;S$3),"NICHT AKTUELL",IF(N70&lt;=S$3,"AKTUELL"))))))</f>
        <v>AKTUELL</v>
      </c>
      <c r="T70" s="74"/>
      <c r="U70" s="74"/>
      <c r="V70" s="74"/>
      <c r="W70" s="83">
        <v>0.02</v>
      </c>
      <c r="X70" s="5"/>
      <c r="Y70" s="5" t="s">
        <v>0</v>
      </c>
      <c r="Z70" s="5" t="s">
        <v>0</v>
      </c>
      <c r="AA70" s="5" t="s">
        <v>18</v>
      </c>
      <c r="AB70" s="5"/>
      <c r="AC70" s="6"/>
      <c r="AD70" s="6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</row>
    <row r="71" spans="1:248" s="3" customFormat="1" ht="15" customHeight="1">
      <c r="A71" s="71" t="s">
        <v>93</v>
      </c>
      <c r="B71" s="5" t="s">
        <v>81</v>
      </c>
      <c r="C71" s="5"/>
      <c r="D71" s="11" t="s">
        <v>18</v>
      </c>
      <c r="E71" s="94" t="str">
        <f>CONCATENATE(IF(AC71&gt;0,$AC$1," ")," ",IF(AD71&gt;0,$AD$1," ")," ",IF(AE71&gt;0,$AE$1," ")," ",IF(AF71&gt;0,$AF$1," ")," ",IF(AG71&gt;0,$AG$1," ")," ",IF(AH71&gt;0,$AH$1," ")," ",IF(AI71&gt;0,$AI$1," ")," ",IF(AJ71&gt;0,$AJ$1," ")," ",IF(AK71&gt;0,$AK$1," "))</f>
        <v xml:space="preserve">                 </v>
      </c>
      <c r="F71" s="86" t="str">
        <f>LEFT(Q71,11)</f>
        <v>9J1_974_219</v>
      </c>
      <c r="G71" s="73" t="s">
        <v>180</v>
      </c>
      <c r="H71" s="72" t="str">
        <f t="shared" si="25"/>
        <v>1J219J1219</v>
      </c>
      <c r="I71" s="72" t="str">
        <f>IF(G71=0,"00",IF(LEN(G71)=1,CONCATENATE(G71,0),G71))</f>
        <v>H0</v>
      </c>
      <c r="J71" s="78" t="s">
        <v>59</v>
      </c>
      <c r="K71" s="11"/>
      <c r="L71" s="5" t="s">
        <v>178</v>
      </c>
      <c r="M71" s="8">
        <v>6607</v>
      </c>
      <c r="N71" s="9">
        <v>2003</v>
      </c>
      <c r="O71" s="57">
        <v>2035</v>
      </c>
      <c r="P71" s="9" t="s">
        <v>172</v>
      </c>
      <c r="Q71" s="5" t="s">
        <v>177</v>
      </c>
      <c r="R71" s="72" t="str">
        <f t="shared" si="29"/>
        <v>1J219J1219H0A</v>
      </c>
      <c r="S71" s="74" t="str">
        <f t="shared" si="27"/>
        <v>NICHT AKTUELL</v>
      </c>
      <c r="T71" s="74"/>
      <c r="U71" s="74"/>
      <c r="V71" s="74"/>
      <c r="W71" s="83">
        <v>0</v>
      </c>
      <c r="X71" s="5"/>
      <c r="Y71" s="5" t="s">
        <v>0</v>
      </c>
      <c r="Z71" s="5" t="s">
        <v>0</v>
      </c>
      <c r="AA71" s="5" t="s">
        <v>18</v>
      </c>
      <c r="AB71" s="5"/>
      <c r="AC71" s="6"/>
      <c r="AD71" s="6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</row>
    <row r="72" spans="1:248" s="3" customFormat="1" ht="15" customHeight="1">
      <c r="A72" s="71" t="s">
        <v>93</v>
      </c>
      <c r="B72" s="5" t="s">
        <v>81</v>
      </c>
      <c r="C72" s="5"/>
      <c r="D72" s="11" t="s">
        <v>18</v>
      </c>
      <c r="E72" s="94" t="str">
        <f>CONCATENATE(IF(AC72&gt;0,$AC$1," ")," ",IF(AD72&gt;0,$AD$1," ")," ",IF(AE72&gt;0,$AE$1," ")," ",IF(AF72&gt;0,$AF$1," ")," ",IF(AG72&gt;0,$AG$1," ")," ",IF(AH72&gt;0,$AH$1," ")," ",IF(AI72&gt;0,$AI$1," ")," ",IF(AJ72&gt;0,$AJ$1," ")," ",IF(AK72&gt;0,$AK$1," "))</f>
        <v xml:space="preserve">                 </v>
      </c>
      <c r="F72" s="86" t="str">
        <f>LEFT(Q72,11)</f>
        <v>9J1_974_219</v>
      </c>
      <c r="G72" s="73" t="s">
        <v>180</v>
      </c>
      <c r="H72" s="72" t="str">
        <f t="shared" ref="H72" si="46">CONCATENATE(IF(MID(Q72,5,3)="974","1J21"),LEFT(F72,3),RIGHT(F72,3))</f>
        <v>1J219J1219</v>
      </c>
      <c r="I72" s="72" t="str">
        <f>IF(G72=0,"00",IF(LEN(G72)=1,CONCATENATE(G72,0),G72))</f>
        <v>H0</v>
      </c>
      <c r="J72" s="78"/>
      <c r="K72" s="102" t="s">
        <v>60</v>
      </c>
      <c r="L72" s="5" t="s">
        <v>178</v>
      </c>
      <c r="M72" s="8" t="s">
        <v>62</v>
      </c>
      <c r="N72" s="9">
        <v>2036</v>
      </c>
      <c r="O72" s="57"/>
      <c r="P72" s="9" t="s">
        <v>172</v>
      </c>
      <c r="Q72" s="5" t="s">
        <v>177</v>
      </c>
      <c r="R72" s="72" t="str">
        <f t="shared" ref="R72" si="47">IF(J72&lt;&gt;"",CONCATENATE(H72,I72,J72),CONCATENATE(H72,I72,K72))</f>
        <v>1J219J1219H0B</v>
      </c>
      <c r="S72" s="74" t="str">
        <f t="shared" ref="S72" si="48">IF(N72="-","KEIN LIEFERUMFANG",IF(AND(N72&lt;=S$3,O72=""),"AKTUELL",IF(O72=N72,"KEIN SERIENEINSATZ",IF(N72&gt;S$3,"NOCH NICHT AKTUELL",IF(AND(N72&lt;S$3,O72&lt;S$3),"NICHT AKTUELL",IF(N72&lt;=S$3,"AKTUELL"))))))</f>
        <v>AKTUELL</v>
      </c>
      <c r="T72" s="74"/>
      <c r="U72" s="74"/>
      <c r="V72" s="74"/>
      <c r="W72" s="83">
        <v>0</v>
      </c>
      <c r="X72" s="5"/>
      <c r="Y72" s="5" t="s">
        <v>0</v>
      </c>
      <c r="Z72" s="5" t="s">
        <v>0</v>
      </c>
      <c r="AA72" s="5" t="s">
        <v>18</v>
      </c>
      <c r="AB72" s="5"/>
      <c r="AC72" s="6"/>
      <c r="AD72" s="6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</row>
    <row r="73" spans="1:248" s="3" customFormat="1" ht="15" customHeight="1">
      <c r="A73" s="92" t="s">
        <v>93</v>
      </c>
      <c r="B73" s="93" t="s">
        <v>85</v>
      </c>
      <c r="C73" s="5"/>
      <c r="D73" s="11" t="s">
        <v>18</v>
      </c>
      <c r="E73" s="94"/>
      <c r="F73" s="86" t="s">
        <v>86</v>
      </c>
      <c r="G73" s="73">
        <v>0</v>
      </c>
      <c r="H73" s="72" t="str">
        <f t="shared" si="25"/>
        <v>1J219J0222</v>
      </c>
      <c r="I73" s="72" t="str">
        <f t="shared" si="26"/>
        <v>00</v>
      </c>
      <c r="J73" s="78" t="s">
        <v>59</v>
      </c>
      <c r="K73" s="11"/>
      <c r="L73" s="3" t="s">
        <v>87</v>
      </c>
      <c r="M73" s="8"/>
      <c r="N73" s="9"/>
      <c r="O73" s="57">
        <v>1932</v>
      </c>
      <c r="P73" s="9"/>
      <c r="Q73" s="3" t="s">
        <v>86</v>
      </c>
      <c r="R73" s="72" t="str">
        <f t="shared" si="29"/>
        <v>1J219J022200A</v>
      </c>
      <c r="S73" s="75" t="str">
        <f t="shared" si="27"/>
        <v>NICHT AKTUELL</v>
      </c>
      <c r="T73" s="74"/>
      <c r="U73" s="74"/>
      <c r="V73" s="74"/>
      <c r="W73" s="83">
        <v>7.2400000000000006E-2</v>
      </c>
      <c r="X73" s="5"/>
      <c r="Y73" s="5" t="s">
        <v>0</v>
      </c>
      <c r="Z73" s="5" t="s">
        <v>0</v>
      </c>
      <c r="AA73" s="5" t="s">
        <v>18</v>
      </c>
      <c r="AB73" s="5"/>
      <c r="AC73" s="6"/>
      <c r="AD73" s="6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</row>
    <row r="74" spans="1:248" s="3" customFormat="1" ht="15" customHeight="1">
      <c r="A74" s="92" t="s">
        <v>93</v>
      </c>
      <c r="B74" s="93" t="s">
        <v>85</v>
      </c>
      <c r="C74" s="5"/>
      <c r="D74" s="11" t="s">
        <v>18</v>
      </c>
      <c r="E74" s="94"/>
      <c r="F74" s="86" t="s">
        <v>86</v>
      </c>
      <c r="G74" s="73">
        <v>0</v>
      </c>
      <c r="H74" s="72" t="str">
        <f t="shared" si="25"/>
        <v>1J219J0222</v>
      </c>
      <c r="I74" s="72" t="str">
        <f>IF(G74=0,"00",IF(LEN(G74)=1,CONCATENATE(G74,0),G74))</f>
        <v>00</v>
      </c>
      <c r="J74" s="78" t="s">
        <v>59</v>
      </c>
      <c r="K74" s="11"/>
      <c r="L74" s="3" t="s">
        <v>166</v>
      </c>
      <c r="M74" s="8">
        <v>6028</v>
      </c>
      <c r="N74" s="9">
        <v>1933</v>
      </c>
      <c r="O74" s="57">
        <v>2002</v>
      </c>
      <c r="P74" s="9" t="s">
        <v>157</v>
      </c>
      <c r="Q74" s="3" t="s">
        <v>86</v>
      </c>
      <c r="R74" s="72" t="str">
        <f t="shared" si="29"/>
        <v>1J219J022200A</v>
      </c>
      <c r="S74" s="75" t="str">
        <f t="shared" si="27"/>
        <v>NICHT AKTUELL</v>
      </c>
      <c r="T74" s="74"/>
      <c r="U74" s="74"/>
      <c r="V74" s="74"/>
      <c r="W74" s="83">
        <v>7.2400000000000006E-2</v>
      </c>
      <c r="X74" s="5"/>
      <c r="Y74" s="5" t="s">
        <v>0</v>
      </c>
      <c r="Z74" s="5" t="s">
        <v>0</v>
      </c>
      <c r="AA74" s="5" t="s">
        <v>18</v>
      </c>
      <c r="AB74" s="5"/>
      <c r="AC74" s="6"/>
      <c r="AD74" s="6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</row>
    <row r="75" spans="1:248" s="3" customFormat="1" ht="15" customHeight="1">
      <c r="A75" s="92" t="s">
        <v>93</v>
      </c>
      <c r="B75" s="93" t="s">
        <v>85</v>
      </c>
      <c r="C75" s="5"/>
      <c r="D75" s="11" t="s">
        <v>18</v>
      </c>
      <c r="E75" s="94"/>
      <c r="F75" s="86" t="s">
        <v>86</v>
      </c>
      <c r="G75" s="73">
        <v>0</v>
      </c>
      <c r="H75" s="72" t="str">
        <f t="shared" si="25"/>
        <v>1J219J0222</v>
      </c>
      <c r="I75" s="72" t="str">
        <f>IF(G75=0,"00",IF(LEN(G75)=1,CONCATENATE(G75,0),G75))</f>
        <v>00</v>
      </c>
      <c r="J75" s="78" t="s">
        <v>59</v>
      </c>
      <c r="K75" s="11"/>
      <c r="L75" s="3" t="s">
        <v>179</v>
      </c>
      <c r="M75" s="8">
        <v>6607</v>
      </c>
      <c r="N75" s="9">
        <v>2003</v>
      </c>
      <c r="O75" s="57">
        <v>2035</v>
      </c>
      <c r="P75" s="9" t="s">
        <v>172</v>
      </c>
      <c r="Q75" s="3" t="s">
        <v>86</v>
      </c>
      <c r="R75" s="72" t="str">
        <f>IF(J75&lt;&gt;"",CONCATENATE(H75,I75,J75),CONCATENATE(H75,I75,K75))</f>
        <v>1J219J022200A</v>
      </c>
      <c r="S75" s="75" t="str">
        <f t="shared" si="27"/>
        <v>NICHT AKTUELL</v>
      </c>
      <c r="T75" s="74"/>
      <c r="U75" s="74"/>
      <c r="V75" s="74"/>
      <c r="W75" s="83">
        <v>7.2400000000000006E-2</v>
      </c>
      <c r="X75" s="5"/>
      <c r="Y75" s="5" t="s">
        <v>0</v>
      </c>
      <c r="Z75" s="5" t="s">
        <v>0</v>
      </c>
      <c r="AA75" s="5" t="s">
        <v>18</v>
      </c>
      <c r="AB75" s="5"/>
      <c r="AC75" s="6"/>
      <c r="AD75" s="6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</row>
    <row r="76" spans="1:248" s="3" customFormat="1" ht="15" customHeight="1">
      <c r="A76" s="92" t="s">
        <v>93</v>
      </c>
      <c r="B76" s="93" t="s">
        <v>85</v>
      </c>
      <c r="C76" s="5"/>
      <c r="D76" s="11" t="s">
        <v>18</v>
      </c>
      <c r="E76" s="94"/>
      <c r="F76" s="86" t="s">
        <v>86</v>
      </c>
      <c r="G76" s="73">
        <v>0</v>
      </c>
      <c r="H76" s="72" t="str">
        <f t="shared" ref="H76" si="49">CONCATENATE(IF(MID(Q76,5,3)="974","1J21"),LEFT(F76,3),RIGHT(F76,3))</f>
        <v>1J219J0222</v>
      </c>
      <c r="I76" s="72" t="str">
        <f>IF(G76=0,"00",IF(LEN(G76)=1,CONCATENATE(G76,0),G76))</f>
        <v>00</v>
      </c>
      <c r="J76" s="78"/>
      <c r="K76" s="102" t="s">
        <v>60</v>
      </c>
      <c r="L76" s="101" t="s">
        <v>189</v>
      </c>
      <c r="M76" s="8" t="s">
        <v>193</v>
      </c>
      <c r="N76" s="9">
        <v>2036</v>
      </c>
      <c r="O76" s="57">
        <v>2037</v>
      </c>
      <c r="P76" s="9"/>
      <c r="Q76" s="3" t="s">
        <v>86</v>
      </c>
      <c r="R76" s="72" t="str">
        <f>IF(J76&lt;&gt;"",CONCATENATE(H76,I76,J76),CONCATENATE(H76,I76,K76))</f>
        <v>1J219J022200B</v>
      </c>
      <c r="S76" s="75" t="str">
        <f t="shared" ref="S76" si="50">IF(N76="-","KEIN LIEFERUMFANG",IF(AND(N76&lt;=S$3,O76=""),"AKTUELL",IF(O76=N76,"KEIN SERIENEINSATZ",IF(N76&gt;S$3,"NOCH NICHT AKTUELL",IF(AND(N76&lt;S$3,O76&lt;S$3),"NICHT AKTUELL",IF(N76&lt;=S$3,"AKTUELL"))))))</f>
        <v>NICHT AKTUELL</v>
      </c>
      <c r="T76" s="74"/>
      <c r="U76" s="74"/>
      <c r="V76" s="74"/>
      <c r="W76" s="83">
        <v>7.2400000000000006E-2</v>
      </c>
      <c r="X76" s="5"/>
      <c r="Y76" s="5" t="s">
        <v>0</v>
      </c>
      <c r="Z76" s="5" t="s">
        <v>0</v>
      </c>
      <c r="AA76" s="5" t="s">
        <v>18</v>
      </c>
      <c r="AB76" s="5"/>
      <c r="AC76" s="6"/>
      <c r="AD76" s="6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</row>
    <row r="77" spans="1:248" s="3" customFormat="1" ht="15" customHeight="1">
      <c r="A77" s="92" t="s">
        <v>93</v>
      </c>
      <c r="B77" s="93" t="s">
        <v>85</v>
      </c>
      <c r="C77" s="5"/>
      <c r="D77" s="11" t="s">
        <v>18</v>
      </c>
      <c r="E77" s="94"/>
      <c r="F77" s="86" t="s">
        <v>86</v>
      </c>
      <c r="G77" s="73">
        <v>0</v>
      </c>
      <c r="H77" s="72" t="str">
        <f t="shared" ref="H77" si="51">CONCATENATE(IF(MID(Q77,5,3)="974","1J21"),LEFT(F77,3),RIGHT(F77,3))</f>
        <v>1J219J0222</v>
      </c>
      <c r="I77" s="72" t="str">
        <f>IF(G77=0,"00",IF(LEN(G77)=1,CONCATENATE(G77,0),G77))</f>
        <v>00</v>
      </c>
      <c r="J77" s="78"/>
      <c r="K77" s="102" t="s">
        <v>92</v>
      </c>
      <c r="L77" s="3" t="s">
        <v>189</v>
      </c>
      <c r="M77" s="8" t="s">
        <v>62</v>
      </c>
      <c r="N77" s="9">
        <v>2038</v>
      </c>
      <c r="O77" s="57"/>
      <c r="P77" s="9"/>
      <c r="Q77" s="3" t="s">
        <v>86</v>
      </c>
      <c r="R77" s="72" t="str">
        <f>IF(J77&lt;&gt;"",CONCATENATE(H77,I77,J77),CONCATENATE(H77,I77,K77))</f>
        <v>1J219J022200C</v>
      </c>
      <c r="S77" s="75" t="str">
        <f t="shared" ref="S77" si="52">IF(N77="-","KEIN LIEFERUMFANG",IF(AND(N77&lt;=S$3,O77=""),"AKTUELL",IF(O77=N77,"KEIN SERIENEINSATZ",IF(N77&gt;S$3,"NOCH NICHT AKTUELL",IF(AND(N77&lt;S$3,O77&lt;S$3),"NICHT AKTUELL",IF(N77&lt;=S$3,"AKTUELL"))))))</f>
        <v>AKTUELL</v>
      </c>
      <c r="T77" s="74"/>
      <c r="U77" s="74"/>
      <c r="V77" s="74"/>
      <c r="W77" s="83">
        <v>7.2400000000000006E-2</v>
      </c>
      <c r="X77" s="5"/>
      <c r="Y77" s="5" t="s">
        <v>0</v>
      </c>
      <c r="Z77" s="5" t="s">
        <v>0</v>
      </c>
      <c r="AA77" s="5" t="s">
        <v>18</v>
      </c>
      <c r="AB77" s="5"/>
      <c r="AC77" s="6"/>
      <c r="AD77" s="6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</row>
    <row r="78" spans="1:248" s="3" customFormat="1" ht="15" customHeight="1">
      <c r="A78" s="92" t="s">
        <v>93</v>
      </c>
      <c r="B78" s="93" t="s">
        <v>85</v>
      </c>
      <c r="C78" s="5"/>
      <c r="D78" s="11" t="s">
        <v>18</v>
      </c>
      <c r="E78" s="94"/>
      <c r="F78" s="86" t="s">
        <v>86</v>
      </c>
      <c r="G78" s="73" t="s">
        <v>59</v>
      </c>
      <c r="H78" s="72" t="str">
        <f t="shared" si="25"/>
        <v>1J219J0222</v>
      </c>
      <c r="I78" s="72" t="s">
        <v>135</v>
      </c>
      <c r="J78" s="78" t="s">
        <v>59</v>
      </c>
      <c r="K78" s="11"/>
      <c r="L78" s="3" t="s">
        <v>89</v>
      </c>
      <c r="M78" s="8"/>
      <c r="N78" s="9"/>
      <c r="O78" s="57">
        <v>1932</v>
      </c>
      <c r="P78" s="9"/>
      <c r="Q78" s="3" t="s">
        <v>88</v>
      </c>
      <c r="R78" s="72" t="str">
        <f t="shared" si="29"/>
        <v>1J219J0222A0A</v>
      </c>
      <c r="S78" s="75" t="str">
        <f t="shared" si="27"/>
        <v>NICHT AKTUELL</v>
      </c>
      <c r="T78" s="74"/>
      <c r="U78" s="74"/>
      <c r="V78" s="74"/>
      <c r="W78" s="83">
        <v>5.96E-2</v>
      </c>
      <c r="X78" s="5"/>
      <c r="Y78" s="5" t="s">
        <v>0</v>
      </c>
      <c r="Z78" s="5" t="s">
        <v>0</v>
      </c>
      <c r="AA78" s="5" t="s">
        <v>18</v>
      </c>
      <c r="AB78" s="5"/>
      <c r="AC78" s="6"/>
      <c r="AD78" s="6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</row>
    <row r="79" spans="1:248" s="3" customFormat="1" ht="15" customHeight="1">
      <c r="A79" s="92" t="s">
        <v>93</v>
      </c>
      <c r="B79" s="93" t="s">
        <v>85</v>
      </c>
      <c r="C79" s="5"/>
      <c r="D79" s="11" t="s">
        <v>18</v>
      </c>
      <c r="E79" s="94"/>
      <c r="F79" s="86" t="s">
        <v>86</v>
      </c>
      <c r="G79" s="73" t="s">
        <v>59</v>
      </c>
      <c r="H79" s="72" t="str">
        <f t="shared" si="25"/>
        <v>1J219J0222</v>
      </c>
      <c r="I79" s="72" t="s">
        <v>135</v>
      </c>
      <c r="J79" s="78" t="s">
        <v>59</v>
      </c>
      <c r="K79" s="11"/>
      <c r="L79" s="3" t="s">
        <v>167</v>
      </c>
      <c r="M79" s="8">
        <v>6028</v>
      </c>
      <c r="N79" s="9">
        <v>1933</v>
      </c>
      <c r="O79" s="57">
        <v>2035</v>
      </c>
      <c r="P79" s="9" t="s">
        <v>157</v>
      </c>
      <c r="Q79" s="3" t="s">
        <v>88</v>
      </c>
      <c r="R79" s="72" t="str">
        <f t="shared" si="29"/>
        <v>1J219J0222A0A</v>
      </c>
      <c r="S79" s="75" t="str">
        <f t="shared" si="27"/>
        <v>NICHT AKTUELL</v>
      </c>
      <c r="T79" s="74"/>
      <c r="U79" s="74"/>
      <c r="V79" s="74"/>
      <c r="W79" s="83">
        <v>5.96E-2</v>
      </c>
      <c r="X79" s="5"/>
      <c r="Y79" s="5" t="s">
        <v>0</v>
      </c>
      <c r="Z79" s="5" t="s">
        <v>0</v>
      </c>
      <c r="AA79" s="5" t="s">
        <v>18</v>
      </c>
      <c r="AB79" s="5"/>
      <c r="AC79" s="6"/>
      <c r="AD79" s="6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</row>
    <row r="80" spans="1:248" s="3" customFormat="1" ht="15" customHeight="1">
      <c r="A80" s="92" t="s">
        <v>93</v>
      </c>
      <c r="B80" s="93" t="s">
        <v>85</v>
      </c>
      <c r="C80" s="5"/>
      <c r="D80" s="11" t="s">
        <v>18</v>
      </c>
      <c r="E80" s="94"/>
      <c r="F80" s="86" t="s">
        <v>86</v>
      </c>
      <c r="G80" s="73" t="s">
        <v>59</v>
      </c>
      <c r="H80" s="72" t="str">
        <f t="shared" ref="H80" si="53">CONCATENATE(IF(MID(Q80,5,3)="974","1J21"),LEFT(F80,3),RIGHT(F80,3))</f>
        <v>1J219J0222</v>
      </c>
      <c r="I80" s="72" t="s">
        <v>135</v>
      </c>
      <c r="J80" s="78"/>
      <c r="K80" s="102" t="s">
        <v>60</v>
      </c>
      <c r="L80" s="101" t="s">
        <v>190</v>
      </c>
      <c r="M80" s="8" t="s">
        <v>193</v>
      </c>
      <c r="N80" s="9">
        <v>2036</v>
      </c>
      <c r="O80" s="57">
        <v>2037</v>
      </c>
      <c r="P80" s="9"/>
      <c r="Q80" s="3" t="s">
        <v>88</v>
      </c>
      <c r="R80" s="72" t="str">
        <f t="shared" ref="R80" si="54">IF(J80&lt;&gt;"",CONCATENATE(H80,I80,J80),CONCATENATE(H80,I80,K80))</f>
        <v>1J219J0222A0B</v>
      </c>
      <c r="S80" s="75" t="str">
        <f t="shared" ref="S80" si="55">IF(N80="-","KEIN LIEFERUMFANG",IF(AND(N80&lt;=S$3,O80=""),"AKTUELL",IF(O80=N80,"KEIN SERIENEINSATZ",IF(N80&gt;S$3,"NOCH NICHT AKTUELL",IF(AND(N80&lt;S$3,O80&lt;S$3),"NICHT AKTUELL",IF(N80&lt;=S$3,"AKTUELL"))))))</f>
        <v>NICHT AKTUELL</v>
      </c>
      <c r="T80" s="74"/>
      <c r="U80" s="74"/>
      <c r="V80" s="74"/>
      <c r="W80" s="83">
        <v>5.96E-2</v>
      </c>
      <c r="X80" s="5"/>
      <c r="Y80" s="5" t="s">
        <v>0</v>
      </c>
      <c r="Z80" s="5" t="s">
        <v>0</v>
      </c>
      <c r="AA80" s="5" t="s">
        <v>18</v>
      </c>
      <c r="AB80" s="5"/>
      <c r="AC80" s="6"/>
      <c r="AD80" s="6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</row>
    <row r="81" spans="1:248" s="3" customFormat="1" ht="15" customHeight="1">
      <c r="A81" s="92" t="s">
        <v>93</v>
      </c>
      <c r="B81" s="93" t="s">
        <v>85</v>
      </c>
      <c r="C81" s="5"/>
      <c r="D81" s="11" t="s">
        <v>18</v>
      </c>
      <c r="E81" s="94"/>
      <c r="F81" s="86" t="s">
        <v>86</v>
      </c>
      <c r="G81" s="73" t="s">
        <v>59</v>
      </c>
      <c r="H81" s="72" t="str">
        <f t="shared" ref="H81" si="56">CONCATENATE(IF(MID(Q81,5,3)="974","1J21"),LEFT(F81,3),RIGHT(F81,3))</f>
        <v>1J219J0222</v>
      </c>
      <c r="I81" s="72" t="s">
        <v>135</v>
      </c>
      <c r="J81" s="78"/>
      <c r="K81" s="102" t="s">
        <v>92</v>
      </c>
      <c r="L81" s="3" t="s">
        <v>190</v>
      </c>
      <c r="M81" s="8" t="s">
        <v>62</v>
      </c>
      <c r="N81" s="9">
        <v>2038</v>
      </c>
      <c r="O81" s="57"/>
      <c r="P81" s="9"/>
      <c r="Q81" s="3" t="s">
        <v>88</v>
      </c>
      <c r="R81" s="72" t="str">
        <f t="shared" ref="R81" si="57">IF(J81&lt;&gt;"",CONCATENATE(H81,I81,J81),CONCATENATE(H81,I81,K81))</f>
        <v>1J219J0222A0C</v>
      </c>
      <c r="S81" s="75" t="str">
        <f t="shared" ref="S81" si="58">IF(N81="-","KEIN LIEFERUMFANG",IF(AND(N81&lt;=S$3,O81=""),"AKTUELL",IF(O81=N81,"KEIN SERIENEINSATZ",IF(N81&gt;S$3,"NOCH NICHT AKTUELL",IF(AND(N81&lt;S$3,O81&lt;S$3),"NICHT AKTUELL",IF(N81&lt;=S$3,"AKTUELL"))))))</f>
        <v>AKTUELL</v>
      </c>
      <c r="T81" s="74"/>
      <c r="U81" s="74"/>
      <c r="V81" s="74"/>
      <c r="W81" s="83">
        <v>5.96E-2</v>
      </c>
      <c r="X81" s="5"/>
      <c r="Y81" s="5" t="s">
        <v>0</v>
      </c>
      <c r="Z81" s="5" t="s">
        <v>0</v>
      </c>
      <c r="AA81" s="5" t="s">
        <v>18</v>
      </c>
      <c r="AB81" s="5"/>
      <c r="AC81" s="6"/>
      <c r="AD81" s="6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</row>
    <row r="82" spans="1:248" s="3" customFormat="1" ht="15" customHeight="1">
      <c r="A82" s="92" t="s">
        <v>93</v>
      </c>
      <c r="B82" s="93" t="s">
        <v>85</v>
      </c>
      <c r="C82" s="5"/>
      <c r="D82" s="11" t="s">
        <v>18</v>
      </c>
      <c r="E82" s="94"/>
      <c r="F82" s="86" t="s">
        <v>86</v>
      </c>
      <c r="G82" s="73" t="s">
        <v>60</v>
      </c>
      <c r="H82" s="72" t="str">
        <f t="shared" si="25"/>
        <v>1J219J0222</v>
      </c>
      <c r="I82" s="72" t="s">
        <v>136</v>
      </c>
      <c r="J82" s="78" t="s">
        <v>59</v>
      </c>
      <c r="K82" s="11"/>
      <c r="L82" s="3" t="s">
        <v>91</v>
      </c>
      <c r="M82" s="8"/>
      <c r="N82" s="9"/>
      <c r="O82" s="57">
        <v>2035</v>
      </c>
      <c r="P82" s="9"/>
      <c r="Q82" s="3" t="s">
        <v>90</v>
      </c>
      <c r="R82" s="72" t="str">
        <f t="shared" si="29"/>
        <v>1J219J0222B0A</v>
      </c>
      <c r="S82" s="75" t="str">
        <f t="shared" si="27"/>
        <v>NICHT AKTUELL</v>
      </c>
      <c r="T82" s="74"/>
      <c r="U82" s="74"/>
      <c r="V82" s="74"/>
      <c r="W82" s="83">
        <v>3.8300000000000001E-2</v>
      </c>
      <c r="X82" s="5"/>
      <c r="Y82" s="5" t="s">
        <v>0</v>
      </c>
      <c r="Z82" s="5" t="s">
        <v>0</v>
      </c>
      <c r="AA82" s="5" t="s">
        <v>18</v>
      </c>
      <c r="AB82" s="5"/>
      <c r="AC82" s="6"/>
      <c r="AD82" s="6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</row>
    <row r="83" spans="1:248" s="3" customFormat="1" ht="15" customHeight="1">
      <c r="A83" s="92" t="s">
        <v>93</v>
      </c>
      <c r="B83" s="93" t="s">
        <v>85</v>
      </c>
      <c r="C83" s="5"/>
      <c r="D83" s="11" t="s">
        <v>18</v>
      </c>
      <c r="E83" s="94"/>
      <c r="F83" s="86" t="s">
        <v>86</v>
      </c>
      <c r="G83" s="73" t="s">
        <v>60</v>
      </c>
      <c r="H83" s="72" t="str">
        <f t="shared" ref="H83" si="59">CONCATENATE(IF(MID(Q83,5,3)="974","1J21"),LEFT(F83,3),RIGHT(F83,3))</f>
        <v>1J219J0222</v>
      </c>
      <c r="I83" s="72" t="s">
        <v>136</v>
      </c>
      <c r="J83" s="78"/>
      <c r="K83" s="102" t="s">
        <v>60</v>
      </c>
      <c r="L83" s="101" t="s">
        <v>191</v>
      </c>
      <c r="M83" s="8" t="s">
        <v>193</v>
      </c>
      <c r="N83" s="9">
        <v>2036</v>
      </c>
      <c r="O83" s="57">
        <v>2037</v>
      </c>
      <c r="P83" s="9"/>
      <c r="Q83" s="3" t="s">
        <v>90</v>
      </c>
      <c r="R83" s="72" t="str">
        <f t="shared" ref="R83" si="60">IF(J83&lt;&gt;"",CONCATENATE(H83,I83,J83),CONCATENATE(H83,I83,K83))</f>
        <v>1J219J0222B0B</v>
      </c>
      <c r="S83" s="75" t="str">
        <f t="shared" ref="S83" si="61">IF(N83="-","KEIN LIEFERUMFANG",IF(AND(N83&lt;=S$3,O83=""),"AKTUELL",IF(O83=N83,"KEIN SERIENEINSATZ",IF(N83&gt;S$3,"NOCH NICHT AKTUELL",IF(AND(N83&lt;S$3,O83&lt;S$3),"NICHT AKTUELL",IF(N83&lt;=S$3,"AKTUELL"))))))</f>
        <v>NICHT AKTUELL</v>
      </c>
      <c r="T83" s="74"/>
      <c r="U83" s="74"/>
      <c r="V83" s="74"/>
      <c r="W83" s="83">
        <v>3.8300000000000001E-2</v>
      </c>
      <c r="X83" s="5"/>
      <c r="Y83" s="5" t="s">
        <v>0</v>
      </c>
      <c r="Z83" s="5" t="s">
        <v>0</v>
      </c>
      <c r="AA83" s="5" t="s">
        <v>18</v>
      </c>
      <c r="AB83" s="5"/>
      <c r="AC83" s="6"/>
      <c r="AD83" s="6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</row>
    <row r="84" spans="1:248" s="3" customFormat="1" ht="15" customHeight="1">
      <c r="A84" s="92" t="s">
        <v>93</v>
      </c>
      <c r="B84" s="93" t="s">
        <v>85</v>
      </c>
      <c r="C84" s="5"/>
      <c r="D84" s="11" t="s">
        <v>18</v>
      </c>
      <c r="E84" s="94"/>
      <c r="F84" s="86" t="s">
        <v>86</v>
      </c>
      <c r="G84" s="73" t="s">
        <v>60</v>
      </c>
      <c r="H84" s="72" t="str">
        <f t="shared" ref="H84" si="62">CONCATENATE(IF(MID(Q84,5,3)="974","1J21"),LEFT(F84,3),RIGHT(F84,3))</f>
        <v>1J219J0222</v>
      </c>
      <c r="I84" s="72" t="s">
        <v>136</v>
      </c>
      <c r="J84" s="78"/>
      <c r="K84" s="102" t="s">
        <v>92</v>
      </c>
      <c r="L84" s="3" t="s">
        <v>191</v>
      </c>
      <c r="M84" s="8" t="s">
        <v>62</v>
      </c>
      <c r="N84" s="9">
        <v>2038</v>
      </c>
      <c r="O84" s="57"/>
      <c r="P84" s="9"/>
      <c r="Q84" s="3" t="s">
        <v>90</v>
      </c>
      <c r="R84" s="72" t="str">
        <f t="shared" ref="R84" si="63">IF(J84&lt;&gt;"",CONCATENATE(H84,I84,J84),CONCATENATE(H84,I84,K84))</f>
        <v>1J219J0222B0C</v>
      </c>
      <c r="S84" s="75" t="str">
        <f t="shared" ref="S84" si="64">IF(N84="-","KEIN LIEFERUMFANG",IF(AND(N84&lt;=S$3,O84=""),"AKTUELL",IF(O84=N84,"KEIN SERIENEINSATZ",IF(N84&gt;S$3,"NOCH NICHT AKTUELL",IF(AND(N84&lt;S$3,O84&lt;S$3),"NICHT AKTUELL",IF(N84&lt;=S$3,"AKTUELL"))))))</f>
        <v>AKTUELL</v>
      </c>
      <c r="T84" s="74"/>
      <c r="U84" s="74"/>
      <c r="V84" s="74"/>
      <c r="W84" s="83">
        <v>3.8300000000000001E-2</v>
      </c>
      <c r="X84" s="5"/>
      <c r="Y84" s="5" t="s">
        <v>0</v>
      </c>
      <c r="Z84" s="5" t="s">
        <v>0</v>
      </c>
      <c r="AA84" s="5" t="s">
        <v>18</v>
      </c>
      <c r="AB84" s="5"/>
      <c r="AC84" s="6"/>
      <c r="AD84" s="6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</row>
    <row r="85" spans="1:248" s="3" customFormat="1" ht="15" customHeight="1">
      <c r="A85" s="92" t="s">
        <v>93</v>
      </c>
      <c r="B85" s="93" t="s">
        <v>85</v>
      </c>
      <c r="C85" s="5"/>
      <c r="D85" s="11" t="s">
        <v>18</v>
      </c>
      <c r="E85" s="94"/>
      <c r="F85" s="86" t="s">
        <v>86</v>
      </c>
      <c r="G85" s="73" t="s">
        <v>92</v>
      </c>
      <c r="H85" s="72" t="str">
        <f t="shared" si="25"/>
        <v>1J219J0222</v>
      </c>
      <c r="I85" s="72" t="s">
        <v>171</v>
      </c>
      <c r="J85" s="78" t="s">
        <v>59</v>
      </c>
      <c r="K85" s="11"/>
      <c r="L85" s="3" t="s">
        <v>169</v>
      </c>
      <c r="M85" s="8">
        <v>6028</v>
      </c>
      <c r="N85" s="9">
        <v>1933</v>
      </c>
      <c r="O85" s="57">
        <v>2035</v>
      </c>
      <c r="P85" s="9" t="s">
        <v>157</v>
      </c>
      <c r="Q85" s="3" t="s">
        <v>168</v>
      </c>
      <c r="R85" s="72" t="str">
        <f t="shared" si="29"/>
        <v>1J219J0222C0A</v>
      </c>
      <c r="S85" s="75" t="str">
        <f t="shared" si="27"/>
        <v>NICHT AKTUELL</v>
      </c>
      <c r="T85" s="74"/>
      <c r="U85" s="74"/>
      <c r="V85" s="74"/>
      <c r="W85" s="83">
        <v>0.01</v>
      </c>
      <c r="X85" s="5"/>
      <c r="Y85" s="5" t="s">
        <v>0</v>
      </c>
      <c r="Z85" s="5" t="s">
        <v>0</v>
      </c>
      <c r="AA85" s="5" t="s">
        <v>18</v>
      </c>
      <c r="AB85" s="5"/>
      <c r="AC85" s="6"/>
      <c r="AD85" s="6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</row>
    <row r="86" spans="1:248" s="3" customFormat="1" ht="15" customHeight="1">
      <c r="A86" s="92" t="s">
        <v>93</v>
      </c>
      <c r="B86" s="93" t="s">
        <v>85</v>
      </c>
      <c r="C86" s="5"/>
      <c r="D86" s="11" t="s">
        <v>18</v>
      </c>
      <c r="E86" s="94"/>
      <c r="F86" s="86" t="s">
        <v>86</v>
      </c>
      <c r="G86" s="73" t="s">
        <v>92</v>
      </c>
      <c r="H86" s="72" t="str">
        <f t="shared" ref="H86" si="65">CONCATENATE(IF(MID(Q86,5,3)="974","1J21"),LEFT(F86,3),RIGHT(F86,3))</f>
        <v>1J219J0222</v>
      </c>
      <c r="I86" s="72" t="s">
        <v>171</v>
      </c>
      <c r="J86" s="78"/>
      <c r="K86" s="102" t="s">
        <v>60</v>
      </c>
      <c r="L86" s="101" t="s">
        <v>192</v>
      </c>
      <c r="M86" s="8" t="s">
        <v>193</v>
      </c>
      <c r="N86" s="9">
        <v>2036</v>
      </c>
      <c r="O86" s="57">
        <v>2037</v>
      </c>
      <c r="P86" s="9"/>
      <c r="Q86" s="3" t="s">
        <v>168</v>
      </c>
      <c r="R86" s="72" t="str">
        <f t="shared" ref="R86" si="66">IF(J86&lt;&gt;"",CONCATENATE(H86,I86,J86),CONCATENATE(H86,I86,K86))</f>
        <v>1J219J0222C0B</v>
      </c>
      <c r="S86" s="75" t="str">
        <f t="shared" ref="S86" si="67">IF(N86="-","KEIN LIEFERUMFANG",IF(AND(N86&lt;=S$3,O86=""),"AKTUELL",IF(O86=N86,"KEIN SERIENEINSATZ",IF(N86&gt;S$3,"NOCH NICHT AKTUELL",IF(AND(N86&lt;S$3,O86&lt;S$3),"NICHT AKTUELL",IF(N86&lt;=S$3,"AKTUELL"))))))</f>
        <v>NICHT AKTUELL</v>
      </c>
      <c r="T86" s="74"/>
      <c r="U86" s="74"/>
      <c r="V86" s="74"/>
      <c r="W86" s="83">
        <v>0.01</v>
      </c>
      <c r="X86" s="5"/>
      <c r="Y86" s="5" t="s">
        <v>0</v>
      </c>
      <c r="Z86" s="5" t="s">
        <v>0</v>
      </c>
      <c r="AA86" s="5" t="s">
        <v>18</v>
      </c>
      <c r="AB86" s="5"/>
      <c r="AC86" s="6"/>
      <c r="AD86" s="6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</row>
    <row r="87" spans="1:248" s="3" customFormat="1" ht="15" customHeight="1">
      <c r="A87" s="92" t="s">
        <v>93</v>
      </c>
      <c r="B87" s="93" t="s">
        <v>85</v>
      </c>
      <c r="C87" s="5"/>
      <c r="D87" s="11" t="s">
        <v>18</v>
      </c>
      <c r="E87" s="94"/>
      <c r="F87" s="86" t="s">
        <v>86</v>
      </c>
      <c r="G87" s="73" t="s">
        <v>92</v>
      </c>
      <c r="H87" s="72" t="str">
        <f t="shared" ref="H87" si="68">CONCATENATE(IF(MID(Q87,5,3)="974","1J21"),LEFT(F87,3),RIGHT(F87,3))</f>
        <v>1J219J0222</v>
      </c>
      <c r="I87" s="72" t="s">
        <v>171</v>
      </c>
      <c r="J87" s="78"/>
      <c r="K87" s="102" t="s">
        <v>92</v>
      </c>
      <c r="L87" s="3" t="s">
        <v>192</v>
      </c>
      <c r="M87" s="8" t="s">
        <v>62</v>
      </c>
      <c r="N87" s="9">
        <v>2038</v>
      </c>
      <c r="O87" s="57"/>
      <c r="P87" s="9"/>
      <c r="Q87" s="3" t="s">
        <v>168</v>
      </c>
      <c r="R87" s="72" t="str">
        <f t="shared" ref="R87" si="69">IF(J87&lt;&gt;"",CONCATENATE(H87,I87,J87),CONCATENATE(H87,I87,K87))</f>
        <v>1J219J0222C0C</v>
      </c>
      <c r="S87" s="75" t="str">
        <f t="shared" ref="S87" si="70">IF(N87="-","KEIN LIEFERUMFANG",IF(AND(N87&lt;=S$3,O87=""),"AKTUELL",IF(O87=N87,"KEIN SERIENEINSATZ",IF(N87&gt;S$3,"NOCH NICHT AKTUELL",IF(AND(N87&lt;S$3,O87&lt;S$3),"NICHT AKTUELL",IF(N87&lt;=S$3,"AKTUELL"))))))</f>
        <v>AKTUELL</v>
      </c>
      <c r="T87" s="74"/>
      <c r="U87" s="74"/>
      <c r="V87" s="74"/>
      <c r="W87" s="83">
        <v>0.01</v>
      </c>
      <c r="X87" s="5"/>
      <c r="Y87" s="5" t="s">
        <v>0</v>
      </c>
      <c r="Z87" s="5" t="s">
        <v>0</v>
      </c>
      <c r="AA87" s="5" t="s">
        <v>18</v>
      </c>
      <c r="AB87" s="5"/>
      <c r="AC87" s="6"/>
      <c r="AD87" s="6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</row>
    <row r="88" spans="1:248" s="3" customFormat="1" ht="15" customHeight="1">
      <c r="A88" s="71" t="s">
        <v>93</v>
      </c>
      <c r="B88" s="5" t="s">
        <v>10</v>
      </c>
      <c r="C88" s="5"/>
      <c r="D88" s="11"/>
      <c r="E88" s="94" t="str">
        <f t="shared" ref="E88:E99" si="71">CONCATENATE(IF(AC88&gt;0,$AC$1," ")," ",IF(AD88&gt;0,$AD$1," ")," ",IF(AE88&gt;0,$AE$1," ")," ",IF(AF88&gt;0,$AF$1," ")," ",IF(AG88&gt;0,$AG$1," ")," ",IF(AH88&gt;0,$AH$1," ")," ",IF(AI88&gt;0,$AI$1," ")," ",IF(AJ88&gt;0,$AJ$1," ")," ",IF(AK88&gt;0,$AK$1," "))</f>
        <v xml:space="preserve">                 </v>
      </c>
      <c r="F88" s="72" t="str">
        <f t="shared" ref="F88:F113" si="72">LEFT(Q88,11)</f>
        <v>9J1_974_230</v>
      </c>
      <c r="G88" s="73">
        <f>IF(LEN(Q88)=11,0,MID(Q88,13,2))</f>
        <v>0</v>
      </c>
      <c r="H88" s="72" t="str">
        <f t="shared" ref="H88:H99" si="73">CONCATENATE(IF(MID(Q88,5,3)="974","1J21"),LEFT(F88,3),RIGHT(F88,3))</f>
        <v>1J219J1230</v>
      </c>
      <c r="I88" s="72" t="str">
        <f t="shared" ref="I88:I101" si="74">IF(G88=0,"00",IF(LEN(G88)=1,CONCATENATE(G88,0),G88))</f>
        <v>00</v>
      </c>
      <c r="J88" s="78" t="s">
        <v>60</v>
      </c>
      <c r="K88" s="11"/>
      <c r="L88" s="3" t="s">
        <v>98</v>
      </c>
      <c r="M88" s="8"/>
      <c r="N88" s="9"/>
      <c r="O88" s="57"/>
      <c r="P88" s="9"/>
      <c r="Q88" s="5" t="s">
        <v>41</v>
      </c>
      <c r="R88" s="72" t="str">
        <f t="shared" si="29"/>
        <v>1J219J123000B</v>
      </c>
      <c r="S88" s="74" t="str">
        <f t="shared" ref="S88:S99" si="75">IF(N88="-","KEIN LIEFERUMFANG",IF(AND(N88&lt;=S$3,O88=""),"AKTUELL",IF(O88=N88,"KEIN SERIENEINSATZ",IF(N88&gt;S$3,"NOCH NICHT AKTUELL",IF(AND(N88&lt;S$3,O88&lt;S$3),"NICHT AKTUELL",IF(N88&lt;=S$3,"AKTUELL"))))))</f>
        <v>AKTUELL</v>
      </c>
      <c r="T88" s="74"/>
      <c r="U88" s="74"/>
      <c r="V88" s="74"/>
      <c r="W88" s="83">
        <v>2.0000000000000001E-4</v>
      </c>
      <c r="X88" s="5"/>
      <c r="Y88" s="5" t="s">
        <v>0</v>
      </c>
      <c r="Z88" s="5" t="s">
        <v>18</v>
      </c>
      <c r="AA88" s="5" t="s">
        <v>0</v>
      </c>
      <c r="AB88" s="5"/>
      <c r="AC88" s="6"/>
      <c r="AD88" s="6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</row>
    <row r="89" spans="1:248" s="3" customFormat="1" ht="15" customHeight="1">
      <c r="A89" s="71" t="s">
        <v>93</v>
      </c>
      <c r="B89" s="5" t="s">
        <v>42</v>
      </c>
      <c r="C89" s="5"/>
      <c r="D89" s="11"/>
      <c r="E89" s="94" t="str">
        <f t="shared" si="71"/>
        <v xml:space="preserve">                 </v>
      </c>
      <c r="F89" s="72" t="str">
        <f t="shared" si="72"/>
        <v>9J1_974_261</v>
      </c>
      <c r="G89" s="73">
        <f>IF(LEN(Q89)=11,0,MID(Q89,13,2))</f>
        <v>0</v>
      </c>
      <c r="H89" s="72" t="str">
        <f t="shared" si="73"/>
        <v>1J219J1261</v>
      </c>
      <c r="I89" s="72" t="str">
        <f t="shared" si="74"/>
        <v>00</v>
      </c>
      <c r="J89" s="78" t="s">
        <v>60</v>
      </c>
      <c r="K89" s="11"/>
      <c r="L89" s="3" t="s">
        <v>80</v>
      </c>
      <c r="M89" s="8"/>
      <c r="N89" s="9"/>
      <c r="O89" s="57">
        <v>1932</v>
      </c>
      <c r="P89" s="9"/>
      <c r="Q89" s="5" t="s">
        <v>43</v>
      </c>
      <c r="R89" s="72" t="str">
        <f t="shared" si="29"/>
        <v>1J219J126100B</v>
      </c>
      <c r="S89" s="74" t="str">
        <f t="shared" si="75"/>
        <v>NICHT AKTUELL</v>
      </c>
      <c r="T89" s="74"/>
      <c r="U89" s="74"/>
      <c r="V89" s="74"/>
      <c r="W89" s="83">
        <v>0.34</v>
      </c>
      <c r="X89" s="5"/>
      <c r="Y89" s="5" t="s">
        <v>0</v>
      </c>
      <c r="Z89" s="5" t="s">
        <v>18</v>
      </c>
      <c r="AA89" s="5" t="s">
        <v>0</v>
      </c>
      <c r="AB89" s="5"/>
      <c r="AC89" s="6"/>
      <c r="AD89" s="6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</row>
    <row r="90" spans="1:248" s="3" customFormat="1" ht="15" customHeight="1">
      <c r="A90" s="71" t="s">
        <v>93</v>
      </c>
      <c r="B90" s="5" t="s">
        <v>42</v>
      </c>
      <c r="C90" s="5"/>
      <c r="D90" s="11"/>
      <c r="E90" s="94" t="str">
        <f>CONCATENATE(IF(AC90&gt;0,$AC$1," ")," ",IF(AD90&gt;0,$AD$1," ")," ",IF(AE90&gt;0,$AE$1," ")," ",IF(AF90&gt;0,$AF$1," ")," ",IF(AG90&gt;0,$AG$1," ")," ",IF(AH90&gt;0,$AH$1," ")," ",IF(AI90&gt;0,$AI$1," ")," ",IF(AJ90&gt;0,$AJ$1," ")," ",IF(AK90&gt;0,$AK$1," "))</f>
        <v xml:space="preserve">                 </v>
      </c>
      <c r="F90" s="72" t="str">
        <f>LEFT(Q90,11)</f>
        <v>9J1_974_261</v>
      </c>
      <c r="G90" s="73">
        <f>IF(LEN(Q90)=11,0,MID(Q90,13,2))</f>
        <v>0</v>
      </c>
      <c r="H90" s="72" t="str">
        <f>CONCATENATE(IF(MID(Q90,5,3)="974","1J21"),LEFT(F90,3),RIGHT(F90,3))</f>
        <v>1J219J1261</v>
      </c>
      <c r="I90" s="72" t="str">
        <f>IF(G90=0,"00",IF(LEN(G90)=1,CONCATENATE(G90,0),G90))</f>
        <v>00</v>
      </c>
      <c r="J90" s="78" t="s">
        <v>60</v>
      </c>
      <c r="K90" s="11"/>
      <c r="L90" s="3" t="s">
        <v>159</v>
      </c>
      <c r="M90" s="8">
        <v>6029</v>
      </c>
      <c r="N90" s="9">
        <v>1933</v>
      </c>
      <c r="O90" s="57"/>
      <c r="P90" s="9" t="s">
        <v>157</v>
      </c>
      <c r="Q90" s="5" t="s">
        <v>43</v>
      </c>
      <c r="R90" s="72" t="str">
        <f t="shared" si="29"/>
        <v>1J219J126100B</v>
      </c>
      <c r="S90" s="74" t="str">
        <f>IF(N90="-","KEIN LIEFERUMFANG",IF(AND(N90&lt;=S$3,O90=""),"AKTUELL",IF(O90=N90,"KEIN SERIENEINSATZ",IF(N90&gt;S$3,"NOCH NICHT AKTUELL",IF(AND(N90&lt;S$3,O90&lt;S$3),"NICHT AKTUELL",IF(N90&lt;=S$3,"AKTUELL"))))))</f>
        <v>AKTUELL</v>
      </c>
      <c r="T90" s="74"/>
      <c r="U90" s="74"/>
      <c r="V90" s="74"/>
      <c r="W90" s="83">
        <v>0.34</v>
      </c>
      <c r="X90" s="5"/>
      <c r="Y90" s="5" t="s">
        <v>0</v>
      </c>
      <c r="Z90" s="5" t="s">
        <v>18</v>
      </c>
      <c r="AA90" s="5" t="s">
        <v>0</v>
      </c>
      <c r="AB90" s="5"/>
      <c r="AC90" s="6"/>
      <c r="AD90" s="6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</row>
    <row r="91" spans="1:248" s="3" customFormat="1" ht="15" customHeight="1">
      <c r="A91" s="71" t="s">
        <v>93</v>
      </c>
      <c r="B91" s="5" t="s">
        <v>11</v>
      </c>
      <c r="C91" s="5"/>
      <c r="D91" s="11"/>
      <c r="E91" s="94" t="str">
        <f t="shared" si="71"/>
        <v xml:space="preserve">                 </v>
      </c>
      <c r="F91" s="72" t="str">
        <f t="shared" si="72"/>
        <v>9J1_974_267</v>
      </c>
      <c r="G91" s="73">
        <f>IF(LEN(Q91)=11,0,MID(Q91,13,2))</f>
        <v>0</v>
      </c>
      <c r="H91" s="72" t="str">
        <f t="shared" si="73"/>
        <v>1J219J1267</v>
      </c>
      <c r="I91" s="72" t="str">
        <f t="shared" si="74"/>
        <v>00</v>
      </c>
      <c r="J91" s="78" t="s">
        <v>60</v>
      </c>
      <c r="K91" s="11"/>
      <c r="L91" s="3" t="s">
        <v>56</v>
      </c>
      <c r="M91" s="8"/>
      <c r="N91" s="9"/>
      <c r="O91" s="57"/>
      <c r="P91" s="9"/>
      <c r="Q91" s="5" t="s">
        <v>44</v>
      </c>
      <c r="R91" s="72" t="str">
        <f t="shared" si="29"/>
        <v>1J219J126700B</v>
      </c>
      <c r="S91" s="74" t="str">
        <f t="shared" si="75"/>
        <v>AKTUELL</v>
      </c>
      <c r="T91" s="74"/>
      <c r="U91" s="74"/>
      <c r="V91" s="74"/>
      <c r="W91" s="83">
        <v>0.56020000000000003</v>
      </c>
      <c r="X91" s="5"/>
      <c r="Y91" s="5" t="s">
        <v>0</v>
      </c>
      <c r="Z91" s="5" t="s">
        <v>18</v>
      </c>
      <c r="AA91" s="5" t="s">
        <v>0</v>
      </c>
      <c r="AB91" s="5"/>
      <c r="AC91" s="6"/>
      <c r="AD91" s="6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</row>
    <row r="92" spans="1:248" s="108" customFormat="1" ht="15" customHeight="1">
      <c r="A92" s="104" t="s">
        <v>93</v>
      </c>
      <c r="B92" s="89" t="s">
        <v>196</v>
      </c>
      <c r="C92" s="89"/>
      <c r="D92" s="90"/>
      <c r="E92" s="105"/>
      <c r="F92" s="106" t="s">
        <v>197</v>
      </c>
      <c r="G92" s="107" t="s">
        <v>59</v>
      </c>
      <c r="H92" s="106" t="s">
        <v>198</v>
      </c>
      <c r="I92" s="106" t="s">
        <v>135</v>
      </c>
      <c r="J92" s="103" t="s">
        <v>59</v>
      </c>
      <c r="K92" s="90"/>
      <c r="L92" s="108" t="s">
        <v>71</v>
      </c>
      <c r="M92" s="88">
        <v>7008.7012999999997</v>
      </c>
      <c r="N92" s="109">
        <v>2048</v>
      </c>
      <c r="O92" s="110">
        <v>2048</v>
      </c>
      <c r="P92" s="109"/>
      <c r="Q92" s="89" t="s">
        <v>194</v>
      </c>
      <c r="R92" s="106" t="s">
        <v>199</v>
      </c>
      <c r="S92" s="111" t="s">
        <v>200</v>
      </c>
      <c r="T92" s="111"/>
      <c r="U92" s="111"/>
      <c r="V92" s="111"/>
      <c r="W92" s="112">
        <v>0</v>
      </c>
      <c r="X92" s="89"/>
      <c r="Y92" s="89" t="s">
        <v>0</v>
      </c>
      <c r="Z92" s="89" t="s">
        <v>18</v>
      </c>
      <c r="AA92" s="89" t="s">
        <v>0</v>
      </c>
      <c r="AB92" s="89"/>
      <c r="AC92" s="91"/>
      <c r="AD92" s="91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  <c r="BT92" s="89"/>
      <c r="BU92" s="89"/>
      <c r="BV92" s="89"/>
      <c r="BW92" s="89"/>
      <c r="BX92" s="89"/>
      <c r="BY92" s="89"/>
      <c r="BZ92" s="89"/>
      <c r="CA92" s="89"/>
      <c r="CB92" s="89"/>
      <c r="CC92" s="89"/>
      <c r="CD92" s="89"/>
      <c r="CE92" s="89"/>
      <c r="CF92" s="89"/>
      <c r="CG92" s="89"/>
      <c r="CH92" s="89"/>
      <c r="CI92" s="89"/>
      <c r="CJ92" s="89"/>
      <c r="CK92" s="89"/>
      <c r="CL92" s="89"/>
      <c r="CM92" s="89"/>
      <c r="CN92" s="89"/>
      <c r="CO92" s="89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  <c r="DC92" s="89"/>
      <c r="DD92" s="89"/>
      <c r="DE92" s="89"/>
      <c r="DF92" s="89"/>
      <c r="DG92" s="89"/>
      <c r="DH92" s="89"/>
      <c r="DI92" s="89"/>
      <c r="DJ92" s="89"/>
      <c r="DK92" s="89"/>
      <c r="DL92" s="89"/>
      <c r="DM92" s="89"/>
      <c r="DN92" s="89"/>
      <c r="DO92" s="89"/>
      <c r="DP92" s="89"/>
      <c r="DQ92" s="89"/>
      <c r="DR92" s="89"/>
      <c r="DS92" s="89"/>
      <c r="DT92" s="89"/>
      <c r="DU92" s="89"/>
      <c r="DV92" s="89"/>
      <c r="DW92" s="89"/>
      <c r="DX92" s="89"/>
      <c r="DY92" s="89"/>
      <c r="DZ92" s="89"/>
      <c r="EA92" s="89"/>
      <c r="EB92" s="89"/>
      <c r="EC92" s="89"/>
      <c r="ED92" s="89"/>
      <c r="EE92" s="89"/>
      <c r="EF92" s="89"/>
      <c r="EG92" s="89"/>
      <c r="EH92" s="89"/>
      <c r="EI92" s="89"/>
      <c r="EJ92" s="89"/>
      <c r="EK92" s="89"/>
      <c r="EL92" s="89"/>
      <c r="EM92" s="89"/>
      <c r="EN92" s="89"/>
      <c r="EO92" s="89"/>
      <c r="EP92" s="89"/>
      <c r="EQ92" s="89"/>
      <c r="ER92" s="89"/>
      <c r="ES92" s="89"/>
      <c r="ET92" s="89"/>
      <c r="EU92" s="89"/>
      <c r="EV92" s="89"/>
      <c r="EW92" s="89"/>
      <c r="EX92" s="89"/>
      <c r="EY92" s="89"/>
      <c r="EZ92" s="89"/>
      <c r="FA92" s="89"/>
      <c r="FB92" s="89"/>
      <c r="FC92" s="89"/>
      <c r="FD92" s="89"/>
      <c r="FE92" s="89"/>
      <c r="FF92" s="89"/>
      <c r="FG92" s="89"/>
      <c r="FH92" s="89"/>
      <c r="FI92" s="89"/>
      <c r="FJ92" s="89"/>
      <c r="FK92" s="89"/>
      <c r="FL92" s="89"/>
      <c r="FM92" s="89"/>
      <c r="FN92" s="89"/>
      <c r="FO92" s="89"/>
      <c r="FP92" s="89"/>
      <c r="FQ92" s="89"/>
      <c r="FR92" s="89"/>
      <c r="FS92" s="89"/>
      <c r="FT92" s="89"/>
      <c r="FU92" s="89"/>
      <c r="FV92" s="89"/>
      <c r="FW92" s="89"/>
      <c r="FX92" s="89"/>
      <c r="FY92" s="89"/>
      <c r="FZ92" s="89"/>
      <c r="GA92" s="89"/>
      <c r="GB92" s="89"/>
      <c r="GC92" s="89"/>
      <c r="GD92" s="89"/>
      <c r="GE92" s="89"/>
      <c r="GF92" s="89"/>
      <c r="GG92" s="89"/>
      <c r="GH92" s="89"/>
      <c r="GI92" s="89"/>
      <c r="GJ92" s="89"/>
      <c r="GK92" s="89"/>
      <c r="GL92" s="89"/>
      <c r="GM92" s="89"/>
      <c r="GN92" s="89"/>
      <c r="GO92" s="89"/>
      <c r="GP92" s="89"/>
      <c r="GQ92" s="89"/>
      <c r="GR92" s="89"/>
      <c r="GS92" s="89"/>
      <c r="GT92" s="89"/>
      <c r="GU92" s="89"/>
      <c r="GV92" s="89"/>
      <c r="GW92" s="89"/>
      <c r="GX92" s="89"/>
      <c r="GY92" s="89"/>
      <c r="GZ92" s="89"/>
      <c r="HA92" s="89"/>
      <c r="HB92" s="89"/>
      <c r="HC92" s="89"/>
      <c r="HD92" s="89"/>
      <c r="HE92" s="89"/>
      <c r="HF92" s="89"/>
      <c r="HG92" s="89"/>
      <c r="HH92" s="89"/>
      <c r="HI92" s="89"/>
      <c r="HJ92" s="89"/>
      <c r="HK92" s="89"/>
      <c r="HL92" s="89"/>
      <c r="HM92" s="89"/>
      <c r="HN92" s="89"/>
      <c r="HO92" s="89"/>
      <c r="HP92" s="89"/>
      <c r="HQ92" s="89"/>
      <c r="HR92" s="89"/>
      <c r="HS92" s="89"/>
      <c r="HT92" s="89"/>
      <c r="HU92" s="89"/>
      <c r="HV92" s="89"/>
      <c r="HW92" s="89"/>
      <c r="HX92" s="89"/>
      <c r="HY92" s="89"/>
      <c r="HZ92" s="89"/>
      <c r="IA92" s="89"/>
      <c r="IB92" s="89"/>
      <c r="IC92" s="89"/>
      <c r="ID92" s="89"/>
      <c r="IE92" s="89"/>
      <c r="IF92" s="89"/>
      <c r="IG92" s="89"/>
      <c r="IH92" s="89"/>
      <c r="II92" s="89"/>
      <c r="IJ92" s="89"/>
      <c r="IK92" s="89"/>
      <c r="IL92" s="89"/>
      <c r="IM92" s="89"/>
      <c r="IN92" s="89"/>
    </row>
    <row r="93" spans="1:248" s="17" customFormat="1" ht="15" customHeight="1">
      <c r="A93" s="113" t="s">
        <v>93</v>
      </c>
      <c r="B93" s="18" t="s">
        <v>196</v>
      </c>
      <c r="C93" s="18"/>
      <c r="D93" s="19"/>
      <c r="E93" s="114"/>
      <c r="F93" s="115" t="s">
        <v>201</v>
      </c>
      <c r="G93" s="116" t="s">
        <v>59</v>
      </c>
      <c r="H93" s="115" t="s">
        <v>202</v>
      </c>
      <c r="I93" s="115" t="s">
        <v>135</v>
      </c>
      <c r="J93" s="121" t="s">
        <v>59</v>
      </c>
      <c r="K93" s="19"/>
      <c r="L93" s="17" t="s">
        <v>71</v>
      </c>
      <c r="M93" s="21">
        <v>7013</v>
      </c>
      <c r="N93" s="117">
        <v>2048</v>
      </c>
      <c r="O93" s="118"/>
      <c r="P93" s="117"/>
      <c r="Q93" s="22" t="s">
        <v>195</v>
      </c>
      <c r="R93" s="115" t="s">
        <v>203</v>
      </c>
      <c r="S93" s="119" t="s">
        <v>200</v>
      </c>
      <c r="T93" s="119"/>
      <c r="U93" s="119"/>
      <c r="V93" s="119"/>
      <c r="W93" s="120">
        <v>0</v>
      </c>
      <c r="X93" s="18"/>
      <c r="Y93" s="18" t="s">
        <v>0</v>
      </c>
      <c r="Z93" s="18" t="s">
        <v>18</v>
      </c>
      <c r="AA93" s="18" t="s">
        <v>0</v>
      </c>
      <c r="AB93" s="18"/>
      <c r="AC93" s="20"/>
      <c r="AD93" s="20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</row>
    <row r="94" spans="1:248" s="3" customFormat="1" ht="15" customHeight="1">
      <c r="A94" s="71" t="s">
        <v>93</v>
      </c>
      <c r="B94" s="3" t="s">
        <v>65</v>
      </c>
      <c r="C94" s="5"/>
      <c r="D94" s="11"/>
      <c r="E94" s="94" t="str">
        <f>CONCATENATE(IF(AC94&gt;0,$AC$1," ")," ",IF(AD94&gt;0,$AD$1," ")," ",IF(AE94&gt;0,$AE$1," ")," ",IF(AF94&gt;0,$AF$1," ")," ",IF(AG94&gt;0,$AG$1," ")," ",IF(AH94&gt;0,$AH$1," ")," ",IF(AI94&gt;0,$AI$1," ")," ",IF(AJ94&gt;0,$AJ$1," ")," ",IF(AK94&gt;0,$AK$1," "))</f>
        <v xml:space="preserve">    VT04            </v>
      </c>
      <c r="F94" s="72" t="str">
        <f t="shared" si="72"/>
        <v>9J1_974_321</v>
      </c>
      <c r="G94" s="73">
        <v>0</v>
      </c>
      <c r="H94" s="72" t="str">
        <f t="shared" si="73"/>
        <v>1J219J1321</v>
      </c>
      <c r="I94" s="72" t="str">
        <f t="shared" si="74"/>
        <v>00</v>
      </c>
      <c r="J94" s="78" t="s">
        <v>92</v>
      </c>
      <c r="K94" s="11"/>
      <c r="L94" s="5" t="s">
        <v>67</v>
      </c>
      <c r="M94" s="8">
        <v>6015</v>
      </c>
      <c r="N94" s="9"/>
      <c r="O94" s="57">
        <v>1917</v>
      </c>
      <c r="P94" s="9"/>
      <c r="Q94" s="5" t="s">
        <v>66</v>
      </c>
      <c r="R94" s="72" t="str">
        <f t="shared" si="29"/>
        <v>1J219J132100C</v>
      </c>
      <c r="S94" s="75" t="str">
        <f t="shared" si="75"/>
        <v>NICHT AKTUELL</v>
      </c>
      <c r="T94" s="74"/>
      <c r="U94" s="74"/>
      <c r="V94" s="74"/>
      <c r="W94" s="83">
        <v>0.70830000000000004</v>
      </c>
      <c r="X94" s="5"/>
      <c r="Y94" s="5" t="s">
        <v>18</v>
      </c>
      <c r="Z94" s="5" t="s">
        <v>18</v>
      </c>
      <c r="AA94" s="5" t="s">
        <v>0</v>
      </c>
      <c r="AB94" s="5"/>
      <c r="AC94" s="6"/>
      <c r="AD94" s="6"/>
      <c r="AE94" s="14" t="s">
        <v>107</v>
      </c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</row>
    <row r="95" spans="1:248" s="3" customFormat="1" ht="15" customHeight="1">
      <c r="A95" s="71" t="s">
        <v>93</v>
      </c>
      <c r="B95" s="3" t="s">
        <v>65</v>
      </c>
      <c r="C95" s="5"/>
      <c r="D95" s="11"/>
      <c r="E95" s="94" t="str">
        <f>CONCATENATE(IF(AC95&gt;0,$AC$1," ")," ",IF(AD95&gt;0,$AD$1," ")," ",IF(AE95&gt;0,$AE$1," ")," ",IF(AF95&gt;0,$AF$1," ")," ",IF(AG95&gt;0,$AG$1," ")," ",IF(AH95&gt;0,$AH$1," ")," ",IF(AI95&gt;0,$AI$1," ")," ",IF(AJ95&gt;0,$AJ$1," ")," ",IF(AK95&gt;0,$AK$1," "))</f>
        <v xml:space="preserve">    VT04            </v>
      </c>
      <c r="F95" s="72" t="str">
        <f>LEFT(Q95,11)</f>
        <v>9J1_974_321</v>
      </c>
      <c r="G95" s="73">
        <v>0</v>
      </c>
      <c r="H95" s="72" t="str">
        <f t="shared" si="73"/>
        <v>1J219J1321</v>
      </c>
      <c r="I95" s="72" t="str">
        <f>IF(G95=0,"00",IF(LEN(G95)=1,CONCATENATE(G95,0),G95))</f>
        <v>00</v>
      </c>
      <c r="J95" s="7" t="s">
        <v>103</v>
      </c>
      <c r="K95" s="11"/>
      <c r="L95" s="5" t="s">
        <v>67</v>
      </c>
      <c r="M95" s="8">
        <v>6015</v>
      </c>
      <c r="N95" s="85">
        <v>1918</v>
      </c>
      <c r="O95" s="57"/>
      <c r="P95" s="9" t="s">
        <v>145</v>
      </c>
      <c r="Q95" s="5" t="s">
        <v>66</v>
      </c>
      <c r="R95" s="72" t="str">
        <f>IF(J95&lt;&gt;"",CONCATENATE(H95,I95,J95),CONCATENATE(H95,I95,#REF!))</f>
        <v>1J219J132100D</v>
      </c>
      <c r="S95" s="75" t="str">
        <f t="shared" si="75"/>
        <v>AKTUELL</v>
      </c>
      <c r="T95" s="74"/>
      <c r="U95" s="74"/>
      <c r="V95" s="74"/>
      <c r="W95" s="83">
        <v>0.70830000000000004</v>
      </c>
      <c r="X95" s="5"/>
      <c r="Y95" s="5" t="s">
        <v>18</v>
      </c>
      <c r="Z95" s="5" t="s">
        <v>18</v>
      </c>
      <c r="AA95" s="5" t="s">
        <v>0</v>
      </c>
      <c r="AB95" s="5"/>
      <c r="AC95" s="6"/>
      <c r="AD95" s="6"/>
      <c r="AE95" s="14" t="s">
        <v>155</v>
      </c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</row>
    <row r="96" spans="1:248" s="16" customFormat="1" ht="15" customHeight="1">
      <c r="A96" s="71" t="s">
        <v>93</v>
      </c>
      <c r="B96" s="5" t="s">
        <v>12</v>
      </c>
      <c r="C96" s="5"/>
      <c r="D96" s="11"/>
      <c r="E96" s="94" t="str">
        <f t="shared" si="71"/>
        <v xml:space="preserve">                 </v>
      </c>
      <c r="F96" s="72" t="str">
        <f t="shared" si="72"/>
        <v>9J1_974_325</v>
      </c>
      <c r="G96" s="73">
        <f t="shared" ref="G96:G101" si="76">IF(LEN(Q96)=11,0,MID(Q96,13,2))</f>
        <v>0</v>
      </c>
      <c r="H96" s="72" t="str">
        <f t="shared" si="73"/>
        <v>1J219J1325</v>
      </c>
      <c r="I96" s="72" t="str">
        <f t="shared" si="74"/>
        <v>00</v>
      </c>
      <c r="J96" s="78" t="s">
        <v>60</v>
      </c>
      <c r="K96" s="11"/>
      <c r="L96" s="5" t="s">
        <v>61</v>
      </c>
      <c r="M96" s="8"/>
      <c r="N96" s="9"/>
      <c r="O96" s="57"/>
      <c r="P96" s="9"/>
      <c r="Q96" s="5" t="s">
        <v>45</v>
      </c>
      <c r="R96" s="72" t="str">
        <f>IF(J96&lt;&gt;"",CONCATENATE(H96,I96,J96),CONCATENATE(H96,I96,K96))</f>
        <v>1J219J132500B</v>
      </c>
      <c r="S96" s="74" t="str">
        <f t="shared" si="75"/>
        <v>AKTUELL</v>
      </c>
      <c r="T96" s="74"/>
      <c r="U96" s="74"/>
      <c r="V96" s="74"/>
      <c r="W96" s="83">
        <v>0.32469999999999999</v>
      </c>
      <c r="X96" s="5"/>
      <c r="Y96" s="5" t="s">
        <v>0</v>
      </c>
      <c r="Z96" s="5" t="s">
        <v>18</v>
      </c>
      <c r="AA96" s="5" t="s">
        <v>0</v>
      </c>
      <c r="AB96" s="5"/>
      <c r="AC96" s="6"/>
      <c r="AD96" s="6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</row>
    <row r="97" spans="1:248" s="16" customFormat="1" ht="15" customHeight="1">
      <c r="A97" s="71" t="s">
        <v>93</v>
      </c>
      <c r="B97" s="5" t="s">
        <v>12</v>
      </c>
      <c r="C97" s="5"/>
      <c r="D97" s="11"/>
      <c r="E97" s="94" t="str">
        <f t="shared" si="71"/>
        <v xml:space="preserve">                 </v>
      </c>
      <c r="F97" s="72" t="str">
        <f t="shared" si="72"/>
        <v>9J1_974_327</v>
      </c>
      <c r="G97" s="73">
        <f t="shared" si="76"/>
        <v>0</v>
      </c>
      <c r="H97" s="72" t="str">
        <f t="shared" si="73"/>
        <v>1J219J1327</v>
      </c>
      <c r="I97" s="72" t="str">
        <f t="shared" si="74"/>
        <v>00</v>
      </c>
      <c r="J97" s="78" t="s">
        <v>60</v>
      </c>
      <c r="K97" s="11"/>
      <c r="L97" s="5" t="s">
        <v>14</v>
      </c>
      <c r="M97" s="8"/>
      <c r="N97" s="9"/>
      <c r="O97" s="57"/>
      <c r="P97" s="9"/>
      <c r="Q97" s="5" t="s">
        <v>46</v>
      </c>
      <c r="R97" s="72" t="str">
        <f>IF(J97&lt;&gt;"",CONCATENATE(H97,I97,J97),CONCATENATE(H97,I97,K97))</f>
        <v>1J219J132700B</v>
      </c>
      <c r="S97" s="74" t="str">
        <f t="shared" si="75"/>
        <v>AKTUELL</v>
      </c>
      <c r="T97" s="74"/>
      <c r="U97" s="74"/>
      <c r="V97" s="74"/>
      <c r="W97" s="83">
        <v>4.5100000000000001E-2</v>
      </c>
      <c r="X97" s="5"/>
      <c r="Y97" s="5" t="s">
        <v>0</v>
      </c>
      <c r="Z97" s="5" t="s">
        <v>18</v>
      </c>
      <c r="AA97" s="5" t="s">
        <v>0</v>
      </c>
      <c r="AB97" s="5"/>
      <c r="AC97" s="6"/>
      <c r="AD97" s="6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</row>
    <row r="98" spans="1:248" s="16" customFormat="1" ht="15" customHeight="1">
      <c r="A98" s="71" t="s">
        <v>93</v>
      </c>
      <c r="B98" s="5" t="s">
        <v>12</v>
      </c>
      <c r="C98" s="5"/>
      <c r="D98" s="11"/>
      <c r="E98" s="94" t="str">
        <f t="shared" si="71"/>
        <v xml:space="preserve">                 </v>
      </c>
      <c r="F98" s="72" t="str">
        <f t="shared" si="72"/>
        <v>9J1_974_328</v>
      </c>
      <c r="G98" s="73">
        <f t="shared" si="76"/>
        <v>0</v>
      </c>
      <c r="H98" s="72" t="str">
        <f t="shared" si="73"/>
        <v>1J219J1328</v>
      </c>
      <c r="I98" s="72" t="str">
        <f t="shared" si="74"/>
        <v>00</v>
      </c>
      <c r="J98" s="78" t="s">
        <v>60</v>
      </c>
      <c r="K98" s="11"/>
      <c r="L98" s="5" t="s">
        <v>48</v>
      </c>
      <c r="M98" s="8"/>
      <c r="N98" s="9"/>
      <c r="O98" s="57"/>
      <c r="P98" s="9"/>
      <c r="Q98" s="5" t="s">
        <v>47</v>
      </c>
      <c r="R98" s="72" t="str">
        <f>IF(J98&lt;&gt;"",CONCATENATE(H98,I98,J98),CONCATENATE(H98,I98,K98))</f>
        <v>1J219J132800B</v>
      </c>
      <c r="S98" s="74" t="str">
        <f t="shared" si="75"/>
        <v>AKTUELL</v>
      </c>
      <c r="T98" s="74"/>
      <c r="U98" s="74"/>
      <c r="V98" s="74"/>
      <c r="W98" s="83">
        <v>0.4556</v>
      </c>
      <c r="X98" s="5"/>
      <c r="Y98" s="5" t="s">
        <v>0</v>
      </c>
      <c r="Z98" s="5" t="s">
        <v>18</v>
      </c>
      <c r="AA98" s="5" t="s">
        <v>0</v>
      </c>
      <c r="AB98" s="5"/>
      <c r="AC98" s="6"/>
      <c r="AD98" s="6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</row>
    <row r="99" spans="1:248" s="16" customFormat="1" ht="15" customHeight="1">
      <c r="A99" s="71" t="s">
        <v>93</v>
      </c>
      <c r="B99" s="5" t="s">
        <v>49</v>
      </c>
      <c r="C99" s="5"/>
      <c r="D99" s="11" t="s">
        <v>18</v>
      </c>
      <c r="E99" s="94" t="str">
        <f t="shared" si="71"/>
        <v xml:space="preserve">                 </v>
      </c>
      <c r="F99" s="72" t="str">
        <f t="shared" si="72"/>
        <v>9J1_974_329</v>
      </c>
      <c r="G99" s="73">
        <f t="shared" si="76"/>
        <v>0</v>
      </c>
      <c r="H99" s="72" t="str">
        <f t="shared" si="73"/>
        <v>1J219J1329</v>
      </c>
      <c r="I99" s="72" t="str">
        <f t="shared" si="74"/>
        <v>00</v>
      </c>
      <c r="J99" s="78" t="s">
        <v>60</v>
      </c>
      <c r="K99" s="11"/>
      <c r="L99" s="5" t="s">
        <v>51</v>
      </c>
      <c r="M99" s="8"/>
      <c r="N99" s="9"/>
      <c r="O99" s="57">
        <v>2024</v>
      </c>
      <c r="P99" s="9"/>
      <c r="Q99" s="5" t="s">
        <v>50</v>
      </c>
      <c r="R99" s="72" t="str">
        <f>IF(J99&lt;&gt;"",CONCATENATE(H99,I99,J99),CONCATENATE(H99,I99,K99))</f>
        <v>1J219J132900B</v>
      </c>
      <c r="S99" s="74" t="str">
        <f t="shared" si="75"/>
        <v>NICHT AKTUELL</v>
      </c>
      <c r="T99" s="74"/>
      <c r="U99" s="74"/>
      <c r="V99" s="74"/>
      <c r="W99" s="83">
        <v>0.85</v>
      </c>
      <c r="X99" s="5"/>
      <c r="Y99" s="5" t="s">
        <v>0</v>
      </c>
      <c r="Z99" s="5" t="s">
        <v>18</v>
      </c>
      <c r="AA99" s="5" t="s">
        <v>0</v>
      </c>
      <c r="AB99" s="5"/>
      <c r="AC99" s="6"/>
      <c r="AD99" s="6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</row>
    <row r="100" spans="1:248" s="16" customFormat="1" ht="15" customHeight="1">
      <c r="A100" s="71" t="s">
        <v>93</v>
      </c>
      <c r="B100" s="5" t="s">
        <v>49</v>
      </c>
      <c r="C100" s="5"/>
      <c r="D100" s="11" t="s">
        <v>18</v>
      </c>
      <c r="E100" s="94" t="str">
        <f t="shared" ref="E100" si="77">CONCATENATE(IF(AC100&gt;0,$AC$1," ")," ",IF(AD100&gt;0,$AD$1," ")," ",IF(AE100&gt;0,$AE$1," ")," ",IF(AF100&gt;0,$AF$1," ")," ",IF(AG100&gt;0,$AG$1," ")," ",IF(AH100&gt;0,$AH$1," ")," ",IF(AI100&gt;0,$AI$1," ")," ",IF(AJ100&gt;0,$AJ$1," ")," ",IF(AK100&gt;0,$AK$1," "))</f>
        <v xml:space="preserve">                 </v>
      </c>
      <c r="F100" s="72" t="str">
        <f t="shared" ref="F100" si="78">LEFT(Q100,11)</f>
        <v>9J1_974_329</v>
      </c>
      <c r="G100" s="73">
        <f t="shared" si="76"/>
        <v>0</v>
      </c>
      <c r="H100" s="72" t="str">
        <f t="shared" ref="H100" si="79">CONCATENATE(IF(MID(Q100,5,3)="974","1J21"),LEFT(F100,3),RIGHT(F100,3))</f>
        <v>1J219J1329</v>
      </c>
      <c r="I100" s="72" t="str">
        <f t="shared" ref="I100" si="80">IF(G100=0,"00",IF(LEN(G100)=1,CONCATENATE(G100,0),G100))</f>
        <v>00</v>
      </c>
      <c r="J100" s="78"/>
      <c r="K100" s="11" t="s">
        <v>92</v>
      </c>
      <c r="L100" s="5" t="s">
        <v>51</v>
      </c>
      <c r="M100" s="8">
        <v>6614</v>
      </c>
      <c r="N100" s="9">
        <v>2025</v>
      </c>
      <c r="O100" s="57"/>
      <c r="P100" s="9"/>
      <c r="Q100" s="5" t="s">
        <v>50</v>
      </c>
      <c r="R100" s="72" t="str">
        <f>IF(J100&lt;&gt;"",CONCATENATE(H100,I100,J100),CONCATENATE(H100,I100,K100))</f>
        <v>1J219J132900C</v>
      </c>
      <c r="S100" s="74" t="str">
        <f t="shared" ref="S100" si="81">IF(N100="-","KEIN LIEFERUMFANG",IF(AND(N100&lt;=S$3,O100=""),"AKTUELL",IF(O100=N100,"KEIN SERIENEINSATZ",IF(N100&gt;S$3,"NOCH NICHT AKTUELL",IF(AND(N100&lt;S$3,O100&lt;S$3),"NICHT AKTUELL",IF(N100&lt;=S$3,"AKTUELL"))))))</f>
        <v>AKTUELL</v>
      </c>
      <c r="T100" s="74"/>
      <c r="U100" s="74"/>
      <c r="V100" s="74"/>
      <c r="W100" s="83">
        <v>0.85</v>
      </c>
      <c r="X100" s="5"/>
      <c r="Y100" s="5" t="s">
        <v>0</v>
      </c>
      <c r="Z100" s="5" t="s">
        <v>18</v>
      </c>
      <c r="AA100" s="5" t="s">
        <v>0</v>
      </c>
      <c r="AB100" s="5"/>
      <c r="AC100" s="6"/>
      <c r="AD100" s="6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</row>
    <row r="101" spans="1:248" s="16" customFormat="1" ht="15" customHeight="1">
      <c r="A101" s="71" t="s">
        <v>93</v>
      </c>
      <c r="B101" s="5" t="s">
        <v>5</v>
      </c>
      <c r="C101" s="5"/>
      <c r="D101" s="11" t="s">
        <v>18</v>
      </c>
      <c r="E101" s="94" t="str">
        <f>CONCATENATE(IF(AC101&gt;0,$AC$1," ")," ",IF(AD101&gt;0,$AD$1," ")," ",IF(AE101&gt;0,$AE$1," ")," ",IF(AF101&gt;0,$AF$1," ")," ",IF(AG101&gt;0,$AG$1," ")," ",IF(AH101&gt;0,$AH$1," ")," ",IF(AI101&gt;0,$AI$1," ")," ",IF(AJ101&gt;0,$AJ$1," ")," ",IF(AK101&gt;0,$AK$1," "))</f>
        <v xml:space="preserve">                 </v>
      </c>
      <c r="F101" s="72" t="str">
        <f t="shared" si="72"/>
        <v>9J1_974_412</v>
      </c>
      <c r="G101" s="73">
        <f t="shared" si="76"/>
        <v>0</v>
      </c>
      <c r="H101" s="72" t="str">
        <f t="shared" ref="H101:H112" si="82">CONCATENATE(IF(MID(Q101,5,3)="974","1J21"),LEFT(F101,3),RIGHT(F101,3))</f>
        <v>1J219J1412</v>
      </c>
      <c r="I101" s="72" t="str">
        <f t="shared" si="74"/>
        <v>00</v>
      </c>
      <c r="J101" s="78" t="s">
        <v>103</v>
      </c>
      <c r="K101" s="11"/>
      <c r="L101" s="3" t="s">
        <v>77</v>
      </c>
      <c r="M101" s="8"/>
      <c r="N101" s="9"/>
      <c r="O101" s="57">
        <v>1917</v>
      </c>
      <c r="P101" s="9"/>
      <c r="Q101" s="5" t="s">
        <v>52</v>
      </c>
      <c r="R101" s="72" t="str">
        <f t="shared" ref="R101:R113" si="83">IF(J101&lt;&gt;"",CONCATENATE(H101,I101,J101),CONCATENATE(H101,I101,K101))</f>
        <v>1J219J141200D</v>
      </c>
      <c r="S101" s="74" t="str">
        <f t="shared" ref="S101:S112" si="84">IF(N101="-","KEIN LIEFERUMFANG",IF(AND(N101&lt;=S$3,O101=""),"AKTUELL",IF(O101=N101,"KEIN SERIENEINSATZ",IF(N101&gt;S$3,"NOCH NICHT AKTUELL",IF(AND(N101&lt;S$3,O101&lt;S$3),"NICHT AKTUELL",IF(N101&lt;=S$3,"AKTUELL"))))))</f>
        <v>NICHT AKTUELL</v>
      </c>
      <c r="T101" s="74"/>
      <c r="U101" s="74"/>
      <c r="V101" s="74"/>
      <c r="W101" s="83">
        <v>0.58689999999999998</v>
      </c>
      <c r="X101" s="5"/>
      <c r="Y101" s="5" t="s">
        <v>0</v>
      </c>
      <c r="Z101" s="5" t="s">
        <v>0</v>
      </c>
      <c r="AA101" s="5" t="s">
        <v>18</v>
      </c>
      <c r="AB101" s="5"/>
      <c r="AC101" s="6"/>
      <c r="AD101" s="6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</row>
    <row r="102" spans="1:248" s="16" customFormat="1" ht="15" customHeight="1">
      <c r="A102" s="71" t="s">
        <v>93</v>
      </c>
      <c r="B102" s="5" t="s">
        <v>5</v>
      </c>
      <c r="C102" s="5"/>
      <c r="D102" s="11" t="s">
        <v>18</v>
      </c>
      <c r="E102" s="94" t="str">
        <f>CONCATENATE(IF(AC102&gt;0,$AC$1," ")," ",IF(AD102&gt;0,$AD$1," ")," ",IF(AE102&gt;0,$AE$1," ")," ",IF(AF102&gt;0,$AF$1," ")," ",IF(AG102&gt;0,$AG$1," ")," ",IF(AH102&gt;0,$AH$1," ")," ",IF(AI102&gt;0,$AI$1," ")," ",IF(AJ102&gt;0,$AJ$1," ")," ",IF(AK102&gt;0,$AK$1," "))</f>
        <v xml:space="preserve">                 </v>
      </c>
      <c r="F102" s="72" t="str">
        <f>LEFT(Q102,11)</f>
        <v>9J1_974_412</v>
      </c>
      <c r="G102" s="73" t="s">
        <v>60</v>
      </c>
      <c r="H102" s="72" t="str">
        <f t="shared" si="82"/>
        <v>1J219J1412</v>
      </c>
      <c r="I102" s="72" t="str">
        <f>IF(G102=0,"00",IF(LEN(G102)=1,CONCATENATE(G102,0),G102))</f>
        <v>B0</v>
      </c>
      <c r="J102" s="78" t="s">
        <v>147</v>
      </c>
      <c r="K102" s="11"/>
      <c r="L102" s="3" t="s">
        <v>77</v>
      </c>
      <c r="M102" s="8">
        <v>6012</v>
      </c>
      <c r="N102" s="9">
        <v>1918</v>
      </c>
      <c r="O102" s="57">
        <v>1927</v>
      </c>
      <c r="P102" s="9" t="s">
        <v>145</v>
      </c>
      <c r="Q102" s="5" t="s">
        <v>156</v>
      </c>
      <c r="R102" s="72" t="str">
        <f t="shared" si="83"/>
        <v>1J219J1412B0E</v>
      </c>
      <c r="S102" s="74" t="str">
        <f t="shared" si="84"/>
        <v>NICHT AKTUELL</v>
      </c>
      <c r="T102" s="74"/>
      <c r="U102" s="74"/>
      <c r="V102" s="74"/>
      <c r="W102" s="83">
        <v>0.58689999999999998</v>
      </c>
      <c r="X102" s="5"/>
      <c r="Y102" s="5" t="s">
        <v>0</v>
      </c>
      <c r="Z102" s="5" t="s">
        <v>0</v>
      </c>
      <c r="AA102" s="5" t="s">
        <v>18</v>
      </c>
      <c r="AB102" s="5"/>
      <c r="AC102" s="6"/>
      <c r="AD102" s="6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</row>
    <row r="103" spans="1:248" s="16" customFormat="1" ht="15" customHeight="1">
      <c r="A103" s="71" t="s">
        <v>93</v>
      </c>
      <c r="B103" s="5" t="s">
        <v>5</v>
      </c>
      <c r="C103" s="5"/>
      <c r="D103" s="11" t="s">
        <v>18</v>
      </c>
      <c r="E103" s="94" t="str">
        <f>CONCATENATE(IF(AC103&gt;0,$AC$1," ")," ",IF(AD103&gt;0,$AD$1," ")," ",IF(AE103&gt;0,$AE$1," ")," ",IF(AF103&gt;0,$AF$1," ")," ",IF(AG103&gt;0,$AG$1," ")," ",IF(AH103&gt;0,$AH$1," ")," ",IF(AI103&gt;0,$AI$1," ")," ",IF(AJ103&gt;0,$AJ$1," ")," ",IF(AK103&gt;0,$AK$1," "))</f>
        <v xml:space="preserve">                 </v>
      </c>
      <c r="F103" s="72" t="str">
        <f>LEFT(Q103,11)</f>
        <v>9J1_974_412</v>
      </c>
      <c r="G103" s="73" t="s">
        <v>60</v>
      </c>
      <c r="H103" s="72" t="str">
        <f>CONCATENATE(IF(MID(Q103,5,3)="974","1J21"),LEFT(F103,3),RIGHT(F103,3))</f>
        <v>1J219J1412</v>
      </c>
      <c r="I103" s="72" t="str">
        <f>IF(G103=0,"00",IF(LEN(G103)=1,CONCATENATE(G103,0),G103))</f>
        <v>B0</v>
      </c>
      <c r="J103" s="78" t="s">
        <v>158</v>
      </c>
      <c r="K103" s="11"/>
      <c r="L103" s="3" t="s">
        <v>77</v>
      </c>
      <c r="M103" s="8" t="s">
        <v>160</v>
      </c>
      <c r="N103" s="9">
        <v>1928</v>
      </c>
      <c r="O103" s="57">
        <v>2047</v>
      </c>
      <c r="P103" s="9" t="s">
        <v>145</v>
      </c>
      <c r="Q103" s="5" t="s">
        <v>156</v>
      </c>
      <c r="R103" s="72" t="str">
        <f>IF(J103&lt;&gt;"",CONCATENATE(H103,I103,J103),CONCATENATE(H103,I103,K103))</f>
        <v>1J219J1412B0F</v>
      </c>
      <c r="S103" s="74" t="str">
        <f>IF(N103="-","KEIN LIEFERUMFANG",IF(AND(N103&lt;=S$3,O103=""),"AKTUELL",IF(O103=N103,"KEIN SERIENEINSATZ",IF(N103&gt;S$3,"NOCH NICHT AKTUELL",IF(AND(N103&lt;S$3,O103&lt;S$3),"NICHT AKTUELL",IF(N103&lt;=S$3,"AKTUELL"))))))</f>
        <v>NICHT AKTUELL</v>
      </c>
      <c r="T103" s="74"/>
      <c r="U103" s="74"/>
      <c r="V103" s="74"/>
      <c r="W103" s="83">
        <v>0.58689999999999998</v>
      </c>
      <c r="X103" s="5"/>
      <c r="Y103" s="5" t="s">
        <v>0</v>
      </c>
      <c r="Z103" s="5" t="s">
        <v>0</v>
      </c>
      <c r="AA103" s="5" t="s">
        <v>18</v>
      </c>
      <c r="AB103" s="5"/>
      <c r="AC103" s="6"/>
      <c r="AD103" s="6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</row>
    <row r="104" spans="1:248" s="16" customFormat="1" ht="15" customHeight="1">
      <c r="A104" s="71" t="s">
        <v>93</v>
      </c>
      <c r="B104" s="5" t="s">
        <v>5</v>
      </c>
      <c r="C104" s="5"/>
      <c r="D104" s="11" t="s">
        <v>18</v>
      </c>
      <c r="E104" s="94" t="str">
        <f>CONCATENATE(IF(AC104&gt;0,$AC$1," ")," ",IF(AD104&gt;0,$AD$1," ")," ",IF(AE104&gt;0,$AE$1," ")," ",IF(AF104&gt;0,$AF$1," ")," ",IF(AG104&gt;0,$AG$1," ")," ",IF(AH104&gt;0,$AH$1," ")," ",IF(AI104&gt;0,$AI$1," ")," ",IF(AJ104&gt;0,$AJ$1," ")," ",IF(AK104&gt;0,$AK$1," "))</f>
        <v xml:space="preserve">                 </v>
      </c>
      <c r="F104" s="72" t="str">
        <f>LEFT(Q104,11)</f>
        <v>9J1_974_412</v>
      </c>
      <c r="G104" s="73" t="s">
        <v>60</v>
      </c>
      <c r="H104" s="72" t="str">
        <f>CONCATENATE(IF(MID(Q104,5,3)="974","1J21"),LEFT(F104,3),RIGHT(F104,3))</f>
        <v>1J219J1412</v>
      </c>
      <c r="I104" s="72" t="str">
        <f>IF(G104=0,"00",IF(LEN(G104)=1,CONCATENATE(G104,0),G104))</f>
        <v>B0</v>
      </c>
      <c r="J104" s="78"/>
      <c r="K104" s="102" t="s">
        <v>170</v>
      </c>
      <c r="L104" s="3" t="s">
        <v>77</v>
      </c>
      <c r="M104" s="8">
        <v>7016</v>
      </c>
      <c r="N104" s="9">
        <v>2048</v>
      </c>
      <c r="O104" s="57"/>
      <c r="P104" s="9"/>
      <c r="Q104" s="5" t="s">
        <v>156</v>
      </c>
      <c r="R104" s="72" t="str">
        <f>IF(J104&lt;&gt;"",CONCATENATE(H104,I104,J104),CONCATENATE(H104,I104,K104))</f>
        <v>1J219J1412B0G</v>
      </c>
      <c r="S104" s="74" t="str">
        <f>IF(N104="-","KEIN LIEFERUMFANG",IF(AND(N104&lt;=S$3,O104=""),"AKTUELL",IF(O104=N104,"KEIN SERIENEINSATZ",IF(N104&gt;S$3,"NOCH NICHT AKTUELL",IF(AND(N104&lt;S$3,O104&lt;S$3),"NICHT AKTUELL",IF(N104&lt;=S$3,"AKTUELL"))))))</f>
        <v>AKTUELL</v>
      </c>
      <c r="T104" s="74"/>
      <c r="U104" s="74"/>
      <c r="V104" s="74"/>
      <c r="W104" s="83">
        <v>0.58689999999999998</v>
      </c>
      <c r="X104" s="5"/>
      <c r="Y104" s="5" t="s">
        <v>0</v>
      </c>
      <c r="Z104" s="5" t="s">
        <v>0</v>
      </c>
      <c r="AA104" s="5" t="s">
        <v>18</v>
      </c>
      <c r="AB104" s="5"/>
      <c r="AC104" s="6"/>
      <c r="AD104" s="6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</row>
    <row r="105" spans="1:248" s="3" customFormat="1" ht="15" customHeight="1">
      <c r="A105" s="71" t="s">
        <v>93</v>
      </c>
      <c r="B105" s="5" t="s">
        <v>5</v>
      </c>
      <c r="C105" s="5"/>
      <c r="D105" s="11" t="s">
        <v>18</v>
      </c>
      <c r="E105" s="94"/>
      <c r="F105" s="72" t="str">
        <f t="shared" si="72"/>
        <v>9J1_974_412</v>
      </c>
      <c r="G105" s="73" t="s">
        <v>59</v>
      </c>
      <c r="H105" s="72" t="str">
        <f t="shared" si="82"/>
        <v>1J219J1412</v>
      </c>
      <c r="I105" s="72" t="str">
        <f t="shared" ref="I105:I108" si="85">IF(G105=0,"00",IF(LEN(G105)=1,CONCATENATE(G105,0),G105))</f>
        <v>A0</v>
      </c>
      <c r="J105" s="78" t="s">
        <v>103</v>
      </c>
      <c r="K105" s="11"/>
      <c r="L105" s="8" t="s">
        <v>137</v>
      </c>
      <c r="M105" s="8"/>
      <c r="N105" s="9"/>
      <c r="O105" s="57">
        <v>1917</v>
      </c>
      <c r="P105" s="9"/>
      <c r="Q105" s="5" t="s">
        <v>78</v>
      </c>
      <c r="R105" s="72" t="str">
        <f t="shared" si="83"/>
        <v>1J219J1412A0D</v>
      </c>
      <c r="S105" s="75" t="str">
        <f t="shared" si="84"/>
        <v>NICHT AKTUELL</v>
      </c>
      <c r="T105" s="74"/>
      <c r="U105" s="74"/>
      <c r="V105" s="74"/>
      <c r="W105" s="83">
        <v>0.2631</v>
      </c>
      <c r="X105" s="5"/>
      <c r="Y105" s="5" t="s">
        <v>0</v>
      </c>
      <c r="Z105" s="5" t="s">
        <v>0</v>
      </c>
      <c r="AA105" s="5" t="s">
        <v>18</v>
      </c>
      <c r="AB105" s="5"/>
      <c r="AC105" s="6"/>
      <c r="AD105" s="6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</row>
    <row r="106" spans="1:248" s="3" customFormat="1" ht="15" customHeight="1">
      <c r="A106" s="71" t="s">
        <v>93</v>
      </c>
      <c r="B106" s="5" t="s">
        <v>5</v>
      </c>
      <c r="C106" s="5"/>
      <c r="D106" s="11" t="s">
        <v>18</v>
      </c>
      <c r="E106" s="94"/>
      <c r="F106" s="72" t="str">
        <f>LEFT(Q106,11)</f>
        <v>9J1_974_412</v>
      </c>
      <c r="G106" s="73" t="s">
        <v>59</v>
      </c>
      <c r="H106" s="72" t="str">
        <f t="shared" si="82"/>
        <v>1J219J1412</v>
      </c>
      <c r="I106" s="72" t="str">
        <f t="shared" si="85"/>
        <v>A0</v>
      </c>
      <c r="J106" s="78" t="s">
        <v>147</v>
      </c>
      <c r="K106" s="11"/>
      <c r="L106" s="8" t="s">
        <v>137</v>
      </c>
      <c r="M106" s="8">
        <v>6023</v>
      </c>
      <c r="N106" s="9">
        <v>1918</v>
      </c>
      <c r="O106" s="57">
        <v>1927</v>
      </c>
      <c r="P106" s="9" t="s">
        <v>145</v>
      </c>
      <c r="Q106" s="5" t="s">
        <v>78</v>
      </c>
      <c r="R106" s="72" t="str">
        <f t="shared" si="83"/>
        <v>1J219J1412A0E</v>
      </c>
      <c r="S106" s="75" t="str">
        <f t="shared" si="84"/>
        <v>NICHT AKTUELL</v>
      </c>
      <c r="T106" s="74"/>
      <c r="U106" s="74"/>
      <c r="V106" s="74"/>
      <c r="W106" s="83">
        <v>0.2631</v>
      </c>
      <c r="X106" s="5"/>
      <c r="Y106" s="5" t="s">
        <v>0</v>
      </c>
      <c r="Z106" s="5" t="s">
        <v>0</v>
      </c>
      <c r="AA106" s="5" t="s">
        <v>18</v>
      </c>
      <c r="AB106" s="5"/>
      <c r="AC106" s="6"/>
      <c r="AD106" s="6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</row>
    <row r="107" spans="1:248" s="3" customFormat="1" ht="15" customHeight="1">
      <c r="A107" s="71" t="s">
        <v>93</v>
      </c>
      <c r="B107" s="5" t="s">
        <v>5</v>
      </c>
      <c r="C107" s="5"/>
      <c r="D107" s="11" t="s">
        <v>18</v>
      </c>
      <c r="E107" s="94"/>
      <c r="F107" s="72" t="str">
        <f>LEFT(Q107,11)</f>
        <v>9J1_974_412</v>
      </c>
      <c r="G107" s="73" t="s">
        <v>59</v>
      </c>
      <c r="H107" s="72" t="str">
        <f>CONCATENATE(IF(MID(Q107,5,3)="974","1J21"),LEFT(F107,3),RIGHT(F107,3))</f>
        <v>1J219J1412</v>
      </c>
      <c r="I107" s="72" t="str">
        <f t="shared" si="85"/>
        <v>A0</v>
      </c>
      <c r="J107" s="78" t="s">
        <v>158</v>
      </c>
      <c r="K107" s="11"/>
      <c r="L107" s="8" t="s">
        <v>137</v>
      </c>
      <c r="M107" s="8" t="s">
        <v>161</v>
      </c>
      <c r="N107" s="9">
        <v>1928</v>
      </c>
      <c r="O107" s="57"/>
      <c r="P107" s="9" t="s">
        <v>145</v>
      </c>
      <c r="Q107" s="5" t="s">
        <v>78</v>
      </c>
      <c r="R107" s="72" t="str">
        <f>IF(J107&lt;&gt;"",CONCATENATE(H107,I107,J107),CONCATENATE(H107,I107,K107))</f>
        <v>1J219J1412A0F</v>
      </c>
      <c r="S107" s="75" t="str">
        <f>IF(N107="-","KEIN LIEFERUMFANG",IF(AND(N107&lt;=S$3,O107=""),"AKTUELL",IF(O107=N107,"KEIN SERIENEINSATZ",IF(N107&gt;S$3,"NOCH NICHT AKTUELL",IF(AND(N107&lt;S$3,O107&lt;S$3),"NICHT AKTUELL",IF(N107&lt;=S$3,"AKTUELL"))))))</f>
        <v>AKTUELL</v>
      </c>
      <c r="T107" s="74"/>
      <c r="U107" s="74"/>
      <c r="V107" s="74"/>
      <c r="W107" s="83">
        <v>0.2631</v>
      </c>
      <c r="X107" s="5"/>
      <c r="Y107" s="5" t="s">
        <v>0</v>
      </c>
      <c r="Z107" s="5" t="s">
        <v>0</v>
      </c>
      <c r="AA107" s="5" t="s">
        <v>18</v>
      </c>
      <c r="AB107" s="5"/>
      <c r="AC107" s="6"/>
      <c r="AD107" s="6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</row>
    <row r="108" spans="1:248" s="3" customFormat="1" ht="15" customHeight="1">
      <c r="A108" s="138" t="s">
        <v>93</v>
      </c>
      <c r="B108" s="137" t="s">
        <v>205</v>
      </c>
      <c r="C108" s="5"/>
      <c r="D108" s="11"/>
      <c r="E108" s="94"/>
      <c r="F108" s="72" t="str">
        <f>LEFT(Q108,11)</f>
        <v>9J1_974_445</v>
      </c>
      <c r="G108" s="73">
        <v>0</v>
      </c>
      <c r="H108" s="72" t="str">
        <f>CONCATENATE(IF(MID(Q108,5,3)="974","1J21"),LEFT(F108,3),RIGHT(F108,3))</f>
        <v>1J219J1445</v>
      </c>
      <c r="I108" s="72" t="str">
        <f t="shared" si="85"/>
        <v>00</v>
      </c>
      <c r="J108" s="121" t="s">
        <v>59</v>
      </c>
      <c r="K108" s="11"/>
      <c r="L108" s="137" t="s">
        <v>207</v>
      </c>
      <c r="M108" s="136" t="s">
        <v>208</v>
      </c>
      <c r="N108" s="139">
        <v>2112</v>
      </c>
      <c r="O108" s="57"/>
      <c r="P108" s="9"/>
      <c r="Q108" s="137" t="s">
        <v>206</v>
      </c>
      <c r="R108" s="72" t="str">
        <f>IF(J108&lt;&gt;"",CONCATENATE(H108,I108,J108),CONCATENATE(H108,I108,K108))</f>
        <v>1J219J144500A</v>
      </c>
      <c r="S108" s="75" t="str">
        <f>IF(N108="-","KEIN LIEFERUMFANG",IF(AND(N108&lt;=S$3,O108=""),"AKTUELL",IF(O108=N108,"KEIN SERIENEINSATZ",IF(N108&gt;S$3,"NOCH NICHT AKTUELL",IF(AND(N108&lt;S$3,O108&lt;S$3),"NICHT AKTUELL",IF(N108&lt;=S$3,"AKTUELL"))))))</f>
        <v>AKTUELL</v>
      </c>
      <c r="T108" s="74"/>
      <c r="U108" s="74"/>
      <c r="V108" s="74"/>
      <c r="W108" s="83">
        <v>0</v>
      </c>
      <c r="X108" s="5"/>
      <c r="Y108" s="5" t="s">
        <v>0</v>
      </c>
      <c r="Z108" s="5" t="s">
        <v>18</v>
      </c>
      <c r="AA108" s="5" t="s">
        <v>0</v>
      </c>
      <c r="AB108" s="5"/>
      <c r="AC108" s="6"/>
      <c r="AD108" s="6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</row>
    <row r="109" spans="1:248" s="16" customFormat="1" ht="15" customHeight="1">
      <c r="A109" s="71" t="s">
        <v>93</v>
      </c>
      <c r="B109" s="5" t="s">
        <v>183</v>
      </c>
      <c r="C109" s="5"/>
      <c r="D109" s="11"/>
      <c r="E109" s="94" t="str">
        <f>CONCATENATE(IF(AC109&gt;0,$AC$1," ")," ",IF(AD109&gt;0,$AD$1," ")," ",IF(AE109&gt;0,$AE$1," ")," ",IF(AF109&gt;0,$AF$1," ")," ",IF(AG109&gt;0,$AG$1," ")," ",IF(AH109&gt;0,$AH$1," ")," ",IF(AI109&gt;0,$AI$1," ")," ",IF(AJ109&gt;0,$AJ$1," ")," ",IF(AK109&gt;0,$AK$1," "))</f>
        <v xml:space="preserve">                 </v>
      </c>
      <c r="F109" s="72" t="str">
        <f>LEFT(Q109,11)</f>
        <v>9J1_974_656</v>
      </c>
      <c r="G109" s="73">
        <f>IF(LEN(Q109)=11,0,MID(Q109,13,2))</f>
        <v>0</v>
      </c>
      <c r="H109" s="72" t="str">
        <f>CONCATENATE(IF(MID(Q109,5,3)="974","1J21"),LEFT(F109,3),RIGHT(F109,3))</f>
        <v>1J219J1656</v>
      </c>
      <c r="I109" s="79" t="str">
        <f>IF(G109=0,"00",IF(LEN(G109)=1,CONCATENATE(G109,0),G109))</f>
        <v>00</v>
      </c>
      <c r="J109" s="78" t="s">
        <v>59</v>
      </c>
      <c r="K109" s="11"/>
      <c r="L109" s="5" t="s">
        <v>185</v>
      </c>
      <c r="M109" s="8" t="s">
        <v>187</v>
      </c>
      <c r="N109" s="9">
        <v>2025</v>
      </c>
      <c r="O109" s="57"/>
      <c r="P109" s="9"/>
      <c r="Q109" s="5" t="s">
        <v>184</v>
      </c>
      <c r="R109" s="72" t="str">
        <f>IF(J109&lt;&gt;"",CONCATENATE(H109,I109,J109),CONCATENATE(H109,I109,K109))</f>
        <v>1J219J165600A</v>
      </c>
      <c r="S109" s="74" t="str">
        <f>IF(N109="-","KEIN LIEFERUMFANG",IF(AND(N109&lt;=S$3,O109=""),"AKTUELL",IF(O109=N109,"KEIN SERIENEINSATZ",IF(N109&gt;S$3,"NOCH NICHT AKTUELL",IF(AND(N109&lt;S$3,O109&lt;S$3),"NICHT AKTUELL",IF(N109&lt;=S$3,"AKTUELL"))))))</f>
        <v>AKTUELL</v>
      </c>
      <c r="T109" s="74"/>
      <c r="U109" s="74"/>
      <c r="V109" s="74"/>
      <c r="W109" s="83">
        <v>0</v>
      </c>
      <c r="X109" s="5"/>
      <c r="Y109" s="5" t="s">
        <v>0</v>
      </c>
      <c r="Z109" s="5" t="s">
        <v>18</v>
      </c>
      <c r="AA109" s="5" t="s">
        <v>0</v>
      </c>
      <c r="AB109" s="5"/>
      <c r="AC109" s="6"/>
      <c r="AD109" s="6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</row>
    <row r="110" spans="1:248" s="16" customFormat="1" ht="15" customHeight="1">
      <c r="A110" s="71" t="s">
        <v>93</v>
      </c>
      <c r="B110" s="5" t="s">
        <v>13</v>
      </c>
      <c r="C110" s="5"/>
      <c r="D110" s="11"/>
      <c r="E110" s="94" t="str">
        <f>CONCATENATE(IF(AC110&gt;0,$AC$1," ")," ",IF(AD110&gt;0,$AD$1," ")," ",IF(AE110&gt;0,$AE$1," ")," ",IF(AF110&gt;0,$AF$1," ")," ",IF(AG110&gt;0,$AG$1," ")," ",IF(AH110&gt;0,$AH$1," ")," ",IF(AI110&gt;0,$AI$1," ")," ",IF(AJ110&gt;0,$AJ$1," ")," ",IF(AK110&gt;0,$AK$1," "))</f>
        <v xml:space="preserve">                 </v>
      </c>
      <c r="F110" s="72" t="str">
        <f t="shared" si="72"/>
        <v>9J1_974_728</v>
      </c>
      <c r="G110" s="73" t="str">
        <f>IF(LEN(Q110)=11,0,MID(Q110,13,2))</f>
        <v>A</v>
      </c>
      <c r="H110" s="72" t="str">
        <f t="shared" si="82"/>
        <v>1J219J1728</v>
      </c>
      <c r="I110" s="79" t="str">
        <f>IF(G110=0,"00",IF(LEN(G110)=1,CONCATENATE(G110,0),G110))</f>
        <v>A0</v>
      </c>
      <c r="J110" s="78" t="s">
        <v>92</v>
      </c>
      <c r="K110" s="11"/>
      <c r="L110" s="5" t="s">
        <v>53</v>
      </c>
      <c r="M110" s="8"/>
      <c r="N110" s="9"/>
      <c r="O110" s="57">
        <v>1932</v>
      </c>
      <c r="P110" s="9"/>
      <c r="Q110" s="5" t="s">
        <v>94</v>
      </c>
      <c r="R110" s="72" t="str">
        <f t="shared" si="83"/>
        <v>1J219J1728A0C</v>
      </c>
      <c r="S110" s="74" t="str">
        <f t="shared" si="84"/>
        <v>NICHT AKTUELL</v>
      </c>
      <c r="T110" s="74"/>
      <c r="U110" s="74"/>
      <c r="V110" s="74"/>
      <c r="W110" s="83">
        <v>0.85</v>
      </c>
      <c r="X110" s="5"/>
      <c r="Y110" s="5" t="s">
        <v>0</v>
      </c>
      <c r="Z110" s="5" t="s">
        <v>18</v>
      </c>
      <c r="AA110" s="5" t="s">
        <v>0</v>
      </c>
      <c r="AB110" s="5"/>
      <c r="AC110" s="6"/>
      <c r="AD110" s="6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</row>
    <row r="111" spans="1:248" s="16" customFormat="1" ht="15" customHeight="1">
      <c r="A111" s="71" t="s">
        <v>93</v>
      </c>
      <c r="B111" s="5" t="s">
        <v>13</v>
      </c>
      <c r="C111" s="5"/>
      <c r="D111" s="11"/>
      <c r="E111" s="94" t="str">
        <f>CONCATENATE(IF(AC111&gt;0,$AC$1," ")," ",IF(AD111&gt;0,$AD$1," ")," ",IF(AE111&gt;0,$AE$1," ")," ",IF(AF111&gt;0,$AF$1," ")," ",IF(AG111&gt;0,$AG$1," ")," ",IF(AH111&gt;0,$AH$1," ")," ",IF(AI111&gt;0,$AI$1," ")," ",IF(AJ111&gt;0,$AJ$1," ")," ",IF(AK111&gt;0,$AK$1," "))</f>
        <v xml:space="preserve">                 </v>
      </c>
      <c r="F111" s="72" t="str">
        <f>LEFT(Q111,11)</f>
        <v>9J1_974_728</v>
      </c>
      <c r="G111" s="73" t="str">
        <f>IF(LEN(Q111)=11,0,MID(Q111,13,2))</f>
        <v>A</v>
      </c>
      <c r="H111" s="72" t="str">
        <f>CONCATENATE(IF(MID(Q111,5,3)="974","1J21"),LEFT(F111,3),RIGHT(F111,3))</f>
        <v>1J219J1728</v>
      </c>
      <c r="I111" s="79" t="str">
        <f>IF(G111=0,"00",IF(LEN(G111)=1,CONCATENATE(G111,0),G111))</f>
        <v>A0</v>
      </c>
      <c r="J111" s="78" t="s">
        <v>103</v>
      </c>
      <c r="K111" s="11"/>
      <c r="L111" s="5" t="s">
        <v>53</v>
      </c>
      <c r="M111" s="8">
        <v>6605</v>
      </c>
      <c r="N111" s="9">
        <v>1933</v>
      </c>
      <c r="O111" s="57">
        <v>1944</v>
      </c>
      <c r="P111" s="9" t="s">
        <v>173</v>
      </c>
      <c r="Q111" s="5" t="s">
        <v>94</v>
      </c>
      <c r="R111" s="72" t="str">
        <f>IF(J111&lt;&gt;"",CONCATENATE(H111,I111,J111),CONCATENATE(H111,I111,K111))</f>
        <v>1J219J1728A0D</v>
      </c>
      <c r="S111" s="74" t="str">
        <f>IF(N111="-","KEIN LIEFERUMFANG",IF(AND(N111&lt;=S$3,O111=""),"AKTUELL",IF(O111=N111,"KEIN SERIENEINSATZ",IF(N111&gt;S$3,"NOCH NICHT AKTUELL",IF(AND(N111&lt;S$3,O111&lt;S$3),"NICHT AKTUELL",IF(N111&lt;=S$3,"AKTUELL"))))))</f>
        <v>NICHT AKTUELL</v>
      </c>
      <c r="T111" s="74"/>
      <c r="U111" s="74"/>
      <c r="V111" s="74"/>
      <c r="W111" s="83">
        <v>0.85</v>
      </c>
      <c r="X111" s="5"/>
      <c r="Y111" s="5" t="s">
        <v>0</v>
      </c>
      <c r="Z111" s="5" t="s">
        <v>18</v>
      </c>
      <c r="AA111" s="5" t="s">
        <v>0</v>
      </c>
      <c r="AB111" s="5"/>
      <c r="AC111" s="6"/>
      <c r="AD111" s="6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</row>
    <row r="112" spans="1:248" s="16" customFormat="1" ht="15" customHeight="1">
      <c r="A112" s="71" t="s">
        <v>93</v>
      </c>
      <c r="B112" s="5" t="s">
        <v>2</v>
      </c>
      <c r="C112" s="5"/>
      <c r="D112" s="11" t="s">
        <v>18</v>
      </c>
      <c r="E112" s="94" t="str">
        <f>CONCATENATE(IF(AC112&gt;0,$AC$1," ")," ",IF(AD112&gt;0,$AD$1," ")," ",IF(AE112&gt;0,$AE$1," ")," ",IF(AF112&gt;0,$AF$1," ")," ",IF(AG112&gt;0,$AG$1," ")," ",IF(AH112&gt;0,$AH$1," ")," ",IF(AI112&gt;0,$AI$1," ")," ",IF(AJ112&gt;0,$AJ$1," ")," ",IF(AK112&gt;0,$AK$1," "))</f>
        <v xml:space="preserve">                 </v>
      </c>
      <c r="F112" s="72" t="str">
        <f t="shared" si="72"/>
        <v>9J1_974_901</v>
      </c>
      <c r="G112" s="73">
        <f>IF(LEN(Q112)=11,0,MID(Q112,13,2))</f>
        <v>0</v>
      </c>
      <c r="H112" s="72" t="str">
        <f t="shared" si="82"/>
        <v>1J219J1901</v>
      </c>
      <c r="I112" s="72" t="str">
        <f>IF(G112=0,"00",IF(LEN(G112)=1,CONCATENATE(G112,0),G112))</f>
        <v>00</v>
      </c>
      <c r="J112" s="78" t="s">
        <v>92</v>
      </c>
      <c r="K112" s="11"/>
      <c r="L112" s="5" t="s">
        <v>15</v>
      </c>
      <c r="M112" s="8"/>
      <c r="N112" s="9"/>
      <c r="O112" s="57"/>
      <c r="P112" s="9"/>
      <c r="Q112" s="5" t="s">
        <v>54</v>
      </c>
      <c r="R112" s="72" t="str">
        <f t="shared" si="83"/>
        <v>1J219J190100C</v>
      </c>
      <c r="S112" s="74" t="str">
        <f t="shared" si="84"/>
        <v>AKTUELL</v>
      </c>
      <c r="T112" s="74"/>
      <c r="U112" s="74"/>
      <c r="V112" s="74"/>
      <c r="W112" s="83">
        <v>0.29580000000000001</v>
      </c>
      <c r="X112" s="5"/>
      <c r="Y112" s="5" t="s">
        <v>0</v>
      </c>
      <c r="Z112" s="5" t="s">
        <v>18</v>
      </c>
      <c r="AA112" s="5" t="s">
        <v>0</v>
      </c>
      <c r="AB112" s="5"/>
      <c r="AC112" s="6"/>
      <c r="AD112" s="6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</row>
    <row r="113" spans="1:248" s="16" customFormat="1" ht="15" customHeight="1">
      <c r="A113" s="71" t="s">
        <v>93</v>
      </c>
      <c r="B113" s="5" t="s">
        <v>2</v>
      </c>
      <c r="C113" s="5"/>
      <c r="D113" s="11" t="s">
        <v>18</v>
      </c>
      <c r="E113" s="94" t="str">
        <f>CONCATENATE(IF(AC113&gt;0,$AC$1," ")," ",IF(AD113&gt;0,$AD$1," ")," ",IF(AE113&gt;0,$AE$1," ")," ",IF(AF113&gt;0,$AF$1," ")," ",IF(AG113&gt;0,$AG$1," ")," ",IF(AH113&gt;0,$AH$1," ")," ",IF(AI113&gt;0,$AI$1," ")," ",IF(AJ113&gt;0,$AJ$1," ")," ",IF(AK113&gt;0,$AK$1," "))</f>
        <v xml:space="preserve">                 </v>
      </c>
      <c r="F113" s="72" t="str">
        <f t="shared" si="72"/>
        <v>9J1_974_901</v>
      </c>
      <c r="G113" s="73" t="str">
        <f>IF(LEN(Q113)=11,0,MID(Q113,13,2))</f>
        <v>A</v>
      </c>
      <c r="H113" s="72" t="str">
        <f>CONCATENATE(IF(MID(Q113,5,3)="974","1J21"),LEFT(F113,3),RIGHT(F113,3))</f>
        <v>1J219J1901</v>
      </c>
      <c r="I113" s="72" t="str">
        <f>IF(G113=0,"00",IF(LEN(G113)=1,CONCATENATE(G113,0),G113))</f>
        <v>A0</v>
      </c>
      <c r="J113" s="78" t="s">
        <v>92</v>
      </c>
      <c r="K113" s="11"/>
      <c r="L113" s="5" t="s">
        <v>16</v>
      </c>
      <c r="M113" s="8"/>
      <c r="N113" s="9"/>
      <c r="O113" s="57"/>
      <c r="P113" s="9"/>
      <c r="Q113" s="5" t="s">
        <v>55</v>
      </c>
      <c r="R113" s="72" t="str">
        <f t="shared" si="83"/>
        <v>1J219J1901A0C</v>
      </c>
      <c r="S113" s="74" t="str">
        <f>IF(N113="-","KEIN LIEFERUMFANG",IF(AND(N113&lt;=S$3,O113=""),"AKTUELL",IF(O113=N113,"KEIN SERIENEINSATZ",IF(N113&gt;S$3,"NOCH NICHT AKTUELL",IF(AND(N113&lt;S$3,O113&lt;S$3),"NICHT AKTUELL",IF(N113&lt;=S$3,"AKTUELL"))))))</f>
        <v>AKTUELL</v>
      </c>
      <c r="T113" s="74"/>
      <c r="U113" s="74"/>
      <c r="V113" s="74"/>
      <c r="W113" s="83">
        <v>0.55420000000000003</v>
      </c>
      <c r="X113" s="5"/>
      <c r="Y113" s="5" t="s">
        <v>0</v>
      </c>
      <c r="Z113" s="5" t="s">
        <v>18</v>
      </c>
      <c r="AA113" s="5" t="s">
        <v>0</v>
      </c>
      <c r="AB113" s="5"/>
      <c r="AC113" s="6"/>
      <c r="AD113" s="6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</row>
    <row r="114" spans="1:248" s="16" customFormat="1">
      <c r="A114" s="71"/>
      <c r="B114" s="76"/>
      <c r="C114" s="76"/>
      <c r="D114" s="87"/>
      <c r="E114" s="87"/>
      <c r="F114" s="76"/>
      <c r="G114" s="87"/>
      <c r="H114" s="76"/>
      <c r="I114" s="76"/>
      <c r="J114" s="78"/>
      <c r="K114" s="5"/>
      <c r="L114" s="5"/>
      <c r="M114" s="5"/>
      <c r="N114" s="9"/>
      <c r="O114" s="57"/>
      <c r="P114" s="9"/>
      <c r="Q114" s="5"/>
      <c r="R114" s="76"/>
      <c r="S114" s="76"/>
      <c r="T114" s="76"/>
      <c r="U114" s="76"/>
      <c r="V114" s="76"/>
      <c r="W114" s="84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  <c r="BF114" s="76"/>
      <c r="BG114" s="76"/>
      <c r="BH114" s="76"/>
      <c r="BI114" s="76"/>
      <c r="BJ114" s="76"/>
      <c r="BK114" s="76"/>
      <c r="BL114" s="76"/>
      <c r="BM114" s="76"/>
      <c r="BN114" s="76"/>
      <c r="BO114" s="76"/>
      <c r="BP114" s="76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6"/>
      <c r="CU114" s="76"/>
      <c r="CV114" s="76"/>
      <c r="CW114" s="76"/>
      <c r="CX114" s="76"/>
      <c r="CY114" s="76"/>
      <c r="CZ114" s="76"/>
      <c r="DA114" s="76"/>
      <c r="DB114" s="76"/>
      <c r="DC114" s="76"/>
      <c r="DD114" s="76"/>
      <c r="DE114" s="76"/>
      <c r="DF114" s="76"/>
      <c r="DG114" s="76"/>
      <c r="DH114" s="76"/>
      <c r="DI114" s="76"/>
      <c r="DJ114" s="76"/>
      <c r="DK114" s="76"/>
      <c r="DL114" s="76"/>
      <c r="DM114" s="76"/>
      <c r="DN114" s="76"/>
      <c r="DO114" s="76"/>
      <c r="DP114" s="76"/>
      <c r="DQ114" s="76"/>
      <c r="DR114" s="76"/>
      <c r="DS114" s="76"/>
      <c r="DT114" s="76"/>
      <c r="DU114" s="76"/>
      <c r="DV114" s="76"/>
      <c r="DW114" s="76"/>
      <c r="DX114" s="76"/>
      <c r="DY114" s="76"/>
      <c r="DZ114" s="76"/>
      <c r="EA114" s="76"/>
      <c r="EB114" s="76"/>
      <c r="EC114" s="76"/>
      <c r="ED114" s="76"/>
      <c r="EE114" s="76"/>
      <c r="EF114" s="76"/>
      <c r="EG114" s="76"/>
      <c r="EH114" s="76"/>
      <c r="EI114" s="76"/>
      <c r="EJ114" s="76"/>
      <c r="EK114" s="76"/>
      <c r="EL114" s="76"/>
      <c r="EM114" s="76"/>
      <c r="EN114" s="76"/>
      <c r="EO114" s="76"/>
      <c r="EP114" s="76"/>
      <c r="EQ114" s="76"/>
      <c r="ER114" s="76"/>
      <c r="ES114" s="76"/>
      <c r="ET114" s="76"/>
      <c r="EU114" s="76"/>
      <c r="EV114" s="76"/>
      <c r="EW114" s="76"/>
      <c r="EX114" s="76"/>
      <c r="EY114" s="76"/>
      <c r="EZ114" s="76"/>
      <c r="FA114" s="76"/>
      <c r="FB114" s="76"/>
      <c r="FC114" s="76"/>
      <c r="FD114" s="76"/>
      <c r="FE114" s="76"/>
      <c r="FF114" s="76"/>
      <c r="FG114" s="76"/>
      <c r="FH114" s="76"/>
      <c r="FI114" s="76"/>
      <c r="FJ114" s="76"/>
      <c r="FK114" s="76"/>
      <c r="FL114" s="76"/>
      <c r="FM114" s="76"/>
      <c r="FN114" s="76"/>
      <c r="FO114" s="76"/>
      <c r="FP114" s="76"/>
      <c r="FQ114" s="76"/>
      <c r="FR114" s="76"/>
      <c r="FS114" s="76"/>
      <c r="FT114" s="76"/>
      <c r="FU114" s="76"/>
      <c r="FV114" s="76"/>
      <c r="FW114" s="76"/>
      <c r="FX114" s="76"/>
      <c r="FY114" s="76"/>
      <c r="FZ114" s="76"/>
      <c r="GA114" s="76"/>
      <c r="GB114" s="76"/>
      <c r="GC114" s="76"/>
      <c r="GD114" s="76"/>
      <c r="GE114" s="76"/>
      <c r="GF114" s="76"/>
      <c r="GG114" s="76"/>
      <c r="GH114" s="76"/>
      <c r="GI114" s="76"/>
      <c r="GJ114" s="76"/>
      <c r="GK114" s="76"/>
      <c r="GL114" s="76"/>
      <c r="GM114" s="76"/>
      <c r="GN114" s="76"/>
      <c r="GO114" s="76"/>
      <c r="GP114" s="76"/>
      <c r="GQ114" s="76"/>
      <c r="GR114" s="76"/>
      <c r="GS114" s="76"/>
      <c r="GT114" s="76"/>
      <c r="GU114" s="76"/>
      <c r="GV114" s="76"/>
      <c r="GW114" s="76"/>
      <c r="GX114" s="76"/>
      <c r="GY114" s="76"/>
      <c r="GZ114" s="76"/>
      <c r="HA114" s="76"/>
      <c r="HB114" s="76"/>
      <c r="HC114" s="76"/>
      <c r="HD114" s="76"/>
      <c r="HE114" s="76"/>
      <c r="HF114" s="76"/>
      <c r="HG114" s="76"/>
      <c r="HH114" s="76"/>
      <c r="HI114" s="76"/>
      <c r="HJ114" s="76"/>
      <c r="HK114" s="76"/>
      <c r="HL114" s="76"/>
      <c r="HM114" s="76"/>
      <c r="HN114" s="76"/>
      <c r="HO114" s="76"/>
      <c r="HP114" s="76"/>
      <c r="HQ114" s="76"/>
      <c r="HR114" s="76"/>
      <c r="HS114" s="76"/>
      <c r="HT114" s="76"/>
      <c r="HU114" s="76"/>
      <c r="HV114" s="76"/>
      <c r="HW114" s="76"/>
      <c r="HX114" s="76"/>
      <c r="HY114" s="76"/>
      <c r="HZ114" s="76"/>
      <c r="IA114" s="76"/>
      <c r="IB114" s="76"/>
      <c r="IC114" s="76"/>
      <c r="ID114" s="76"/>
      <c r="IE114" s="76"/>
      <c r="IF114" s="76"/>
      <c r="IG114" s="76"/>
      <c r="IH114" s="76"/>
      <c r="II114" s="76"/>
      <c r="IJ114" s="76"/>
      <c r="IK114" s="76"/>
      <c r="IL114" s="76"/>
      <c r="IM114" s="76"/>
      <c r="IN114" s="76"/>
    </row>
    <row r="115" spans="1:248" s="16" customFormat="1">
      <c r="A115" s="71"/>
      <c r="B115" s="76"/>
      <c r="C115" s="76"/>
      <c r="D115" s="87"/>
      <c r="E115" s="87"/>
      <c r="F115" s="76"/>
      <c r="G115" s="87"/>
      <c r="H115" s="76"/>
      <c r="I115" s="76"/>
      <c r="J115" s="78"/>
      <c r="K115" s="5"/>
      <c r="L115" s="5"/>
      <c r="M115" s="5"/>
      <c r="N115" s="9"/>
      <c r="O115" s="57"/>
      <c r="P115" s="9"/>
      <c r="Q115" s="5"/>
      <c r="R115" s="76"/>
      <c r="S115" s="76"/>
      <c r="T115" s="76"/>
      <c r="U115" s="76"/>
      <c r="V115" s="76"/>
      <c r="W115" s="84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  <c r="BF115" s="76"/>
      <c r="BG115" s="76"/>
      <c r="BH115" s="76"/>
      <c r="BI115" s="76"/>
      <c r="BJ115" s="76"/>
      <c r="BK115" s="76"/>
      <c r="BL115" s="76"/>
      <c r="BM115" s="76"/>
      <c r="BN115" s="76"/>
      <c r="BO115" s="76"/>
      <c r="BP115" s="76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6"/>
      <c r="CU115" s="76"/>
      <c r="CV115" s="76"/>
      <c r="CW115" s="76"/>
      <c r="CX115" s="76"/>
      <c r="CY115" s="76"/>
      <c r="CZ115" s="76"/>
      <c r="DA115" s="76"/>
      <c r="DB115" s="76"/>
      <c r="DC115" s="76"/>
      <c r="DD115" s="76"/>
      <c r="DE115" s="76"/>
      <c r="DF115" s="76"/>
      <c r="DG115" s="76"/>
      <c r="DH115" s="76"/>
      <c r="DI115" s="76"/>
      <c r="DJ115" s="76"/>
      <c r="DK115" s="76"/>
      <c r="DL115" s="76"/>
      <c r="DM115" s="76"/>
      <c r="DN115" s="76"/>
      <c r="DO115" s="76"/>
      <c r="DP115" s="76"/>
      <c r="DQ115" s="76"/>
      <c r="DR115" s="76"/>
      <c r="DS115" s="76"/>
      <c r="DT115" s="76"/>
      <c r="DU115" s="76"/>
      <c r="DV115" s="76"/>
      <c r="DW115" s="76"/>
      <c r="DX115" s="76"/>
      <c r="DY115" s="76"/>
      <c r="DZ115" s="76"/>
      <c r="EA115" s="76"/>
      <c r="EB115" s="76"/>
      <c r="EC115" s="76"/>
      <c r="ED115" s="76"/>
      <c r="EE115" s="76"/>
      <c r="EF115" s="76"/>
      <c r="EG115" s="76"/>
      <c r="EH115" s="76"/>
      <c r="EI115" s="76"/>
      <c r="EJ115" s="76"/>
      <c r="EK115" s="76"/>
      <c r="EL115" s="76"/>
      <c r="EM115" s="76"/>
      <c r="EN115" s="76"/>
      <c r="EO115" s="76"/>
      <c r="EP115" s="76"/>
      <c r="EQ115" s="76"/>
      <c r="ER115" s="76"/>
      <c r="ES115" s="76"/>
      <c r="ET115" s="76"/>
      <c r="EU115" s="76"/>
      <c r="EV115" s="76"/>
      <c r="EW115" s="76"/>
      <c r="EX115" s="76"/>
      <c r="EY115" s="76"/>
      <c r="EZ115" s="76"/>
      <c r="FA115" s="76"/>
      <c r="FB115" s="76"/>
      <c r="FC115" s="76"/>
      <c r="FD115" s="76"/>
      <c r="FE115" s="76"/>
      <c r="FF115" s="76"/>
      <c r="FG115" s="76"/>
      <c r="FH115" s="76"/>
      <c r="FI115" s="76"/>
      <c r="FJ115" s="76"/>
      <c r="FK115" s="76"/>
      <c r="FL115" s="76"/>
      <c r="FM115" s="76"/>
      <c r="FN115" s="76"/>
      <c r="FO115" s="76"/>
      <c r="FP115" s="76"/>
      <c r="FQ115" s="76"/>
      <c r="FR115" s="76"/>
      <c r="FS115" s="76"/>
      <c r="FT115" s="76"/>
      <c r="FU115" s="76"/>
      <c r="FV115" s="76"/>
      <c r="FW115" s="76"/>
      <c r="FX115" s="76"/>
      <c r="FY115" s="76"/>
      <c r="FZ115" s="76"/>
      <c r="GA115" s="76"/>
      <c r="GB115" s="76"/>
      <c r="GC115" s="76"/>
      <c r="GD115" s="76"/>
      <c r="GE115" s="76"/>
      <c r="GF115" s="76"/>
      <c r="GG115" s="76"/>
      <c r="GH115" s="76"/>
      <c r="GI115" s="76"/>
      <c r="GJ115" s="76"/>
      <c r="GK115" s="76"/>
      <c r="GL115" s="76"/>
      <c r="GM115" s="76"/>
      <c r="GN115" s="76"/>
      <c r="GO115" s="76"/>
      <c r="GP115" s="76"/>
      <c r="GQ115" s="76"/>
      <c r="GR115" s="76"/>
      <c r="GS115" s="76"/>
      <c r="GT115" s="76"/>
      <c r="GU115" s="76"/>
      <c r="GV115" s="76"/>
      <c r="GW115" s="76"/>
      <c r="GX115" s="76"/>
      <c r="GY115" s="76"/>
      <c r="GZ115" s="76"/>
      <c r="HA115" s="76"/>
      <c r="HB115" s="76"/>
      <c r="HC115" s="76"/>
      <c r="HD115" s="76"/>
      <c r="HE115" s="76"/>
      <c r="HF115" s="76"/>
      <c r="HG115" s="76"/>
      <c r="HH115" s="76"/>
      <c r="HI115" s="76"/>
      <c r="HJ115" s="76"/>
      <c r="HK115" s="76"/>
      <c r="HL115" s="76"/>
      <c r="HM115" s="76"/>
      <c r="HN115" s="76"/>
      <c r="HO115" s="76"/>
      <c r="HP115" s="76"/>
      <c r="HQ115" s="76"/>
      <c r="HR115" s="76"/>
      <c r="HS115" s="76"/>
      <c r="HT115" s="76"/>
      <c r="HU115" s="76"/>
      <c r="HV115" s="76"/>
      <c r="HW115" s="76"/>
      <c r="HX115" s="76"/>
      <c r="HY115" s="76"/>
      <c r="HZ115" s="76"/>
      <c r="IA115" s="76"/>
      <c r="IB115" s="76"/>
      <c r="IC115" s="76"/>
      <c r="ID115" s="76"/>
      <c r="IE115" s="76"/>
      <c r="IF115" s="76"/>
      <c r="IG115" s="76"/>
      <c r="IH115" s="76"/>
      <c r="II115" s="76"/>
      <c r="IJ115" s="76"/>
      <c r="IK115" s="76"/>
      <c r="IL115" s="76"/>
      <c r="IM115" s="76"/>
      <c r="IN115" s="76"/>
    </row>
    <row r="116" spans="1:248" s="16" customFormat="1">
      <c r="A116" s="71"/>
      <c r="B116" s="76"/>
      <c r="C116" s="76"/>
      <c r="D116" s="87"/>
      <c r="E116" s="87"/>
      <c r="F116" s="76"/>
      <c r="G116" s="87"/>
      <c r="H116" s="76"/>
      <c r="I116" s="76"/>
      <c r="J116" s="78"/>
      <c r="K116" s="5"/>
      <c r="L116" s="5"/>
      <c r="M116" s="5"/>
      <c r="N116" s="9"/>
      <c r="O116" s="57"/>
      <c r="P116" s="9"/>
      <c r="Q116" s="5"/>
      <c r="R116" s="76"/>
      <c r="S116" s="76"/>
      <c r="T116" s="76"/>
      <c r="U116" s="76"/>
      <c r="V116" s="76"/>
      <c r="W116" s="84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/>
      <c r="BM116" s="76"/>
      <c r="BN116" s="76"/>
      <c r="BO116" s="76"/>
      <c r="BP116" s="76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6"/>
      <c r="CV116" s="76"/>
      <c r="CW116" s="76"/>
      <c r="CX116" s="76"/>
      <c r="CY116" s="76"/>
      <c r="CZ116" s="76"/>
      <c r="DA116" s="76"/>
      <c r="DB116" s="76"/>
      <c r="DC116" s="76"/>
      <c r="DD116" s="76"/>
      <c r="DE116" s="76"/>
      <c r="DF116" s="76"/>
      <c r="DG116" s="76"/>
      <c r="DH116" s="76"/>
      <c r="DI116" s="76"/>
      <c r="DJ116" s="76"/>
      <c r="DK116" s="76"/>
      <c r="DL116" s="76"/>
      <c r="DM116" s="76"/>
      <c r="DN116" s="76"/>
      <c r="DO116" s="76"/>
      <c r="DP116" s="76"/>
      <c r="DQ116" s="76"/>
      <c r="DR116" s="76"/>
      <c r="DS116" s="76"/>
      <c r="DT116" s="76"/>
      <c r="DU116" s="76"/>
      <c r="DV116" s="76"/>
      <c r="DW116" s="76"/>
      <c r="DX116" s="76"/>
      <c r="DY116" s="76"/>
      <c r="DZ116" s="76"/>
      <c r="EA116" s="76"/>
      <c r="EB116" s="76"/>
      <c r="EC116" s="76"/>
      <c r="ED116" s="76"/>
      <c r="EE116" s="76"/>
      <c r="EF116" s="76"/>
      <c r="EG116" s="76"/>
      <c r="EH116" s="76"/>
      <c r="EI116" s="76"/>
      <c r="EJ116" s="76"/>
      <c r="EK116" s="76"/>
      <c r="EL116" s="76"/>
      <c r="EM116" s="76"/>
      <c r="EN116" s="76"/>
      <c r="EO116" s="76"/>
      <c r="EP116" s="76"/>
      <c r="EQ116" s="76"/>
      <c r="ER116" s="76"/>
      <c r="ES116" s="76"/>
      <c r="ET116" s="76"/>
      <c r="EU116" s="76"/>
      <c r="EV116" s="76"/>
      <c r="EW116" s="76"/>
      <c r="EX116" s="76"/>
      <c r="EY116" s="76"/>
      <c r="EZ116" s="76"/>
      <c r="FA116" s="76"/>
      <c r="FB116" s="76"/>
      <c r="FC116" s="76"/>
      <c r="FD116" s="76"/>
      <c r="FE116" s="76"/>
      <c r="FF116" s="76"/>
      <c r="FG116" s="76"/>
      <c r="FH116" s="76"/>
      <c r="FI116" s="76"/>
      <c r="FJ116" s="76"/>
      <c r="FK116" s="76"/>
      <c r="FL116" s="76"/>
      <c r="FM116" s="76"/>
      <c r="FN116" s="76"/>
      <c r="FO116" s="76"/>
      <c r="FP116" s="76"/>
      <c r="FQ116" s="76"/>
      <c r="FR116" s="76"/>
      <c r="FS116" s="76"/>
      <c r="FT116" s="76"/>
      <c r="FU116" s="76"/>
      <c r="FV116" s="76"/>
      <c r="FW116" s="76"/>
      <c r="FX116" s="76"/>
      <c r="FY116" s="76"/>
      <c r="FZ116" s="76"/>
      <c r="GA116" s="76"/>
      <c r="GB116" s="76"/>
      <c r="GC116" s="76"/>
      <c r="GD116" s="76"/>
      <c r="GE116" s="76"/>
      <c r="GF116" s="76"/>
      <c r="GG116" s="76"/>
      <c r="GH116" s="76"/>
      <c r="GI116" s="76"/>
      <c r="GJ116" s="76"/>
      <c r="GK116" s="76"/>
      <c r="GL116" s="76"/>
      <c r="GM116" s="76"/>
      <c r="GN116" s="76"/>
      <c r="GO116" s="76"/>
      <c r="GP116" s="76"/>
      <c r="GQ116" s="76"/>
      <c r="GR116" s="76"/>
      <c r="GS116" s="76"/>
      <c r="GT116" s="76"/>
      <c r="GU116" s="76"/>
      <c r="GV116" s="76"/>
      <c r="GW116" s="76"/>
      <c r="GX116" s="76"/>
      <c r="GY116" s="76"/>
      <c r="GZ116" s="76"/>
      <c r="HA116" s="76"/>
      <c r="HB116" s="76"/>
      <c r="HC116" s="76"/>
      <c r="HD116" s="76"/>
      <c r="HE116" s="76"/>
      <c r="HF116" s="76"/>
      <c r="HG116" s="76"/>
      <c r="HH116" s="76"/>
      <c r="HI116" s="76"/>
      <c r="HJ116" s="76"/>
      <c r="HK116" s="76"/>
      <c r="HL116" s="76"/>
      <c r="HM116" s="76"/>
      <c r="HN116" s="76"/>
      <c r="HO116" s="76"/>
      <c r="HP116" s="76"/>
      <c r="HQ116" s="76"/>
      <c r="HR116" s="76"/>
      <c r="HS116" s="76"/>
      <c r="HT116" s="76"/>
      <c r="HU116" s="76"/>
      <c r="HV116" s="76"/>
      <c r="HW116" s="76"/>
      <c r="HX116" s="76"/>
      <c r="HY116" s="76"/>
      <c r="HZ116" s="76"/>
      <c r="IA116" s="76"/>
      <c r="IB116" s="76"/>
      <c r="IC116" s="76"/>
      <c r="ID116" s="76"/>
      <c r="IE116" s="76"/>
      <c r="IF116" s="76"/>
      <c r="IG116" s="76"/>
      <c r="IH116" s="76"/>
      <c r="II116" s="76"/>
      <c r="IJ116" s="76"/>
      <c r="IK116" s="76"/>
      <c r="IL116" s="76"/>
      <c r="IM116" s="76"/>
      <c r="IN116" s="76"/>
    </row>
    <row r="117" spans="1:248" s="16" customFormat="1">
      <c r="A117" s="71"/>
      <c r="B117" s="76"/>
      <c r="C117" s="76"/>
      <c r="D117" s="87"/>
      <c r="E117" s="87"/>
      <c r="F117" s="76"/>
      <c r="G117" s="87"/>
      <c r="H117" s="76"/>
      <c r="I117" s="76"/>
      <c r="J117" s="78"/>
      <c r="K117" s="5"/>
      <c r="L117" s="5"/>
      <c r="M117" s="5"/>
      <c r="N117" s="9"/>
      <c r="O117" s="57"/>
      <c r="P117" s="9"/>
      <c r="Q117" s="5"/>
      <c r="R117" s="76"/>
      <c r="S117" s="76"/>
      <c r="T117" s="76"/>
      <c r="U117" s="76"/>
      <c r="V117" s="76"/>
      <c r="W117" s="84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  <c r="BF117" s="76"/>
      <c r="BG117" s="76"/>
      <c r="BH117" s="76"/>
      <c r="BI117" s="76"/>
      <c r="BJ117" s="76"/>
      <c r="BK117" s="76"/>
      <c r="BL117" s="76"/>
      <c r="BM117" s="76"/>
      <c r="BN117" s="76"/>
      <c r="BO117" s="76"/>
      <c r="BP117" s="76"/>
      <c r="BQ117" s="76"/>
      <c r="BR117" s="76"/>
      <c r="BS117" s="76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6"/>
      <c r="CU117" s="76"/>
      <c r="CV117" s="76"/>
      <c r="CW117" s="76"/>
      <c r="CX117" s="76"/>
      <c r="CY117" s="76"/>
      <c r="CZ117" s="76"/>
      <c r="DA117" s="76"/>
      <c r="DB117" s="76"/>
      <c r="DC117" s="76"/>
      <c r="DD117" s="76"/>
      <c r="DE117" s="76"/>
      <c r="DF117" s="76"/>
      <c r="DG117" s="76"/>
      <c r="DH117" s="76"/>
      <c r="DI117" s="76"/>
      <c r="DJ117" s="76"/>
      <c r="DK117" s="76"/>
      <c r="DL117" s="76"/>
      <c r="DM117" s="76"/>
      <c r="DN117" s="76"/>
      <c r="DO117" s="76"/>
      <c r="DP117" s="76"/>
      <c r="DQ117" s="76"/>
      <c r="DR117" s="76"/>
      <c r="DS117" s="76"/>
      <c r="DT117" s="76"/>
      <c r="DU117" s="76"/>
      <c r="DV117" s="76"/>
      <c r="DW117" s="76"/>
      <c r="DX117" s="76"/>
      <c r="DY117" s="76"/>
      <c r="DZ117" s="76"/>
      <c r="EA117" s="76"/>
      <c r="EB117" s="76"/>
      <c r="EC117" s="76"/>
      <c r="ED117" s="76"/>
      <c r="EE117" s="76"/>
      <c r="EF117" s="76"/>
      <c r="EG117" s="76"/>
      <c r="EH117" s="76"/>
      <c r="EI117" s="76"/>
      <c r="EJ117" s="76"/>
      <c r="EK117" s="76"/>
      <c r="EL117" s="76"/>
      <c r="EM117" s="76"/>
      <c r="EN117" s="76"/>
      <c r="EO117" s="76"/>
      <c r="EP117" s="76"/>
      <c r="EQ117" s="76"/>
      <c r="ER117" s="76"/>
      <c r="ES117" s="76"/>
      <c r="ET117" s="76"/>
      <c r="EU117" s="76"/>
      <c r="EV117" s="76"/>
      <c r="EW117" s="76"/>
      <c r="EX117" s="76"/>
      <c r="EY117" s="76"/>
      <c r="EZ117" s="76"/>
      <c r="FA117" s="76"/>
      <c r="FB117" s="76"/>
      <c r="FC117" s="76"/>
      <c r="FD117" s="76"/>
      <c r="FE117" s="76"/>
      <c r="FF117" s="76"/>
      <c r="FG117" s="76"/>
      <c r="FH117" s="76"/>
      <c r="FI117" s="76"/>
      <c r="FJ117" s="76"/>
      <c r="FK117" s="76"/>
      <c r="FL117" s="76"/>
      <c r="FM117" s="76"/>
      <c r="FN117" s="76"/>
      <c r="FO117" s="76"/>
      <c r="FP117" s="76"/>
      <c r="FQ117" s="76"/>
      <c r="FR117" s="76"/>
      <c r="FS117" s="76"/>
      <c r="FT117" s="76"/>
      <c r="FU117" s="76"/>
      <c r="FV117" s="76"/>
      <c r="FW117" s="76"/>
      <c r="FX117" s="76"/>
      <c r="FY117" s="76"/>
      <c r="FZ117" s="76"/>
      <c r="GA117" s="76"/>
      <c r="GB117" s="76"/>
      <c r="GC117" s="76"/>
      <c r="GD117" s="76"/>
      <c r="GE117" s="76"/>
      <c r="GF117" s="76"/>
      <c r="GG117" s="76"/>
      <c r="GH117" s="76"/>
      <c r="GI117" s="76"/>
      <c r="GJ117" s="76"/>
      <c r="GK117" s="76"/>
      <c r="GL117" s="76"/>
      <c r="GM117" s="76"/>
      <c r="GN117" s="76"/>
      <c r="GO117" s="76"/>
      <c r="GP117" s="76"/>
      <c r="GQ117" s="76"/>
      <c r="GR117" s="76"/>
      <c r="GS117" s="76"/>
      <c r="GT117" s="76"/>
      <c r="GU117" s="76"/>
      <c r="GV117" s="76"/>
      <c r="GW117" s="76"/>
      <c r="GX117" s="76"/>
      <c r="GY117" s="76"/>
      <c r="GZ117" s="76"/>
      <c r="HA117" s="76"/>
      <c r="HB117" s="76"/>
      <c r="HC117" s="76"/>
      <c r="HD117" s="76"/>
      <c r="HE117" s="76"/>
      <c r="HF117" s="76"/>
      <c r="HG117" s="76"/>
      <c r="HH117" s="76"/>
      <c r="HI117" s="76"/>
      <c r="HJ117" s="76"/>
      <c r="HK117" s="76"/>
      <c r="HL117" s="76"/>
      <c r="HM117" s="76"/>
      <c r="HN117" s="76"/>
      <c r="HO117" s="76"/>
      <c r="HP117" s="76"/>
      <c r="HQ117" s="76"/>
      <c r="HR117" s="76"/>
      <c r="HS117" s="76"/>
      <c r="HT117" s="76"/>
      <c r="HU117" s="76"/>
      <c r="HV117" s="76"/>
      <c r="HW117" s="76"/>
      <c r="HX117" s="76"/>
      <c r="HY117" s="76"/>
      <c r="HZ117" s="76"/>
      <c r="IA117" s="76"/>
      <c r="IB117" s="76"/>
      <c r="IC117" s="76"/>
      <c r="ID117" s="76"/>
      <c r="IE117" s="76"/>
      <c r="IF117" s="76"/>
      <c r="IG117" s="76"/>
      <c r="IH117" s="76"/>
      <c r="II117" s="76"/>
      <c r="IJ117" s="76"/>
      <c r="IK117" s="76"/>
      <c r="IL117" s="76"/>
      <c r="IM117" s="76"/>
      <c r="IN117" s="76"/>
    </row>
    <row r="118" spans="1:248" s="16" customFormat="1">
      <c r="A118" s="71"/>
      <c r="B118" s="76"/>
      <c r="C118" s="76"/>
      <c r="D118" s="87"/>
      <c r="E118" s="87"/>
      <c r="F118" s="76"/>
      <c r="G118" s="87"/>
      <c r="H118" s="76"/>
      <c r="I118" s="76"/>
      <c r="J118" s="78"/>
      <c r="K118" s="5"/>
      <c r="L118" s="5"/>
      <c r="M118" s="5"/>
      <c r="N118" s="9"/>
      <c r="O118" s="57"/>
      <c r="P118" s="9"/>
      <c r="Q118" s="5"/>
      <c r="R118" s="76"/>
      <c r="S118" s="76"/>
      <c r="T118" s="76"/>
      <c r="U118" s="76"/>
      <c r="V118" s="76"/>
      <c r="W118" s="84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/>
      <c r="BQ118" s="76"/>
      <c r="BR118" s="76"/>
      <c r="BS118" s="76"/>
      <c r="BT118" s="76"/>
      <c r="BU118" s="76"/>
      <c r="BV118" s="76"/>
      <c r="BW118" s="76"/>
      <c r="BX118" s="76"/>
      <c r="BY118" s="76"/>
      <c r="BZ118" s="76"/>
      <c r="CA118" s="76"/>
      <c r="CB118" s="76"/>
      <c r="CC118" s="76"/>
      <c r="CD118" s="76"/>
      <c r="CE118" s="76"/>
      <c r="CF118" s="76"/>
      <c r="CG118" s="76"/>
      <c r="CH118" s="76"/>
      <c r="CI118" s="76"/>
      <c r="CJ118" s="76"/>
      <c r="CK118" s="76"/>
      <c r="CL118" s="76"/>
      <c r="CM118" s="76"/>
      <c r="CN118" s="76"/>
      <c r="CO118" s="76"/>
      <c r="CP118" s="76"/>
      <c r="CQ118" s="76"/>
      <c r="CR118" s="76"/>
      <c r="CS118" s="76"/>
      <c r="CT118" s="76"/>
      <c r="CU118" s="76"/>
      <c r="CV118" s="76"/>
      <c r="CW118" s="76"/>
      <c r="CX118" s="76"/>
      <c r="CY118" s="76"/>
      <c r="CZ118" s="76"/>
      <c r="DA118" s="76"/>
      <c r="DB118" s="76"/>
      <c r="DC118" s="76"/>
      <c r="DD118" s="76"/>
      <c r="DE118" s="76"/>
      <c r="DF118" s="76"/>
      <c r="DG118" s="76"/>
      <c r="DH118" s="76"/>
      <c r="DI118" s="76"/>
      <c r="DJ118" s="76"/>
      <c r="DK118" s="76"/>
      <c r="DL118" s="76"/>
      <c r="DM118" s="76"/>
      <c r="DN118" s="76"/>
      <c r="DO118" s="76"/>
      <c r="DP118" s="76"/>
      <c r="DQ118" s="76"/>
      <c r="DR118" s="76"/>
      <c r="DS118" s="76"/>
      <c r="DT118" s="76"/>
      <c r="DU118" s="76"/>
      <c r="DV118" s="76"/>
      <c r="DW118" s="76"/>
      <c r="DX118" s="76"/>
      <c r="DY118" s="76"/>
      <c r="DZ118" s="76"/>
      <c r="EA118" s="76"/>
      <c r="EB118" s="76"/>
      <c r="EC118" s="76"/>
      <c r="ED118" s="76"/>
      <c r="EE118" s="76"/>
      <c r="EF118" s="76"/>
      <c r="EG118" s="76"/>
      <c r="EH118" s="76"/>
      <c r="EI118" s="76"/>
      <c r="EJ118" s="76"/>
      <c r="EK118" s="76"/>
      <c r="EL118" s="76"/>
      <c r="EM118" s="76"/>
      <c r="EN118" s="76"/>
      <c r="EO118" s="76"/>
      <c r="EP118" s="76"/>
      <c r="EQ118" s="76"/>
      <c r="ER118" s="76"/>
      <c r="ES118" s="76"/>
      <c r="ET118" s="76"/>
      <c r="EU118" s="76"/>
      <c r="EV118" s="76"/>
      <c r="EW118" s="76"/>
      <c r="EX118" s="76"/>
      <c r="EY118" s="76"/>
      <c r="EZ118" s="76"/>
      <c r="FA118" s="76"/>
      <c r="FB118" s="76"/>
      <c r="FC118" s="76"/>
      <c r="FD118" s="76"/>
      <c r="FE118" s="76"/>
      <c r="FF118" s="76"/>
      <c r="FG118" s="76"/>
      <c r="FH118" s="76"/>
      <c r="FI118" s="76"/>
      <c r="FJ118" s="76"/>
      <c r="FK118" s="76"/>
      <c r="FL118" s="76"/>
      <c r="FM118" s="76"/>
      <c r="FN118" s="76"/>
      <c r="FO118" s="76"/>
      <c r="FP118" s="76"/>
      <c r="FQ118" s="76"/>
      <c r="FR118" s="76"/>
      <c r="FS118" s="76"/>
      <c r="FT118" s="76"/>
      <c r="FU118" s="76"/>
      <c r="FV118" s="76"/>
      <c r="FW118" s="76"/>
      <c r="FX118" s="76"/>
      <c r="FY118" s="76"/>
      <c r="FZ118" s="76"/>
      <c r="GA118" s="76"/>
      <c r="GB118" s="76"/>
      <c r="GC118" s="76"/>
      <c r="GD118" s="76"/>
      <c r="GE118" s="76"/>
      <c r="GF118" s="76"/>
      <c r="GG118" s="76"/>
      <c r="GH118" s="76"/>
      <c r="GI118" s="76"/>
      <c r="GJ118" s="76"/>
      <c r="GK118" s="76"/>
      <c r="GL118" s="76"/>
      <c r="GM118" s="76"/>
      <c r="GN118" s="76"/>
      <c r="GO118" s="76"/>
      <c r="GP118" s="76"/>
      <c r="GQ118" s="76"/>
      <c r="GR118" s="76"/>
      <c r="GS118" s="76"/>
      <c r="GT118" s="76"/>
      <c r="GU118" s="76"/>
      <c r="GV118" s="76"/>
      <c r="GW118" s="76"/>
      <c r="GX118" s="76"/>
      <c r="GY118" s="76"/>
      <c r="GZ118" s="76"/>
      <c r="HA118" s="76"/>
      <c r="HB118" s="76"/>
      <c r="HC118" s="76"/>
      <c r="HD118" s="76"/>
      <c r="HE118" s="76"/>
      <c r="HF118" s="76"/>
      <c r="HG118" s="76"/>
      <c r="HH118" s="76"/>
      <c r="HI118" s="76"/>
      <c r="HJ118" s="76"/>
      <c r="HK118" s="76"/>
      <c r="HL118" s="76"/>
      <c r="HM118" s="76"/>
      <c r="HN118" s="76"/>
      <c r="HO118" s="76"/>
      <c r="HP118" s="76"/>
      <c r="HQ118" s="76"/>
      <c r="HR118" s="76"/>
      <c r="HS118" s="76"/>
      <c r="HT118" s="76"/>
      <c r="HU118" s="76"/>
      <c r="HV118" s="76"/>
      <c r="HW118" s="76"/>
      <c r="HX118" s="76"/>
      <c r="HY118" s="76"/>
      <c r="HZ118" s="76"/>
      <c r="IA118" s="76"/>
      <c r="IB118" s="76"/>
      <c r="IC118" s="76"/>
      <c r="ID118" s="76"/>
      <c r="IE118" s="76"/>
      <c r="IF118" s="76"/>
      <c r="IG118" s="76"/>
      <c r="IH118" s="76"/>
      <c r="II118" s="76"/>
      <c r="IJ118" s="76"/>
      <c r="IK118" s="76"/>
      <c r="IL118" s="76"/>
      <c r="IM118" s="76"/>
      <c r="IN118" s="76"/>
    </row>
    <row r="119" spans="1:248" s="16" customFormat="1">
      <c r="A119" s="71"/>
      <c r="B119" s="76"/>
      <c r="C119" s="76"/>
      <c r="D119" s="87"/>
      <c r="E119" s="87"/>
      <c r="F119" s="76"/>
      <c r="G119" s="87"/>
      <c r="H119" s="76"/>
      <c r="I119" s="76"/>
      <c r="J119" s="78"/>
      <c r="K119" s="5"/>
      <c r="L119" s="5"/>
      <c r="M119" s="5"/>
      <c r="N119" s="9"/>
      <c r="O119" s="57"/>
      <c r="P119" s="9"/>
      <c r="Q119" s="5"/>
      <c r="R119" s="76"/>
      <c r="S119" s="76"/>
      <c r="T119" s="76"/>
      <c r="U119" s="76"/>
      <c r="V119" s="76"/>
      <c r="W119" s="84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  <c r="BU119" s="76"/>
      <c r="BV119" s="76"/>
      <c r="BW119" s="76"/>
      <c r="BX119" s="76"/>
      <c r="BY119" s="76"/>
      <c r="BZ119" s="76"/>
      <c r="CA119" s="76"/>
      <c r="CB119" s="76"/>
      <c r="CC119" s="76"/>
      <c r="CD119" s="76"/>
      <c r="CE119" s="76"/>
      <c r="CF119" s="76"/>
      <c r="CG119" s="76"/>
      <c r="CH119" s="76"/>
      <c r="CI119" s="76"/>
      <c r="CJ119" s="76"/>
      <c r="CK119" s="76"/>
      <c r="CL119" s="76"/>
      <c r="CM119" s="76"/>
      <c r="CN119" s="76"/>
      <c r="CO119" s="76"/>
      <c r="CP119" s="76"/>
      <c r="CQ119" s="76"/>
      <c r="CR119" s="76"/>
      <c r="CS119" s="76"/>
      <c r="CT119" s="76"/>
      <c r="CU119" s="76"/>
      <c r="CV119" s="76"/>
      <c r="CW119" s="76"/>
      <c r="CX119" s="76"/>
      <c r="CY119" s="76"/>
      <c r="CZ119" s="76"/>
      <c r="DA119" s="76"/>
      <c r="DB119" s="76"/>
      <c r="DC119" s="76"/>
      <c r="DD119" s="76"/>
      <c r="DE119" s="76"/>
      <c r="DF119" s="76"/>
      <c r="DG119" s="76"/>
      <c r="DH119" s="76"/>
      <c r="DI119" s="76"/>
      <c r="DJ119" s="76"/>
      <c r="DK119" s="76"/>
      <c r="DL119" s="76"/>
      <c r="DM119" s="76"/>
      <c r="DN119" s="76"/>
      <c r="DO119" s="76"/>
      <c r="DP119" s="76"/>
      <c r="DQ119" s="76"/>
      <c r="DR119" s="76"/>
      <c r="DS119" s="76"/>
      <c r="DT119" s="76"/>
      <c r="DU119" s="76"/>
      <c r="DV119" s="76"/>
      <c r="DW119" s="76"/>
      <c r="DX119" s="76"/>
      <c r="DY119" s="76"/>
      <c r="DZ119" s="76"/>
      <c r="EA119" s="76"/>
      <c r="EB119" s="76"/>
      <c r="EC119" s="76"/>
      <c r="ED119" s="76"/>
      <c r="EE119" s="76"/>
      <c r="EF119" s="76"/>
      <c r="EG119" s="76"/>
      <c r="EH119" s="76"/>
      <c r="EI119" s="76"/>
      <c r="EJ119" s="76"/>
      <c r="EK119" s="76"/>
      <c r="EL119" s="76"/>
      <c r="EM119" s="76"/>
      <c r="EN119" s="76"/>
      <c r="EO119" s="76"/>
      <c r="EP119" s="76"/>
      <c r="EQ119" s="76"/>
      <c r="ER119" s="76"/>
      <c r="ES119" s="76"/>
      <c r="ET119" s="76"/>
      <c r="EU119" s="76"/>
      <c r="EV119" s="76"/>
      <c r="EW119" s="76"/>
      <c r="EX119" s="76"/>
      <c r="EY119" s="76"/>
      <c r="EZ119" s="76"/>
      <c r="FA119" s="76"/>
      <c r="FB119" s="76"/>
      <c r="FC119" s="76"/>
      <c r="FD119" s="76"/>
      <c r="FE119" s="76"/>
      <c r="FF119" s="76"/>
      <c r="FG119" s="76"/>
      <c r="FH119" s="76"/>
      <c r="FI119" s="76"/>
      <c r="FJ119" s="76"/>
      <c r="FK119" s="76"/>
      <c r="FL119" s="76"/>
      <c r="FM119" s="76"/>
      <c r="FN119" s="76"/>
      <c r="FO119" s="76"/>
      <c r="FP119" s="76"/>
      <c r="FQ119" s="76"/>
      <c r="FR119" s="76"/>
      <c r="FS119" s="76"/>
      <c r="FT119" s="76"/>
      <c r="FU119" s="76"/>
      <c r="FV119" s="76"/>
      <c r="FW119" s="76"/>
      <c r="FX119" s="76"/>
      <c r="FY119" s="76"/>
      <c r="FZ119" s="76"/>
      <c r="GA119" s="76"/>
      <c r="GB119" s="76"/>
      <c r="GC119" s="76"/>
      <c r="GD119" s="76"/>
      <c r="GE119" s="76"/>
      <c r="GF119" s="76"/>
      <c r="GG119" s="76"/>
      <c r="GH119" s="76"/>
      <c r="GI119" s="76"/>
      <c r="GJ119" s="76"/>
      <c r="GK119" s="76"/>
      <c r="GL119" s="76"/>
      <c r="GM119" s="76"/>
      <c r="GN119" s="76"/>
      <c r="GO119" s="76"/>
      <c r="GP119" s="76"/>
      <c r="GQ119" s="76"/>
      <c r="GR119" s="76"/>
      <c r="GS119" s="76"/>
      <c r="GT119" s="76"/>
      <c r="GU119" s="76"/>
      <c r="GV119" s="76"/>
      <c r="GW119" s="76"/>
      <c r="GX119" s="76"/>
      <c r="GY119" s="76"/>
      <c r="GZ119" s="76"/>
      <c r="HA119" s="76"/>
      <c r="HB119" s="76"/>
      <c r="HC119" s="76"/>
      <c r="HD119" s="76"/>
      <c r="HE119" s="76"/>
      <c r="HF119" s="76"/>
      <c r="HG119" s="76"/>
      <c r="HH119" s="76"/>
      <c r="HI119" s="76"/>
      <c r="HJ119" s="76"/>
      <c r="HK119" s="76"/>
      <c r="HL119" s="76"/>
      <c r="HM119" s="76"/>
      <c r="HN119" s="76"/>
      <c r="HO119" s="76"/>
      <c r="HP119" s="76"/>
      <c r="HQ119" s="76"/>
      <c r="HR119" s="76"/>
      <c r="HS119" s="76"/>
      <c r="HT119" s="76"/>
      <c r="HU119" s="76"/>
      <c r="HV119" s="76"/>
      <c r="HW119" s="76"/>
      <c r="HX119" s="76"/>
      <c r="HY119" s="76"/>
      <c r="HZ119" s="76"/>
      <c r="IA119" s="76"/>
      <c r="IB119" s="76"/>
      <c r="IC119" s="76"/>
      <c r="ID119" s="76"/>
      <c r="IE119" s="76"/>
      <c r="IF119" s="76"/>
      <c r="IG119" s="76"/>
      <c r="IH119" s="76"/>
      <c r="II119" s="76"/>
      <c r="IJ119" s="76"/>
      <c r="IK119" s="76"/>
      <c r="IL119" s="76"/>
      <c r="IM119" s="76"/>
      <c r="IN119" s="76"/>
    </row>
    <row r="120" spans="1:248" s="16" customFormat="1">
      <c r="A120" s="71"/>
      <c r="B120" s="76"/>
      <c r="C120" s="76"/>
      <c r="D120" s="87"/>
      <c r="E120" s="87"/>
      <c r="F120" s="76"/>
      <c r="G120" s="87"/>
      <c r="H120" s="76"/>
      <c r="I120" s="76"/>
      <c r="J120" s="78"/>
      <c r="K120" s="5"/>
      <c r="L120" s="5"/>
      <c r="M120" s="5"/>
      <c r="N120" s="9"/>
      <c r="O120" s="57"/>
      <c r="P120" s="9"/>
      <c r="Q120" s="5"/>
      <c r="R120" s="76"/>
      <c r="S120" s="76"/>
      <c r="T120" s="76"/>
      <c r="U120" s="76"/>
      <c r="V120" s="76"/>
      <c r="W120" s="84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  <c r="BF120" s="76"/>
      <c r="BG120" s="76"/>
      <c r="BH120" s="76"/>
      <c r="BI120" s="76"/>
      <c r="BJ120" s="76"/>
      <c r="BK120" s="76"/>
      <c r="BL120" s="76"/>
      <c r="BM120" s="76"/>
      <c r="BN120" s="76"/>
      <c r="BO120" s="76"/>
      <c r="BP120" s="76"/>
      <c r="BQ120" s="76"/>
      <c r="BR120" s="76"/>
      <c r="BS120" s="76"/>
      <c r="BT120" s="76"/>
      <c r="BU120" s="76"/>
      <c r="BV120" s="76"/>
      <c r="BW120" s="76"/>
      <c r="BX120" s="76"/>
      <c r="BY120" s="76"/>
      <c r="BZ120" s="76"/>
      <c r="CA120" s="76"/>
      <c r="CB120" s="76"/>
      <c r="CC120" s="76"/>
      <c r="CD120" s="76"/>
      <c r="CE120" s="76"/>
      <c r="CF120" s="76"/>
      <c r="CG120" s="76"/>
      <c r="CH120" s="76"/>
      <c r="CI120" s="76"/>
      <c r="CJ120" s="76"/>
      <c r="CK120" s="76"/>
      <c r="CL120" s="76"/>
      <c r="CM120" s="76"/>
      <c r="CN120" s="76"/>
      <c r="CO120" s="76"/>
      <c r="CP120" s="76"/>
      <c r="CQ120" s="76"/>
      <c r="CR120" s="76"/>
      <c r="CS120" s="76"/>
      <c r="CT120" s="76"/>
      <c r="CU120" s="76"/>
      <c r="CV120" s="76"/>
      <c r="CW120" s="76"/>
      <c r="CX120" s="76"/>
      <c r="CY120" s="76"/>
      <c r="CZ120" s="76"/>
      <c r="DA120" s="76"/>
      <c r="DB120" s="76"/>
      <c r="DC120" s="76"/>
      <c r="DD120" s="76"/>
      <c r="DE120" s="76"/>
      <c r="DF120" s="76"/>
      <c r="DG120" s="76"/>
      <c r="DH120" s="76"/>
      <c r="DI120" s="76"/>
      <c r="DJ120" s="76"/>
      <c r="DK120" s="76"/>
      <c r="DL120" s="76"/>
      <c r="DM120" s="76"/>
      <c r="DN120" s="76"/>
      <c r="DO120" s="76"/>
      <c r="DP120" s="76"/>
      <c r="DQ120" s="76"/>
      <c r="DR120" s="76"/>
      <c r="DS120" s="76"/>
      <c r="DT120" s="76"/>
      <c r="DU120" s="76"/>
      <c r="DV120" s="76"/>
      <c r="DW120" s="76"/>
      <c r="DX120" s="76"/>
      <c r="DY120" s="76"/>
      <c r="DZ120" s="76"/>
      <c r="EA120" s="76"/>
      <c r="EB120" s="76"/>
      <c r="EC120" s="76"/>
      <c r="ED120" s="76"/>
      <c r="EE120" s="76"/>
      <c r="EF120" s="76"/>
      <c r="EG120" s="76"/>
      <c r="EH120" s="76"/>
      <c r="EI120" s="76"/>
      <c r="EJ120" s="76"/>
      <c r="EK120" s="76"/>
      <c r="EL120" s="76"/>
      <c r="EM120" s="76"/>
      <c r="EN120" s="76"/>
      <c r="EO120" s="76"/>
      <c r="EP120" s="76"/>
      <c r="EQ120" s="76"/>
      <c r="ER120" s="76"/>
      <c r="ES120" s="76"/>
      <c r="ET120" s="76"/>
      <c r="EU120" s="76"/>
      <c r="EV120" s="76"/>
      <c r="EW120" s="76"/>
      <c r="EX120" s="76"/>
      <c r="EY120" s="76"/>
      <c r="EZ120" s="76"/>
      <c r="FA120" s="76"/>
      <c r="FB120" s="76"/>
      <c r="FC120" s="76"/>
      <c r="FD120" s="76"/>
      <c r="FE120" s="76"/>
      <c r="FF120" s="76"/>
      <c r="FG120" s="76"/>
      <c r="FH120" s="76"/>
      <c r="FI120" s="76"/>
      <c r="FJ120" s="76"/>
      <c r="FK120" s="76"/>
      <c r="FL120" s="76"/>
      <c r="FM120" s="76"/>
      <c r="FN120" s="76"/>
      <c r="FO120" s="76"/>
      <c r="FP120" s="76"/>
      <c r="FQ120" s="76"/>
      <c r="FR120" s="76"/>
      <c r="FS120" s="76"/>
      <c r="FT120" s="76"/>
      <c r="FU120" s="76"/>
      <c r="FV120" s="76"/>
      <c r="FW120" s="76"/>
      <c r="FX120" s="76"/>
      <c r="FY120" s="76"/>
      <c r="FZ120" s="76"/>
      <c r="GA120" s="76"/>
      <c r="GB120" s="76"/>
      <c r="GC120" s="76"/>
      <c r="GD120" s="76"/>
      <c r="GE120" s="76"/>
      <c r="GF120" s="76"/>
      <c r="GG120" s="76"/>
      <c r="GH120" s="76"/>
      <c r="GI120" s="76"/>
      <c r="GJ120" s="76"/>
      <c r="GK120" s="76"/>
      <c r="GL120" s="76"/>
      <c r="GM120" s="76"/>
      <c r="GN120" s="76"/>
      <c r="GO120" s="76"/>
      <c r="GP120" s="76"/>
      <c r="GQ120" s="76"/>
      <c r="GR120" s="76"/>
      <c r="GS120" s="76"/>
      <c r="GT120" s="76"/>
      <c r="GU120" s="76"/>
      <c r="GV120" s="76"/>
      <c r="GW120" s="76"/>
      <c r="GX120" s="76"/>
      <c r="GY120" s="76"/>
      <c r="GZ120" s="76"/>
      <c r="HA120" s="76"/>
      <c r="HB120" s="76"/>
      <c r="HC120" s="76"/>
      <c r="HD120" s="76"/>
      <c r="HE120" s="76"/>
      <c r="HF120" s="76"/>
      <c r="HG120" s="76"/>
      <c r="HH120" s="76"/>
      <c r="HI120" s="76"/>
      <c r="HJ120" s="76"/>
      <c r="HK120" s="76"/>
      <c r="HL120" s="76"/>
      <c r="HM120" s="76"/>
      <c r="HN120" s="76"/>
      <c r="HO120" s="76"/>
      <c r="HP120" s="76"/>
      <c r="HQ120" s="76"/>
      <c r="HR120" s="76"/>
      <c r="HS120" s="76"/>
      <c r="HT120" s="76"/>
      <c r="HU120" s="76"/>
      <c r="HV120" s="76"/>
      <c r="HW120" s="76"/>
      <c r="HX120" s="76"/>
      <c r="HY120" s="76"/>
      <c r="HZ120" s="76"/>
      <c r="IA120" s="76"/>
      <c r="IB120" s="76"/>
      <c r="IC120" s="76"/>
      <c r="ID120" s="76"/>
      <c r="IE120" s="76"/>
      <c r="IF120" s="76"/>
      <c r="IG120" s="76"/>
      <c r="IH120" s="76"/>
      <c r="II120" s="76"/>
      <c r="IJ120" s="76"/>
      <c r="IK120" s="76"/>
      <c r="IL120" s="76"/>
      <c r="IM120" s="76"/>
      <c r="IN120" s="76"/>
    </row>
    <row r="121" spans="1:248" s="16" customFormat="1">
      <c r="A121" s="71"/>
      <c r="B121" s="76"/>
      <c r="C121" s="76"/>
      <c r="D121" s="87"/>
      <c r="E121" s="87"/>
      <c r="F121" s="76"/>
      <c r="G121" s="87"/>
      <c r="H121" s="76"/>
      <c r="I121" s="76"/>
      <c r="J121" s="78"/>
      <c r="K121" s="5"/>
      <c r="L121" s="5"/>
      <c r="M121" s="5"/>
      <c r="N121" s="9"/>
      <c r="O121" s="57"/>
      <c r="P121" s="9"/>
      <c r="Q121" s="5"/>
      <c r="R121" s="76"/>
      <c r="S121" s="76"/>
      <c r="T121" s="76"/>
      <c r="U121" s="76"/>
      <c r="V121" s="76"/>
      <c r="W121" s="84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  <c r="BF121" s="76"/>
      <c r="BG121" s="76"/>
      <c r="BH121" s="76"/>
      <c r="BI121" s="76"/>
      <c r="BJ121" s="76"/>
      <c r="BK121" s="76"/>
      <c r="BL121" s="76"/>
      <c r="BM121" s="76"/>
      <c r="BN121" s="76"/>
      <c r="BO121" s="76"/>
      <c r="BP121" s="76"/>
      <c r="BQ121" s="76"/>
      <c r="BR121" s="76"/>
      <c r="BS121" s="76"/>
      <c r="BT121" s="76"/>
      <c r="BU121" s="76"/>
      <c r="BV121" s="76"/>
      <c r="BW121" s="76"/>
      <c r="BX121" s="76"/>
      <c r="BY121" s="76"/>
      <c r="BZ121" s="76"/>
      <c r="CA121" s="76"/>
      <c r="CB121" s="76"/>
      <c r="CC121" s="76"/>
      <c r="CD121" s="76"/>
      <c r="CE121" s="76"/>
      <c r="CF121" s="76"/>
      <c r="CG121" s="76"/>
      <c r="CH121" s="76"/>
      <c r="CI121" s="76"/>
      <c r="CJ121" s="76"/>
      <c r="CK121" s="76"/>
      <c r="CL121" s="76"/>
      <c r="CM121" s="76"/>
      <c r="CN121" s="76"/>
      <c r="CO121" s="76"/>
      <c r="CP121" s="76"/>
      <c r="CQ121" s="76"/>
      <c r="CR121" s="76"/>
      <c r="CS121" s="76"/>
      <c r="CT121" s="76"/>
      <c r="CU121" s="76"/>
      <c r="CV121" s="76"/>
      <c r="CW121" s="76"/>
      <c r="CX121" s="76"/>
      <c r="CY121" s="76"/>
      <c r="CZ121" s="76"/>
      <c r="DA121" s="76"/>
      <c r="DB121" s="76"/>
      <c r="DC121" s="76"/>
      <c r="DD121" s="76"/>
      <c r="DE121" s="76"/>
      <c r="DF121" s="76"/>
      <c r="DG121" s="76"/>
      <c r="DH121" s="76"/>
      <c r="DI121" s="76"/>
      <c r="DJ121" s="76"/>
      <c r="DK121" s="76"/>
      <c r="DL121" s="76"/>
      <c r="DM121" s="76"/>
      <c r="DN121" s="76"/>
      <c r="DO121" s="76"/>
      <c r="DP121" s="76"/>
      <c r="DQ121" s="76"/>
      <c r="DR121" s="76"/>
      <c r="DS121" s="76"/>
      <c r="DT121" s="76"/>
      <c r="DU121" s="76"/>
      <c r="DV121" s="76"/>
      <c r="DW121" s="76"/>
      <c r="DX121" s="76"/>
      <c r="DY121" s="76"/>
      <c r="DZ121" s="76"/>
      <c r="EA121" s="76"/>
      <c r="EB121" s="76"/>
      <c r="EC121" s="76"/>
      <c r="ED121" s="76"/>
      <c r="EE121" s="76"/>
      <c r="EF121" s="76"/>
      <c r="EG121" s="76"/>
      <c r="EH121" s="76"/>
      <c r="EI121" s="76"/>
      <c r="EJ121" s="76"/>
      <c r="EK121" s="76"/>
      <c r="EL121" s="76"/>
      <c r="EM121" s="76"/>
      <c r="EN121" s="76"/>
      <c r="EO121" s="76"/>
      <c r="EP121" s="76"/>
      <c r="EQ121" s="76"/>
      <c r="ER121" s="76"/>
      <c r="ES121" s="76"/>
      <c r="ET121" s="76"/>
      <c r="EU121" s="76"/>
      <c r="EV121" s="76"/>
      <c r="EW121" s="76"/>
      <c r="EX121" s="76"/>
      <c r="EY121" s="76"/>
      <c r="EZ121" s="76"/>
      <c r="FA121" s="76"/>
      <c r="FB121" s="76"/>
      <c r="FC121" s="76"/>
      <c r="FD121" s="76"/>
      <c r="FE121" s="76"/>
      <c r="FF121" s="76"/>
      <c r="FG121" s="76"/>
      <c r="FH121" s="76"/>
      <c r="FI121" s="76"/>
      <c r="FJ121" s="76"/>
      <c r="FK121" s="76"/>
      <c r="FL121" s="76"/>
      <c r="FM121" s="76"/>
      <c r="FN121" s="76"/>
      <c r="FO121" s="76"/>
      <c r="FP121" s="76"/>
      <c r="FQ121" s="76"/>
      <c r="FR121" s="76"/>
      <c r="FS121" s="76"/>
      <c r="FT121" s="76"/>
      <c r="FU121" s="76"/>
      <c r="FV121" s="76"/>
      <c r="FW121" s="76"/>
      <c r="FX121" s="76"/>
      <c r="FY121" s="76"/>
      <c r="FZ121" s="76"/>
      <c r="GA121" s="76"/>
      <c r="GB121" s="76"/>
      <c r="GC121" s="76"/>
      <c r="GD121" s="76"/>
      <c r="GE121" s="76"/>
      <c r="GF121" s="76"/>
      <c r="GG121" s="76"/>
      <c r="GH121" s="76"/>
      <c r="GI121" s="76"/>
      <c r="GJ121" s="76"/>
      <c r="GK121" s="76"/>
      <c r="GL121" s="76"/>
      <c r="GM121" s="76"/>
      <c r="GN121" s="76"/>
      <c r="GO121" s="76"/>
      <c r="GP121" s="76"/>
      <c r="GQ121" s="76"/>
      <c r="GR121" s="76"/>
      <c r="GS121" s="76"/>
      <c r="GT121" s="76"/>
      <c r="GU121" s="76"/>
      <c r="GV121" s="76"/>
      <c r="GW121" s="76"/>
      <c r="GX121" s="76"/>
      <c r="GY121" s="76"/>
      <c r="GZ121" s="76"/>
      <c r="HA121" s="76"/>
      <c r="HB121" s="76"/>
      <c r="HC121" s="76"/>
      <c r="HD121" s="76"/>
      <c r="HE121" s="76"/>
      <c r="HF121" s="76"/>
      <c r="HG121" s="76"/>
      <c r="HH121" s="76"/>
      <c r="HI121" s="76"/>
      <c r="HJ121" s="76"/>
      <c r="HK121" s="76"/>
      <c r="HL121" s="76"/>
      <c r="HM121" s="76"/>
      <c r="HN121" s="76"/>
      <c r="HO121" s="76"/>
      <c r="HP121" s="76"/>
      <c r="HQ121" s="76"/>
      <c r="HR121" s="76"/>
      <c r="HS121" s="76"/>
      <c r="HT121" s="76"/>
      <c r="HU121" s="76"/>
      <c r="HV121" s="76"/>
      <c r="HW121" s="76"/>
      <c r="HX121" s="76"/>
      <c r="HY121" s="76"/>
      <c r="HZ121" s="76"/>
      <c r="IA121" s="76"/>
      <c r="IB121" s="76"/>
      <c r="IC121" s="76"/>
      <c r="ID121" s="76"/>
      <c r="IE121" s="76"/>
      <c r="IF121" s="76"/>
      <c r="IG121" s="76"/>
      <c r="IH121" s="76"/>
      <c r="II121" s="76"/>
      <c r="IJ121" s="76"/>
      <c r="IK121" s="76"/>
      <c r="IL121" s="76"/>
      <c r="IM121" s="76"/>
      <c r="IN121" s="76"/>
    </row>
    <row r="122" spans="1:248" s="16" customFormat="1">
      <c r="A122" s="71"/>
      <c r="B122" s="76"/>
      <c r="C122" s="76"/>
      <c r="D122" s="87"/>
      <c r="E122" s="87"/>
      <c r="F122" s="76"/>
      <c r="G122" s="87"/>
      <c r="H122" s="76"/>
      <c r="I122" s="76"/>
      <c r="J122" s="78"/>
      <c r="K122" s="5"/>
      <c r="L122" s="5"/>
      <c r="M122" s="5"/>
      <c r="N122" s="9"/>
      <c r="O122" s="57"/>
      <c r="P122" s="9"/>
      <c r="Q122" s="5"/>
      <c r="R122" s="76"/>
      <c r="S122" s="76"/>
      <c r="T122" s="76"/>
      <c r="U122" s="76"/>
      <c r="V122" s="76"/>
      <c r="W122" s="84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  <c r="BF122" s="76"/>
      <c r="BG122" s="76"/>
      <c r="BH122" s="76"/>
      <c r="BI122" s="76"/>
      <c r="BJ122" s="76"/>
      <c r="BK122" s="76"/>
      <c r="BL122" s="76"/>
      <c r="BM122" s="76"/>
      <c r="BN122" s="76"/>
      <c r="BO122" s="76"/>
      <c r="BP122" s="76"/>
      <c r="BQ122" s="76"/>
      <c r="BR122" s="76"/>
      <c r="BS122" s="76"/>
      <c r="BT122" s="76"/>
      <c r="BU122" s="76"/>
      <c r="BV122" s="76"/>
      <c r="BW122" s="76"/>
      <c r="BX122" s="76"/>
      <c r="BY122" s="76"/>
      <c r="BZ122" s="76"/>
      <c r="CA122" s="76"/>
      <c r="CB122" s="76"/>
      <c r="CC122" s="76"/>
      <c r="CD122" s="76"/>
      <c r="CE122" s="76"/>
      <c r="CF122" s="76"/>
      <c r="CG122" s="76"/>
      <c r="CH122" s="76"/>
      <c r="CI122" s="76"/>
      <c r="CJ122" s="76"/>
      <c r="CK122" s="76"/>
      <c r="CL122" s="76"/>
      <c r="CM122" s="76"/>
      <c r="CN122" s="76"/>
      <c r="CO122" s="76"/>
      <c r="CP122" s="76"/>
      <c r="CQ122" s="76"/>
      <c r="CR122" s="76"/>
      <c r="CS122" s="76"/>
      <c r="CT122" s="76"/>
      <c r="CU122" s="76"/>
      <c r="CV122" s="76"/>
      <c r="CW122" s="76"/>
      <c r="CX122" s="76"/>
      <c r="CY122" s="76"/>
      <c r="CZ122" s="76"/>
      <c r="DA122" s="76"/>
      <c r="DB122" s="76"/>
      <c r="DC122" s="76"/>
      <c r="DD122" s="76"/>
      <c r="DE122" s="76"/>
      <c r="DF122" s="76"/>
      <c r="DG122" s="76"/>
      <c r="DH122" s="76"/>
      <c r="DI122" s="76"/>
      <c r="DJ122" s="76"/>
      <c r="DK122" s="76"/>
      <c r="DL122" s="76"/>
      <c r="DM122" s="76"/>
      <c r="DN122" s="76"/>
      <c r="DO122" s="76"/>
      <c r="DP122" s="76"/>
      <c r="DQ122" s="76"/>
      <c r="DR122" s="76"/>
      <c r="DS122" s="76"/>
      <c r="DT122" s="76"/>
      <c r="DU122" s="76"/>
      <c r="DV122" s="76"/>
      <c r="DW122" s="76"/>
      <c r="DX122" s="76"/>
      <c r="DY122" s="76"/>
      <c r="DZ122" s="76"/>
      <c r="EA122" s="76"/>
      <c r="EB122" s="76"/>
      <c r="EC122" s="76"/>
      <c r="ED122" s="76"/>
      <c r="EE122" s="76"/>
      <c r="EF122" s="76"/>
      <c r="EG122" s="76"/>
      <c r="EH122" s="76"/>
      <c r="EI122" s="76"/>
      <c r="EJ122" s="76"/>
      <c r="EK122" s="76"/>
      <c r="EL122" s="76"/>
      <c r="EM122" s="76"/>
      <c r="EN122" s="76"/>
      <c r="EO122" s="76"/>
      <c r="EP122" s="76"/>
      <c r="EQ122" s="76"/>
      <c r="ER122" s="76"/>
      <c r="ES122" s="76"/>
      <c r="ET122" s="76"/>
      <c r="EU122" s="76"/>
      <c r="EV122" s="76"/>
      <c r="EW122" s="76"/>
      <c r="EX122" s="76"/>
      <c r="EY122" s="76"/>
      <c r="EZ122" s="76"/>
      <c r="FA122" s="76"/>
      <c r="FB122" s="76"/>
      <c r="FC122" s="76"/>
      <c r="FD122" s="76"/>
      <c r="FE122" s="76"/>
      <c r="FF122" s="76"/>
      <c r="FG122" s="76"/>
      <c r="FH122" s="76"/>
      <c r="FI122" s="76"/>
      <c r="FJ122" s="76"/>
      <c r="FK122" s="76"/>
      <c r="FL122" s="76"/>
      <c r="FM122" s="76"/>
      <c r="FN122" s="76"/>
      <c r="FO122" s="76"/>
      <c r="FP122" s="76"/>
      <c r="FQ122" s="76"/>
      <c r="FR122" s="76"/>
      <c r="FS122" s="76"/>
      <c r="FT122" s="76"/>
      <c r="FU122" s="76"/>
      <c r="FV122" s="76"/>
      <c r="FW122" s="76"/>
      <c r="FX122" s="76"/>
      <c r="FY122" s="76"/>
      <c r="FZ122" s="76"/>
      <c r="GA122" s="76"/>
      <c r="GB122" s="76"/>
      <c r="GC122" s="76"/>
      <c r="GD122" s="76"/>
      <c r="GE122" s="76"/>
      <c r="GF122" s="76"/>
      <c r="GG122" s="76"/>
      <c r="GH122" s="76"/>
      <c r="GI122" s="76"/>
      <c r="GJ122" s="76"/>
      <c r="GK122" s="76"/>
      <c r="GL122" s="76"/>
      <c r="GM122" s="76"/>
      <c r="GN122" s="76"/>
      <c r="GO122" s="76"/>
      <c r="GP122" s="76"/>
      <c r="GQ122" s="76"/>
      <c r="GR122" s="76"/>
      <c r="GS122" s="76"/>
      <c r="GT122" s="76"/>
      <c r="GU122" s="76"/>
      <c r="GV122" s="76"/>
      <c r="GW122" s="76"/>
      <c r="GX122" s="76"/>
      <c r="GY122" s="76"/>
      <c r="GZ122" s="76"/>
      <c r="HA122" s="76"/>
      <c r="HB122" s="76"/>
      <c r="HC122" s="76"/>
      <c r="HD122" s="76"/>
      <c r="HE122" s="76"/>
      <c r="HF122" s="76"/>
      <c r="HG122" s="76"/>
      <c r="HH122" s="76"/>
      <c r="HI122" s="76"/>
      <c r="HJ122" s="76"/>
      <c r="HK122" s="76"/>
      <c r="HL122" s="76"/>
      <c r="HM122" s="76"/>
      <c r="HN122" s="76"/>
      <c r="HO122" s="76"/>
      <c r="HP122" s="76"/>
      <c r="HQ122" s="76"/>
      <c r="HR122" s="76"/>
      <c r="HS122" s="76"/>
      <c r="HT122" s="76"/>
      <c r="HU122" s="76"/>
      <c r="HV122" s="76"/>
      <c r="HW122" s="76"/>
      <c r="HX122" s="76"/>
      <c r="HY122" s="76"/>
      <c r="HZ122" s="76"/>
      <c r="IA122" s="76"/>
      <c r="IB122" s="76"/>
      <c r="IC122" s="76"/>
      <c r="ID122" s="76"/>
      <c r="IE122" s="76"/>
      <c r="IF122" s="76"/>
      <c r="IG122" s="76"/>
      <c r="IH122" s="76"/>
      <c r="II122" s="76"/>
      <c r="IJ122" s="76"/>
      <c r="IK122" s="76"/>
      <c r="IL122" s="76"/>
      <c r="IM122" s="76"/>
      <c r="IN122" s="76"/>
    </row>
    <row r="123" spans="1:248" s="16" customFormat="1">
      <c r="A123" s="71"/>
      <c r="B123" s="76"/>
      <c r="C123" s="76"/>
      <c r="D123" s="87"/>
      <c r="E123" s="87"/>
      <c r="F123" s="76"/>
      <c r="G123" s="87"/>
      <c r="H123" s="76"/>
      <c r="I123" s="76"/>
      <c r="J123" s="78"/>
      <c r="K123" s="5"/>
      <c r="L123" s="5"/>
      <c r="M123" s="5"/>
      <c r="N123" s="9"/>
      <c r="O123" s="57"/>
      <c r="P123" s="9"/>
      <c r="Q123" s="5"/>
      <c r="R123" s="76"/>
      <c r="S123" s="76"/>
      <c r="T123" s="76"/>
      <c r="U123" s="76"/>
      <c r="V123" s="76"/>
      <c r="W123" s="84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  <c r="BU123" s="76"/>
      <c r="BV123" s="76"/>
      <c r="BW123" s="76"/>
      <c r="BX123" s="76"/>
      <c r="BY123" s="76"/>
      <c r="BZ123" s="76"/>
      <c r="CA123" s="76"/>
      <c r="CB123" s="76"/>
      <c r="CC123" s="76"/>
      <c r="CD123" s="76"/>
      <c r="CE123" s="76"/>
      <c r="CF123" s="76"/>
      <c r="CG123" s="76"/>
      <c r="CH123" s="76"/>
      <c r="CI123" s="76"/>
      <c r="CJ123" s="76"/>
      <c r="CK123" s="76"/>
      <c r="CL123" s="76"/>
      <c r="CM123" s="76"/>
      <c r="CN123" s="76"/>
      <c r="CO123" s="76"/>
      <c r="CP123" s="76"/>
      <c r="CQ123" s="76"/>
      <c r="CR123" s="76"/>
      <c r="CS123" s="76"/>
      <c r="CT123" s="76"/>
      <c r="CU123" s="76"/>
      <c r="CV123" s="76"/>
      <c r="CW123" s="76"/>
      <c r="CX123" s="76"/>
      <c r="CY123" s="76"/>
      <c r="CZ123" s="76"/>
      <c r="DA123" s="76"/>
      <c r="DB123" s="76"/>
      <c r="DC123" s="76"/>
      <c r="DD123" s="76"/>
      <c r="DE123" s="76"/>
      <c r="DF123" s="76"/>
      <c r="DG123" s="76"/>
      <c r="DH123" s="76"/>
      <c r="DI123" s="76"/>
      <c r="DJ123" s="76"/>
      <c r="DK123" s="76"/>
      <c r="DL123" s="76"/>
      <c r="DM123" s="76"/>
      <c r="DN123" s="76"/>
      <c r="DO123" s="76"/>
      <c r="DP123" s="76"/>
      <c r="DQ123" s="76"/>
      <c r="DR123" s="76"/>
      <c r="DS123" s="76"/>
      <c r="DT123" s="76"/>
      <c r="DU123" s="76"/>
      <c r="DV123" s="76"/>
      <c r="DW123" s="76"/>
      <c r="DX123" s="76"/>
      <c r="DY123" s="76"/>
      <c r="DZ123" s="76"/>
      <c r="EA123" s="76"/>
      <c r="EB123" s="76"/>
      <c r="EC123" s="76"/>
      <c r="ED123" s="76"/>
      <c r="EE123" s="76"/>
      <c r="EF123" s="76"/>
      <c r="EG123" s="76"/>
      <c r="EH123" s="76"/>
      <c r="EI123" s="76"/>
      <c r="EJ123" s="76"/>
      <c r="EK123" s="76"/>
      <c r="EL123" s="76"/>
      <c r="EM123" s="76"/>
      <c r="EN123" s="76"/>
      <c r="EO123" s="76"/>
      <c r="EP123" s="76"/>
      <c r="EQ123" s="76"/>
      <c r="ER123" s="76"/>
      <c r="ES123" s="76"/>
      <c r="ET123" s="76"/>
      <c r="EU123" s="76"/>
      <c r="EV123" s="76"/>
      <c r="EW123" s="76"/>
      <c r="EX123" s="76"/>
      <c r="EY123" s="76"/>
      <c r="EZ123" s="76"/>
      <c r="FA123" s="76"/>
      <c r="FB123" s="76"/>
      <c r="FC123" s="76"/>
      <c r="FD123" s="76"/>
      <c r="FE123" s="76"/>
      <c r="FF123" s="76"/>
      <c r="FG123" s="76"/>
      <c r="FH123" s="76"/>
      <c r="FI123" s="76"/>
      <c r="FJ123" s="76"/>
      <c r="FK123" s="76"/>
      <c r="FL123" s="76"/>
      <c r="FM123" s="76"/>
      <c r="FN123" s="76"/>
      <c r="FO123" s="76"/>
      <c r="FP123" s="76"/>
      <c r="FQ123" s="76"/>
      <c r="FR123" s="76"/>
      <c r="FS123" s="76"/>
      <c r="FT123" s="76"/>
      <c r="FU123" s="76"/>
      <c r="FV123" s="76"/>
      <c r="FW123" s="76"/>
      <c r="FX123" s="76"/>
      <c r="FY123" s="76"/>
      <c r="FZ123" s="76"/>
      <c r="GA123" s="76"/>
      <c r="GB123" s="76"/>
      <c r="GC123" s="76"/>
      <c r="GD123" s="76"/>
      <c r="GE123" s="76"/>
      <c r="GF123" s="76"/>
      <c r="GG123" s="76"/>
      <c r="GH123" s="76"/>
      <c r="GI123" s="76"/>
      <c r="GJ123" s="76"/>
      <c r="GK123" s="76"/>
      <c r="GL123" s="76"/>
      <c r="GM123" s="76"/>
      <c r="GN123" s="76"/>
      <c r="GO123" s="76"/>
      <c r="GP123" s="76"/>
      <c r="GQ123" s="76"/>
      <c r="GR123" s="76"/>
      <c r="GS123" s="76"/>
      <c r="GT123" s="76"/>
      <c r="GU123" s="76"/>
      <c r="GV123" s="76"/>
      <c r="GW123" s="76"/>
      <c r="GX123" s="76"/>
      <c r="GY123" s="76"/>
      <c r="GZ123" s="76"/>
      <c r="HA123" s="76"/>
      <c r="HB123" s="76"/>
      <c r="HC123" s="76"/>
      <c r="HD123" s="76"/>
      <c r="HE123" s="76"/>
      <c r="HF123" s="76"/>
      <c r="HG123" s="76"/>
      <c r="HH123" s="76"/>
      <c r="HI123" s="76"/>
      <c r="HJ123" s="76"/>
      <c r="HK123" s="76"/>
      <c r="HL123" s="76"/>
      <c r="HM123" s="76"/>
      <c r="HN123" s="76"/>
      <c r="HO123" s="76"/>
      <c r="HP123" s="76"/>
      <c r="HQ123" s="76"/>
      <c r="HR123" s="76"/>
      <c r="HS123" s="76"/>
      <c r="HT123" s="76"/>
      <c r="HU123" s="76"/>
      <c r="HV123" s="76"/>
      <c r="HW123" s="76"/>
      <c r="HX123" s="76"/>
      <c r="HY123" s="76"/>
      <c r="HZ123" s="76"/>
      <c r="IA123" s="76"/>
      <c r="IB123" s="76"/>
      <c r="IC123" s="76"/>
      <c r="ID123" s="76"/>
      <c r="IE123" s="76"/>
      <c r="IF123" s="76"/>
      <c r="IG123" s="76"/>
      <c r="IH123" s="76"/>
      <c r="II123" s="76"/>
      <c r="IJ123" s="76"/>
      <c r="IK123" s="76"/>
      <c r="IL123" s="76"/>
      <c r="IM123" s="76"/>
      <c r="IN123" s="76"/>
    </row>
    <row r="124" spans="1:248" s="16" customFormat="1">
      <c r="A124" s="71"/>
      <c r="B124" s="76"/>
      <c r="C124" s="76"/>
      <c r="D124" s="87"/>
      <c r="E124" s="87"/>
      <c r="F124" s="76"/>
      <c r="G124" s="87"/>
      <c r="H124" s="76"/>
      <c r="I124" s="76"/>
      <c r="J124" s="78"/>
      <c r="K124" s="5"/>
      <c r="L124" s="5"/>
      <c r="M124" s="5"/>
      <c r="N124" s="9"/>
      <c r="O124" s="57"/>
      <c r="P124" s="9"/>
      <c r="Q124" s="5"/>
      <c r="R124" s="76"/>
      <c r="S124" s="76"/>
      <c r="T124" s="76"/>
      <c r="U124" s="76"/>
      <c r="V124" s="76"/>
      <c r="W124" s="84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/>
      <c r="BS124" s="76"/>
      <c r="BT124" s="76"/>
      <c r="BU124" s="76"/>
      <c r="BV124" s="76"/>
      <c r="BW124" s="76"/>
      <c r="BX124" s="76"/>
      <c r="BY124" s="76"/>
      <c r="BZ124" s="76"/>
      <c r="CA124" s="76"/>
      <c r="CB124" s="76"/>
      <c r="CC124" s="76"/>
      <c r="CD124" s="76"/>
      <c r="CE124" s="76"/>
      <c r="CF124" s="76"/>
      <c r="CG124" s="76"/>
      <c r="CH124" s="76"/>
      <c r="CI124" s="76"/>
      <c r="CJ124" s="76"/>
      <c r="CK124" s="76"/>
      <c r="CL124" s="76"/>
      <c r="CM124" s="76"/>
      <c r="CN124" s="76"/>
      <c r="CO124" s="76"/>
      <c r="CP124" s="76"/>
      <c r="CQ124" s="76"/>
      <c r="CR124" s="76"/>
      <c r="CS124" s="76"/>
      <c r="CT124" s="76"/>
      <c r="CU124" s="76"/>
      <c r="CV124" s="76"/>
      <c r="CW124" s="76"/>
      <c r="CX124" s="76"/>
      <c r="CY124" s="76"/>
      <c r="CZ124" s="76"/>
      <c r="DA124" s="76"/>
      <c r="DB124" s="76"/>
      <c r="DC124" s="76"/>
      <c r="DD124" s="76"/>
      <c r="DE124" s="76"/>
      <c r="DF124" s="76"/>
      <c r="DG124" s="76"/>
      <c r="DH124" s="76"/>
      <c r="DI124" s="76"/>
      <c r="DJ124" s="76"/>
      <c r="DK124" s="76"/>
      <c r="DL124" s="76"/>
      <c r="DM124" s="76"/>
      <c r="DN124" s="76"/>
      <c r="DO124" s="76"/>
      <c r="DP124" s="76"/>
      <c r="DQ124" s="76"/>
      <c r="DR124" s="76"/>
      <c r="DS124" s="76"/>
      <c r="DT124" s="76"/>
      <c r="DU124" s="76"/>
      <c r="DV124" s="76"/>
      <c r="DW124" s="76"/>
      <c r="DX124" s="76"/>
      <c r="DY124" s="76"/>
      <c r="DZ124" s="76"/>
      <c r="EA124" s="76"/>
      <c r="EB124" s="76"/>
      <c r="EC124" s="76"/>
      <c r="ED124" s="76"/>
      <c r="EE124" s="76"/>
      <c r="EF124" s="76"/>
      <c r="EG124" s="76"/>
      <c r="EH124" s="76"/>
      <c r="EI124" s="76"/>
      <c r="EJ124" s="76"/>
      <c r="EK124" s="76"/>
      <c r="EL124" s="76"/>
      <c r="EM124" s="76"/>
      <c r="EN124" s="76"/>
      <c r="EO124" s="76"/>
      <c r="EP124" s="76"/>
      <c r="EQ124" s="76"/>
      <c r="ER124" s="76"/>
      <c r="ES124" s="76"/>
      <c r="ET124" s="76"/>
      <c r="EU124" s="76"/>
      <c r="EV124" s="76"/>
      <c r="EW124" s="76"/>
      <c r="EX124" s="76"/>
      <c r="EY124" s="76"/>
      <c r="EZ124" s="76"/>
      <c r="FA124" s="76"/>
      <c r="FB124" s="76"/>
      <c r="FC124" s="76"/>
      <c r="FD124" s="76"/>
      <c r="FE124" s="76"/>
      <c r="FF124" s="76"/>
      <c r="FG124" s="76"/>
      <c r="FH124" s="76"/>
      <c r="FI124" s="76"/>
      <c r="FJ124" s="76"/>
      <c r="FK124" s="76"/>
      <c r="FL124" s="76"/>
      <c r="FM124" s="76"/>
      <c r="FN124" s="76"/>
      <c r="FO124" s="76"/>
      <c r="FP124" s="76"/>
      <c r="FQ124" s="76"/>
      <c r="FR124" s="76"/>
      <c r="FS124" s="76"/>
      <c r="FT124" s="76"/>
      <c r="FU124" s="76"/>
      <c r="FV124" s="76"/>
      <c r="FW124" s="76"/>
      <c r="FX124" s="76"/>
      <c r="FY124" s="76"/>
      <c r="FZ124" s="76"/>
      <c r="GA124" s="76"/>
      <c r="GB124" s="76"/>
      <c r="GC124" s="76"/>
      <c r="GD124" s="76"/>
      <c r="GE124" s="76"/>
      <c r="GF124" s="76"/>
      <c r="GG124" s="76"/>
      <c r="GH124" s="76"/>
      <c r="GI124" s="76"/>
      <c r="GJ124" s="76"/>
      <c r="GK124" s="76"/>
      <c r="GL124" s="76"/>
      <c r="GM124" s="76"/>
      <c r="GN124" s="76"/>
      <c r="GO124" s="76"/>
      <c r="GP124" s="76"/>
      <c r="GQ124" s="76"/>
      <c r="GR124" s="76"/>
      <c r="GS124" s="76"/>
      <c r="GT124" s="76"/>
      <c r="GU124" s="76"/>
      <c r="GV124" s="76"/>
      <c r="GW124" s="76"/>
      <c r="GX124" s="76"/>
      <c r="GY124" s="76"/>
      <c r="GZ124" s="76"/>
      <c r="HA124" s="76"/>
      <c r="HB124" s="76"/>
      <c r="HC124" s="76"/>
      <c r="HD124" s="76"/>
      <c r="HE124" s="76"/>
      <c r="HF124" s="76"/>
      <c r="HG124" s="76"/>
      <c r="HH124" s="76"/>
      <c r="HI124" s="76"/>
      <c r="HJ124" s="76"/>
      <c r="HK124" s="76"/>
      <c r="HL124" s="76"/>
      <c r="HM124" s="76"/>
      <c r="HN124" s="76"/>
      <c r="HO124" s="76"/>
      <c r="HP124" s="76"/>
      <c r="HQ124" s="76"/>
      <c r="HR124" s="76"/>
      <c r="HS124" s="76"/>
      <c r="HT124" s="76"/>
      <c r="HU124" s="76"/>
      <c r="HV124" s="76"/>
      <c r="HW124" s="76"/>
      <c r="HX124" s="76"/>
      <c r="HY124" s="76"/>
      <c r="HZ124" s="76"/>
      <c r="IA124" s="76"/>
      <c r="IB124" s="76"/>
      <c r="IC124" s="76"/>
      <c r="ID124" s="76"/>
      <c r="IE124" s="76"/>
      <c r="IF124" s="76"/>
      <c r="IG124" s="76"/>
      <c r="IH124" s="76"/>
      <c r="II124" s="76"/>
      <c r="IJ124" s="76"/>
      <c r="IK124" s="76"/>
      <c r="IL124" s="76"/>
      <c r="IM124" s="76"/>
      <c r="IN124" s="76"/>
    </row>
    <row r="125" spans="1:248" s="16" customFormat="1">
      <c r="A125" s="71"/>
      <c r="B125" s="76"/>
      <c r="C125" s="76"/>
      <c r="D125" s="87"/>
      <c r="E125" s="87"/>
      <c r="F125" s="76"/>
      <c r="G125" s="87"/>
      <c r="H125" s="76"/>
      <c r="I125" s="76"/>
      <c r="J125" s="78"/>
      <c r="K125" s="5"/>
      <c r="L125" s="5"/>
      <c r="M125" s="5"/>
      <c r="N125" s="9"/>
      <c r="O125" s="57"/>
      <c r="P125" s="9"/>
      <c r="Q125" s="5"/>
      <c r="R125" s="76"/>
      <c r="S125" s="76"/>
      <c r="T125" s="76"/>
      <c r="U125" s="76"/>
      <c r="V125" s="76"/>
      <c r="W125" s="84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  <c r="CE125" s="76"/>
      <c r="CF125" s="76"/>
      <c r="CG125" s="76"/>
      <c r="CH125" s="76"/>
      <c r="CI125" s="76"/>
      <c r="CJ125" s="76"/>
      <c r="CK125" s="76"/>
      <c r="CL125" s="76"/>
      <c r="CM125" s="76"/>
      <c r="CN125" s="76"/>
      <c r="CO125" s="76"/>
      <c r="CP125" s="76"/>
      <c r="CQ125" s="76"/>
      <c r="CR125" s="76"/>
      <c r="CS125" s="76"/>
      <c r="CT125" s="76"/>
      <c r="CU125" s="76"/>
      <c r="CV125" s="76"/>
      <c r="CW125" s="76"/>
      <c r="CX125" s="76"/>
      <c r="CY125" s="76"/>
      <c r="CZ125" s="76"/>
      <c r="DA125" s="76"/>
      <c r="DB125" s="76"/>
      <c r="DC125" s="76"/>
      <c r="DD125" s="76"/>
      <c r="DE125" s="76"/>
      <c r="DF125" s="76"/>
      <c r="DG125" s="76"/>
      <c r="DH125" s="76"/>
      <c r="DI125" s="76"/>
      <c r="DJ125" s="76"/>
      <c r="DK125" s="76"/>
      <c r="DL125" s="76"/>
      <c r="DM125" s="76"/>
      <c r="DN125" s="76"/>
      <c r="DO125" s="76"/>
      <c r="DP125" s="76"/>
      <c r="DQ125" s="76"/>
      <c r="DR125" s="76"/>
      <c r="DS125" s="76"/>
      <c r="DT125" s="76"/>
      <c r="DU125" s="76"/>
      <c r="DV125" s="76"/>
      <c r="DW125" s="76"/>
      <c r="DX125" s="76"/>
      <c r="DY125" s="76"/>
      <c r="DZ125" s="76"/>
      <c r="EA125" s="76"/>
      <c r="EB125" s="76"/>
      <c r="EC125" s="76"/>
      <c r="ED125" s="76"/>
      <c r="EE125" s="76"/>
      <c r="EF125" s="76"/>
      <c r="EG125" s="76"/>
      <c r="EH125" s="76"/>
      <c r="EI125" s="76"/>
      <c r="EJ125" s="76"/>
      <c r="EK125" s="76"/>
      <c r="EL125" s="76"/>
      <c r="EM125" s="76"/>
      <c r="EN125" s="76"/>
      <c r="EO125" s="76"/>
      <c r="EP125" s="76"/>
      <c r="EQ125" s="76"/>
      <c r="ER125" s="76"/>
      <c r="ES125" s="76"/>
      <c r="ET125" s="76"/>
      <c r="EU125" s="76"/>
      <c r="EV125" s="76"/>
      <c r="EW125" s="76"/>
      <c r="EX125" s="76"/>
      <c r="EY125" s="76"/>
      <c r="EZ125" s="76"/>
      <c r="FA125" s="76"/>
      <c r="FB125" s="76"/>
      <c r="FC125" s="76"/>
      <c r="FD125" s="76"/>
      <c r="FE125" s="76"/>
      <c r="FF125" s="76"/>
      <c r="FG125" s="76"/>
      <c r="FH125" s="76"/>
      <c r="FI125" s="76"/>
      <c r="FJ125" s="76"/>
      <c r="FK125" s="76"/>
      <c r="FL125" s="76"/>
      <c r="FM125" s="76"/>
      <c r="FN125" s="76"/>
      <c r="FO125" s="76"/>
      <c r="FP125" s="76"/>
      <c r="FQ125" s="76"/>
      <c r="FR125" s="76"/>
      <c r="FS125" s="76"/>
      <c r="FT125" s="76"/>
      <c r="FU125" s="76"/>
      <c r="FV125" s="76"/>
      <c r="FW125" s="76"/>
      <c r="FX125" s="76"/>
      <c r="FY125" s="76"/>
      <c r="FZ125" s="76"/>
      <c r="GA125" s="76"/>
      <c r="GB125" s="76"/>
      <c r="GC125" s="76"/>
      <c r="GD125" s="76"/>
      <c r="GE125" s="76"/>
      <c r="GF125" s="76"/>
      <c r="GG125" s="76"/>
      <c r="GH125" s="76"/>
      <c r="GI125" s="76"/>
      <c r="GJ125" s="76"/>
      <c r="GK125" s="76"/>
      <c r="GL125" s="76"/>
      <c r="GM125" s="76"/>
      <c r="GN125" s="76"/>
      <c r="GO125" s="76"/>
      <c r="GP125" s="76"/>
      <c r="GQ125" s="76"/>
      <c r="GR125" s="76"/>
      <c r="GS125" s="76"/>
      <c r="GT125" s="76"/>
      <c r="GU125" s="76"/>
      <c r="GV125" s="76"/>
      <c r="GW125" s="76"/>
      <c r="GX125" s="76"/>
      <c r="GY125" s="76"/>
      <c r="GZ125" s="76"/>
      <c r="HA125" s="76"/>
      <c r="HB125" s="76"/>
      <c r="HC125" s="76"/>
      <c r="HD125" s="76"/>
      <c r="HE125" s="76"/>
      <c r="HF125" s="76"/>
      <c r="HG125" s="76"/>
      <c r="HH125" s="76"/>
      <c r="HI125" s="76"/>
      <c r="HJ125" s="76"/>
      <c r="HK125" s="76"/>
      <c r="HL125" s="76"/>
      <c r="HM125" s="76"/>
      <c r="HN125" s="76"/>
      <c r="HO125" s="76"/>
      <c r="HP125" s="76"/>
      <c r="HQ125" s="76"/>
      <c r="HR125" s="76"/>
      <c r="HS125" s="76"/>
      <c r="HT125" s="76"/>
      <c r="HU125" s="76"/>
      <c r="HV125" s="76"/>
      <c r="HW125" s="76"/>
      <c r="HX125" s="76"/>
      <c r="HY125" s="76"/>
      <c r="HZ125" s="76"/>
      <c r="IA125" s="76"/>
      <c r="IB125" s="76"/>
      <c r="IC125" s="76"/>
      <c r="ID125" s="76"/>
      <c r="IE125" s="76"/>
      <c r="IF125" s="76"/>
      <c r="IG125" s="76"/>
      <c r="IH125" s="76"/>
      <c r="II125" s="76"/>
      <c r="IJ125" s="76"/>
      <c r="IK125" s="76"/>
      <c r="IL125" s="76"/>
      <c r="IM125" s="76"/>
      <c r="IN125" s="76"/>
    </row>
    <row r="126" spans="1:248" s="16" customFormat="1">
      <c r="A126" s="71"/>
      <c r="B126" s="76"/>
      <c r="C126" s="76"/>
      <c r="D126" s="87"/>
      <c r="E126" s="87"/>
      <c r="F126" s="76"/>
      <c r="G126" s="87"/>
      <c r="H126" s="76"/>
      <c r="I126" s="76"/>
      <c r="J126" s="78"/>
      <c r="K126" s="5"/>
      <c r="L126" s="5"/>
      <c r="M126" s="5"/>
      <c r="N126" s="9"/>
      <c r="O126" s="57"/>
      <c r="P126" s="9"/>
      <c r="Q126" s="5"/>
      <c r="R126" s="76"/>
      <c r="S126" s="76"/>
      <c r="T126" s="76"/>
      <c r="U126" s="76"/>
      <c r="V126" s="76"/>
      <c r="W126" s="84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  <c r="CE126" s="76"/>
      <c r="CF126" s="76"/>
      <c r="CG126" s="76"/>
      <c r="CH126" s="76"/>
      <c r="CI126" s="76"/>
      <c r="CJ126" s="76"/>
      <c r="CK126" s="76"/>
      <c r="CL126" s="76"/>
      <c r="CM126" s="76"/>
      <c r="CN126" s="76"/>
      <c r="CO126" s="76"/>
      <c r="CP126" s="76"/>
      <c r="CQ126" s="76"/>
      <c r="CR126" s="76"/>
      <c r="CS126" s="76"/>
      <c r="CT126" s="76"/>
      <c r="CU126" s="76"/>
      <c r="CV126" s="76"/>
      <c r="CW126" s="76"/>
      <c r="CX126" s="76"/>
      <c r="CY126" s="76"/>
      <c r="CZ126" s="76"/>
      <c r="DA126" s="76"/>
      <c r="DB126" s="76"/>
      <c r="DC126" s="76"/>
      <c r="DD126" s="76"/>
      <c r="DE126" s="76"/>
      <c r="DF126" s="76"/>
      <c r="DG126" s="76"/>
      <c r="DH126" s="76"/>
      <c r="DI126" s="76"/>
      <c r="DJ126" s="76"/>
      <c r="DK126" s="76"/>
      <c r="DL126" s="76"/>
      <c r="DM126" s="76"/>
      <c r="DN126" s="76"/>
      <c r="DO126" s="76"/>
      <c r="DP126" s="76"/>
      <c r="DQ126" s="76"/>
      <c r="DR126" s="76"/>
      <c r="DS126" s="76"/>
      <c r="DT126" s="76"/>
      <c r="DU126" s="76"/>
      <c r="DV126" s="76"/>
      <c r="DW126" s="76"/>
      <c r="DX126" s="76"/>
      <c r="DY126" s="76"/>
      <c r="DZ126" s="76"/>
      <c r="EA126" s="76"/>
      <c r="EB126" s="76"/>
      <c r="EC126" s="76"/>
      <c r="ED126" s="76"/>
      <c r="EE126" s="76"/>
      <c r="EF126" s="76"/>
      <c r="EG126" s="76"/>
      <c r="EH126" s="76"/>
      <c r="EI126" s="76"/>
      <c r="EJ126" s="76"/>
      <c r="EK126" s="76"/>
      <c r="EL126" s="76"/>
      <c r="EM126" s="76"/>
      <c r="EN126" s="76"/>
      <c r="EO126" s="76"/>
      <c r="EP126" s="76"/>
      <c r="EQ126" s="76"/>
      <c r="ER126" s="76"/>
      <c r="ES126" s="76"/>
      <c r="ET126" s="76"/>
      <c r="EU126" s="76"/>
      <c r="EV126" s="76"/>
      <c r="EW126" s="76"/>
      <c r="EX126" s="76"/>
      <c r="EY126" s="76"/>
      <c r="EZ126" s="76"/>
      <c r="FA126" s="76"/>
      <c r="FB126" s="76"/>
      <c r="FC126" s="76"/>
      <c r="FD126" s="76"/>
      <c r="FE126" s="76"/>
      <c r="FF126" s="76"/>
      <c r="FG126" s="76"/>
      <c r="FH126" s="76"/>
      <c r="FI126" s="76"/>
      <c r="FJ126" s="76"/>
      <c r="FK126" s="76"/>
      <c r="FL126" s="76"/>
      <c r="FM126" s="76"/>
      <c r="FN126" s="76"/>
      <c r="FO126" s="76"/>
      <c r="FP126" s="76"/>
      <c r="FQ126" s="76"/>
      <c r="FR126" s="76"/>
      <c r="FS126" s="76"/>
      <c r="FT126" s="76"/>
      <c r="FU126" s="76"/>
      <c r="FV126" s="76"/>
      <c r="FW126" s="76"/>
      <c r="FX126" s="76"/>
      <c r="FY126" s="76"/>
      <c r="FZ126" s="76"/>
      <c r="GA126" s="76"/>
      <c r="GB126" s="76"/>
      <c r="GC126" s="76"/>
      <c r="GD126" s="76"/>
      <c r="GE126" s="76"/>
      <c r="GF126" s="76"/>
      <c r="GG126" s="76"/>
      <c r="GH126" s="76"/>
      <c r="GI126" s="76"/>
      <c r="GJ126" s="76"/>
      <c r="GK126" s="76"/>
      <c r="GL126" s="76"/>
      <c r="GM126" s="76"/>
      <c r="GN126" s="76"/>
      <c r="GO126" s="76"/>
      <c r="GP126" s="76"/>
      <c r="GQ126" s="76"/>
      <c r="GR126" s="76"/>
      <c r="GS126" s="76"/>
      <c r="GT126" s="76"/>
      <c r="GU126" s="76"/>
      <c r="GV126" s="76"/>
      <c r="GW126" s="76"/>
      <c r="GX126" s="76"/>
      <c r="GY126" s="76"/>
      <c r="GZ126" s="76"/>
      <c r="HA126" s="76"/>
      <c r="HB126" s="76"/>
      <c r="HC126" s="76"/>
      <c r="HD126" s="76"/>
      <c r="HE126" s="76"/>
      <c r="HF126" s="76"/>
      <c r="HG126" s="76"/>
      <c r="HH126" s="76"/>
      <c r="HI126" s="76"/>
      <c r="HJ126" s="76"/>
      <c r="HK126" s="76"/>
      <c r="HL126" s="76"/>
      <c r="HM126" s="76"/>
      <c r="HN126" s="76"/>
      <c r="HO126" s="76"/>
      <c r="HP126" s="76"/>
      <c r="HQ126" s="76"/>
      <c r="HR126" s="76"/>
      <c r="HS126" s="76"/>
      <c r="HT126" s="76"/>
      <c r="HU126" s="76"/>
      <c r="HV126" s="76"/>
      <c r="HW126" s="76"/>
      <c r="HX126" s="76"/>
      <c r="HY126" s="76"/>
      <c r="HZ126" s="76"/>
      <c r="IA126" s="76"/>
      <c r="IB126" s="76"/>
      <c r="IC126" s="76"/>
      <c r="ID126" s="76"/>
      <c r="IE126" s="76"/>
      <c r="IF126" s="76"/>
      <c r="IG126" s="76"/>
      <c r="IH126" s="76"/>
      <c r="II126" s="76"/>
      <c r="IJ126" s="76"/>
      <c r="IK126" s="76"/>
      <c r="IL126" s="76"/>
      <c r="IM126" s="76"/>
      <c r="IN126" s="76"/>
    </row>
    <row r="127" spans="1:248" s="16" customFormat="1">
      <c r="A127" s="71"/>
      <c r="B127" s="76"/>
      <c r="C127" s="76"/>
      <c r="D127" s="87"/>
      <c r="E127" s="87"/>
      <c r="F127" s="76"/>
      <c r="G127" s="87"/>
      <c r="H127" s="76"/>
      <c r="I127" s="76"/>
      <c r="J127" s="78"/>
      <c r="K127" s="5"/>
      <c r="L127" s="5"/>
      <c r="M127" s="5"/>
      <c r="N127" s="9"/>
      <c r="O127" s="57"/>
      <c r="P127" s="9"/>
      <c r="Q127" s="5"/>
      <c r="R127" s="76"/>
      <c r="S127" s="76"/>
      <c r="T127" s="76"/>
      <c r="U127" s="76"/>
      <c r="V127" s="76"/>
      <c r="W127" s="84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/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  <c r="BU127" s="76"/>
      <c r="BV127" s="76"/>
      <c r="BW127" s="76"/>
      <c r="BX127" s="76"/>
      <c r="BY127" s="76"/>
      <c r="BZ127" s="76"/>
      <c r="CA127" s="76"/>
      <c r="CB127" s="76"/>
      <c r="CC127" s="76"/>
      <c r="CD127" s="76"/>
      <c r="CE127" s="76"/>
      <c r="CF127" s="76"/>
      <c r="CG127" s="76"/>
      <c r="CH127" s="76"/>
      <c r="CI127" s="76"/>
      <c r="CJ127" s="76"/>
      <c r="CK127" s="76"/>
      <c r="CL127" s="76"/>
      <c r="CM127" s="76"/>
      <c r="CN127" s="76"/>
      <c r="CO127" s="76"/>
      <c r="CP127" s="76"/>
      <c r="CQ127" s="76"/>
      <c r="CR127" s="76"/>
      <c r="CS127" s="76"/>
      <c r="CT127" s="76"/>
      <c r="CU127" s="76"/>
      <c r="CV127" s="76"/>
      <c r="CW127" s="76"/>
      <c r="CX127" s="76"/>
      <c r="CY127" s="76"/>
      <c r="CZ127" s="76"/>
      <c r="DA127" s="76"/>
      <c r="DB127" s="76"/>
      <c r="DC127" s="76"/>
      <c r="DD127" s="76"/>
      <c r="DE127" s="76"/>
      <c r="DF127" s="76"/>
      <c r="DG127" s="76"/>
      <c r="DH127" s="76"/>
      <c r="DI127" s="76"/>
      <c r="DJ127" s="76"/>
      <c r="DK127" s="76"/>
      <c r="DL127" s="76"/>
      <c r="DM127" s="76"/>
      <c r="DN127" s="76"/>
      <c r="DO127" s="76"/>
      <c r="DP127" s="76"/>
      <c r="DQ127" s="76"/>
      <c r="DR127" s="76"/>
      <c r="DS127" s="76"/>
      <c r="DT127" s="76"/>
      <c r="DU127" s="76"/>
      <c r="DV127" s="76"/>
      <c r="DW127" s="76"/>
      <c r="DX127" s="76"/>
      <c r="DY127" s="76"/>
      <c r="DZ127" s="76"/>
      <c r="EA127" s="76"/>
      <c r="EB127" s="76"/>
      <c r="EC127" s="76"/>
      <c r="ED127" s="76"/>
      <c r="EE127" s="76"/>
      <c r="EF127" s="76"/>
      <c r="EG127" s="76"/>
      <c r="EH127" s="76"/>
      <c r="EI127" s="76"/>
      <c r="EJ127" s="76"/>
      <c r="EK127" s="76"/>
      <c r="EL127" s="76"/>
      <c r="EM127" s="76"/>
      <c r="EN127" s="76"/>
      <c r="EO127" s="76"/>
      <c r="EP127" s="76"/>
      <c r="EQ127" s="76"/>
      <c r="ER127" s="76"/>
      <c r="ES127" s="76"/>
      <c r="ET127" s="76"/>
      <c r="EU127" s="76"/>
      <c r="EV127" s="76"/>
      <c r="EW127" s="76"/>
      <c r="EX127" s="76"/>
      <c r="EY127" s="76"/>
      <c r="EZ127" s="76"/>
      <c r="FA127" s="76"/>
      <c r="FB127" s="76"/>
      <c r="FC127" s="76"/>
      <c r="FD127" s="76"/>
      <c r="FE127" s="76"/>
      <c r="FF127" s="76"/>
      <c r="FG127" s="76"/>
      <c r="FH127" s="76"/>
      <c r="FI127" s="76"/>
      <c r="FJ127" s="76"/>
      <c r="FK127" s="76"/>
      <c r="FL127" s="76"/>
      <c r="FM127" s="76"/>
      <c r="FN127" s="76"/>
      <c r="FO127" s="76"/>
      <c r="FP127" s="76"/>
      <c r="FQ127" s="76"/>
      <c r="FR127" s="76"/>
      <c r="FS127" s="76"/>
      <c r="FT127" s="76"/>
      <c r="FU127" s="76"/>
      <c r="FV127" s="76"/>
      <c r="FW127" s="76"/>
      <c r="FX127" s="76"/>
      <c r="FY127" s="76"/>
      <c r="FZ127" s="76"/>
      <c r="GA127" s="76"/>
      <c r="GB127" s="76"/>
      <c r="GC127" s="76"/>
      <c r="GD127" s="76"/>
      <c r="GE127" s="76"/>
      <c r="GF127" s="76"/>
      <c r="GG127" s="76"/>
      <c r="GH127" s="76"/>
      <c r="GI127" s="76"/>
      <c r="GJ127" s="76"/>
      <c r="GK127" s="76"/>
      <c r="GL127" s="76"/>
      <c r="GM127" s="76"/>
      <c r="GN127" s="76"/>
      <c r="GO127" s="76"/>
      <c r="GP127" s="76"/>
      <c r="GQ127" s="76"/>
      <c r="GR127" s="76"/>
      <c r="GS127" s="76"/>
      <c r="GT127" s="76"/>
      <c r="GU127" s="76"/>
      <c r="GV127" s="76"/>
      <c r="GW127" s="76"/>
      <c r="GX127" s="76"/>
      <c r="GY127" s="76"/>
      <c r="GZ127" s="76"/>
      <c r="HA127" s="76"/>
      <c r="HB127" s="76"/>
      <c r="HC127" s="76"/>
      <c r="HD127" s="76"/>
      <c r="HE127" s="76"/>
      <c r="HF127" s="76"/>
      <c r="HG127" s="76"/>
      <c r="HH127" s="76"/>
      <c r="HI127" s="76"/>
      <c r="HJ127" s="76"/>
      <c r="HK127" s="76"/>
      <c r="HL127" s="76"/>
      <c r="HM127" s="76"/>
      <c r="HN127" s="76"/>
      <c r="HO127" s="76"/>
      <c r="HP127" s="76"/>
      <c r="HQ127" s="76"/>
      <c r="HR127" s="76"/>
      <c r="HS127" s="76"/>
      <c r="HT127" s="76"/>
      <c r="HU127" s="76"/>
      <c r="HV127" s="76"/>
      <c r="HW127" s="76"/>
      <c r="HX127" s="76"/>
      <c r="HY127" s="76"/>
      <c r="HZ127" s="76"/>
      <c r="IA127" s="76"/>
      <c r="IB127" s="76"/>
      <c r="IC127" s="76"/>
      <c r="ID127" s="76"/>
      <c r="IE127" s="76"/>
      <c r="IF127" s="76"/>
      <c r="IG127" s="76"/>
      <c r="IH127" s="76"/>
      <c r="II127" s="76"/>
      <c r="IJ127" s="76"/>
      <c r="IK127" s="76"/>
      <c r="IL127" s="76"/>
      <c r="IM127" s="76"/>
      <c r="IN127" s="76"/>
    </row>
    <row r="128" spans="1:248" s="16" customFormat="1">
      <c r="A128" s="71"/>
      <c r="B128" s="76"/>
      <c r="C128" s="76"/>
      <c r="D128" s="87"/>
      <c r="E128" s="87"/>
      <c r="F128" s="76"/>
      <c r="G128" s="87"/>
      <c r="H128" s="76"/>
      <c r="I128" s="76"/>
      <c r="J128" s="78"/>
      <c r="K128" s="5"/>
      <c r="L128" s="5"/>
      <c r="M128" s="5"/>
      <c r="N128" s="9"/>
      <c r="O128" s="57"/>
      <c r="P128" s="9"/>
      <c r="Q128" s="5"/>
      <c r="R128" s="76"/>
      <c r="S128" s="76"/>
      <c r="T128" s="76"/>
      <c r="U128" s="76"/>
      <c r="V128" s="76"/>
      <c r="W128" s="84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/>
      <c r="BL128" s="76"/>
      <c r="BM128" s="76"/>
      <c r="BN128" s="76"/>
      <c r="BO128" s="76"/>
      <c r="BP128" s="76"/>
      <c r="BQ128" s="76"/>
      <c r="BR128" s="76"/>
      <c r="BS128" s="76"/>
      <c r="BT128" s="76"/>
      <c r="BU128" s="76"/>
      <c r="BV128" s="76"/>
      <c r="BW128" s="76"/>
      <c r="BX128" s="76"/>
      <c r="BY128" s="76"/>
      <c r="BZ128" s="76"/>
      <c r="CA128" s="76"/>
      <c r="CB128" s="76"/>
      <c r="CC128" s="76"/>
      <c r="CD128" s="76"/>
      <c r="CE128" s="76"/>
      <c r="CF128" s="76"/>
      <c r="CG128" s="76"/>
      <c r="CH128" s="76"/>
      <c r="CI128" s="76"/>
      <c r="CJ128" s="76"/>
      <c r="CK128" s="76"/>
      <c r="CL128" s="76"/>
      <c r="CM128" s="76"/>
      <c r="CN128" s="76"/>
      <c r="CO128" s="76"/>
      <c r="CP128" s="76"/>
      <c r="CQ128" s="76"/>
      <c r="CR128" s="76"/>
      <c r="CS128" s="76"/>
      <c r="CT128" s="76"/>
      <c r="CU128" s="76"/>
      <c r="CV128" s="76"/>
      <c r="CW128" s="76"/>
      <c r="CX128" s="76"/>
      <c r="CY128" s="76"/>
      <c r="CZ128" s="76"/>
      <c r="DA128" s="76"/>
      <c r="DB128" s="76"/>
      <c r="DC128" s="76"/>
      <c r="DD128" s="76"/>
      <c r="DE128" s="76"/>
      <c r="DF128" s="76"/>
      <c r="DG128" s="76"/>
      <c r="DH128" s="76"/>
      <c r="DI128" s="76"/>
      <c r="DJ128" s="76"/>
      <c r="DK128" s="76"/>
      <c r="DL128" s="76"/>
      <c r="DM128" s="76"/>
      <c r="DN128" s="76"/>
      <c r="DO128" s="76"/>
      <c r="DP128" s="76"/>
      <c r="DQ128" s="76"/>
      <c r="DR128" s="76"/>
      <c r="DS128" s="76"/>
      <c r="DT128" s="76"/>
      <c r="DU128" s="76"/>
      <c r="DV128" s="76"/>
      <c r="DW128" s="76"/>
      <c r="DX128" s="76"/>
      <c r="DY128" s="76"/>
      <c r="DZ128" s="76"/>
      <c r="EA128" s="76"/>
      <c r="EB128" s="76"/>
      <c r="EC128" s="76"/>
      <c r="ED128" s="76"/>
      <c r="EE128" s="76"/>
      <c r="EF128" s="76"/>
      <c r="EG128" s="76"/>
      <c r="EH128" s="76"/>
      <c r="EI128" s="76"/>
      <c r="EJ128" s="76"/>
      <c r="EK128" s="76"/>
      <c r="EL128" s="76"/>
      <c r="EM128" s="76"/>
      <c r="EN128" s="76"/>
      <c r="EO128" s="76"/>
      <c r="EP128" s="76"/>
      <c r="EQ128" s="76"/>
      <c r="ER128" s="76"/>
      <c r="ES128" s="76"/>
      <c r="ET128" s="76"/>
      <c r="EU128" s="76"/>
      <c r="EV128" s="76"/>
      <c r="EW128" s="76"/>
      <c r="EX128" s="76"/>
      <c r="EY128" s="76"/>
      <c r="EZ128" s="76"/>
      <c r="FA128" s="76"/>
      <c r="FB128" s="76"/>
      <c r="FC128" s="76"/>
      <c r="FD128" s="76"/>
      <c r="FE128" s="76"/>
      <c r="FF128" s="76"/>
      <c r="FG128" s="76"/>
      <c r="FH128" s="76"/>
      <c r="FI128" s="76"/>
      <c r="FJ128" s="76"/>
      <c r="FK128" s="76"/>
      <c r="FL128" s="76"/>
      <c r="FM128" s="76"/>
      <c r="FN128" s="76"/>
      <c r="FO128" s="76"/>
      <c r="FP128" s="76"/>
      <c r="FQ128" s="76"/>
      <c r="FR128" s="76"/>
      <c r="FS128" s="76"/>
      <c r="FT128" s="76"/>
      <c r="FU128" s="76"/>
      <c r="FV128" s="76"/>
      <c r="FW128" s="76"/>
      <c r="FX128" s="76"/>
      <c r="FY128" s="76"/>
      <c r="FZ128" s="76"/>
      <c r="GA128" s="76"/>
      <c r="GB128" s="76"/>
      <c r="GC128" s="76"/>
      <c r="GD128" s="76"/>
      <c r="GE128" s="76"/>
      <c r="GF128" s="76"/>
      <c r="GG128" s="76"/>
      <c r="GH128" s="76"/>
      <c r="GI128" s="76"/>
      <c r="GJ128" s="76"/>
      <c r="GK128" s="76"/>
      <c r="GL128" s="76"/>
      <c r="GM128" s="76"/>
      <c r="GN128" s="76"/>
      <c r="GO128" s="76"/>
      <c r="GP128" s="76"/>
      <c r="GQ128" s="76"/>
      <c r="GR128" s="76"/>
      <c r="GS128" s="76"/>
      <c r="GT128" s="76"/>
      <c r="GU128" s="76"/>
      <c r="GV128" s="76"/>
      <c r="GW128" s="76"/>
      <c r="GX128" s="76"/>
      <c r="GY128" s="76"/>
      <c r="GZ128" s="76"/>
      <c r="HA128" s="76"/>
      <c r="HB128" s="76"/>
      <c r="HC128" s="76"/>
      <c r="HD128" s="76"/>
      <c r="HE128" s="76"/>
      <c r="HF128" s="76"/>
      <c r="HG128" s="76"/>
      <c r="HH128" s="76"/>
      <c r="HI128" s="76"/>
      <c r="HJ128" s="76"/>
      <c r="HK128" s="76"/>
      <c r="HL128" s="76"/>
      <c r="HM128" s="76"/>
      <c r="HN128" s="76"/>
      <c r="HO128" s="76"/>
      <c r="HP128" s="76"/>
      <c r="HQ128" s="76"/>
      <c r="HR128" s="76"/>
      <c r="HS128" s="76"/>
      <c r="HT128" s="76"/>
      <c r="HU128" s="76"/>
      <c r="HV128" s="76"/>
      <c r="HW128" s="76"/>
      <c r="HX128" s="76"/>
      <c r="HY128" s="76"/>
      <c r="HZ128" s="76"/>
      <c r="IA128" s="76"/>
      <c r="IB128" s="76"/>
      <c r="IC128" s="76"/>
      <c r="ID128" s="76"/>
      <c r="IE128" s="76"/>
      <c r="IF128" s="76"/>
      <c r="IG128" s="76"/>
      <c r="IH128" s="76"/>
      <c r="II128" s="76"/>
      <c r="IJ128" s="76"/>
      <c r="IK128" s="76"/>
      <c r="IL128" s="76"/>
      <c r="IM128" s="76"/>
      <c r="IN128" s="76"/>
    </row>
    <row r="129" spans="1:248" s="16" customFormat="1">
      <c r="A129" s="71"/>
      <c r="B129" s="76"/>
      <c r="C129" s="76"/>
      <c r="D129" s="87"/>
      <c r="E129" s="87"/>
      <c r="F129" s="76"/>
      <c r="G129" s="87"/>
      <c r="H129" s="76"/>
      <c r="I129" s="76"/>
      <c r="J129" s="78"/>
      <c r="K129" s="5"/>
      <c r="L129" s="5"/>
      <c r="M129" s="5"/>
      <c r="N129" s="9"/>
      <c r="O129" s="57"/>
      <c r="P129" s="9"/>
      <c r="Q129" s="5"/>
      <c r="R129" s="76"/>
      <c r="S129" s="76"/>
      <c r="T129" s="76"/>
      <c r="U129" s="76"/>
      <c r="V129" s="76"/>
      <c r="W129" s="84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/>
      <c r="BG129" s="76"/>
      <c r="BH129" s="76"/>
      <c r="BI129" s="76"/>
      <c r="BJ129" s="76"/>
      <c r="BK129" s="76"/>
      <c r="BL129" s="76"/>
      <c r="BM129" s="76"/>
      <c r="BN129" s="76"/>
      <c r="BO129" s="76"/>
      <c r="BP129" s="76"/>
      <c r="BQ129" s="76"/>
      <c r="BR129" s="76"/>
      <c r="BS129" s="76"/>
      <c r="BT129" s="76"/>
      <c r="BU129" s="76"/>
      <c r="BV129" s="76"/>
      <c r="BW129" s="76"/>
      <c r="BX129" s="76"/>
      <c r="BY129" s="76"/>
      <c r="BZ129" s="76"/>
      <c r="CA129" s="76"/>
      <c r="CB129" s="76"/>
      <c r="CC129" s="76"/>
      <c r="CD129" s="76"/>
      <c r="CE129" s="76"/>
      <c r="CF129" s="76"/>
      <c r="CG129" s="76"/>
      <c r="CH129" s="76"/>
      <c r="CI129" s="76"/>
      <c r="CJ129" s="76"/>
      <c r="CK129" s="76"/>
      <c r="CL129" s="76"/>
      <c r="CM129" s="76"/>
      <c r="CN129" s="76"/>
      <c r="CO129" s="76"/>
      <c r="CP129" s="76"/>
      <c r="CQ129" s="76"/>
      <c r="CR129" s="76"/>
      <c r="CS129" s="76"/>
      <c r="CT129" s="76"/>
      <c r="CU129" s="76"/>
      <c r="CV129" s="76"/>
      <c r="CW129" s="76"/>
      <c r="CX129" s="76"/>
      <c r="CY129" s="76"/>
      <c r="CZ129" s="76"/>
      <c r="DA129" s="76"/>
      <c r="DB129" s="76"/>
      <c r="DC129" s="76"/>
      <c r="DD129" s="76"/>
      <c r="DE129" s="76"/>
      <c r="DF129" s="76"/>
      <c r="DG129" s="76"/>
      <c r="DH129" s="76"/>
      <c r="DI129" s="76"/>
      <c r="DJ129" s="76"/>
      <c r="DK129" s="76"/>
      <c r="DL129" s="76"/>
      <c r="DM129" s="76"/>
      <c r="DN129" s="76"/>
      <c r="DO129" s="76"/>
      <c r="DP129" s="76"/>
      <c r="DQ129" s="76"/>
      <c r="DR129" s="76"/>
      <c r="DS129" s="76"/>
      <c r="DT129" s="76"/>
      <c r="DU129" s="76"/>
      <c r="DV129" s="76"/>
      <c r="DW129" s="76"/>
      <c r="DX129" s="76"/>
      <c r="DY129" s="76"/>
      <c r="DZ129" s="76"/>
      <c r="EA129" s="76"/>
      <c r="EB129" s="76"/>
      <c r="EC129" s="76"/>
      <c r="ED129" s="76"/>
      <c r="EE129" s="76"/>
      <c r="EF129" s="76"/>
      <c r="EG129" s="76"/>
      <c r="EH129" s="76"/>
      <c r="EI129" s="76"/>
      <c r="EJ129" s="76"/>
      <c r="EK129" s="76"/>
      <c r="EL129" s="76"/>
      <c r="EM129" s="76"/>
      <c r="EN129" s="76"/>
      <c r="EO129" s="76"/>
      <c r="EP129" s="76"/>
      <c r="EQ129" s="76"/>
      <c r="ER129" s="76"/>
      <c r="ES129" s="76"/>
      <c r="ET129" s="76"/>
      <c r="EU129" s="76"/>
      <c r="EV129" s="76"/>
      <c r="EW129" s="76"/>
      <c r="EX129" s="76"/>
      <c r="EY129" s="76"/>
      <c r="EZ129" s="76"/>
      <c r="FA129" s="76"/>
      <c r="FB129" s="76"/>
      <c r="FC129" s="76"/>
      <c r="FD129" s="76"/>
      <c r="FE129" s="76"/>
      <c r="FF129" s="76"/>
      <c r="FG129" s="76"/>
      <c r="FH129" s="76"/>
      <c r="FI129" s="76"/>
      <c r="FJ129" s="76"/>
      <c r="FK129" s="76"/>
      <c r="FL129" s="76"/>
      <c r="FM129" s="76"/>
      <c r="FN129" s="76"/>
      <c r="FO129" s="76"/>
      <c r="FP129" s="76"/>
      <c r="FQ129" s="76"/>
      <c r="FR129" s="76"/>
      <c r="FS129" s="76"/>
      <c r="FT129" s="76"/>
      <c r="FU129" s="76"/>
      <c r="FV129" s="76"/>
      <c r="FW129" s="76"/>
      <c r="FX129" s="76"/>
      <c r="FY129" s="76"/>
      <c r="FZ129" s="76"/>
      <c r="GA129" s="76"/>
      <c r="GB129" s="76"/>
      <c r="GC129" s="76"/>
      <c r="GD129" s="76"/>
      <c r="GE129" s="76"/>
      <c r="GF129" s="76"/>
      <c r="GG129" s="76"/>
      <c r="GH129" s="76"/>
      <c r="GI129" s="76"/>
      <c r="GJ129" s="76"/>
      <c r="GK129" s="76"/>
      <c r="GL129" s="76"/>
      <c r="GM129" s="76"/>
      <c r="GN129" s="76"/>
      <c r="GO129" s="76"/>
      <c r="GP129" s="76"/>
      <c r="GQ129" s="76"/>
      <c r="GR129" s="76"/>
      <c r="GS129" s="76"/>
      <c r="GT129" s="76"/>
      <c r="GU129" s="76"/>
      <c r="GV129" s="76"/>
      <c r="GW129" s="76"/>
      <c r="GX129" s="76"/>
      <c r="GY129" s="76"/>
      <c r="GZ129" s="76"/>
      <c r="HA129" s="76"/>
      <c r="HB129" s="76"/>
      <c r="HC129" s="76"/>
      <c r="HD129" s="76"/>
      <c r="HE129" s="76"/>
      <c r="HF129" s="76"/>
      <c r="HG129" s="76"/>
      <c r="HH129" s="76"/>
      <c r="HI129" s="76"/>
      <c r="HJ129" s="76"/>
      <c r="HK129" s="76"/>
      <c r="HL129" s="76"/>
      <c r="HM129" s="76"/>
      <c r="HN129" s="76"/>
      <c r="HO129" s="76"/>
      <c r="HP129" s="76"/>
      <c r="HQ129" s="76"/>
      <c r="HR129" s="76"/>
      <c r="HS129" s="76"/>
      <c r="HT129" s="76"/>
      <c r="HU129" s="76"/>
      <c r="HV129" s="76"/>
      <c r="HW129" s="76"/>
      <c r="HX129" s="76"/>
      <c r="HY129" s="76"/>
      <c r="HZ129" s="76"/>
      <c r="IA129" s="76"/>
      <c r="IB129" s="76"/>
      <c r="IC129" s="76"/>
      <c r="ID129" s="76"/>
      <c r="IE129" s="76"/>
      <c r="IF129" s="76"/>
      <c r="IG129" s="76"/>
      <c r="IH129" s="76"/>
      <c r="II129" s="76"/>
      <c r="IJ129" s="76"/>
      <c r="IK129" s="76"/>
      <c r="IL129" s="76"/>
      <c r="IM129" s="76"/>
      <c r="IN129" s="76"/>
    </row>
    <row r="130" spans="1:248" s="16" customFormat="1">
      <c r="A130" s="71"/>
      <c r="B130" s="76"/>
      <c r="C130" s="76"/>
      <c r="D130" s="87"/>
      <c r="E130" s="87"/>
      <c r="F130" s="76"/>
      <c r="G130" s="87"/>
      <c r="H130" s="76"/>
      <c r="I130" s="76"/>
      <c r="J130" s="78"/>
      <c r="K130" s="5"/>
      <c r="L130" s="5"/>
      <c r="M130" s="5"/>
      <c r="N130" s="9"/>
      <c r="O130" s="57"/>
      <c r="P130" s="9"/>
      <c r="Q130" s="5"/>
      <c r="R130" s="76"/>
      <c r="S130" s="76"/>
      <c r="T130" s="76"/>
      <c r="U130" s="76"/>
      <c r="V130" s="76"/>
      <c r="W130" s="84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  <c r="BF130" s="76"/>
      <c r="BG130" s="76"/>
      <c r="BH130" s="76"/>
      <c r="BI130" s="76"/>
      <c r="BJ130" s="76"/>
      <c r="BK130" s="76"/>
      <c r="BL130" s="76"/>
      <c r="BM130" s="76"/>
      <c r="BN130" s="76"/>
      <c r="BO130" s="76"/>
      <c r="BP130" s="76"/>
      <c r="BQ130" s="76"/>
      <c r="BR130" s="76"/>
      <c r="BS130" s="76"/>
      <c r="BT130" s="76"/>
      <c r="BU130" s="76"/>
      <c r="BV130" s="76"/>
      <c r="BW130" s="76"/>
      <c r="BX130" s="76"/>
      <c r="BY130" s="76"/>
      <c r="BZ130" s="76"/>
      <c r="CA130" s="76"/>
      <c r="CB130" s="76"/>
      <c r="CC130" s="76"/>
      <c r="CD130" s="76"/>
      <c r="CE130" s="76"/>
      <c r="CF130" s="76"/>
      <c r="CG130" s="76"/>
      <c r="CH130" s="76"/>
      <c r="CI130" s="76"/>
      <c r="CJ130" s="76"/>
      <c r="CK130" s="76"/>
      <c r="CL130" s="76"/>
      <c r="CM130" s="76"/>
      <c r="CN130" s="76"/>
      <c r="CO130" s="76"/>
      <c r="CP130" s="76"/>
      <c r="CQ130" s="76"/>
      <c r="CR130" s="76"/>
      <c r="CS130" s="76"/>
      <c r="CT130" s="76"/>
      <c r="CU130" s="76"/>
      <c r="CV130" s="76"/>
      <c r="CW130" s="76"/>
      <c r="CX130" s="76"/>
      <c r="CY130" s="76"/>
      <c r="CZ130" s="76"/>
      <c r="DA130" s="76"/>
      <c r="DB130" s="76"/>
      <c r="DC130" s="76"/>
      <c r="DD130" s="76"/>
      <c r="DE130" s="76"/>
      <c r="DF130" s="76"/>
      <c r="DG130" s="76"/>
      <c r="DH130" s="76"/>
      <c r="DI130" s="76"/>
      <c r="DJ130" s="76"/>
      <c r="DK130" s="76"/>
      <c r="DL130" s="76"/>
      <c r="DM130" s="76"/>
      <c r="DN130" s="76"/>
      <c r="DO130" s="76"/>
      <c r="DP130" s="76"/>
      <c r="DQ130" s="76"/>
      <c r="DR130" s="76"/>
      <c r="DS130" s="76"/>
      <c r="DT130" s="76"/>
      <c r="DU130" s="76"/>
      <c r="DV130" s="76"/>
      <c r="DW130" s="76"/>
      <c r="DX130" s="76"/>
      <c r="DY130" s="76"/>
      <c r="DZ130" s="76"/>
      <c r="EA130" s="76"/>
      <c r="EB130" s="76"/>
      <c r="EC130" s="76"/>
      <c r="ED130" s="76"/>
      <c r="EE130" s="76"/>
      <c r="EF130" s="76"/>
      <c r="EG130" s="76"/>
      <c r="EH130" s="76"/>
      <c r="EI130" s="76"/>
      <c r="EJ130" s="76"/>
      <c r="EK130" s="76"/>
      <c r="EL130" s="76"/>
      <c r="EM130" s="76"/>
      <c r="EN130" s="76"/>
      <c r="EO130" s="76"/>
      <c r="EP130" s="76"/>
      <c r="EQ130" s="76"/>
      <c r="ER130" s="76"/>
      <c r="ES130" s="76"/>
      <c r="ET130" s="76"/>
      <c r="EU130" s="76"/>
      <c r="EV130" s="76"/>
      <c r="EW130" s="76"/>
      <c r="EX130" s="76"/>
      <c r="EY130" s="76"/>
      <c r="EZ130" s="76"/>
      <c r="FA130" s="76"/>
      <c r="FB130" s="76"/>
      <c r="FC130" s="76"/>
      <c r="FD130" s="76"/>
      <c r="FE130" s="76"/>
      <c r="FF130" s="76"/>
      <c r="FG130" s="76"/>
      <c r="FH130" s="76"/>
      <c r="FI130" s="76"/>
      <c r="FJ130" s="76"/>
      <c r="FK130" s="76"/>
      <c r="FL130" s="76"/>
      <c r="FM130" s="76"/>
      <c r="FN130" s="76"/>
      <c r="FO130" s="76"/>
      <c r="FP130" s="76"/>
      <c r="FQ130" s="76"/>
      <c r="FR130" s="76"/>
      <c r="FS130" s="76"/>
      <c r="FT130" s="76"/>
      <c r="FU130" s="76"/>
      <c r="FV130" s="76"/>
      <c r="FW130" s="76"/>
      <c r="FX130" s="76"/>
      <c r="FY130" s="76"/>
      <c r="FZ130" s="76"/>
      <c r="GA130" s="76"/>
      <c r="GB130" s="76"/>
      <c r="GC130" s="76"/>
      <c r="GD130" s="76"/>
      <c r="GE130" s="76"/>
      <c r="GF130" s="76"/>
      <c r="GG130" s="76"/>
      <c r="GH130" s="76"/>
      <c r="GI130" s="76"/>
      <c r="GJ130" s="76"/>
      <c r="GK130" s="76"/>
      <c r="GL130" s="76"/>
      <c r="GM130" s="76"/>
      <c r="GN130" s="76"/>
      <c r="GO130" s="76"/>
      <c r="GP130" s="76"/>
      <c r="GQ130" s="76"/>
      <c r="GR130" s="76"/>
      <c r="GS130" s="76"/>
      <c r="GT130" s="76"/>
      <c r="GU130" s="76"/>
      <c r="GV130" s="76"/>
      <c r="GW130" s="76"/>
      <c r="GX130" s="76"/>
      <c r="GY130" s="76"/>
      <c r="GZ130" s="76"/>
      <c r="HA130" s="76"/>
      <c r="HB130" s="76"/>
      <c r="HC130" s="76"/>
      <c r="HD130" s="76"/>
      <c r="HE130" s="76"/>
      <c r="HF130" s="76"/>
      <c r="HG130" s="76"/>
      <c r="HH130" s="76"/>
      <c r="HI130" s="76"/>
      <c r="HJ130" s="76"/>
      <c r="HK130" s="76"/>
      <c r="HL130" s="76"/>
      <c r="HM130" s="76"/>
      <c r="HN130" s="76"/>
      <c r="HO130" s="76"/>
      <c r="HP130" s="76"/>
      <c r="HQ130" s="76"/>
      <c r="HR130" s="76"/>
      <c r="HS130" s="76"/>
      <c r="HT130" s="76"/>
      <c r="HU130" s="76"/>
      <c r="HV130" s="76"/>
      <c r="HW130" s="76"/>
      <c r="HX130" s="76"/>
      <c r="HY130" s="76"/>
      <c r="HZ130" s="76"/>
      <c r="IA130" s="76"/>
      <c r="IB130" s="76"/>
      <c r="IC130" s="76"/>
      <c r="ID130" s="76"/>
      <c r="IE130" s="76"/>
      <c r="IF130" s="76"/>
      <c r="IG130" s="76"/>
      <c r="IH130" s="76"/>
      <c r="II130" s="76"/>
      <c r="IJ130" s="76"/>
      <c r="IK130" s="76"/>
      <c r="IL130" s="76"/>
      <c r="IM130" s="76"/>
      <c r="IN130" s="76"/>
    </row>
    <row r="131" spans="1:248" s="16" customFormat="1">
      <c r="A131" s="71"/>
      <c r="B131" s="76"/>
      <c r="C131" s="76"/>
      <c r="D131" s="87"/>
      <c r="E131" s="87"/>
      <c r="F131" s="76"/>
      <c r="G131" s="87"/>
      <c r="H131" s="76"/>
      <c r="I131" s="76"/>
      <c r="J131" s="78"/>
      <c r="K131" s="5"/>
      <c r="L131" s="5"/>
      <c r="M131" s="5"/>
      <c r="N131" s="9"/>
      <c r="O131" s="57"/>
      <c r="P131" s="9"/>
      <c r="Q131" s="5"/>
      <c r="R131" s="76"/>
      <c r="S131" s="76"/>
      <c r="T131" s="76"/>
      <c r="U131" s="76"/>
      <c r="V131" s="76"/>
      <c r="W131" s="84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/>
      <c r="BU131" s="76"/>
      <c r="BV131" s="76"/>
      <c r="BW131" s="76"/>
      <c r="BX131" s="76"/>
      <c r="BY131" s="76"/>
      <c r="BZ131" s="76"/>
      <c r="CA131" s="76"/>
      <c r="CB131" s="76"/>
      <c r="CC131" s="76"/>
      <c r="CD131" s="76"/>
      <c r="CE131" s="76"/>
      <c r="CF131" s="76"/>
      <c r="CG131" s="76"/>
      <c r="CH131" s="76"/>
      <c r="CI131" s="76"/>
      <c r="CJ131" s="76"/>
      <c r="CK131" s="76"/>
      <c r="CL131" s="76"/>
      <c r="CM131" s="76"/>
      <c r="CN131" s="76"/>
      <c r="CO131" s="76"/>
      <c r="CP131" s="76"/>
      <c r="CQ131" s="76"/>
      <c r="CR131" s="76"/>
      <c r="CS131" s="76"/>
      <c r="CT131" s="76"/>
      <c r="CU131" s="76"/>
      <c r="CV131" s="76"/>
      <c r="CW131" s="76"/>
      <c r="CX131" s="76"/>
      <c r="CY131" s="76"/>
      <c r="CZ131" s="76"/>
      <c r="DA131" s="76"/>
      <c r="DB131" s="76"/>
      <c r="DC131" s="76"/>
      <c r="DD131" s="76"/>
      <c r="DE131" s="76"/>
      <c r="DF131" s="76"/>
      <c r="DG131" s="76"/>
      <c r="DH131" s="76"/>
      <c r="DI131" s="76"/>
      <c r="DJ131" s="76"/>
      <c r="DK131" s="76"/>
      <c r="DL131" s="76"/>
      <c r="DM131" s="76"/>
      <c r="DN131" s="76"/>
      <c r="DO131" s="76"/>
      <c r="DP131" s="76"/>
      <c r="DQ131" s="76"/>
      <c r="DR131" s="76"/>
      <c r="DS131" s="76"/>
      <c r="DT131" s="76"/>
      <c r="DU131" s="76"/>
      <c r="DV131" s="76"/>
      <c r="DW131" s="76"/>
      <c r="DX131" s="76"/>
      <c r="DY131" s="76"/>
      <c r="DZ131" s="76"/>
      <c r="EA131" s="76"/>
      <c r="EB131" s="76"/>
      <c r="EC131" s="76"/>
      <c r="ED131" s="76"/>
      <c r="EE131" s="76"/>
      <c r="EF131" s="76"/>
      <c r="EG131" s="76"/>
      <c r="EH131" s="76"/>
      <c r="EI131" s="76"/>
      <c r="EJ131" s="76"/>
      <c r="EK131" s="76"/>
      <c r="EL131" s="76"/>
      <c r="EM131" s="76"/>
      <c r="EN131" s="76"/>
      <c r="EO131" s="76"/>
      <c r="EP131" s="76"/>
      <c r="EQ131" s="76"/>
      <c r="ER131" s="76"/>
      <c r="ES131" s="76"/>
      <c r="ET131" s="76"/>
      <c r="EU131" s="76"/>
      <c r="EV131" s="76"/>
      <c r="EW131" s="76"/>
      <c r="EX131" s="76"/>
      <c r="EY131" s="76"/>
      <c r="EZ131" s="76"/>
      <c r="FA131" s="76"/>
      <c r="FB131" s="76"/>
      <c r="FC131" s="76"/>
      <c r="FD131" s="76"/>
      <c r="FE131" s="76"/>
      <c r="FF131" s="76"/>
      <c r="FG131" s="76"/>
      <c r="FH131" s="76"/>
      <c r="FI131" s="76"/>
      <c r="FJ131" s="76"/>
      <c r="FK131" s="76"/>
      <c r="FL131" s="76"/>
      <c r="FM131" s="76"/>
      <c r="FN131" s="76"/>
      <c r="FO131" s="76"/>
      <c r="FP131" s="76"/>
      <c r="FQ131" s="76"/>
      <c r="FR131" s="76"/>
      <c r="FS131" s="76"/>
      <c r="FT131" s="76"/>
      <c r="FU131" s="76"/>
      <c r="FV131" s="76"/>
      <c r="FW131" s="76"/>
      <c r="FX131" s="76"/>
      <c r="FY131" s="76"/>
      <c r="FZ131" s="76"/>
      <c r="GA131" s="76"/>
      <c r="GB131" s="76"/>
      <c r="GC131" s="76"/>
      <c r="GD131" s="76"/>
      <c r="GE131" s="76"/>
      <c r="GF131" s="76"/>
      <c r="GG131" s="76"/>
      <c r="GH131" s="76"/>
      <c r="GI131" s="76"/>
      <c r="GJ131" s="76"/>
      <c r="GK131" s="76"/>
      <c r="GL131" s="76"/>
      <c r="GM131" s="76"/>
      <c r="GN131" s="76"/>
      <c r="GO131" s="76"/>
      <c r="GP131" s="76"/>
      <c r="GQ131" s="76"/>
      <c r="GR131" s="76"/>
      <c r="GS131" s="76"/>
      <c r="GT131" s="76"/>
      <c r="GU131" s="76"/>
      <c r="GV131" s="76"/>
      <c r="GW131" s="76"/>
      <c r="GX131" s="76"/>
      <c r="GY131" s="76"/>
      <c r="GZ131" s="76"/>
      <c r="HA131" s="76"/>
      <c r="HB131" s="76"/>
      <c r="HC131" s="76"/>
      <c r="HD131" s="76"/>
      <c r="HE131" s="76"/>
      <c r="HF131" s="76"/>
      <c r="HG131" s="76"/>
      <c r="HH131" s="76"/>
      <c r="HI131" s="76"/>
      <c r="HJ131" s="76"/>
      <c r="HK131" s="76"/>
      <c r="HL131" s="76"/>
      <c r="HM131" s="76"/>
      <c r="HN131" s="76"/>
      <c r="HO131" s="76"/>
      <c r="HP131" s="76"/>
      <c r="HQ131" s="76"/>
      <c r="HR131" s="76"/>
      <c r="HS131" s="76"/>
      <c r="HT131" s="76"/>
      <c r="HU131" s="76"/>
      <c r="HV131" s="76"/>
      <c r="HW131" s="76"/>
      <c r="HX131" s="76"/>
      <c r="HY131" s="76"/>
      <c r="HZ131" s="76"/>
      <c r="IA131" s="76"/>
      <c r="IB131" s="76"/>
      <c r="IC131" s="76"/>
      <c r="ID131" s="76"/>
      <c r="IE131" s="76"/>
      <c r="IF131" s="76"/>
      <c r="IG131" s="76"/>
      <c r="IH131" s="76"/>
      <c r="II131" s="76"/>
      <c r="IJ131" s="76"/>
      <c r="IK131" s="76"/>
      <c r="IL131" s="76"/>
      <c r="IM131" s="76"/>
      <c r="IN131" s="76"/>
    </row>
    <row r="132" spans="1:248" s="16" customFormat="1">
      <c r="A132" s="71"/>
      <c r="B132" s="76"/>
      <c r="C132" s="76"/>
      <c r="D132" s="87"/>
      <c r="E132" s="87"/>
      <c r="F132" s="76"/>
      <c r="G132" s="87"/>
      <c r="H132" s="76"/>
      <c r="I132" s="76"/>
      <c r="J132" s="78"/>
      <c r="K132" s="5"/>
      <c r="L132" s="5"/>
      <c r="M132" s="5"/>
      <c r="N132" s="9"/>
      <c r="O132" s="57"/>
      <c r="P132" s="9"/>
      <c r="Q132" s="5"/>
      <c r="R132" s="76"/>
      <c r="S132" s="76"/>
      <c r="T132" s="76"/>
      <c r="U132" s="76"/>
      <c r="V132" s="76"/>
      <c r="W132" s="84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  <c r="BF132" s="76"/>
      <c r="BG132" s="76"/>
      <c r="BH132" s="76"/>
      <c r="BI132" s="76"/>
      <c r="BJ132" s="76"/>
      <c r="BK132" s="76"/>
      <c r="BL132" s="76"/>
      <c r="BM132" s="76"/>
      <c r="BN132" s="76"/>
      <c r="BO132" s="76"/>
      <c r="BP132" s="76"/>
      <c r="BQ132" s="76"/>
      <c r="BR132" s="76"/>
      <c r="BS132" s="76"/>
      <c r="BT132" s="76"/>
      <c r="BU132" s="76"/>
      <c r="BV132" s="76"/>
      <c r="BW132" s="76"/>
      <c r="BX132" s="76"/>
      <c r="BY132" s="76"/>
      <c r="BZ132" s="76"/>
      <c r="CA132" s="76"/>
      <c r="CB132" s="76"/>
      <c r="CC132" s="76"/>
      <c r="CD132" s="76"/>
      <c r="CE132" s="76"/>
      <c r="CF132" s="76"/>
      <c r="CG132" s="76"/>
      <c r="CH132" s="76"/>
      <c r="CI132" s="76"/>
      <c r="CJ132" s="76"/>
      <c r="CK132" s="76"/>
      <c r="CL132" s="76"/>
      <c r="CM132" s="76"/>
      <c r="CN132" s="76"/>
      <c r="CO132" s="76"/>
      <c r="CP132" s="76"/>
      <c r="CQ132" s="76"/>
      <c r="CR132" s="76"/>
      <c r="CS132" s="76"/>
      <c r="CT132" s="76"/>
      <c r="CU132" s="76"/>
      <c r="CV132" s="76"/>
      <c r="CW132" s="76"/>
      <c r="CX132" s="76"/>
      <c r="CY132" s="76"/>
      <c r="CZ132" s="76"/>
      <c r="DA132" s="76"/>
      <c r="DB132" s="76"/>
      <c r="DC132" s="76"/>
      <c r="DD132" s="76"/>
      <c r="DE132" s="76"/>
      <c r="DF132" s="76"/>
      <c r="DG132" s="76"/>
      <c r="DH132" s="76"/>
      <c r="DI132" s="76"/>
      <c r="DJ132" s="76"/>
      <c r="DK132" s="76"/>
      <c r="DL132" s="76"/>
      <c r="DM132" s="76"/>
      <c r="DN132" s="76"/>
      <c r="DO132" s="76"/>
      <c r="DP132" s="76"/>
      <c r="DQ132" s="76"/>
      <c r="DR132" s="76"/>
      <c r="DS132" s="76"/>
      <c r="DT132" s="76"/>
      <c r="DU132" s="76"/>
      <c r="DV132" s="76"/>
      <c r="DW132" s="76"/>
      <c r="DX132" s="76"/>
      <c r="DY132" s="76"/>
      <c r="DZ132" s="76"/>
      <c r="EA132" s="76"/>
      <c r="EB132" s="76"/>
      <c r="EC132" s="76"/>
      <c r="ED132" s="76"/>
      <c r="EE132" s="76"/>
      <c r="EF132" s="76"/>
      <c r="EG132" s="76"/>
      <c r="EH132" s="76"/>
      <c r="EI132" s="76"/>
      <c r="EJ132" s="76"/>
      <c r="EK132" s="76"/>
      <c r="EL132" s="76"/>
      <c r="EM132" s="76"/>
      <c r="EN132" s="76"/>
      <c r="EO132" s="76"/>
      <c r="EP132" s="76"/>
      <c r="EQ132" s="76"/>
      <c r="ER132" s="76"/>
      <c r="ES132" s="76"/>
      <c r="ET132" s="76"/>
      <c r="EU132" s="76"/>
      <c r="EV132" s="76"/>
      <c r="EW132" s="76"/>
      <c r="EX132" s="76"/>
      <c r="EY132" s="76"/>
      <c r="EZ132" s="76"/>
      <c r="FA132" s="76"/>
      <c r="FB132" s="76"/>
      <c r="FC132" s="76"/>
      <c r="FD132" s="76"/>
      <c r="FE132" s="76"/>
      <c r="FF132" s="76"/>
      <c r="FG132" s="76"/>
      <c r="FH132" s="76"/>
      <c r="FI132" s="76"/>
      <c r="FJ132" s="76"/>
      <c r="FK132" s="76"/>
      <c r="FL132" s="76"/>
      <c r="FM132" s="76"/>
      <c r="FN132" s="76"/>
      <c r="FO132" s="76"/>
      <c r="FP132" s="76"/>
      <c r="FQ132" s="76"/>
      <c r="FR132" s="76"/>
      <c r="FS132" s="76"/>
      <c r="FT132" s="76"/>
      <c r="FU132" s="76"/>
      <c r="FV132" s="76"/>
      <c r="FW132" s="76"/>
      <c r="FX132" s="76"/>
      <c r="FY132" s="76"/>
      <c r="FZ132" s="76"/>
      <c r="GA132" s="76"/>
      <c r="GB132" s="76"/>
      <c r="GC132" s="76"/>
      <c r="GD132" s="76"/>
      <c r="GE132" s="76"/>
      <c r="GF132" s="76"/>
      <c r="GG132" s="76"/>
      <c r="GH132" s="76"/>
      <c r="GI132" s="76"/>
      <c r="GJ132" s="76"/>
      <c r="GK132" s="76"/>
      <c r="GL132" s="76"/>
      <c r="GM132" s="76"/>
      <c r="GN132" s="76"/>
      <c r="GO132" s="76"/>
      <c r="GP132" s="76"/>
      <c r="GQ132" s="76"/>
      <c r="GR132" s="76"/>
      <c r="GS132" s="76"/>
      <c r="GT132" s="76"/>
      <c r="GU132" s="76"/>
      <c r="GV132" s="76"/>
      <c r="GW132" s="76"/>
      <c r="GX132" s="76"/>
      <c r="GY132" s="76"/>
      <c r="GZ132" s="76"/>
      <c r="HA132" s="76"/>
      <c r="HB132" s="76"/>
      <c r="HC132" s="76"/>
      <c r="HD132" s="76"/>
      <c r="HE132" s="76"/>
      <c r="HF132" s="76"/>
      <c r="HG132" s="76"/>
      <c r="HH132" s="76"/>
      <c r="HI132" s="76"/>
      <c r="HJ132" s="76"/>
      <c r="HK132" s="76"/>
      <c r="HL132" s="76"/>
      <c r="HM132" s="76"/>
      <c r="HN132" s="76"/>
      <c r="HO132" s="76"/>
      <c r="HP132" s="76"/>
      <c r="HQ132" s="76"/>
      <c r="HR132" s="76"/>
      <c r="HS132" s="76"/>
      <c r="HT132" s="76"/>
      <c r="HU132" s="76"/>
      <c r="HV132" s="76"/>
      <c r="HW132" s="76"/>
      <c r="HX132" s="76"/>
      <c r="HY132" s="76"/>
      <c r="HZ132" s="76"/>
      <c r="IA132" s="76"/>
      <c r="IB132" s="76"/>
      <c r="IC132" s="76"/>
      <c r="ID132" s="76"/>
      <c r="IE132" s="76"/>
      <c r="IF132" s="76"/>
      <c r="IG132" s="76"/>
      <c r="IH132" s="76"/>
      <c r="II132" s="76"/>
      <c r="IJ132" s="76"/>
      <c r="IK132" s="76"/>
      <c r="IL132" s="76"/>
      <c r="IM132" s="76"/>
      <c r="IN132" s="76"/>
    </row>
    <row r="133" spans="1:248" s="16" customFormat="1">
      <c r="A133" s="71"/>
      <c r="B133" s="76"/>
      <c r="C133" s="76"/>
      <c r="D133" s="87"/>
      <c r="E133" s="87"/>
      <c r="F133" s="76"/>
      <c r="G133" s="87"/>
      <c r="H133" s="76"/>
      <c r="I133" s="76"/>
      <c r="J133" s="78"/>
      <c r="K133" s="5"/>
      <c r="L133" s="5"/>
      <c r="M133" s="5"/>
      <c r="N133" s="9"/>
      <c r="O133" s="57"/>
      <c r="P133" s="9"/>
      <c r="Q133" s="5"/>
      <c r="R133" s="76"/>
      <c r="S133" s="76"/>
      <c r="T133" s="76"/>
      <c r="U133" s="76"/>
      <c r="V133" s="76"/>
      <c r="W133" s="84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  <c r="BF133" s="76"/>
      <c r="BG133" s="76"/>
      <c r="BH133" s="76"/>
      <c r="BI133" s="76"/>
      <c r="BJ133" s="76"/>
      <c r="BK133" s="76"/>
      <c r="BL133" s="76"/>
      <c r="BM133" s="76"/>
      <c r="BN133" s="76"/>
      <c r="BO133" s="76"/>
      <c r="BP133" s="76"/>
      <c r="BQ133" s="76"/>
      <c r="BR133" s="76"/>
      <c r="BS133" s="76"/>
      <c r="BT133" s="76"/>
      <c r="BU133" s="76"/>
      <c r="BV133" s="76"/>
      <c r="BW133" s="76"/>
      <c r="BX133" s="76"/>
      <c r="BY133" s="76"/>
      <c r="BZ133" s="76"/>
      <c r="CA133" s="76"/>
      <c r="CB133" s="76"/>
      <c r="CC133" s="76"/>
      <c r="CD133" s="76"/>
      <c r="CE133" s="76"/>
      <c r="CF133" s="76"/>
      <c r="CG133" s="76"/>
      <c r="CH133" s="76"/>
      <c r="CI133" s="76"/>
      <c r="CJ133" s="76"/>
      <c r="CK133" s="76"/>
      <c r="CL133" s="76"/>
      <c r="CM133" s="76"/>
      <c r="CN133" s="76"/>
      <c r="CO133" s="76"/>
      <c r="CP133" s="76"/>
      <c r="CQ133" s="76"/>
      <c r="CR133" s="76"/>
      <c r="CS133" s="76"/>
      <c r="CT133" s="76"/>
      <c r="CU133" s="76"/>
      <c r="CV133" s="76"/>
      <c r="CW133" s="76"/>
      <c r="CX133" s="76"/>
      <c r="CY133" s="76"/>
      <c r="CZ133" s="76"/>
      <c r="DA133" s="76"/>
      <c r="DB133" s="76"/>
      <c r="DC133" s="76"/>
      <c r="DD133" s="76"/>
      <c r="DE133" s="76"/>
      <c r="DF133" s="76"/>
      <c r="DG133" s="76"/>
      <c r="DH133" s="76"/>
      <c r="DI133" s="76"/>
      <c r="DJ133" s="76"/>
      <c r="DK133" s="76"/>
      <c r="DL133" s="76"/>
      <c r="DM133" s="76"/>
      <c r="DN133" s="76"/>
      <c r="DO133" s="76"/>
      <c r="DP133" s="76"/>
      <c r="DQ133" s="76"/>
      <c r="DR133" s="76"/>
      <c r="DS133" s="76"/>
      <c r="DT133" s="76"/>
      <c r="DU133" s="76"/>
      <c r="DV133" s="76"/>
      <c r="DW133" s="76"/>
      <c r="DX133" s="76"/>
      <c r="DY133" s="76"/>
      <c r="DZ133" s="76"/>
      <c r="EA133" s="76"/>
      <c r="EB133" s="76"/>
      <c r="EC133" s="76"/>
      <c r="ED133" s="76"/>
      <c r="EE133" s="76"/>
      <c r="EF133" s="76"/>
      <c r="EG133" s="76"/>
      <c r="EH133" s="76"/>
      <c r="EI133" s="76"/>
      <c r="EJ133" s="76"/>
      <c r="EK133" s="76"/>
      <c r="EL133" s="76"/>
      <c r="EM133" s="76"/>
      <c r="EN133" s="76"/>
      <c r="EO133" s="76"/>
      <c r="EP133" s="76"/>
      <c r="EQ133" s="76"/>
      <c r="ER133" s="76"/>
      <c r="ES133" s="76"/>
      <c r="ET133" s="76"/>
      <c r="EU133" s="76"/>
      <c r="EV133" s="76"/>
      <c r="EW133" s="76"/>
      <c r="EX133" s="76"/>
      <c r="EY133" s="76"/>
      <c r="EZ133" s="76"/>
      <c r="FA133" s="76"/>
      <c r="FB133" s="76"/>
      <c r="FC133" s="76"/>
      <c r="FD133" s="76"/>
      <c r="FE133" s="76"/>
      <c r="FF133" s="76"/>
      <c r="FG133" s="76"/>
      <c r="FH133" s="76"/>
      <c r="FI133" s="76"/>
      <c r="FJ133" s="76"/>
      <c r="FK133" s="76"/>
      <c r="FL133" s="76"/>
      <c r="FM133" s="76"/>
      <c r="FN133" s="76"/>
      <c r="FO133" s="76"/>
      <c r="FP133" s="76"/>
      <c r="FQ133" s="76"/>
      <c r="FR133" s="76"/>
      <c r="FS133" s="76"/>
      <c r="FT133" s="76"/>
      <c r="FU133" s="76"/>
      <c r="FV133" s="76"/>
      <c r="FW133" s="76"/>
      <c r="FX133" s="76"/>
      <c r="FY133" s="76"/>
      <c r="FZ133" s="76"/>
      <c r="GA133" s="76"/>
      <c r="GB133" s="76"/>
      <c r="GC133" s="76"/>
      <c r="GD133" s="76"/>
      <c r="GE133" s="76"/>
      <c r="GF133" s="76"/>
      <c r="GG133" s="76"/>
      <c r="GH133" s="76"/>
      <c r="GI133" s="76"/>
      <c r="GJ133" s="76"/>
      <c r="GK133" s="76"/>
      <c r="GL133" s="76"/>
      <c r="GM133" s="76"/>
      <c r="GN133" s="76"/>
      <c r="GO133" s="76"/>
      <c r="GP133" s="76"/>
      <c r="GQ133" s="76"/>
      <c r="GR133" s="76"/>
      <c r="GS133" s="76"/>
      <c r="GT133" s="76"/>
      <c r="GU133" s="76"/>
      <c r="GV133" s="76"/>
      <c r="GW133" s="76"/>
      <c r="GX133" s="76"/>
      <c r="GY133" s="76"/>
      <c r="GZ133" s="76"/>
      <c r="HA133" s="76"/>
      <c r="HB133" s="76"/>
      <c r="HC133" s="76"/>
      <c r="HD133" s="76"/>
      <c r="HE133" s="76"/>
      <c r="HF133" s="76"/>
      <c r="HG133" s="76"/>
      <c r="HH133" s="76"/>
      <c r="HI133" s="76"/>
      <c r="HJ133" s="76"/>
      <c r="HK133" s="76"/>
      <c r="HL133" s="76"/>
      <c r="HM133" s="76"/>
      <c r="HN133" s="76"/>
      <c r="HO133" s="76"/>
      <c r="HP133" s="76"/>
      <c r="HQ133" s="76"/>
      <c r="HR133" s="76"/>
      <c r="HS133" s="76"/>
      <c r="HT133" s="76"/>
      <c r="HU133" s="76"/>
      <c r="HV133" s="76"/>
      <c r="HW133" s="76"/>
      <c r="HX133" s="76"/>
      <c r="HY133" s="76"/>
      <c r="HZ133" s="76"/>
      <c r="IA133" s="76"/>
      <c r="IB133" s="76"/>
      <c r="IC133" s="76"/>
      <c r="ID133" s="76"/>
      <c r="IE133" s="76"/>
      <c r="IF133" s="76"/>
      <c r="IG133" s="76"/>
      <c r="IH133" s="76"/>
      <c r="II133" s="76"/>
      <c r="IJ133" s="76"/>
      <c r="IK133" s="76"/>
      <c r="IL133" s="76"/>
      <c r="IM133" s="76"/>
      <c r="IN133" s="76"/>
    </row>
    <row r="134" spans="1:248" s="16" customFormat="1">
      <c r="A134" s="71"/>
      <c r="B134" s="76"/>
      <c r="C134" s="76"/>
      <c r="D134" s="87"/>
      <c r="E134" s="87"/>
      <c r="F134" s="76"/>
      <c r="G134" s="87"/>
      <c r="H134" s="76"/>
      <c r="I134" s="76"/>
      <c r="J134" s="78"/>
      <c r="K134" s="5"/>
      <c r="L134" s="5"/>
      <c r="M134" s="5"/>
      <c r="N134" s="9"/>
      <c r="O134" s="57"/>
      <c r="P134" s="9"/>
      <c r="Q134" s="5"/>
      <c r="R134" s="76"/>
      <c r="S134" s="76"/>
      <c r="T134" s="76"/>
      <c r="U134" s="76"/>
      <c r="V134" s="76"/>
      <c r="W134" s="84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/>
      <c r="BQ134" s="76"/>
      <c r="BR134" s="76"/>
      <c r="BS134" s="76"/>
      <c r="BT134" s="76"/>
      <c r="BU134" s="76"/>
      <c r="BV134" s="76"/>
      <c r="BW134" s="76"/>
      <c r="BX134" s="76"/>
      <c r="BY134" s="76"/>
      <c r="BZ134" s="76"/>
      <c r="CA134" s="76"/>
      <c r="CB134" s="76"/>
      <c r="CC134" s="76"/>
      <c r="CD134" s="76"/>
      <c r="CE134" s="76"/>
      <c r="CF134" s="76"/>
      <c r="CG134" s="76"/>
      <c r="CH134" s="76"/>
      <c r="CI134" s="76"/>
      <c r="CJ134" s="76"/>
      <c r="CK134" s="76"/>
      <c r="CL134" s="76"/>
      <c r="CM134" s="76"/>
      <c r="CN134" s="76"/>
      <c r="CO134" s="76"/>
      <c r="CP134" s="76"/>
      <c r="CQ134" s="76"/>
      <c r="CR134" s="76"/>
      <c r="CS134" s="76"/>
      <c r="CT134" s="76"/>
      <c r="CU134" s="76"/>
      <c r="CV134" s="76"/>
      <c r="CW134" s="76"/>
      <c r="CX134" s="76"/>
      <c r="CY134" s="76"/>
      <c r="CZ134" s="76"/>
      <c r="DA134" s="76"/>
      <c r="DB134" s="76"/>
      <c r="DC134" s="76"/>
      <c r="DD134" s="76"/>
      <c r="DE134" s="76"/>
      <c r="DF134" s="76"/>
      <c r="DG134" s="76"/>
      <c r="DH134" s="76"/>
      <c r="DI134" s="76"/>
      <c r="DJ134" s="76"/>
      <c r="DK134" s="76"/>
      <c r="DL134" s="76"/>
      <c r="DM134" s="76"/>
      <c r="DN134" s="76"/>
      <c r="DO134" s="76"/>
      <c r="DP134" s="76"/>
      <c r="DQ134" s="76"/>
      <c r="DR134" s="76"/>
      <c r="DS134" s="76"/>
      <c r="DT134" s="76"/>
      <c r="DU134" s="76"/>
      <c r="DV134" s="76"/>
      <c r="DW134" s="76"/>
      <c r="DX134" s="76"/>
      <c r="DY134" s="76"/>
      <c r="DZ134" s="76"/>
      <c r="EA134" s="76"/>
      <c r="EB134" s="76"/>
      <c r="EC134" s="76"/>
      <c r="ED134" s="76"/>
      <c r="EE134" s="76"/>
      <c r="EF134" s="76"/>
      <c r="EG134" s="76"/>
      <c r="EH134" s="76"/>
      <c r="EI134" s="76"/>
      <c r="EJ134" s="76"/>
      <c r="EK134" s="76"/>
      <c r="EL134" s="76"/>
      <c r="EM134" s="76"/>
      <c r="EN134" s="76"/>
      <c r="EO134" s="76"/>
      <c r="EP134" s="76"/>
      <c r="EQ134" s="76"/>
      <c r="ER134" s="76"/>
      <c r="ES134" s="76"/>
      <c r="ET134" s="76"/>
      <c r="EU134" s="76"/>
      <c r="EV134" s="76"/>
      <c r="EW134" s="76"/>
      <c r="EX134" s="76"/>
      <c r="EY134" s="76"/>
      <c r="EZ134" s="76"/>
      <c r="FA134" s="76"/>
      <c r="FB134" s="76"/>
      <c r="FC134" s="76"/>
      <c r="FD134" s="76"/>
      <c r="FE134" s="76"/>
      <c r="FF134" s="76"/>
      <c r="FG134" s="76"/>
      <c r="FH134" s="76"/>
      <c r="FI134" s="76"/>
      <c r="FJ134" s="76"/>
      <c r="FK134" s="76"/>
      <c r="FL134" s="76"/>
      <c r="FM134" s="76"/>
      <c r="FN134" s="76"/>
      <c r="FO134" s="76"/>
      <c r="FP134" s="76"/>
      <c r="FQ134" s="76"/>
      <c r="FR134" s="76"/>
      <c r="FS134" s="76"/>
      <c r="FT134" s="76"/>
      <c r="FU134" s="76"/>
      <c r="FV134" s="76"/>
      <c r="FW134" s="76"/>
      <c r="FX134" s="76"/>
      <c r="FY134" s="76"/>
      <c r="FZ134" s="76"/>
      <c r="GA134" s="76"/>
      <c r="GB134" s="76"/>
      <c r="GC134" s="76"/>
      <c r="GD134" s="76"/>
      <c r="GE134" s="76"/>
      <c r="GF134" s="76"/>
      <c r="GG134" s="76"/>
      <c r="GH134" s="76"/>
      <c r="GI134" s="76"/>
      <c r="GJ134" s="76"/>
      <c r="GK134" s="76"/>
      <c r="GL134" s="76"/>
      <c r="GM134" s="76"/>
      <c r="GN134" s="76"/>
      <c r="GO134" s="76"/>
      <c r="GP134" s="76"/>
      <c r="GQ134" s="76"/>
      <c r="GR134" s="76"/>
      <c r="GS134" s="76"/>
      <c r="GT134" s="76"/>
      <c r="GU134" s="76"/>
      <c r="GV134" s="76"/>
      <c r="GW134" s="76"/>
      <c r="GX134" s="76"/>
      <c r="GY134" s="76"/>
      <c r="GZ134" s="76"/>
      <c r="HA134" s="76"/>
      <c r="HB134" s="76"/>
      <c r="HC134" s="76"/>
      <c r="HD134" s="76"/>
      <c r="HE134" s="76"/>
      <c r="HF134" s="76"/>
      <c r="HG134" s="76"/>
      <c r="HH134" s="76"/>
      <c r="HI134" s="76"/>
      <c r="HJ134" s="76"/>
      <c r="HK134" s="76"/>
      <c r="HL134" s="76"/>
      <c r="HM134" s="76"/>
      <c r="HN134" s="76"/>
      <c r="HO134" s="76"/>
      <c r="HP134" s="76"/>
      <c r="HQ134" s="76"/>
      <c r="HR134" s="76"/>
      <c r="HS134" s="76"/>
      <c r="HT134" s="76"/>
      <c r="HU134" s="76"/>
      <c r="HV134" s="76"/>
      <c r="HW134" s="76"/>
      <c r="HX134" s="76"/>
      <c r="HY134" s="76"/>
      <c r="HZ134" s="76"/>
      <c r="IA134" s="76"/>
      <c r="IB134" s="76"/>
      <c r="IC134" s="76"/>
      <c r="ID134" s="76"/>
      <c r="IE134" s="76"/>
      <c r="IF134" s="76"/>
      <c r="IG134" s="76"/>
      <c r="IH134" s="76"/>
      <c r="II134" s="76"/>
      <c r="IJ134" s="76"/>
      <c r="IK134" s="76"/>
      <c r="IL134" s="76"/>
      <c r="IM134" s="76"/>
      <c r="IN134" s="76"/>
    </row>
    <row r="135" spans="1:248" s="16" customFormat="1">
      <c r="A135" s="71"/>
      <c r="B135" s="76"/>
      <c r="C135" s="76"/>
      <c r="D135" s="87"/>
      <c r="E135" s="87"/>
      <c r="F135" s="76"/>
      <c r="G135" s="87"/>
      <c r="H135" s="76"/>
      <c r="I135" s="76"/>
      <c r="J135" s="78"/>
      <c r="K135" s="5"/>
      <c r="L135" s="5"/>
      <c r="M135" s="5"/>
      <c r="N135" s="9"/>
      <c r="O135" s="57"/>
      <c r="P135" s="9"/>
      <c r="Q135" s="5"/>
      <c r="R135" s="76"/>
      <c r="S135" s="76"/>
      <c r="T135" s="76"/>
      <c r="U135" s="76"/>
      <c r="V135" s="76"/>
      <c r="W135" s="84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  <c r="BU135" s="76"/>
      <c r="BV135" s="76"/>
      <c r="BW135" s="76"/>
      <c r="BX135" s="76"/>
      <c r="BY135" s="76"/>
      <c r="BZ135" s="76"/>
      <c r="CA135" s="76"/>
      <c r="CB135" s="76"/>
      <c r="CC135" s="76"/>
      <c r="CD135" s="76"/>
      <c r="CE135" s="76"/>
      <c r="CF135" s="76"/>
      <c r="CG135" s="76"/>
      <c r="CH135" s="76"/>
      <c r="CI135" s="76"/>
      <c r="CJ135" s="76"/>
      <c r="CK135" s="76"/>
      <c r="CL135" s="76"/>
      <c r="CM135" s="76"/>
      <c r="CN135" s="76"/>
      <c r="CO135" s="76"/>
      <c r="CP135" s="76"/>
      <c r="CQ135" s="76"/>
      <c r="CR135" s="76"/>
      <c r="CS135" s="76"/>
      <c r="CT135" s="76"/>
      <c r="CU135" s="76"/>
      <c r="CV135" s="76"/>
      <c r="CW135" s="76"/>
      <c r="CX135" s="76"/>
      <c r="CY135" s="76"/>
      <c r="CZ135" s="76"/>
      <c r="DA135" s="76"/>
      <c r="DB135" s="76"/>
      <c r="DC135" s="76"/>
      <c r="DD135" s="76"/>
      <c r="DE135" s="76"/>
      <c r="DF135" s="76"/>
      <c r="DG135" s="76"/>
      <c r="DH135" s="76"/>
      <c r="DI135" s="76"/>
      <c r="DJ135" s="76"/>
      <c r="DK135" s="76"/>
      <c r="DL135" s="76"/>
      <c r="DM135" s="76"/>
      <c r="DN135" s="76"/>
      <c r="DO135" s="76"/>
      <c r="DP135" s="76"/>
      <c r="DQ135" s="76"/>
      <c r="DR135" s="76"/>
      <c r="DS135" s="76"/>
      <c r="DT135" s="76"/>
      <c r="DU135" s="76"/>
      <c r="DV135" s="76"/>
      <c r="DW135" s="76"/>
      <c r="DX135" s="76"/>
      <c r="DY135" s="76"/>
      <c r="DZ135" s="76"/>
      <c r="EA135" s="76"/>
      <c r="EB135" s="76"/>
      <c r="EC135" s="76"/>
      <c r="ED135" s="76"/>
      <c r="EE135" s="76"/>
      <c r="EF135" s="76"/>
      <c r="EG135" s="76"/>
      <c r="EH135" s="76"/>
      <c r="EI135" s="76"/>
      <c r="EJ135" s="76"/>
      <c r="EK135" s="76"/>
      <c r="EL135" s="76"/>
      <c r="EM135" s="76"/>
      <c r="EN135" s="76"/>
      <c r="EO135" s="76"/>
      <c r="EP135" s="76"/>
      <c r="EQ135" s="76"/>
      <c r="ER135" s="76"/>
      <c r="ES135" s="76"/>
      <c r="ET135" s="76"/>
      <c r="EU135" s="76"/>
      <c r="EV135" s="76"/>
      <c r="EW135" s="76"/>
      <c r="EX135" s="76"/>
      <c r="EY135" s="76"/>
      <c r="EZ135" s="76"/>
      <c r="FA135" s="76"/>
      <c r="FB135" s="76"/>
      <c r="FC135" s="76"/>
      <c r="FD135" s="76"/>
      <c r="FE135" s="76"/>
      <c r="FF135" s="76"/>
      <c r="FG135" s="76"/>
      <c r="FH135" s="76"/>
      <c r="FI135" s="76"/>
      <c r="FJ135" s="76"/>
      <c r="FK135" s="76"/>
      <c r="FL135" s="76"/>
      <c r="FM135" s="76"/>
      <c r="FN135" s="76"/>
      <c r="FO135" s="76"/>
      <c r="FP135" s="76"/>
      <c r="FQ135" s="76"/>
      <c r="FR135" s="76"/>
      <c r="FS135" s="76"/>
      <c r="FT135" s="76"/>
      <c r="FU135" s="76"/>
      <c r="FV135" s="76"/>
      <c r="FW135" s="76"/>
      <c r="FX135" s="76"/>
      <c r="FY135" s="76"/>
      <c r="FZ135" s="76"/>
      <c r="GA135" s="76"/>
      <c r="GB135" s="76"/>
      <c r="GC135" s="76"/>
      <c r="GD135" s="76"/>
      <c r="GE135" s="76"/>
      <c r="GF135" s="76"/>
      <c r="GG135" s="76"/>
      <c r="GH135" s="76"/>
      <c r="GI135" s="76"/>
      <c r="GJ135" s="76"/>
      <c r="GK135" s="76"/>
      <c r="GL135" s="76"/>
      <c r="GM135" s="76"/>
      <c r="GN135" s="76"/>
      <c r="GO135" s="76"/>
      <c r="GP135" s="76"/>
      <c r="GQ135" s="76"/>
      <c r="GR135" s="76"/>
      <c r="GS135" s="76"/>
      <c r="GT135" s="76"/>
      <c r="GU135" s="76"/>
      <c r="GV135" s="76"/>
      <c r="GW135" s="76"/>
      <c r="GX135" s="76"/>
      <c r="GY135" s="76"/>
      <c r="GZ135" s="76"/>
      <c r="HA135" s="76"/>
      <c r="HB135" s="76"/>
      <c r="HC135" s="76"/>
      <c r="HD135" s="76"/>
      <c r="HE135" s="76"/>
      <c r="HF135" s="76"/>
      <c r="HG135" s="76"/>
      <c r="HH135" s="76"/>
      <c r="HI135" s="76"/>
      <c r="HJ135" s="76"/>
      <c r="HK135" s="76"/>
      <c r="HL135" s="76"/>
      <c r="HM135" s="76"/>
      <c r="HN135" s="76"/>
      <c r="HO135" s="76"/>
      <c r="HP135" s="76"/>
      <c r="HQ135" s="76"/>
      <c r="HR135" s="76"/>
      <c r="HS135" s="76"/>
      <c r="HT135" s="76"/>
      <c r="HU135" s="76"/>
      <c r="HV135" s="76"/>
      <c r="HW135" s="76"/>
      <c r="HX135" s="76"/>
      <c r="HY135" s="76"/>
      <c r="HZ135" s="76"/>
      <c r="IA135" s="76"/>
      <c r="IB135" s="76"/>
      <c r="IC135" s="76"/>
      <c r="ID135" s="76"/>
      <c r="IE135" s="76"/>
      <c r="IF135" s="76"/>
      <c r="IG135" s="76"/>
      <c r="IH135" s="76"/>
      <c r="II135" s="76"/>
      <c r="IJ135" s="76"/>
      <c r="IK135" s="76"/>
      <c r="IL135" s="76"/>
      <c r="IM135" s="76"/>
      <c r="IN135" s="76"/>
    </row>
    <row r="136" spans="1:248" s="16" customFormat="1">
      <c r="A136" s="71"/>
      <c r="B136" s="76"/>
      <c r="C136" s="76"/>
      <c r="D136" s="87"/>
      <c r="E136" s="87"/>
      <c r="F136" s="76"/>
      <c r="G136" s="87"/>
      <c r="H136" s="76"/>
      <c r="I136" s="76"/>
      <c r="J136" s="78"/>
      <c r="K136" s="5"/>
      <c r="L136" s="5"/>
      <c r="M136" s="5"/>
      <c r="N136" s="5"/>
      <c r="O136" s="11"/>
      <c r="P136" s="5"/>
      <c r="Q136" s="5"/>
      <c r="R136" s="76"/>
      <c r="S136" s="76"/>
      <c r="T136" s="76"/>
      <c r="U136" s="76"/>
      <c r="V136" s="76"/>
      <c r="W136" s="84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  <c r="BF136" s="76"/>
      <c r="BG136" s="76"/>
      <c r="BH136" s="76"/>
      <c r="BI136" s="76"/>
      <c r="BJ136" s="76"/>
      <c r="BK136" s="76"/>
      <c r="BL136" s="76"/>
      <c r="BM136" s="76"/>
      <c r="BN136" s="76"/>
      <c r="BO136" s="76"/>
      <c r="BP136" s="76"/>
      <c r="BQ136" s="76"/>
      <c r="BR136" s="76"/>
      <c r="BS136" s="76"/>
      <c r="BT136" s="76"/>
      <c r="BU136" s="76"/>
      <c r="BV136" s="76"/>
      <c r="BW136" s="76"/>
      <c r="BX136" s="76"/>
      <c r="BY136" s="76"/>
      <c r="BZ136" s="76"/>
      <c r="CA136" s="76"/>
      <c r="CB136" s="76"/>
      <c r="CC136" s="76"/>
      <c r="CD136" s="76"/>
      <c r="CE136" s="76"/>
      <c r="CF136" s="76"/>
      <c r="CG136" s="76"/>
      <c r="CH136" s="76"/>
      <c r="CI136" s="76"/>
      <c r="CJ136" s="76"/>
      <c r="CK136" s="76"/>
      <c r="CL136" s="76"/>
      <c r="CM136" s="76"/>
      <c r="CN136" s="76"/>
      <c r="CO136" s="76"/>
      <c r="CP136" s="76"/>
      <c r="CQ136" s="76"/>
      <c r="CR136" s="76"/>
      <c r="CS136" s="76"/>
      <c r="CT136" s="76"/>
      <c r="CU136" s="76"/>
      <c r="CV136" s="76"/>
      <c r="CW136" s="76"/>
      <c r="CX136" s="76"/>
      <c r="CY136" s="76"/>
      <c r="CZ136" s="76"/>
      <c r="DA136" s="76"/>
      <c r="DB136" s="76"/>
      <c r="DC136" s="76"/>
      <c r="DD136" s="76"/>
      <c r="DE136" s="76"/>
      <c r="DF136" s="76"/>
      <c r="DG136" s="76"/>
      <c r="DH136" s="76"/>
      <c r="DI136" s="76"/>
      <c r="DJ136" s="76"/>
      <c r="DK136" s="76"/>
      <c r="DL136" s="76"/>
      <c r="DM136" s="76"/>
      <c r="DN136" s="76"/>
      <c r="DO136" s="76"/>
      <c r="DP136" s="76"/>
      <c r="DQ136" s="76"/>
      <c r="DR136" s="76"/>
      <c r="DS136" s="76"/>
      <c r="DT136" s="76"/>
      <c r="DU136" s="76"/>
      <c r="DV136" s="76"/>
      <c r="DW136" s="76"/>
      <c r="DX136" s="76"/>
      <c r="DY136" s="76"/>
      <c r="DZ136" s="76"/>
      <c r="EA136" s="76"/>
      <c r="EB136" s="76"/>
      <c r="EC136" s="76"/>
      <c r="ED136" s="76"/>
      <c r="EE136" s="76"/>
      <c r="EF136" s="76"/>
      <c r="EG136" s="76"/>
      <c r="EH136" s="76"/>
      <c r="EI136" s="76"/>
      <c r="EJ136" s="76"/>
      <c r="EK136" s="76"/>
      <c r="EL136" s="76"/>
      <c r="EM136" s="76"/>
      <c r="EN136" s="76"/>
      <c r="EO136" s="76"/>
      <c r="EP136" s="76"/>
      <c r="EQ136" s="76"/>
      <c r="ER136" s="76"/>
      <c r="ES136" s="76"/>
      <c r="ET136" s="76"/>
      <c r="EU136" s="76"/>
      <c r="EV136" s="76"/>
      <c r="EW136" s="76"/>
      <c r="EX136" s="76"/>
      <c r="EY136" s="76"/>
      <c r="EZ136" s="76"/>
      <c r="FA136" s="76"/>
      <c r="FB136" s="76"/>
      <c r="FC136" s="76"/>
      <c r="FD136" s="76"/>
      <c r="FE136" s="76"/>
      <c r="FF136" s="76"/>
      <c r="FG136" s="76"/>
      <c r="FH136" s="76"/>
      <c r="FI136" s="76"/>
      <c r="FJ136" s="76"/>
      <c r="FK136" s="76"/>
      <c r="FL136" s="76"/>
      <c r="FM136" s="76"/>
      <c r="FN136" s="76"/>
      <c r="FO136" s="76"/>
      <c r="FP136" s="76"/>
      <c r="FQ136" s="76"/>
      <c r="FR136" s="76"/>
      <c r="FS136" s="76"/>
      <c r="FT136" s="76"/>
      <c r="FU136" s="76"/>
      <c r="FV136" s="76"/>
      <c r="FW136" s="76"/>
      <c r="FX136" s="76"/>
      <c r="FY136" s="76"/>
      <c r="FZ136" s="76"/>
      <c r="GA136" s="76"/>
      <c r="GB136" s="76"/>
      <c r="GC136" s="76"/>
      <c r="GD136" s="76"/>
      <c r="GE136" s="76"/>
      <c r="GF136" s="76"/>
      <c r="GG136" s="76"/>
      <c r="GH136" s="76"/>
      <c r="GI136" s="76"/>
      <c r="GJ136" s="76"/>
      <c r="GK136" s="76"/>
      <c r="GL136" s="76"/>
      <c r="GM136" s="76"/>
      <c r="GN136" s="76"/>
      <c r="GO136" s="76"/>
      <c r="GP136" s="76"/>
      <c r="GQ136" s="76"/>
      <c r="GR136" s="76"/>
      <c r="GS136" s="76"/>
      <c r="GT136" s="76"/>
      <c r="GU136" s="76"/>
      <c r="GV136" s="76"/>
      <c r="GW136" s="76"/>
      <c r="GX136" s="76"/>
      <c r="GY136" s="76"/>
      <c r="GZ136" s="76"/>
      <c r="HA136" s="76"/>
      <c r="HB136" s="76"/>
      <c r="HC136" s="76"/>
      <c r="HD136" s="76"/>
      <c r="HE136" s="76"/>
      <c r="HF136" s="76"/>
      <c r="HG136" s="76"/>
      <c r="HH136" s="76"/>
      <c r="HI136" s="76"/>
      <c r="HJ136" s="76"/>
      <c r="HK136" s="76"/>
      <c r="HL136" s="76"/>
      <c r="HM136" s="76"/>
      <c r="HN136" s="76"/>
      <c r="HO136" s="76"/>
      <c r="HP136" s="76"/>
      <c r="HQ136" s="76"/>
      <c r="HR136" s="76"/>
      <c r="HS136" s="76"/>
      <c r="HT136" s="76"/>
      <c r="HU136" s="76"/>
      <c r="HV136" s="76"/>
      <c r="HW136" s="76"/>
      <c r="HX136" s="76"/>
      <c r="HY136" s="76"/>
      <c r="HZ136" s="76"/>
      <c r="IA136" s="76"/>
      <c r="IB136" s="76"/>
      <c r="IC136" s="76"/>
      <c r="ID136" s="76"/>
      <c r="IE136" s="76"/>
      <c r="IF136" s="76"/>
      <c r="IG136" s="76"/>
      <c r="IH136" s="76"/>
      <c r="II136" s="76"/>
      <c r="IJ136" s="76"/>
      <c r="IK136" s="76"/>
      <c r="IL136" s="76"/>
      <c r="IM136" s="76"/>
      <c r="IN136" s="76"/>
    </row>
    <row r="137" spans="1:248" s="16" customFormat="1">
      <c r="A137" s="71"/>
      <c r="B137" s="76"/>
      <c r="C137" s="76"/>
      <c r="D137" s="87"/>
      <c r="E137" s="87"/>
      <c r="F137" s="76"/>
      <c r="G137" s="87"/>
      <c r="H137" s="76"/>
      <c r="I137" s="76"/>
      <c r="J137" s="78"/>
      <c r="K137" s="5"/>
      <c r="L137" s="5"/>
      <c r="M137" s="5"/>
      <c r="N137" s="5"/>
      <c r="O137" s="11"/>
      <c r="P137" s="5"/>
      <c r="Q137" s="5"/>
      <c r="R137" s="76"/>
      <c r="S137" s="76"/>
      <c r="T137" s="76"/>
      <c r="U137" s="76"/>
      <c r="V137" s="76"/>
      <c r="W137" s="84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  <c r="BF137" s="76"/>
      <c r="BG137" s="76"/>
      <c r="BH137" s="76"/>
      <c r="BI137" s="76"/>
      <c r="BJ137" s="76"/>
      <c r="BK137" s="76"/>
      <c r="BL137" s="76"/>
      <c r="BM137" s="76"/>
      <c r="BN137" s="76"/>
      <c r="BO137" s="76"/>
      <c r="BP137" s="76"/>
      <c r="BQ137" s="76"/>
      <c r="BR137" s="76"/>
      <c r="BS137" s="76"/>
      <c r="BT137" s="76"/>
      <c r="BU137" s="76"/>
      <c r="BV137" s="76"/>
      <c r="BW137" s="76"/>
      <c r="BX137" s="76"/>
      <c r="BY137" s="76"/>
      <c r="BZ137" s="76"/>
      <c r="CA137" s="76"/>
      <c r="CB137" s="76"/>
      <c r="CC137" s="76"/>
      <c r="CD137" s="76"/>
      <c r="CE137" s="76"/>
      <c r="CF137" s="76"/>
      <c r="CG137" s="76"/>
      <c r="CH137" s="76"/>
      <c r="CI137" s="76"/>
      <c r="CJ137" s="76"/>
      <c r="CK137" s="76"/>
      <c r="CL137" s="76"/>
      <c r="CM137" s="76"/>
      <c r="CN137" s="76"/>
      <c r="CO137" s="76"/>
      <c r="CP137" s="76"/>
      <c r="CQ137" s="76"/>
      <c r="CR137" s="76"/>
      <c r="CS137" s="76"/>
      <c r="CT137" s="76"/>
      <c r="CU137" s="76"/>
      <c r="CV137" s="76"/>
      <c r="CW137" s="76"/>
      <c r="CX137" s="76"/>
      <c r="CY137" s="76"/>
      <c r="CZ137" s="76"/>
      <c r="DA137" s="76"/>
      <c r="DB137" s="76"/>
      <c r="DC137" s="76"/>
      <c r="DD137" s="76"/>
      <c r="DE137" s="76"/>
      <c r="DF137" s="76"/>
      <c r="DG137" s="76"/>
      <c r="DH137" s="76"/>
      <c r="DI137" s="76"/>
      <c r="DJ137" s="76"/>
      <c r="DK137" s="76"/>
      <c r="DL137" s="76"/>
      <c r="DM137" s="76"/>
      <c r="DN137" s="76"/>
      <c r="DO137" s="76"/>
      <c r="DP137" s="76"/>
      <c r="DQ137" s="76"/>
      <c r="DR137" s="76"/>
      <c r="DS137" s="76"/>
      <c r="DT137" s="76"/>
      <c r="DU137" s="76"/>
      <c r="DV137" s="76"/>
      <c r="DW137" s="76"/>
      <c r="DX137" s="76"/>
      <c r="DY137" s="76"/>
      <c r="DZ137" s="76"/>
      <c r="EA137" s="76"/>
      <c r="EB137" s="76"/>
      <c r="EC137" s="76"/>
      <c r="ED137" s="76"/>
      <c r="EE137" s="76"/>
      <c r="EF137" s="76"/>
      <c r="EG137" s="76"/>
      <c r="EH137" s="76"/>
      <c r="EI137" s="76"/>
      <c r="EJ137" s="76"/>
      <c r="EK137" s="76"/>
      <c r="EL137" s="76"/>
      <c r="EM137" s="76"/>
      <c r="EN137" s="76"/>
      <c r="EO137" s="76"/>
      <c r="EP137" s="76"/>
      <c r="EQ137" s="76"/>
      <c r="ER137" s="76"/>
      <c r="ES137" s="76"/>
      <c r="ET137" s="76"/>
      <c r="EU137" s="76"/>
      <c r="EV137" s="76"/>
      <c r="EW137" s="76"/>
      <c r="EX137" s="76"/>
      <c r="EY137" s="76"/>
      <c r="EZ137" s="76"/>
      <c r="FA137" s="76"/>
      <c r="FB137" s="76"/>
      <c r="FC137" s="76"/>
      <c r="FD137" s="76"/>
      <c r="FE137" s="76"/>
      <c r="FF137" s="76"/>
      <c r="FG137" s="76"/>
      <c r="FH137" s="76"/>
      <c r="FI137" s="76"/>
      <c r="FJ137" s="76"/>
      <c r="FK137" s="76"/>
      <c r="FL137" s="76"/>
      <c r="FM137" s="76"/>
      <c r="FN137" s="76"/>
      <c r="FO137" s="76"/>
      <c r="FP137" s="76"/>
      <c r="FQ137" s="76"/>
      <c r="FR137" s="76"/>
      <c r="FS137" s="76"/>
      <c r="FT137" s="76"/>
      <c r="FU137" s="76"/>
      <c r="FV137" s="76"/>
      <c r="FW137" s="76"/>
      <c r="FX137" s="76"/>
      <c r="FY137" s="76"/>
      <c r="FZ137" s="76"/>
      <c r="GA137" s="76"/>
      <c r="GB137" s="76"/>
      <c r="GC137" s="76"/>
      <c r="GD137" s="76"/>
      <c r="GE137" s="76"/>
      <c r="GF137" s="76"/>
      <c r="GG137" s="76"/>
      <c r="GH137" s="76"/>
      <c r="GI137" s="76"/>
      <c r="GJ137" s="76"/>
      <c r="GK137" s="76"/>
      <c r="GL137" s="76"/>
      <c r="GM137" s="76"/>
      <c r="GN137" s="76"/>
      <c r="GO137" s="76"/>
      <c r="GP137" s="76"/>
      <c r="GQ137" s="76"/>
      <c r="GR137" s="76"/>
      <c r="GS137" s="76"/>
      <c r="GT137" s="76"/>
      <c r="GU137" s="76"/>
      <c r="GV137" s="76"/>
      <c r="GW137" s="76"/>
      <c r="GX137" s="76"/>
      <c r="GY137" s="76"/>
      <c r="GZ137" s="76"/>
      <c r="HA137" s="76"/>
      <c r="HB137" s="76"/>
      <c r="HC137" s="76"/>
      <c r="HD137" s="76"/>
      <c r="HE137" s="76"/>
      <c r="HF137" s="76"/>
      <c r="HG137" s="76"/>
      <c r="HH137" s="76"/>
      <c r="HI137" s="76"/>
      <c r="HJ137" s="76"/>
      <c r="HK137" s="76"/>
      <c r="HL137" s="76"/>
      <c r="HM137" s="76"/>
      <c r="HN137" s="76"/>
      <c r="HO137" s="76"/>
      <c r="HP137" s="76"/>
      <c r="HQ137" s="76"/>
      <c r="HR137" s="76"/>
      <c r="HS137" s="76"/>
      <c r="HT137" s="76"/>
      <c r="HU137" s="76"/>
      <c r="HV137" s="76"/>
      <c r="HW137" s="76"/>
      <c r="HX137" s="76"/>
      <c r="HY137" s="76"/>
      <c r="HZ137" s="76"/>
      <c r="IA137" s="76"/>
      <c r="IB137" s="76"/>
      <c r="IC137" s="76"/>
      <c r="ID137" s="76"/>
      <c r="IE137" s="76"/>
      <c r="IF137" s="76"/>
      <c r="IG137" s="76"/>
      <c r="IH137" s="76"/>
      <c r="II137" s="76"/>
      <c r="IJ137" s="76"/>
      <c r="IK137" s="76"/>
      <c r="IL137" s="76"/>
      <c r="IM137" s="76"/>
      <c r="IN137" s="76"/>
    </row>
    <row r="138" spans="1:248" s="16" customFormat="1">
      <c r="A138" s="71"/>
      <c r="B138" s="76"/>
      <c r="C138" s="76"/>
      <c r="D138" s="87"/>
      <c r="E138" s="87"/>
      <c r="F138" s="76"/>
      <c r="G138" s="87"/>
      <c r="H138" s="76"/>
      <c r="I138" s="76"/>
      <c r="J138" s="78"/>
      <c r="K138" s="5"/>
      <c r="L138" s="5"/>
      <c r="M138" s="5"/>
      <c r="N138" s="5"/>
      <c r="O138" s="11"/>
      <c r="P138" s="5"/>
      <c r="Q138" s="5"/>
      <c r="R138" s="76"/>
      <c r="S138" s="76"/>
      <c r="T138" s="76"/>
      <c r="U138" s="76"/>
      <c r="V138" s="76"/>
      <c r="W138" s="84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  <c r="BF138" s="76"/>
      <c r="BG138" s="76"/>
      <c r="BH138" s="76"/>
      <c r="BI138" s="76"/>
      <c r="BJ138" s="76"/>
      <c r="BK138" s="76"/>
      <c r="BL138" s="76"/>
      <c r="BM138" s="76"/>
      <c r="BN138" s="76"/>
      <c r="BO138" s="76"/>
      <c r="BP138" s="76"/>
      <c r="BQ138" s="76"/>
      <c r="BR138" s="76"/>
      <c r="BS138" s="76"/>
      <c r="BT138" s="76"/>
      <c r="BU138" s="76"/>
      <c r="BV138" s="76"/>
      <c r="BW138" s="76"/>
      <c r="BX138" s="76"/>
      <c r="BY138" s="76"/>
      <c r="BZ138" s="76"/>
      <c r="CA138" s="76"/>
      <c r="CB138" s="76"/>
      <c r="CC138" s="76"/>
      <c r="CD138" s="76"/>
      <c r="CE138" s="76"/>
      <c r="CF138" s="76"/>
      <c r="CG138" s="76"/>
      <c r="CH138" s="76"/>
      <c r="CI138" s="76"/>
      <c r="CJ138" s="76"/>
      <c r="CK138" s="76"/>
      <c r="CL138" s="76"/>
      <c r="CM138" s="76"/>
      <c r="CN138" s="76"/>
      <c r="CO138" s="76"/>
      <c r="CP138" s="76"/>
      <c r="CQ138" s="76"/>
      <c r="CR138" s="76"/>
      <c r="CS138" s="76"/>
      <c r="CT138" s="76"/>
      <c r="CU138" s="76"/>
      <c r="CV138" s="76"/>
      <c r="CW138" s="76"/>
      <c r="CX138" s="76"/>
      <c r="CY138" s="76"/>
      <c r="CZ138" s="76"/>
      <c r="DA138" s="76"/>
      <c r="DB138" s="76"/>
      <c r="DC138" s="76"/>
      <c r="DD138" s="76"/>
      <c r="DE138" s="76"/>
      <c r="DF138" s="76"/>
      <c r="DG138" s="76"/>
      <c r="DH138" s="76"/>
      <c r="DI138" s="76"/>
      <c r="DJ138" s="76"/>
      <c r="DK138" s="76"/>
      <c r="DL138" s="76"/>
      <c r="DM138" s="76"/>
      <c r="DN138" s="76"/>
      <c r="DO138" s="76"/>
      <c r="DP138" s="76"/>
      <c r="DQ138" s="76"/>
      <c r="DR138" s="76"/>
      <c r="DS138" s="76"/>
      <c r="DT138" s="76"/>
      <c r="DU138" s="76"/>
      <c r="DV138" s="76"/>
      <c r="DW138" s="76"/>
      <c r="DX138" s="76"/>
      <c r="DY138" s="76"/>
      <c r="DZ138" s="76"/>
      <c r="EA138" s="76"/>
      <c r="EB138" s="76"/>
      <c r="EC138" s="76"/>
      <c r="ED138" s="76"/>
      <c r="EE138" s="76"/>
      <c r="EF138" s="76"/>
      <c r="EG138" s="76"/>
      <c r="EH138" s="76"/>
      <c r="EI138" s="76"/>
      <c r="EJ138" s="76"/>
      <c r="EK138" s="76"/>
      <c r="EL138" s="76"/>
      <c r="EM138" s="76"/>
      <c r="EN138" s="76"/>
      <c r="EO138" s="76"/>
      <c r="EP138" s="76"/>
      <c r="EQ138" s="76"/>
      <c r="ER138" s="76"/>
      <c r="ES138" s="76"/>
      <c r="ET138" s="76"/>
      <c r="EU138" s="76"/>
      <c r="EV138" s="76"/>
      <c r="EW138" s="76"/>
      <c r="EX138" s="76"/>
      <c r="EY138" s="76"/>
      <c r="EZ138" s="76"/>
      <c r="FA138" s="76"/>
      <c r="FB138" s="76"/>
      <c r="FC138" s="76"/>
      <c r="FD138" s="76"/>
      <c r="FE138" s="76"/>
      <c r="FF138" s="76"/>
      <c r="FG138" s="76"/>
      <c r="FH138" s="76"/>
      <c r="FI138" s="76"/>
      <c r="FJ138" s="76"/>
      <c r="FK138" s="76"/>
      <c r="FL138" s="76"/>
      <c r="FM138" s="76"/>
      <c r="FN138" s="76"/>
      <c r="FO138" s="76"/>
      <c r="FP138" s="76"/>
      <c r="FQ138" s="76"/>
      <c r="FR138" s="76"/>
      <c r="FS138" s="76"/>
      <c r="FT138" s="76"/>
      <c r="FU138" s="76"/>
      <c r="FV138" s="76"/>
      <c r="FW138" s="76"/>
      <c r="FX138" s="76"/>
      <c r="FY138" s="76"/>
      <c r="FZ138" s="76"/>
      <c r="GA138" s="76"/>
      <c r="GB138" s="76"/>
      <c r="GC138" s="76"/>
      <c r="GD138" s="76"/>
      <c r="GE138" s="76"/>
      <c r="GF138" s="76"/>
      <c r="GG138" s="76"/>
      <c r="GH138" s="76"/>
      <c r="GI138" s="76"/>
      <c r="GJ138" s="76"/>
      <c r="GK138" s="76"/>
      <c r="GL138" s="76"/>
      <c r="GM138" s="76"/>
      <c r="GN138" s="76"/>
      <c r="GO138" s="76"/>
      <c r="GP138" s="76"/>
      <c r="GQ138" s="76"/>
      <c r="GR138" s="76"/>
      <c r="GS138" s="76"/>
      <c r="GT138" s="76"/>
      <c r="GU138" s="76"/>
      <c r="GV138" s="76"/>
      <c r="GW138" s="76"/>
      <c r="GX138" s="76"/>
      <c r="GY138" s="76"/>
      <c r="GZ138" s="76"/>
      <c r="HA138" s="76"/>
      <c r="HB138" s="76"/>
      <c r="HC138" s="76"/>
      <c r="HD138" s="76"/>
      <c r="HE138" s="76"/>
      <c r="HF138" s="76"/>
      <c r="HG138" s="76"/>
      <c r="HH138" s="76"/>
      <c r="HI138" s="76"/>
      <c r="HJ138" s="76"/>
      <c r="HK138" s="76"/>
      <c r="HL138" s="76"/>
      <c r="HM138" s="76"/>
      <c r="HN138" s="76"/>
      <c r="HO138" s="76"/>
      <c r="HP138" s="76"/>
      <c r="HQ138" s="76"/>
      <c r="HR138" s="76"/>
      <c r="HS138" s="76"/>
      <c r="HT138" s="76"/>
      <c r="HU138" s="76"/>
      <c r="HV138" s="76"/>
      <c r="HW138" s="76"/>
      <c r="HX138" s="76"/>
      <c r="HY138" s="76"/>
      <c r="HZ138" s="76"/>
      <c r="IA138" s="76"/>
      <c r="IB138" s="76"/>
      <c r="IC138" s="76"/>
      <c r="ID138" s="76"/>
      <c r="IE138" s="76"/>
      <c r="IF138" s="76"/>
      <c r="IG138" s="76"/>
      <c r="IH138" s="76"/>
      <c r="II138" s="76"/>
      <c r="IJ138" s="76"/>
      <c r="IK138" s="76"/>
      <c r="IL138" s="76"/>
      <c r="IM138" s="76"/>
      <c r="IN138" s="76"/>
    </row>
    <row r="139" spans="1:248" s="16" customFormat="1">
      <c r="A139" s="71"/>
      <c r="B139" s="76"/>
      <c r="C139" s="76"/>
      <c r="D139" s="87"/>
      <c r="E139" s="87"/>
      <c r="F139" s="76"/>
      <c r="G139" s="87"/>
      <c r="H139" s="76"/>
      <c r="I139" s="76"/>
      <c r="J139" s="78"/>
      <c r="K139" s="5"/>
      <c r="L139" s="5"/>
      <c r="M139" s="5"/>
      <c r="N139" s="5"/>
      <c r="O139" s="11"/>
      <c r="P139" s="5"/>
      <c r="Q139" s="5"/>
      <c r="R139" s="76"/>
      <c r="S139" s="76"/>
      <c r="T139" s="76"/>
      <c r="U139" s="76"/>
      <c r="V139" s="76"/>
      <c r="W139" s="84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6"/>
      <c r="BH139" s="76"/>
      <c r="BI139" s="76"/>
      <c r="BJ139" s="76"/>
      <c r="BK139" s="76"/>
      <c r="BL139" s="76"/>
      <c r="BM139" s="76"/>
      <c r="BN139" s="76"/>
      <c r="BO139" s="76"/>
      <c r="BP139" s="76"/>
      <c r="BQ139" s="76"/>
      <c r="BR139" s="76"/>
      <c r="BS139" s="76"/>
      <c r="BT139" s="76"/>
      <c r="BU139" s="76"/>
      <c r="BV139" s="76"/>
      <c r="BW139" s="76"/>
      <c r="BX139" s="76"/>
      <c r="BY139" s="76"/>
      <c r="BZ139" s="76"/>
      <c r="CA139" s="76"/>
      <c r="CB139" s="76"/>
      <c r="CC139" s="76"/>
      <c r="CD139" s="76"/>
      <c r="CE139" s="76"/>
      <c r="CF139" s="76"/>
      <c r="CG139" s="76"/>
      <c r="CH139" s="76"/>
      <c r="CI139" s="76"/>
      <c r="CJ139" s="76"/>
      <c r="CK139" s="76"/>
      <c r="CL139" s="76"/>
      <c r="CM139" s="76"/>
      <c r="CN139" s="76"/>
      <c r="CO139" s="76"/>
      <c r="CP139" s="76"/>
      <c r="CQ139" s="76"/>
      <c r="CR139" s="76"/>
      <c r="CS139" s="76"/>
      <c r="CT139" s="76"/>
      <c r="CU139" s="76"/>
      <c r="CV139" s="76"/>
      <c r="CW139" s="76"/>
      <c r="CX139" s="76"/>
      <c r="CY139" s="76"/>
      <c r="CZ139" s="76"/>
      <c r="DA139" s="76"/>
      <c r="DB139" s="76"/>
      <c r="DC139" s="76"/>
      <c r="DD139" s="76"/>
      <c r="DE139" s="76"/>
      <c r="DF139" s="76"/>
      <c r="DG139" s="76"/>
      <c r="DH139" s="76"/>
      <c r="DI139" s="76"/>
      <c r="DJ139" s="76"/>
      <c r="DK139" s="76"/>
      <c r="DL139" s="76"/>
      <c r="DM139" s="76"/>
      <c r="DN139" s="76"/>
      <c r="DO139" s="76"/>
      <c r="DP139" s="76"/>
      <c r="DQ139" s="76"/>
      <c r="DR139" s="76"/>
      <c r="DS139" s="76"/>
      <c r="DT139" s="76"/>
      <c r="DU139" s="76"/>
      <c r="DV139" s="76"/>
      <c r="DW139" s="76"/>
      <c r="DX139" s="76"/>
      <c r="DY139" s="76"/>
      <c r="DZ139" s="76"/>
      <c r="EA139" s="76"/>
      <c r="EB139" s="76"/>
      <c r="EC139" s="76"/>
      <c r="ED139" s="76"/>
      <c r="EE139" s="76"/>
      <c r="EF139" s="76"/>
      <c r="EG139" s="76"/>
      <c r="EH139" s="76"/>
      <c r="EI139" s="76"/>
      <c r="EJ139" s="76"/>
      <c r="EK139" s="76"/>
      <c r="EL139" s="76"/>
      <c r="EM139" s="76"/>
      <c r="EN139" s="76"/>
      <c r="EO139" s="76"/>
      <c r="EP139" s="76"/>
      <c r="EQ139" s="76"/>
      <c r="ER139" s="76"/>
      <c r="ES139" s="76"/>
      <c r="ET139" s="76"/>
      <c r="EU139" s="76"/>
      <c r="EV139" s="76"/>
      <c r="EW139" s="76"/>
      <c r="EX139" s="76"/>
      <c r="EY139" s="76"/>
      <c r="EZ139" s="76"/>
      <c r="FA139" s="76"/>
      <c r="FB139" s="76"/>
      <c r="FC139" s="76"/>
      <c r="FD139" s="76"/>
      <c r="FE139" s="76"/>
      <c r="FF139" s="76"/>
      <c r="FG139" s="76"/>
      <c r="FH139" s="76"/>
      <c r="FI139" s="76"/>
      <c r="FJ139" s="76"/>
      <c r="FK139" s="76"/>
      <c r="FL139" s="76"/>
      <c r="FM139" s="76"/>
      <c r="FN139" s="76"/>
      <c r="FO139" s="76"/>
      <c r="FP139" s="76"/>
      <c r="FQ139" s="76"/>
      <c r="FR139" s="76"/>
      <c r="FS139" s="76"/>
      <c r="FT139" s="76"/>
      <c r="FU139" s="76"/>
      <c r="FV139" s="76"/>
      <c r="FW139" s="76"/>
      <c r="FX139" s="76"/>
      <c r="FY139" s="76"/>
      <c r="FZ139" s="76"/>
      <c r="GA139" s="76"/>
      <c r="GB139" s="76"/>
      <c r="GC139" s="76"/>
      <c r="GD139" s="76"/>
      <c r="GE139" s="76"/>
      <c r="GF139" s="76"/>
      <c r="GG139" s="76"/>
      <c r="GH139" s="76"/>
      <c r="GI139" s="76"/>
      <c r="GJ139" s="76"/>
      <c r="GK139" s="76"/>
      <c r="GL139" s="76"/>
      <c r="GM139" s="76"/>
      <c r="GN139" s="76"/>
      <c r="GO139" s="76"/>
      <c r="GP139" s="76"/>
      <c r="GQ139" s="76"/>
      <c r="GR139" s="76"/>
      <c r="GS139" s="76"/>
      <c r="GT139" s="76"/>
      <c r="GU139" s="76"/>
      <c r="GV139" s="76"/>
      <c r="GW139" s="76"/>
      <c r="GX139" s="76"/>
      <c r="GY139" s="76"/>
      <c r="GZ139" s="76"/>
      <c r="HA139" s="76"/>
      <c r="HB139" s="76"/>
      <c r="HC139" s="76"/>
      <c r="HD139" s="76"/>
      <c r="HE139" s="76"/>
      <c r="HF139" s="76"/>
      <c r="HG139" s="76"/>
      <c r="HH139" s="76"/>
      <c r="HI139" s="76"/>
      <c r="HJ139" s="76"/>
      <c r="HK139" s="76"/>
      <c r="HL139" s="76"/>
      <c r="HM139" s="76"/>
      <c r="HN139" s="76"/>
      <c r="HO139" s="76"/>
      <c r="HP139" s="76"/>
      <c r="HQ139" s="76"/>
      <c r="HR139" s="76"/>
      <c r="HS139" s="76"/>
      <c r="HT139" s="76"/>
      <c r="HU139" s="76"/>
      <c r="HV139" s="76"/>
      <c r="HW139" s="76"/>
      <c r="HX139" s="76"/>
      <c r="HY139" s="76"/>
      <c r="HZ139" s="76"/>
      <c r="IA139" s="76"/>
      <c r="IB139" s="76"/>
      <c r="IC139" s="76"/>
      <c r="ID139" s="76"/>
      <c r="IE139" s="76"/>
      <c r="IF139" s="76"/>
      <c r="IG139" s="76"/>
      <c r="IH139" s="76"/>
      <c r="II139" s="76"/>
      <c r="IJ139" s="76"/>
      <c r="IK139" s="76"/>
      <c r="IL139" s="76"/>
      <c r="IM139" s="76"/>
      <c r="IN139" s="76"/>
    </row>
    <row r="140" spans="1:248" s="16" customFormat="1">
      <c r="A140" s="71"/>
      <c r="B140" s="76"/>
      <c r="C140" s="76"/>
      <c r="D140" s="87"/>
      <c r="E140" s="87"/>
      <c r="F140" s="76"/>
      <c r="G140" s="87"/>
      <c r="H140" s="76"/>
      <c r="I140" s="76"/>
      <c r="J140" s="78"/>
      <c r="K140" s="5"/>
      <c r="L140" s="5"/>
      <c r="M140" s="5"/>
      <c r="N140" s="5"/>
      <c r="O140" s="11"/>
      <c r="P140" s="5"/>
      <c r="Q140" s="5"/>
      <c r="R140" s="76"/>
      <c r="S140" s="76"/>
      <c r="T140" s="76"/>
      <c r="U140" s="76"/>
      <c r="V140" s="76"/>
      <c r="W140" s="84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  <c r="BF140" s="76"/>
      <c r="BG140" s="76"/>
      <c r="BH140" s="76"/>
      <c r="BI140" s="76"/>
      <c r="BJ140" s="76"/>
      <c r="BK140" s="76"/>
      <c r="BL140" s="76"/>
      <c r="BM140" s="76"/>
      <c r="BN140" s="76"/>
      <c r="BO140" s="76"/>
      <c r="BP140" s="76"/>
      <c r="BQ140" s="76"/>
      <c r="BR140" s="76"/>
      <c r="BS140" s="76"/>
      <c r="BT140" s="76"/>
      <c r="BU140" s="76"/>
      <c r="BV140" s="76"/>
      <c r="BW140" s="76"/>
      <c r="BX140" s="76"/>
      <c r="BY140" s="76"/>
      <c r="BZ140" s="76"/>
      <c r="CA140" s="76"/>
      <c r="CB140" s="76"/>
      <c r="CC140" s="76"/>
      <c r="CD140" s="76"/>
      <c r="CE140" s="76"/>
      <c r="CF140" s="76"/>
      <c r="CG140" s="76"/>
      <c r="CH140" s="76"/>
      <c r="CI140" s="76"/>
      <c r="CJ140" s="76"/>
      <c r="CK140" s="76"/>
      <c r="CL140" s="76"/>
      <c r="CM140" s="76"/>
      <c r="CN140" s="76"/>
      <c r="CO140" s="76"/>
      <c r="CP140" s="76"/>
      <c r="CQ140" s="76"/>
      <c r="CR140" s="76"/>
      <c r="CS140" s="76"/>
      <c r="CT140" s="76"/>
      <c r="CU140" s="76"/>
      <c r="CV140" s="76"/>
      <c r="CW140" s="76"/>
      <c r="CX140" s="76"/>
      <c r="CY140" s="76"/>
      <c r="CZ140" s="76"/>
      <c r="DA140" s="76"/>
      <c r="DB140" s="76"/>
      <c r="DC140" s="76"/>
      <c r="DD140" s="76"/>
      <c r="DE140" s="76"/>
      <c r="DF140" s="76"/>
      <c r="DG140" s="76"/>
      <c r="DH140" s="76"/>
      <c r="DI140" s="76"/>
      <c r="DJ140" s="76"/>
      <c r="DK140" s="76"/>
      <c r="DL140" s="76"/>
      <c r="DM140" s="76"/>
      <c r="DN140" s="76"/>
      <c r="DO140" s="76"/>
      <c r="DP140" s="76"/>
      <c r="DQ140" s="76"/>
      <c r="DR140" s="76"/>
      <c r="DS140" s="76"/>
      <c r="DT140" s="76"/>
      <c r="DU140" s="76"/>
      <c r="DV140" s="76"/>
      <c r="DW140" s="76"/>
      <c r="DX140" s="76"/>
      <c r="DY140" s="76"/>
      <c r="DZ140" s="76"/>
      <c r="EA140" s="76"/>
      <c r="EB140" s="76"/>
      <c r="EC140" s="76"/>
      <c r="ED140" s="76"/>
      <c r="EE140" s="76"/>
      <c r="EF140" s="76"/>
      <c r="EG140" s="76"/>
      <c r="EH140" s="76"/>
      <c r="EI140" s="76"/>
      <c r="EJ140" s="76"/>
      <c r="EK140" s="76"/>
      <c r="EL140" s="76"/>
      <c r="EM140" s="76"/>
      <c r="EN140" s="76"/>
      <c r="EO140" s="76"/>
      <c r="EP140" s="76"/>
      <c r="EQ140" s="76"/>
      <c r="ER140" s="76"/>
      <c r="ES140" s="76"/>
      <c r="ET140" s="76"/>
      <c r="EU140" s="76"/>
      <c r="EV140" s="76"/>
      <c r="EW140" s="76"/>
      <c r="EX140" s="76"/>
      <c r="EY140" s="76"/>
      <c r="EZ140" s="76"/>
      <c r="FA140" s="76"/>
      <c r="FB140" s="76"/>
      <c r="FC140" s="76"/>
      <c r="FD140" s="76"/>
      <c r="FE140" s="76"/>
      <c r="FF140" s="76"/>
      <c r="FG140" s="76"/>
      <c r="FH140" s="76"/>
      <c r="FI140" s="76"/>
      <c r="FJ140" s="76"/>
      <c r="FK140" s="76"/>
      <c r="FL140" s="76"/>
      <c r="FM140" s="76"/>
      <c r="FN140" s="76"/>
      <c r="FO140" s="76"/>
      <c r="FP140" s="76"/>
      <c r="FQ140" s="76"/>
      <c r="FR140" s="76"/>
      <c r="FS140" s="76"/>
      <c r="FT140" s="76"/>
      <c r="FU140" s="76"/>
      <c r="FV140" s="76"/>
      <c r="FW140" s="76"/>
      <c r="FX140" s="76"/>
      <c r="FY140" s="76"/>
      <c r="FZ140" s="76"/>
      <c r="GA140" s="76"/>
      <c r="GB140" s="76"/>
      <c r="GC140" s="76"/>
      <c r="GD140" s="76"/>
      <c r="GE140" s="76"/>
      <c r="GF140" s="76"/>
      <c r="GG140" s="76"/>
      <c r="GH140" s="76"/>
      <c r="GI140" s="76"/>
      <c r="GJ140" s="76"/>
      <c r="GK140" s="76"/>
      <c r="GL140" s="76"/>
      <c r="GM140" s="76"/>
      <c r="GN140" s="76"/>
      <c r="GO140" s="76"/>
      <c r="GP140" s="76"/>
      <c r="GQ140" s="76"/>
      <c r="GR140" s="76"/>
      <c r="GS140" s="76"/>
      <c r="GT140" s="76"/>
      <c r="GU140" s="76"/>
      <c r="GV140" s="76"/>
      <c r="GW140" s="76"/>
      <c r="GX140" s="76"/>
      <c r="GY140" s="76"/>
      <c r="GZ140" s="76"/>
      <c r="HA140" s="76"/>
      <c r="HB140" s="76"/>
      <c r="HC140" s="76"/>
      <c r="HD140" s="76"/>
      <c r="HE140" s="76"/>
      <c r="HF140" s="76"/>
      <c r="HG140" s="76"/>
      <c r="HH140" s="76"/>
      <c r="HI140" s="76"/>
      <c r="HJ140" s="76"/>
      <c r="HK140" s="76"/>
      <c r="HL140" s="76"/>
      <c r="HM140" s="76"/>
      <c r="HN140" s="76"/>
      <c r="HO140" s="76"/>
      <c r="HP140" s="76"/>
      <c r="HQ140" s="76"/>
      <c r="HR140" s="76"/>
      <c r="HS140" s="76"/>
      <c r="HT140" s="76"/>
      <c r="HU140" s="76"/>
      <c r="HV140" s="76"/>
      <c r="HW140" s="76"/>
      <c r="HX140" s="76"/>
      <c r="HY140" s="76"/>
      <c r="HZ140" s="76"/>
      <c r="IA140" s="76"/>
      <c r="IB140" s="76"/>
      <c r="IC140" s="76"/>
      <c r="ID140" s="76"/>
      <c r="IE140" s="76"/>
      <c r="IF140" s="76"/>
      <c r="IG140" s="76"/>
      <c r="IH140" s="76"/>
      <c r="II140" s="76"/>
      <c r="IJ140" s="76"/>
      <c r="IK140" s="76"/>
      <c r="IL140" s="76"/>
      <c r="IM140" s="76"/>
      <c r="IN140" s="76"/>
    </row>
    <row r="141" spans="1:248" s="16" customFormat="1">
      <c r="A141" s="71"/>
      <c r="B141" s="76"/>
      <c r="C141" s="76"/>
      <c r="D141" s="87"/>
      <c r="E141" s="87"/>
      <c r="F141" s="76"/>
      <c r="G141" s="87"/>
      <c r="H141" s="76"/>
      <c r="I141" s="76"/>
      <c r="J141" s="78"/>
      <c r="K141" s="5"/>
      <c r="L141" s="5"/>
      <c r="M141" s="5"/>
      <c r="N141" s="5"/>
      <c r="O141" s="11"/>
      <c r="P141" s="5"/>
      <c r="Q141" s="5"/>
      <c r="R141" s="76"/>
      <c r="S141" s="76"/>
      <c r="T141" s="76"/>
      <c r="U141" s="76"/>
      <c r="V141" s="76"/>
      <c r="W141" s="84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  <c r="BF141" s="76"/>
      <c r="BG141" s="76"/>
      <c r="BH141" s="76"/>
      <c r="BI141" s="76"/>
      <c r="BJ141" s="76"/>
      <c r="BK141" s="76"/>
      <c r="BL141" s="76"/>
      <c r="BM141" s="76"/>
      <c r="BN141" s="76"/>
      <c r="BO141" s="76"/>
      <c r="BP141" s="76"/>
      <c r="BQ141" s="76"/>
      <c r="BR141" s="76"/>
      <c r="BS141" s="76"/>
      <c r="BT141" s="76"/>
      <c r="BU141" s="76"/>
      <c r="BV141" s="76"/>
      <c r="BW141" s="76"/>
      <c r="BX141" s="76"/>
      <c r="BY141" s="76"/>
      <c r="BZ141" s="76"/>
      <c r="CA141" s="76"/>
      <c r="CB141" s="76"/>
      <c r="CC141" s="76"/>
      <c r="CD141" s="76"/>
      <c r="CE141" s="76"/>
      <c r="CF141" s="76"/>
      <c r="CG141" s="76"/>
      <c r="CH141" s="76"/>
      <c r="CI141" s="76"/>
      <c r="CJ141" s="76"/>
      <c r="CK141" s="76"/>
      <c r="CL141" s="76"/>
      <c r="CM141" s="76"/>
      <c r="CN141" s="76"/>
      <c r="CO141" s="76"/>
      <c r="CP141" s="76"/>
      <c r="CQ141" s="76"/>
      <c r="CR141" s="76"/>
      <c r="CS141" s="76"/>
      <c r="CT141" s="76"/>
      <c r="CU141" s="76"/>
      <c r="CV141" s="76"/>
      <c r="CW141" s="76"/>
      <c r="CX141" s="76"/>
      <c r="CY141" s="76"/>
      <c r="CZ141" s="76"/>
      <c r="DA141" s="76"/>
      <c r="DB141" s="76"/>
      <c r="DC141" s="76"/>
      <c r="DD141" s="76"/>
      <c r="DE141" s="76"/>
      <c r="DF141" s="76"/>
      <c r="DG141" s="76"/>
      <c r="DH141" s="76"/>
      <c r="DI141" s="76"/>
      <c r="DJ141" s="76"/>
      <c r="DK141" s="76"/>
      <c r="DL141" s="76"/>
      <c r="DM141" s="76"/>
      <c r="DN141" s="76"/>
      <c r="DO141" s="76"/>
      <c r="DP141" s="76"/>
      <c r="DQ141" s="76"/>
      <c r="DR141" s="76"/>
      <c r="DS141" s="76"/>
      <c r="DT141" s="76"/>
      <c r="DU141" s="76"/>
      <c r="DV141" s="76"/>
      <c r="DW141" s="76"/>
      <c r="DX141" s="76"/>
      <c r="DY141" s="76"/>
      <c r="DZ141" s="76"/>
      <c r="EA141" s="76"/>
      <c r="EB141" s="76"/>
      <c r="EC141" s="76"/>
      <c r="ED141" s="76"/>
      <c r="EE141" s="76"/>
      <c r="EF141" s="76"/>
      <c r="EG141" s="76"/>
      <c r="EH141" s="76"/>
      <c r="EI141" s="76"/>
      <c r="EJ141" s="76"/>
      <c r="EK141" s="76"/>
      <c r="EL141" s="76"/>
      <c r="EM141" s="76"/>
      <c r="EN141" s="76"/>
      <c r="EO141" s="76"/>
      <c r="EP141" s="76"/>
      <c r="EQ141" s="76"/>
      <c r="ER141" s="76"/>
      <c r="ES141" s="76"/>
      <c r="ET141" s="76"/>
      <c r="EU141" s="76"/>
      <c r="EV141" s="76"/>
      <c r="EW141" s="76"/>
      <c r="EX141" s="76"/>
      <c r="EY141" s="76"/>
      <c r="EZ141" s="76"/>
      <c r="FA141" s="76"/>
      <c r="FB141" s="76"/>
      <c r="FC141" s="76"/>
      <c r="FD141" s="76"/>
      <c r="FE141" s="76"/>
      <c r="FF141" s="76"/>
      <c r="FG141" s="76"/>
      <c r="FH141" s="76"/>
      <c r="FI141" s="76"/>
      <c r="FJ141" s="76"/>
      <c r="FK141" s="76"/>
      <c r="FL141" s="76"/>
      <c r="FM141" s="76"/>
      <c r="FN141" s="76"/>
      <c r="FO141" s="76"/>
      <c r="FP141" s="76"/>
      <c r="FQ141" s="76"/>
      <c r="FR141" s="76"/>
      <c r="FS141" s="76"/>
      <c r="FT141" s="76"/>
      <c r="FU141" s="76"/>
      <c r="FV141" s="76"/>
      <c r="FW141" s="76"/>
      <c r="FX141" s="76"/>
      <c r="FY141" s="76"/>
      <c r="FZ141" s="76"/>
      <c r="GA141" s="76"/>
      <c r="GB141" s="76"/>
      <c r="GC141" s="76"/>
      <c r="GD141" s="76"/>
      <c r="GE141" s="76"/>
      <c r="GF141" s="76"/>
      <c r="GG141" s="76"/>
      <c r="GH141" s="76"/>
      <c r="GI141" s="76"/>
      <c r="GJ141" s="76"/>
      <c r="GK141" s="76"/>
      <c r="GL141" s="76"/>
      <c r="GM141" s="76"/>
      <c r="GN141" s="76"/>
      <c r="GO141" s="76"/>
      <c r="GP141" s="76"/>
      <c r="GQ141" s="76"/>
      <c r="GR141" s="76"/>
      <c r="GS141" s="76"/>
      <c r="GT141" s="76"/>
      <c r="GU141" s="76"/>
      <c r="GV141" s="76"/>
      <c r="GW141" s="76"/>
      <c r="GX141" s="76"/>
      <c r="GY141" s="76"/>
      <c r="GZ141" s="76"/>
      <c r="HA141" s="76"/>
      <c r="HB141" s="76"/>
      <c r="HC141" s="76"/>
      <c r="HD141" s="76"/>
      <c r="HE141" s="76"/>
      <c r="HF141" s="76"/>
      <c r="HG141" s="76"/>
      <c r="HH141" s="76"/>
      <c r="HI141" s="76"/>
      <c r="HJ141" s="76"/>
      <c r="HK141" s="76"/>
      <c r="HL141" s="76"/>
      <c r="HM141" s="76"/>
      <c r="HN141" s="76"/>
      <c r="HO141" s="76"/>
      <c r="HP141" s="76"/>
      <c r="HQ141" s="76"/>
      <c r="HR141" s="76"/>
      <c r="HS141" s="76"/>
      <c r="HT141" s="76"/>
      <c r="HU141" s="76"/>
      <c r="HV141" s="76"/>
      <c r="HW141" s="76"/>
      <c r="HX141" s="76"/>
      <c r="HY141" s="76"/>
      <c r="HZ141" s="76"/>
      <c r="IA141" s="76"/>
      <c r="IB141" s="76"/>
      <c r="IC141" s="76"/>
      <c r="ID141" s="76"/>
      <c r="IE141" s="76"/>
      <c r="IF141" s="76"/>
      <c r="IG141" s="76"/>
      <c r="IH141" s="76"/>
      <c r="II141" s="76"/>
      <c r="IJ141" s="76"/>
      <c r="IK141" s="76"/>
      <c r="IL141" s="76"/>
      <c r="IM141" s="76"/>
      <c r="IN141" s="76"/>
    </row>
    <row r="142" spans="1:248" s="16" customFormat="1">
      <c r="A142" s="71"/>
      <c r="B142" s="76"/>
      <c r="C142" s="76"/>
      <c r="D142" s="87"/>
      <c r="E142" s="87"/>
      <c r="F142" s="76"/>
      <c r="G142" s="87"/>
      <c r="H142" s="76"/>
      <c r="I142" s="76"/>
      <c r="J142" s="78"/>
      <c r="K142" s="5"/>
      <c r="L142" s="5"/>
      <c r="M142" s="5"/>
      <c r="N142" s="5"/>
      <c r="O142" s="11"/>
      <c r="P142" s="5"/>
      <c r="Q142" s="5"/>
      <c r="R142" s="76"/>
      <c r="S142" s="76"/>
      <c r="T142" s="76"/>
      <c r="U142" s="76"/>
      <c r="V142" s="76"/>
      <c r="W142" s="84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/>
      <c r="BO142" s="76"/>
      <c r="BP142" s="76"/>
      <c r="BQ142" s="76"/>
      <c r="BR142" s="76"/>
      <c r="BS142" s="76"/>
      <c r="BT142" s="76"/>
      <c r="BU142" s="76"/>
      <c r="BV142" s="76"/>
      <c r="BW142" s="76"/>
      <c r="BX142" s="76"/>
      <c r="BY142" s="76"/>
      <c r="BZ142" s="76"/>
      <c r="CA142" s="76"/>
      <c r="CB142" s="76"/>
      <c r="CC142" s="76"/>
      <c r="CD142" s="76"/>
      <c r="CE142" s="76"/>
      <c r="CF142" s="76"/>
      <c r="CG142" s="76"/>
      <c r="CH142" s="76"/>
      <c r="CI142" s="76"/>
      <c r="CJ142" s="76"/>
      <c r="CK142" s="76"/>
      <c r="CL142" s="76"/>
      <c r="CM142" s="76"/>
      <c r="CN142" s="76"/>
      <c r="CO142" s="76"/>
      <c r="CP142" s="76"/>
      <c r="CQ142" s="76"/>
      <c r="CR142" s="76"/>
      <c r="CS142" s="76"/>
      <c r="CT142" s="76"/>
      <c r="CU142" s="76"/>
      <c r="CV142" s="76"/>
      <c r="CW142" s="76"/>
      <c r="CX142" s="76"/>
      <c r="CY142" s="76"/>
      <c r="CZ142" s="76"/>
      <c r="DA142" s="76"/>
      <c r="DB142" s="76"/>
      <c r="DC142" s="76"/>
      <c r="DD142" s="76"/>
      <c r="DE142" s="76"/>
      <c r="DF142" s="76"/>
      <c r="DG142" s="76"/>
      <c r="DH142" s="76"/>
      <c r="DI142" s="76"/>
      <c r="DJ142" s="76"/>
      <c r="DK142" s="76"/>
      <c r="DL142" s="76"/>
      <c r="DM142" s="76"/>
      <c r="DN142" s="76"/>
      <c r="DO142" s="76"/>
      <c r="DP142" s="76"/>
      <c r="DQ142" s="76"/>
      <c r="DR142" s="76"/>
      <c r="DS142" s="76"/>
      <c r="DT142" s="76"/>
      <c r="DU142" s="76"/>
      <c r="DV142" s="76"/>
      <c r="DW142" s="76"/>
      <c r="DX142" s="76"/>
      <c r="DY142" s="76"/>
      <c r="DZ142" s="76"/>
      <c r="EA142" s="76"/>
      <c r="EB142" s="76"/>
      <c r="EC142" s="76"/>
      <c r="ED142" s="76"/>
      <c r="EE142" s="76"/>
      <c r="EF142" s="76"/>
      <c r="EG142" s="76"/>
      <c r="EH142" s="76"/>
      <c r="EI142" s="76"/>
      <c r="EJ142" s="76"/>
      <c r="EK142" s="76"/>
      <c r="EL142" s="76"/>
      <c r="EM142" s="76"/>
      <c r="EN142" s="76"/>
      <c r="EO142" s="76"/>
      <c r="EP142" s="76"/>
      <c r="EQ142" s="76"/>
      <c r="ER142" s="76"/>
      <c r="ES142" s="76"/>
      <c r="ET142" s="76"/>
      <c r="EU142" s="76"/>
      <c r="EV142" s="76"/>
      <c r="EW142" s="76"/>
      <c r="EX142" s="76"/>
      <c r="EY142" s="76"/>
      <c r="EZ142" s="76"/>
      <c r="FA142" s="76"/>
      <c r="FB142" s="76"/>
      <c r="FC142" s="76"/>
      <c r="FD142" s="76"/>
      <c r="FE142" s="76"/>
      <c r="FF142" s="76"/>
      <c r="FG142" s="76"/>
      <c r="FH142" s="76"/>
      <c r="FI142" s="76"/>
      <c r="FJ142" s="76"/>
      <c r="FK142" s="76"/>
      <c r="FL142" s="76"/>
      <c r="FM142" s="76"/>
      <c r="FN142" s="76"/>
      <c r="FO142" s="76"/>
      <c r="FP142" s="76"/>
      <c r="FQ142" s="76"/>
      <c r="FR142" s="76"/>
      <c r="FS142" s="76"/>
      <c r="FT142" s="76"/>
      <c r="FU142" s="76"/>
      <c r="FV142" s="76"/>
      <c r="FW142" s="76"/>
      <c r="FX142" s="76"/>
      <c r="FY142" s="76"/>
      <c r="FZ142" s="76"/>
      <c r="GA142" s="76"/>
      <c r="GB142" s="76"/>
      <c r="GC142" s="76"/>
      <c r="GD142" s="76"/>
      <c r="GE142" s="76"/>
      <c r="GF142" s="76"/>
      <c r="GG142" s="76"/>
      <c r="GH142" s="76"/>
      <c r="GI142" s="76"/>
      <c r="GJ142" s="76"/>
      <c r="GK142" s="76"/>
      <c r="GL142" s="76"/>
      <c r="GM142" s="76"/>
      <c r="GN142" s="76"/>
      <c r="GO142" s="76"/>
      <c r="GP142" s="76"/>
      <c r="GQ142" s="76"/>
      <c r="GR142" s="76"/>
      <c r="GS142" s="76"/>
      <c r="GT142" s="76"/>
      <c r="GU142" s="76"/>
      <c r="GV142" s="76"/>
      <c r="GW142" s="76"/>
      <c r="GX142" s="76"/>
      <c r="GY142" s="76"/>
      <c r="GZ142" s="76"/>
      <c r="HA142" s="76"/>
      <c r="HB142" s="76"/>
      <c r="HC142" s="76"/>
      <c r="HD142" s="76"/>
      <c r="HE142" s="76"/>
      <c r="HF142" s="76"/>
      <c r="HG142" s="76"/>
      <c r="HH142" s="76"/>
      <c r="HI142" s="76"/>
      <c r="HJ142" s="76"/>
      <c r="HK142" s="76"/>
      <c r="HL142" s="76"/>
      <c r="HM142" s="76"/>
      <c r="HN142" s="76"/>
      <c r="HO142" s="76"/>
      <c r="HP142" s="76"/>
      <c r="HQ142" s="76"/>
      <c r="HR142" s="76"/>
      <c r="HS142" s="76"/>
      <c r="HT142" s="76"/>
      <c r="HU142" s="76"/>
      <c r="HV142" s="76"/>
      <c r="HW142" s="76"/>
      <c r="HX142" s="76"/>
      <c r="HY142" s="76"/>
      <c r="HZ142" s="76"/>
      <c r="IA142" s="76"/>
      <c r="IB142" s="76"/>
      <c r="IC142" s="76"/>
      <c r="ID142" s="76"/>
      <c r="IE142" s="76"/>
      <c r="IF142" s="76"/>
      <c r="IG142" s="76"/>
      <c r="IH142" s="76"/>
      <c r="II142" s="76"/>
      <c r="IJ142" s="76"/>
      <c r="IK142" s="76"/>
      <c r="IL142" s="76"/>
      <c r="IM142" s="76"/>
      <c r="IN142" s="76"/>
    </row>
    <row r="143" spans="1:248" s="16" customFormat="1">
      <c r="A143" s="71"/>
      <c r="B143" s="76"/>
      <c r="C143" s="76"/>
      <c r="D143" s="87"/>
      <c r="E143" s="87"/>
      <c r="F143" s="76"/>
      <c r="G143" s="87"/>
      <c r="H143" s="76"/>
      <c r="I143" s="76"/>
      <c r="J143" s="78"/>
      <c r="K143" s="5"/>
      <c r="L143" s="5"/>
      <c r="M143" s="5"/>
      <c r="N143" s="5"/>
      <c r="O143" s="11"/>
      <c r="P143" s="5"/>
      <c r="Q143" s="5"/>
      <c r="R143" s="76"/>
      <c r="S143" s="76"/>
      <c r="T143" s="76"/>
      <c r="U143" s="76"/>
      <c r="V143" s="76"/>
      <c r="W143" s="84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76"/>
      <c r="BG143" s="76"/>
      <c r="BH143" s="76"/>
      <c r="BI143" s="76"/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  <c r="BU143" s="76"/>
      <c r="BV143" s="76"/>
      <c r="BW143" s="76"/>
      <c r="BX143" s="76"/>
      <c r="BY143" s="76"/>
      <c r="BZ143" s="76"/>
      <c r="CA143" s="76"/>
      <c r="CB143" s="76"/>
      <c r="CC143" s="76"/>
      <c r="CD143" s="76"/>
      <c r="CE143" s="76"/>
      <c r="CF143" s="76"/>
      <c r="CG143" s="76"/>
      <c r="CH143" s="76"/>
      <c r="CI143" s="76"/>
      <c r="CJ143" s="76"/>
      <c r="CK143" s="76"/>
      <c r="CL143" s="76"/>
      <c r="CM143" s="76"/>
      <c r="CN143" s="76"/>
      <c r="CO143" s="76"/>
      <c r="CP143" s="76"/>
      <c r="CQ143" s="76"/>
      <c r="CR143" s="76"/>
      <c r="CS143" s="76"/>
      <c r="CT143" s="76"/>
      <c r="CU143" s="76"/>
      <c r="CV143" s="76"/>
      <c r="CW143" s="76"/>
      <c r="CX143" s="76"/>
      <c r="CY143" s="76"/>
      <c r="CZ143" s="76"/>
      <c r="DA143" s="76"/>
      <c r="DB143" s="76"/>
      <c r="DC143" s="76"/>
      <c r="DD143" s="76"/>
      <c r="DE143" s="76"/>
      <c r="DF143" s="76"/>
      <c r="DG143" s="76"/>
      <c r="DH143" s="76"/>
      <c r="DI143" s="76"/>
      <c r="DJ143" s="76"/>
      <c r="DK143" s="76"/>
      <c r="DL143" s="76"/>
      <c r="DM143" s="76"/>
      <c r="DN143" s="76"/>
      <c r="DO143" s="76"/>
      <c r="DP143" s="76"/>
      <c r="DQ143" s="76"/>
      <c r="DR143" s="76"/>
      <c r="DS143" s="76"/>
      <c r="DT143" s="76"/>
      <c r="DU143" s="76"/>
      <c r="DV143" s="76"/>
      <c r="DW143" s="76"/>
      <c r="DX143" s="76"/>
      <c r="DY143" s="76"/>
      <c r="DZ143" s="76"/>
      <c r="EA143" s="76"/>
      <c r="EB143" s="76"/>
      <c r="EC143" s="76"/>
      <c r="ED143" s="76"/>
      <c r="EE143" s="76"/>
      <c r="EF143" s="76"/>
      <c r="EG143" s="76"/>
      <c r="EH143" s="76"/>
      <c r="EI143" s="76"/>
      <c r="EJ143" s="76"/>
      <c r="EK143" s="76"/>
      <c r="EL143" s="76"/>
      <c r="EM143" s="76"/>
      <c r="EN143" s="76"/>
      <c r="EO143" s="76"/>
      <c r="EP143" s="76"/>
      <c r="EQ143" s="76"/>
      <c r="ER143" s="76"/>
      <c r="ES143" s="76"/>
      <c r="ET143" s="76"/>
      <c r="EU143" s="76"/>
      <c r="EV143" s="76"/>
      <c r="EW143" s="76"/>
      <c r="EX143" s="76"/>
      <c r="EY143" s="76"/>
      <c r="EZ143" s="76"/>
      <c r="FA143" s="76"/>
      <c r="FB143" s="76"/>
      <c r="FC143" s="76"/>
      <c r="FD143" s="76"/>
      <c r="FE143" s="76"/>
      <c r="FF143" s="76"/>
      <c r="FG143" s="76"/>
      <c r="FH143" s="76"/>
      <c r="FI143" s="76"/>
      <c r="FJ143" s="76"/>
      <c r="FK143" s="76"/>
      <c r="FL143" s="76"/>
      <c r="FM143" s="76"/>
      <c r="FN143" s="76"/>
      <c r="FO143" s="76"/>
      <c r="FP143" s="76"/>
      <c r="FQ143" s="76"/>
      <c r="FR143" s="76"/>
      <c r="FS143" s="76"/>
      <c r="FT143" s="76"/>
      <c r="FU143" s="76"/>
      <c r="FV143" s="76"/>
      <c r="FW143" s="76"/>
      <c r="FX143" s="76"/>
      <c r="FY143" s="76"/>
      <c r="FZ143" s="76"/>
      <c r="GA143" s="76"/>
      <c r="GB143" s="76"/>
      <c r="GC143" s="76"/>
      <c r="GD143" s="76"/>
      <c r="GE143" s="76"/>
      <c r="GF143" s="76"/>
      <c r="GG143" s="76"/>
      <c r="GH143" s="76"/>
      <c r="GI143" s="76"/>
      <c r="GJ143" s="76"/>
      <c r="GK143" s="76"/>
      <c r="GL143" s="76"/>
      <c r="GM143" s="76"/>
      <c r="GN143" s="76"/>
      <c r="GO143" s="76"/>
      <c r="GP143" s="76"/>
      <c r="GQ143" s="76"/>
      <c r="GR143" s="76"/>
      <c r="GS143" s="76"/>
      <c r="GT143" s="76"/>
      <c r="GU143" s="76"/>
      <c r="GV143" s="76"/>
      <c r="GW143" s="76"/>
      <c r="GX143" s="76"/>
      <c r="GY143" s="76"/>
      <c r="GZ143" s="76"/>
      <c r="HA143" s="76"/>
      <c r="HB143" s="76"/>
      <c r="HC143" s="76"/>
      <c r="HD143" s="76"/>
      <c r="HE143" s="76"/>
      <c r="HF143" s="76"/>
      <c r="HG143" s="76"/>
      <c r="HH143" s="76"/>
      <c r="HI143" s="76"/>
      <c r="HJ143" s="76"/>
      <c r="HK143" s="76"/>
      <c r="HL143" s="76"/>
      <c r="HM143" s="76"/>
      <c r="HN143" s="76"/>
      <c r="HO143" s="76"/>
      <c r="HP143" s="76"/>
      <c r="HQ143" s="76"/>
      <c r="HR143" s="76"/>
      <c r="HS143" s="76"/>
      <c r="HT143" s="76"/>
      <c r="HU143" s="76"/>
      <c r="HV143" s="76"/>
      <c r="HW143" s="76"/>
      <c r="HX143" s="76"/>
      <c r="HY143" s="76"/>
      <c r="HZ143" s="76"/>
      <c r="IA143" s="76"/>
      <c r="IB143" s="76"/>
      <c r="IC143" s="76"/>
      <c r="ID143" s="76"/>
      <c r="IE143" s="76"/>
      <c r="IF143" s="76"/>
      <c r="IG143" s="76"/>
      <c r="IH143" s="76"/>
      <c r="II143" s="76"/>
      <c r="IJ143" s="76"/>
      <c r="IK143" s="76"/>
      <c r="IL143" s="76"/>
      <c r="IM143" s="76"/>
      <c r="IN143" s="76"/>
    </row>
    <row r="144" spans="1:248" s="16" customFormat="1">
      <c r="A144" s="71"/>
      <c r="B144" s="76"/>
      <c r="C144" s="76"/>
      <c r="D144" s="87"/>
      <c r="E144" s="87"/>
      <c r="F144" s="76"/>
      <c r="G144" s="87"/>
      <c r="H144" s="76"/>
      <c r="I144" s="76"/>
      <c r="J144" s="78"/>
      <c r="K144" s="5"/>
      <c r="L144" s="5"/>
      <c r="M144" s="5"/>
      <c r="N144" s="5"/>
      <c r="O144" s="11"/>
      <c r="P144" s="5"/>
      <c r="Q144" s="5"/>
      <c r="R144" s="76"/>
      <c r="S144" s="76"/>
      <c r="T144" s="76"/>
      <c r="U144" s="76"/>
      <c r="V144" s="76"/>
      <c r="W144" s="84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/>
      <c r="BM144" s="76"/>
      <c r="BN144" s="76"/>
      <c r="BO144" s="76"/>
      <c r="BP144" s="76"/>
      <c r="BQ144" s="76"/>
      <c r="BR144" s="76"/>
      <c r="BS144" s="76"/>
      <c r="BT144" s="76"/>
      <c r="BU144" s="76"/>
      <c r="BV144" s="76"/>
      <c r="BW144" s="76"/>
      <c r="BX144" s="76"/>
      <c r="BY144" s="76"/>
      <c r="BZ144" s="76"/>
      <c r="CA144" s="76"/>
      <c r="CB144" s="76"/>
      <c r="CC144" s="76"/>
      <c r="CD144" s="76"/>
      <c r="CE144" s="76"/>
      <c r="CF144" s="76"/>
      <c r="CG144" s="76"/>
      <c r="CH144" s="76"/>
      <c r="CI144" s="76"/>
      <c r="CJ144" s="76"/>
      <c r="CK144" s="76"/>
      <c r="CL144" s="76"/>
      <c r="CM144" s="76"/>
      <c r="CN144" s="76"/>
      <c r="CO144" s="76"/>
      <c r="CP144" s="76"/>
      <c r="CQ144" s="76"/>
      <c r="CR144" s="76"/>
      <c r="CS144" s="76"/>
      <c r="CT144" s="76"/>
      <c r="CU144" s="76"/>
      <c r="CV144" s="76"/>
      <c r="CW144" s="76"/>
      <c r="CX144" s="76"/>
      <c r="CY144" s="76"/>
      <c r="CZ144" s="76"/>
      <c r="DA144" s="76"/>
      <c r="DB144" s="76"/>
      <c r="DC144" s="76"/>
      <c r="DD144" s="76"/>
      <c r="DE144" s="76"/>
      <c r="DF144" s="76"/>
      <c r="DG144" s="76"/>
      <c r="DH144" s="76"/>
      <c r="DI144" s="76"/>
      <c r="DJ144" s="76"/>
      <c r="DK144" s="76"/>
      <c r="DL144" s="76"/>
      <c r="DM144" s="76"/>
      <c r="DN144" s="76"/>
      <c r="DO144" s="76"/>
      <c r="DP144" s="76"/>
      <c r="DQ144" s="76"/>
      <c r="DR144" s="76"/>
      <c r="DS144" s="76"/>
      <c r="DT144" s="76"/>
      <c r="DU144" s="76"/>
      <c r="DV144" s="76"/>
      <c r="DW144" s="76"/>
      <c r="DX144" s="76"/>
      <c r="DY144" s="76"/>
      <c r="DZ144" s="76"/>
      <c r="EA144" s="76"/>
      <c r="EB144" s="76"/>
      <c r="EC144" s="76"/>
      <c r="ED144" s="76"/>
      <c r="EE144" s="76"/>
      <c r="EF144" s="76"/>
      <c r="EG144" s="76"/>
      <c r="EH144" s="76"/>
      <c r="EI144" s="76"/>
      <c r="EJ144" s="76"/>
      <c r="EK144" s="76"/>
      <c r="EL144" s="76"/>
      <c r="EM144" s="76"/>
      <c r="EN144" s="76"/>
      <c r="EO144" s="76"/>
      <c r="EP144" s="76"/>
      <c r="EQ144" s="76"/>
      <c r="ER144" s="76"/>
      <c r="ES144" s="76"/>
      <c r="ET144" s="76"/>
      <c r="EU144" s="76"/>
      <c r="EV144" s="76"/>
      <c r="EW144" s="76"/>
      <c r="EX144" s="76"/>
      <c r="EY144" s="76"/>
      <c r="EZ144" s="76"/>
      <c r="FA144" s="76"/>
      <c r="FB144" s="76"/>
      <c r="FC144" s="76"/>
      <c r="FD144" s="76"/>
      <c r="FE144" s="76"/>
      <c r="FF144" s="76"/>
      <c r="FG144" s="76"/>
      <c r="FH144" s="76"/>
      <c r="FI144" s="76"/>
      <c r="FJ144" s="76"/>
      <c r="FK144" s="76"/>
      <c r="FL144" s="76"/>
      <c r="FM144" s="76"/>
      <c r="FN144" s="76"/>
      <c r="FO144" s="76"/>
      <c r="FP144" s="76"/>
      <c r="FQ144" s="76"/>
      <c r="FR144" s="76"/>
      <c r="FS144" s="76"/>
      <c r="FT144" s="76"/>
      <c r="FU144" s="76"/>
      <c r="FV144" s="76"/>
      <c r="FW144" s="76"/>
      <c r="FX144" s="76"/>
      <c r="FY144" s="76"/>
      <c r="FZ144" s="76"/>
      <c r="GA144" s="76"/>
      <c r="GB144" s="76"/>
      <c r="GC144" s="76"/>
      <c r="GD144" s="76"/>
      <c r="GE144" s="76"/>
      <c r="GF144" s="76"/>
      <c r="GG144" s="76"/>
      <c r="GH144" s="76"/>
      <c r="GI144" s="76"/>
      <c r="GJ144" s="76"/>
      <c r="GK144" s="76"/>
      <c r="GL144" s="76"/>
      <c r="GM144" s="76"/>
      <c r="GN144" s="76"/>
      <c r="GO144" s="76"/>
      <c r="GP144" s="76"/>
      <c r="GQ144" s="76"/>
      <c r="GR144" s="76"/>
      <c r="GS144" s="76"/>
      <c r="GT144" s="76"/>
      <c r="GU144" s="76"/>
      <c r="GV144" s="76"/>
      <c r="GW144" s="76"/>
      <c r="GX144" s="76"/>
      <c r="GY144" s="76"/>
      <c r="GZ144" s="76"/>
      <c r="HA144" s="76"/>
      <c r="HB144" s="76"/>
      <c r="HC144" s="76"/>
      <c r="HD144" s="76"/>
      <c r="HE144" s="76"/>
      <c r="HF144" s="76"/>
      <c r="HG144" s="76"/>
      <c r="HH144" s="76"/>
      <c r="HI144" s="76"/>
      <c r="HJ144" s="76"/>
      <c r="HK144" s="76"/>
      <c r="HL144" s="76"/>
      <c r="HM144" s="76"/>
      <c r="HN144" s="76"/>
      <c r="HO144" s="76"/>
      <c r="HP144" s="76"/>
      <c r="HQ144" s="76"/>
      <c r="HR144" s="76"/>
      <c r="HS144" s="76"/>
      <c r="HT144" s="76"/>
      <c r="HU144" s="76"/>
      <c r="HV144" s="76"/>
      <c r="HW144" s="76"/>
      <c r="HX144" s="76"/>
      <c r="HY144" s="76"/>
      <c r="HZ144" s="76"/>
      <c r="IA144" s="76"/>
      <c r="IB144" s="76"/>
      <c r="IC144" s="76"/>
      <c r="ID144" s="76"/>
      <c r="IE144" s="76"/>
      <c r="IF144" s="76"/>
      <c r="IG144" s="76"/>
      <c r="IH144" s="76"/>
      <c r="II144" s="76"/>
      <c r="IJ144" s="76"/>
      <c r="IK144" s="76"/>
      <c r="IL144" s="76"/>
      <c r="IM144" s="76"/>
      <c r="IN144" s="76"/>
    </row>
    <row r="145" spans="1:248" s="16" customFormat="1">
      <c r="A145" s="71"/>
      <c r="B145" s="76"/>
      <c r="C145" s="76"/>
      <c r="D145" s="87"/>
      <c r="E145" s="87"/>
      <c r="F145" s="76"/>
      <c r="G145" s="87"/>
      <c r="H145" s="76"/>
      <c r="I145" s="76"/>
      <c r="J145" s="78"/>
      <c r="K145" s="5"/>
      <c r="L145" s="5"/>
      <c r="M145" s="5"/>
      <c r="N145" s="5"/>
      <c r="O145" s="11"/>
      <c r="P145" s="5"/>
      <c r="Q145" s="5"/>
      <c r="R145" s="76"/>
      <c r="S145" s="76"/>
      <c r="T145" s="76"/>
      <c r="U145" s="76"/>
      <c r="V145" s="76"/>
      <c r="W145" s="84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/>
      <c r="BI145" s="76"/>
      <c r="BJ145" s="76"/>
      <c r="BK145" s="76"/>
      <c r="BL145" s="76"/>
      <c r="BM145" s="76"/>
      <c r="BN145" s="76"/>
      <c r="BO145" s="76"/>
      <c r="BP145" s="76"/>
      <c r="BQ145" s="76"/>
      <c r="BR145" s="76"/>
      <c r="BS145" s="76"/>
      <c r="BT145" s="76"/>
      <c r="BU145" s="76"/>
      <c r="BV145" s="76"/>
      <c r="BW145" s="76"/>
      <c r="BX145" s="76"/>
      <c r="BY145" s="76"/>
      <c r="BZ145" s="76"/>
      <c r="CA145" s="76"/>
      <c r="CB145" s="76"/>
      <c r="CC145" s="76"/>
      <c r="CD145" s="76"/>
      <c r="CE145" s="76"/>
      <c r="CF145" s="76"/>
      <c r="CG145" s="76"/>
      <c r="CH145" s="76"/>
      <c r="CI145" s="76"/>
      <c r="CJ145" s="76"/>
      <c r="CK145" s="76"/>
      <c r="CL145" s="76"/>
      <c r="CM145" s="76"/>
      <c r="CN145" s="76"/>
      <c r="CO145" s="76"/>
      <c r="CP145" s="76"/>
      <c r="CQ145" s="76"/>
      <c r="CR145" s="76"/>
      <c r="CS145" s="76"/>
      <c r="CT145" s="76"/>
      <c r="CU145" s="76"/>
      <c r="CV145" s="76"/>
      <c r="CW145" s="76"/>
      <c r="CX145" s="76"/>
      <c r="CY145" s="76"/>
      <c r="CZ145" s="76"/>
      <c r="DA145" s="76"/>
      <c r="DB145" s="76"/>
      <c r="DC145" s="76"/>
      <c r="DD145" s="76"/>
      <c r="DE145" s="76"/>
      <c r="DF145" s="76"/>
      <c r="DG145" s="76"/>
      <c r="DH145" s="76"/>
      <c r="DI145" s="76"/>
      <c r="DJ145" s="76"/>
      <c r="DK145" s="76"/>
      <c r="DL145" s="76"/>
      <c r="DM145" s="76"/>
      <c r="DN145" s="76"/>
      <c r="DO145" s="76"/>
      <c r="DP145" s="76"/>
      <c r="DQ145" s="76"/>
      <c r="DR145" s="76"/>
      <c r="DS145" s="76"/>
      <c r="DT145" s="76"/>
      <c r="DU145" s="76"/>
      <c r="DV145" s="76"/>
      <c r="DW145" s="76"/>
      <c r="DX145" s="76"/>
      <c r="DY145" s="76"/>
      <c r="DZ145" s="76"/>
      <c r="EA145" s="76"/>
      <c r="EB145" s="76"/>
      <c r="EC145" s="76"/>
      <c r="ED145" s="76"/>
      <c r="EE145" s="76"/>
      <c r="EF145" s="76"/>
      <c r="EG145" s="76"/>
      <c r="EH145" s="76"/>
      <c r="EI145" s="76"/>
      <c r="EJ145" s="76"/>
      <c r="EK145" s="76"/>
      <c r="EL145" s="76"/>
      <c r="EM145" s="76"/>
      <c r="EN145" s="76"/>
      <c r="EO145" s="76"/>
      <c r="EP145" s="76"/>
      <c r="EQ145" s="76"/>
      <c r="ER145" s="76"/>
      <c r="ES145" s="76"/>
      <c r="ET145" s="76"/>
      <c r="EU145" s="76"/>
      <c r="EV145" s="76"/>
      <c r="EW145" s="76"/>
      <c r="EX145" s="76"/>
      <c r="EY145" s="76"/>
      <c r="EZ145" s="76"/>
      <c r="FA145" s="76"/>
      <c r="FB145" s="76"/>
      <c r="FC145" s="76"/>
      <c r="FD145" s="76"/>
      <c r="FE145" s="76"/>
      <c r="FF145" s="76"/>
      <c r="FG145" s="76"/>
      <c r="FH145" s="76"/>
      <c r="FI145" s="76"/>
      <c r="FJ145" s="76"/>
      <c r="FK145" s="76"/>
      <c r="FL145" s="76"/>
      <c r="FM145" s="76"/>
      <c r="FN145" s="76"/>
      <c r="FO145" s="76"/>
      <c r="FP145" s="76"/>
      <c r="FQ145" s="76"/>
      <c r="FR145" s="76"/>
      <c r="FS145" s="76"/>
      <c r="FT145" s="76"/>
      <c r="FU145" s="76"/>
      <c r="FV145" s="76"/>
      <c r="FW145" s="76"/>
      <c r="FX145" s="76"/>
      <c r="FY145" s="76"/>
      <c r="FZ145" s="76"/>
      <c r="GA145" s="76"/>
      <c r="GB145" s="76"/>
      <c r="GC145" s="76"/>
      <c r="GD145" s="76"/>
      <c r="GE145" s="76"/>
      <c r="GF145" s="76"/>
      <c r="GG145" s="76"/>
      <c r="GH145" s="76"/>
      <c r="GI145" s="76"/>
      <c r="GJ145" s="76"/>
      <c r="GK145" s="76"/>
      <c r="GL145" s="76"/>
      <c r="GM145" s="76"/>
      <c r="GN145" s="76"/>
      <c r="GO145" s="76"/>
      <c r="GP145" s="76"/>
      <c r="GQ145" s="76"/>
      <c r="GR145" s="76"/>
      <c r="GS145" s="76"/>
      <c r="GT145" s="76"/>
      <c r="GU145" s="76"/>
      <c r="GV145" s="76"/>
      <c r="GW145" s="76"/>
      <c r="GX145" s="76"/>
      <c r="GY145" s="76"/>
      <c r="GZ145" s="76"/>
      <c r="HA145" s="76"/>
      <c r="HB145" s="76"/>
      <c r="HC145" s="76"/>
      <c r="HD145" s="76"/>
      <c r="HE145" s="76"/>
      <c r="HF145" s="76"/>
      <c r="HG145" s="76"/>
      <c r="HH145" s="76"/>
      <c r="HI145" s="76"/>
      <c r="HJ145" s="76"/>
      <c r="HK145" s="76"/>
      <c r="HL145" s="76"/>
      <c r="HM145" s="76"/>
      <c r="HN145" s="76"/>
      <c r="HO145" s="76"/>
      <c r="HP145" s="76"/>
      <c r="HQ145" s="76"/>
      <c r="HR145" s="76"/>
      <c r="HS145" s="76"/>
      <c r="HT145" s="76"/>
      <c r="HU145" s="76"/>
      <c r="HV145" s="76"/>
      <c r="HW145" s="76"/>
      <c r="HX145" s="76"/>
      <c r="HY145" s="76"/>
      <c r="HZ145" s="76"/>
      <c r="IA145" s="76"/>
      <c r="IB145" s="76"/>
      <c r="IC145" s="76"/>
      <c r="ID145" s="76"/>
      <c r="IE145" s="76"/>
      <c r="IF145" s="76"/>
      <c r="IG145" s="76"/>
      <c r="IH145" s="76"/>
      <c r="II145" s="76"/>
      <c r="IJ145" s="76"/>
      <c r="IK145" s="76"/>
      <c r="IL145" s="76"/>
      <c r="IM145" s="76"/>
      <c r="IN145" s="76"/>
    </row>
    <row r="146" spans="1:248" s="16" customFormat="1">
      <c r="A146" s="71"/>
      <c r="B146" s="76"/>
      <c r="C146" s="76"/>
      <c r="D146" s="87"/>
      <c r="E146" s="87"/>
      <c r="F146" s="76"/>
      <c r="G146" s="87"/>
      <c r="H146" s="76"/>
      <c r="I146" s="76"/>
      <c r="J146" s="78"/>
      <c r="K146" s="5"/>
      <c r="L146" s="5"/>
      <c r="M146" s="5"/>
      <c r="N146" s="5"/>
      <c r="O146" s="11"/>
      <c r="P146" s="5"/>
      <c r="Q146" s="5"/>
      <c r="R146" s="76"/>
      <c r="S146" s="76"/>
      <c r="T146" s="76"/>
      <c r="U146" s="76"/>
      <c r="V146" s="76"/>
      <c r="W146" s="84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/>
      <c r="BM146" s="76"/>
      <c r="BN146" s="76"/>
      <c r="BO146" s="76"/>
      <c r="BP146" s="76"/>
      <c r="BQ146" s="76"/>
      <c r="BR146" s="76"/>
      <c r="BS146" s="76"/>
      <c r="BT146" s="76"/>
      <c r="BU146" s="76"/>
      <c r="BV146" s="76"/>
      <c r="BW146" s="76"/>
      <c r="BX146" s="76"/>
      <c r="BY146" s="76"/>
      <c r="BZ146" s="76"/>
      <c r="CA146" s="76"/>
      <c r="CB146" s="76"/>
      <c r="CC146" s="76"/>
      <c r="CD146" s="76"/>
      <c r="CE146" s="76"/>
      <c r="CF146" s="76"/>
      <c r="CG146" s="76"/>
      <c r="CH146" s="76"/>
      <c r="CI146" s="76"/>
      <c r="CJ146" s="76"/>
      <c r="CK146" s="76"/>
      <c r="CL146" s="76"/>
      <c r="CM146" s="76"/>
      <c r="CN146" s="76"/>
      <c r="CO146" s="76"/>
      <c r="CP146" s="76"/>
      <c r="CQ146" s="76"/>
      <c r="CR146" s="76"/>
      <c r="CS146" s="76"/>
      <c r="CT146" s="76"/>
      <c r="CU146" s="76"/>
      <c r="CV146" s="76"/>
      <c r="CW146" s="76"/>
      <c r="CX146" s="76"/>
      <c r="CY146" s="76"/>
      <c r="CZ146" s="76"/>
      <c r="DA146" s="76"/>
      <c r="DB146" s="76"/>
      <c r="DC146" s="76"/>
      <c r="DD146" s="76"/>
      <c r="DE146" s="76"/>
      <c r="DF146" s="76"/>
      <c r="DG146" s="76"/>
      <c r="DH146" s="76"/>
      <c r="DI146" s="76"/>
      <c r="DJ146" s="76"/>
      <c r="DK146" s="76"/>
      <c r="DL146" s="76"/>
      <c r="DM146" s="76"/>
      <c r="DN146" s="76"/>
      <c r="DO146" s="76"/>
      <c r="DP146" s="76"/>
      <c r="DQ146" s="76"/>
      <c r="DR146" s="76"/>
      <c r="DS146" s="76"/>
      <c r="DT146" s="76"/>
      <c r="DU146" s="76"/>
      <c r="DV146" s="76"/>
      <c r="DW146" s="76"/>
      <c r="DX146" s="76"/>
      <c r="DY146" s="76"/>
      <c r="DZ146" s="76"/>
      <c r="EA146" s="76"/>
      <c r="EB146" s="76"/>
      <c r="EC146" s="76"/>
      <c r="ED146" s="76"/>
      <c r="EE146" s="76"/>
      <c r="EF146" s="76"/>
      <c r="EG146" s="76"/>
      <c r="EH146" s="76"/>
      <c r="EI146" s="76"/>
      <c r="EJ146" s="76"/>
      <c r="EK146" s="76"/>
      <c r="EL146" s="76"/>
      <c r="EM146" s="76"/>
      <c r="EN146" s="76"/>
      <c r="EO146" s="76"/>
      <c r="EP146" s="76"/>
      <c r="EQ146" s="76"/>
      <c r="ER146" s="76"/>
      <c r="ES146" s="76"/>
      <c r="ET146" s="76"/>
      <c r="EU146" s="76"/>
      <c r="EV146" s="76"/>
      <c r="EW146" s="76"/>
      <c r="EX146" s="76"/>
      <c r="EY146" s="76"/>
      <c r="EZ146" s="76"/>
      <c r="FA146" s="76"/>
      <c r="FB146" s="76"/>
      <c r="FC146" s="76"/>
      <c r="FD146" s="76"/>
      <c r="FE146" s="76"/>
      <c r="FF146" s="76"/>
      <c r="FG146" s="76"/>
      <c r="FH146" s="76"/>
      <c r="FI146" s="76"/>
      <c r="FJ146" s="76"/>
      <c r="FK146" s="76"/>
      <c r="FL146" s="76"/>
      <c r="FM146" s="76"/>
      <c r="FN146" s="76"/>
      <c r="FO146" s="76"/>
      <c r="FP146" s="76"/>
      <c r="FQ146" s="76"/>
      <c r="FR146" s="76"/>
      <c r="FS146" s="76"/>
      <c r="FT146" s="76"/>
      <c r="FU146" s="76"/>
      <c r="FV146" s="76"/>
      <c r="FW146" s="76"/>
      <c r="FX146" s="76"/>
      <c r="FY146" s="76"/>
      <c r="FZ146" s="76"/>
      <c r="GA146" s="76"/>
      <c r="GB146" s="76"/>
      <c r="GC146" s="76"/>
      <c r="GD146" s="76"/>
      <c r="GE146" s="76"/>
      <c r="GF146" s="76"/>
      <c r="GG146" s="76"/>
      <c r="GH146" s="76"/>
      <c r="GI146" s="76"/>
      <c r="GJ146" s="76"/>
      <c r="GK146" s="76"/>
      <c r="GL146" s="76"/>
      <c r="GM146" s="76"/>
      <c r="GN146" s="76"/>
      <c r="GO146" s="76"/>
      <c r="GP146" s="76"/>
      <c r="GQ146" s="76"/>
      <c r="GR146" s="76"/>
      <c r="GS146" s="76"/>
      <c r="GT146" s="76"/>
      <c r="GU146" s="76"/>
      <c r="GV146" s="76"/>
      <c r="GW146" s="76"/>
      <c r="GX146" s="76"/>
      <c r="GY146" s="76"/>
      <c r="GZ146" s="76"/>
      <c r="HA146" s="76"/>
      <c r="HB146" s="76"/>
      <c r="HC146" s="76"/>
      <c r="HD146" s="76"/>
      <c r="HE146" s="76"/>
      <c r="HF146" s="76"/>
      <c r="HG146" s="76"/>
      <c r="HH146" s="76"/>
      <c r="HI146" s="76"/>
      <c r="HJ146" s="76"/>
      <c r="HK146" s="76"/>
      <c r="HL146" s="76"/>
      <c r="HM146" s="76"/>
      <c r="HN146" s="76"/>
      <c r="HO146" s="76"/>
      <c r="HP146" s="76"/>
      <c r="HQ146" s="76"/>
      <c r="HR146" s="76"/>
      <c r="HS146" s="76"/>
      <c r="HT146" s="76"/>
      <c r="HU146" s="76"/>
      <c r="HV146" s="76"/>
      <c r="HW146" s="76"/>
      <c r="HX146" s="76"/>
      <c r="HY146" s="76"/>
      <c r="HZ146" s="76"/>
      <c r="IA146" s="76"/>
      <c r="IB146" s="76"/>
      <c r="IC146" s="76"/>
      <c r="ID146" s="76"/>
      <c r="IE146" s="76"/>
      <c r="IF146" s="76"/>
      <c r="IG146" s="76"/>
      <c r="IH146" s="76"/>
      <c r="II146" s="76"/>
      <c r="IJ146" s="76"/>
      <c r="IK146" s="76"/>
      <c r="IL146" s="76"/>
      <c r="IM146" s="76"/>
      <c r="IN146" s="76"/>
    </row>
    <row r="147" spans="1:248" s="16" customFormat="1">
      <c r="A147" s="71"/>
      <c r="B147" s="76"/>
      <c r="C147" s="76"/>
      <c r="D147" s="87"/>
      <c r="E147" s="87"/>
      <c r="F147" s="76"/>
      <c r="G147" s="87"/>
      <c r="H147" s="76"/>
      <c r="I147" s="76"/>
      <c r="J147" s="78"/>
      <c r="K147" s="5"/>
      <c r="L147" s="5"/>
      <c r="M147" s="5"/>
      <c r="N147" s="5"/>
      <c r="O147" s="11"/>
      <c r="P147" s="5"/>
      <c r="Q147" s="5"/>
      <c r="R147" s="76"/>
      <c r="S147" s="76"/>
      <c r="T147" s="76"/>
      <c r="U147" s="76"/>
      <c r="V147" s="76"/>
      <c r="W147" s="84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  <c r="BU147" s="76"/>
      <c r="BV147" s="76"/>
      <c r="BW147" s="76"/>
      <c r="BX147" s="76"/>
      <c r="BY147" s="76"/>
      <c r="BZ147" s="76"/>
      <c r="CA147" s="76"/>
      <c r="CB147" s="76"/>
      <c r="CC147" s="76"/>
      <c r="CD147" s="76"/>
      <c r="CE147" s="76"/>
      <c r="CF147" s="76"/>
      <c r="CG147" s="76"/>
      <c r="CH147" s="76"/>
      <c r="CI147" s="76"/>
      <c r="CJ147" s="76"/>
      <c r="CK147" s="76"/>
      <c r="CL147" s="76"/>
      <c r="CM147" s="76"/>
      <c r="CN147" s="76"/>
      <c r="CO147" s="76"/>
      <c r="CP147" s="76"/>
      <c r="CQ147" s="76"/>
      <c r="CR147" s="76"/>
      <c r="CS147" s="76"/>
      <c r="CT147" s="76"/>
      <c r="CU147" s="76"/>
      <c r="CV147" s="76"/>
      <c r="CW147" s="76"/>
      <c r="CX147" s="76"/>
      <c r="CY147" s="76"/>
      <c r="CZ147" s="76"/>
      <c r="DA147" s="76"/>
      <c r="DB147" s="76"/>
      <c r="DC147" s="76"/>
      <c r="DD147" s="76"/>
      <c r="DE147" s="76"/>
      <c r="DF147" s="76"/>
      <c r="DG147" s="76"/>
      <c r="DH147" s="76"/>
      <c r="DI147" s="76"/>
      <c r="DJ147" s="76"/>
      <c r="DK147" s="76"/>
      <c r="DL147" s="76"/>
      <c r="DM147" s="76"/>
      <c r="DN147" s="76"/>
      <c r="DO147" s="76"/>
      <c r="DP147" s="76"/>
      <c r="DQ147" s="76"/>
      <c r="DR147" s="76"/>
      <c r="DS147" s="76"/>
      <c r="DT147" s="76"/>
      <c r="DU147" s="76"/>
      <c r="DV147" s="76"/>
      <c r="DW147" s="76"/>
      <c r="DX147" s="76"/>
      <c r="DY147" s="76"/>
      <c r="DZ147" s="76"/>
      <c r="EA147" s="76"/>
      <c r="EB147" s="76"/>
      <c r="EC147" s="76"/>
      <c r="ED147" s="76"/>
      <c r="EE147" s="76"/>
      <c r="EF147" s="76"/>
      <c r="EG147" s="76"/>
      <c r="EH147" s="76"/>
      <c r="EI147" s="76"/>
      <c r="EJ147" s="76"/>
      <c r="EK147" s="76"/>
      <c r="EL147" s="76"/>
      <c r="EM147" s="76"/>
      <c r="EN147" s="76"/>
      <c r="EO147" s="76"/>
      <c r="EP147" s="76"/>
      <c r="EQ147" s="76"/>
      <c r="ER147" s="76"/>
      <c r="ES147" s="76"/>
      <c r="ET147" s="76"/>
      <c r="EU147" s="76"/>
      <c r="EV147" s="76"/>
      <c r="EW147" s="76"/>
      <c r="EX147" s="76"/>
      <c r="EY147" s="76"/>
      <c r="EZ147" s="76"/>
      <c r="FA147" s="76"/>
      <c r="FB147" s="76"/>
      <c r="FC147" s="76"/>
      <c r="FD147" s="76"/>
      <c r="FE147" s="76"/>
      <c r="FF147" s="76"/>
      <c r="FG147" s="76"/>
      <c r="FH147" s="76"/>
      <c r="FI147" s="76"/>
      <c r="FJ147" s="76"/>
      <c r="FK147" s="76"/>
      <c r="FL147" s="76"/>
      <c r="FM147" s="76"/>
      <c r="FN147" s="76"/>
      <c r="FO147" s="76"/>
      <c r="FP147" s="76"/>
      <c r="FQ147" s="76"/>
      <c r="FR147" s="76"/>
      <c r="FS147" s="76"/>
      <c r="FT147" s="76"/>
      <c r="FU147" s="76"/>
      <c r="FV147" s="76"/>
      <c r="FW147" s="76"/>
      <c r="FX147" s="76"/>
      <c r="FY147" s="76"/>
      <c r="FZ147" s="76"/>
      <c r="GA147" s="76"/>
      <c r="GB147" s="76"/>
      <c r="GC147" s="76"/>
      <c r="GD147" s="76"/>
      <c r="GE147" s="76"/>
      <c r="GF147" s="76"/>
      <c r="GG147" s="76"/>
      <c r="GH147" s="76"/>
      <c r="GI147" s="76"/>
      <c r="GJ147" s="76"/>
      <c r="GK147" s="76"/>
      <c r="GL147" s="76"/>
      <c r="GM147" s="76"/>
      <c r="GN147" s="76"/>
      <c r="GO147" s="76"/>
      <c r="GP147" s="76"/>
      <c r="GQ147" s="76"/>
      <c r="GR147" s="76"/>
      <c r="GS147" s="76"/>
      <c r="GT147" s="76"/>
      <c r="GU147" s="76"/>
      <c r="GV147" s="76"/>
      <c r="GW147" s="76"/>
      <c r="GX147" s="76"/>
      <c r="GY147" s="76"/>
      <c r="GZ147" s="76"/>
      <c r="HA147" s="76"/>
      <c r="HB147" s="76"/>
      <c r="HC147" s="76"/>
      <c r="HD147" s="76"/>
      <c r="HE147" s="76"/>
      <c r="HF147" s="76"/>
      <c r="HG147" s="76"/>
      <c r="HH147" s="76"/>
      <c r="HI147" s="76"/>
      <c r="HJ147" s="76"/>
      <c r="HK147" s="76"/>
      <c r="HL147" s="76"/>
      <c r="HM147" s="76"/>
      <c r="HN147" s="76"/>
      <c r="HO147" s="76"/>
      <c r="HP147" s="76"/>
      <c r="HQ147" s="76"/>
      <c r="HR147" s="76"/>
      <c r="HS147" s="76"/>
      <c r="HT147" s="76"/>
      <c r="HU147" s="76"/>
      <c r="HV147" s="76"/>
      <c r="HW147" s="76"/>
      <c r="HX147" s="76"/>
      <c r="HY147" s="76"/>
      <c r="HZ147" s="76"/>
      <c r="IA147" s="76"/>
      <c r="IB147" s="76"/>
      <c r="IC147" s="76"/>
      <c r="ID147" s="76"/>
      <c r="IE147" s="76"/>
      <c r="IF147" s="76"/>
      <c r="IG147" s="76"/>
      <c r="IH147" s="76"/>
      <c r="II147" s="76"/>
      <c r="IJ147" s="76"/>
      <c r="IK147" s="76"/>
      <c r="IL147" s="76"/>
      <c r="IM147" s="76"/>
      <c r="IN147" s="76"/>
    </row>
    <row r="148" spans="1:248" s="16" customFormat="1">
      <c r="A148" s="71"/>
      <c r="B148" s="76"/>
      <c r="C148" s="76"/>
      <c r="D148" s="87"/>
      <c r="E148" s="87"/>
      <c r="F148" s="76"/>
      <c r="G148" s="87"/>
      <c r="H148" s="76"/>
      <c r="I148" s="76"/>
      <c r="J148" s="78"/>
      <c r="K148" s="5"/>
      <c r="L148" s="5"/>
      <c r="M148" s="5"/>
      <c r="N148" s="5"/>
      <c r="O148" s="11"/>
      <c r="P148" s="5"/>
      <c r="Q148" s="5"/>
      <c r="R148" s="76"/>
      <c r="S148" s="76"/>
      <c r="T148" s="76"/>
      <c r="U148" s="76"/>
      <c r="V148" s="76"/>
      <c r="W148" s="84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/>
      <c r="BW148" s="76"/>
      <c r="BX148" s="76"/>
      <c r="BY148" s="76"/>
      <c r="BZ148" s="76"/>
      <c r="CA148" s="76"/>
      <c r="CB148" s="76"/>
      <c r="CC148" s="76"/>
      <c r="CD148" s="76"/>
      <c r="CE148" s="76"/>
      <c r="CF148" s="76"/>
      <c r="CG148" s="76"/>
      <c r="CH148" s="76"/>
      <c r="CI148" s="76"/>
      <c r="CJ148" s="76"/>
      <c r="CK148" s="76"/>
      <c r="CL148" s="76"/>
      <c r="CM148" s="76"/>
      <c r="CN148" s="76"/>
      <c r="CO148" s="76"/>
      <c r="CP148" s="76"/>
      <c r="CQ148" s="76"/>
      <c r="CR148" s="76"/>
      <c r="CS148" s="76"/>
      <c r="CT148" s="76"/>
      <c r="CU148" s="76"/>
      <c r="CV148" s="76"/>
      <c r="CW148" s="76"/>
      <c r="CX148" s="76"/>
      <c r="CY148" s="76"/>
      <c r="CZ148" s="76"/>
      <c r="DA148" s="76"/>
      <c r="DB148" s="76"/>
      <c r="DC148" s="76"/>
      <c r="DD148" s="76"/>
      <c r="DE148" s="76"/>
      <c r="DF148" s="76"/>
      <c r="DG148" s="76"/>
      <c r="DH148" s="76"/>
      <c r="DI148" s="76"/>
      <c r="DJ148" s="76"/>
      <c r="DK148" s="76"/>
      <c r="DL148" s="76"/>
      <c r="DM148" s="76"/>
      <c r="DN148" s="76"/>
      <c r="DO148" s="76"/>
      <c r="DP148" s="76"/>
      <c r="DQ148" s="76"/>
      <c r="DR148" s="76"/>
      <c r="DS148" s="76"/>
      <c r="DT148" s="76"/>
      <c r="DU148" s="76"/>
      <c r="DV148" s="76"/>
      <c r="DW148" s="76"/>
      <c r="DX148" s="76"/>
      <c r="DY148" s="76"/>
      <c r="DZ148" s="76"/>
      <c r="EA148" s="76"/>
      <c r="EB148" s="76"/>
      <c r="EC148" s="76"/>
      <c r="ED148" s="76"/>
      <c r="EE148" s="76"/>
      <c r="EF148" s="76"/>
      <c r="EG148" s="76"/>
      <c r="EH148" s="76"/>
      <c r="EI148" s="76"/>
      <c r="EJ148" s="76"/>
      <c r="EK148" s="76"/>
      <c r="EL148" s="76"/>
      <c r="EM148" s="76"/>
      <c r="EN148" s="76"/>
      <c r="EO148" s="76"/>
      <c r="EP148" s="76"/>
      <c r="EQ148" s="76"/>
      <c r="ER148" s="76"/>
      <c r="ES148" s="76"/>
      <c r="ET148" s="76"/>
      <c r="EU148" s="76"/>
      <c r="EV148" s="76"/>
      <c r="EW148" s="76"/>
      <c r="EX148" s="76"/>
      <c r="EY148" s="76"/>
      <c r="EZ148" s="76"/>
      <c r="FA148" s="76"/>
      <c r="FB148" s="76"/>
      <c r="FC148" s="76"/>
      <c r="FD148" s="76"/>
      <c r="FE148" s="76"/>
      <c r="FF148" s="76"/>
      <c r="FG148" s="76"/>
      <c r="FH148" s="76"/>
      <c r="FI148" s="76"/>
      <c r="FJ148" s="76"/>
      <c r="FK148" s="76"/>
      <c r="FL148" s="76"/>
      <c r="FM148" s="76"/>
      <c r="FN148" s="76"/>
      <c r="FO148" s="76"/>
      <c r="FP148" s="76"/>
      <c r="FQ148" s="76"/>
      <c r="FR148" s="76"/>
      <c r="FS148" s="76"/>
      <c r="FT148" s="76"/>
      <c r="FU148" s="76"/>
      <c r="FV148" s="76"/>
      <c r="FW148" s="76"/>
      <c r="FX148" s="76"/>
      <c r="FY148" s="76"/>
      <c r="FZ148" s="76"/>
      <c r="GA148" s="76"/>
      <c r="GB148" s="76"/>
      <c r="GC148" s="76"/>
      <c r="GD148" s="76"/>
      <c r="GE148" s="76"/>
      <c r="GF148" s="76"/>
      <c r="GG148" s="76"/>
      <c r="GH148" s="76"/>
      <c r="GI148" s="76"/>
      <c r="GJ148" s="76"/>
      <c r="GK148" s="76"/>
      <c r="GL148" s="76"/>
      <c r="GM148" s="76"/>
      <c r="GN148" s="76"/>
      <c r="GO148" s="76"/>
      <c r="GP148" s="76"/>
      <c r="GQ148" s="76"/>
      <c r="GR148" s="76"/>
      <c r="GS148" s="76"/>
      <c r="GT148" s="76"/>
      <c r="GU148" s="76"/>
      <c r="GV148" s="76"/>
      <c r="GW148" s="76"/>
      <c r="GX148" s="76"/>
      <c r="GY148" s="76"/>
      <c r="GZ148" s="76"/>
      <c r="HA148" s="76"/>
      <c r="HB148" s="76"/>
      <c r="HC148" s="76"/>
      <c r="HD148" s="76"/>
      <c r="HE148" s="76"/>
      <c r="HF148" s="76"/>
      <c r="HG148" s="76"/>
      <c r="HH148" s="76"/>
      <c r="HI148" s="76"/>
      <c r="HJ148" s="76"/>
      <c r="HK148" s="76"/>
      <c r="HL148" s="76"/>
      <c r="HM148" s="76"/>
      <c r="HN148" s="76"/>
      <c r="HO148" s="76"/>
      <c r="HP148" s="76"/>
      <c r="HQ148" s="76"/>
      <c r="HR148" s="76"/>
      <c r="HS148" s="76"/>
      <c r="HT148" s="76"/>
      <c r="HU148" s="76"/>
      <c r="HV148" s="76"/>
      <c r="HW148" s="76"/>
      <c r="HX148" s="76"/>
      <c r="HY148" s="76"/>
      <c r="HZ148" s="76"/>
      <c r="IA148" s="76"/>
      <c r="IB148" s="76"/>
      <c r="IC148" s="76"/>
      <c r="ID148" s="76"/>
      <c r="IE148" s="76"/>
      <c r="IF148" s="76"/>
      <c r="IG148" s="76"/>
      <c r="IH148" s="76"/>
      <c r="II148" s="76"/>
      <c r="IJ148" s="76"/>
      <c r="IK148" s="76"/>
      <c r="IL148" s="76"/>
      <c r="IM148" s="76"/>
      <c r="IN148" s="76"/>
    </row>
    <row r="149" spans="1:248" s="16" customFormat="1">
      <c r="A149" s="71"/>
      <c r="B149" s="76"/>
      <c r="C149" s="76"/>
      <c r="D149" s="87"/>
      <c r="E149" s="87"/>
      <c r="F149" s="76"/>
      <c r="G149" s="87"/>
      <c r="H149" s="76"/>
      <c r="I149" s="76"/>
      <c r="J149" s="78"/>
      <c r="K149" s="5"/>
      <c r="L149" s="5"/>
      <c r="M149" s="5"/>
      <c r="N149" s="5"/>
      <c r="O149" s="11"/>
      <c r="P149" s="5"/>
      <c r="Q149" s="5"/>
      <c r="R149" s="76"/>
      <c r="S149" s="76"/>
      <c r="T149" s="76"/>
      <c r="U149" s="76"/>
      <c r="V149" s="76"/>
      <c r="W149" s="84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  <c r="BF149" s="76"/>
      <c r="BG149" s="76"/>
      <c r="BH149" s="76"/>
      <c r="BI149" s="76"/>
      <c r="BJ149" s="76"/>
      <c r="BK149" s="76"/>
      <c r="BL149" s="76"/>
      <c r="BM149" s="76"/>
      <c r="BN149" s="76"/>
      <c r="BO149" s="76"/>
      <c r="BP149" s="76"/>
      <c r="BQ149" s="76"/>
      <c r="BR149" s="76"/>
      <c r="BS149" s="76"/>
      <c r="BT149" s="76"/>
      <c r="BU149" s="76"/>
      <c r="BV149" s="76"/>
      <c r="BW149" s="76"/>
      <c r="BX149" s="76"/>
      <c r="BY149" s="76"/>
      <c r="BZ149" s="76"/>
      <c r="CA149" s="76"/>
      <c r="CB149" s="76"/>
      <c r="CC149" s="76"/>
      <c r="CD149" s="76"/>
      <c r="CE149" s="76"/>
      <c r="CF149" s="76"/>
      <c r="CG149" s="76"/>
      <c r="CH149" s="76"/>
      <c r="CI149" s="76"/>
      <c r="CJ149" s="76"/>
      <c r="CK149" s="76"/>
      <c r="CL149" s="76"/>
      <c r="CM149" s="76"/>
      <c r="CN149" s="76"/>
      <c r="CO149" s="76"/>
      <c r="CP149" s="76"/>
      <c r="CQ149" s="76"/>
      <c r="CR149" s="76"/>
      <c r="CS149" s="76"/>
      <c r="CT149" s="76"/>
      <c r="CU149" s="76"/>
      <c r="CV149" s="76"/>
      <c r="CW149" s="76"/>
      <c r="CX149" s="76"/>
      <c r="CY149" s="76"/>
      <c r="CZ149" s="76"/>
      <c r="DA149" s="76"/>
      <c r="DB149" s="76"/>
      <c r="DC149" s="76"/>
      <c r="DD149" s="76"/>
      <c r="DE149" s="76"/>
      <c r="DF149" s="76"/>
      <c r="DG149" s="76"/>
      <c r="DH149" s="76"/>
      <c r="DI149" s="76"/>
      <c r="DJ149" s="76"/>
      <c r="DK149" s="76"/>
      <c r="DL149" s="76"/>
      <c r="DM149" s="76"/>
      <c r="DN149" s="76"/>
      <c r="DO149" s="76"/>
      <c r="DP149" s="76"/>
      <c r="DQ149" s="76"/>
      <c r="DR149" s="76"/>
      <c r="DS149" s="76"/>
      <c r="DT149" s="76"/>
      <c r="DU149" s="76"/>
      <c r="DV149" s="76"/>
      <c r="DW149" s="76"/>
      <c r="DX149" s="76"/>
      <c r="DY149" s="76"/>
      <c r="DZ149" s="76"/>
      <c r="EA149" s="76"/>
      <c r="EB149" s="76"/>
      <c r="EC149" s="76"/>
      <c r="ED149" s="76"/>
      <c r="EE149" s="76"/>
      <c r="EF149" s="76"/>
      <c r="EG149" s="76"/>
      <c r="EH149" s="76"/>
      <c r="EI149" s="76"/>
      <c r="EJ149" s="76"/>
      <c r="EK149" s="76"/>
      <c r="EL149" s="76"/>
      <c r="EM149" s="76"/>
      <c r="EN149" s="76"/>
      <c r="EO149" s="76"/>
      <c r="EP149" s="76"/>
      <c r="EQ149" s="76"/>
      <c r="ER149" s="76"/>
      <c r="ES149" s="76"/>
      <c r="ET149" s="76"/>
      <c r="EU149" s="76"/>
      <c r="EV149" s="76"/>
      <c r="EW149" s="76"/>
      <c r="EX149" s="76"/>
      <c r="EY149" s="76"/>
      <c r="EZ149" s="76"/>
      <c r="FA149" s="76"/>
      <c r="FB149" s="76"/>
      <c r="FC149" s="76"/>
      <c r="FD149" s="76"/>
      <c r="FE149" s="76"/>
      <c r="FF149" s="76"/>
      <c r="FG149" s="76"/>
      <c r="FH149" s="76"/>
      <c r="FI149" s="76"/>
      <c r="FJ149" s="76"/>
      <c r="FK149" s="76"/>
      <c r="FL149" s="76"/>
      <c r="FM149" s="76"/>
      <c r="FN149" s="76"/>
      <c r="FO149" s="76"/>
      <c r="FP149" s="76"/>
      <c r="FQ149" s="76"/>
      <c r="FR149" s="76"/>
      <c r="FS149" s="76"/>
      <c r="FT149" s="76"/>
      <c r="FU149" s="76"/>
      <c r="FV149" s="76"/>
      <c r="FW149" s="76"/>
      <c r="FX149" s="76"/>
      <c r="FY149" s="76"/>
      <c r="FZ149" s="76"/>
      <c r="GA149" s="76"/>
      <c r="GB149" s="76"/>
      <c r="GC149" s="76"/>
      <c r="GD149" s="76"/>
      <c r="GE149" s="76"/>
      <c r="GF149" s="76"/>
      <c r="GG149" s="76"/>
      <c r="GH149" s="76"/>
      <c r="GI149" s="76"/>
      <c r="GJ149" s="76"/>
      <c r="GK149" s="76"/>
      <c r="GL149" s="76"/>
      <c r="GM149" s="76"/>
      <c r="GN149" s="76"/>
      <c r="GO149" s="76"/>
      <c r="GP149" s="76"/>
      <c r="GQ149" s="76"/>
      <c r="GR149" s="76"/>
      <c r="GS149" s="76"/>
      <c r="GT149" s="76"/>
      <c r="GU149" s="76"/>
      <c r="GV149" s="76"/>
      <c r="GW149" s="76"/>
      <c r="GX149" s="76"/>
      <c r="GY149" s="76"/>
      <c r="GZ149" s="76"/>
      <c r="HA149" s="76"/>
      <c r="HB149" s="76"/>
      <c r="HC149" s="76"/>
      <c r="HD149" s="76"/>
      <c r="HE149" s="76"/>
      <c r="HF149" s="76"/>
      <c r="HG149" s="76"/>
      <c r="HH149" s="76"/>
      <c r="HI149" s="76"/>
      <c r="HJ149" s="76"/>
      <c r="HK149" s="76"/>
      <c r="HL149" s="76"/>
      <c r="HM149" s="76"/>
      <c r="HN149" s="76"/>
      <c r="HO149" s="76"/>
      <c r="HP149" s="76"/>
      <c r="HQ149" s="76"/>
      <c r="HR149" s="76"/>
      <c r="HS149" s="76"/>
      <c r="HT149" s="76"/>
      <c r="HU149" s="76"/>
      <c r="HV149" s="76"/>
      <c r="HW149" s="76"/>
      <c r="HX149" s="76"/>
      <c r="HY149" s="76"/>
      <c r="HZ149" s="76"/>
      <c r="IA149" s="76"/>
      <c r="IB149" s="76"/>
      <c r="IC149" s="76"/>
      <c r="ID149" s="76"/>
      <c r="IE149" s="76"/>
      <c r="IF149" s="76"/>
      <c r="IG149" s="76"/>
      <c r="IH149" s="76"/>
      <c r="II149" s="76"/>
      <c r="IJ149" s="76"/>
      <c r="IK149" s="76"/>
      <c r="IL149" s="76"/>
      <c r="IM149" s="76"/>
      <c r="IN149" s="76"/>
    </row>
    <row r="150" spans="1:248" s="16" customFormat="1">
      <c r="A150" s="71"/>
      <c r="B150" s="76"/>
      <c r="C150" s="76"/>
      <c r="D150" s="87"/>
      <c r="E150" s="87"/>
      <c r="F150" s="76"/>
      <c r="G150" s="87"/>
      <c r="H150" s="76"/>
      <c r="I150" s="76"/>
      <c r="J150" s="78"/>
      <c r="K150" s="5"/>
      <c r="L150" s="5"/>
      <c r="M150" s="5"/>
      <c r="N150" s="5"/>
      <c r="O150" s="11"/>
      <c r="P150" s="5"/>
      <c r="Q150" s="5"/>
      <c r="R150" s="76"/>
      <c r="S150" s="76"/>
      <c r="T150" s="76"/>
      <c r="U150" s="76"/>
      <c r="V150" s="76"/>
      <c r="W150" s="84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/>
      <c r="BM150" s="76"/>
      <c r="BN150" s="76"/>
      <c r="BO150" s="76"/>
      <c r="BP150" s="76"/>
      <c r="BQ150" s="76"/>
      <c r="BR150" s="76"/>
      <c r="BS150" s="76"/>
      <c r="BT150" s="76"/>
      <c r="BU150" s="76"/>
      <c r="BV150" s="76"/>
      <c r="BW150" s="76"/>
      <c r="BX150" s="76"/>
      <c r="BY150" s="76"/>
      <c r="BZ150" s="76"/>
      <c r="CA150" s="76"/>
      <c r="CB150" s="76"/>
      <c r="CC150" s="76"/>
      <c r="CD150" s="76"/>
      <c r="CE150" s="76"/>
      <c r="CF150" s="76"/>
      <c r="CG150" s="76"/>
      <c r="CH150" s="76"/>
      <c r="CI150" s="76"/>
      <c r="CJ150" s="76"/>
      <c r="CK150" s="76"/>
      <c r="CL150" s="76"/>
      <c r="CM150" s="76"/>
      <c r="CN150" s="76"/>
      <c r="CO150" s="76"/>
      <c r="CP150" s="76"/>
      <c r="CQ150" s="76"/>
      <c r="CR150" s="76"/>
      <c r="CS150" s="76"/>
      <c r="CT150" s="76"/>
      <c r="CU150" s="76"/>
      <c r="CV150" s="76"/>
      <c r="CW150" s="76"/>
      <c r="CX150" s="76"/>
      <c r="CY150" s="76"/>
      <c r="CZ150" s="76"/>
      <c r="DA150" s="76"/>
      <c r="DB150" s="76"/>
      <c r="DC150" s="76"/>
      <c r="DD150" s="76"/>
      <c r="DE150" s="76"/>
      <c r="DF150" s="76"/>
      <c r="DG150" s="76"/>
      <c r="DH150" s="76"/>
      <c r="DI150" s="76"/>
      <c r="DJ150" s="76"/>
      <c r="DK150" s="76"/>
      <c r="DL150" s="76"/>
      <c r="DM150" s="76"/>
      <c r="DN150" s="76"/>
      <c r="DO150" s="76"/>
      <c r="DP150" s="76"/>
      <c r="DQ150" s="76"/>
      <c r="DR150" s="76"/>
      <c r="DS150" s="76"/>
      <c r="DT150" s="76"/>
      <c r="DU150" s="76"/>
      <c r="DV150" s="76"/>
      <c r="DW150" s="76"/>
      <c r="DX150" s="76"/>
      <c r="DY150" s="76"/>
      <c r="DZ150" s="76"/>
      <c r="EA150" s="76"/>
      <c r="EB150" s="76"/>
      <c r="EC150" s="76"/>
      <c r="ED150" s="76"/>
      <c r="EE150" s="76"/>
      <c r="EF150" s="76"/>
      <c r="EG150" s="76"/>
      <c r="EH150" s="76"/>
      <c r="EI150" s="76"/>
      <c r="EJ150" s="76"/>
      <c r="EK150" s="76"/>
      <c r="EL150" s="76"/>
      <c r="EM150" s="76"/>
      <c r="EN150" s="76"/>
      <c r="EO150" s="76"/>
      <c r="EP150" s="76"/>
      <c r="EQ150" s="76"/>
      <c r="ER150" s="76"/>
      <c r="ES150" s="76"/>
      <c r="ET150" s="76"/>
      <c r="EU150" s="76"/>
      <c r="EV150" s="76"/>
      <c r="EW150" s="76"/>
      <c r="EX150" s="76"/>
      <c r="EY150" s="76"/>
      <c r="EZ150" s="76"/>
      <c r="FA150" s="76"/>
      <c r="FB150" s="76"/>
      <c r="FC150" s="76"/>
      <c r="FD150" s="76"/>
      <c r="FE150" s="76"/>
      <c r="FF150" s="76"/>
      <c r="FG150" s="76"/>
      <c r="FH150" s="76"/>
      <c r="FI150" s="76"/>
      <c r="FJ150" s="76"/>
      <c r="FK150" s="76"/>
      <c r="FL150" s="76"/>
      <c r="FM150" s="76"/>
      <c r="FN150" s="76"/>
      <c r="FO150" s="76"/>
      <c r="FP150" s="76"/>
      <c r="FQ150" s="76"/>
      <c r="FR150" s="76"/>
      <c r="FS150" s="76"/>
      <c r="FT150" s="76"/>
      <c r="FU150" s="76"/>
      <c r="FV150" s="76"/>
      <c r="FW150" s="76"/>
      <c r="FX150" s="76"/>
      <c r="FY150" s="76"/>
      <c r="FZ150" s="76"/>
      <c r="GA150" s="76"/>
      <c r="GB150" s="76"/>
      <c r="GC150" s="76"/>
      <c r="GD150" s="76"/>
      <c r="GE150" s="76"/>
      <c r="GF150" s="76"/>
      <c r="GG150" s="76"/>
      <c r="GH150" s="76"/>
      <c r="GI150" s="76"/>
      <c r="GJ150" s="76"/>
      <c r="GK150" s="76"/>
      <c r="GL150" s="76"/>
      <c r="GM150" s="76"/>
      <c r="GN150" s="76"/>
      <c r="GO150" s="76"/>
      <c r="GP150" s="76"/>
      <c r="GQ150" s="76"/>
      <c r="GR150" s="76"/>
      <c r="GS150" s="76"/>
      <c r="GT150" s="76"/>
      <c r="GU150" s="76"/>
      <c r="GV150" s="76"/>
      <c r="GW150" s="76"/>
      <c r="GX150" s="76"/>
      <c r="GY150" s="76"/>
      <c r="GZ150" s="76"/>
      <c r="HA150" s="76"/>
      <c r="HB150" s="76"/>
      <c r="HC150" s="76"/>
      <c r="HD150" s="76"/>
      <c r="HE150" s="76"/>
      <c r="HF150" s="76"/>
      <c r="HG150" s="76"/>
      <c r="HH150" s="76"/>
      <c r="HI150" s="76"/>
      <c r="HJ150" s="76"/>
      <c r="HK150" s="76"/>
      <c r="HL150" s="76"/>
      <c r="HM150" s="76"/>
      <c r="HN150" s="76"/>
      <c r="HO150" s="76"/>
      <c r="HP150" s="76"/>
      <c r="HQ150" s="76"/>
      <c r="HR150" s="76"/>
      <c r="HS150" s="76"/>
      <c r="HT150" s="76"/>
      <c r="HU150" s="76"/>
      <c r="HV150" s="76"/>
      <c r="HW150" s="76"/>
      <c r="HX150" s="76"/>
      <c r="HY150" s="76"/>
      <c r="HZ150" s="76"/>
      <c r="IA150" s="76"/>
      <c r="IB150" s="76"/>
      <c r="IC150" s="76"/>
      <c r="ID150" s="76"/>
      <c r="IE150" s="76"/>
      <c r="IF150" s="76"/>
      <c r="IG150" s="76"/>
      <c r="IH150" s="76"/>
      <c r="II150" s="76"/>
      <c r="IJ150" s="76"/>
      <c r="IK150" s="76"/>
      <c r="IL150" s="76"/>
      <c r="IM150" s="76"/>
      <c r="IN150" s="76"/>
    </row>
    <row r="151" spans="1:248" s="16" customFormat="1">
      <c r="A151" s="71"/>
      <c r="B151" s="76"/>
      <c r="C151" s="76"/>
      <c r="D151" s="87"/>
      <c r="E151" s="87"/>
      <c r="F151" s="76"/>
      <c r="G151" s="87"/>
      <c r="H151" s="76"/>
      <c r="I151" s="76"/>
      <c r="J151" s="78"/>
      <c r="K151" s="5"/>
      <c r="L151" s="5"/>
      <c r="M151" s="5"/>
      <c r="N151" s="5"/>
      <c r="O151" s="11"/>
      <c r="P151" s="5"/>
      <c r="Q151" s="5"/>
      <c r="R151" s="76"/>
      <c r="S151" s="76"/>
      <c r="T151" s="76"/>
      <c r="U151" s="76"/>
      <c r="V151" s="76"/>
      <c r="W151" s="84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  <c r="BF151" s="76"/>
      <c r="BG151" s="76"/>
      <c r="BH151" s="76"/>
      <c r="BI151" s="76"/>
      <c r="BJ151" s="76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  <c r="BU151" s="76"/>
      <c r="BV151" s="76"/>
      <c r="BW151" s="76"/>
      <c r="BX151" s="76"/>
      <c r="BY151" s="76"/>
      <c r="BZ151" s="76"/>
      <c r="CA151" s="76"/>
      <c r="CB151" s="76"/>
      <c r="CC151" s="76"/>
      <c r="CD151" s="76"/>
      <c r="CE151" s="76"/>
      <c r="CF151" s="76"/>
      <c r="CG151" s="76"/>
      <c r="CH151" s="76"/>
      <c r="CI151" s="76"/>
      <c r="CJ151" s="76"/>
      <c r="CK151" s="76"/>
      <c r="CL151" s="76"/>
      <c r="CM151" s="76"/>
      <c r="CN151" s="76"/>
      <c r="CO151" s="76"/>
      <c r="CP151" s="76"/>
      <c r="CQ151" s="76"/>
      <c r="CR151" s="76"/>
      <c r="CS151" s="76"/>
      <c r="CT151" s="76"/>
      <c r="CU151" s="76"/>
      <c r="CV151" s="76"/>
      <c r="CW151" s="76"/>
      <c r="CX151" s="76"/>
      <c r="CY151" s="76"/>
      <c r="CZ151" s="76"/>
      <c r="DA151" s="76"/>
      <c r="DB151" s="76"/>
      <c r="DC151" s="76"/>
      <c r="DD151" s="76"/>
      <c r="DE151" s="76"/>
      <c r="DF151" s="76"/>
      <c r="DG151" s="76"/>
      <c r="DH151" s="76"/>
      <c r="DI151" s="76"/>
      <c r="DJ151" s="76"/>
      <c r="DK151" s="76"/>
      <c r="DL151" s="76"/>
      <c r="DM151" s="76"/>
      <c r="DN151" s="76"/>
      <c r="DO151" s="76"/>
      <c r="DP151" s="76"/>
      <c r="DQ151" s="76"/>
      <c r="DR151" s="76"/>
      <c r="DS151" s="76"/>
      <c r="DT151" s="76"/>
      <c r="DU151" s="76"/>
      <c r="DV151" s="76"/>
      <c r="DW151" s="76"/>
      <c r="DX151" s="76"/>
      <c r="DY151" s="76"/>
      <c r="DZ151" s="76"/>
      <c r="EA151" s="76"/>
      <c r="EB151" s="76"/>
      <c r="EC151" s="76"/>
      <c r="ED151" s="76"/>
      <c r="EE151" s="76"/>
      <c r="EF151" s="76"/>
      <c r="EG151" s="76"/>
      <c r="EH151" s="76"/>
      <c r="EI151" s="76"/>
      <c r="EJ151" s="76"/>
      <c r="EK151" s="76"/>
      <c r="EL151" s="76"/>
      <c r="EM151" s="76"/>
      <c r="EN151" s="76"/>
      <c r="EO151" s="76"/>
      <c r="EP151" s="76"/>
      <c r="EQ151" s="76"/>
      <c r="ER151" s="76"/>
      <c r="ES151" s="76"/>
      <c r="ET151" s="76"/>
      <c r="EU151" s="76"/>
      <c r="EV151" s="76"/>
      <c r="EW151" s="76"/>
      <c r="EX151" s="76"/>
      <c r="EY151" s="76"/>
      <c r="EZ151" s="76"/>
      <c r="FA151" s="76"/>
      <c r="FB151" s="76"/>
      <c r="FC151" s="76"/>
      <c r="FD151" s="76"/>
      <c r="FE151" s="76"/>
      <c r="FF151" s="76"/>
      <c r="FG151" s="76"/>
      <c r="FH151" s="76"/>
      <c r="FI151" s="76"/>
      <c r="FJ151" s="76"/>
      <c r="FK151" s="76"/>
      <c r="FL151" s="76"/>
      <c r="FM151" s="76"/>
      <c r="FN151" s="76"/>
      <c r="FO151" s="76"/>
      <c r="FP151" s="76"/>
      <c r="FQ151" s="76"/>
      <c r="FR151" s="76"/>
      <c r="FS151" s="76"/>
      <c r="FT151" s="76"/>
      <c r="FU151" s="76"/>
      <c r="FV151" s="76"/>
      <c r="FW151" s="76"/>
      <c r="FX151" s="76"/>
      <c r="FY151" s="76"/>
      <c r="FZ151" s="76"/>
      <c r="GA151" s="76"/>
      <c r="GB151" s="76"/>
      <c r="GC151" s="76"/>
      <c r="GD151" s="76"/>
      <c r="GE151" s="76"/>
      <c r="GF151" s="76"/>
      <c r="GG151" s="76"/>
      <c r="GH151" s="76"/>
      <c r="GI151" s="76"/>
      <c r="GJ151" s="76"/>
      <c r="GK151" s="76"/>
      <c r="GL151" s="76"/>
      <c r="GM151" s="76"/>
      <c r="GN151" s="76"/>
      <c r="GO151" s="76"/>
      <c r="GP151" s="76"/>
      <c r="GQ151" s="76"/>
      <c r="GR151" s="76"/>
      <c r="GS151" s="76"/>
      <c r="GT151" s="76"/>
      <c r="GU151" s="76"/>
      <c r="GV151" s="76"/>
      <c r="GW151" s="76"/>
      <c r="GX151" s="76"/>
      <c r="GY151" s="76"/>
      <c r="GZ151" s="76"/>
      <c r="HA151" s="76"/>
      <c r="HB151" s="76"/>
      <c r="HC151" s="76"/>
      <c r="HD151" s="76"/>
      <c r="HE151" s="76"/>
      <c r="HF151" s="76"/>
      <c r="HG151" s="76"/>
      <c r="HH151" s="76"/>
      <c r="HI151" s="76"/>
      <c r="HJ151" s="76"/>
      <c r="HK151" s="76"/>
      <c r="HL151" s="76"/>
      <c r="HM151" s="76"/>
      <c r="HN151" s="76"/>
      <c r="HO151" s="76"/>
      <c r="HP151" s="76"/>
      <c r="HQ151" s="76"/>
      <c r="HR151" s="76"/>
      <c r="HS151" s="76"/>
      <c r="HT151" s="76"/>
      <c r="HU151" s="76"/>
      <c r="HV151" s="76"/>
      <c r="HW151" s="76"/>
      <c r="HX151" s="76"/>
      <c r="HY151" s="76"/>
      <c r="HZ151" s="76"/>
      <c r="IA151" s="76"/>
      <c r="IB151" s="76"/>
      <c r="IC151" s="76"/>
      <c r="ID151" s="76"/>
      <c r="IE151" s="76"/>
      <c r="IF151" s="76"/>
      <c r="IG151" s="76"/>
      <c r="IH151" s="76"/>
      <c r="II151" s="76"/>
      <c r="IJ151" s="76"/>
      <c r="IK151" s="76"/>
      <c r="IL151" s="76"/>
      <c r="IM151" s="76"/>
      <c r="IN151" s="76"/>
    </row>
    <row r="152" spans="1:248" s="16" customFormat="1">
      <c r="A152" s="71"/>
      <c r="B152" s="76"/>
      <c r="C152" s="76"/>
      <c r="D152" s="87"/>
      <c r="E152" s="87"/>
      <c r="F152" s="76"/>
      <c r="G152" s="87"/>
      <c r="H152" s="76"/>
      <c r="I152" s="76"/>
      <c r="J152" s="78"/>
      <c r="K152" s="5"/>
      <c r="L152" s="5"/>
      <c r="M152" s="5"/>
      <c r="N152" s="5"/>
      <c r="O152" s="11"/>
      <c r="P152" s="5"/>
      <c r="Q152" s="5"/>
      <c r="R152" s="76"/>
      <c r="S152" s="76"/>
      <c r="T152" s="76"/>
      <c r="U152" s="76"/>
      <c r="V152" s="76"/>
      <c r="W152" s="84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  <c r="BF152" s="76"/>
      <c r="BG152" s="76"/>
      <c r="BH152" s="76"/>
      <c r="BI152" s="76"/>
      <c r="BJ152" s="76"/>
      <c r="BK152" s="76"/>
      <c r="BL152" s="76"/>
      <c r="BM152" s="76"/>
      <c r="BN152" s="76"/>
      <c r="BO152" s="76"/>
      <c r="BP152" s="76"/>
      <c r="BQ152" s="76"/>
      <c r="BR152" s="76"/>
      <c r="BS152" s="76"/>
      <c r="BT152" s="76"/>
      <c r="BU152" s="76"/>
      <c r="BV152" s="76"/>
      <c r="BW152" s="76"/>
      <c r="BX152" s="76"/>
      <c r="BY152" s="76"/>
      <c r="BZ152" s="76"/>
      <c r="CA152" s="76"/>
      <c r="CB152" s="76"/>
      <c r="CC152" s="76"/>
      <c r="CD152" s="76"/>
      <c r="CE152" s="76"/>
      <c r="CF152" s="76"/>
      <c r="CG152" s="76"/>
      <c r="CH152" s="76"/>
      <c r="CI152" s="76"/>
      <c r="CJ152" s="76"/>
      <c r="CK152" s="76"/>
      <c r="CL152" s="76"/>
      <c r="CM152" s="76"/>
      <c r="CN152" s="76"/>
      <c r="CO152" s="76"/>
      <c r="CP152" s="76"/>
      <c r="CQ152" s="76"/>
      <c r="CR152" s="76"/>
      <c r="CS152" s="76"/>
      <c r="CT152" s="76"/>
      <c r="CU152" s="76"/>
      <c r="CV152" s="76"/>
      <c r="CW152" s="76"/>
      <c r="CX152" s="76"/>
      <c r="CY152" s="76"/>
      <c r="CZ152" s="76"/>
      <c r="DA152" s="76"/>
      <c r="DB152" s="76"/>
      <c r="DC152" s="76"/>
      <c r="DD152" s="76"/>
      <c r="DE152" s="76"/>
      <c r="DF152" s="76"/>
      <c r="DG152" s="76"/>
      <c r="DH152" s="76"/>
      <c r="DI152" s="76"/>
      <c r="DJ152" s="76"/>
      <c r="DK152" s="76"/>
      <c r="DL152" s="76"/>
      <c r="DM152" s="76"/>
      <c r="DN152" s="76"/>
      <c r="DO152" s="76"/>
      <c r="DP152" s="76"/>
      <c r="DQ152" s="76"/>
      <c r="DR152" s="76"/>
      <c r="DS152" s="76"/>
      <c r="DT152" s="76"/>
      <c r="DU152" s="76"/>
      <c r="DV152" s="76"/>
      <c r="DW152" s="76"/>
      <c r="DX152" s="76"/>
      <c r="DY152" s="76"/>
      <c r="DZ152" s="76"/>
      <c r="EA152" s="76"/>
      <c r="EB152" s="76"/>
      <c r="EC152" s="76"/>
      <c r="ED152" s="76"/>
      <c r="EE152" s="76"/>
      <c r="EF152" s="76"/>
      <c r="EG152" s="76"/>
      <c r="EH152" s="76"/>
      <c r="EI152" s="76"/>
      <c r="EJ152" s="76"/>
      <c r="EK152" s="76"/>
      <c r="EL152" s="76"/>
      <c r="EM152" s="76"/>
      <c r="EN152" s="76"/>
      <c r="EO152" s="76"/>
      <c r="EP152" s="76"/>
      <c r="EQ152" s="76"/>
      <c r="ER152" s="76"/>
      <c r="ES152" s="76"/>
      <c r="ET152" s="76"/>
      <c r="EU152" s="76"/>
      <c r="EV152" s="76"/>
      <c r="EW152" s="76"/>
      <c r="EX152" s="76"/>
      <c r="EY152" s="76"/>
      <c r="EZ152" s="76"/>
      <c r="FA152" s="76"/>
      <c r="FB152" s="76"/>
      <c r="FC152" s="76"/>
      <c r="FD152" s="76"/>
      <c r="FE152" s="76"/>
      <c r="FF152" s="76"/>
      <c r="FG152" s="76"/>
      <c r="FH152" s="76"/>
      <c r="FI152" s="76"/>
      <c r="FJ152" s="76"/>
      <c r="FK152" s="76"/>
      <c r="FL152" s="76"/>
      <c r="FM152" s="76"/>
      <c r="FN152" s="76"/>
      <c r="FO152" s="76"/>
      <c r="FP152" s="76"/>
      <c r="FQ152" s="76"/>
      <c r="FR152" s="76"/>
      <c r="FS152" s="76"/>
      <c r="FT152" s="76"/>
      <c r="FU152" s="76"/>
      <c r="FV152" s="76"/>
      <c r="FW152" s="76"/>
      <c r="FX152" s="76"/>
      <c r="FY152" s="76"/>
      <c r="FZ152" s="76"/>
      <c r="GA152" s="76"/>
      <c r="GB152" s="76"/>
      <c r="GC152" s="76"/>
      <c r="GD152" s="76"/>
      <c r="GE152" s="76"/>
      <c r="GF152" s="76"/>
      <c r="GG152" s="76"/>
      <c r="GH152" s="76"/>
      <c r="GI152" s="76"/>
      <c r="GJ152" s="76"/>
      <c r="GK152" s="76"/>
      <c r="GL152" s="76"/>
      <c r="GM152" s="76"/>
      <c r="GN152" s="76"/>
      <c r="GO152" s="76"/>
      <c r="GP152" s="76"/>
      <c r="GQ152" s="76"/>
      <c r="GR152" s="76"/>
      <c r="GS152" s="76"/>
      <c r="GT152" s="76"/>
      <c r="GU152" s="76"/>
      <c r="GV152" s="76"/>
      <c r="GW152" s="76"/>
      <c r="GX152" s="76"/>
      <c r="GY152" s="76"/>
      <c r="GZ152" s="76"/>
      <c r="HA152" s="76"/>
      <c r="HB152" s="76"/>
      <c r="HC152" s="76"/>
      <c r="HD152" s="76"/>
      <c r="HE152" s="76"/>
      <c r="HF152" s="76"/>
      <c r="HG152" s="76"/>
      <c r="HH152" s="76"/>
      <c r="HI152" s="76"/>
      <c r="HJ152" s="76"/>
      <c r="HK152" s="76"/>
      <c r="HL152" s="76"/>
      <c r="HM152" s="76"/>
      <c r="HN152" s="76"/>
      <c r="HO152" s="76"/>
      <c r="HP152" s="76"/>
      <c r="HQ152" s="76"/>
      <c r="HR152" s="76"/>
      <c r="HS152" s="76"/>
      <c r="HT152" s="76"/>
      <c r="HU152" s="76"/>
      <c r="HV152" s="76"/>
      <c r="HW152" s="76"/>
      <c r="HX152" s="76"/>
      <c r="HY152" s="76"/>
      <c r="HZ152" s="76"/>
      <c r="IA152" s="76"/>
      <c r="IB152" s="76"/>
      <c r="IC152" s="76"/>
      <c r="ID152" s="76"/>
      <c r="IE152" s="76"/>
      <c r="IF152" s="76"/>
      <c r="IG152" s="76"/>
      <c r="IH152" s="76"/>
      <c r="II152" s="76"/>
      <c r="IJ152" s="76"/>
      <c r="IK152" s="76"/>
      <c r="IL152" s="76"/>
      <c r="IM152" s="76"/>
      <c r="IN152" s="76"/>
    </row>
    <row r="153" spans="1:248" s="16" customFormat="1">
      <c r="A153" s="71"/>
      <c r="B153" s="76"/>
      <c r="C153" s="76"/>
      <c r="D153" s="87"/>
      <c r="E153" s="87"/>
      <c r="F153" s="76"/>
      <c r="G153" s="87"/>
      <c r="H153" s="76"/>
      <c r="I153" s="76"/>
      <c r="J153" s="78"/>
      <c r="K153" s="5"/>
      <c r="L153" s="5"/>
      <c r="M153" s="5"/>
      <c r="N153" s="5"/>
      <c r="O153" s="11"/>
      <c r="P153" s="5"/>
      <c r="Q153" s="5"/>
      <c r="R153" s="76"/>
      <c r="S153" s="76"/>
      <c r="T153" s="76"/>
      <c r="U153" s="76"/>
      <c r="V153" s="76"/>
      <c r="W153" s="84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/>
      <c r="BI153" s="76"/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  <c r="BU153" s="76"/>
      <c r="BV153" s="76"/>
      <c r="BW153" s="76"/>
      <c r="BX153" s="76"/>
      <c r="BY153" s="76"/>
      <c r="BZ153" s="76"/>
      <c r="CA153" s="76"/>
      <c r="CB153" s="76"/>
      <c r="CC153" s="76"/>
      <c r="CD153" s="76"/>
      <c r="CE153" s="76"/>
      <c r="CF153" s="76"/>
      <c r="CG153" s="76"/>
      <c r="CH153" s="76"/>
      <c r="CI153" s="76"/>
      <c r="CJ153" s="76"/>
      <c r="CK153" s="76"/>
      <c r="CL153" s="76"/>
      <c r="CM153" s="76"/>
      <c r="CN153" s="76"/>
      <c r="CO153" s="76"/>
      <c r="CP153" s="76"/>
      <c r="CQ153" s="76"/>
      <c r="CR153" s="76"/>
      <c r="CS153" s="76"/>
      <c r="CT153" s="76"/>
      <c r="CU153" s="76"/>
      <c r="CV153" s="76"/>
      <c r="CW153" s="76"/>
      <c r="CX153" s="76"/>
      <c r="CY153" s="76"/>
      <c r="CZ153" s="76"/>
      <c r="DA153" s="76"/>
      <c r="DB153" s="76"/>
      <c r="DC153" s="76"/>
      <c r="DD153" s="76"/>
      <c r="DE153" s="76"/>
      <c r="DF153" s="76"/>
      <c r="DG153" s="76"/>
      <c r="DH153" s="76"/>
      <c r="DI153" s="76"/>
      <c r="DJ153" s="76"/>
      <c r="DK153" s="76"/>
      <c r="DL153" s="76"/>
      <c r="DM153" s="76"/>
      <c r="DN153" s="76"/>
      <c r="DO153" s="76"/>
      <c r="DP153" s="76"/>
      <c r="DQ153" s="76"/>
      <c r="DR153" s="76"/>
      <c r="DS153" s="76"/>
      <c r="DT153" s="76"/>
      <c r="DU153" s="76"/>
      <c r="DV153" s="76"/>
      <c r="DW153" s="76"/>
      <c r="DX153" s="76"/>
      <c r="DY153" s="76"/>
      <c r="DZ153" s="76"/>
      <c r="EA153" s="76"/>
      <c r="EB153" s="76"/>
      <c r="EC153" s="76"/>
      <c r="ED153" s="76"/>
      <c r="EE153" s="76"/>
      <c r="EF153" s="76"/>
      <c r="EG153" s="76"/>
      <c r="EH153" s="76"/>
      <c r="EI153" s="76"/>
      <c r="EJ153" s="76"/>
      <c r="EK153" s="76"/>
      <c r="EL153" s="76"/>
      <c r="EM153" s="76"/>
      <c r="EN153" s="76"/>
      <c r="EO153" s="76"/>
      <c r="EP153" s="76"/>
      <c r="EQ153" s="76"/>
      <c r="ER153" s="76"/>
      <c r="ES153" s="76"/>
      <c r="ET153" s="76"/>
      <c r="EU153" s="76"/>
      <c r="EV153" s="76"/>
      <c r="EW153" s="76"/>
      <c r="EX153" s="76"/>
      <c r="EY153" s="76"/>
      <c r="EZ153" s="76"/>
      <c r="FA153" s="76"/>
      <c r="FB153" s="76"/>
      <c r="FC153" s="76"/>
      <c r="FD153" s="76"/>
      <c r="FE153" s="76"/>
      <c r="FF153" s="76"/>
      <c r="FG153" s="76"/>
      <c r="FH153" s="76"/>
      <c r="FI153" s="76"/>
      <c r="FJ153" s="76"/>
      <c r="FK153" s="76"/>
      <c r="FL153" s="76"/>
      <c r="FM153" s="76"/>
      <c r="FN153" s="76"/>
      <c r="FO153" s="76"/>
      <c r="FP153" s="76"/>
      <c r="FQ153" s="76"/>
      <c r="FR153" s="76"/>
      <c r="FS153" s="76"/>
      <c r="FT153" s="76"/>
      <c r="FU153" s="76"/>
      <c r="FV153" s="76"/>
      <c r="FW153" s="76"/>
      <c r="FX153" s="76"/>
      <c r="FY153" s="76"/>
      <c r="FZ153" s="76"/>
      <c r="GA153" s="76"/>
      <c r="GB153" s="76"/>
      <c r="GC153" s="76"/>
      <c r="GD153" s="76"/>
      <c r="GE153" s="76"/>
      <c r="GF153" s="76"/>
      <c r="GG153" s="76"/>
      <c r="GH153" s="76"/>
      <c r="GI153" s="76"/>
      <c r="GJ153" s="76"/>
      <c r="GK153" s="76"/>
      <c r="GL153" s="76"/>
      <c r="GM153" s="76"/>
      <c r="GN153" s="76"/>
      <c r="GO153" s="76"/>
      <c r="GP153" s="76"/>
      <c r="GQ153" s="76"/>
      <c r="GR153" s="76"/>
      <c r="GS153" s="76"/>
      <c r="GT153" s="76"/>
      <c r="GU153" s="76"/>
      <c r="GV153" s="76"/>
      <c r="GW153" s="76"/>
      <c r="GX153" s="76"/>
      <c r="GY153" s="76"/>
      <c r="GZ153" s="76"/>
      <c r="HA153" s="76"/>
      <c r="HB153" s="76"/>
      <c r="HC153" s="76"/>
      <c r="HD153" s="76"/>
      <c r="HE153" s="76"/>
      <c r="HF153" s="76"/>
      <c r="HG153" s="76"/>
      <c r="HH153" s="76"/>
      <c r="HI153" s="76"/>
      <c r="HJ153" s="76"/>
      <c r="HK153" s="76"/>
      <c r="HL153" s="76"/>
      <c r="HM153" s="76"/>
      <c r="HN153" s="76"/>
      <c r="HO153" s="76"/>
      <c r="HP153" s="76"/>
      <c r="HQ153" s="76"/>
      <c r="HR153" s="76"/>
      <c r="HS153" s="76"/>
      <c r="HT153" s="76"/>
      <c r="HU153" s="76"/>
      <c r="HV153" s="76"/>
      <c r="HW153" s="76"/>
      <c r="HX153" s="76"/>
      <c r="HY153" s="76"/>
      <c r="HZ153" s="76"/>
      <c r="IA153" s="76"/>
      <c r="IB153" s="76"/>
      <c r="IC153" s="76"/>
      <c r="ID153" s="76"/>
      <c r="IE153" s="76"/>
      <c r="IF153" s="76"/>
      <c r="IG153" s="76"/>
      <c r="IH153" s="76"/>
      <c r="II153" s="76"/>
      <c r="IJ153" s="76"/>
      <c r="IK153" s="76"/>
      <c r="IL153" s="76"/>
      <c r="IM153" s="76"/>
      <c r="IN153" s="76"/>
    </row>
    <row r="154" spans="1:248" s="16" customFormat="1">
      <c r="A154" s="71"/>
      <c r="B154" s="76"/>
      <c r="C154" s="76"/>
      <c r="D154" s="87"/>
      <c r="E154" s="87"/>
      <c r="F154" s="76"/>
      <c r="G154" s="87"/>
      <c r="H154" s="76"/>
      <c r="I154" s="76"/>
      <c r="J154" s="78"/>
      <c r="K154" s="5"/>
      <c r="L154" s="5"/>
      <c r="M154" s="5"/>
      <c r="N154" s="5"/>
      <c r="O154" s="11"/>
      <c r="P154" s="5"/>
      <c r="Q154" s="5"/>
      <c r="R154" s="76"/>
      <c r="S154" s="76"/>
      <c r="T154" s="76"/>
      <c r="U154" s="76"/>
      <c r="V154" s="76"/>
      <c r="W154" s="84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  <c r="BF154" s="76"/>
      <c r="BG154" s="76"/>
      <c r="BH154" s="76"/>
      <c r="BI154" s="76"/>
      <c r="BJ154" s="76"/>
      <c r="BK154" s="76"/>
      <c r="BL154" s="76"/>
      <c r="BM154" s="76"/>
      <c r="BN154" s="76"/>
      <c r="BO154" s="76"/>
      <c r="BP154" s="76"/>
      <c r="BQ154" s="76"/>
      <c r="BR154" s="76"/>
      <c r="BS154" s="76"/>
      <c r="BT154" s="76"/>
      <c r="BU154" s="76"/>
      <c r="BV154" s="76"/>
      <c r="BW154" s="76"/>
      <c r="BX154" s="76"/>
      <c r="BY154" s="76"/>
      <c r="BZ154" s="76"/>
      <c r="CA154" s="76"/>
      <c r="CB154" s="76"/>
      <c r="CC154" s="76"/>
      <c r="CD154" s="76"/>
      <c r="CE154" s="76"/>
      <c r="CF154" s="76"/>
      <c r="CG154" s="76"/>
      <c r="CH154" s="76"/>
      <c r="CI154" s="76"/>
      <c r="CJ154" s="76"/>
      <c r="CK154" s="76"/>
      <c r="CL154" s="76"/>
      <c r="CM154" s="76"/>
      <c r="CN154" s="76"/>
      <c r="CO154" s="76"/>
      <c r="CP154" s="76"/>
      <c r="CQ154" s="76"/>
      <c r="CR154" s="76"/>
      <c r="CS154" s="76"/>
      <c r="CT154" s="76"/>
      <c r="CU154" s="76"/>
      <c r="CV154" s="76"/>
      <c r="CW154" s="76"/>
      <c r="CX154" s="76"/>
      <c r="CY154" s="76"/>
      <c r="CZ154" s="76"/>
      <c r="DA154" s="76"/>
      <c r="DB154" s="76"/>
      <c r="DC154" s="76"/>
      <c r="DD154" s="76"/>
      <c r="DE154" s="76"/>
      <c r="DF154" s="76"/>
      <c r="DG154" s="76"/>
      <c r="DH154" s="76"/>
      <c r="DI154" s="76"/>
      <c r="DJ154" s="76"/>
      <c r="DK154" s="76"/>
      <c r="DL154" s="76"/>
      <c r="DM154" s="76"/>
      <c r="DN154" s="76"/>
      <c r="DO154" s="76"/>
      <c r="DP154" s="76"/>
      <c r="DQ154" s="76"/>
      <c r="DR154" s="76"/>
      <c r="DS154" s="76"/>
      <c r="DT154" s="76"/>
      <c r="DU154" s="76"/>
      <c r="DV154" s="76"/>
      <c r="DW154" s="76"/>
      <c r="DX154" s="76"/>
      <c r="DY154" s="76"/>
      <c r="DZ154" s="76"/>
      <c r="EA154" s="76"/>
      <c r="EB154" s="76"/>
      <c r="EC154" s="76"/>
      <c r="ED154" s="76"/>
      <c r="EE154" s="76"/>
      <c r="EF154" s="76"/>
      <c r="EG154" s="76"/>
      <c r="EH154" s="76"/>
      <c r="EI154" s="76"/>
      <c r="EJ154" s="76"/>
      <c r="EK154" s="76"/>
      <c r="EL154" s="76"/>
      <c r="EM154" s="76"/>
      <c r="EN154" s="76"/>
      <c r="EO154" s="76"/>
      <c r="EP154" s="76"/>
      <c r="EQ154" s="76"/>
      <c r="ER154" s="76"/>
      <c r="ES154" s="76"/>
      <c r="ET154" s="76"/>
      <c r="EU154" s="76"/>
      <c r="EV154" s="76"/>
      <c r="EW154" s="76"/>
      <c r="EX154" s="76"/>
      <c r="EY154" s="76"/>
      <c r="EZ154" s="76"/>
      <c r="FA154" s="76"/>
      <c r="FB154" s="76"/>
      <c r="FC154" s="76"/>
      <c r="FD154" s="76"/>
      <c r="FE154" s="76"/>
      <c r="FF154" s="76"/>
      <c r="FG154" s="76"/>
      <c r="FH154" s="76"/>
      <c r="FI154" s="76"/>
      <c r="FJ154" s="76"/>
      <c r="FK154" s="76"/>
      <c r="FL154" s="76"/>
      <c r="FM154" s="76"/>
      <c r="FN154" s="76"/>
      <c r="FO154" s="76"/>
      <c r="FP154" s="76"/>
      <c r="FQ154" s="76"/>
      <c r="FR154" s="76"/>
      <c r="FS154" s="76"/>
      <c r="FT154" s="76"/>
      <c r="FU154" s="76"/>
      <c r="FV154" s="76"/>
      <c r="FW154" s="76"/>
      <c r="FX154" s="76"/>
      <c r="FY154" s="76"/>
      <c r="FZ154" s="76"/>
      <c r="GA154" s="76"/>
      <c r="GB154" s="76"/>
      <c r="GC154" s="76"/>
      <c r="GD154" s="76"/>
      <c r="GE154" s="76"/>
      <c r="GF154" s="76"/>
      <c r="GG154" s="76"/>
      <c r="GH154" s="76"/>
      <c r="GI154" s="76"/>
      <c r="GJ154" s="76"/>
      <c r="GK154" s="76"/>
      <c r="GL154" s="76"/>
      <c r="GM154" s="76"/>
      <c r="GN154" s="76"/>
      <c r="GO154" s="76"/>
      <c r="GP154" s="76"/>
      <c r="GQ154" s="76"/>
      <c r="GR154" s="76"/>
      <c r="GS154" s="76"/>
      <c r="GT154" s="76"/>
      <c r="GU154" s="76"/>
      <c r="GV154" s="76"/>
      <c r="GW154" s="76"/>
      <c r="GX154" s="76"/>
      <c r="GY154" s="76"/>
      <c r="GZ154" s="76"/>
      <c r="HA154" s="76"/>
      <c r="HB154" s="76"/>
      <c r="HC154" s="76"/>
      <c r="HD154" s="76"/>
      <c r="HE154" s="76"/>
      <c r="HF154" s="76"/>
      <c r="HG154" s="76"/>
      <c r="HH154" s="76"/>
      <c r="HI154" s="76"/>
      <c r="HJ154" s="76"/>
      <c r="HK154" s="76"/>
      <c r="HL154" s="76"/>
      <c r="HM154" s="76"/>
      <c r="HN154" s="76"/>
      <c r="HO154" s="76"/>
      <c r="HP154" s="76"/>
      <c r="HQ154" s="76"/>
      <c r="HR154" s="76"/>
      <c r="HS154" s="76"/>
      <c r="HT154" s="76"/>
      <c r="HU154" s="76"/>
      <c r="HV154" s="76"/>
      <c r="HW154" s="76"/>
      <c r="HX154" s="76"/>
      <c r="HY154" s="76"/>
      <c r="HZ154" s="76"/>
      <c r="IA154" s="76"/>
      <c r="IB154" s="76"/>
      <c r="IC154" s="76"/>
      <c r="ID154" s="76"/>
      <c r="IE154" s="76"/>
      <c r="IF154" s="76"/>
      <c r="IG154" s="76"/>
      <c r="IH154" s="76"/>
      <c r="II154" s="76"/>
      <c r="IJ154" s="76"/>
      <c r="IK154" s="76"/>
      <c r="IL154" s="76"/>
      <c r="IM154" s="76"/>
      <c r="IN154" s="76"/>
    </row>
    <row r="155" spans="1:248" s="16" customFormat="1">
      <c r="A155" s="71"/>
      <c r="B155" s="76"/>
      <c r="C155" s="76"/>
      <c r="D155" s="87"/>
      <c r="E155" s="87"/>
      <c r="F155" s="76"/>
      <c r="G155" s="87"/>
      <c r="H155" s="76"/>
      <c r="I155" s="76"/>
      <c r="J155" s="78"/>
      <c r="K155" s="5"/>
      <c r="L155" s="5"/>
      <c r="M155" s="5"/>
      <c r="N155" s="5"/>
      <c r="O155" s="11"/>
      <c r="P155" s="5"/>
      <c r="Q155" s="5"/>
      <c r="R155" s="76"/>
      <c r="S155" s="76"/>
      <c r="T155" s="76"/>
      <c r="U155" s="76"/>
      <c r="V155" s="76"/>
      <c r="W155" s="84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  <c r="BF155" s="76"/>
      <c r="BG155" s="76"/>
      <c r="BH155" s="76"/>
      <c r="BI155" s="76"/>
      <c r="BJ155" s="76"/>
      <c r="BK155" s="76"/>
      <c r="BL155" s="76"/>
      <c r="BM155" s="76"/>
      <c r="BN155" s="76"/>
      <c r="BO155" s="76"/>
      <c r="BP155" s="76"/>
      <c r="BQ155" s="76"/>
      <c r="BR155" s="76"/>
      <c r="BS155" s="76"/>
      <c r="BT155" s="76"/>
      <c r="BU155" s="76"/>
      <c r="BV155" s="76"/>
      <c r="BW155" s="76"/>
      <c r="BX155" s="76"/>
      <c r="BY155" s="76"/>
      <c r="BZ155" s="76"/>
      <c r="CA155" s="76"/>
      <c r="CB155" s="76"/>
      <c r="CC155" s="76"/>
      <c r="CD155" s="76"/>
      <c r="CE155" s="76"/>
      <c r="CF155" s="76"/>
      <c r="CG155" s="76"/>
      <c r="CH155" s="76"/>
      <c r="CI155" s="76"/>
      <c r="CJ155" s="76"/>
      <c r="CK155" s="76"/>
      <c r="CL155" s="76"/>
      <c r="CM155" s="76"/>
      <c r="CN155" s="76"/>
      <c r="CO155" s="76"/>
      <c r="CP155" s="76"/>
      <c r="CQ155" s="76"/>
      <c r="CR155" s="76"/>
      <c r="CS155" s="76"/>
      <c r="CT155" s="76"/>
      <c r="CU155" s="76"/>
      <c r="CV155" s="76"/>
      <c r="CW155" s="76"/>
      <c r="CX155" s="76"/>
      <c r="CY155" s="76"/>
      <c r="CZ155" s="76"/>
      <c r="DA155" s="76"/>
      <c r="DB155" s="76"/>
      <c r="DC155" s="76"/>
      <c r="DD155" s="76"/>
      <c r="DE155" s="76"/>
      <c r="DF155" s="76"/>
      <c r="DG155" s="76"/>
      <c r="DH155" s="76"/>
      <c r="DI155" s="76"/>
      <c r="DJ155" s="76"/>
      <c r="DK155" s="76"/>
      <c r="DL155" s="76"/>
      <c r="DM155" s="76"/>
      <c r="DN155" s="76"/>
      <c r="DO155" s="76"/>
      <c r="DP155" s="76"/>
      <c r="DQ155" s="76"/>
      <c r="DR155" s="76"/>
      <c r="DS155" s="76"/>
      <c r="DT155" s="76"/>
      <c r="DU155" s="76"/>
      <c r="DV155" s="76"/>
      <c r="DW155" s="76"/>
      <c r="DX155" s="76"/>
      <c r="DY155" s="76"/>
      <c r="DZ155" s="76"/>
      <c r="EA155" s="76"/>
      <c r="EB155" s="76"/>
      <c r="EC155" s="76"/>
      <c r="ED155" s="76"/>
      <c r="EE155" s="76"/>
      <c r="EF155" s="76"/>
      <c r="EG155" s="76"/>
      <c r="EH155" s="76"/>
      <c r="EI155" s="76"/>
      <c r="EJ155" s="76"/>
      <c r="EK155" s="76"/>
      <c r="EL155" s="76"/>
      <c r="EM155" s="76"/>
      <c r="EN155" s="76"/>
      <c r="EO155" s="76"/>
      <c r="EP155" s="76"/>
      <c r="EQ155" s="76"/>
      <c r="ER155" s="76"/>
      <c r="ES155" s="76"/>
      <c r="ET155" s="76"/>
      <c r="EU155" s="76"/>
      <c r="EV155" s="76"/>
      <c r="EW155" s="76"/>
      <c r="EX155" s="76"/>
      <c r="EY155" s="76"/>
      <c r="EZ155" s="76"/>
      <c r="FA155" s="76"/>
      <c r="FB155" s="76"/>
      <c r="FC155" s="76"/>
      <c r="FD155" s="76"/>
      <c r="FE155" s="76"/>
      <c r="FF155" s="76"/>
      <c r="FG155" s="76"/>
      <c r="FH155" s="76"/>
      <c r="FI155" s="76"/>
      <c r="FJ155" s="76"/>
      <c r="FK155" s="76"/>
      <c r="FL155" s="76"/>
      <c r="FM155" s="76"/>
      <c r="FN155" s="76"/>
      <c r="FO155" s="76"/>
      <c r="FP155" s="76"/>
      <c r="FQ155" s="76"/>
      <c r="FR155" s="76"/>
      <c r="FS155" s="76"/>
      <c r="FT155" s="76"/>
      <c r="FU155" s="76"/>
      <c r="FV155" s="76"/>
      <c r="FW155" s="76"/>
      <c r="FX155" s="76"/>
      <c r="FY155" s="76"/>
      <c r="FZ155" s="76"/>
      <c r="GA155" s="76"/>
      <c r="GB155" s="76"/>
      <c r="GC155" s="76"/>
      <c r="GD155" s="76"/>
      <c r="GE155" s="76"/>
      <c r="GF155" s="76"/>
      <c r="GG155" s="76"/>
      <c r="GH155" s="76"/>
      <c r="GI155" s="76"/>
      <c r="GJ155" s="76"/>
      <c r="GK155" s="76"/>
      <c r="GL155" s="76"/>
      <c r="GM155" s="76"/>
      <c r="GN155" s="76"/>
      <c r="GO155" s="76"/>
      <c r="GP155" s="76"/>
      <c r="GQ155" s="76"/>
      <c r="GR155" s="76"/>
      <c r="GS155" s="76"/>
      <c r="GT155" s="76"/>
      <c r="GU155" s="76"/>
      <c r="GV155" s="76"/>
      <c r="GW155" s="76"/>
      <c r="GX155" s="76"/>
      <c r="GY155" s="76"/>
      <c r="GZ155" s="76"/>
      <c r="HA155" s="76"/>
      <c r="HB155" s="76"/>
      <c r="HC155" s="76"/>
      <c r="HD155" s="76"/>
      <c r="HE155" s="76"/>
      <c r="HF155" s="76"/>
      <c r="HG155" s="76"/>
      <c r="HH155" s="76"/>
      <c r="HI155" s="76"/>
      <c r="HJ155" s="76"/>
      <c r="HK155" s="76"/>
      <c r="HL155" s="76"/>
      <c r="HM155" s="76"/>
      <c r="HN155" s="76"/>
      <c r="HO155" s="76"/>
      <c r="HP155" s="76"/>
      <c r="HQ155" s="76"/>
      <c r="HR155" s="76"/>
      <c r="HS155" s="76"/>
      <c r="HT155" s="76"/>
      <c r="HU155" s="76"/>
      <c r="HV155" s="76"/>
      <c r="HW155" s="76"/>
      <c r="HX155" s="76"/>
      <c r="HY155" s="76"/>
      <c r="HZ155" s="76"/>
      <c r="IA155" s="76"/>
      <c r="IB155" s="76"/>
      <c r="IC155" s="76"/>
      <c r="ID155" s="76"/>
      <c r="IE155" s="76"/>
      <c r="IF155" s="76"/>
      <c r="IG155" s="76"/>
      <c r="IH155" s="76"/>
      <c r="II155" s="76"/>
      <c r="IJ155" s="76"/>
      <c r="IK155" s="76"/>
      <c r="IL155" s="76"/>
      <c r="IM155" s="76"/>
      <c r="IN155" s="76"/>
    </row>
    <row r="156" spans="1:248" s="16" customFormat="1">
      <c r="A156" s="71"/>
      <c r="B156" s="76"/>
      <c r="C156" s="76"/>
      <c r="D156" s="87"/>
      <c r="E156" s="87"/>
      <c r="F156" s="76"/>
      <c r="G156" s="87"/>
      <c r="H156" s="76"/>
      <c r="I156" s="76"/>
      <c r="J156" s="78"/>
      <c r="K156" s="5"/>
      <c r="L156" s="5"/>
      <c r="M156" s="5"/>
      <c r="N156" s="5"/>
      <c r="O156" s="11"/>
      <c r="P156" s="5"/>
      <c r="Q156" s="5"/>
      <c r="R156" s="76"/>
      <c r="S156" s="76"/>
      <c r="T156" s="76"/>
      <c r="U156" s="76"/>
      <c r="V156" s="76"/>
      <c r="W156" s="84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/>
      <c r="BS156" s="76"/>
      <c r="BT156" s="76"/>
      <c r="BU156" s="76"/>
      <c r="BV156" s="76"/>
      <c r="BW156" s="76"/>
      <c r="BX156" s="76"/>
      <c r="BY156" s="76"/>
      <c r="BZ156" s="76"/>
      <c r="CA156" s="76"/>
      <c r="CB156" s="76"/>
      <c r="CC156" s="76"/>
      <c r="CD156" s="76"/>
      <c r="CE156" s="76"/>
      <c r="CF156" s="76"/>
      <c r="CG156" s="76"/>
      <c r="CH156" s="76"/>
      <c r="CI156" s="76"/>
      <c r="CJ156" s="76"/>
      <c r="CK156" s="76"/>
      <c r="CL156" s="76"/>
      <c r="CM156" s="76"/>
      <c r="CN156" s="76"/>
      <c r="CO156" s="76"/>
      <c r="CP156" s="76"/>
      <c r="CQ156" s="76"/>
      <c r="CR156" s="76"/>
      <c r="CS156" s="76"/>
      <c r="CT156" s="76"/>
      <c r="CU156" s="76"/>
      <c r="CV156" s="76"/>
      <c r="CW156" s="76"/>
      <c r="CX156" s="76"/>
      <c r="CY156" s="76"/>
      <c r="CZ156" s="76"/>
      <c r="DA156" s="76"/>
      <c r="DB156" s="76"/>
      <c r="DC156" s="76"/>
      <c r="DD156" s="76"/>
      <c r="DE156" s="76"/>
      <c r="DF156" s="76"/>
      <c r="DG156" s="76"/>
      <c r="DH156" s="76"/>
      <c r="DI156" s="76"/>
      <c r="DJ156" s="76"/>
      <c r="DK156" s="76"/>
      <c r="DL156" s="76"/>
      <c r="DM156" s="76"/>
      <c r="DN156" s="76"/>
      <c r="DO156" s="76"/>
      <c r="DP156" s="76"/>
      <c r="DQ156" s="76"/>
      <c r="DR156" s="76"/>
      <c r="DS156" s="76"/>
      <c r="DT156" s="76"/>
      <c r="DU156" s="76"/>
      <c r="DV156" s="76"/>
      <c r="DW156" s="76"/>
      <c r="DX156" s="76"/>
      <c r="DY156" s="76"/>
      <c r="DZ156" s="76"/>
      <c r="EA156" s="76"/>
      <c r="EB156" s="76"/>
      <c r="EC156" s="76"/>
      <c r="ED156" s="76"/>
      <c r="EE156" s="76"/>
      <c r="EF156" s="76"/>
      <c r="EG156" s="76"/>
      <c r="EH156" s="76"/>
      <c r="EI156" s="76"/>
      <c r="EJ156" s="76"/>
      <c r="EK156" s="76"/>
      <c r="EL156" s="76"/>
      <c r="EM156" s="76"/>
      <c r="EN156" s="76"/>
      <c r="EO156" s="76"/>
      <c r="EP156" s="76"/>
      <c r="EQ156" s="76"/>
      <c r="ER156" s="76"/>
      <c r="ES156" s="76"/>
      <c r="ET156" s="76"/>
      <c r="EU156" s="76"/>
      <c r="EV156" s="76"/>
      <c r="EW156" s="76"/>
      <c r="EX156" s="76"/>
      <c r="EY156" s="76"/>
      <c r="EZ156" s="76"/>
      <c r="FA156" s="76"/>
      <c r="FB156" s="76"/>
      <c r="FC156" s="76"/>
      <c r="FD156" s="76"/>
      <c r="FE156" s="76"/>
      <c r="FF156" s="76"/>
      <c r="FG156" s="76"/>
      <c r="FH156" s="76"/>
      <c r="FI156" s="76"/>
      <c r="FJ156" s="76"/>
      <c r="FK156" s="76"/>
      <c r="FL156" s="76"/>
      <c r="FM156" s="76"/>
      <c r="FN156" s="76"/>
      <c r="FO156" s="76"/>
      <c r="FP156" s="76"/>
      <c r="FQ156" s="76"/>
      <c r="FR156" s="76"/>
      <c r="FS156" s="76"/>
      <c r="FT156" s="76"/>
      <c r="FU156" s="76"/>
      <c r="FV156" s="76"/>
      <c r="FW156" s="76"/>
      <c r="FX156" s="76"/>
      <c r="FY156" s="76"/>
      <c r="FZ156" s="76"/>
      <c r="GA156" s="76"/>
      <c r="GB156" s="76"/>
      <c r="GC156" s="76"/>
      <c r="GD156" s="76"/>
      <c r="GE156" s="76"/>
      <c r="GF156" s="76"/>
      <c r="GG156" s="76"/>
      <c r="GH156" s="76"/>
      <c r="GI156" s="76"/>
      <c r="GJ156" s="76"/>
      <c r="GK156" s="76"/>
      <c r="GL156" s="76"/>
      <c r="GM156" s="76"/>
      <c r="GN156" s="76"/>
      <c r="GO156" s="76"/>
      <c r="GP156" s="76"/>
      <c r="GQ156" s="76"/>
      <c r="GR156" s="76"/>
      <c r="GS156" s="76"/>
      <c r="GT156" s="76"/>
      <c r="GU156" s="76"/>
      <c r="GV156" s="76"/>
      <c r="GW156" s="76"/>
      <c r="GX156" s="76"/>
      <c r="GY156" s="76"/>
      <c r="GZ156" s="76"/>
      <c r="HA156" s="76"/>
      <c r="HB156" s="76"/>
      <c r="HC156" s="76"/>
      <c r="HD156" s="76"/>
      <c r="HE156" s="76"/>
      <c r="HF156" s="76"/>
      <c r="HG156" s="76"/>
      <c r="HH156" s="76"/>
      <c r="HI156" s="76"/>
      <c r="HJ156" s="76"/>
      <c r="HK156" s="76"/>
      <c r="HL156" s="76"/>
      <c r="HM156" s="76"/>
      <c r="HN156" s="76"/>
      <c r="HO156" s="76"/>
      <c r="HP156" s="76"/>
      <c r="HQ156" s="76"/>
      <c r="HR156" s="76"/>
      <c r="HS156" s="76"/>
      <c r="HT156" s="76"/>
      <c r="HU156" s="76"/>
      <c r="HV156" s="76"/>
      <c r="HW156" s="76"/>
      <c r="HX156" s="76"/>
      <c r="HY156" s="76"/>
      <c r="HZ156" s="76"/>
      <c r="IA156" s="76"/>
      <c r="IB156" s="76"/>
      <c r="IC156" s="76"/>
      <c r="ID156" s="76"/>
      <c r="IE156" s="76"/>
      <c r="IF156" s="76"/>
      <c r="IG156" s="76"/>
      <c r="IH156" s="76"/>
      <c r="II156" s="76"/>
      <c r="IJ156" s="76"/>
      <c r="IK156" s="76"/>
      <c r="IL156" s="76"/>
      <c r="IM156" s="76"/>
      <c r="IN156" s="76"/>
    </row>
    <row r="157" spans="1:248" s="16" customFormat="1">
      <c r="A157" s="71"/>
      <c r="B157" s="76"/>
      <c r="C157" s="76"/>
      <c r="D157" s="87"/>
      <c r="E157" s="87"/>
      <c r="F157" s="76"/>
      <c r="G157" s="87"/>
      <c r="H157" s="76"/>
      <c r="I157" s="76"/>
      <c r="J157" s="78"/>
      <c r="K157" s="5"/>
      <c r="L157" s="5"/>
      <c r="M157" s="5"/>
      <c r="N157" s="5"/>
      <c r="O157" s="11"/>
      <c r="P157" s="5"/>
      <c r="Q157" s="5"/>
      <c r="R157" s="76"/>
      <c r="S157" s="76"/>
      <c r="T157" s="76"/>
      <c r="U157" s="76"/>
      <c r="V157" s="76"/>
      <c r="W157" s="84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  <c r="BF157" s="76"/>
      <c r="BG157" s="76"/>
      <c r="BH157" s="76"/>
      <c r="BI157" s="76"/>
      <c r="BJ157" s="76"/>
      <c r="BK157" s="76"/>
      <c r="BL157" s="76"/>
      <c r="BM157" s="76"/>
      <c r="BN157" s="76"/>
      <c r="BO157" s="76"/>
      <c r="BP157" s="76"/>
      <c r="BQ157" s="76"/>
      <c r="BR157" s="76"/>
      <c r="BS157" s="76"/>
      <c r="BT157" s="76"/>
      <c r="BU157" s="76"/>
      <c r="BV157" s="76"/>
      <c r="BW157" s="76"/>
      <c r="BX157" s="76"/>
      <c r="BY157" s="76"/>
      <c r="BZ157" s="76"/>
      <c r="CA157" s="76"/>
      <c r="CB157" s="76"/>
      <c r="CC157" s="76"/>
      <c r="CD157" s="76"/>
      <c r="CE157" s="76"/>
      <c r="CF157" s="76"/>
      <c r="CG157" s="76"/>
      <c r="CH157" s="76"/>
      <c r="CI157" s="76"/>
      <c r="CJ157" s="76"/>
      <c r="CK157" s="76"/>
      <c r="CL157" s="76"/>
      <c r="CM157" s="76"/>
      <c r="CN157" s="76"/>
      <c r="CO157" s="76"/>
      <c r="CP157" s="76"/>
      <c r="CQ157" s="76"/>
      <c r="CR157" s="76"/>
      <c r="CS157" s="76"/>
      <c r="CT157" s="76"/>
      <c r="CU157" s="76"/>
      <c r="CV157" s="76"/>
      <c r="CW157" s="76"/>
      <c r="CX157" s="76"/>
      <c r="CY157" s="76"/>
      <c r="CZ157" s="76"/>
      <c r="DA157" s="76"/>
      <c r="DB157" s="76"/>
      <c r="DC157" s="76"/>
      <c r="DD157" s="76"/>
      <c r="DE157" s="76"/>
      <c r="DF157" s="76"/>
      <c r="DG157" s="76"/>
      <c r="DH157" s="76"/>
      <c r="DI157" s="76"/>
      <c r="DJ157" s="76"/>
      <c r="DK157" s="76"/>
      <c r="DL157" s="76"/>
      <c r="DM157" s="76"/>
      <c r="DN157" s="76"/>
      <c r="DO157" s="76"/>
      <c r="DP157" s="76"/>
      <c r="DQ157" s="76"/>
      <c r="DR157" s="76"/>
      <c r="DS157" s="76"/>
      <c r="DT157" s="76"/>
      <c r="DU157" s="76"/>
      <c r="DV157" s="76"/>
      <c r="DW157" s="76"/>
      <c r="DX157" s="76"/>
      <c r="DY157" s="76"/>
      <c r="DZ157" s="76"/>
      <c r="EA157" s="76"/>
      <c r="EB157" s="76"/>
      <c r="EC157" s="76"/>
      <c r="ED157" s="76"/>
      <c r="EE157" s="76"/>
      <c r="EF157" s="76"/>
      <c r="EG157" s="76"/>
      <c r="EH157" s="76"/>
      <c r="EI157" s="76"/>
      <c r="EJ157" s="76"/>
      <c r="EK157" s="76"/>
      <c r="EL157" s="76"/>
      <c r="EM157" s="76"/>
      <c r="EN157" s="76"/>
      <c r="EO157" s="76"/>
      <c r="EP157" s="76"/>
      <c r="EQ157" s="76"/>
      <c r="ER157" s="76"/>
      <c r="ES157" s="76"/>
      <c r="ET157" s="76"/>
      <c r="EU157" s="76"/>
      <c r="EV157" s="76"/>
      <c r="EW157" s="76"/>
      <c r="EX157" s="76"/>
      <c r="EY157" s="76"/>
      <c r="EZ157" s="76"/>
      <c r="FA157" s="76"/>
      <c r="FB157" s="76"/>
      <c r="FC157" s="76"/>
      <c r="FD157" s="76"/>
      <c r="FE157" s="76"/>
      <c r="FF157" s="76"/>
      <c r="FG157" s="76"/>
      <c r="FH157" s="76"/>
      <c r="FI157" s="76"/>
      <c r="FJ157" s="76"/>
      <c r="FK157" s="76"/>
      <c r="FL157" s="76"/>
      <c r="FM157" s="76"/>
      <c r="FN157" s="76"/>
      <c r="FO157" s="76"/>
      <c r="FP157" s="76"/>
      <c r="FQ157" s="76"/>
      <c r="FR157" s="76"/>
      <c r="FS157" s="76"/>
      <c r="FT157" s="76"/>
      <c r="FU157" s="76"/>
      <c r="FV157" s="76"/>
      <c r="FW157" s="76"/>
      <c r="FX157" s="76"/>
      <c r="FY157" s="76"/>
      <c r="FZ157" s="76"/>
      <c r="GA157" s="76"/>
      <c r="GB157" s="76"/>
      <c r="GC157" s="76"/>
      <c r="GD157" s="76"/>
      <c r="GE157" s="76"/>
      <c r="GF157" s="76"/>
      <c r="GG157" s="76"/>
      <c r="GH157" s="76"/>
      <c r="GI157" s="76"/>
      <c r="GJ157" s="76"/>
      <c r="GK157" s="76"/>
      <c r="GL157" s="76"/>
      <c r="GM157" s="76"/>
      <c r="GN157" s="76"/>
      <c r="GO157" s="76"/>
      <c r="GP157" s="76"/>
      <c r="GQ157" s="76"/>
      <c r="GR157" s="76"/>
      <c r="GS157" s="76"/>
      <c r="GT157" s="76"/>
      <c r="GU157" s="76"/>
      <c r="GV157" s="76"/>
      <c r="GW157" s="76"/>
      <c r="GX157" s="76"/>
      <c r="GY157" s="76"/>
      <c r="GZ157" s="76"/>
      <c r="HA157" s="76"/>
      <c r="HB157" s="76"/>
      <c r="HC157" s="76"/>
      <c r="HD157" s="76"/>
      <c r="HE157" s="76"/>
      <c r="HF157" s="76"/>
      <c r="HG157" s="76"/>
      <c r="HH157" s="76"/>
      <c r="HI157" s="76"/>
      <c r="HJ157" s="76"/>
      <c r="HK157" s="76"/>
      <c r="HL157" s="76"/>
      <c r="HM157" s="76"/>
      <c r="HN157" s="76"/>
      <c r="HO157" s="76"/>
      <c r="HP157" s="76"/>
      <c r="HQ157" s="76"/>
      <c r="HR157" s="76"/>
      <c r="HS157" s="76"/>
      <c r="HT157" s="76"/>
      <c r="HU157" s="76"/>
      <c r="HV157" s="76"/>
      <c r="HW157" s="76"/>
      <c r="HX157" s="76"/>
      <c r="HY157" s="76"/>
      <c r="HZ157" s="76"/>
      <c r="IA157" s="76"/>
      <c r="IB157" s="76"/>
      <c r="IC157" s="76"/>
      <c r="ID157" s="76"/>
      <c r="IE157" s="76"/>
      <c r="IF157" s="76"/>
      <c r="IG157" s="76"/>
      <c r="IH157" s="76"/>
      <c r="II157" s="76"/>
      <c r="IJ157" s="76"/>
      <c r="IK157" s="76"/>
      <c r="IL157" s="76"/>
      <c r="IM157" s="76"/>
      <c r="IN157" s="76"/>
    </row>
    <row r="158" spans="1:248" s="16" customFormat="1">
      <c r="A158" s="71"/>
      <c r="B158" s="76"/>
      <c r="C158" s="76"/>
      <c r="D158" s="87"/>
      <c r="E158" s="87"/>
      <c r="F158" s="76"/>
      <c r="G158" s="87"/>
      <c r="H158" s="76"/>
      <c r="I158" s="76"/>
      <c r="J158" s="78"/>
      <c r="K158" s="5"/>
      <c r="L158" s="5"/>
      <c r="M158" s="5"/>
      <c r="N158" s="5"/>
      <c r="O158" s="11"/>
      <c r="P158" s="5"/>
      <c r="Q158" s="5"/>
      <c r="R158" s="76"/>
      <c r="S158" s="76"/>
      <c r="T158" s="76"/>
      <c r="U158" s="76"/>
      <c r="V158" s="76"/>
      <c r="W158" s="84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  <c r="BU158" s="76"/>
      <c r="BV158" s="76"/>
      <c r="BW158" s="76"/>
      <c r="BX158" s="76"/>
      <c r="BY158" s="76"/>
      <c r="BZ158" s="76"/>
      <c r="CA158" s="76"/>
      <c r="CB158" s="76"/>
      <c r="CC158" s="76"/>
      <c r="CD158" s="76"/>
      <c r="CE158" s="76"/>
      <c r="CF158" s="76"/>
      <c r="CG158" s="76"/>
      <c r="CH158" s="76"/>
      <c r="CI158" s="76"/>
      <c r="CJ158" s="76"/>
      <c r="CK158" s="76"/>
      <c r="CL158" s="76"/>
      <c r="CM158" s="76"/>
      <c r="CN158" s="76"/>
      <c r="CO158" s="76"/>
      <c r="CP158" s="76"/>
      <c r="CQ158" s="76"/>
      <c r="CR158" s="76"/>
      <c r="CS158" s="76"/>
      <c r="CT158" s="76"/>
      <c r="CU158" s="76"/>
      <c r="CV158" s="76"/>
      <c r="CW158" s="76"/>
      <c r="CX158" s="76"/>
      <c r="CY158" s="76"/>
      <c r="CZ158" s="76"/>
      <c r="DA158" s="76"/>
      <c r="DB158" s="76"/>
      <c r="DC158" s="76"/>
      <c r="DD158" s="76"/>
      <c r="DE158" s="76"/>
      <c r="DF158" s="76"/>
      <c r="DG158" s="76"/>
      <c r="DH158" s="76"/>
      <c r="DI158" s="76"/>
      <c r="DJ158" s="76"/>
      <c r="DK158" s="76"/>
      <c r="DL158" s="76"/>
      <c r="DM158" s="76"/>
      <c r="DN158" s="76"/>
      <c r="DO158" s="76"/>
      <c r="DP158" s="76"/>
      <c r="DQ158" s="76"/>
      <c r="DR158" s="76"/>
      <c r="DS158" s="76"/>
      <c r="DT158" s="76"/>
      <c r="DU158" s="76"/>
      <c r="DV158" s="76"/>
      <c r="DW158" s="76"/>
      <c r="DX158" s="76"/>
      <c r="DY158" s="76"/>
      <c r="DZ158" s="76"/>
      <c r="EA158" s="76"/>
      <c r="EB158" s="76"/>
      <c r="EC158" s="76"/>
      <c r="ED158" s="76"/>
      <c r="EE158" s="76"/>
      <c r="EF158" s="76"/>
      <c r="EG158" s="76"/>
      <c r="EH158" s="76"/>
      <c r="EI158" s="76"/>
      <c r="EJ158" s="76"/>
      <c r="EK158" s="76"/>
      <c r="EL158" s="76"/>
      <c r="EM158" s="76"/>
      <c r="EN158" s="76"/>
      <c r="EO158" s="76"/>
      <c r="EP158" s="76"/>
      <c r="EQ158" s="76"/>
      <c r="ER158" s="76"/>
      <c r="ES158" s="76"/>
      <c r="ET158" s="76"/>
      <c r="EU158" s="76"/>
      <c r="EV158" s="76"/>
      <c r="EW158" s="76"/>
      <c r="EX158" s="76"/>
      <c r="EY158" s="76"/>
      <c r="EZ158" s="76"/>
      <c r="FA158" s="76"/>
      <c r="FB158" s="76"/>
      <c r="FC158" s="76"/>
      <c r="FD158" s="76"/>
      <c r="FE158" s="76"/>
      <c r="FF158" s="76"/>
      <c r="FG158" s="76"/>
      <c r="FH158" s="76"/>
      <c r="FI158" s="76"/>
      <c r="FJ158" s="76"/>
      <c r="FK158" s="76"/>
      <c r="FL158" s="76"/>
      <c r="FM158" s="76"/>
      <c r="FN158" s="76"/>
      <c r="FO158" s="76"/>
      <c r="FP158" s="76"/>
      <c r="FQ158" s="76"/>
      <c r="FR158" s="76"/>
      <c r="FS158" s="76"/>
      <c r="FT158" s="76"/>
      <c r="FU158" s="76"/>
      <c r="FV158" s="76"/>
      <c r="FW158" s="76"/>
      <c r="FX158" s="76"/>
      <c r="FY158" s="76"/>
      <c r="FZ158" s="76"/>
      <c r="GA158" s="76"/>
      <c r="GB158" s="76"/>
      <c r="GC158" s="76"/>
      <c r="GD158" s="76"/>
      <c r="GE158" s="76"/>
      <c r="GF158" s="76"/>
      <c r="GG158" s="76"/>
      <c r="GH158" s="76"/>
      <c r="GI158" s="76"/>
      <c r="GJ158" s="76"/>
      <c r="GK158" s="76"/>
      <c r="GL158" s="76"/>
      <c r="GM158" s="76"/>
      <c r="GN158" s="76"/>
      <c r="GO158" s="76"/>
      <c r="GP158" s="76"/>
      <c r="GQ158" s="76"/>
      <c r="GR158" s="76"/>
      <c r="GS158" s="76"/>
      <c r="GT158" s="76"/>
      <c r="GU158" s="76"/>
      <c r="GV158" s="76"/>
      <c r="GW158" s="76"/>
      <c r="GX158" s="76"/>
      <c r="GY158" s="76"/>
      <c r="GZ158" s="76"/>
      <c r="HA158" s="76"/>
      <c r="HB158" s="76"/>
      <c r="HC158" s="76"/>
      <c r="HD158" s="76"/>
      <c r="HE158" s="76"/>
      <c r="HF158" s="76"/>
      <c r="HG158" s="76"/>
      <c r="HH158" s="76"/>
      <c r="HI158" s="76"/>
      <c r="HJ158" s="76"/>
      <c r="HK158" s="76"/>
      <c r="HL158" s="76"/>
      <c r="HM158" s="76"/>
      <c r="HN158" s="76"/>
      <c r="HO158" s="76"/>
      <c r="HP158" s="76"/>
      <c r="HQ158" s="76"/>
      <c r="HR158" s="76"/>
      <c r="HS158" s="76"/>
      <c r="HT158" s="76"/>
      <c r="HU158" s="76"/>
      <c r="HV158" s="76"/>
      <c r="HW158" s="76"/>
      <c r="HX158" s="76"/>
      <c r="HY158" s="76"/>
      <c r="HZ158" s="76"/>
      <c r="IA158" s="76"/>
      <c r="IB158" s="76"/>
      <c r="IC158" s="76"/>
      <c r="ID158" s="76"/>
      <c r="IE158" s="76"/>
      <c r="IF158" s="76"/>
      <c r="IG158" s="76"/>
      <c r="IH158" s="76"/>
      <c r="II158" s="76"/>
      <c r="IJ158" s="76"/>
      <c r="IK158" s="76"/>
      <c r="IL158" s="76"/>
      <c r="IM158" s="76"/>
      <c r="IN158" s="76"/>
    </row>
    <row r="159" spans="1:248" s="16" customFormat="1">
      <c r="A159" s="71"/>
      <c r="B159" s="76"/>
      <c r="C159" s="76"/>
      <c r="D159" s="87"/>
      <c r="E159" s="87"/>
      <c r="F159" s="76"/>
      <c r="G159" s="87"/>
      <c r="H159" s="76"/>
      <c r="I159" s="76"/>
      <c r="J159" s="78"/>
      <c r="K159" s="5"/>
      <c r="L159" s="5"/>
      <c r="M159" s="5"/>
      <c r="N159" s="5"/>
      <c r="O159" s="11"/>
      <c r="P159" s="5"/>
      <c r="Q159" s="5"/>
      <c r="R159" s="76"/>
      <c r="S159" s="76"/>
      <c r="T159" s="76"/>
      <c r="U159" s="76"/>
      <c r="V159" s="76"/>
      <c r="W159" s="84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  <c r="BF159" s="76"/>
      <c r="BG159" s="76"/>
      <c r="BH159" s="76"/>
      <c r="BI159" s="76"/>
      <c r="BJ159" s="76"/>
      <c r="BK159" s="76"/>
      <c r="BL159" s="76"/>
      <c r="BM159" s="76"/>
      <c r="BN159" s="76"/>
      <c r="BO159" s="76"/>
      <c r="BP159" s="76"/>
      <c r="BQ159" s="76"/>
      <c r="BR159" s="76"/>
      <c r="BS159" s="76"/>
      <c r="BT159" s="76"/>
      <c r="BU159" s="76"/>
      <c r="BV159" s="76"/>
      <c r="BW159" s="76"/>
      <c r="BX159" s="76"/>
      <c r="BY159" s="76"/>
      <c r="BZ159" s="76"/>
      <c r="CA159" s="76"/>
      <c r="CB159" s="76"/>
      <c r="CC159" s="76"/>
      <c r="CD159" s="76"/>
      <c r="CE159" s="76"/>
      <c r="CF159" s="76"/>
      <c r="CG159" s="76"/>
      <c r="CH159" s="76"/>
      <c r="CI159" s="76"/>
      <c r="CJ159" s="76"/>
      <c r="CK159" s="76"/>
      <c r="CL159" s="76"/>
      <c r="CM159" s="76"/>
      <c r="CN159" s="76"/>
      <c r="CO159" s="76"/>
      <c r="CP159" s="76"/>
      <c r="CQ159" s="76"/>
      <c r="CR159" s="76"/>
      <c r="CS159" s="76"/>
      <c r="CT159" s="76"/>
      <c r="CU159" s="76"/>
      <c r="CV159" s="76"/>
      <c r="CW159" s="76"/>
      <c r="CX159" s="76"/>
      <c r="CY159" s="76"/>
      <c r="CZ159" s="76"/>
      <c r="DA159" s="76"/>
      <c r="DB159" s="76"/>
      <c r="DC159" s="76"/>
      <c r="DD159" s="76"/>
      <c r="DE159" s="76"/>
      <c r="DF159" s="76"/>
      <c r="DG159" s="76"/>
      <c r="DH159" s="76"/>
      <c r="DI159" s="76"/>
      <c r="DJ159" s="76"/>
      <c r="DK159" s="76"/>
      <c r="DL159" s="76"/>
      <c r="DM159" s="76"/>
      <c r="DN159" s="76"/>
      <c r="DO159" s="76"/>
      <c r="DP159" s="76"/>
      <c r="DQ159" s="76"/>
      <c r="DR159" s="76"/>
      <c r="DS159" s="76"/>
      <c r="DT159" s="76"/>
      <c r="DU159" s="76"/>
      <c r="DV159" s="76"/>
      <c r="DW159" s="76"/>
      <c r="DX159" s="76"/>
      <c r="DY159" s="76"/>
      <c r="DZ159" s="76"/>
      <c r="EA159" s="76"/>
      <c r="EB159" s="76"/>
      <c r="EC159" s="76"/>
      <c r="ED159" s="76"/>
      <c r="EE159" s="76"/>
      <c r="EF159" s="76"/>
      <c r="EG159" s="76"/>
      <c r="EH159" s="76"/>
      <c r="EI159" s="76"/>
      <c r="EJ159" s="76"/>
      <c r="EK159" s="76"/>
      <c r="EL159" s="76"/>
      <c r="EM159" s="76"/>
      <c r="EN159" s="76"/>
      <c r="EO159" s="76"/>
      <c r="EP159" s="76"/>
      <c r="EQ159" s="76"/>
      <c r="ER159" s="76"/>
      <c r="ES159" s="76"/>
      <c r="ET159" s="76"/>
      <c r="EU159" s="76"/>
      <c r="EV159" s="76"/>
      <c r="EW159" s="76"/>
      <c r="EX159" s="76"/>
      <c r="EY159" s="76"/>
      <c r="EZ159" s="76"/>
      <c r="FA159" s="76"/>
      <c r="FB159" s="76"/>
      <c r="FC159" s="76"/>
      <c r="FD159" s="76"/>
      <c r="FE159" s="76"/>
      <c r="FF159" s="76"/>
      <c r="FG159" s="76"/>
      <c r="FH159" s="76"/>
      <c r="FI159" s="76"/>
      <c r="FJ159" s="76"/>
      <c r="FK159" s="76"/>
      <c r="FL159" s="76"/>
      <c r="FM159" s="76"/>
      <c r="FN159" s="76"/>
      <c r="FO159" s="76"/>
      <c r="FP159" s="76"/>
      <c r="FQ159" s="76"/>
      <c r="FR159" s="76"/>
      <c r="FS159" s="76"/>
      <c r="FT159" s="76"/>
      <c r="FU159" s="76"/>
      <c r="FV159" s="76"/>
      <c r="FW159" s="76"/>
      <c r="FX159" s="76"/>
      <c r="FY159" s="76"/>
      <c r="FZ159" s="76"/>
      <c r="GA159" s="76"/>
      <c r="GB159" s="76"/>
      <c r="GC159" s="76"/>
      <c r="GD159" s="76"/>
      <c r="GE159" s="76"/>
      <c r="GF159" s="76"/>
      <c r="GG159" s="76"/>
      <c r="GH159" s="76"/>
      <c r="GI159" s="76"/>
      <c r="GJ159" s="76"/>
      <c r="GK159" s="76"/>
      <c r="GL159" s="76"/>
      <c r="GM159" s="76"/>
      <c r="GN159" s="76"/>
      <c r="GO159" s="76"/>
      <c r="GP159" s="76"/>
      <c r="GQ159" s="76"/>
      <c r="GR159" s="76"/>
      <c r="GS159" s="76"/>
      <c r="GT159" s="76"/>
      <c r="GU159" s="76"/>
      <c r="GV159" s="76"/>
      <c r="GW159" s="76"/>
      <c r="GX159" s="76"/>
      <c r="GY159" s="76"/>
      <c r="GZ159" s="76"/>
      <c r="HA159" s="76"/>
      <c r="HB159" s="76"/>
      <c r="HC159" s="76"/>
      <c r="HD159" s="76"/>
      <c r="HE159" s="76"/>
      <c r="HF159" s="76"/>
      <c r="HG159" s="76"/>
      <c r="HH159" s="76"/>
      <c r="HI159" s="76"/>
      <c r="HJ159" s="76"/>
      <c r="HK159" s="76"/>
      <c r="HL159" s="76"/>
      <c r="HM159" s="76"/>
      <c r="HN159" s="76"/>
      <c r="HO159" s="76"/>
      <c r="HP159" s="76"/>
      <c r="HQ159" s="76"/>
      <c r="HR159" s="76"/>
      <c r="HS159" s="76"/>
      <c r="HT159" s="76"/>
      <c r="HU159" s="76"/>
      <c r="HV159" s="76"/>
      <c r="HW159" s="76"/>
      <c r="HX159" s="76"/>
      <c r="HY159" s="76"/>
      <c r="HZ159" s="76"/>
      <c r="IA159" s="76"/>
      <c r="IB159" s="76"/>
      <c r="IC159" s="76"/>
      <c r="ID159" s="76"/>
      <c r="IE159" s="76"/>
      <c r="IF159" s="76"/>
      <c r="IG159" s="76"/>
      <c r="IH159" s="76"/>
      <c r="II159" s="76"/>
      <c r="IJ159" s="76"/>
      <c r="IK159" s="76"/>
      <c r="IL159" s="76"/>
      <c r="IM159" s="76"/>
      <c r="IN159" s="76"/>
    </row>
    <row r="160" spans="1:248" s="16" customFormat="1">
      <c r="A160" s="71"/>
      <c r="B160" s="76"/>
      <c r="C160" s="76"/>
      <c r="D160" s="87"/>
      <c r="E160" s="87"/>
      <c r="F160" s="76"/>
      <c r="G160" s="87"/>
      <c r="H160" s="76"/>
      <c r="I160" s="76"/>
      <c r="J160" s="78"/>
      <c r="K160" s="5"/>
      <c r="L160" s="5"/>
      <c r="M160" s="5"/>
      <c r="N160" s="5"/>
      <c r="O160" s="11"/>
      <c r="P160" s="5"/>
      <c r="Q160" s="5"/>
      <c r="R160" s="76"/>
      <c r="S160" s="76"/>
      <c r="T160" s="76"/>
      <c r="U160" s="76"/>
      <c r="V160" s="76"/>
      <c r="W160" s="84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  <c r="BF160" s="76"/>
      <c r="BG160" s="76"/>
      <c r="BH160" s="76"/>
      <c r="BI160" s="76"/>
      <c r="BJ160" s="76"/>
      <c r="BK160" s="76"/>
      <c r="BL160" s="76"/>
      <c r="BM160" s="76"/>
      <c r="BN160" s="76"/>
      <c r="BO160" s="76"/>
      <c r="BP160" s="76"/>
      <c r="BQ160" s="76"/>
      <c r="BR160" s="76"/>
      <c r="BS160" s="76"/>
      <c r="BT160" s="76"/>
      <c r="BU160" s="76"/>
      <c r="BV160" s="76"/>
      <c r="BW160" s="76"/>
      <c r="BX160" s="76"/>
      <c r="BY160" s="76"/>
      <c r="BZ160" s="76"/>
      <c r="CA160" s="76"/>
      <c r="CB160" s="76"/>
      <c r="CC160" s="76"/>
      <c r="CD160" s="76"/>
      <c r="CE160" s="76"/>
      <c r="CF160" s="76"/>
      <c r="CG160" s="76"/>
      <c r="CH160" s="76"/>
      <c r="CI160" s="76"/>
      <c r="CJ160" s="76"/>
      <c r="CK160" s="76"/>
      <c r="CL160" s="76"/>
      <c r="CM160" s="76"/>
      <c r="CN160" s="76"/>
      <c r="CO160" s="76"/>
      <c r="CP160" s="76"/>
      <c r="CQ160" s="76"/>
      <c r="CR160" s="76"/>
      <c r="CS160" s="76"/>
      <c r="CT160" s="76"/>
      <c r="CU160" s="76"/>
      <c r="CV160" s="76"/>
      <c r="CW160" s="76"/>
      <c r="CX160" s="76"/>
      <c r="CY160" s="76"/>
      <c r="CZ160" s="76"/>
      <c r="DA160" s="76"/>
      <c r="DB160" s="76"/>
      <c r="DC160" s="76"/>
      <c r="DD160" s="76"/>
      <c r="DE160" s="76"/>
      <c r="DF160" s="76"/>
      <c r="DG160" s="76"/>
      <c r="DH160" s="76"/>
      <c r="DI160" s="76"/>
      <c r="DJ160" s="76"/>
      <c r="DK160" s="76"/>
      <c r="DL160" s="76"/>
      <c r="DM160" s="76"/>
      <c r="DN160" s="76"/>
      <c r="DO160" s="76"/>
      <c r="DP160" s="76"/>
      <c r="DQ160" s="76"/>
      <c r="DR160" s="76"/>
      <c r="DS160" s="76"/>
      <c r="DT160" s="76"/>
      <c r="DU160" s="76"/>
      <c r="DV160" s="76"/>
      <c r="DW160" s="76"/>
      <c r="DX160" s="76"/>
      <c r="DY160" s="76"/>
      <c r="DZ160" s="76"/>
      <c r="EA160" s="76"/>
      <c r="EB160" s="76"/>
      <c r="EC160" s="76"/>
      <c r="ED160" s="76"/>
      <c r="EE160" s="76"/>
      <c r="EF160" s="76"/>
      <c r="EG160" s="76"/>
      <c r="EH160" s="76"/>
      <c r="EI160" s="76"/>
      <c r="EJ160" s="76"/>
      <c r="EK160" s="76"/>
      <c r="EL160" s="76"/>
      <c r="EM160" s="76"/>
      <c r="EN160" s="76"/>
      <c r="EO160" s="76"/>
      <c r="EP160" s="76"/>
      <c r="EQ160" s="76"/>
      <c r="ER160" s="76"/>
      <c r="ES160" s="76"/>
      <c r="ET160" s="76"/>
      <c r="EU160" s="76"/>
      <c r="EV160" s="76"/>
      <c r="EW160" s="76"/>
      <c r="EX160" s="76"/>
      <c r="EY160" s="76"/>
      <c r="EZ160" s="76"/>
      <c r="FA160" s="76"/>
      <c r="FB160" s="76"/>
      <c r="FC160" s="76"/>
      <c r="FD160" s="76"/>
      <c r="FE160" s="76"/>
      <c r="FF160" s="76"/>
      <c r="FG160" s="76"/>
      <c r="FH160" s="76"/>
      <c r="FI160" s="76"/>
      <c r="FJ160" s="76"/>
      <c r="FK160" s="76"/>
      <c r="FL160" s="76"/>
      <c r="FM160" s="76"/>
      <c r="FN160" s="76"/>
      <c r="FO160" s="76"/>
      <c r="FP160" s="76"/>
      <c r="FQ160" s="76"/>
      <c r="FR160" s="76"/>
      <c r="FS160" s="76"/>
      <c r="FT160" s="76"/>
      <c r="FU160" s="76"/>
      <c r="FV160" s="76"/>
      <c r="FW160" s="76"/>
      <c r="FX160" s="76"/>
      <c r="FY160" s="76"/>
      <c r="FZ160" s="76"/>
      <c r="GA160" s="76"/>
      <c r="GB160" s="76"/>
      <c r="GC160" s="76"/>
      <c r="GD160" s="76"/>
      <c r="GE160" s="76"/>
      <c r="GF160" s="76"/>
      <c r="GG160" s="76"/>
      <c r="GH160" s="76"/>
      <c r="GI160" s="76"/>
      <c r="GJ160" s="76"/>
      <c r="GK160" s="76"/>
      <c r="GL160" s="76"/>
      <c r="GM160" s="76"/>
      <c r="GN160" s="76"/>
      <c r="GO160" s="76"/>
      <c r="GP160" s="76"/>
      <c r="GQ160" s="76"/>
      <c r="GR160" s="76"/>
      <c r="GS160" s="76"/>
      <c r="GT160" s="76"/>
      <c r="GU160" s="76"/>
      <c r="GV160" s="76"/>
      <c r="GW160" s="76"/>
      <c r="GX160" s="76"/>
      <c r="GY160" s="76"/>
      <c r="GZ160" s="76"/>
      <c r="HA160" s="76"/>
      <c r="HB160" s="76"/>
      <c r="HC160" s="76"/>
      <c r="HD160" s="76"/>
      <c r="HE160" s="76"/>
      <c r="HF160" s="76"/>
      <c r="HG160" s="76"/>
      <c r="HH160" s="76"/>
      <c r="HI160" s="76"/>
      <c r="HJ160" s="76"/>
      <c r="HK160" s="76"/>
      <c r="HL160" s="76"/>
      <c r="HM160" s="76"/>
      <c r="HN160" s="76"/>
      <c r="HO160" s="76"/>
      <c r="HP160" s="76"/>
      <c r="HQ160" s="76"/>
      <c r="HR160" s="76"/>
      <c r="HS160" s="76"/>
      <c r="HT160" s="76"/>
      <c r="HU160" s="76"/>
      <c r="HV160" s="76"/>
      <c r="HW160" s="76"/>
      <c r="HX160" s="76"/>
      <c r="HY160" s="76"/>
      <c r="HZ160" s="76"/>
      <c r="IA160" s="76"/>
      <c r="IB160" s="76"/>
      <c r="IC160" s="76"/>
      <c r="ID160" s="76"/>
      <c r="IE160" s="76"/>
      <c r="IF160" s="76"/>
      <c r="IG160" s="76"/>
      <c r="IH160" s="76"/>
      <c r="II160" s="76"/>
      <c r="IJ160" s="76"/>
      <c r="IK160" s="76"/>
      <c r="IL160" s="76"/>
      <c r="IM160" s="76"/>
      <c r="IN160" s="76"/>
    </row>
    <row r="161" spans="1:248" s="16" customFormat="1">
      <c r="A161" s="71"/>
      <c r="B161" s="76"/>
      <c r="C161" s="76"/>
      <c r="D161" s="87"/>
      <c r="E161" s="87"/>
      <c r="F161" s="76"/>
      <c r="G161" s="87"/>
      <c r="H161" s="76"/>
      <c r="I161" s="76"/>
      <c r="J161" s="78"/>
      <c r="K161" s="5"/>
      <c r="L161" s="5"/>
      <c r="M161" s="5"/>
      <c r="N161" s="5"/>
      <c r="O161" s="11"/>
      <c r="P161" s="5"/>
      <c r="Q161" s="5"/>
      <c r="R161" s="76"/>
      <c r="S161" s="76"/>
      <c r="T161" s="76"/>
      <c r="U161" s="76"/>
      <c r="V161" s="76"/>
      <c r="W161" s="84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  <c r="BF161" s="76"/>
      <c r="BG161" s="76"/>
      <c r="BH161" s="76"/>
      <c r="BI161" s="76"/>
      <c r="BJ161" s="76"/>
      <c r="BK161" s="76"/>
      <c r="BL161" s="76"/>
      <c r="BM161" s="76"/>
      <c r="BN161" s="76"/>
      <c r="BO161" s="76"/>
      <c r="BP161" s="76"/>
      <c r="BQ161" s="76"/>
      <c r="BR161" s="76"/>
      <c r="BS161" s="76"/>
      <c r="BT161" s="76"/>
      <c r="BU161" s="76"/>
      <c r="BV161" s="76"/>
      <c r="BW161" s="76"/>
      <c r="BX161" s="76"/>
      <c r="BY161" s="76"/>
      <c r="BZ161" s="76"/>
      <c r="CA161" s="76"/>
      <c r="CB161" s="76"/>
      <c r="CC161" s="76"/>
      <c r="CD161" s="76"/>
      <c r="CE161" s="76"/>
      <c r="CF161" s="76"/>
      <c r="CG161" s="76"/>
      <c r="CH161" s="76"/>
      <c r="CI161" s="76"/>
      <c r="CJ161" s="76"/>
      <c r="CK161" s="76"/>
      <c r="CL161" s="76"/>
      <c r="CM161" s="76"/>
      <c r="CN161" s="76"/>
      <c r="CO161" s="76"/>
      <c r="CP161" s="76"/>
      <c r="CQ161" s="76"/>
      <c r="CR161" s="76"/>
      <c r="CS161" s="76"/>
      <c r="CT161" s="76"/>
      <c r="CU161" s="76"/>
      <c r="CV161" s="76"/>
      <c r="CW161" s="76"/>
      <c r="CX161" s="76"/>
      <c r="CY161" s="76"/>
      <c r="CZ161" s="76"/>
      <c r="DA161" s="76"/>
      <c r="DB161" s="76"/>
      <c r="DC161" s="76"/>
      <c r="DD161" s="76"/>
      <c r="DE161" s="76"/>
      <c r="DF161" s="76"/>
      <c r="DG161" s="76"/>
      <c r="DH161" s="76"/>
      <c r="DI161" s="76"/>
      <c r="DJ161" s="76"/>
      <c r="DK161" s="76"/>
      <c r="DL161" s="76"/>
      <c r="DM161" s="76"/>
      <c r="DN161" s="76"/>
      <c r="DO161" s="76"/>
      <c r="DP161" s="76"/>
      <c r="DQ161" s="76"/>
      <c r="DR161" s="76"/>
      <c r="DS161" s="76"/>
      <c r="DT161" s="76"/>
      <c r="DU161" s="76"/>
      <c r="DV161" s="76"/>
      <c r="DW161" s="76"/>
      <c r="DX161" s="76"/>
      <c r="DY161" s="76"/>
      <c r="DZ161" s="76"/>
      <c r="EA161" s="76"/>
      <c r="EB161" s="76"/>
      <c r="EC161" s="76"/>
      <c r="ED161" s="76"/>
      <c r="EE161" s="76"/>
      <c r="EF161" s="76"/>
      <c r="EG161" s="76"/>
      <c r="EH161" s="76"/>
      <c r="EI161" s="76"/>
      <c r="EJ161" s="76"/>
      <c r="EK161" s="76"/>
      <c r="EL161" s="76"/>
      <c r="EM161" s="76"/>
      <c r="EN161" s="76"/>
      <c r="EO161" s="76"/>
      <c r="EP161" s="76"/>
      <c r="EQ161" s="76"/>
      <c r="ER161" s="76"/>
      <c r="ES161" s="76"/>
      <c r="ET161" s="76"/>
      <c r="EU161" s="76"/>
      <c r="EV161" s="76"/>
      <c r="EW161" s="76"/>
      <c r="EX161" s="76"/>
      <c r="EY161" s="76"/>
      <c r="EZ161" s="76"/>
      <c r="FA161" s="76"/>
      <c r="FB161" s="76"/>
      <c r="FC161" s="76"/>
      <c r="FD161" s="76"/>
      <c r="FE161" s="76"/>
      <c r="FF161" s="76"/>
      <c r="FG161" s="76"/>
      <c r="FH161" s="76"/>
      <c r="FI161" s="76"/>
      <c r="FJ161" s="76"/>
      <c r="FK161" s="76"/>
      <c r="FL161" s="76"/>
      <c r="FM161" s="76"/>
      <c r="FN161" s="76"/>
      <c r="FO161" s="76"/>
      <c r="FP161" s="76"/>
      <c r="FQ161" s="76"/>
      <c r="FR161" s="76"/>
      <c r="FS161" s="76"/>
      <c r="FT161" s="76"/>
      <c r="FU161" s="76"/>
      <c r="FV161" s="76"/>
      <c r="FW161" s="76"/>
      <c r="FX161" s="76"/>
      <c r="FY161" s="76"/>
      <c r="FZ161" s="76"/>
      <c r="GA161" s="76"/>
      <c r="GB161" s="76"/>
      <c r="GC161" s="76"/>
      <c r="GD161" s="76"/>
      <c r="GE161" s="76"/>
      <c r="GF161" s="76"/>
      <c r="GG161" s="76"/>
      <c r="GH161" s="76"/>
      <c r="GI161" s="76"/>
      <c r="GJ161" s="76"/>
      <c r="GK161" s="76"/>
      <c r="GL161" s="76"/>
      <c r="GM161" s="76"/>
      <c r="GN161" s="76"/>
      <c r="GO161" s="76"/>
      <c r="GP161" s="76"/>
      <c r="GQ161" s="76"/>
      <c r="GR161" s="76"/>
      <c r="GS161" s="76"/>
      <c r="GT161" s="76"/>
      <c r="GU161" s="76"/>
      <c r="GV161" s="76"/>
      <c r="GW161" s="76"/>
      <c r="GX161" s="76"/>
      <c r="GY161" s="76"/>
      <c r="GZ161" s="76"/>
      <c r="HA161" s="76"/>
      <c r="HB161" s="76"/>
      <c r="HC161" s="76"/>
      <c r="HD161" s="76"/>
      <c r="HE161" s="76"/>
      <c r="HF161" s="76"/>
      <c r="HG161" s="76"/>
      <c r="HH161" s="76"/>
      <c r="HI161" s="76"/>
      <c r="HJ161" s="76"/>
      <c r="HK161" s="76"/>
      <c r="HL161" s="76"/>
      <c r="HM161" s="76"/>
      <c r="HN161" s="76"/>
      <c r="HO161" s="76"/>
      <c r="HP161" s="76"/>
      <c r="HQ161" s="76"/>
      <c r="HR161" s="76"/>
      <c r="HS161" s="76"/>
      <c r="HT161" s="76"/>
      <c r="HU161" s="76"/>
      <c r="HV161" s="76"/>
      <c r="HW161" s="76"/>
      <c r="HX161" s="76"/>
      <c r="HY161" s="76"/>
      <c r="HZ161" s="76"/>
      <c r="IA161" s="76"/>
      <c r="IB161" s="76"/>
      <c r="IC161" s="76"/>
      <c r="ID161" s="76"/>
      <c r="IE161" s="76"/>
      <c r="IF161" s="76"/>
      <c r="IG161" s="76"/>
      <c r="IH161" s="76"/>
      <c r="II161" s="76"/>
      <c r="IJ161" s="76"/>
      <c r="IK161" s="76"/>
      <c r="IL161" s="76"/>
      <c r="IM161" s="76"/>
      <c r="IN161" s="76"/>
    </row>
    <row r="162" spans="1:248" s="16" customFormat="1">
      <c r="A162" s="71"/>
      <c r="B162" s="76"/>
      <c r="C162" s="76"/>
      <c r="D162" s="87"/>
      <c r="E162" s="87"/>
      <c r="F162" s="76"/>
      <c r="G162" s="87"/>
      <c r="H162" s="76"/>
      <c r="I162" s="76"/>
      <c r="J162" s="78"/>
      <c r="K162" s="5"/>
      <c r="L162" s="5"/>
      <c r="M162" s="5"/>
      <c r="N162" s="5"/>
      <c r="O162" s="11"/>
      <c r="P162" s="5"/>
      <c r="Q162" s="5"/>
      <c r="R162" s="76"/>
      <c r="S162" s="76"/>
      <c r="T162" s="76"/>
      <c r="U162" s="76"/>
      <c r="V162" s="76"/>
      <c r="W162" s="84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  <c r="BF162" s="76"/>
      <c r="BG162" s="76"/>
      <c r="BH162" s="76"/>
      <c r="BI162" s="76"/>
      <c r="BJ162" s="76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  <c r="BU162" s="76"/>
      <c r="BV162" s="76"/>
      <c r="BW162" s="76"/>
      <c r="BX162" s="76"/>
      <c r="BY162" s="76"/>
      <c r="BZ162" s="76"/>
      <c r="CA162" s="76"/>
      <c r="CB162" s="76"/>
      <c r="CC162" s="76"/>
      <c r="CD162" s="76"/>
      <c r="CE162" s="76"/>
      <c r="CF162" s="76"/>
      <c r="CG162" s="76"/>
      <c r="CH162" s="76"/>
      <c r="CI162" s="76"/>
      <c r="CJ162" s="76"/>
      <c r="CK162" s="76"/>
      <c r="CL162" s="76"/>
      <c r="CM162" s="76"/>
      <c r="CN162" s="76"/>
      <c r="CO162" s="76"/>
      <c r="CP162" s="76"/>
      <c r="CQ162" s="76"/>
      <c r="CR162" s="76"/>
      <c r="CS162" s="76"/>
      <c r="CT162" s="76"/>
      <c r="CU162" s="76"/>
      <c r="CV162" s="76"/>
      <c r="CW162" s="76"/>
      <c r="CX162" s="76"/>
      <c r="CY162" s="76"/>
      <c r="CZ162" s="76"/>
      <c r="DA162" s="76"/>
      <c r="DB162" s="76"/>
      <c r="DC162" s="76"/>
      <c r="DD162" s="76"/>
      <c r="DE162" s="76"/>
      <c r="DF162" s="76"/>
      <c r="DG162" s="76"/>
      <c r="DH162" s="76"/>
      <c r="DI162" s="76"/>
      <c r="DJ162" s="76"/>
      <c r="DK162" s="76"/>
      <c r="DL162" s="76"/>
      <c r="DM162" s="76"/>
      <c r="DN162" s="76"/>
      <c r="DO162" s="76"/>
      <c r="DP162" s="76"/>
      <c r="DQ162" s="76"/>
      <c r="DR162" s="76"/>
      <c r="DS162" s="76"/>
      <c r="DT162" s="76"/>
      <c r="DU162" s="76"/>
      <c r="DV162" s="76"/>
      <c r="DW162" s="76"/>
      <c r="DX162" s="76"/>
      <c r="DY162" s="76"/>
      <c r="DZ162" s="76"/>
      <c r="EA162" s="76"/>
      <c r="EB162" s="76"/>
      <c r="EC162" s="76"/>
      <c r="ED162" s="76"/>
      <c r="EE162" s="76"/>
      <c r="EF162" s="76"/>
      <c r="EG162" s="76"/>
      <c r="EH162" s="76"/>
      <c r="EI162" s="76"/>
      <c r="EJ162" s="76"/>
      <c r="EK162" s="76"/>
      <c r="EL162" s="76"/>
      <c r="EM162" s="76"/>
      <c r="EN162" s="76"/>
      <c r="EO162" s="76"/>
      <c r="EP162" s="76"/>
      <c r="EQ162" s="76"/>
      <c r="ER162" s="76"/>
      <c r="ES162" s="76"/>
      <c r="ET162" s="76"/>
      <c r="EU162" s="76"/>
      <c r="EV162" s="76"/>
      <c r="EW162" s="76"/>
      <c r="EX162" s="76"/>
      <c r="EY162" s="76"/>
      <c r="EZ162" s="76"/>
      <c r="FA162" s="76"/>
      <c r="FB162" s="76"/>
      <c r="FC162" s="76"/>
      <c r="FD162" s="76"/>
      <c r="FE162" s="76"/>
      <c r="FF162" s="76"/>
      <c r="FG162" s="76"/>
      <c r="FH162" s="76"/>
      <c r="FI162" s="76"/>
      <c r="FJ162" s="76"/>
      <c r="FK162" s="76"/>
      <c r="FL162" s="76"/>
      <c r="FM162" s="76"/>
      <c r="FN162" s="76"/>
      <c r="FO162" s="76"/>
      <c r="FP162" s="76"/>
      <c r="FQ162" s="76"/>
      <c r="FR162" s="76"/>
      <c r="FS162" s="76"/>
      <c r="FT162" s="76"/>
      <c r="FU162" s="76"/>
      <c r="FV162" s="76"/>
      <c r="FW162" s="76"/>
      <c r="FX162" s="76"/>
      <c r="FY162" s="76"/>
      <c r="FZ162" s="76"/>
      <c r="GA162" s="76"/>
      <c r="GB162" s="76"/>
      <c r="GC162" s="76"/>
      <c r="GD162" s="76"/>
      <c r="GE162" s="76"/>
      <c r="GF162" s="76"/>
      <c r="GG162" s="76"/>
      <c r="GH162" s="76"/>
      <c r="GI162" s="76"/>
      <c r="GJ162" s="76"/>
      <c r="GK162" s="76"/>
      <c r="GL162" s="76"/>
      <c r="GM162" s="76"/>
      <c r="GN162" s="76"/>
      <c r="GO162" s="76"/>
      <c r="GP162" s="76"/>
      <c r="GQ162" s="76"/>
      <c r="GR162" s="76"/>
      <c r="GS162" s="76"/>
      <c r="GT162" s="76"/>
      <c r="GU162" s="76"/>
      <c r="GV162" s="76"/>
      <c r="GW162" s="76"/>
      <c r="GX162" s="76"/>
      <c r="GY162" s="76"/>
      <c r="GZ162" s="76"/>
      <c r="HA162" s="76"/>
      <c r="HB162" s="76"/>
      <c r="HC162" s="76"/>
      <c r="HD162" s="76"/>
      <c r="HE162" s="76"/>
      <c r="HF162" s="76"/>
      <c r="HG162" s="76"/>
      <c r="HH162" s="76"/>
      <c r="HI162" s="76"/>
      <c r="HJ162" s="76"/>
      <c r="HK162" s="76"/>
      <c r="HL162" s="76"/>
      <c r="HM162" s="76"/>
      <c r="HN162" s="76"/>
      <c r="HO162" s="76"/>
      <c r="HP162" s="76"/>
      <c r="HQ162" s="76"/>
      <c r="HR162" s="76"/>
      <c r="HS162" s="76"/>
      <c r="HT162" s="76"/>
      <c r="HU162" s="76"/>
      <c r="HV162" s="76"/>
      <c r="HW162" s="76"/>
      <c r="HX162" s="76"/>
      <c r="HY162" s="76"/>
      <c r="HZ162" s="76"/>
      <c r="IA162" s="76"/>
      <c r="IB162" s="76"/>
      <c r="IC162" s="76"/>
      <c r="ID162" s="76"/>
      <c r="IE162" s="76"/>
      <c r="IF162" s="76"/>
      <c r="IG162" s="76"/>
      <c r="IH162" s="76"/>
      <c r="II162" s="76"/>
      <c r="IJ162" s="76"/>
      <c r="IK162" s="76"/>
      <c r="IL162" s="76"/>
      <c r="IM162" s="76"/>
      <c r="IN162" s="76"/>
    </row>
    <row r="163" spans="1:248" s="16" customFormat="1">
      <c r="A163" s="71"/>
      <c r="B163" s="76"/>
      <c r="C163" s="76"/>
      <c r="D163" s="87"/>
      <c r="E163" s="87"/>
      <c r="F163" s="76"/>
      <c r="G163" s="87"/>
      <c r="H163" s="76"/>
      <c r="I163" s="76"/>
      <c r="J163" s="78"/>
      <c r="K163" s="5"/>
      <c r="L163" s="5"/>
      <c r="M163" s="5"/>
      <c r="N163" s="5"/>
      <c r="O163" s="11"/>
      <c r="P163" s="5"/>
      <c r="Q163" s="5"/>
      <c r="R163" s="76"/>
      <c r="S163" s="76"/>
      <c r="T163" s="76"/>
      <c r="U163" s="76"/>
      <c r="V163" s="76"/>
      <c r="W163" s="84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  <c r="BF163" s="76"/>
      <c r="BG163" s="76"/>
      <c r="BH163" s="76"/>
      <c r="BI163" s="76"/>
      <c r="BJ163" s="76"/>
      <c r="BK163" s="76"/>
      <c r="BL163" s="76"/>
      <c r="BM163" s="76"/>
      <c r="BN163" s="76"/>
      <c r="BO163" s="76"/>
      <c r="BP163" s="76"/>
      <c r="BQ163" s="76"/>
      <c r="BR163" s="76"/>
      <c r="BS163" s="76"/>
      <c r="BT163" s="76"/>
      <c r="BU163" s="76"/>
      <c r="BV163" s="76"/>
      <c r="BW163" s="76"/>
      <c r="BX163" s="76"/>
      <c r="BY163" s="76"/>
      <c r="BZ163" s="76"/>
      <c r="CA163" s="76"/>
      <c r="CB163" s="76"/>
      <c r="CC163" s="76"/>
      <c r="CD163" s="76"/>
      <c r="CE163" s="76"/>
      <c r="CF163" s="76"/>
      <c r="CG163" s="76"/>
      <c r="CH163" s="76"/>
      <c r="CI163" s="76"/>
      <c r="CJ163" s="76"/>
      <c r="CK163" s="76"/>
      <c r="CL163" s="76"/>
      <c r="CM163" s="76"/>
      <c r="CN163" s="76"/>
      <c r="CO163" s="76"/>
      <c r="CP163" s="76"/>
      <c r="CQ163" s="76"/>
      <c r="CR163" s="76"/>
      <c r="CS163" s="76"/>
      <c r="CT163" s="76"/>
      <c r="CU163" s="76"/>
      <c r="CV163" s="76"/>
      <c r="CW163" s="76"/>
      <c r="CX163" s="76"/>
      <c r="CY163" s="76"/>
      <c r="CZ163" s="76"/>
      <c r="DA163" s="76"/>
      <c r="DB163" s="76"/>
      <c r="DC163" s="76"/>
      <c r="DD163" s="76"/>
      <c r="DE163" s="76"/>
      <c r="DF163" s="76"/>
      <c r="DG163" s="76"/>
      <c r="DH163" s="76"/>
      <c r="DI163" s="76"/>
      <c r="DJ163" s="76"/>
      <c r="DK163" s="76"/>
      <c r="DL163" s="76"/>
      <c r="DM163" s="76"/>
      <c r="DN163" s="76"/>
      <c r="DO163" s="76"/>
      <c r="DP163" s="76"/>
      <c r="DQ163" s="76"/>
      <c r="DR163" s="76"/>
      <c r="DS163" s="76"/>
      <c r="DT163" s="76"/>
      <c r="DU163" s="76"/>
      <c r="DV163" s="76"/>
      <c r="DW163" s="76"/>
      <c r="DX163" s="76"/>
      <c r="DY163" s="76"/>
      <c r="DZ163" s="76"/>
      <c r="EA163" s="76"/>
      <c r="EB163" s="76"/>
      <c r="EC163" s="76"/>
      <c r="ED163" s="76"/>
      <c r="EE163" s="76"/>
      <c r="EF163" s="76"/>
      <c r="EG163" s="76"/>
      <c r="EH163" s="76"/>
      <c r="EI163" s="76"/>
      <c r="EJ163" s="76"/>
      <c r="EK163" s="76"/>
      <c r="EL163" s="76"/>
      <c r="EM163" s="76"/>
      <c r="EN163" s="76"/>
      <c r="EO163" s="76"/>
      <c r="EP163" s="76"/>
      <c r="EQ163" s="76"/>
      <c r="ER163" s="76"/>
      <c r="ES163" s="76"/>
      <c r="ET163" s="76"/>
      <c r="EU163" s="76"/>
      <c r="EV163" s="76"/>
      <c r="EW163" s="76"/>
      <c r="EX163" s="76"/>
      <c r="EY163" s="76"/>
      <c r="EZ163" s="76"/>
      <c r="FA163" s="76"/>
      <c r="FB163" s="76"/>
      <c r="FC163" s="76"/>
      <c r="FD163" s="76"/>
      <c r="FE163" s="76"/>
      <c r="FF163" s="76"/>
      <c r="FG163" s="76"/>
      <c r="FH163" s="76"/>
      <c r="FI163" s="76"/>
      <c r="FJ163" s="76"/>
      <c r="FK163" s="76"/>
      <c r="FL163" s="76"/>
      <c r="FM163" s="76"/>
      <c r="FN163" s="76"/>
      <c r="FO163" s="76"/>
      <c r="FP163" s="76"/>
      <c r="FQ163" s="76"/>
      <c r="FR163" s="76"/>
      <c r="FS163" s="76"/>
      <c r="FT163" s="76"/>
      <c r="FU163" s="76"/>
      <c r="FV163" s="76"/>
      <c r="FW163" s="76"/>
      <c r="FX163" s="76"/>
      <c r="FY163" s="76"/>
      <c r="FZ163" s="76"/>
      <c r="GA163" s="76"/>
      <c r="GB163" s="76"/>
      <c r="GC163" s="76"/>
      <c r="GD163" s="76"/>
      <c r="GE163" s="76"/>
      <c r="GF163" s="76"/>
      <c r="GG163" s="76"/>
      <c r="GH163" s="76"/>
      <c r="GI163" s="76"/>
      <c r="GJ163" s="76"/>
      <c r="GK163" s="76"/>
      <c r="GL163" s="76"/>
      <c r="GM163" s="76"/>
      <c r="GN163" s="76"/>
      <c r="GO163" s="76"/>
      <c r="GP163" s="76"/>
      <c r="GQ163" s="76"/>
      <c r="GR163" s="76"/>
      <c r="GS163" s="76"/>
      <c r="GT163" s="76"/>
      <c r="GU163" s="76"/>
      <c r="GV163" s="76"/>
      <c r="GW163" s="76"/>
      <c r="GX163" s="76"/>
      <c r="GY163" s="76"/>
      <c r="GZ163" s="76"/>
      <c r="HA163" s="76"/>
      <c r="HB163" s="76"/>
      <c r="HC163" s="76"/>
      <c r="HD163" s="76"/>
      <c r="HE163" s="76"/>
      <c r="HF163" s="76"/>
      <c r="HG163" s="76"/>
      <c r="HH163" s="76"/>
      <c r="HI163" s="76"/>
      <c r="HJ163" s="76"/>
      <c r="HK163" s="76"/>
      <c r="HL163" s="76"/>
      <c r="HM163" s="76"/>
      <c r="HN163" s="76"/>
      <c r="HO163" s="76"/>
      <c r="HP163" s="76"/>
      <c r="HQ163" s="76"/>
      <c r="HR163" s="76"/>
      <c r="HS163" s="76"/>
      <c r="HT163" s="76"/>
      <c r="HU163" s="76"/>
      <c r="HV163" s="76"/>
      <c r="HW163" s="76"/>
      <c r="HX163" s="76"/>
      <c r="HY163" s="76"/>
      <c r="HZ163" s="76"/>
      <c r="IA163" s="76"/>
      <c r="IB163" s="76"/>
      <c r="IC163" s="76"/>
      <c r="ID163" s="76"/>
      <c r="IE163" s="76"/>
      <c r="IF163" s="76"/>
      <c r="IG163" s="76"/>
      <c r="IH163" s="76"/>
      <c r="II163" s="76"/>
      <c r="IJ163" s="76"/>
      <c r="IK163" s="76"/>
      <c r="IL163" s="76"/>
      <c r="IM163" s="76"/>
      <c r="IN163" s="76"/>
    </row>
    <row r="164" spans="1:248" s="16" customFormat="1">
      <c r="A164" s="71"/>
      <c r="B164" s="76"/>
      <c r="C164" s="76"/>
      <c r="D164" s="87"/>
      <c r="E164" s="87"/>
      <c r="F164" s="76"/>
      <c r="G164" s="87"/>
      <c r="H164" s="76"/>
      <c r="I164" s="76"/>
      <c r="J164" s="78"/>
      <c r="K164" s="5"/>
      <c r="L164" s="5"/>
      <c r="M164" s="5"/>
      <c r="N164" s="5"/>
      <c r="O164" s="11"/>
      <c r="P164" s="5"/>
      <c r="Q164" s="5"/>
      <c r="R164" s="76"/>
      <c r="S164" s="76"/>
      <c r="T164" s="76"/>
      <c r="U164" s="76"/>
      <c r="V164" s="76"/>
      <c r="W164" s="84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  <c r="BF164" s="76"/>
      <c r="BG164" s="76"/>
      <c r="BH164" s="76"/>
      <c r="BI164" s="76"/>
      <c r="BJ164" s="76"/>
      <c r="BK164" s="76"/>
      <c r="BL164" s="76"/>
      <c r="BM164" s="76"/>
      <c r="BN164" s="76"/>
      <c r="BO164" s="76"/>
      <c r="BP164" s="76"/>
      <c r="BQ164" s="76"/>
      <c r="BR164" s="76"/>
      <c r="BS164" s="76"/>
      <c r="BT164" s="76"/>
      <c r="BU164" s="76"/>
      <c r="BV164" s="76"/>
      <c r="BW164" s="76"/>
      <c r="BX164" s="76"/>
      <c r="BY164" s="76"/>
      <c r="BZ164" s="76"/>
      <c r="CA164" s="76"/>
      <c r="CB164" s="76"/>
      <c r="CC164" s="76"/>
      <c r="CD164" s="76"/>
      <c r="CE164" s="76"/>
      <c r="CF164" s="76"/>
      <c r="CG164" s="76"/>
      <c r="CH164" s="76"/>
      <c r="CI164" s="76"/>
      <c r="CJ164" s="76"/>
      <c r="CK164" s="76"/>
      <c r="CL164" s="76"/>
      <c r="CM164" s="76"/>
      <c r="CN164" s="76"/>
      <c r="CO164" s="76"/>
      <c r="CP164" s="76"/>
      <c r="CQ164" s="76"/>
      <c r="CR164" s="76"/>
      <c r="CS164" s="76"/>
      <c r="CT164" s="76"/>
      <c r="CU164" s="76"/>
      <c r="CV164" s="76"/>
      <c r="CW164" s="76"/>
      <c r="CX164" s="76"/>
      <c r="CY164" s="76"/>
      <c r="CZ164" s="76"/>
      <c r="DA164" s="76"/>
      <c r="DB164" s="76"/>
      <c r="DC164" s="76"/>
      <c r="DD164" s="76"/>
      <c r="DE164" s="76"/>
      <c r="DF164" s="76"/>
      <c r="DG164" s="76"/>
      <c r="DH164" s="76"/>
      <c r="DI164" s="76"/>
      <c r="DJ164" s="76"/>
      <c r="DK164" s="76"/>
      <c r="DL164" s="76"/>
      <c r="DM164" s="76"/>
      <c r="DN164" s="76"/>
      <c r="DO164" s="76"/>
      <c r="DP164" s="76"/>
      <c r="DQ164" s="76"/>
      <c r="DR164" s="76"/>
      <c r="DS164" s="76"/>
      <c r="DT164" s="76"/>
      <c r="DU164" s="76"/>
      <c r="DV164" s="76"/>
      <c r="DW164" s="76"/>
      <c r="DX164" s="76"/>
      <c r="DY164" s="76"/>
      <c r="DZ164" s="76"/>
      <c r="EA164" s="76"/>
      <c r="EB164" s="76"/>
      <c r="EC164" s="76"/>
      <c r="ED164" s="76"/>
      <c r="EE164" s="76"/>
      <c r="EF164" s="76"/>
      <c r="EG164" s="76"/>
      <c r="EH164" s="76"/>
      <c r="EI164" s="76"/>
      <c r="EJ164" s="76"/>
      <c r="EK164" s="76"/>
      <c r="EL164" s="76"/>
      <c r="EM164" s="76"/>
      <c r="EN164" s="76"/>
      <c r="EO164" s="76"/>
      <c r="EP164" s="76"/>
      <c r="EQ164" s="76"/>
      <c r="ER164" s="76"/>
      <c r="ES164" s="76"/>
      <c r="ET164" s="76"/>
      <c r="EU164" s="76"/>
      <c r="EV164" s="76"/>
      <c r="EW164" s="76"/>
      <c r="EX164" s="76"/>
      <c r="EY164" s="76"/>
      <c r="EZ164" s="76"/>
      <c r="FA164" s="76"/>
      <c r="FB164" s="76"/>
      <c r="FC164" s="76"/>
      <c r="FD164" s="76"/>
      <c r="FE164" s="76"/>
      <c r="FF164" s="76"/>
      <c r="FG164" s="76"/>
      <c r="FH164" s="76"/>
      <c r="FI164" s="76"/>
      <c r="FJ164" s="76"/>
      <c r="FK164" s="76"/>
      <c r="FL164" s="76"/>
      <c r="FM164" s="76"/>
      <c r="FN164" s="76"/>
      <c r="FO164" s="76"/>
      <c r="FP164" s="76"/>
      <c r="FQ164" s="76"/>
      <c r="FR164" s="76"/>
      <c r="FS164" s="76"/>
      <c r="FT164" s="76"/>
      <c r="FU164" s="76"/>
      <c r="FV164" s="76"/>
      <c r="FW164" s="76"/>
      <c r="FX164" s="76"/>
      <c r="FY164" s="76"/>
      <c r="FZ164" s="76"/>
      <c r="GA164" s="76"/>
      <c r="GB164" s="76"/>
      <c r="GC164" s="76"/>
      <c r="GD164" s="76"/>
      <c r="GE164" s="76"/>
      <c r="GF164" s="76"/>
      <c r="GG164" s="76"/>
      <c r="GH164" s="76"/>
      <c r="GI164" s="76"/>
      <c r="GJ164" s="76"/>
      <c r="GK164" s="76"/>
      <c r="GL164" s="76"/>
      <c r="GM164" s="76"/>
      <c r="GN164" s="76"/>
      <c r="GO164" s="76"/>
      <c r="GP164" s="76"/>
      <c r="GQ164" s="76"/>
      <c r="GR164" s="76"/>
      <c r="GS164" s="76"/>
      <c r="GT164" s="76"/>
      <c r="GU164" s="76"/>
      <c r="GV164" s="76"/>
      <c r="GW164" s="76"/>
      <c r="GX164" s="76"/>
      <c r="GY164" s="76"/>
      <c r="GZ164" s="76"/>
      <c r="HA164" s="76"/>
      <c r="HB164" s="76"/>
      <c r="HC164" s="76"/>
      <c r="HD164" s="76"/>
      <c r="HE164" s="76"/>
      <c r="HF164" s="76"/>
      <c r="HG164" s="76"/>
      <c r="HH164" s="76"/>
      <c r="HI164" s="76"/>
      <c r="HJ164" s="76"/>
      <c r="HK164" s="76"/>
      <c r="HL164" s="76"/>
      <c r="HM164" s="76"/>
      <c r="HN164" s="76"/>
      <c r="HO164" s="76"/>
      <c r="HP164" s="76"/>
      <c r="HQ164" s="76"/>
      <c r="HR164" s="76"/>
      <c r="HS164" s="76"/>
      <c r="HT164" s="76"/>
      <c r="HU164" s="76"/>
      <c r="HV164" s="76"/>
      <c r="HW164" s="76"/>
      <c r="HX164" s="76"/>
      <c r="HY164" s="76"/>
      <c r="HZ164" s="76"/>
      <c r="IA164" s="76"/>
      <c r="IB164" s="76"/>
      <c r="IC164" s="76"/>
      <c r="ID164" s="76"/>
      <c r="IE164" s="76"/>
      <c r="IF164" s="76"/>
      <c r="IG164" s="76"/>
      <c r="IH164" s="76"/>
      <c r="II164" s="76"/>
      <c r="IJ164" s="76"/>
      <c r="IK164" s="76"/>
      <c r="IL164" s="76"/>
      <c r="IM164" s="76"/>
      <c r="IN164" s="76"/>
    </row>
    <row r="165" spans="1:248" s="16" customFormat="1">
      <c r="A165" s="71"/>
      <c r="B165" s="76"/>
      <c r="C165" s="76"/>
      <c r="D165" s="87"/>
      <c r="E165" s="87"/>
      <c r="F165" s="76"/>
      <c r="G165" s="87"/>
      <c r="H165" s="76"/>
      <c r="I165" s="76"/>
      <c r="J165" s="78"/>
      <c r="K165" s="5"/>
      <c r="L165" s="5"/>
      <c r="M165" s="5"/>
      <c r="N165" s="5"/>
      <c r="O165" s="11"/>
      <c r="P165" s="5"/>
      <c r="Q165" s="5"/>
      <c r="R165" s="76"/>
      <c r="S165" s="76"/>
      <c r="T165" s="76"/>
      <c r="U165" s="76"/>
      <c r="V165" s="76"/>
      <c r="W165" s="84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  <c r="BF165" s="76"/>
      <c r="BG165" s="76"/>
      <c r="BH165" s="76"/>
      <c r="BI165" s="76"/>
      <c r="BJ165" s="76"/>
      <c r="BK165" s="76"/>
      <c r="BL165" s="76"/>
      <c r="BM165" s="76"/>
      <c r="BN165" s="76"/>
      <c r="BO165" s="76"/>
      <c r="BP165" s="76"/>
      <c r="BQ165" s="76"/>
      <c r="BR165" s="76"/>
      <c r="BS165" s="76"/>
      <c r="BT165" s="76"/>
      <c r="BU165" s="76"/>
      <c r="BV165" s="76"/>
      <c r="BW165" s="76"/>
      <c r="BX165" s="76"/>
      <c r="BY165" s="76"/>
      <c r="BZ165" s="76"/>
      <c r="CA165" s="76"/>
      <c r="CB165" s="76"/>
      <c r="CC165" s="76"/>
      <c r="CD165" s="76"/>
      <c r="CE165" s="76"/>
      <c r="CF165" s="76"/>
      <c r="CG165" s="76"/>
      <c r="CH165" s="76"/>
      <c r="CI165" s="76"/>
      <c r="CJ165" s="76"/>
      <c r="CK165" s="76"/>
      <c r="CL165" s="76"/>
      <c r="CM165" s="76"/>
      <c r="CN165" s="76"/>
      <c r="CO165" s="76"/>
      <c r="CP165" s="76"/>
      <c r="CQ165" s="76"/>
      <c r="CR165" s="76"/>
      <c r="CS165" s="76"/>
      <c r="CT165" s="76"/>
      <c r="CU165" s="76"/>
      <c r="CV165" s="76"/>
      <c r="CW165" s="76"/>
      <c r="CX165" s="76"/>
      <c r="CY165" s="76"/>
      <c r="CZ165" s="76"/>
      <c r="DA165" s="76"/>
      <c r="DB165" s="76"/>
      <c r="DC165" s="76"/>
      <c r="DD165" s="76"/>
      <c r="DE165" s="76"/>
      <c r="DF165" s="76"/>
      <c r="DG165" s="76"/>
      <c r="DH165" s="76"/>
      <c r="DI165" s="76"/>
      <c r="DJ165" s="76"/>
      <c r="DK165" s="76"/>
      <c r="DL165" s="76"/>
      <c r="DM165" s="76"/>
      <c r="DN165" s="76"/>
      <c r="DO165" s="76"/>
      <c r="DP165" s="76"/>
      <c r="DQ165" s="76"/>
      <c r="DR165" s="76"/>
      <c r="DS165" s="76"/>
      <c r="DT165" s="76"/>
      <c r="DU165" s="76"/>
      <c r="DV165" s="76"/>
      <c r="DW165" s="76"/>
      <c r="DX165" s="76"/>
      <c r="DY165" s="76"/>
      <c r="DZ165" s="76"/>
      <c r="EA165" s="76"/>
      <c r="EB165" s="76"/>
      <c r="EC165" s="76"/>
      <c r="ED165" s="76"/>
      <c r="EE165" s="76"/>
      <c r="EF165" s="76"/>
      <c r="EG165" s="76"/>
      <c r="EH165" s="76"/>
      <c r="EI165" s="76"/>
      <c r="EJ165" s="76"/>
      <c r="EK165" s="76"/>
      <c r="EL165" s="76"/>
      <c r="EM165" s="76"/>
      <c r="EN165" s="76"/>
      <c r="EO165" s="76"/>
      <c r="EP165" s="76"/>
      <c r="EQ165" s="76"/>
      <c r="ER165" s="76"/>
      <c r="ES165" s="76"/>
      <c r="ET165" s="76"/>
      <c r="EU165" s="76"/>
      <c r="EV165" s="76"/>
      <c r="EW165" s="76"/>
      <c r="EX165" s="76"/>
      <c r="EY165" s="76"/>
      <c r="EZ165" s="76"/>
      <c r="FA165" s="76"/>
      <c r="FB165" s="76"/>
      <c r="FC165" s="76"/>
      <c r="FD165" s="76"/>
      <c r="FE165" s="76"/>
      <c r="FF165" s="76"/>
      <c r="FG165" s="76"/>
      <c r="FH165" s="76"/>
      <c r="FI165" s="76"/>
      <c r="FJ165" s="76"/>
      <c r="FK165" s="76"/>
      <c r="FL165" s="76"/>
      <c r="FM165" s="76"/>
      <c r="FN165" s="76"/>
      <c r="FO165" s="76"/>
      <c r="FP165" s="76"/>
      <c r="FQ165" s="76"/>
      <c r="FR165" s="76"/>
      <c r="FS165" s="76"/>
      <c r="FT165" s="76"/>
      <c r="FU165" s="76"/>
      <c r="FV165" s="76"/>
      <c r="FW165" s="76"/>
      <c r="FX165" s="76"/>
      <c r="FY165" s="76"/>
      <c r="FZ165" s="76"/>
      <c r="GA165" s="76"/>
      <c r="GB165" s="76"/>
      <c r="GC165" s="76"/>
      <c r="GD165" s="76"/>
      <c r="GE165" s="76"/>
      <c r="GF165" s="76"/>
      <c r="GG165" s="76"/>
      <c r="GH165" s="76"/>
      <c r="GI165" s="76"/>
      <c r="GJ165" s="76"/>
      <c r="GK165" s="76"/>
      <c r="GL165" s="76"/>
      <c r="GM165" s="76"/>
      <c r="GN165" s="76"/>
      <c r="GO165" s="76"/>
      <c r="GP165" s="76"/>
      <c r="GQ165" s="76"/>
      <c r="GR165" s="76"/>
      <c r="GS165" s="76"/>
      <c r="GT165" s="76"/>
      <c r="GU165" s="76"/>
      <c r="GV165" s="76"/>
      <c r="GW165" s="76"/>
      <c r="GX165" s="76"/>
      <c r="GY165" s="76"/>
      <c r="GZ165" s="76"/>
      <c r="HA165" s="76"/>
      <c r="HB165" s="76"/>
      <c r="HC165" s="76"/>
      <c r="HD165" s="76"/>
      <c r="HE165" s="76"/>
      <c r="HF165" s="76"/>
      <c r="HG165" s="76"/>
      <c r="HH165" s="76"/>
      <c r="HI165" s="76"/>
      <c r="HJ165" s="76"/>
      <c r="HK165" s="76"/>
      <c r="HL165" s="76"/>
      <c r="HM165" s="76"/>
      <c r="HN165" s="76"/>
      <c r="HO165" s="76"/>
      <c r="HP165" s="76"/>
      <c r="HQ165" s="76"/>
      <c r="HR165" s="76"/>
      <c r="HS165" s="76"/>
      <c r="HT165" s="76"/>
      <c r="HU165" s="76"/>
      <c r="HV165" s="76"/>
      <c r="HW165" s="76"/>
      <c r="HX165" s="76"/>
      <c r="HY165" s="76"/>
      <c r="HZ165" s="76"/>
      <c r="IA165" s="76"/>
      <c r="IB165" s="76"/>
      <c r="IC165" s="76"/>
      <c r="ID165" s="76"/>
      <c r="IE165" s="76"/>
      <c r="IF165" s="76"/>
      <c r="IG165" s="76"/>
      <c r="IH165" s="76"/>
      <c r="II165" s="76"/>
      <c r="IJ165" s="76"/>
      <c r="IK165" s="76"/>
      <c r="IL165" s="76"/>
      <c r="IM165" s="76"/>
      <c r="IN165" s="76"/>
    </row>
    <row r="166" spans="1:248" s="16" customFormat="1">
      <c r="A166" s="71"/>
      <c r="B166" s="76"/>
      <c r="C166" s="76"/>
      <c r="D166" s="87"/>
      <c r="E166" s="87"/>
      <c r="F166" s="76"/>
      <c r="G166" s="87"/>
      <c r="H166" s="76"/>
      <c r="I166" s="76"/>
      <c r="J166" s="78"/>
      <c r="K166" s="5"/>
      <c r="L166" s="5"/>
      <c r="M166" s="5"/>
      <c r="N166" s="5"/>
      <c r="O166" s="11"/>
      <c r="P166" s="5"/>
      <c r="Q166" s="5"/>
      <c r="R166" s="76"/>
      <c r="S166" s="76"/>
      <c r="T166" s="76"/>
      <c r="U166" s="76"/>
      <c r="V166" s="76"/>
      <c r="W166" s="84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  <c r="BF166" s="76"/>
      <c r="BG166" s="76"/>
      <c r="BH166" s="76"/>
      <c r="BI166" s="76"/>
      <c r="BJ166" s="76"/>
      <c r="BK166" s="76"/>
      <c r="BL166" s="76"/>
      <c r="BM166" s="76"/>
      <c r="BN166" s="76"/>
      <c r="BO166" s="76"/>
      <c r="BP166" s="76"/>
      <c r="BQ166" s="76"/>
      <c r="BR166" s="76"/>
      <c r="BS166" s="76"/>
      <c r="BT166" s="76"/>
      <c r="BU166" s="76"/>
      <c r="BV166" s="76"/>
      <c r="BW166" s="76"/>
      <c r="BX166" s="76"/>
      <c r="BY166" s="76"/>
      <c r="BZ166" s="76"/>
      <c r="CA166" s="76"/>
      <c r="CB166" s="76"/>
      <c r="CC166" s="76"/>
      <c r="CD166" s="76"/>
      <c r="CE166" s="76"/>
      <c r="CF166" s="76"/>
      <c r="CG166" s="76"/>
      <c r="CH166" s="76"/>
      <c r="CI166" s="76"/>
      <c r="CJ166" s="76"/>
      <c r="CK166" s="76"/>
      <c r="CL166" s="76"/>
      <c r="CM166" s="76"/>
      <c r="CN166" s="76"/>
      <c r="CO166" s="76"/>
      <c r="CP166" s="76"/>
      <c r="CQ166" s="76"/>
      <c r="CR166" s="76"/>
      <c r="CS166" s="76"/>
      <c r="CT166" s="76"/>
      <c r="CU166" s="76"/>
      <c r="CV166" s="76"/>
      <c r="CW166" s="76"/>
      <c r="CX166" s="76"/>
      <c r="CY166" s="76"/>
      <c r="CZ166" s="76"/>
      <c r="DA166" s="76"/>
      <c r="DB166" s="76"/>
      <c r="DC166" s="76"/>
      <c r="DD166" s="76"/>
      <c r="DE166" s="76"/>
      <c r="DF166" s="76"/>
      <c r="DG166" s="76"/>
      <c r="DH166" s="76"/>
      <c r="DI166" s="76"/>
      <c r="DJ166" s="76"/>
      <c r="DK166" s="76"/>
      <c r="DL166" s="76"/>
      <c r="DM166" s="76"/>
      <c r="DN166" s="76"/>
      <c r="DO166" s="76"/>
      <c r="DP166" s="76"/>
      <c r="DQ166" s="76"/>
      <c r="DR166" s="76"/>
      <c r="DS166" s="76"/>
      <c r="DT166" s="76"/>
      <c r="DU166" s="76"/>
      <c r="DV166" s="76"/>
      <c r="DW166" s="76"/>
      <c r="DX166" s="76"/>
      <c r="DY166" s="76"/>
      <c r="DZ166" s="76"/>
      <c r="EA166" s="76"/>
      <c r="EB166" s="76"/>
      <c r="EC166" s="76"/>
      <c r="ED166" s="76"/>
      <c r="EE166" s="76"/>
      <c r="EF166" s="76"/>
      <c r="EG166" s="76"/>
      <c r="EH166" s="76"/>
      <c r="EI166" s="76"/>
      <c r="EJ166" s="76"/>
      <c r="EK166" s="76"/>
      <c r="EL166" s="76"/>
      <c r="EM166" s="76"/>
      <c r="EN166" s="76"/>
      <c r="EO166" s="76"/>
      <c r="EP166" s="76"/>
      <c r="EQ166" s="76"/>
      <c r="ER166" s="76"/>
      <c r="ES166" s="76"/>
      <c r="ET166" s="76"/>
      <c r="EU166" s="76"/>
      <c r="EV166" s="76"/>
      <c r="EW166" s="76"/>
      <c r="EX166" s="76"/>
      <c r="EY166" s="76"/>
      <c r="EZ166" s="76"/>
      <c r="FA166" s="76"/>
      <c r="FB166" s="76"/>
      <c r="FC166" s="76"/>
      <c r="FD166" s="76"/>
      <c r="FE166" s="76"/>
      <c r="FF166" s="76"/>
      <c r="FG166" s="76"/>
      <c r="FH166" s="76"/>
      <c r="FI166" s="76"/>
      <c r="FJ166" s="76"/>
      <c r="FK166" s="76"/>
      <c r="FL166" s="76"/>
      <c r="FM166" s="76"/>
      <c r="FN166" s="76"/>
      <c r="FO166" s="76"/>
      <c r="FP166" s="76"/>
      <c r="FQ166" s="76"/>
      <c r="FR166" s="76"/>
      <c r="FS166" s="76"/>
      <c r="FT166" s="76"/>
      <c r="FU166" s="76"/>
      <c r="FV166" s="76"/>
      <c r="FW166" s="76"/>
      <c r="FX166" s="76"/>
      <c r="FY166" s="76"/>
      <c r="FZ166" s="76"/>
      <c r="GA166" s="76"/>
      <c r="GB166" s="76"/>
      <c r="GC166" s="76"/>
      <c r="GD166" s="76"/>
      <c r="GE166" s="76"/>
      <c r="GF166" s="76"/>
      <c r="GG166" s="76"/>
      <c r="GH166" s="76"/>
      <c r="GI166" s="76"/>
      <c r="GJ166" s="76"/>
      <c r="GK166" s="76"/>
      <c r="GL166" s="76"/>
      <c r="GM166" s="76"/>
      <c r="GN166" s="76"/>
      <c r="GO166" s="76"/>
      <c r="GP166" s="76"/>
      <c r="GQ166" s="76"/>
      <c r="GR166" s="76"/>
      <c r="GS166" s="76"/>
      <c r="GT166" s="76"/>
      <c r="GU166" s="76"/>
      <c r="GV166" s="76"/>
      <c r="GW166" s="76"/>
      <c r="GX166" s="76"/>
      <c r="GY166" s="76"/>
      <c r="GZ166" s="76"/>
      <c r="HA166" s="76"/>
      <c r="HB166" s="76"/>
      <c r="HC166" s="76"/>
      <c r="HD166" s="76"/>
      <c r="HE166" s="76"/>
      <c r="HF166" s="76"/>
      <c r="HG166" s="76"/>
      <c r="HH166" s="76"/>
      <c r="HI166" s="76"/>
      <c r="HJ166" s="76"/>
      <c r="HK166" s="76"/>
      <c r="HL166" s="76"/>
      <c r="HM166" s="76"/>
      <c r="HN166" s="76"/>
      <c r="HO166" s="76"/>
      <c r="HP166" s="76"/>
      <c r="HQ166" s="76"/>
      <c r="HR166" s="76"/>
      <c r="HS166" s="76"/>
      <c r="HT166" s="76"/>
      <c r="HU166" s="76"/>
      <c r="HV166" s="76"/>
      <c r="HW166" s="76"/>
      <c r="HX166" s="76"/>
      <c r="HY166" s="76"/>
      <c r="HZ166" s="76"/>
      <c r="IA166" s="76"/>
      <c r="IB166" s="76"/>
      <c r="IC166" s="76"/>
      <c r="ID166" s="76"/>
      <c r="IE166" s="76"/>
      <c r="IF166" s="76"/>
      <c r="IG166" s="76"/>
      <c r="IH166" s="76"/>
      <c r="II166" s="76"/>
      <c r="IJ166" s="76"/>
      <c r="IK166" s="76"/>
      <c r="IL166" s="76"/>
      <c r="IM166" s="76"/>
      <c r="IN166" s="76"/>
    </row>
    <row r="167" spans="1:248" s="16" customFormat="1">
      <c r="A167" s="71"/>
      <c r="B167" s="76"/>
      <c r="C167" s="76"/>
      <c r="D167" s="87"/>
      <c r="E167" s="87"/>
      <c r="F167" s="76"/>
      <c r="G167" s="87"/>
      <c r="H167" s="76"/>
      <c r="I167" s="76"/>
      <c r="J167" s="78"/>
      <c r="K167" s="5"/>
      <c r="L167" s="5"/>
      <c r="M167" s="5"/>
      <c r="N167" s="5"/>
      <c r="O167" s="11"/>
      <c r="P167" s="5"/>
      <c r="Q167" s="5"/>
      <c r="R167" s="76"/>
      <c r="S167" s="76"/>
      <c r="T167" s="76"/>
      <c r="U167" s="76"/>
      <c r="V167" s="76"/>
      <c r="W167" s="84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  <c r="BF167" s="76"/>
      <c r="BG167" s="76"/>
      <c r="BH167" s="76"/>
      <c r="BI167" s="76"/>
      <c r="BJ167" s="76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  <c r="BU167" s="76"/>
      <c r="BV167" s="76"/>
      <c r="BW167" s="76"/>
      <c r="BX167" s="76"/>
      <c r="BY167" s="76"/>
      <c r="BZ167" s="76"/>
      <c r="CA167" s="76"/>
      <c r="CB167" s="76"/>
      <c r="CC167" s="76"/>
      <c r="CD167" s="76"/>
      <c r="CE167" s="76"/>
      <c r="CF167" s="76"/>
      <c r="CG167" s="76"/>
      <c r="CH167" s="76"/>
      <c r="CI167" s="76"/>
      <c r="CJ167" s="76"/>
      <c r="CK167" s="76"/>
      <c r="CL167" s="76"/>
      <c r="CM167" s="76"/>
      <c r="CN167" s="76"/>
      <c r="CO167" s="76"/>
      <c r="CP167" s="76"/>
      <c r="CQ167" s="76"/>
      <c r="CR167" s="76"/>
      <c r="CS167" s="76"/>
      <c r="CT167" s="76"/>
      <c r="CU167" s="76"/>
      <c r="CV167" s="76"/>
      <c r="CW167" s="76"/>
      <c r="CX167" s="76"/>
      <c r="CY167" s="76"/>
      <c r="CZ167" s="76"/>
      <c r="DA167" s="76"/>
      <c r="DB167" s="76"/>
      <c r="DC167" s="76"/>
      <c r="DD167" s="76"/>
      <c r="DE167" s="76"/>
      <c r="DF167" s="76"/>
      <c r="DG167" s="76"/>
      <c r="DH167" s="76"/>
      <c r="DI167" s="76"/>
      <c r="DJ167" s="76"/>
      <c r="DK167" s="76"/>
      <c r="DL167" s="76"/>
      <c r="DM167" s="76"/>
      <c r="DN167" s="76"/>
      <c r="DO167" s="76"/>
      <c r="DP167" s="76"/>
      <c r="DQ167" s="76"/>
      <c r="DR167" s="76"/>
      <c r="DS167" s="76"/>
      <c r="DT167" s="76"/>
      <c r="DU167" s="76"/>
      <c r="DV167" s="76"/>
      <c r="DW167" s="76"/>
      <c r="DX167" s="76"/>
      <c r="DY167" s="76"/>
      <c r="DZ167" s="76"/>
      <c r="EA167" s="76"/>
      <c r="EB167" s="76"/>
      <c r="EC167" s="76"/>
      <c r="ED167" s="76"/>
      <c r="EE167" s="76"/>
      <c r="EF167" s="76"/>
      <c r="EG167" s="76"/>
      <c r="EH167" s="76"/>
      <c r="EI167" s="76"/>
      <c r="EJ167" s="76"/>
      <c r="EK167" s="76"/>
      <c r="EL167" s="76"/>
      <c r="EM167" s="76"/>
      <c r="EN167" s="76"/>
      <c r="EO167" s="76"/>
      <c r="EP167" s="76"/>
      <c r="EQ167" s="76"/>
      <c r="ER167" s="76"/>
      <c r="ES167" s="76"/>
      <c r="ET167" s="76"/>
      <c r="EU167" s="76"/>
      <c r="EV167" s="76"/>
      <c r="EW167" s="76"/>
      <c r="EX167" s="76"/>
      <c r="EY167" s="76"/>
      <c r="EZ167" s="76"/>
      <c r="FA167" s="76"/>
      <c r="FB167" s="76"/>
      <c r="FC167" s="76"/>
      <c r="FD167" s="76"/>
      <c r="FE167" s="76"/>
      <c r="FF167" s="76"/>
      <c r="FG167" s="76"/>
      <c r="FH167" s="76"/>
      <c r="FI167" s="76"/>
      <c r="FJ167" s="76"/>
      <c r="FK167" s="76"/>
      <c r="FL167" s="76"/>
      <c r="FM167" s="76"/>
      <c r="FN167" s="76"/>
      <c r="FO167" s="76"/>
      <c r="FP167" s="76"/>
      <c r="FQ167" s="76"/>
      <c r="FR167" s="76"/>
      <c r="FS167" s="76"/>
      <c r="FT167" s="76"/>
      <c r="FU167" s="76"/>
      <c r="FV167" s="76"/>
      <c r="FW167" s="76"/>
      <c r="FX167" s="76"/>
      <c r="FY167" s="76"/>
      <c r="FZ167" s="76"/>
      <c r="GA167" s="76"/>
      <c r="GB167" s="76"/>
      <c r="GC167" s="76"/>
      <c r="GD167" s="76"/>
      <c r="GE167" s="76"/>
      <c r="GF167" s="76"/>
      <c r="GG167" s="76"/>
      <c r="GH167" s="76"/>
      <c r="GI167" s="76"/>
      <c r="GJ167" s="76"/>
      <c r="GK167" s="76"/>
      <c r="GL167" s="76"/>
      <c r="GM167" s="76"/>
      <c r="GN167" s="76"/>
      <c r="GO167" s="76"/>
      <c r="GP167" s="76"/>
      <c r="GQ167" s="76"/>
      <c r="GR167" s="76"/>
      <c r="GS167" s="76"/>
      <c r="GT167" s="76"/>
      <c r="GU167" s="76"/>
      <c r="GV167" s="76"/>
      <c r="GW167" s="76"/>
      <c r="GX167" s="76"/>
      <c r="GY167" s="76"/>
      <c r="GZ167" s="76"/>
      <c r="HA167" s="76"/>
      <c r="HB167" s="76"/>
      <c r="HC167" s="76"/>
      <c r="HD167" s="76"/>
      <c r="HE167" s="76"/>
      <c r="HF167" s="76"/>
      <c r="HG167" s="76"/>
      <c r="HH167" s="76"/>
      <c r="HI167" s="76"/>
      <c r="HJ167" s="76"/>
      <c r="HK167" s="76"/>
      <c r="HL167" s="76"/>
      <c r="HM167" s="76"/>
      <c r="HN167" s="76"/>
      <c r="HO167" s="76"/>
      <c r="HP167" s="76"/>
      <c r="HQ167" s="76"/>
      <c r="HR167" s="76"/>
      <c r="HS167" s="76"/>
      <c r="HT167" s="76"/>
      <c r="HU167" s="76"/>
      <c r="HV167" s="76"/>
      <c r="HW167" s="76"/>
      <c r="HX167" s="76"/>
      <c r="HY167" s="76"/>
      <c r="HZ167" s="76"/>
      <c r="IA167" s="76"/>
      <c r="IB167" s="76"/>
      <c r="IC167" s="76"/>
      <c r="ID167" s="76"/>
      <c r="IE167" s="76"/>
      <c r="IF167" s="76"/>
      <c r="IG167" s="76"/>
      <c r="IH167" s="76"/>
      <c r="II167" s="76"/>
      <c r="IJ167" s="76"/>
      <c r="IK167" s="76"/>
      <c r="IL167" s="76"/>
      <c r="IM167" s="76"/>
      <c r="IN167" s="76"/>
    </row>
    <row r="168" spans="1:248" s="16" customFormat="1">
      <c r="A168" s="71"/>
      <c r="B168" s="76"/>
      <c r="C168" s="76"/>
      <c r="D168" s="87"/>
      <c r="E168" s="87"/>
      <c r="F168" s="76"/>
      <c r="G168" s="87"/>
      <c r="H168" s="76"/>
      <c r="I168" s="76"/>
      <c r="J168" s="78"/>
      <c r="K168" s="5"/>
      <c r="L168" s="5"/>
      <c r="M168" s="5"/>
      <c r="N168" s="5"/>
      <c r="O168" s="11"/>
      <c r="P168" s="5"/>
      <c r="Q168" s="5"/>
      <c r="R168" s="76"/>
      <c r="S168" s="76"/>
      <c r="T168" s="76"/>
      <c r="U168" s="76"/>
      <c r="V168" s="76"/>
      <c r="W168" s="84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  <c r="BF168" s="76"/>
      <c r="BG168" s="76"/>
      <c r="BH168" s="76"/>
      <c r="BI168" s="76"/>
      <c r="BJ168" s="76"/>
      <c r="BK168" s="76"/>
      <c r="BL168" s="76"/>
      <c r="BM168" s="76"/>
      <c r="BN168" s="76"/>
      <c r="BO168" s="76"/>
      <c r="BP168" s="76"/>
      <c r="BQ168" s="76"/>
      <c r="BR168" s="76"/>
      <c r="BS168" s="76"/>
      <c r="BT168" s="76"/>
      <c r="BU168" s="76"/>
      <c r="BV168" s="76"/>
      <c r="BW168" s="76"/>
      <c r="BX168" s="76"/>
      <c r="BY168" s="76"/>
      <c r="BZ168" s="76"/>
      <c r="CA168" s="76"/>
      <c r="CB168" s="76"/>
      <c r="CC168" s="76"/>
      <c r="CD168" s="76"/>
      <c r="CE168" s="76"/>
      <c r="CF168" s="76"/>
      <c r="CG168" s="76"/>
      <c r="CH168" s="76"/>
      <c r="CI168" s="76"/>
      <c r="CJ168" s="76"/>
      <c r="CK168" s="76"/>
      <c r="CL168" s="76"/>
      <c r="CM168" s="76"/>
      <c r="CN168" s="76"/>
      <c r="CO168" s="76"/>
      <c r="CP168" s="76"/>
      <c r="CQ168" s="76"/>
      <c r="CR168" s="76"/>
      <c r="CS168" s="76"/>
      <c r="CT168" s="76"/>
      <c r="CU168" s="76"/>
      <c r="CV168" s="76"/>
      <c r="CW168" s="76"/>
      <c r="CX168" s="76"/>
      <c r="CY168" s="76"/>
      <c r="CZ168" s="76"/>
      <c r="DA168" s="76"/>
      <c r="DB168" s="76"/>
      <c r="DC168" s="76"/>
      <c r="DD168" s="76"/>
      <c r="DE168" s="76"/>
      <c r="DF168" s="76"/>
      <c r="DG168" s="76"/>
      <c r="DH168" s="76"/>
      <c r="DI168" s="76"/>
      <c r="DJ168" s="76"/>
      <c r="DK168" s="76"/>
      <c r="DL168" s="76"/>
      <c r="DM168" s="76"/>
      <c r="DN168" s="76"/>
      <c r="DO168" s="76"/>
      <c r="DP168" s="76"/>
      <c r="DQ168" s="76"/>
      <c r="DR168" s="76"/>
      <c r="DS168" s="76"/>
      <c r="DT168" s="76"/>
      <c r="DU168" s="76"/>
      <c r="DV168" s="76"/>
      <c r="DW168" s="76"/>
      <c r="DX168" s="76"/>
      <c r="DY168" s="76"/>
      <c r="DZ168" s="76"/>
      <c r="EA168" s="76"/>
      <c r="EB168" s="76"/>
      <c r="EC168" s="76"/>
      <c r="ED168" s="76"/>
      <c r="EE168" s="76"/>
      <c r="EF168" s="76"/>
      <c r="EG168" s="76"/>
      <c r="EH168" s="76"/>
      <c r="EI168" s="76"/>
      <c r="EJ168" s="76"/>
      <c r="EK168" s="76"/>
      <c r="EL168" s="76"/>
      <c r="EM168" s="76"/>
      <c r="EN168" s="76"/>
      <c r="EO168" s="76"/>
      <c r="EP168" s="76"/>
      <c r="EQ168" s="76"/>
      <c r="ER168" s="76"/>
      <c r="ES168" s="76"/>
      <c r="ET168" s="76"/>
      <c r="EU168" s="76"/>
      <c r="EV168" s="76"/>
      <c r="EW168" s="76"/>
      <c r="EX168" s="76"/>
      <c r="EY168" s="76"/>
      <c r="EZ168" s="76"/>
      <c r="FA168" s="76"/>
      <c r="FB168" s="76"/>
      <c r="FC168" s="76"/>
      <c r="FD168" s="76"/>
      <c r="FE168" s="76"/>
      <c r="FF168" s="76"/>
      <c r="FG168" s="76"/>
      <c r="FH168" s="76"/>
      <c r="FI168" s="76"/>
      <c r="FJ168" s="76"/>
      <c r="FK168" s="76"/>
      <c r="FL168" s="76"/>
      <c r="FM168" s="76"/>
      <c r="FN168" s="76"/>
      <c r="FO168" s="76"/>
      <c r="FP168" s="76"/>
      <c r="FQ168" s="76"/>
      <c r="FR168" s="76"/>
      <c r="FS168" s="76"/>
      <c r="FT168" s="76"/>
      <c r="FU168" s="76"/>
      <c r="FV168" s="76"/>
      <c r="FW168" s="76"/>
      <c r="FX168" s="76"/>
      <c r="FY168" s="76"/>
      <c r="FZ168" s="76"/>
      <c r="GA168" s="76"/>
      <c r="GB168" s="76"/>
      <c r="GC168" s="76"/>
      <c r="GD168" s="76"/>
      <c r="GE168" s="76"/>
      <c r="GF168" s="76"/>
      <c r="GG168" s="76"/>
      <c r="GH168" s="76"/>
      <c r="GI168" s="76"/>
      <c r="GJ168" s="76"/>
      <c r="GK168" s="76"/>
      <c r="GL168" s="76"/>
      <c r="GM168" s="76"/>
      <c r="GN168" s="76"/>
      <c r="GO168" s="76"/>
      <c r="GP168" s="76"/>
      <c r="GQ168" s="76"/>
      <c r="GR168" s="76"/>
      <c r="GS168" s="76"/>
      <c r="GT168" s="76"/>
      <c r="GU168" s="76"/>
      <c r="GV168" s="76"/>
      <c r="GW168" s="76"/>
      <c r="GX168" s="76"/>
      <c r="GY168" s="76"/>
      <c r="GZ168" s="76"/>
      <c r="HA168" s="76"/>
      <c r="HB168" s="76"/>
      <c r="HC168" s="76"/>
      <c r="HD168" s="76"/>
      <c r="HE168" s="76"/>
      <c r="HF168" s="76"/>
      <c r="HG168" s="76"/>
      <c r="HH168" s="76"/>
      <c r="HI168" s="76"/>
      <c r="HJ168" s="76"/>
      <c r="HK168" s="76"/>
      <c r="HL168" s="76"/>
      <c r="HM168" s="76"/>
      <c r="HN168" s="76"/>
      <c r="HO168" s="76"/>
      <c r="HP168" s="76"/>
      <c r="HQ168" s="76"/>
      <c r="HR168" s="76"/>
      <c r="HS168" s="76"/>
      <c r="HT168" s="76"/>
      <c r="HU168" s="76"/>
      <c r="HV168" s="76"/>
      <c r="HW168" s="76"/>
      <c r="HX168" s="76"/>
      <c r="HY168" s="76"/>
      <c r="HZ168" s="76"/>
      <c r="IA168" s="76"/>
      <c r="IB168" s="76"/>
      <c r="IC168" s="76"/>
      <c r="ID168" s="76"/>
      <c r="IE168" s="76"/>
      <c r="IF168" s="76"/>
      <c r="IG168" s="76"/>
      <c r="IH168" s="76"/>
      <c r="II168" s="76"/>
      <c r="IJ168" s="76"/>
      <c r="IK168" s="76"/>
      <c r="IL168" s="76"/>
      <c r="IM168" s="76"/>
      <c r="IN168" s="76"/>
    </row>
    <row r="169" spans="1:248" s="16" customFormat="1">
      <c r="A169" s="71"/>
      <c r="B169" s="76"/>
      <c r="C169" s="76"/>
      <c r="D169" s="87"/>
      <c r="E169" s="87"/>
      <c r="F169" s="76"/>
      <c r="G169" s="87"/>
      <c r="H169" s="76"/>
      <c r="I169" s="76"/>
      <c r="J169" s="78"/>
      <c r="K169" s="5"/>
      <c r="L169" s="5"/>
      <c r="M169" s="5"/>
      <c r="N169" s="5"/>
      <c r="O169" s="11"/>
      <c r="P169" s="5"/>
      <c r="Q169" s="5"/>
      <c r="R169" s="76"/>
      <c r="S169" s="76"/>
      <c r="T169" s="76"/>
      <c r="U169" s="76"/>
      <c r="V169" s="76"/>
      <c r="W169" s="84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  <c r="BF169" s="76"/>
      <c r="BG169" s="76"/>
      <c r="BH169" s="76"/>
      <c r="BI169" s="76"/>
      <c r="BJ169" s="76"/>
      <c r="BK169" s="76"/>
      <c r="BL169" s="76"/>
      <c r="BM169" s="76"/>
      <c r="BN169" s="76"/>
      <c r="BO169" s="76"/>
      <c r="BP169" s="76"/>
      <c r="BQ169" s="76"/>
      <c r="BR169" s="76"/>
      <c r="BS169" s="76"/>
      <c r="BT169" s="76"/>
      <c r="BU169" s="76"/>
      <c r="BV169" s="76"/>
      <c r="BW169" s="76"/>
      <c r="BX169" s="76"/>
      <c r="BY169" s="76"/>
      <c r="BZ169" s="76"/>
      <c r="CA169" s="76"/>
      <c r="CB169" s="76"/>
      <c r="CC169" s="76"/>
      <c r="CD169" s="76"/>
      <c r="CE169" s="76"/>
      <c r="CF169" s="76"/>
      <c r="CG169" s="76"/>
      <c r="CH169" s="76"/>
      <c r="CI169" s="76"/>
      <c r="CJ169" s="76"/>
      <c r="CK169" s="76"/>
      <c r="CL169" s="76"/>
      <c r="CM169" s="76"/>
      <c r="CN169" s="76"/>
      <c r="CO169" s="76"/>
      <c r="CP169" s="76"/>
      <c r="CQ169" s="76"/>
      <c r="CR169" s="76"/>
      <c r="CS169" s="76"/>
      <c r="CT169" s="76"/>
      <c r="CU169" s="76"/>
      <c r="CV169" s="76"/>
      <c r="CW169" s="76"/>
      <c r="CX169" s="76"/>
      <c r="CY169" s="76"/>
      <c r="CZ169" s="76"/>
      <c r="DA169" s="76"/>
      <c r="DB169" s="76"/>
      <c r="DC169" s="76"/>
      <c r="DD169" s="76"/>
      <c r="DE169" s="76"/>
      <c r="DF169" s="76"/>
      <c r="DG169" s="76"/>
      <c r="DH169" s="76"/>
      <c r="DI169" s="76"/>
      <c r="DJ169" s="76"/>
      <c r="DK169" s="76"/>
      <c r="DL169" s="76"/>
      <c r="DM169" s="76"/>
      <c r="DN169" s="76"/>
      <c r="DO169" s="76"/>
      <c r="DP169" s="76"/>
      <c r="DQ169" s="76"/>
      <c r="DR169" s="76"/>
      <c r="DS169" s="76"/>
      <c r="DT169" s="76"/>
      <c r="DU169" s="76"/>
      <c r="DV169" s="76"/>
      <c r="DW169" s="76"/>
      <c r="DX169" s="76"/>
      <c r="DY169" s="76"/>
      <c r="DZ169" s="76"/>
      <c r="EA169" s="76"/>
      <c r="EB169" s="76"/>
      <c r="EC169" s="76"/>
      <c r="ED169" s="76"/>
      <c r="EE169" s="76"/>
      <c r="EF169" s="76"/>
      <c r="EG169" s="76"/>
      <c r="EH169" s="76"/>
      <c r="EI169" s="76"/>
      <c r="EJ169" s="76"/>
      <c r="EK169" s="76"/>
      <c r="EL169" s="76"/>
      <c r="EM169" s="76"/>
      <c r="EN169" s="76"/>
      <c r="EO169" s="76"/>
      <c r="EP169" s="76"/>
      <c r="EQ169" s="76"/>
      <c r="ER169" s="76"/>
      <c r="ES169" s="76"/>
      <c r="ET169" s="76"/>
      <c r="EU169" s="76"/>
      <c r="EV169" s="76"/>
      <c r="EW169" s="76"/>
      <c r="EX169" s="76"/>
      <c r="EY169" s="76"/>
      <c r="EZ169" s="76"/>
      <c r="FA169" s="76"/>
      <c r="FB169" s="76"/>
      <c r="FC169" s="76"/>
      <c r="FD169" s="76"/>
      <c r="FE169" s="76"/>
      <c r="FF169" s="76"/>
      <c r="FG169" s="76"/>
      <c r="FH169" s="76"/>
      <c r="FI169" s="76"/>
      <c r="FJ169" s="76"/>
      <c r="FK169" s="76"/>
      <c r="FL169" s="76"/>
      <c r="FM169" s="76"/>
      <c r="FN169" s="76"/>
      <c r="FO169" s="76"/>
      <c r="FP169" s="76"/>
      <c r="FQ169" s="76"/>
      <c r="FR169" s="76"/>
      <c r="FS169" s="76"/>
      <c r="FT169" s="76"/>
      <c r="FU169" s="76"/>
      <c r="FV169" s="76"/>
      <c r="FW169" s="76"/>
      <c r="FX169" s="76"/>
      <c r="FY169" s="76"/>
      <c r="FZ169" s="76"/>
      <c r="GA169" s="76"/>
      <c r="GB169" s="76"/>
      <c r="GC169" s="76"/>
      <c r="GD169" s="76"/>
      <c r="GE169" s="76"/>
      <c r="GF169" s="76"/>
      <c r="GG169" s="76"/>
      <c r="GH169" s="76"/>
      <c r="GI169" s="76"/>
      <c r="GJ169" s="76"/>
      <c r="GK169" s="76"/>
      <c r="GL169" s="76"/>
      <c r="GM169" s="76"/>
      <c r="GN169" s="76"/>
      <c r="GO169" s="76"/>
      <c r="GP169" s="76"/>
      <c r="GQ169" s="76"/>
      <c r="GR169" s="76"/>
      <c r="GS169" s="76"/>
      <c r="GT169" s="76"/>
      <c r="GU169" s="76"/>
      <c r="GV169" s="76"/>
      <c r="GW169" s="76"/>
      <c r="GX169" s="76"/>
      <c r="GY169" s="76"/>
      <c r="GZ169" s="76"/>
      <c r="HA169" s="76"/>
      <c r="HB169" s="76"/>
      <c r="HC169" s="76"/>
      <c r="HD169" s="76"/>
      <c r="HE169" s="76"/>
      <c r="HF169" s="76"/>
      <c r="HG169" s="76"/>
      <c r="HH169" s="76"/>
      <c r="HI169" s="76"/>
      <c r="HJ169" s="76"/>
      <c r="HK169" s="76"/>
      <c r="HL169" s="76"/>
      <c r="HM169" s="76"/>
      <c r="HN169" s="76"/>
      <c r="HO169" s="76"/>
      <c r="HP169" s="76"/>
      <c r="HQ169" s="76"/>
      <c r="HR169" s="76"/>
      <c r="HS169" s="76"/>
      <c r="HT169" s="76"/>
      <c r="HU169" s="76"/>
      <c r="HV169" s="76"/>
      <c r="HW169" s="76"/>
      <c r="HX169" s="76"/>
      <c r="HY169" s="76"/>
      <c r="HZ169" s="76"/>
      <c r="IA169" s="76"/>
      <c r="IB169" s="76"/>
      <c r="IC169" s="76"/>
      <c r="ID169" s="76"/>
      <c r="IE169" s="76"/>
      <c r="IF169" s="76"/>
      <c r="IG169" s="76"/>
      <c r="IH169" s="76"/>
      <c r="II169" s="76"/>
      <c r="IJ169" s="76"/>
      <c r="IK169" s="76"/>
      <c r="IL169" s="76"/>
      <c r="IM169" s="76"/>
      <c r="IN169" s="76"/>
    </row>
    <row r="170" spans="1:248" s="16" customFormat="1">
      <c r="A170" s="71"/>
      <c r="B170" s="76"/>
      <c r="C170" s="76"/>
      <c r="D170" s="87"/>
      <c r="E170" s="87"/>
      <c r="F170" s="76"/>
      <c r="G170" s="87"/>
      <c r="H170" s="76"/>
      <c r="I170" s="76"/>
      <c r="J170" s="78"/>
      <c r="K170" s="5"/>
      <c r="L170" s="5"/>
      <c r="M170" s="5"/>
      <c r="N170" s="5"/>
      <c r="O170" s="11"/>
      <c r="P170" s="5"/>
      <c r="Q170" s="5"/>
      <c r="R170" s="76"/>
      <c r="S170" s="76"/>
      <c r="T170" s="76"/>
      <c r="U170" s="76"/>
      <c r="V170" s="76"/>
      <c r="W170" s="84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  <c r="BF170" s="76"/>
      <c r="BG170" s="76"/>
      <c r="BH170" s="76"/>
      <c r="BI170" s="76"/>
      <c r="BJ170" s="76"/>
      <c r="BK170" s="76"/>
      <c r="BL170" s="76"/>
      <c r="BM170" s="76"/>
      <c r="BN170" s="76"/>
      <c r="BO170" s="76"/>
      <c r="BP170" s="76"/>
      <c r="BQ170" s="76"/>
      <c r="BR170" s="76"/>
      <c r="BS170" s="76"/>
      <c r="BT170" s="76"/>
      <c r="BU170" s="76"/>
      <c r="BV170" s="76"/>
      <c r="BW170" s="76"/>
      <c r="BX170" s="76"/>
      <c r="BY170" s="76"/>
      <c r="BZ170" s="76"/>
      <c r="CA170" s="76"/>
      <c r="CB170" s="76"/>
      <c r="CC170" s="76"/>
      <c r="CD170" s="76"/>
      <c r="CE170" s="76"/>
      <c r="CF170" s="76"/>
      <c r="CG170" s="76"/>
      <c r="CH170" s="76"/>
      <c r="CI170" s="76"/>
      <c r="CJ170" s="76"/>
      <c r="CK170" s="76"/>
      <c r="CL170" s="76"/>
      <c r="CM170" s="76"/>
      <c r="CN170" s="76"/>
      <c r="CO170" s="76"/>
      <c r="CP170" s="76"/>
      <c r="CQ170" s="76"/>
      <c r="CR170" s="76"/>
      <c r="CS170" s="76"/>
      <c r="CT170" s="76"/>
      <c r="CU170" s="76"/>
      <c r="CV170" s="76"/>
      <c r="CW170" s="76"/>
      <c r="CX170" s="76"/>
      <c r="CY170" s="76"/>
      <c r="CZ170" s="76"/>
      <c r="DA170" s="76"/>
      <c r="DB170" s="76"/>
      <c r="DC170" s="76"/>
      <c r="DD170" s="76"/>
      <c r="DE170" s="76"/>
      <c r="DF170" s="76"/>
      <c r="DG170" s="76"/>
      <c r="DH170" s="76"/>
      <c r="DI170" s="76"/>
      <c r="DJ170" s="76"/>
      <c r="DK170" s="76"/>
      <c r="DL170" s="76"/>
      <c r="DM170" s="76"/>
      <c r="DN170" s="76"/>
      <c r="DO170" s="76"/>
      <c r="DP170" s="76"/>
      <c r="DQ170" s="76"/>
      <c r="DR170" s="76"/>
      <c r="DS170" s="76"/>
      <c r="DT170" s="76"/>
      <c r="DU170" s="76"/>
      <c r="DV170" s="76"/>
      <c r="DW170" s="76"/>
      <c r="DX170" s="76"/>
      <c r="DY170" s="76"/>
      <c r="DZ170" s="76"/>
      <c r="EA170" s="76"/>
      <c r="EB170" s="76"/>
      <c r="EC170" s="76"/>
      <c r="ED170" s="76"/>
      <c r="EE170" s="76"/>
      <c r="EF170" s="76"/>
      <c r="EG170" s="76"/>
      <c r="EH170" s="76"/>
      <c r="EI170" s="76"/>
      <c r="EJ170" s="76"/>
      <c r="EK170" s="76"/>
      <c r="EL170" s="76"/>
      <c r="EM170" s="76"/>
      <c r="EN170" s="76"/>
      <c r="EO170" s="76"/>
      <c r="EP170" s="76"/>
      <c r="EQ170" s="76"/>
      <c r="ER170" s="76"/>
      <c r="ES170" s="76"/>
      <c r="ET170" s="76"/>
      <c r="EU170" s="76"/>
      <c r="EV170" s="76"/>
      <c r="EW170" s="76"/>
      <c r="EX170" s="76"/>
      <c r="EY170" s="76"/>
      <c r="EZ170" s="76"/>
      <c r="FA170" s="76"/>
      <c r="FB170" s="76"/>
      <c r="FC170" s="76"/>
      <c r="FD170" s="76"/>
      <c r="FE170" s="76"/>
      <c r="FF170" s="76"/>
      <c r="FG170" s="76"/>
      <c r="FH170" s="76"/>
      <c r="FI170" s="76"/>
      <c r="FJ170" s="76"/>
      <c r="FK170" s="76"/>
      <c r="FL170" s="76"/>
      <c r="FM170" s="76"/>
      <c r="FN170" s="76"/>
      <c r="FO170" s="76"/>
      <c r="FP170" s="76"/>
      <c r="FQ170" s="76"/>
      <c r="FR170" s="76"/>
      <c r="FS170" s="76"/>
      <c r="FT170" s="76"/>
      <c r="FU170" s="76"/>
      <c r="FV170" s="76"/>
      <c r="FW170" s="76"/>
      <c r="FX170" s="76"/>
      <c r="FY170" s="76"/>
      <c r="FZ170" s="76"/>
      <c r="GA170" s="76"/>
      <c r="GB170" s="76"/>
      <c r="GC170" s="76"/>
      <c r="GD170" s="76"/>
      <c r="GE170" s="76"/>
      <c r="GF170" s="76"/>
      <c r="GG170" s="76"/>
      <c r="GH170" s="76"/>
      <c r="GI170" s="76"/>
      <c r="GJ170" s="76"/>
      <c r="GK170" s="76"/>
      <c r="GL170" s="76"/>
      <c r="GM170" s="76"/>
      <c r="GN170" s="76"/>
      <c r="GO170" s="76"/>
      <c r="GP170" s="76"/>
      <c r="GQ170" s="76"/>
      <c r="GR170" s="76"/>
      <c r="GS170" s="76"/>
      <c r="GT170" s="76"/>
      <c r="GU170" s="76"/>
      <c r="GV170" s="76"/>
      <c r="GW170" s="76"/>
      <c r="GX170" s="76"/>
      <c r="GY170" s="76"/>
      <c r="GZ170" s="76"/>
      <c r="HA170" s="76"/>
      <c r="HB170" s="76"/>
      <c r="HC170" s="76"/>
      <c r="HD170" s="76"/>
      <c r="HE170" s="76"/>
      <c r="HF170" s="76"/>
      <c r="HG170" s="76"/>
      <c r="HH170" s="76"/>
      <c r="HI170" s="76"/>
      <c r="HJ170" s="76"/>
      <c r="HK170" s="76"/>
      <c r="HL170" s="76"/>
      <c r="HM170" s="76"/>
      <c r="HN170" s="76"/>
      <c r="HO170" s="76"/>
      <c r="HP170" s="76"/>
      <c r="HQ170" s="76"/>
      <c r="HR170" s="76"/>
      <c r="HS170" s="76"/>
      <c r="HT170" s="76"/>
      <c r="HU170" s="76"/>
      <c r="HV170" s="76"/>
      <c r="HW170" s="76"/>
      <c r="HX170" s="76"/>
      <c r="HY170" s="76"/>
      <c r="HZ170" s="76"/>
      <c r="IA170" s="76"/>
      <c r="IB170" s="76"/>
      <c r="IC170" s="76"/>
      <c r="ID170" s="76"/>
      <c r="IE170" s="76"/>
      <c r="IF170" s="76"/>
      <c r="IG170" s="76"/>
      <c r="IH170" s="76"/>
      <c r="II170" s="76"/>
      <c r="IJ170" s="76"/>
      <c r="IK170" s="76"/>
      <c r="IL170" s="76"/>
      <c r="IM170" s="76"/>
      <c r="IN170" s="76"/>
    </row>
    <row r="171" spans="1:248" s="16" customFormat="1">
      <c r="A171" s="71"/>
      <c r="B171" s="76"/>
      <c r="C171" s="76"/>
      <c r="D171" s="87"/>
      <c r="E171" s="87"/>
      <c r="F171" s="76"/>
      <c r="G171" s="87"/>
      <c r="H171" s="76"/>
      <c r="I171" s="76"/>
      <c r="J171" s="78"/>
      <c r="K171" s="5"/>
      <c r="L171" s="5"/>
      <c r="M171" s="5"/>
      <c r="N171" s="5"/>
      <c r="O171" s="11"/>
      <c r="P171" s="5"/>
      <c r="Q171" s="5"/>
      <c r="R171" s="76"/>
      <c r="S171" s="76"/>
      <c r="T171" s="76"/>
      <c r="U171" s="76"/>
      <c r="V171" s="76"/>
      <c r="W171" s="84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  <c r="BF171" s="76"/>
      <c r="BG171" s="76"/>
      <c r="BH171" s="76"/>
      <c r="BI171" s="76"/>
      <c r="BJ171" s="76"/>
      <c r="BK171" s="76"/>
      <c r="BL171" s="76"/>
      <c r="BM171" s="76"/>
      <c r="BN171" s="76"/>
      <c r="BO171" s="76"/>
      <c r="BP171" s="76"/>
      <c r="BQ171" s="76"/>
      <c r="BR171" s="76"/>
      <c r="BS171" s="76"/>
      <c r="BT171" s="76"/>
      <c r="BU171" s="76"/>
      <c r="BV171" s="76"/>
      <c r="BW171" s="76"/>
      <c r="BX171" s="76"/>
      <c r="BY171" s="76"/>
      <c r="BZ171" s="76"/>
      <c r="CA171" s="76"/>
      <c r="CB171" s="76"/>
      <c r="CC171" s="76"/>
      <c r="CD171" s="76"/>
      <c r="CE171" s="76"/>
      <c r="CF171" s="76"/>
      <c r="CG171" s="76"/>
      <c r="CH171" s="76"/>
      <c r="CI171" s="76"/>
      <c r="CJ171" s="76"/>
      <c r="CK171" s="76"/>
      <c r="CL171" s="76"/>
      <c r="CM171" s="76"/>
      <c r="CN171" s="76"/>
      <c r="CO171" s="76"/>
      <c r="CP171" s="76"/>
      <c r="CQ171" s="76"/>
      <c r="CR171" s="76"/>
      <c r="CS171" s="76"/>
      <c r="CT171" s="76"/>
      <c r="CU171" s="76"/>
      <c r="CV171" s="76"/>
      <c r="CW171" s="76"/>
      <c r="CX171" s="76"/>
      <c r="CY171" s="76"/>
      <c r="CZ171" s="76"/>
      <c r="DA171" s="76"/>
      <c r="DB171" s="76"/>
      <c r="DC171" s="76"/>
      <c r="DD171" s="76"/>
      <c r="DE171" s="76"/>
      <c r="DF171" s="76"/>
      <c r="DG171" s="76"/>
      <c r="DH171" s="76"/>
      <c r="DI171" s="76"/>
      <c r="DJ171" s="76"/>
      <c r="DK171" s="76"/>
      <c r="DL171" s="76"/>
      <c r="DM171" s="76"/>
      <c r="DN171" s="76"/>
      <c r="DO171" s="76"/>
      <c r="DP171" s="76"/>
      <c r="DQ171" s="76"/>
      <c r="DR171" s="76"/>
      <c r="DS171" s="76"/>
      <c r="DT171" s="76"/>
      <c r="DU171" s="76"/>
      <c r="DV171" s="76"/>
      <c r="DW171" s="76"/>
      <c r="DX171" s="76"/>
      <c r="DY171" s="76"/>
      <c r="DZ171" s="76"/>
      <c r="EA171" s="76"/>
      <c r="EB171" s="76"/>
      <c r="EC171" s="76"/>
      <c r="ED171" s="76"/>
      <c r="EE171" s="76"/>
      <c r="EF171" s="76"/>
      <c r="EG171" s="76"/>
      <c r="EH171" s="76"/>
      <c r="EI171" s="76"/>
      <c r="EJ171" s="76"/>
      <c r="EK171" s="76"/>
      <c r="EL171" s="76"/>
      <c r="EM171" s="76"/>
      <c r="EN171" s="76"/>
      <c r="EO171" s="76"/>
      <c r="EP171" s="76"/>
      <c r="EQ171" s="76"/>
      <c r="ER171" s="76"/>
      <c r="ES171" s="76"/>
      <c r="ET171" s="76"/>
      <c r="EU171" s="76"/>
      <c r="EV171" s="76"/>
      <c r="EW171" s="76"/>
      <c r="EX171" s="76"/>
      <c r="EY171" s="76"/>
      <c r="EZ171" s="76"/>
      <c r="FA171" s="76"/>
      <c r="FB171" s="76"/>
      <c r="FC171" s="76"/>
      <c r="FD171" s="76"/>
      <c r="FE171" s="76"/>
      <c r="FF171" s="76"/>
      <c r="FG171" s="76"/>
      <c r="FH171" s="76"/>
      <c r="FI171" s="76"/>
      <c r="FJ171" s="76"/>
      <c r="FK171" s="76"/>
      <c r="FL171" s="76"/>
      <c r="FM171" s="76"/>
      <c r="FN171" s="76"/>
      <c r="FO171" s="76"/>
      <c r="FP171" s="76"/>
      <c r="FQ171" s="76"/>
      <c r="FR171" s="76"/>
      <c r="FS171" s="76"/>
      <c r="FT171" s="76"/>
      <c r="FU171" s="76"/>
      <c r="FV171" s="76"/>
      <c r="FW171" s="76"/>
      <c r="FX171" s="76"/>
      <c r="FY171" s="76"/>
      <c r="FZ171" s="76"/>
      <c r="GA171" s="76"/>
      <c r="GB171" s="76"/>
      <c r="GC171" s="76"/>
      <c r="GD171" s="76"/>
      <c r="GE171" s="76"/>
      <c r="GF171" s="76"/>
      <c r="GG171" s="76"/>
      <c r="GH171" s="76"/>
      <c r="GI171" s="76"/>
      <c r="GJ171" s="76"/>
      <c r="GK171" s="76"/>
      <c r="GL171" s="76"/>
      <c r="GM171" s="76"/>
      <c r="GN171" s="76"/>
      <c r="GO171" s="76"/>
      <c r="GP171" s="76"/>
      <c r="GQ171" s="76"/>
      <c r="GR171" s="76"/>
      <c r="GS171" s="76"/>
      <c r="GT171" s="76"/>
      <c r="GU171" s="76"/>
      <c r="GV171" s="76"/>
      <c r="GW171" s="76"/>
      <c r="GX171" s="76"/>
      <c r="GY171" s="76"/>
      <c r="GZ171" s="76"/>
      <c r="HA171" s="76"/>
      <c r="HB171" s="76"/>
      <c r="HC171" s="76"/>
      <c r="HD171" s="76"/>
      <c r="HE171" s="76"/>
      <c r="HF171" s="76"/>
      <c r="HG171" s="76"/>
      <c r="HH171" s="76"/>
      <c r="HI171" s="76"/>
      <c r="HJ171" s="76"/>
      <c r="HK171" s="76"/>
      <c r="HL171" s="76"/>
      <c r="HM171" s="76"/>
      <c r="HN171" s="76"/>
      <c r="HO171" s="76"/>
      <c r="HP171" s="76"/>
      <c r="HQ171" s="76"/>
      <c r="HR171" s="76"/>
      <c r="HS171" s="76"/>
      <c r="HT171" s="76"/>
      <c r="HU171" s="76"/>
      <c r="HV171" s="76"/>
      <c r="HW171" s="76"/>
      <c r="HX171" s="76"/>
      <c r="HY171" s="76"/>
      <c r="HZ171" s="76"/>
      <c r="IA171" s="76"/>
      <c r="IB171" s="76"/>
      <c r="IC171" s="76"/>
      <c r="ID171" s="76"/>
      <c r="IE171" s="76"/>
      <c r="IF171" s="76"/>
      <c r="IG171" s="76"/>
      <c r="IH171" s="76"/>
      <c r="II171" s="76"/>
      <c r="IJ171" s="76"/>
      <c r="IK171" s="76"/>
      <c r="IL171" s="76"/>
      <c r="IM171" s="76"/>
      <c r="IN171" s="76"/>
    </row>
    <row r="172" spans="1:248" s="16" customFormat="1">
      <c r="A172" s="71"/>
      <c r="B172" s="76"/>
      <c r="C172" s="76"/>
      <c r="D172" s="87"/>
      <c r="E172" s="87"/>
      <c r="F172" s="76"/>
      <c r="G172" s="87"/>
      <c r="H172" s="76"/>
      <c r="I172" s="76"/>
      <c r="J172" s="78"/>
      <c r="K172" s="5"/>
      <c r="L172" s="5"/>
      <c r="M172" s="5"/>
      <c r="N172" s="5"/>
      <c r="O172" s="11"/>
      <c r="P172" s="5"/>
      <c r="Q172" s="5"/>
      <c r="R172" s="76"/>
      <c r="S172" s="76"/>
      <c r="T172" s="76"/>
      <c r="U172" s="76"/>
      <c r="V172" s="76"/>
      <c r="W172" s="84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  <c r="BF172" s="76"/>
      <c r="BG172" s="76"/>
      <c r="BH172" s="76"/>
      <c r="BI172" s="76"/>
      <c r="BJ172" s="76"/>
      <c r="BK172" s="76"/>
      <c r="BL172" s="76"/>
      <c r="BM172" s="76"/>
      <c r="BN172" s="76"/>
      <c r="BO172" s="76"/>
      <c r="BP172" s="76"/>
      <c r="BQ172" s="76"/>
      <c r="BR172" s="76"/>
      <c r="BS172" s="76"/>
      <c r="BT172" s="76"/>
      <c r="BU172" s="76"/>
      <c r="BV172" s="76"/>
      <c r="BW172" s="76"/>
      <c r="BX172" s="76"/>
      <c r="BY172" s="76"/>
      <c r="BZ172" s="76"/>
      <c r="CA172" s="76"/>
      <c r="CB172" s="76"/>
      <c r="CC172" s="76"/>
      <c r="CD172" s="76"/>
      <c r="CE172" s="76"/>
      <c r="CF172" s="76"/>
      <c r="CG172" s="76"/>
      <c r="CH172" s="76"/>
      <c r="CI172" s="76"/>
      <c r="CJ172" s="76"/>
      <c r="CK172" s="76"/>
      <c r="CL172" s="76"/>
      <c r="CM172" s="76"/>
      <c r="CN172" s="76"/>
      <c r="CO172" s="76"/>
      <c r="CP172" s="76"/>
      <c r="CQ172" s="76"/>
      <c r="CR172" s="76"/>
      <c r="CS172" s="76"/>
      <c r="CT172" s="76"/>
      <c r="CU172" s="76"/>
      <c r="CV172" s="76"/>
      <c r="CW172" s="76"/>
      <c r="CX172" s="76"/>
      <c r="CY172" s="76"/>
      <c r="CZ172" s="76"/>
      <c r="DA172" s="76"/>
      <c r="DB172" s="76"/>
      <c r="DC172" s="76"/>
      <c r="DD172" s="76"/>
      <c r="DE172" s="76"/>
      <c r="DF172" s="76"/>
      <c r="DG172" s="76"/>
      <c r="DH172" s="76"/>
      <c r="DI172" s="76"/>
      <c r="DJ172" s="76"/>
      <c r="DK172" s="76"/>
      <c r="DL172" s="76"/>
      <c r="DM172" s="76"/>
      <c r="DN172" s="76"/>
      <c r="DO172" s="76"/>
      <c r="DP172" s="76"/>
      <c r="DQ172" s="76"/>
      <c r="DR172" s="76"/>
      <c r="DS172" s="76"/>
      <c r="DT172" s="76"/>
      <c r="DU172" s="76"/>
      <c r="DV172" s="76"/>
      <c r="DW172" s="76"/>
      <c r="DX172" s="76"/>
      <c r="DY172" s="76"/>
      <c r="DZ172" s="76"/>
      <c r="EA172" s="76"/>
      <c r="EB172" s="76"/>
      <c r="EC172" s="76"/>
      <c r="ED172" s="76"/>
      <c r="EE172" s="76"/>
      <c r="EF172" s="76"/>
      <c r="EG172" s="76"/>
      <c r="EH172" s="76"/>
      <c r="EI172" s="76"/>
      <c r="EJ172" s="76"/>
      <c r="EK172" s="76"/>
      <c r="EL172" s="76"/>
      <c r="EM172" s="76"/>
      <c r="EN172" s="76"/>
      <c r="EO172" s="76"/>
      <c r="EP172" s="76"/>
      <c r="EQ172" s="76"/>
      <c r="ER172" s="76"/>
      <c r="ES172" s="76"/>
      <c r="ET172" s="76"/>
      <c r="EU172" s="76"/>
      <c r="EV172" s="76"/>
      <c r="EW172" s="76"/>
      <c r="EX172" s="76"/>
      <c r="EY172" s="76"/>
      <c r="EZ172" s="76"/>
      <c r="FA172" s="76"/>
      <c r="FB172" s="76"/>
      <c r="FC172" s="76"/>
      <c r="FD172" s="76"/>
      <c r="FE172" s="76"/>
      <c r="FF172" s="76"/>
      <c r="FG172" s="76"/>
      <c r="FH172" s="76"/>
      <c r="FI172" s="76"/>
      <c r="FJ172" s="76"/>
      <c r="FK172" s="76"/>
      <c r="FL172" s="76"/>
      <c r="FM172" s="76"/>
      <c r="FN172" s="76"/>
      <c r="FO172" s="76"/>
      <c r="FP172" s="76"/>
      <c r="FQ172" s="76"/>
      <c r="FR172" s="76"/>
      <c r="FS172" s="76"/>
      <c r="FT172" s="76"/>
      <c r="FU172" s="76"/>
      <c r="FV172" s="76"/>
      <c r="FW172" s="76"/>
      <c r="FX172" s="76"/>
      <c r="FY172" s="76"/>
      <c r="FZ172" s="76"/>
      <c r="GA172" s="76"/>
      <c r="GB172" s="76"/>
      <c r="GC172" s="76"/>
      <c r="GD172" s="76"/>
      <c r="GE172" s="76"/>
      <c r="GF172" s="76"/>
      <c r="GG172" s="76"/>
      <c r="GH172" s="76"/>
      <c r="GI172" s="76"/>
      <c r="GJ172" s="76"/>
      <c r="GK172" s="76"/>
      <c r="GL172" s="76"/>
      <c r="GM172" s="76"/>
      <c r="GN172" s="76"/>
      <c r="GO172" s="76"/>
      <c r="GP172" s="76"/>
      <c r="GQ172" s="76"/>
      <c r="GR172" s="76"/>
      <c r="GS172" s="76"/>
      <c r="GT172" s="76"/>
      <c r="GU172" s="76"/>
      <c r="GV172" s="76"/>
      <c r="GW172" s="76"/>
      <c r="GX172" s="76"/>
      <c r="GY172" s="76"/>
      <c r="GZ172" s="76"/>
      <c r="HA172" s="76"/>
      <c r="HB172" s="76"/>
      <c r="HC172" s="76"/>
      <c r="HD172" s="76"/>
      <c r="HE172" s="76"/>
      <c r="HF172" s="76"/>
      <c r="HG172" s="76"/>
      <c r="HH172" s="76"/>
      <c r="HI172" s="76"/>
      <c r="HJ172" s="76"/>
      <c r="HK172" s="76"/>
      <c r="HL172" s="76"/>
      <c r="HM172" s="76"/>
      <c r="HN172" s="76"/>
      <c r="HO172" s="76"/>
      <c r="HP172" s="76"/>
      <c r="HQ172" s="76"/>
      <c r="HR172" s="76"/>
      <c r="HS172" s="76"/>
      <c r="HT172" s="76"/>
      <c r="HU172" s="76"/>
      <c r="HV172" s="76"/>
      <c r="HW172" s="76"/>
      <c r="HX172" s="76"/>
      <c r="HY172" s="76"/>
      <c r="HZ172" s="76"/>
      <c r="IA172" s="76"/>
      <c r="IB172" s="76"/>
      <c r="IC172" s="76"/>
      <c r="ID172" s="76"/>
      <c r="IE172" s="76"/>
      <c r="IF172" s="76"/>
      <c r="IG172" s="76"/>
      <c r="IH172" s="76"/>
      <c r="II172" s="76"/>
      <c r="IJ172" s="76"/>
      <c r="IK172" s="76"/>
      <c r="IL172" s="76"/>
      <c r="IM172" s="76"/>
      <c r="IN172" s="76"/>
    </row>
    <row r="173" spans="1:248" s="16" customFormat="1">
      <c r="A173" s="71"/>
      <c r="B173" s="76"/>
      <c r="C173" s="76"/>
      <c r="D173" s="87"/>
      <c r="E173" s="87"/>
      <c r="F173" s="76"/>
      <c r="G173" s="87"/>
      <c r="H173" s="76"/>
      <c r="I173" s="76"/>
      <c r="J173" s="78"/>
      <c r="K173" s="5"/>
      <c r="L173" s="5"/>
      <c r="M173" s="5"/>
      <c r="N173" s="5"/>
      <c r="O173" s="11"/>
      <c r="P173" s="5"/>
      <c r="Q173" s="5"/>
      <c r="R173" s="76"/>
      <c r="S173" s="76"/>
      <c r="T173" s="76"/>
      <c r="U173" s="76"/>
      <c r="V173" s="76"/>
      <c r="W173" s="84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  <c r="BF173" s="76"/>
      <c r="BG173" s="76"/>
      <c r="BH173" s="76"/>
      <c r="BI173" s="76"/>
      <c r="BJ173" s="76"/>
      <c r="BK173" s="76"/>
      <c r="BL173" s="76"/>
      <c r="BM173" s="76"/>
      <c r="BN173" s="76"/>
      <c r="BO173" s="76"/>
      <c r="BP173" s="76"/>
      <c r="BQ173" s="76"/>
      <c r="BR173" s="76"/>
      <c r="BS173" s="76"/>
      <c r="BT173" s="76"/>
      <c r="BU173" s="76"/>
      <c r="BV173" s="76"/>
      <c r="BW173" s="76"/>
      <c r="BX173" s="76"/>
      <c r="BY173" s="76"/>
      <c r="BZ173" s="76"/>
      <c r="CA173" s="76"/>
      <c r="CB173" s="76"/>
      <c r="CC173" s="76"/>
      <c r="CD173" s="76"/>
      <c r="CE173" s="76"/>
      <c r="CF173" s="76"/>
      <c r="CG173" s="76"/>
      <c r="CH173" s="76"/>
      <c r="CI173" s="76"/>
      <c r="CJ173" s="76"/>
      <c r="CK173" s="76"/>
      <c r="CL173" s="76"/>
      <c r="CM173" s="76"/>
      <c r="CN173" s="76"/>
      <c r="CO173" s="76"/>
      <c r="CP173" s="76"/>
      <c r="CQ173" s="76"/>
      <c r="CR173" s="76"/>
      <c r="CS173" s="76"/>
      <c r="CT173" s="76"/>
      <c r="CU173" s="76"/>
      <c r="CV173" s="76"/>
      <c r="CW173" s="76"/>
      <c r="CX173" s="76"/>
      <c r="CY173" s="76"/>
      <c r="CZ173" s="76"/>
      <c r="DA173" s="76"/>
      <c r="DB173" s="76"/>
      <c r="DC173" s="76"/>
      <c r="DD173" s="76"/>
      <c r="DE173" s="76"/>
      <c r="DF173" s="76"/>
      <c r="DG173" s="76"/>
      <c r="DH173" s="76"/>
      <c r="DI173" s="76"/>
      <c r="DJ173" s="76"/>
      <c r="DK173" s="76"/>
      <c r="DL173" s="76"/>
      <c r="DM173" s="76"/>
      <c r="DN173" s="76"/>
      <c r="DO173" s="76"/>
      <c r="DP173" s="76"/>
      <c r="DQ173" s="76"/>
      <c r="DR173" s="76"/>
      <c r="DS173" s="76"/>
      <c r="DT173" s="76"/>
      <c r="DU173" s="76"/>
      <c r="DV173" s="76"/>
      <c r="DW173" s="76"/>
      <c r="DX173" s="76"/>
      <c r="DY173" s="76"/>
      <c r="DZ173" s="76"/>
      <c r="EA173" s="76"/>
      <c r="EB173" s="76"/>
      <c r="EC173" s="76"/>
      <c r="ED173" s="76"/>
      <c r="EE173" s="76"/>
      <c r="EF173" s="76"/>
      <c r="EG173" s="76"/>
      <c r="EH173" s="76"/>
      <c r="EI173" s="76"/>
      <c r="EJ173" s="76"/>
      <c r="EK173" s="76"/>
      <c r="EL173" s="76"/>
      <c r="EM173" s="76"/>
      <c r="EN173" s="76"/>
      <c r="EO173" s="76"/>
      <c r="EP173" s="76"/>
      <c r="EQ173" s="76"/>
      <c r="ER173" s="76"/>
      <c r="ES173" s="76"/>
      <c r="ET173" s="76"/>
      <c r="EU173" s="76"/>
      <c r="EV173" s="76"/>
      <c r="EW173" s="76"/>
      <c r="EX173" s="76"/>
      <c r="EY173" s="76"/>
      <c r="EZ173" s="76"/>
      <c r="FA173" s="76"/>
      <c r="FB173" s="76"/>
      <c r="FC173" s="76"/>
      <c r="FD173" s="76"/>
      <c r="FE173" s="76"/>
      <c r="FF173" s="76"/>
      <c r="FG173" s="76"/>
      <c r="FH173" s="76"/>
      <c r="FI173" s="76"/>
      <c r="FJ173" s="76"/>
      <c r="FK173" s="76"/>
      <c r="FL173" s="76"/>
      <c r="FM173" s="76"/>
      <c r="FN173" s="76"/>
      <c r="FO173" s="76"/>
      <c r="FP173" s="76"/>
      <c r="FQ173" s="76"/>
      <c r="FR173" s="76"/>
      <c r="FS173" s="76"/>
      <c r="FT173" s="76"/>
      <c r="FU173" s="76"/>
      <c r="FV173" s="76"/>
      <c r="FW173" s="76"/>
      <c r="FX173" s="76"/>
      <c r="FY173" s="76"/>
      <c r="FZ173" s="76"/>
      <c r="GA173" s="76"/>
      <c r="GB173" s="76"/>
      <c r="GC173" s="76"/>
      <c r="GD173" s="76"/>
      <c r="GE173" s="76"/>
      <c r="GF173" s="76"/>
      <c r="GG173" s="76"/>
      <c r="GH173" s="76"/>
      <c r="GI173" s="76"/>
      <c r="GJ173" s="76"/>
      <c r="GK173" s="76"/>
      <c r="GL173" s="76"/>
      <c r="GM173" s="76"/>
      <c r="GN173" s="76"/>
      <c r="GO173" s="76"/>
      <c r="GP173" s="76"/>
      <c r="GQ173" s="76"/>
      <c r="GR173" s="76"/>
      <c r="GS173" s="76"/>
      <c r="GT173" s="76"/>
      <c r="GU173" s="76"/>
      <c r="GV173" s="76"/>
      <c r="GW173" s="76"/>
      <c r="GX173" s="76"/>
      <c r="GY173" s="76"/>
      <c r="GZ173" s="76"/>
      <c r="HA173" s="76"/>
      <c r="HB173" s="76"/>
      <c r="HC173" s="76"/>
      <c r="HD173" s="76"/>
      <c r="HE173" s="76"/>
      <c r="HF173" s="76"/>
      <c r="HG173" s="76"/>
      <c r="HH173" s="76"/>
      <c r="HI173" s="76"/>
      <c r="HJ173" s="76"/>
      <c r="HK173" s="76"/>
      <c r="HL173" s="76"/>
      <c r="HM173" s="76"/>
      <c r="HN173" s="76"/>
      <c r="HO173" s="76"/>
      <c r="HP173" s="76"/>
      <c r="HQ173" s="76"/>
      <c r="HR173" s="76"/>
      <c r="HS173" s="76"/>
      <c r="HT173" s="76"/>
      <c r="HU173" s="76"/>
      <c r="HV173" s="76"/>
      <c r="HW173" s="76"/>
      <c r="HX173" s="76"/>
      <c r="HY173" s="76"/>
      <c r="HZ173" s="76"/>
      <c r="IA173" s="76"/>
      <c r="IB173" s="76"/>
      <c r="IC173" s="76"/>
      <c r="ID173" s="76"/>
      <c r="IE173" s="76"/>
      <c r="IF173" s="76"/>
      <c r="IG173" s="76"/>
      <c r="IH173" s="76"/>
      <c r="II173" s="76"/>
      <c r="IJ173" s="76"/>
      <c r="IK173" s="76"/>
      <c r="IL173" s="76"/>
      <c r="IM173" s="76"/>
      <c r="IN173" s="76"/>
    </row>
    <row r="174" spans="1:248" s="16" customFormat="1">
      <c r="A174" s="71"/>
      <c r="B174" s="76"/>
      <c r="C174" s="76"/>
      <c r="D174" s="87"/>
      <c r="E174" s="87"/>
      <c r="F174" s="76"/>
      <c r="G174" s="87"/>
      <c r="H174" s="76"/>
      <c r="I174" s="76"/>
      <c r="J174" s="78"/>
      <c r="K174" s="5"/>
      <c r="L174" s="5"/>
      <c r="M174" s="5"/>
      <c r="N174" s="5"/>
      <c r="O174" s="11"/>
      <c r="P174" s="5"/>
      <c r="Q174" s="5"/>
      <c r="R174" s="76"/>
      <c r="S174" s="76"/>
      <c r="T174" s="76"/>
      <c r="U174" s="76"/>
      <c r="V174" s="76"/>
      <c r="W174" s="84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  <c r="BF174" s="76"/>
      <c r="BG174" s="76"/>
      <c r="BH174" s="76"/>
      <c r="BI174" s="76"/>
      <c r="BJ174" s="76"/>
      <c r="BK174" s="76"/>
      <c r="BL174" s="76"/>
      <c r="BM174" s="76"/>
      <c r="BN174" s="76"/>
      <c r="BO174" s="76"/>
      <c r="BP174" s="76"/>
      <c r="BQ174" s="76"/>
      <c r="BR174" s="76"/>
      <c r="BS174" s="76"/>
      <c r="BT174" s="76"/>
      <c r="BU174" s="76"/>
      <c r="BV174" s="76"/>
      <c r="BW174" s="76"/>
      <c r="BX174" s="76"/>
      <c r="BY174" s="76"/>
      <c r="BZ174" s="76"/>
      <c r="CA174" s="76"/>
      <c r="CB174" s="76"/>
      <c r="CC174" s="76"/>
      <c r="CD174" s="76"/>
      <c r="CE174" s="76"/>
      <c r="CF174" s="76"/>
      <c r="CG174" s="76"/>
      <c r="CH174" s="76"/>
      <c r="CI174" s="76"/>
      <c r="CJ174" s="76"/>
      <c r="CK174" s="76"/>
      <c r="CL174" s="76"/>
      <c r="CM174" s="76"/>
      <c r="CN174" s="76"/>
      <c r="CO174" s="76"/>
      <c r="CP174" s="76"/>
      <c r="CQ174" s="76"/>
      <c r="CR174" s="76"/>
      <c r="CS174" s="76"/>
      <c r="CT174" s="76"/>
      <c r="CU174" s="76"/>
      <c r="CV174" s="76"/>
      <c r="CW174" s="76"/>
      <c r="CX174" s="76"/>
      <c r="CY174" s="76"/>
      <c r="CZ174" s="76"/>
      <c r="DA174" s="76"/>
      <c r="DB174" s="76"/>
      <c r="DC174" s="76"/>
      <c r="DD174" s="76"/>
      <c r="DE174" s="76"/>
      <c r="DF174" s="76"/>
      <c r="DG174" s="76"/>
      <c r="DH174" s="76"/>
      <c r="DI174" s="76"/>
      <c r="DJ174" s="76"/>
      <c r="DK174" s="76"/>
      <c r="DL174" s="76"/>
      <c r="DM174" s="76"/>
      <c r="DN174" s="76"/>
      <c r="DO174" s="76"/>
      <c r="DP174" s="76"/>
      <c r="DQ174" s="76"/>
      <c r="DR174" s="76"/>
      <c r="DS174" s="76"/>
      <c r="DT174" s="76"/>
      <c r="DU174" s="76"/>
      <c r="DV174" s="76"/>
      <c r="DW174" s="76"/>
      <c r="DX174" s="76"/>
      <c r="DY174" s="76"/>
      <c r="DZ174" s="76"/>
      <c r="EA174" s="76"/>
      <c r="EB174" s="76"/>
      <c r="EC174" s="76"/>
      <c r="ED174" s="76"/>
      <c r="EE174" s="76"/>
      <c r="EF174" s="76"/>
      <c r="EG174" s="76"/>
      <c r="EH174" s="76"/>
      <c r="EI174" s="76"/>
      <c r="EJ174" s="76"/>
      <c r="EK174" s="76"/>
      <c r="EL174" s="76"/>
      <c r="EM174" s="76"/>
      <c r="EN174" s="76"/>
      <c r="EO174" s="76"/>
      <c r="EP174" s="76"/>
      <c r="EQ174" s="76"/>
      <c r="ER174" s="76"/>
      <c r="ES174" s="76"/>
      <c r="ET174" s="76"/>
      <c r="EU174" s="76"/>
      <c r="EV174" s="76"/>
      <c r="EW174" s="76"/>
      <c r="EX174" s="76"/>
      <c r="EY174" s="76"/>
      <c r="EZ174" s="76"/>
      <c r="FA174" s="76"/>
      <c r="FB174" s="76"/>
      <c r="FC174" s="76"/>
      <c r="FD174" s="76"/>
      <c r="FE174" s="76"/>
      <c r="FF174" s="76"/>
      <c r="FG174" s="76"/>
      <c r="FH174" s="76"/>
      <c r="FI174" s="76"/>
      <c r="FJ174" s="76"/>
      <c r="FK174" s="76"/>
      <c r="FL174" s="76"/>
      <c r="FM174" s="76"/>
      <c r="FN174" s="76"/>
      <c r="FO174" s="76"/>
      <c r="FP174" s="76"/>
      <c r="FQ174" s="76"/>
      <c r="FR174" s="76"/>
      <c r="FS174" s="76"/>
      <c r="FT174" s="76"/>
      <c r="FU174" s="76"/>
      <c r="FV174" s="76"/>
      <c r="FW174" s="76"/>
      <c r="FX174" s="76"/>
      <c r="FY174" s="76"/>
      <c r="FZ174" s="76"/>
      <c r="GA174" s="76"/>
      <c r="GB174" s="76"/>
      <c r="GC174" s="76"/>
      <c r="GD174" s="76"/>
      <c r="GE174" s="76"/>
      <c r="GF174" s="76"/>
      <c r="GG174" s="76"/>
      <c r="GH174" s="76"/>
      <c r="GI174" s="76"/>
      <c r="GJ174" s="76"/>
      <c r="GK174" s="76"/>
      <c r="GL174" s="76"/>
      <c r="GM174" s="76"/>
      <c r="GN174" s="76"/>
      <c r="GO174" s="76"/>
      <c r="GP174" s="76"/>
      <c r="GQ174" s="76"/>
      <c r="GR174" s="76"/>
      <c r="GS174" s="76"/>
      <c r="GT174" s="76"/>
      <c r="GU174" s="76"/>
      <c r="GV174" s="76"/>
      <c r="GW174" s="76"/>
      <c r="GX174" s="76"/>
      <c r="GY174" s="76"/>
      <c r="GZ174" s="76"/>
      <c r="HA174" s="76"/>
      <c r="HB174" s="76"/>
      <c r="HC174" s="76"/>
      <c r="HD174" s="76"/>
      <c r="HE174" s="76"/>
      <c r="HF174" s="76"/>
      <c r="HG174" s="76"/>
      <c r="HH174" s="76"/>
      <c r="HI174" s="76"/>
      <c r="HJ174" s="76"/>
      <c r="HK174" s="76"/>
      <c r="HL174" s="76"/>
      <c r="HM174" s="76"/>
      <c r="HN174" s="76"/>
      <c r="HO174" s="76"/>
      <c r="HP174" s="76"/>
      <c r="HQ174" s="76"/>
      <c r="HR174" s="76"/>
      <c r="HS174" s="76"/>
      <c r="HT174" s="76"/>
      <c r="HU174" s="76"/>
      <c r="HV174" s="76"/>
      <c r="HW174" s="76"/>
      <c r="HX174" s="76"/>
      <c r="HY174" s="76"/>
      <c r="HZ174" s="76"/>
      <c r="IA174" s="76"/>
      <c r="IB174" s="76"/>
      <c r="IC174" s="76"/>
      <c r="ID174" s="76"/>
      <c r="IE174" s="76"/>
      <c r="IF174" s="76"/>
      <c r="IG174" s="76"/>
      <c r="IH174" s="76"/>
      <c r="II174" s="76"/>
      <c r="IJ174" s="76"/>
      <c r="IK174" s="76"/>
      <c r="IL174" s="76"/>
      <c r="IM174" s="76"/>
      <c r="IN174" s="76"/>
    </row>
    <row r="175" spans="1:248" s="16" customFormat="1">
      <c r="A175" s="71"/>
      <c r="B175" s="76"/>
      <c r="C175" s="76"/>
      <c r="D175" s="87"/>
      <c r="E175" s="87"/>
      <c r="F175" s="76"/>
      <c r="G175" s="87"/>
      <c r="H175" s="76"/>
      <c r="I175" s="76"/>
      <c r="J175" s="78"/>
      <c r="K175" s="5"/>
      <c r="L175" s="5"/>
      <c r="M175" s="5"/>
      <c r="N175" s="5"/>
      <c r="O175" s="11"/>
      <c r="P175" s="5"/>
      <c r="Q175" s="5"/>
      <c r="R175" s="76"/>
      <c r="S175" s="76"/>
      <c r="T175" s="76"/>
      <c r="U175" s="76"/>
      <c r="V175" s="76"/>
      <c r="W175" s="84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  <c r="BF175" s="76"/>
      <c r="BG175" s="76"/>
      <c r="BH175" s="76"/>
      <c r="BI175" s="76"/>
      <c r="BJ175" s="76"/>
      <c r="BK175" s="76"/>
      <c r="BL175" s="76"/>
      <c r="BM175" s="76"/>
      <c r="BN175" s="76"/>
      <c r="BO175" s="76"/>
      <c r="BP175" s="76"/>
      <c r="BQ175" s="76"/>
      <c r="BR175" s="76"/>
      <c r="BS175" s="76"/>
      <c r="BT175" s="76"/>
      <c r="BU175" s="76"/>
      <c r="BV175" s="76"/>
      <c r="BW175" s="76"/>
      <c r="BX175" s="76"/>
      <c r="BY175" s="76"/>
      <c r="BZ175" s="76"/>
      <c r="CA175" s="76"/>
      <c r="CB175" s="76"/>
      <c r="CC175" s="76"/>
      <c r="CD175" s="76"/>
      <c r="CE175" s="76"/>
      <c r="CF175" s="76"/>
      <c r="CG175" s="76"/>
      <c r="CH175" s="76"/>
      <c r="CI175" s="76"/>
      <c r="CJ175" s="76"/>
      <c r="CK175" s="76"/>
      <c r="CL175" s="76"/>
      <c r="CM175" s="76"/>
      <c r="CN175" s="76"/>
      <c r="CO175" s="76"/>
      <c r="CP175" s="76"/>
      <c r="CQ175" s="76"/>
      <c r="CR175" s="76"/>
      <c r="CS175" s="76"/>
      <c r="CT175" s="76"/>
      <c r="CU175" s="76"/>
      <c r="CV175" s="76"/>
      <c r="CW175" s="76"/>
      <c r="CX175" s="76"/>
      <c r="CY175" s="76"/>
      <c r="CZ175" s="76"/>
      <c r="DA175" s="76"/>
      <c r="DB175" s="76"/>
      <c r="DC175" s="76"/>
      <c r="DD175" s="76"/>
      <c r="DE175" s="76"/>
      <c r="DF175" s="76"/>
      <c r="DG175" s="76"/>
      <c r="DH175" s="76"/>
      <c r="DI175" s="76"/>
      <c r="DJ175" s="76"/>
      <c r="DK175" s="76"/>
      <c r="DL175" s="76"/>
      <c r="DM175" s="76"/>
      <c r="DN175" s="76"/>
      <c r="DO175" s="76"/>
      <c r="DP175" s="76"/>
      <c r="DQ175" s="76"/>
      <c r="DR175" s="76"/>
      <c r="DS175" s="76"/>
      <c r="DT175" s="76"/>
      <c r="DU175" s="76"/>
      <c r="DV175" s="76"/>
      <c r="DW175" s="76"/>
      <c r="DX175" s="76"/>
      <c r="DY175" s="76"/>
      <c r="DZ175" s="76"/>
      <c r="EA175" s="76"/>
      <c r="EB175" s="76"/>
      <c r="EC175" s="76"/>
      <c r="ED175" s="76"/>
      <c r="EE175" s="76"/>
      <c r="EF175" s="76"/>
      <c r="EG175" s="76"/>
      <c r="EH175" s="76"/>
      <c r="EI175" s="76"/>
      <c r="EJ175" s="76"/>
      <c r="EK175" s="76"/>
      <c r="EL175" s="76"/>
      <c r="EM175" s="76"/>
      <c r="EN175" s="76"/>
      <c r="EO175" s="76"/>
      <c r="EP175" s="76"/>
      <c r="EQ175" s="76"/>
      <c r="ER175" s="76"/>
      <c r="ES175" s="76"/>
      <c r="ET175" s="76"/>
      <c r="EU175" s="76"/>
      <c r="EV175" s="76"/>
      <c r="EW175" s="76"/>
      <c r="EX175" s="76"/>
      <c r="EY175" s="76"/>
      <c r="EZ175" s="76"/>
      <c r="FA175" s="76"/>
      <c r="FB175" s="76"/>
      <c r="FC175" s="76"/>
      <c r="FD175" s="76"/>
      <c r="FE175" s="76"/>
      <c r="FF175" s="76"/>
      <c r="FG175" s="76"/>
      <c r="FH175" s="76"/>
      <c r="FI175" s="76"/>
      <c r="FJ175" s="76"/>
      <c r="FK175" s="76"/>
      <c r="FL175" s="76"/>
      <c r="FM175" s="76"/>
      <c r="FN175" s="76"/>
      <c r="FO175" s="76"/>
      <c r="FP175" s="76"/>
      <c r="FQ175" s="76"/>
      <c r="FR175" s="76"/>
      <c r="FS175" s="76"/>
      <c r="FT175" s="76"/>
      <c r="FU175" s="76"/>
      <c r="FV175" s="76"/>
      <c r="FW175" s="76"/>
      <c r="FX175" s="76"/>
      <c r="FY175" s="76"/>
      <c r="FZ175" s="76"/>
      <c r="GA175" s="76"/>
      <c r="GB175" s="76"/>
      <c r="GC175" s="76"/>
      <c r="GD175" s="76"/>
      <c r="GE175" s="76"/>
      <c r="GF175" s="76"/>
      <c r="GG175" s="76"/>
      <c r="GH175" s="76"/>
      <c r="GI175" s="76"/>
      <c r="GJ175" s="76"/>
      <c r="GK175" s="76"/>
      <c r="GL175" s="76"/>
      <c r="GM175" s="76"/>
      <c r="GN175" s="76"/>
      <c r="GO175" s="76"/>
      <c r="GP175" s="76"/>
      <c r="GQ175" s="76"/>
      <c r="GR175" s="76"/>
      <c r="GS175" s="76"/>
      <c r="GT175" s="76"/>
      <c r="GU175" s="76"/>
      <c r="GV175" s="76"/>
      <c r="GW175" s="76"/>
      <c r="GX175" s="76"/>
      <c r="GY175" s="76"/>
      <c r="GZ175" s="76"/>
      <c r="HA175" s="76"/>
      <c r="HB175" s="76"/>
      <c r="HC175" s="76"/>
      <c r="HD175" s="76"/>
      <c r="HE175" s="76"/>
      <c r="HF175" s="76"/>
      <c r="HG175" s="76"/>
      <c r="HH175" s="76"/>
      <c r="HI175" s="76"/>
      <c r="HJ175" s="76"/>
      <c r="HK175" s="76"/>
      <c r="HL175" s="76"/>
      <c r="HM175" s="76"/>
      <c r="HN175" s="76"/>
      <c r="HO175" s="76"/>
      <c r="HP175" s="76"/>
      <c r="HQ175" s="76"/>
      <c r="HR175" s="76"/>
      <c r="HS175" s="76"/>
      <c r="HT175" s="76"/>
      <c r="HU175" s="76"/>
      <c r="HV175" s="76"/>
      <c r="HW175" s="76"/>
      <c r="HX175" s="76"/>
      <c r="HY175" s="76"/>
      <c r="HZ175" s="76"/>
      <c r="IA175" s="76"/>
      <c r="IB175" s="76"/>
      <c r="IC175" s="76"/>
      <c r="ID175" s="76"/>
      <c r="IE175" s="76"/>
      <c r="IF175" s="76"/>
      <c r="IG175" s="76"/>
      <c r="IH175" s="76"/>
      <c r="II175" s="76"/>
      <c r="IJ175" s="76"/>
      <c r="IK175" s="76"/>
      <c r="IL175" s="76"/>
      <c r="IM175" s="76"/>
      <c r="IN175" s="76"/>
    </row>
    <row r="176" spans="1:248" s="16" customFormat="1">
      <c r="A176" s="71"/>
      <c r="B176" s="76"/>
      <c r="C176" s="76"/>
      <c r="D176" s="87"/>
      <c r="E176" s="87"/>
      <c r="F176" s="76"/>
      <c r="G176" s="87"/>
      <c r="H176" s="76"/>
      <c r="I176" s="76"/>
      <c r="J176" s="78"/>
      <c r="K176" s="5"/>
      <c r="L176" s="5"/>
      <c r="M176" s="5"/>
      <c r="N176" s="5"/>
      <c r="O176" s="11"/>
      <c r="P176" s="5"/>
      <c r="Q176" s="5"/>
      <c r="R176" s="76"/>
      <c r="S176" s="76"/>
      <c r="T176" s="76"/>
      <c r="U176" s="76"/>
      <c r="V176" s="76"/>
      <c r="W176" s="84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  <c r="BF176" s="76"/>
      <c r="BG176" s="76"/>
      <c r="BH176" s="76"/>
      <c r="BI176" s="76"/>
      <c r="BJ176" s="76"/>
      <c r="BK176" s="76"/>
      <c r="BL176" s="76"/>
      <c r="BM176" s="76"/>
      <c r="BN176" s="76"/>
      <c r="BO176" s="76"/>
      <c r="BP176" s="76"/>
      <c r="BQ176" s="76"/>
      <c r="BR176" s="76"/>
      <c r="BS176" s="76"/>
      <c r="BT176" s="76"/>
      <c r="BU176" s="76"/>
      <c r="BV176" s="76"/>
      <c r="BW176" s="76"/>
      <c r="BX176" s="76"/>
      <c r="BY176" s="76"/>
      <c r="BZ176" s="76"/>
      <c r="CA176" s="76"/>
      <c r="CB176" s="76"/>
      <c r="CC176" s="76"/>
      <c r="CD176" s="76"/>
      <c r="CE176" s="76"/>
      <c r="CF176" s="76"/>
      <c r="CG176" s="76"/>
      <c r="CH176" s="76"/>
      <c r="CI176" s="76"/>
      <c r="CJ176" s="76"/>
      <c r="CK176" s="76"/>
      <c r="CL176" s="76"/>
      <c r="CM176" s="76"/>
      <c r="CN176" s="76"/>
      <c r="CO176" s="76"/>
      <c r="CP176" s="76"/>
      <c r="CQ176" s="76"/>
      <c r="CR176" s="76"/>
      <c r="CS176" s="76"/>
      <c r="CT176" s="76"/>
      <c r="CU176" s="76"/>
      <c r="CV176" s="76"/>
      <c r="CW176" s="76"/>
      <c r="CX176" s="76"/>
      <c r="CY176" s="76"/>
      <c r="CZ176" s="76"/>
      <c r="DA176" s="76"/>
      <c r="DB176" s="76"/>
      <c r="DC176" s="76"/>
      <c r="DD176" s="76"/>
      <c r="DE176" s="76"/>
      <c r="DF176" s="76"/>
      <c r="DG176" s="76"/>
      <c r="DH176" s="76"/>
      <c r="DI176" s="76"/>
      <c r="DJ176" s="76"/>
      <c r="DK176" s="76"/>
      <c r="DL176" s="76"/>
      <c r="DM176" s="76"/>
      <c r="DN176" s="76"/>
      <c r="DO176" s="76"/>
      <c r="DP176" s="76"/>
      <c r="DQ176" s="76"/>
      <c r="DR176" s="76"/>
      <c r="DS176" s="76"/>
      <c r="DT176" s="76"/>
      <c r="DU176" s="76"/>
      <c r="DV176" s="76"/>
      <c r="DW176" s="76"/>
      <c r="DX176" s="76"/>
      <c r="DY176" s="76"/>
      <c r="DZ176" s="76"/>
      <c r="EA176" s="76"/>
      <c r="EB176" s="76"/>
      <c r="EC176" s="76"/>
      <c r="ED176" s="76"/>
      <c r="EE176" s="76"/>
      <c r="EF176" s="76"/>
      <c r="EG176" s="76"/>
      <c r="EH176" s="76"/>
      <c r="EI176" s="76"/>
      <c r="EJ176" s="76"/>
      <c r="EK176" s="76"/>
      <c r="EL176" s="76"/>
      <c r="EM176" s="76"/>
      <c r="EN176" s="76"/>
      <c r="EO176" s="76"/>
      <c r="EP176" s="76"/>
      <c r="EQ176" s="76"/>
      <c r="ER176" s="76"/>
      <c r="ES176" s="76"/>
      <c r="ET176" s="76"/>
      <c r="EU176" s="76"/>
      <c r="EV176" s="76"/>
      <c r="EW176" s="76"/>
      <c r="EX176" s="76"/>
      <c r="EY176" s="76"/>
      <c r="EZ176" s="76"/>
      <c r="FA176" s="76"/>
      <c r="FB176" s="76"/>
      <c r="FC176" s="76"/>
      <c r="FD176" s="76"/>
      <c r="FE176" s="76"/>
      <c r="FF176" s="76"/>
      <c r="FG176" s="76"/>
      <c r="FH176" s="76"/>
      <c r="FI176" s="76"/>
      <c r="FJ176" s="76"/>
      <c r="FK176" s="76"/>
      <c r="FL176" s="76"/>
      <c r="FM176" s="76"/>
      <c r="FN176" s="76"/>
      <c r="FO176" s="76"/>
      <c r="FP176" s="76"/>
      <c r="FQ176" s="76"/>
      <c r="FR176" s="76"/>
      <c r="FS176" s="76"/>
      <c r="FT176" s="76"/>
      <c r="FU176" s="76"/>
      <c r="FV176" s="76"/>
      <c r="FW176" s="76"/>
      <c r="FX176" s="76"/>
      <c r="FY176" s="76"/>
      <c r="FZ176" s="76"/>
      <c r="GA176" s="76"/>
      <c r="GB176" s="76"/>
      <c r="GC176" s="76"/>
      <c r="GD176" s="76"/>
      <c r="GE176" s="76"/>
      <c r="GF176" s="76"/>
      <c r="GG176" s="76"/>
      <c r="GH176" s="76"/>
      <c r="GI176" s="76"/>
      <c r="GJ176" s="76"/>
      <c r="GK176" s="76"/>
      <c r="GL176" s="76"/>
      <c r="GM176" s="76"/>
      <c r="GN176" s="76"/>
      <c r="GO176" s="76"/>
      <c r="GP176" s="76"/>
      <c r="GQ176" s="76"/>
      <c r="GR176" s="76"/>
      <c r="GS176" s="76"/>
      <c r="GT176" s="76"/>
      <c r="GU176" s="76"/>
      <c r="GV176" s="76"/>
      <c r="GW176" s="76"/>
      <c r="GX176" s="76"/>
      <c r="GY176" s="76"/>
      <c r="GZ176" s="76"/>
      <c r="HA176" s="76"/>
      <c r="HB176" s="76"/>
      <c r="HC176" s="76"/>
      <c r="HD176" s="76"/>
      <c r="HE176" s="76"/>
      <c r="HF176" s="76"/>
      <c r="HG176" s="76"/>
      <c r="HH176" s="76"/>
      <c r="HI176" s="76"/>
      <c r="HJ176" s="76"/>
      <c r="HK176" s="76"/>
      <c r="HL176" s="76"/>
      <c r="HM176" s="76"/>
      <c r="HN176" s="76"/>
      <c r="HO176" s="76"/>
      <c r="HP176" s="76"/>
      <c r="HQ176" s="76"/>
      <c r="HR176" s="76"/>
      <c r="HS176" s="76"/>
      <c r="HT176" s="76"/>
      <c r="HU176" s="76"/>
      <c r="HV176" s="76"/>
      <c r="HW176" s="76"/>
      <c r="HX176" s="76"/>
      <c r="HY176" s="76"/>
      <c r="HZ176" s="76"/>
      <c r="IA176" s="76"/>
      <c r="IB176" s="76"/>
      <c r="IC176" s="76"/>
      <c r="ID176" s="76"/>
      <c r="IE176" s="76"/>
      <c r="IF176" s="76"/>
      <c r="IG176" s="76"/>
      <c r="IH176" s="76"/>
      <c r="II176" s="76"/>
      <c r="IJ176" s="76"/>
      <c r="IK176" s="76"/>
      <c r="IL176" s="76"/>
      <c r="IM176" s="76"/>
      <c r="IN176" s="76"/>
    </row>
    <row r="177" spans="1:248" s="16" customFormat="1">
      <c r="A177" s="71"/>
      <c r="B177" s="76"/>
      <c r="C177" s="76"/>
      <c r="D177" s="87"/>
      <c r="E177" s="87"/>
      <c r="F177" s="76"/>
      <c r="G177" s="87"/>
      <c r="H177" s="76"/>
      <c r="I177" s="76"/>
      <c r="J177" s="78"/>
      <c r="K177" s="5"/>
      <c r="L177" s="5"/>
      <c r="M177" s="5"/>
      <c r="N177" s="5"/>
      <c r="O177" s="11"/>
      <c r="P177" s="5"/>
      <c r="Q177" s="5"/>
      <c r="R177" s="76"/>
      <c r="S177" s="76"/>
      <c r="T177" s="76"/>
      <c r="U177" s="76"/>
      <c r="V177" s="76"/>
      <c r="W177" s="84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76"/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  <c r="BU177" s="76"/>
      <c r="BV177" s="76"/>
      <c r="BW177" s="76"/>
      <c r="BX177" s="76"/>
      <c r="BY177" s="76"/>
      <c r="BZ177" s="76"/>
      <c r="CA177" s="76"/>
      <c r="CB177" s="76"/>
      <c r="CC177" s="76"/>
      <c r="CD177" s="76"/>
      <c r="CE177" s="76"/>
      <c r="CF177" s="76"/>
      <c r="CG177" s="76"/>
      <c r="CH177" s="76"/>
      <c r="CI177" s="76"/>
      <c r="CJ177" s="76"/>
      <c r="CK177" s="76"/>
      <c r="CL177" s="76"/>
      <c r="CM177" s="76"/>
      <c r="CN177" s="76"/>
      <c r="CO177" s="76"/>
      <c r="CP177" s="76"/>
      <c r="CQ177" s="76"/>
      <c r="CR177" s="76"/>
      <c r="CS177" s="76"/>
      <c r="CT177" s="76"/>
      <c r="CU177" s="76"/>
      <c r="CV177" s="76"/>
      <c r="CW177" s="76"/>
      <c r="CX177" s="76"/>
      <c r="CY177" s="76"/>
      <c r="CZ177" s="76"/>
      <c r="DA177" s="76"/>
      <c r="DB177" s="76"/>
      <c r="DC177" s="76"/>
      <c r="DD177" s="76"/>
      <c r="DE177" s="76"/>
      <c r="DF177" s="76"/>
      <c r="DG177" s="76"/>
      <c r="DH177" s="76"/>
      <c r="DI177" s="76"/>
      <c r="DJ177" s="76"/>
      <c r="DK177" s="76"/>
      <c r="DL177" s="76"/>
      <c r="DM177" s="76"/>
      <c r="DN177" s="76"/>
      <c r="DO177" s="76"/>
      <c r="DP177" s="76"/>
      <c r="DQ177" s="76"/>
      <c r="DR177" s="76"/>
      <c r="DS177" s="76"/>
      <c r="DT177" s="76"/>
      <c r="DU177" s="76"/>
      <c r="DV177" s="76"/>
      <c r="DW177" s="76"/>
      <c r="DX177" s="76"/>
      <c r="DY177" s="76"/>
      <c r="DZ177" s="76"/>
      <c r="EA177" s="76"/>
      <c r="EB177" s="76"/>
      <c r="EC177" s="76"/>
      <c r="ED177" s="76"/>
      <c r="EE177" s="76"/>
      <c r="EF177" s="76"/>
      <c r="EG177" s="76"/>
      <c r="EH177" s="76"/>
      <c r="EI177" s="76"/>
      <c r="EJ177" s="76"/>
      <c r="EK177" s="76"/>
      <c r="EL177" s="76"/>
      <c r="EM177" s="76"/>
      <c r="EN177" s="76"/>
      <c r="EO177" s="76"/>
      <c r="EP177" s="76"/>
      <c r="EQ177" s="76"/>
      <c r="ER177" s="76"/>
      <c r="ES177" s="76"/>
      <c r="ET177" s="76"/>
      <c r="EU177" s="76"/>
      <c r="EV177" s="76"/>
      <c r="EW177" s="76"/>
      <c r="EX177" s="76"/>
      <c r="EY177" s="76"/>
      <c r="EZ177" s="76"/>
      <c r="FA177" s="76"/>
      <c r="FB177" s="76"/>
      <c r="FC177" s="76"/>
      <c r="FD177" s="76"/>
      <c r="FE177" s="76"/>
      <c r="FF177" s="76"/>
      <c r="FG177" s="76"/>
      <c r="FH177" s="76"/>
      <c r="FI177" s="76"/>
      <c r="FJ177" s="76"/>
      <c r="FK177" s="76"/>
      <c r="FL177" s="76"/>
      <c r="FM177" s="76"/>
      <c r="FN177" s="76"/>
      <c r="FO177" s="76"/>
      <c r="FP177" s="76"/>
      <c r="FQ177" s="76"/>
      <c r="FR177" s="76"/>
      <c r="FS177" s="76"/>
      <c r="FT177" s="76"/>
      <c r="FU177" s="76"/>
      <c r="FV177" s="76"/>
      <c r="FW177" s="76"/>
      <c r="FX177" s="76"/>
      <c r="FY177" s="76"/>
      <c r="FZ177" s="76"/>
      <c r="GA177" s="76"/>
      <c r="GB177" s="76"/>
      <c r="GC177" s="76"/>
      <c r="GD177" s="76"/>
      <c r="GE177" s="76"/>
      <c r="GF177" s="76"/>
      <c r="GG177" s="76"/>
      <c r="GH177" s="76"/>
      <c r="GI177" s="76"/>
      <c r="GJ177" s="76"/>
      <c r="GK177" s="76"/>
      <c r="GL177" s="76"/>
      <c r="GM177" s="76"/>
      <c r="GN177" s="76"/>
      <c r="GO177" s="76"/>
      <c r="GP177" s="76"/>
      <c r="GQ177" s="76"/>
      <c r="GR177" s="76"/>
      <c r="GS177" s="76"/>
      <c r="GT177" s="76"/>
      <c r="GU177" s="76"/>
      <c r="GV177" s="76"/>
      <c r="GW177" s="76"/>
      <c r="GX177" s="76"/>
      <c r="GY177" s="76"/>
      <c r="GZ177" s="76"/>
      <c r="HA177" s="76"/>
      <c r="HB177" s="76"/>
      <c r="HC177" s="76"/>
      <c r="HD177" s="76"/>
      <c r="HE177" s="76"/>
      <c r="HF177" s="76"/>
      <c r="HG177" s="76"/>
      <c r="HH177" s="76"/>
      <c r="HI177" s="76"/>
      <c r="HJ177" s="76"/>
      <c r="HK177" s="76"/>
      <c r="HL177" s="76"/>
      <c r="HM177" s="76"/>
      <c r="HN177" s="76"/>
      <c r="HO177" s="76"/>
      <c r="HP177" s="76"/>
      <c r="HQ177" s="76"/>
      <c r="HR177" s="76"/>
      <c r="HS177" s="76"/>
      <c r="HT177" s="76"/>
      <c r="HU177" s="76"/>
      <c r="HV177" s="76"/>
      <c r="HW177" s="76"/>
      <c r="HX177" s="76"/>
      <c r="HY177" s="76"/>
      <c r="HZ177" s="76"/>
      <c r="IA177" s="76"/>
      <c r="IB177" s="76"/>
      <c r="IC177" s="76"/>
      <c r="ID177" s="76"/>
      <c r="IE177" s="76"/>
      <c r="IF177" s="76"/>
      <c r="IG177" s="76"/>
      <c r="IH177" s="76"/>
      <c r="II177" s="76"/>
      <c r="IJ177" s="76"/>
      <c r="IK177" s="76"/>
      <c r="IL177" s="76"/>
      <c r="IM177" s="76"/>
      <c r="IN177" s="76"/>
    </row>
    <row r="178" spans="1:248" s="16" customFormat="1">
      <c r="A178" s="71"/>
      <c r="B178" s="76"/>
      <c r="C178" s="76"/>
      <c r="D178" s="87"/>
      <c r="E178" s="87"/>
      <c r="F178" s="76"/>
      <c r="G178" s="87"/>
      <c r="H178" s="76"/>
      <c r="I178" s="76"/>
      <c r="J178" s="78"/>
      <c r="K178" s="5"/>
      <c r="L178" s="5"/>
      <c r="M178" s="5"/>
      <c r="N178" s="5"/>
      <c r="O178" s="11"/>
      <c r="P178" s="5"/>
      <c r="Q178" s="5"/>
      <c r="R178" s="76"/>
      <c r="S178" s="76"/>
      <c r="T178" s="76"/>
      <c r="U178" s="76"/>
      <c r="V178" s="76"/>
      <c r="W178" s="84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  <c r="BF178" s="76"/>
      <c r="BG178" s="76"/>
      <c r="BH178" s="76"/>
      <c r="BI178" s="76"/>
      <c r="BJ178" s="76"/>
      <c r="BK178" s="76"/>
      <c r="BL178" s="76"/>
      <c r="BM178" s="76"/>
      <c r="BN178" s="76"/>
      <c r="BO178" s="76"/>
      <c r="BP178" s="76"/>
      <c r="BQ178" s="76"/>
      <c r="BR178" s="76"/>
      <c r="BS178" s="76"/>
      <c r="BT178" s="76"/>
      <c r="BU178" s="76"/>
      <c r="BV178" s="76"/>
      <c r="BW178" s="76"/>
      <c r="BX178" s="76"/>
      <c r="BY178" s="76"/>
      <c r="BZ178" s="76"/>
      <c r="CA178" s="76"/>
      <c r="CB178" s="76"/>
      <c r="CC178" s="76"/>
      <c r="CD178" s="76"/>
      <c r="CE178" s="76"/>
      <c r="CF178" s="76"/>
      <c r="CG178" s="76"/>
      <c r="CH178" s="76"/>
      <c r="CI178" s="76"/>
      <c r="CJ178" s="76"/>
      <c r="CK178" s="76"/>
      <c r="CL178" s="76"/>
      <c r="CM178" s="76"/>
      <c r="CN178" s="76"/>
      <c r="CO178" s="76"/>
      <c r="CP178" s="76"/>
      <c r="CQ178" s="76"/>
      <c r="CR178" s="76"/>
      <c r="CS178" s="76"/>
      <c r="CT178" s="76"/>
      <c r="CU178" s="76"/>
      <c r="CV178" s="76"/>
      <c r="CW178" s="76"/>
      <c r="CX178" s="76"/>
      <c r="CY178" s="76"/>
      <c r="CZ178" s="76"/>
      <c r="DA178" s="76"/>
      <c r="DB178" s="76"/>
      <c r="DC178" s="76"/>
      <c r="DD178" s="76"/>
      <c r="DE178" s="76"/>
      <c r="DF178" s="76"/>
      <c r="DG178" s="76"/>
      <c r="DH178" s="76"/>
      <c r="DI178" s="76"/>
      <c r="DJ178" s="76"/>
      <c r="DK178" s="76"/>
      <c r="DL178" s="76"/>
      <c r="DM178" s="76"/>
      <c r="DN178" s="76"/>
      <c r="DO178" s="76"/>
      <c r="DP178" s="76"/>
      <c r="DQ178" s="76"/>
      <c r="DR178" s="76"/>
      <c r="DS178" s="76"/>
      <c r="DT178" s="76"/>
      <c r="DU178" s="76"/>
      <c r="DV178" s="76"/>
      <c r="DW178" s="76"/>
      <c r="DX178" s="76"/>
      <c r="DY178" s="76"/>
      <c r="DZ178" s="76"/>
      <c r="EA178" s="76"/>
      <c r="EB178" s="76"/>
      <c r="EC178" s="76"/>
      <c r="ED178" s="76"/>
      <c r="EE178" s="76"/>
      <c r="EF178" s="76"/>
      <c r="EG178" s="76"/>
      <c r="EH178" s="76"/>
      <c r="EI178" s="76"/>
      <c r="EJ178" s="76"/>
      <c r="EK178" s="76"/>
      <c r="EL178" s="76"/>
      <c r="EM178" s="76"/>
      <c r="EN178" s="76"/>
      <c r="EO178" s="76"/>
      <c r="EP178" s="76"/>
      <c r="EQ178" s="76"/>
      <c r="ER178" s="76"/>
      <c r="ES178" s="76"/>
      <c r="ET178" s="76"/>
      <c r="EU178" s="76"/>
      <c r="EV178" s="76"/>
      <c r="EW178" s="76"/>
      <c r="EX178" s="76"/>
      <c r="EY178" s="76"/>
      <c r="EZ178" s="76"/>
      <c r="FA178" s="76"/>
      <c r="FB178" s="76"/>
      <c r="FC178" s="76"/>
      <c r="FD178" s="76"/>
      <c r="FE178" s="76"/>
      <c r="FF178" s="76"/>
      <c r="FG178" s="76"/>
      <c r="FH178" s="76"/>
      <c r="FI178" s="76"/>
      <c r="FJ178" s="76"/>
      <c r="FK178" s="76"/>
      <c r="FL178" s="76"/>
      <c r="FM178" s="76"/>
      <c r="FN178" s="76"/>
      <c r="FO178" s="76"/>
      <c r="FP178" s="76"/>
      <c r="FQ178" s="76"/>
      <c r="FR178" s="76"/>
      <c r="FS178" s="76"/>
      <c r="FT178" s="76"/>
      <c r="FU178" s="76"/>
      <c r="FV178" s="76"/>
      <c r="FW178" s="76"/>
      <c r="FX178" s="76"/>
      <c r="FY178" s="76"/>
      <c r="FZ178" s="76"/>
      <c r="GA178" s="76"/>
      <c r="GB178" s="76"/>
      <c r="GC178" s="76"/>
      <c r="GD178" s="76"/>
      <c r="GE178" s="76"/>
      <c r="GF178" s="76"/>
      <c r="GG178" s="76"/>
      <c r="GH178" s="76"/>
      <c r="GI178" s="76"/>
      <c r="GJ178" s="76"/>
      <c r="GK178" s="76"/>
      <c r="GL178" s="76"/>
      <c r="GM178" s="76"/>
      <c r="GN178" s="76"/>
      <c r="GO178" s="76"/>
      <c r="GP178" s="76"/>
      <c r="GQ178" s="76"/>
      <c r="GR178" s="76"/>
      <c r="GS178" s="76"/>
      <c r="GT178" s="76"/>
      <c r="GU178" s="76"/>
      <c r="GV178" s="76"/>
      <c r="GW178" s="76"/>
      <c r="GX178" s="76"/>
      <c r="GY178" s="76"/>
      <c r="GZ178" s="76"/>
      <c r="HA178" s="76"/>
      <c r="HB178" s="76"/>
      <c r="HC178" s="76"/>
      <c r="HD178" s="76"/>
      <c r="HE178" s="76"/>
      <c r="HF178" s="76"/>
      <c r="HG178" s="76"/>
      <c r="HH178" s="76"/>
      <c r="HI178" s="76"/>
      <c r="HJ178" s="76"/>
      <c r="HK178" s="76"/>
      <c r="HL178" s="76"/>
      <c r="HM178" s="76"/>
      <c r="HN178" s="76"/>
      <c r="HO178" s="76"/>
      <c r="HP178" s="76"/>
      <c r="HQ178" s="76"/>
      <c r="HR178" s="76"/>
      <c r="HS178" s="76"/>
      <c r="HT178" s="76"/>
      <c r="HU178" s="76"/>
      <c r="HV178" s="76"/>
      <c r="HW178" s="76"/>
      <c r="HX178" s="76"/>
      <c r="HY178" s="76"/>
      <c r="HZ178" s="76"/>
      <c r="IA178" s="76"/>
      <c r="IB178" s="76"/>
      <c r="IC178" s="76"/>
      <c r="ID178" s="76"/>
      <c r="IE178" s="76"/>
      <c r="IF178" s="76"/>
      <c r="IG178" s="76"/>
      <c r="IH178" s="76"/>
      <c r="II178" s="76"/>
      <c r="IJ178" s="76"/>
      <c r="IK178" s="76"/>
      <c r="IL178" s="76"/>
      <c r="IM178" s="76"/>
      <c r="IN178" s="76"/>
    </row>
    <row r="179" spans="1:248" s="16" customFormat="1">
      <c r="A179" s="71"/>
      <c r="B179" s="76"/>
      <c r="C179" s="76"/>
      <c r="D179" s="87"/>
      <c r="E179" s="87"/>
      <c r="F179" s="76"/>
      <c r="G179" s="87"/>
      <c r="H179" s="76"/>
      <c r="I179" s="76"/>
      <c r="J179" s="78"/>
      <c r="K179" s="5"/>
      <c r="L179" s="5"/>
      <c r="M179" s="5"/>
      <c r="N179" s="5"/>
      <c r="O179" s="11"/>
      <c r="P179" s="5"/>
      <c r="Q179" s="5"/>
      <c r="R179" s="76"/>
      <c r="S179" s="76"/>
      <c r="T179" s="76"/>
      <c r="U179" s="76"/>
      <c r="V179" s="76"/>
      <c r="W179" s="84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  <c r="BF179" s="76"/>
      <c r="BG179" s="76"/>
      <c r="BH179" s="76"/>
      <c r="BI179" s="76"/>
      <c r="BJ179" s="76"/>
      <c r="BK179" s="76"/>
      <c r="BL179" s="76"/>
      <c r="BM179" s="76"/>
      <c r="BN179" s="76"/>
      <c r="BO179" s="76"/>
      <c r="BP179" s="76"/>
      <c r="BQ179" s="76"/>
      <c r="BR179" s="76"/>
      <c r="BS179" s="76"/>
      <c r="BT179" s="76"/>
      <c r="BU179" s="76"/>
      <c r="BV179" s="76"/>
      <c r="BW179" s="76"/>
      <c r="BX179" s="76"/>
      <c r="BY179" s="76"/>
      <c r="BZ179" s="76"/>
      <c r="CA179" s="76"/>
      <c r="CB179" s="76"/>
      <c r="CC179" s="76"/>
      <c r="CD179" s="76"/>
      <c r="CE179" s="76"/>
      <c r="CF179" s="76"/>
      <c r="CG179" s="76"/>
      <c r="CH179" s="76"/>
      <c r="CI179" s="76"/>
      <c r="CJ179" s="76"/>
      <c r="CK179" s="76"/>
      <c r="CL179" s="76"/>
      <c r="CM179" s="76"/>
      <c r="CN179" s="76"/>
      <c r="CO179" s="76"/>
      <c r="CP179" s="76"/>
      <c r="CQ179" s="76"/>
      <c r="CR179" s="76"/>
      <c r="CS179" s="76"/>
      <c r="CT179" s="76"/>
      <c r="CU179" s="76"/>
      <c r="CV179" s="76"/>
      <c r="CW179" s="76"/>
      <c r="CX179" s="76"/>
      <c r="CY179" s="76"/>
      <c r="CZ179" s="76"/>
      <c r="DA179" s="76"/>
      <c r="DB179" s="76"/>
      <c r="DC179" s="76"/>
      <c r="DD179" s="76"/>
      <c r="DE179" s="76"/>
      <c r="DF179" s="76"/>
      <c r="DG179" s="76"/>
      <c r="DH179" s="76"/>
      <c r="DI179" s="76"/>
      <c r="DJ179" s="76"/>
      <c r="DK179" s="76"/>
      <c r="DL179" s="76"/>
      <c r="DM179" s="76"/>
      <c r="DN179" s="76"/>
      <c r="DO179" s="76"/>
      <c r="DP179" s="76"/>
      <c r="DQ179" s="76"/>
      <c r="DR179" s="76"/>
      <c r="DS179" s="76"/>
      <c r="DT179" s="76"/>
      <c r="DU179" s="76"/>
      <c r="DV179" s="76"/>
      <c r="DW179" s="76"/>
      <c r="DX179" s="76"/>
      <c r="DY179" s="76"/>
      <c r="DZ179" s="76"/>
      <c r="EA179" s="76"/>
      <c r="EB179" s="76"/>
      <c r="EC179" s="76"/>
      <c r="ED179" s="76"/>
      <c r="EE179" s="76"/>
      <c r="EF179" s="76"/>
      <c r="EG179" s="76"/>
      <c r="EH179" s="76"/>
      <c r="EI179" s="76"/>
      <c r="EJ179" s="76"/>
      <c r="EK179" s="76"/>
      <c r="EL179" s="76"/>
      <c r="EM179" s="76"/>
      <c r="EN179" s="76"/>
      <c r="EO179" s="76"/>
      <c r="EP179" s="76"/>
      <c r="EQ179" s="76"/>
      <c r="ER179" s="76"/>
      <c r="ES179" s="76"/>
      <c r="ET179" s="76"/>
      <c r="EU179" s="76"/>
      <c r="EV179" s="76"/>
      <c r="EW179" s="76"/>
      <c r="EX179" s="76"/>
      <c r="EY179" s="76"/>
      <c r="EZ179" s="76"/>
      <c r="FA179" s="76"/>
      <c r="FB179" s="76"/>
      <c r="FC179" s="76"/>
      <c r="FD179" s="76"/>
      <c r="FE179" s="76"/>
      <c r="FF179" s="76"/>
      <c r="FG179" s="76"/>
      <c r="FH179" s="76"/>
      <c r="FI179" s="76"/>
      <c r="FJ179" s="76"/>
      <c r="FK179" s="76"/>
      <c r="FL179" s="76"/>
      <c r="FM179" s="76"/>
      <c r="FN179" s="76"/>
      <c r="FO179" s="76"/>
      <c r="FP179" s="76"/>
      <c r="FQ179" s="76"/>
      <c r="FR179" s="76"/>
      <c r="FS179" s="76"/>
      <c r="FT179" s="76"/>
      <c r="FU179" s="76"/>
      <c r="FV179" s="76"/>
      <c r="FW179" s="76"/>
      <c r="FX179" s="76"/>
      <c r="FY179" s="76"/>
      <c r="FZ179" s="76"/>
      <c r="GA179" s="76"/>
      <c r="GB179" s="76"/>
      <c r="GC179" s="76"/>
      <c r="GD179" s="76"/>
      <c r="GE179" s="76"/>
      <c r="GF179" s="76"/>
      <c r="GG179" s="76"/>
      <c r="GH179" s="76"/>
      <c r="GI179" s="76"/>
      <c r="GJ179" s="76"/>
      <c r="GK179" s="76"/>
      <c r="GL179" s="76"/>
      <c r="GM179" s="76"/>
      <c r="GN179" s="76"/>
      <c r="GO179" s="76"/>
      <c r="GP179" s="76"/>
      <c r="GQ179" s="76"/>
      <c r="GR179" s="76"/>
      <c r="GS179" s="76"/>
      <c r="GT179" s="76"/>
      <c r="GU179" s="76"/>
      <c r="GV179" s="76"/>
      <c r="GW179" s="76"/>
      <c r="GX179" s="76"/>
      <c r="GY179" s="76"/>
      <c r="GZ179" s="76"/>
      <c r="HA179" s="76"/>
      <c r="HB179" s="76"/>
      <c r="HC179" s="76"/>
      <c r="HD179" s="76"/>
      <c r="HE179" s="76"/>
      <c r="HF179" s="76"/>
      <c r="HG179" s="76"/>
      <c r="HH179" s="76"/>
      <c r="HI179" s="76"/>
      <c r="HJ179" s="76"/>
      <c r="HK179" s="76"/>
      <c r="HL179" s="76"/>
      <c r="HM179" s="76"/>
      <c r="HN179" s="76"/>
      <c r="HO179" s="76"/>
      <c r="HP179" s="76"/>
      <c r="HQ179" s="76"/>
      <c r="HR179" s="76"/>
      <c r="HS179" s="76"/>
      <c r="HT179" s="76"/>
      <c r="HU179" s="76"/>
      <c r="HV179" s="76"/>
      <c r="HW179" s="76"/>
      <c r="HX179" s="76"/>
      <c r="HY179" s="76"/>
      <c r="HZ179" s="76"/>
      <c r="IA179" s="76"/>
      <c r="IB179" s="76"/>
      <c r="IC179" s="76"/>
      <c r="ID179" s="76"/>
      <c r="IE179" s="76"/>
      <c r="IF179" s="76"/>
      <c r="IG179" s="76"/>
      <c r="IH179" s="76"/>
      <c r="II179" s="76"/>
      <c r="IJ179" s="76"/>
      <c r="IK179" s="76"/>
      <c r="IL179" s="76"/>
      <c r="IM179" s="76"/>
      <c r="IN179" s="76"/>
    </row>
    <row r="180" spans="1:248" s="16" customFormat="1">
      <c r="A180" s="71"/>
      <c r="B180" s="76"/>
      <c r="C180" s="76"/>
      <c r="D180" s="87"/>
      <c r="E180" s="87"/>
      <c r="F180" s="76"/>
      <c r="G180" s="87"/>
      <c r="H180" s="76"/>
      <c r="I180" s="76"/>
      <c r="J180" s="78"/>
      <c r="K180" s="5"/>
      <c r="L180" s="5"/>
      <c r="M180" s="5"/>
      <c r="N180" s="5"/>
      <c r="O180" s="11"/>
      <c r="P180" s="5"/>
      <c r="Q180" s="5"/>
      <c r="R180" s="76"/>
      <c r="S180" s="76"/>
      <c r="T180" s="76"/>
      <c r="U180" s="76"/>
      <c r="V180" s="76"/>
      <c r="W180" s="84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  <c r="BF180" s="76"/>
      <c r="BG180" s="76"/>
      <c r="BH180" s="76"/>
      <c r="BI180" s="76"/>
      <c r="BJ180" s="76"/>
      <c r="BK180" s="76"/>
      <c r="BL180" s="76"/>
      <c r="BM180" s="76"/>
      <c r="BN180" s="76"/>
      <c r="BO180" s="76"/>
      <c r="BP180" s="76"/>
      <c r="BQ180" s="76"/>
      <c r="BR180" s="76"/>
      <c r="BS180" s="76"/>
      <c r="BT180" s="76"/>
      <c r="BU180" s="76"/>
      <c r="BV180" s="76"/>
      <c r="BW180" s="76"/>
      <c r="BX180" s="76"/>
      <c r="BY180" s="76"/>
      <c r="BZ180" s="76"/>
      <c r="CA180" s="76"/>
      <c r="CB180" s="76"/>
      <c r="CC180" s="76"/>
      <c r="CD180" s="76"/>
      <c r="CE180" s="76"/>
      <c r="CF180" s="76"/>
      <c r="CG180" s="76"/>
      <c r="CH180" s="76"/>
      <c r="CI180" s="76"/>
      <c r="CJ180" s="76"/>
      <c r="CK180" s="76"/>
      <c r="CL180" s="76"/>
      <c r="CM180" s="76"/>
      <c r="CN180" s="76"/>
      <c r="CO180" s="76"/>
      <c r="CP180" s="76"/>
      <c r="CQ180" s="76"/>
      <c r="CR180" s="76"/>
      <c r="CS180" s="76"/>
      <c r="CT180" s="76"/>
      <c r="CU180" s="76"/>
      <c r="CV180" s="76"/>
      <c r="CW180" s="76"/>
      <c r="CX180" s="76"/>
      <c r="CY180" s="76"/>
      <c r="CZ180" s="76"/>
      <c r="DA180" s="76"/>
      <c r="DB180" s="76"/>
      <c r="DC180" s="76"/>
      <c r="DD180" s="76"/>
      <c r="DE180" s="76"/>
      <c r="DF180" s="76"/>
      <c r="DG180" s="76"/>
      <c r="DH180" s="76"/>
      <c r="DI180" s="76"/>
      <c r="DJ180" s="76"/>
      <c r="DK180" s="76"/>
      <c r="DL180" s="76"/>
      <c r="DM180" s="76"/>
      <c r="DN180" s="76"/>
      <c r="DO180" s="76"/>
      <c r="DP180" s="76"/>
      <c r="DQ180" s="76"/>
      <c r="DR180" s="76"/>
      <c r="DS180" s="76"/>
      <c r="DT180" s="76"/>
      <c r="DU180" s="76"/>
      <c r="DV180" s="76"/>
      <c r="DW180" s="76"/>
      <c r="DX180" s="76"/>
      <c r="DY180" s="76"/>
      <c r="DZ180" s="76"/>
      <c r="EA180" s="76"/>
      <c r="EB180" s="76"/>
      <c r="EC180" s="76"/>
      <c r="ED180" s="76"/>
      <c r="EE180" s="76"/>
      <c r="EF180" s="76"/>
      <c r="EG180" s="76"/>
      <c r="EH180" s="76"/>
      <c r="EI180" s="76"/>
      <c r="EJ180" s="76"/>
      <c r="EK180" s="76"/>
      <c r="EL180" s="76"/>
      <c r="EM180" s="76"/>
      <c r="EN180" s="76"/>
      <c r="EO180" s="76"/>
      <c r="EP180" s="76"/>
      <c r="EQ180" s="76"/>
      <c r="ER180" s="76"/>
      <c r="ES180" s="76"/>
      <c r="ET180" s="76"/>
      <c r="EU180" s="76"/>
      <c r="EV180" s="76"/>
      <c r="EW180" s="76"/>
      <c r="EX180" s="76"/>
      <c r="EY180" s="76"/>
      <c r="EZ180" s="76"/>
      <c r="FA180" s="76"/>
      <c r="FB180" s="76"/>
      <c r="FC180" s="76"/>
      <c r="FD180" s="76"/>
      <c r="FE180" s="76"/>
      <c r="FF180" s="76"/>
      <c r="FG180" s="76"/>
      <c r="FH180" s="76"/>
      <c r="FI180" s="76"/>
      <c r="FJ180" s="76"/>
      <c r="FK180" s="76"/>
      <c r="FL180" s="76"/>
      <c r="FM180" s="76"/>
      <c r="FN180" s="76"/>
      <c r="FO180" s="76"/>
      <c r="FP180" s="76"/>
      <c r="FQ180" s="76"/>
      <c r="FR180" s="76"/>
      <c r="FS180" s="76"/>
      <c r="FT180" s="76"/>
      <c r="FU180" s="76"/>
      <c r="FV180" s="76"/>
      <c r="FW180" s="76"/>
      <c r="FX180" s="76"/>
      <c r="FY180" s="76"/>
      <c r="FZ180" s="76"/>
      <c r="GA180" s="76"/>
      <c r="GB180" s="76"/>
      <c r="GC180" s="76"/>
      <c r="GD180" s="76"/>
      <c r="GE180" s="76"/>
      <c r="GF180" s="76"/>
      <c r="GG180" s="76"/>
      <c r="GH180" s="76"/>
      <c r="GI180" s="76"/>
      <c r="GJ180" s="76"/>
      <c r="GK180" s="76"/>
      <c r="GL180" s="76"/>
      <c r="GM180" s="76"/>
      <c r="GN180" s="76"/>
      <c r="GO180" s="76"/>
      <c r="GP180" s="76"/>
      <c r="GQ180" s="76"/>
      <c r="GR180" s="76"/>
      <c r="GS180" s="76"/>
      <c r="GT180" s="76"/>
      <c r="GU180" s="76"/>
      <c r="GV180" s="76"/>
      <c r="GW180" s="76"/>
      <c r="GX180" s="76"/>
      <c r="GY180" s="76"/>
      <c r="GZ180" s="76"/>
      <c r="HA180" s="76"/>
      <c r="HB180" s="76"/>
      <c r="HC180" s="76"/>
      <c r="HD180" s="76"/>
      <c r="HE180" s="76"/>
      <c r="HF180" s="76"/>
      <c r="HG180" s="76"/>
      <c r="HH180" s="76"/>
      <c r="HI180" s="76"/>
      <c r="HJ180" s="76"/>
      <c r="HK180" s="76"/>
      <c r="HL180" s="76"/>
      <c r="HM180" s="76"/>
      <c r="HN180" s="76"/>
      <c r="HO180" s="76"/>
      <c r="HP180" s="76"/>
      <c r="HQ180" s="76"/>
      <c r="HR180" s="76"/>
      <c r="HS180" s="76"/>
      <c r="HT180" s="76"/>
      <c r="HU180" s="76"/>
      <c r="HV180" s="76"/>
      <c r="HW180" s="76"/>
      <c r="HX180" s="76"/>
      <c r="HY180" s="76"/>
      <c r="HZ180" s="76"/>
      <c r="IA180" s="76"/>
      <c r="IB180" s="76"/>
      <c r="IC180" s="76"/>
      <c r="ID180" s="76"/>
      <c r="IE180" s="76"/>
      <c r="IF180" s="76"/>
      <c r="IG180" s="76"/>
      <c r="IH180" s="76"/>
      <c r="II180" s="76"/>
      <c r="IJ180" s="76"/>
      <c r="IK180" s="76"/>
      <c r="IL180" s="76"/>
      <c r="IM180" s="76"/>
      <c r="IN180" s="76"/>
    </row>
    <row r="181" spans="1:248" s="16" customFormat="1">
      <c r="A181" s="71"/>
      <c r="B181" s="76"/>
      <c r="C181" s="76"/>
      <c r="D181" s="87"/>
      <c r="E181" s="87"/>
      <c r="F181" s="76"/>
      <c r="G181" s="87"/>
      <c r="H181" s="76"/>
      <c r="I181" s="76"/>
      <c r="J181" s="78"/>
      <c r="K181" s="5"/>
      <c r="L181" s="5"/>
      <c r="M181" s="5"/>
      <c r="N181" s="5"/>
      <c r="O181" s="11"/>
      <c r="P181" s="5"/>
      <c r="Q181" s="5"/>
      <c r="R181" s="76"/>
      <c r="S181" s="76"/>
      <c r="T181" s="76"/>
      <c r="U181" s="76"/>
      <c r="V181" s="76"/>
      <c r="W181" s="84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  <c r="BF181" s="76"/>
      <c r="BG181" s="76"/>
      <c r="BH181" s="76"/>
      <c r="BI181" s="76"/>
      <c r="BJ181" s="76"/>
      <c r="BK181" s="76"/>
      <c r="BL181" s="76"/>
      <c r="BM181" s="76"/>
      <c r="BN181" s="76"/>
      <c r="BO181" s="76"/>
      <c r="BP181" s="76"/>
      <c r="BQ181" s="76"/>
      <c r="BR181" s="76"/>
      <c r="BS181" s="76"/>
      <c r="BT181" s="76"/>
      <c r="BU181" s="76"/>
      <c r="BV181" s="76"/>
      <c r="BW181" s="76"/>
      <c r="BX181" s="76"/>
      <c r="BY181" s="76"/>
      <c r="BZ181" s="76"/>
      <c r="CA181" s="76"/>
      <c r="CB181" s="76"/>
      <c r="CC181" s="76"/>
      <c r="CD181" s="76"/>
      <c r="CE181" s="76"/>
      <c r="CF181" s="76"/>
      <c r="CG181" s="76"/>
      <c r="CH181" s="76"/>
      <c r="CI181" s="76"/>
      <c r="CJ181" s="76"/>
      <c r="CK181" s="76"/>
      <c r="CL181" s="76"/>
      <c r="CM181" s="76"/>
      <c r="CN181" s="76"/>
      <c r="CO181" s="76"/>
      <c r="CP181" s="76"/>
      <c r="CQ181" s="76"/>
      <c r="CR181" s="76"/>
      <c r="CS181" s="76"/>
      <c r="CT181" s="76"/>
      <c r="CU181" s="76"/>
      <c r="CV181" s="76"/>
      <c r="CW181" s="76"/>
      <c r="CX181" s="76"/>
      <c r="CY181" s="76"/>
      <c r="CZ181" s="76"/>
      <c r="DA181" s="76"/>
      <c r="DB181" s="76"/>
      <c r="DC181" s="76"/>
      <c r="DD181" s="76"/>
      <c r="DE181" s="76"/>
      <c r="DF181" s="76"/>
      <c r="DG181" s="76"/>
      <c r="DH181" s="76"/>
      <c r="DI181" s="76"/>
      <c r="DJ181" s="76"/>
      <c r="DK181" s="76"/>
      <c r="DL181" s="76"/>
      <c r="DM181" s="76"/>
      <c r="DN181" s="76"/>
      <c r="DO181" s="76"/>
      <c r="DP181" s="76"/>
      <c r="DQ181" s="76"/>
      <c r="DR181" s="76"/>
      <c r="DS181" s="76"/>
      <c r="DT181" s="76"/>
      <c r="DU181" s="76"/>
      <c r="DV181" s="76"/>
      <c r="DW181" s="76"/>
      <c r="DX181" s="76"/>
      <c r="DY181" s="76"/>
      <c r="DZ181" s="76"/>
      <c r="EA181" s="76"/>
      <c r="EB181" s="76"/>
      <c r="EC181" s="76"/>
      <c r="ED181" s="76"/>
      <c r="EE181" s="76"/>
      <c r="EF181" s="76"/>
      <c r="EG181" s="76"/>
      <c r="EH181" s="76"/>
      <c r="EI181" s="76"/>
      <c r="EJ181" s="76"/>
      <c r="EK181" s="76"/>
      <c r="EL181" s="76"/>
      <c r="EM181" s="76"/>
      <c r="EN181" s="76"/>
      <c r="EO181" s="76"/>
      <c r="EP181" s="76"/>
      <c r="EQ181" s="76"/>
      <c r="ER181" s="76"/>
      <c r="ES181" s="76"/>
      <c r="ET181" s="76"/>
      <c r="EU181" s="76"/>
      <c r="EV181" s="76"/>
      <c r="EW181" s="76"/>
      <c r="EX181" s="76"/>
      <c r="EY181" s="76"/>
      <c r="EZ181" s="76"/>
      <c r="FA181" s="76"/>
      <c r="FB181" s="76"/>
      <c r="FC181" s="76"/>
      <c r="FD181" s="76"/>
      <c r="FE181" s="76"/>
      <c r="FF181" s="76"/>
      <c r="FG181" s="76"/>
      <c r="FH181" s="76"/>
      <c r="FI181" s="76"/>
      <c r="FJ181" s="76"/>
      <c r="FK181" s="76"/>
      <c r="FL181" s="76"/>
      <c r="FM181" s="76"/>
      <c r="FN181" s="76"/>
      <c r="FO181" s="76"/>
      <c r="FP181" s="76"/>
      <c r="FQ181" s="76"/>
      <c r="FR181" s="76"/>
      <c r="FS181" s="76"/>
      <c r="FT181" s="76"/>
      <c r="FU181" s="76"/>
      <c r="FV181" s="76"/>
      <c r="FW181" s="76"/>
      <c r="FX181" s="76"/>
      <c r="FY181" s="76"/>
      <c r="FZ181" s="76"/>
      <c r="GA181" s="76"/>
      <c r="GB181" s="76"/>
      <c r="GC181" s="76"/>
      <c r="GD181" s="76"/>
      <c r="GE181" s="76"/>
      <c r="GF181" s="76"/>
      <c r="GG181" s="76"/>
      <c r="GH181" s="76"/>
      <c r="GI181" s="76"/>
      <c r="GJ181" s="76"/>
      <c r="GK181" s="76"/>
      <c r="GL181" s="76"/>
      <c r="GM181" s="76"/>
      <c r="GN181" s="76"/>
      <c r="GO181" s="76"/>
      <c r="GP181" s="76"/>
      <c r="GQ181" s="76"/>
      <c r="GR181" s="76"/>
      <c r="GS181" s="76"/>
      <c r="GT181" s="76"/>
      <c r="GU181" s="76"/>
      <c r="GV181" s="76"/>
      <c r="GW181" s="76"/>
      <c r="GX181" s="76"/>
      <c r="GY181" s="76"/>
      <c r="GZ181" s="76"/>
      <c r="HA181" s="76"/>
      <c r="HB181" s="76"/>
      <c r="HC181" s="76"/>
      <c r="HD181" s="76"/>
      <c r="HE181" s="76"/>
      <c r="HF181" s="76"/>
      <c r="HG181" s="76"/>
      <c r="HH181" s="76"/>
      <c r="HI181" s="76"/>
      <c r="HJ181" s="76"/>
      <c r="HK181" s="76"/>
      <c r="HL181" s="76"/>
      <c r="HM181" s="76"/>
      <c r="HN181" s="76"/>
      <c r="HO181" s="76"/>
      <c r="HP181" s="76"/>
      <c r="HQ181" s="76"/>
      <c r="HR181" s="76"/>
      <c r="HS181" s="76"/>
      <c r="HT181" s="76"/>
      <c r="HU181" s="76"/>
      <c r="HV181" s="76"/>
      <c r="HW181" s="76"/>
      <c r="HX181" s="76"/>
      <c r="HY181" s="76"/>
      <c r="HZ181" s="76"/>
      <c r="IA181" s="76"/>
      <c r="IB181" s="76"/>
      <c r="IC181" s="76"/>
      <c r="ID181" s="76"/>
      <c r="IE181" s="76"/>
      <c r="IF181" s="76"/>
      <c r="IG181" s="76"/>
      <c r="IH181" s="76"/>
      <c r="II181" s="76"/>
      <c r="IJ181" s="76"/>
      <c r="IK181" s="76"/>
      <c r="IL181" s="76"/>
      <c r="IM181" s="76"/>
      <c r="IN181" s="76"/>
    </row>
    <row r="182" spans="1:248" s="16" customFormat="1">
      <c r="A182" s="71"/>
      <c r="B182" s="76"/>
      <c r="C182" s="76"/>
      <c r="D182" s="87"/>
      <c r="E182" s="87"/>
      <c r="F182" s="76"/>
      <c r="G182" s="87"/>
      <c r="H182" s="76"/>
      <c r="I182" s="76"/>
      <c r="J182" s="78"/>
      <c r="K182" s="5"/>
      <c r="L182" s="5"/>
      <c r="M182" s="5"/>
      <c r="N182" s="5"/>
      <c r="O182" s="11"/>
      <c r="P182" s="5"/>
      <c r="Q182" s="5"/>
      <c r="R182" s="76"/>
      <c r="S182" s="76"/>
      <c r="T182" s="76"/>
      <c r="U182" s="76"/>
      <c r="V182" s="76"/>
      <c r="W182" s="84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  <c r="BU182" s="76"/>
      <c r="BV182" s="76"/>
      <c r="BW182" s="76"/>
      <c r="BX182" s="76"/>
      <c r="BY182" s="76"/>
      <c r="BZ182" s="76"/>
      <c r="CA182" s="76"/>
      <c r="CB182" s="76"/>
      <c r="CC182" s="76"/>
      <c r="CD182" s="76"/>
      <c r="CE182" s="76"/>
      <c r="CF182" s="76"/>
      <c r="CG182" s="76"/>
      <c r="CH182" s="76"/>
      <c r="CI182" s="76"/>
      <c r="CJ182" s="76"/>
      <c r="CK182" s="76"/>
      <c r="CL182" s="76"/>
      <c r="CM182" s="76"/>
      <c r="CN182" s="76"/>
      <c r="CO182" s="76"/>
      <c r="CP182" s="76"/>
      <c r="CQ182" s="76"/>
      <c r="CR182" s="76"/>
      <c r="CS182" s="76"/>
      <c r="CT182" s="76"/>
      <c r="CU182" s="76"/>
      <c r="CV182" s="76"/>
      <c r="CW182" s="76"/>
      <c r="CX182" s="76"/>
      <c r="CY182" s="76"/>
      <c r="CZ182" s="76"/>
      <c r="DA182" s="76"/>
      <c r="DB182" s="76"/>
      <c r="DC182" s="76"/>
      <c r="DD182" s="76"/>
      <c r="DE182" s="76"/>
      <c r="DF182" s="76"/>
      <c r="DG182" s="76"/>
      <c r="DH182" s="76"/>
      <c r="DI182" s="76"/>
      <c r="DJ182" s="76"/>
      <c r="DK182" s="76"/>
      <c r="DL182" s="76"/>
      <c r="DM182" s="76"/>
      <c r="DN182" s="76"/>
      <c r="DO182" s="76"/>
      <c r="DP182" s="76"/>
      <c r="DQ182" s="76"/>
      <c r="DR182" s="76"/>
      <c r="DS182" s="76"/>
      <c r="DT182" s="76"/>
      <c r="DU182" s="76"/>
      <c r="DV182" s="76"/>
      <c r="DW182" s="76"/>
      <c r="DX182" s="76"/>
      <c r="DY182" s="76"/>
      <c r="DZ182" s="76"/>
      <c r="EA182" s="76"/>
      <c r="EB182" s="76"/>
      <c r="EC182" s="76"/>
      <c r="ED182" s="76"/>
      <c r="EE182" s="76"/>
      <c r="EF182" s="76"/>
      <c r="EG182" s="76"/>
      <c r="EH182" s="76"/>
      <c r="EI182" s="76"/>
      <c r="EJ182" s="76"/>
      <c r="EK182" s="76"/>
      <c r="EL182" s="76"/>
      <c r="EM182" s="76"/>
      <c r="EN182" s="76"/>
      <c r="EO182" s="76"/>
      <c r="EP182" s="76"/>
      <c r="EQ182" s="76"/>
      <c r="ER182" s="76"/>
      <c r="ES182" s="76"/>
      <c r="ET182" s="76"/>
      <c r="EU182" s="76"/>
      <c r="EV182" s="76"/>
      <c r="EW182" s="76"/>
      <c r="EX182" s="76"/>
      <c r="EY182" s="76"/>
      <c r="EZ182" s="76"/>
      <c r="FA182" s="76"/>
      <c r="FB182" s="76"/>
      <c r="FC182" s="76"/>
      <c r="FD182" s="76"/>
      <c r="FE182" s="76"/>
      <c r="FF182" s="76"/>
      <c r="FG182" s="76"/>
      <c r="FH182" s="76"/>
      <c r="FI182" s="76"/>
      <c r="FJ182" s="76"/>
      <c r="FK182" s="76"/>
      <c r="FL182" s="76"/>
      <c r="FM182" s="76"/>
      <c r="FN182" s="76"/>
      <c r="FO182" s="76"/>
      <c r="FP182" s="76"/>
      <c r="FQ182" s="76"/>
      <c r="FR182" s="76"/>
      <c r="FS182" s="76"/>
      <c r="FT182" s="76"/>
      <c r="FU182" s="76"/>
      <c r="FV182" s="76"/>
      <c r="FW182" s="76"/>
      <c r="FX182" s="76"/>
      <c r="FY182" s="76"/>
      <c r="FZ182" s="76"/>
      <c r="GA182" s="76"/>
      <c r="GB182" s="76"/>
      <c r="GC182" s="76"/>
      <c r="GD182" s="76"/>
      <c r="GE182" s="76"/>
      <c r="GF182" s="76"/>
      <c r="GG182" s="76"/>
      <c r="GH182" s="76"/>
      <c r="GI182" s="76"/>
      <c r="GJ182" s="76"/>
      <c r="GK182" s="76"/>
      <c r="GL182" s="76"/>
      <c r="GM182" s="76"/>
      <c r="GN182" s="76"/>
      <c r="GO182" s="76"/>
      <c r="GP182" s="76"/>
      <c r="GQ182" s="76"/>
      <c r="GR182" s="76"/>
      <c r="GS182" s="76"/>
      <c r="GT182" s="76"/>
      <c r="GU182" s="76"/>
      <c r="GV182" s="76"/>
      <c r="GW182" s="76"/>
      <c r="GX182" s="76"/>
      <c r="GY182" s="76"/>
      <c r="GZ182" s="76"/>
      <c r="HA182" s="76"/>
      <c r="HB182" s="76"/>
      <c r="HC182" s="76"/>
      <c r="HD182" s="76"/>
      <c r="HE182" s="76"/>
      <c r="HF182" s="76"/>
      <c r="HG182" s="76"/>
      <c r="HH182" s="76"/>
      <c r="HI182" s="76"/>
      <c r="HJ182" s="76"/>
      <c r="HK182" s="76"/>
      <c r="HL182" s="76"/>
      <c r="HM182" s="76"/>
      <c r="HN182" s="76"/>
      <c r="HO182" s="76"/>
      <c r="HP182" s="76"/>
      <c r="HQ182" s="76"/>
      <c r="HR182" s="76"/>
      <c r="HS182" s="76"/>
      <c r="HT182" s="76"/>
      <c r="HU182" s="76"/>
      <c r="HV182" s="76"/>
      <c r="HW182" s="76"/>
      <c r="HX182" s="76"/>
      <c r="HY182" s="76"/>
      <c r="HZ182" s="76"/>
      <c r="IA182" s="76"/>
      <c r="IB182" s="76"/>
      <c r="IC182" s="76"/>
      <c r="ID182" s="76"/>
      <c r="IE182" s="76"/>
      <c r="IF182" s="76"/>
      <c r="IG182" s="76"/>
      <c r="IH182" s="76"/>
      <c r="II182" s="76"/>
      <c r="IJ182" s="76"/>
      <c r="IK182" s="76"/>
      <c r="IL182" s="76"/>
      <c r="IM182" s="76"/>
      <c r="IN182" s="76"/>
    </row>
    <row r="183" spans="1:248" s="16" customFormat="1">
      <c r="A183" s="71"/>
      <c r="B183" s="76"/>
      <c r="C183" s="76"/>
      <c r="D183" s="87"/>
      <c r="E183" s="87"/>
      <c r="F183" s="76"/>
      <c r="G183" s="87"/>
      <c r="H183" s="76"/>
      <c r="I183" s="76"/>
      <c r="J183" s="78"/>
      <c r="K183" s="5"/>
      <c r="L183" s="5"/>
      <c r="M183" s="5"/>
      <c r="N183" s="5"/>
      <c r="O183" s="11"/>
      <c r="P183" s="5"/>
      <c r="Q183" s="5"/>
      <c r="R183" s="76"/>
      <c r="S183" s="76"/>
      <c r="T183" s="76"/>
      <c r="U183" s="76"/>
      <c r="V183" s="76"/>
      <c r="W183" s="84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76"/>
      <c r="BJ183" s="76"/>
      <c r="BK183" s="76"/>
      <c r="BL183" s="76"/>
      <c r="BM183" s="76"/>
      <c r="BN183" s="76"/>
      <c r="BO183" s="76"/>
      <c r="BP183" s="76"/>
      <c r="BQ183" s="76"/>
      <c r="BR183" s="76"/>
      <c r="BS183" s="76"/>
      <c r="BT183" s="76"/>
      <c r="BU183" s="76"/>
      <c r="BV183" s="76"/>
      <c r="BW183" s="76"/>
      <c r="BX183" s="76"/>
      <c r="BY183" s="76"/>
      <c r="BZ183" s="76"/>
      <c r="CA183" s="76"/>
      <c r="CB183" s="76"/>
      <c r="CC183" s="76"/>
      <c r="CD183" s="76"/>
      <c r="CE183" s="76"/>
      <c r="CF183" s="76"/>
      <c r="CG183" s="76"/>
      <c r="CH183" s="76"/>
      <c r="CI183" s="76"/>
      <c r="CJ183" s="76"/>
      <c r="CK183" s="76"/>
      <c r="CL183" s="76"/>
      <c r="CM183" s="76"/>
      <c r="CN183" s="76"/>
      <c r="CO183" s="76"/>
      <c r="CP183" s="76"/>
      <c r="CQ183" s="76"/>
      <c r="CR183" s="76"/>
      <c r="CS183" s="76"/>
      <c r="CT183" s="76"/>
      <c r="CU183" s="76"/>
      <c r="CV183" s="76"/>
      <c r="CW183" s="76"/>
      <c r="CX183" s="76"/>
      <c r="CY183" s="76"/>
      <c r="CZ183" s="76"/>
      <c r="DA183" s="76"/>
      <c r="DB183" s="76"/>
      <c r="DC183" s="76"/>
      <c r="DD183" s="76"/>
      <c r="DE183" s="76"/>
      <c r="DF183" s="76"/>
      <c r="DG183" s="76"/>
      <c r="DH183" s="76"/>
      <c r="DI183" s="76"/>
      <c r="DJ183" s="76"/>
      <c r="DK183" s="76"/>
      <c r="DL183" s="76"/>
      <c r="DM183" s="76"/>
      <c r="DN183" s="76"/>
      <c r="DO183" s="76"/>
      <c r="DP183" s="76"/>
      <c r="DQ183" s="76"/>
      <c r="DR183" s="76"/>
      <c r="DS183" s="76"/>
      <c r="DT183" s="76"/>
      <c r="DU183" s="76"/>
      <c r="DV183" s="76"/>
      <c r="DW183" s="76"/>
      <c r="DX183" s="76"/>
      <c r="DY183" s="76"/>
      <c r="DZ183" s="76"/>
      <c r="EA183" s="76"/>
      <c r="EB183" s="76"/>
      <c r="EC183" s="76"/>
      <c r="ED183" s="76"/>
      <c r="EE183" s="76"/>
      <c r="EF183" s="76"/>
      <c r="EG183" s="76"/>
      <c r="EH183" s="76"/>
      <c r="EI183" s="76"/>
      <c r="EJ183" s="76"/>
      <c r="EK183" s="76"/>
      <c r="EL183" s="76"/>
      <c r="EM183" s="76"/>
      <c r="EN183" s="76"/>
      <c r="EO183" s="76"/>
      <c r="EP183" s="76"/>
      <c r="EQ183" s="76"/>
      <c r="ER183" s="76"/>
      <c r="ES183" s="76"/>
      <c r="ET183" s="76"/>
      <c r="EU183" s="76"/>
      <c r="EV183" s="76"/>
      <c r="EW183" s="76"/>
      <c r="EX183" s="76"/>
      <c r="EY183" s="76"/>
      <c r="EZ183" s="76"/>
      <c r="FA183" s="76"/>
      <c r="FB183" s="76"/>
      <c r="FC183" s="76"/>
      <c r="FD183" s="76"/>
      <c r="FE183" s="76"/>
      <c r="FF183" s="76"/>
      <c r="FG183" s="76"/>
      <c r="FH183" s="76"/>
      <c r="FI183" s="76"/>
      <c r="FJ183" s="76"/>
      <c r="FK183" s="76"/>
      <c r="FL183" s="76"/>
      <c r="FM183" s="76"/>
      <c r="FN183" s="76"/>
      <c r="FO183" s="76"/>
      <c r="FP183" s="76"/>
      <c r="FQ183" s="76"/>
      <c r="FR183" s="76"/>
      <c r="FS183" s="76"/>
      <c r="FT183" s="76"/>
      <c r="FU183" s="76"/>
      <c r="FV183" s="76"/>
      <c r="FW183" s="76"/>
      <c r="FX183" s="76"/>
      <c r="FY183" s="76"/>
      <c r="FZ183" s="76"/>
      <c r="GA183" s="76"/>
      <c r="GB183" s="76"/>
      <c r="GC183" s="76"/>
      <c r="GD183" s="76"/>
      <c r="GE183" s="76"/>
      <c r="GF183" s="76"/>
      <c r="GG183" s="76"/>
      <c r="GH183" s="76"/>
      <c r="GI183" s="76"/>
      <c r="GJ183" s="76"/>
      <c r="GK183" s="76"/>
      <c r="GL183" s="76"/>
      <c r="GM183" s="76"/>
      <c r="GN183" s="76"/>
      <c r="GO183" s="76"/>
      <c r="GP183" s="76"/>
      <c r="GQ183" s="76"/>
      <c r="GR183" s="76"/>
      <c r="GS183" s="76"/>
      <c r="GT183" s="76"/>
      <c r="GU183" s="76"/>
      <c r="GV183" s="76"/>
      <c r="GW183" s="76"/>
      <c r="GX183" s="76"/>
      <c r="GY183" s="76"/>
      <c r="GZ183" s="76"/>
      <c r="HA183" s="76"/>
      <c r="HB183" s="76"/>
      <c r="HC183" s="76"/>
      <c r="HD183" s="76"/>
      <c r="HE183" s="76"/>
      <c r="HF183" s="76"/>
      <c r="HG183" s="76"/>
      <c r="HH183" s="76"/>
      <c r="HI183" s="76"/>
      <c r="HJ183" s="76"/>
      <c r="HK183" s="76"/>
      <c r="HL183" s="76"/>
      <c r="HM183" s="76"/>
      <c r="HN183" s="76"/>
      <c r="HO183" s="76"/>
      <c r="HP183" s="76"/>
      <c r="HQ183" s="76"/>
      <c r="HR183" s="76"/>
      <c r="HS183" s="76"/>
      <c r="HT183" s="76"/>
      <c r="HU183" s="76"/>
      <c r="HV183" s="76"/>
      <c r="HW183" s="76"/>
      <c r="HX183" s="76"/>
      <c r="HY183" s="76"/>
      <c r="HZ183" s="76"/>
      <c r="IA183" s="76"/>
      <c r="IB183" s="76"/>
      <c r="IC183" s="76"/>
      <c r="ID183" s="76"/>
      <c r="IE183" s="76"/>
      <c r="IF183" s="76"/>
      <c r="IG183" s="76"/>
      <c r="IH183" s="76"/>
      <c r="II183" s="76"/>
      <c r="IJ183" s="76"/>
      <c r="IK183" s="76"/>
      <c r="IL183" s="76"/>
      <c r="IM183" s="76"/>
      <c r="IN183" s="76"/>
    </row>
    <row r="184" spans="1:248" s="16" customFormat="1">
      <c r="A184" s="71"/>
      <c r="B184" s="76"/>
      <c r="C184" s="76"/>
      <c r="D184" s="87"/>
      <c r="E184" s="87"/>
      <c r="F184" s="76"/>
      <c r="G184" s="87"/>
      <c r="H184" s="76"/>
      <c r="I184" s="76"/>
      <c r="J184" s="78"/>
      <c r="K184" s="5"/>
      <c r="L184" s="5"/>
      <c r="M184" s="5"/>
      <c r="N184" s="5"/>
      <c r="O184" s="11"/>
      <c r="P184" s="5"/>
      <c r="Q184" s="5"/>
      <c r="R184" s="76"/>
      <c r="S184" s="76"/>
      <c r="T184" s="76"/>
      <c r="U184" s="76"/>
      <c r="V184" s="76"/>
      <c r="W184" s="84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  <c r="BF184" s="76"/>
      <c r="BG184" s="76"/>
      <c r="BH184" s="76"/>
      <c r="BI184" s="76"/>
      <c r="BJ184" s="76"/>
      <c r="BK184" s="76"/>
      <c r="BL184" s="76"/>
      <c r="BM184" s="76"/>
      <c r="BN184" s="76"/>
      <c r="BO184" s="76"/>
      <c r="BP184" s="76"/>
      <c r="BQ184" s="76"/>
      <c r="BR184" s="76"/>
      <c r="BS184" s="76"/>
      <c r="BT184" s="76"/>
      <c r="BU184" s="76"/>
      <c r="BV184" s="76"/>
      <c r="BW184" s="76"/>
      <c r="BX184" s="76"/>
      <c r="BY184" s="76"/>
      <c r="BZ184" s="76"/>
      <c r="CA184" s="76"/>
      <c r="CB184" s="76"/>
      <c r="CC184" s="76"/>
      <c r="CD184" s="76"/>
      <c r="CE184" s="76"/>
      <c r="CF184" s="76"/>
      <c r="CG184" s="76"/>
      <c r="CH184" s="76"/>
      <c r="CI184" s="76"/>
      <c r="CJ184" s="76"/>
      <c r="CK184" s="76"/>
      <c r="CL184" s="76"/>
      <c r="CM184" s="76"/>
      <c r="CN184" s="76"/>
      <c r="CO184" s="76"/>
      <c r="CP184" s="76"/>
      <c r="CQ184" s="76"/>
      <c r="CR184" s="76"/>
      <c r="CS184" s="76"/>
      <c r="CT184" s="76"/>
      <c r="CU184" s="76"/>
      <c r="CV184" s="76"/>
      <c r="CW184" s="76"/>
      <c r="CX184" s="76"/>
      <c r="CY184" s="76"/>
      <c r="CZ184" s="76"/>
      <c r="DA184" s="76"/>
      <c r="DB184" s="76"/>
      <c r="DC184" s="76"/>
      <c r="DD184" s="76"/>
      <c r="DE184" s="76"/>
      <c r="DF184" s="76"/>
      <c r="DG184" s="76"/>
      <c r="DH184" s="76"/>
      <c r="DI184" s="76"/>
      <c r="DJ184" s="76"/>
      <c r="DK184" s="76"/>
      <c r="DL184" s="76"/>
      <c r="DM184" s="76"/>
      <c r="DN184" s="76"/>
      <c r="DO184" s="76"/>
      <c r="DP184" s="76"/>
      <c r="DQ184" s="76"/>
      <c r="DR184" s="76"/>
      <c r="DS184" s="76"/>
      <c r="DT184" s="76"/>
      <c r="DU184" s="76"/>
      <c r="DV184" s="76"/>
      <c r="DW184" s="76"/>
      <c r="DX184" s="76"/>
      <c r="DY184" s="76"/>
      <c r="DZ184" s="76"/>
      <c r="EA184" s="76"/>
      <c r="EB184" s="76"/>
      <c r="EC184" s="76"/>
      <c r="ED184" s="76"/>
      <c r="EE184" s="76"/>
      <c r="EF184" s="76"/>
      <c r="EG184" s="76"/>
      <c r="EH184" s="76"/>
      <c r="EI184" s="76"/>
      <c r="EJ184" s="76"/>
      <c r="EK184" s="76"/>
      <c r="EL184" s="76"/>
      <c r="EM184" s="76"/>
      <c r="EN184" s="76"/>
      <c r="EO184" s="76"/>
      <c r="EP184" s="76"/>
      <c r="EQ184" s="76"/>
      <c r="ER184" s="76"/>
      <c r="ES184" s="76"/>
      <c r="ET184" s="76"/>
      <c r="EU184" s="76"/>
      <c r="EV184" s="76"/>
      <c r="EW184" s="76"/>
      <c r="EX184" s="76"/>
      <c r="EY184" s="76"/>
      <c r="EZ184" s="76"/>
      <c r="FA184" s="76"/>
      <c r="FB184" s="76"/>
      <c r="FC184" s="76"/>
      <c r="FD184" s="76"/>
      <c r="FE184" s="76"/>
      <c r="FF184" s="76"/>
      <c r="FG184" s="76"/>
      <c r="FH184" s="76"/>
      <c r="FI184" s="76"/>
      <c r="FJ184" s="76"/>
      <c r="FK184" s="76"/>
      <c r="FL184" s="76"/>
      <c r="FM184" s="76"/>
      <c r="FN184" s="76"/>
      <c r="FO184" s="76"/>
      <c r="FP184" s="76"/>
      <c r="FQ184" s="76"/>
      <c r="FR184" s="76"/>
      <c r="FS184" s="76"/>
      <c r="FT184" s="76"/>
      <c r="FU184" s="76"/>
      <c r="FV184" s="76"/>
      <c r="FW184" s="76"/>
      <c r="FX184" s="76"/>
      <c r="FY184" s="76"/>
      <c r="FZ184" s="76"/>
      <c r="GA184" s="76"/>
      <c r="GB184" s="76"/>
      <c r="GC184" s="76"/>
      <c r="GD184" s="76"/>
      <c r="GE184" s="76"/>
      <c r="GF184" s="76"/>
      <c r="GG184" s="76"/>
      <c r="GH184" s="76"/>
      <c r="GI184" s="76"/>
      <c r="GJ184" s="76"/>
      <c r="GK184" s="76"/>
      <c r="GL184" s="76"/>
      <c r="GM184" s="76"/>
      <c r="GN184" s="76"/>
      <c r="GO184" s="76"/>
      <c r="GP184" s="76"/>
      <c r="GQ184" s="76"/>
      <c r="GR184" s="76"/>
      <c r="GS184" s="76"/>
      <c r="GT184" s="76"/>
      <c r="GU184" s="76"/>
      <c r="GV184" s="76"/>
      <c r="GW184" s="76"/>
      <c r="GX184" s="76"/>
      <c r="GY184" s="76"/>
      <c r="GZ184" s="76"/>
      <c r="HA184" s="76"/>
      <c r="HB184" s="76"/>
      <c r="HC184" s="76"/>
      <c r="HD184" s="76"/>
      <c r="HE184" s="76"/>
      <c r="HF184" s="76"/>
      <c r="HG184" s="76"/>
      <c r="HH184" s="76"/>
      <c r="HI184" s="76"/>
      <c r="HJ184" s="76"/>
      <c r="HK184" s="76"/>
      <c r="HL184" s="76"/>
      <c r="HM184" s="76"/>
      <c r="HN184" s="76"/>
      <c r="HO184" s="76"/>
      <c r="HP184" s="76"/>
      <c r="HQ184" s="76"/>
      <c r="HR184" s="76"/>
      <c r="HS184" s="76"/>
      <c r="HT184" s="76"/>
      <c r="HU184" s="76"/>
      <c r="HV184" s="76"/>
      <c r="HW184" s="76"/>
      <c r="HX184" s="76"/>
      <c r="HY184" s="76"/>
      <c r="HZ184" s="76"/>
      <c r="IA184" s="76"/>
      <c r="IB184" s="76"/>
      <c r="IC184" s="76"/>
      <c r="ID184" s="76"/>
      <c r="IE184" s="76"/>
      <c r="IF184" s="76"/>
      <c r="IG184" s="76"/>
      <c r="IH184" s="76"/>
      <c r="II184" s="76"/>
      <c r="IJ184" s="76"/>
      <c r="IK184" s="76"/>
      <c r="IL184" s="76"/>
      <c r="IM184" s="76"/>
      <c r="IN184" s="76"/>
    </row>
    <row r="185" spans="1:248" s="16" customFormat="1">
      <c r="A185" s="71"/>
      <c r="B185" s="76"/>
      <c r="C185" s="76"/>
      <c r="D185" s="87"/>
      <c r="E185" s="87"/>
      <c r="F185" s="76"/>
      <c r="G185" s="87"/>
      <c r="H185" s="76"/>
      <c r="I185" s="76"/>
      <c r="J185" s="78"/>
      <c r="K185" s="5"/>
      <c r="L185" s="5"/>
      <c r="M185" s="5"/>
      <c r="N185" s="5"/>
      <c r="O185" s="11"/>
      <c r="P185" s="5"/>
      <c r="Q185" s="5"/>
      <c r="R185" s="76"/>
      <c r="S185" s="76"/>
      <c r="T185" s="76"/>
      <c r="U185" s="76"/>
      <c r="V185" s="76"/>
      <c r="W185" s="84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  <c r="BF185" s="76"/>
      <c r="BG185" s="76"/>
      <c r="BH185" s="76"/>
      <c r="BI185" s="76"/>
      <c r="BJ185" s="76"/>
      <c r="BK185" s="76"/>
      <c r="BL185" s="76"/>
      <c r="BM185" s="76"/>
      <c r="BN185" s="76"/>
      <c r="BO185" s="76"/>
      <c r="BP185" s="76"/>
      <c r="BQ185" s="76"/>
      <c r="BR185" s="76"/>
      <c r="BS185" s="76"/>
      <c r="BT185" s="76"/>
      <c r="BU185" s="76"/>
      <c r="BV185" s="76"/>
      <c r="BW185" s="76"/>
      <c r="BX185" s="76"/>
      <c r="BY185" s="76"/>
      <c r="BZ185" s="76"/>
      <c r="CA185" s="76"/>
      <c r="CB185" s="76"/>
      <c r="CC185" s="76"/>
      <c r="CD185" s="76"/>
      <c r="CE185" s="76"/>
      <c r="CF185" s="76"/>
      <c r="CG185" s="76"/>
      <c r="CH185" s="76"/>
      <c r="CI185" s="76"/>
      <c r="CJ185" s="76"/>
      <c r="CK185" s="76"/>
      <c r="CL185" s="76"/>
      <c r="CM185" s="76"/>
      <c r="CN185" s="76"/>
      <c r="CO185" s="76"/>
      <c r="CP185" s="76"/>
      <c r="CQ185" s="76"/>
      <c r="CR185" s="76"/>
      <c r="CS185" s="76"/>
      <c r="CT185" s="76"/>
      <c r="CU185" s="76"/>
      <c r="CV185" s="76"/>
      <c r="CW185" s="76"/>
      <c r="CX185" s="76"/>
      <c r="CY185" s="76"/>
      <c r="CZ185" s="76"/>
      <c r="DA185" s="76"/>
      <c r="DB185" s="76"/>
      <c r="DC185" s="76"/>
      <c r="DD185" s="76"/>
      <c r="DE185" s="76"/>
      <c r="DF185" s="76"/>
      <c r="DG185" s="76"/>
      <c r="DH185" s="76"/>
      <c r="DI185" s="76"/>
      <c r="DJ185" s="76"/>
      <c r="DK185" s="76"/>
      <c r="DL185" s="76"/>
      <c r="DM185" s="76"/>
      <c r="DN185" s="76"/>
      <c r="DO185" s="76"/>
      <c r="DP185" s="76"/>
      <c r="DQ185" s="76"/>
      <c r="DR185" s="76"/>
      <c r="DS185" s="76"/>
      <c r="DT185" s="76"/>
      <c r="DU185" s="76"/>
      <c r="DV185" s="76"/>
      <c r="DW185" s="76"/>
      <c r="DX185" s="76"/>
      <c r="DY185" s="76"/>
      <c r="DZ185" s="76"/>
      <c r="EA185" s="76"/>
      <c r="EB185" s="76"/>
      <c r="EC185" s="76"/>
      <c r="ED185" s="76"/>
      <c r="EE185" s="76"/>
      <c r="EF185" s="76"/>
      <c r="EG185" s="76"/>
      <c r="EH185" s="76"/>
      <c r="EI185" s="76"/>
      <c r="EJ185" s="76"/>
      <c r="EK185" s="76"/>
      <c r="EL185" s="76"/>
      <c r="EM185" s="76"/>
      <c r="EN185" s="76"/>
      <c r="EO185" s="76"/>
      <c r="EP185" s="76"/>
      <c r="EQ185" s="76"/>
      <c r="ER185" s="76"/>
      <c r="ES185" s="76"/>
      <c r="ET185" s="76"/>
      <c r="EU185" s="76"/>
      <c r="EV185" s="76"/>
      <c r="EW185" s="76"/>
      <c r="EX185" s="76"/>
      <c r="EY185" s="76"/>
      <c r="EZ185" s="76"/>
      <c r="FA185" s="76"/>
      <c r="FB185" s="76"/>
      <c r="FC185" s="76"/>
      <c r="FD185" s="76"/>
      <c r="FE185" s="76"/>
      <c r="FF185" s="76"/>
      <c r="FG185" s="76"/>
      <c r="FH185" s="76"/>
      <c r="FI185" s="76"/>
      <c r="FJ185" s="76"/>
      <c r="FK185" s="76"/>
      <c r="FL185" s="76"/>
      <c r="FM185" s="76"/>
      <c r="FN185" s="76"/>
      <c r="FO185" s="76"/>
      <c r="FP185" s="76"/>
      <c r="FQ185" s="76"/>
      <c r="FR185" s="76"/>
      <c r="FS185" s="76"/>
      <c r="FT185" s="76"/>
      <c r="FU185" s="76"/>
      <c r="FV185" s="76"/>
      <c r="FW185" s="76"/>
      <c r="FX185" s="76"/>
      <c r="FY185" s="76"/>
      <c r="FZ185" s="76"/>
      <c r="GA185" s="76"/>
      <c r="GB185" s="76"/>
      <c r="GC185" s="76"/>
      <c r="GD185" s="76"/>
      <c r="GE185" s="76"/>
      <c r="GF185" s="76"/>
      <c r="GG185" s="76"/>
      <c r="GH185" s="76"/>
      <c r="GI185" s="76"/>
      <c r="GJ185" s="76"/>
      <c r="GK185" s="76"/>
      <c r="GL185" s="76"/>
      <c r="GM185" s="76"/>
      <c r="GN185" s="76"/>
      <c r="GO185" s="76"/>
      <c r="GP185" s="76"/>
      <c r="GQ185" s="76"/>
      <c r="GR185" s="76"/>
      <c r="GS185" s="76"/>
      <c r="GT185" s="76"/>
      <c r="GU185" s="76"/>
      <c r="GV185" s="76"/>
      <c r="GW185" s="76"/>
      <c r="GX185" s="76"/>
      <c r="GY185" s="76"/>
      <c r="GZ185" s="76"/>
      <c r="HA185" s="76"/>
      <c r="HB185" s="76"/>
      <c r="HC185" s="76"/>
      <c r="HD185" s="76"/>
      <c r="HE185" s="76"/>
      <c r="HF185" s="76"/>
      <c r="HG185" s="76"/>
      <c r="HH185" s="76"/>
      <c r="HI185" s="76"/>
      <c r="HJ185" s="76"/>
      <c r="HK185" s="76"/>
      <c r="HL185" s="76"/>
      <c r="HM185" s="76"/>
      <c r="HN185" s="76"/>
      <c r="HO185" s="76"/>
      <c r="HP185" s="76"/>
      <c r="HQ185" s="76"/>
      <c r="HR185" s="76"/>
      <c r="HS185" s="76"/>
      <c r="HT185" s="76"/>
      <c r="HU185" s="76"/>
      <c r="HV185" s="76"/>
      <c r="HW185" s="76"/>
      <c r="HX185" s="76"/>
      <c r="HY185" s="76"/>
      <c r="HZ185" s="76"/>
      <c r="IA185" s="76"/>
      <c r="IB185" s="76"/>
      <c r="IC185" s="76"/>
      <c r="ID185" s="76"/>
      <c r="IE185" s="76"/>
      <c r="IF185" s="76"/>
      <c r="IG185" s="76"/>
      <c r="IH185" s="76"/>
      <c r="II185" s="76"/>
      <c r="IJ185" s="76"/>
      <c r="IK185" s="76"/>
      <c r="IL185" s="76"/>
      <c r="IM185" s="76"/>
      <c r="IN185" s="76"/>
    </row>
    <row r="186" spans="1:248" s="16" customFormat="1">
      <c r="A186" s="71"/>
      <c r="B186" s="76"/>
      <c r="C186" s="76"/>
      <c r="D186" s="87"/>
      <c r="E186" s="87"/>
      <c r="F186" s="76"/>
      <c r="G186" s="87"/>
      <c r="H186" s="76"/>
      <c r="I186" s="76"/>
      <c r="J186" s="78"/>
      <c r="K186" s="5"/>
      <c r="L186" s="5"/>
      <c r="M186" s="5"/>
      <c r="N186" s="5"/>
      <c r="O186" s="11"/>
      <c r="P186" s="5"/>
      <c r="Q186" s="5"/>
      <c r="R186" s="76"/>
      <c r="S186" s="76"/>
      <c r="T186" s="76"/>
      <c r="U186" s="76"/>
      <c r="V186" s="76"/>
      <c r="W186" s="84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  <c r="BF186" s="76"/>
      <c r="BG186" s="76"/>
      <c r="BH186" s="76"/>
      <c r="BI186" s="76"/>
      <c r="BJ186" s="76"/>
      <c r="BK186" s="76"/>
      <c r="BL186" s="76"/>
      <c r="BM186" s="76"/>
      <c r="BN186" s="76"/>
      <c r="BO186" s="76"/>
      <c r="BP186" s="76"/>
      <c r="BQ186" s="76"/>
      <c r="BR186" s="76"/>
      <c r="BS186" s="76"/>
      <c r="BT186" s="76"/>
      <c r="BU186" s="76"/>
      <c r="BV186" s="76"/>
      <c r="BW186" s="76"/>
      <c r="BX186" s="76"/>
      <c r="BY186" s="76"/>
      <c r="BZ186" s="76"/>
      <c r="CA186" s="76"/>
      <c r="CB186" s="76"/>
      <c r="CC186" s="76"/>
      <c r="CD186" s="76"/>
      <c r="CE186" s="76"/>
      <c r="CF186" s="76"/>
      <c r="CG186" s="76"/>
      <c r="CH186" s="76"/>
      <c r="CI186" s="76"/>
      <c r="CJ186" s="76"/>
      <c r="CK186" s="76"/>
      <c r="CL186" s="76"/>
      <c r="CM186" s="76"/>
      <c r="CN186" s="76"/>
      <c r="CO186" s="76"/>
      <c r="CP186" s="76"/>
      <c r="CQ186" s="76"/>
      <c r="CR186" s="76"/>
      <c r="CS186" s="76"/>
      <c r="CT186" s="76"/>
      <c r="CU186" s="76"/>
      <c r="CV186" s="76"/>
      <c r="CW186" s="76"/>
      <c r="CX186" s="76"/>
      <c r="CY186" s="76"/>
      <c r="CZ186" s="76"/>
      <c r="DA186" s="76"/>
      <c r="DB186" s="76"/>
      <c r="DC186" s="76"/>
      <c r="DD186" s="76"/>
      <c r="DE186" s="76"/>
      <c r="DF186" s="76"/>
      <c r="DG186" s="76"/>
      <c r="DH186" s="76"/>
      <c r="DI186" s="76"/>
      <c r="DJ186" s="76"/>
      <c r="DK186" s="76"/>
      <c r="DL186" s="76"/>
      <c r="DM186" s="76"/>
      <c r="DN186" s="76"/>
      <c r="DO186" s="76"/>
      <c r="DP186" s="76"/>
      <c r="DQ186" s="76"/>
      <c r="DR186" s="76"/>
      <c r="DS186" s="76"/>
      <c r="DT186" s="76"/>
      <c r="DU186" s="76"/>
      <c r="DV186" s="76"/>
      <c r="DW186" s="76"/>
      <c r="DX186" s="76"/>
      <c r="DY186" s="76"/>
      <c r="DZ186" s="76"/>
      <c r="EA186" s="76"/>
      <c r="EB186" s="76"/>
      <c r="EC186" s="76"/>
      <c r="ED186" s="76"/>
      <c r="EE186" s="76"/>
      <c r="EF186" s="76"/>
      <c r="EG186" s="76"/>
      <c r="EH186" s="76"/>
      <c r="EI186" s="76"/>
      <c r="EJ186" s="76"/>
      <c r="EK186" s="76"/>
      <c r="EL186" s="76"/>
      <c r="EM186" s="76"/>
      <c r="EN186" s="76"/>
      <c r="EO186" s="76"/>
      <c r="EP186" s="76"/>
      <c r="EQ186" s="76"/>
      <c r="ER186" s="76"/>
      <c r="ES186" s="76"/>
      <c r="ET186" s="76"/>
      <c r="EU186" s="76"/>
      <c r="EV186" s="76"/>
      <c r="EW186" s="76"/>
      <c r="EX186" s="76"/>
      <c r="EY186" s="76"/>
      <c r="EZ186" s="76"/>
      <c r="FA186" s="76"/>
      <c r="FB186" s="76"/>
      <c r="FC186" s="76"/>
      <c r="FD186" s="76"/>
      <c r="FE186" s="76"/>
      <c r="FF186" s="76"/>
      <c r="FG186" s="76"/>
      <c r="FH186" s="76"/>
      <c r="FI186" s="76"/>
      <c r="FJ186" s="76"/>
      <c r="FK186" s="76"/>
      <c r="FL186" s="76"/>
      <c r="FM186" s="76"/>
      <c r="FN186" s="76"/>
      <c r="FO186" s="76"/>
      <c r="FP186" s="76"/>
      <c r="FQ186" s="76"/>
      <c r="FR186" s="76"/>
      <c r="FS186" s="76"/>
      <c r="FT186" s="76"/>
      <c r="FU186" s="76"/>
      <c r="FV186" s="76"/>
      <c r="FW186" s="76"/>
      <c r="FX186" s="76"/>
      <c r="FY186" s="76"/>
      <c r="FZ186" s="76"/>
      <c r="GA186" s="76"/>
      <c r="GB186" s="76"/>
      <c r="GC186" s="76"/>
      <c r="GD186" s="76"/>
      <c r="GE186" s="76"/>
      <c r="GF186" s="76"/>
      <c r="GG186" s="76"/>
      <c r="GH186" s="76"/>
      <c r="GI186" s="76"/>
      <c r="GJ186" s="76"/>
      <c r="GK186" s="76"/>
      <c r="GL186" s="76"/>
      <c r="GM186" s="76"/>
      <c r="GN186" s="76"/>
      <c r="GO186" s="76"/>
      <c r="GP186" s="76"/>
      <c r="GQ186" s="76"/>
      <c r="GR186" s="76"/>
      <c r="GS186" s="76"/>
      <c r="GT186" s="76"/>
      <c r="GU186" s="76"/>
      <c r="GV186" s="76"/>
      <c r="GW186" s="76"/>
      <c r="GX186" s="76"/>
      <c r="GY186" s="76"/>
      <c r="GZ186" s="76"/>
      <c r="HA186" s="76"/>
      <c r="HB186" s="76"/>
      <c r="HC186" s="76"/>
      <c r="HD186" s="76"/>
      <c r="HE186" s="76"/>
      <c r="HF186" s="76"/>
      <c r="HG186" s="76"/>
      <c r="HH186" s="76"/>
      <c r="HI186" s="76"/>
      <c r="HJ186" s="76"/>
      <c r="HK186" s="76"/>
      <c r="HL186" s="76"/>
      <c r="HM186" s="76"/>
      <c r="HN186" s="76"/>
      <c r="HO186" s="76"/>
      <c r="HP186" s="76"/>
      <c r="HQ186" s="76"/>
      <c r="HR186" s="76"/>
      <c r="HS186" s="76"/>
      <c r="HT186" s="76"/>
      <c r="HU186" s="76"/>
      <c r="HV186" s="76"/>
      <c r="HW186" s="76"/>
      <c r="HX186" s="76"/>
      <c r="HY186" s="76"/>
      <c r="HZ186" s="76"/>
      <c r="IA186" s="76"/>
      <c r="IB186" s="76"/>
      <c r="IC186" s="76"/>
      <c r="ID186" s="76"/>
      <c r="IE186" s="76"/>
      <c r="IF186" s="76"/>
      <c r="IG186" s="76"/>
      <c r="IH186" s="76"/>
      <c r="II186" s="76"/>
      <c r="IJ186" s="76"/>
      <c r="IK186" s="76"/>
      <c r="IL186" s="76"/>
      <c r="IM186" s="76"/>
      <c r="IN186" s="76"/>
    </row>
    <row r="187" spans="1:248" s="16" customFormat="1">
      <c r="A187" s="71"/>
      <c r="B187" s="76"/>
      <c r="C187" s="76"/>
      <c r="D187" s="87"/>
      <c r="E187" s="87"/>
      <c r="F187" s="76"/>
      <c r="G187" s="87"/>
      <c r="H187" s="76"/>
      <c r="I187" s="76"/>
      <c r="J187" s="78"/>
      <c r="K187" s="5"/>
      <c r="L187" s="5"/>
      <c r="M187" s="5"/>
      <c r="N187" s="5"/>
      <c r="O187" s="11"/>
      <c r="P187" s="5"/>
      <c r="Q187" s="5"/>
      <c r="R187" s="76"/>
      <c r="S187" s="76"/>
      <c r="T187" s="76"/>
      <c r="U187" s="76"/>
      <c r="V187" s="76"/>
      <c r="W187" s="84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  <c r="BF187" s="76"/>
      <c r="BG187" s="76"/>
      <c r="BH187" s="76"/>
      <c r="BI187" s="76"/>
      <c r="BJ187" s="76"/>
      <c r="BK187" s="76"/>
      <c r="BL187" s="76"/>
      <c r="BM187" s="76"/>
      <c r="BN187" s="76"/>
      <c r="BO187" s="76"/>
      <c r="BP187" s="76"/>
      <c r="BQ187" s="76"/>
      <c r="BR187" s="76"/>
      <c r="BS187" s="76"/>
      <c r="BT187" s="76"/>
      <c r="BU187" s="76"/>
      <c r="BV187" s="76"/>
      <c r="BW187" s="76"/>
      <c r="BX187" s="76"/>
      <c r="BY187" s="76"/>
      <c r="BZ187" s="76"/>
      <c r="CA187" s="76"/>
      <c r="CB187" s="76"/>
      <c r="CC187" s="76"/>
      <c r="CD187" s="76"/>
      <c r="CE187" s="76"/>
      <c r="CF187" s="76"/>
      <c r="CG187" s="76"/>
      <c r="CH187" s="76"/>
      <c r="CI187" s="76"/>
      <c r="CJ187" s="76"/>
      <c r="CK187" s="76"/>
      <c r="CL187" s="76"/>
      <c r="CM187" s="76"/>
      <c r="CN187" s="76"/>
      <c r="CO187" s="76"/>
      <c r="CP187" s="76"/>
      <c r="CQ187" s="76"/>
      <c r="CR187" s="76"/>
      <c r="CS187" s="76"/>
      <c r="CT187" s="76"/>
      <c r="CU187" s="76"/>
      <c r="CV187" s="76"/>
      <c r="CW187" s="76"/>
      <c r="CX187" s="76"/>
      <c r="CY187" s="76"/>
      <c r="CZ187" s="76"/>
      <c r="DA187" s="76"/>
      <c r="DB187" s="76"/>
      <c r="DC187" s="76"/>
      <c r="DD187" s="76"/>
      <c r="DE187" s="76"/>
      <c r="DF187" s="76"/>
      <c r="DG187" s="76"/>
      <c r="DH187" s="76"/>
      <c r="DI187" s="76"/>
      <c r="DJ187" s="76"/>
      <c r="DK187" s="76"/>
      <c r="DL187" s="76"/>
      <c r="DM187" s="76"/>
      <c r="DN187" s="76"/>
      <c r="DO187" s="76"/>
      <c r="DP187" s="76"/>
      <c r="DQ187" s="76"/>
      <c r="DR187" s="76"/>
      <c r="DS187" s="76"/>
      <c r="DT187" s="76"/>
      <c r="DU187" s="76"/>
      <c r="DV187" s="76"/>
      <c r="DW187" s="76"/>
      <c r="DX187" s="76"/>
      <c r="DY187" s="76"/>
      <c r="DZ187" s="76"/>
      <c r="EA187" s="76"/>
      <c r="EB187" s="76"/>
      <c r="EC187" s="76"/>
      <c r="ED187" s="76"/>
      <c r="EE187" s="76"/>
      <c r="EF187" s="76"/>
      <c r="EG187" s="76"/>
      <c r="EH187" s="76"/>
      <c r="EI187" s="76"/>
      <c r="EJ187" s="76"/>
      <c r="EK187" s="76"/>
      <c r="EL187" s="76"/>
      <c r="EM187" s="76"/>
      <c r="EN187" s="76"/>
      <c r="EO187" s="76"/>
      <c r="EP187" s="76"/>
      <c r="EQ187" s="76"/>
      <c r="ER187" s="76"/>
      <c r="ES187" s="76"/>
      <c r="ET187" s="76"/>
      <c r="EU187" s="76"/>
      <c r="EV187" s="76"/>
      <c r="EW187" s="76"/>
      <c r="EX187" s="76"/>
      <c r="EY187" s="76"/>
      <c r="EZ187" s="76"/>
      <c r="FA187" s="76"/>
      <c r="FB187" s="76"/>
      <c r="FC187" s="76"/>
      <c r="FD187" s="76"/>
      <c r="FE187" s="76"/>
      <c r="FF187" s="76"/>
      <c r="FG187" s="76"/>
      <c r="FH187" s="76"/>
      <c r="FI187" s="76"/>
      <c r="FJ187" s="76"/>
      <c r="FK187" s="76"/>
      <c r="FL187" s="76"/>
      <c r="FM187" s="76"/>
      <c r="FN187" s="76"/>
      <c r="FO187" s="76"/>
      <c r="FP187" s="76"/>
      <c r="FQ187" s="76"/>
      <c r="FR187" s="76"/>
      <c r="FS187" s="76"/>
      <c r="FT187" s="76"/>
      <c r="FU187" s="76"/>
      <c r="FV187" s="76"/>
      <c r="FW187" s="76"/>
      <c r="FX187" s="76"/>
      <c r="FY187" s="76"/>
      <c r="FZ187" s="76"/>
      <c r="GA187" s="76"/>
      <c r="GB187" s="76"/>
      <c r="GC187" s="76"/>
      <c r="GD187" s="76"/>
      <c r="GE187" s="76"/>
      <c r="GF187" s="76"/>
      <c r="GG187" s="76"/>
      <c r="GH187" s="76"/>
      <c r="GI187" s="76"/>
      <c r="GJ187" s="76"/>
      <c r="GK187" s="76"/>
      <c r="GL187" s="76"/>
      <c r="GM187" s="76"/>
      <c r="GN187" s="76"/>
      <c r="GO187" s="76"/>
      <c r="GP187" s="76"/>
      <c r="GQ187" s="76"/>
      <c r="GR187" s="76"/>
      <c r="GS187" s="76"/>
      <c r="GT187" s="76"/>
      <c r="GU187" s="76"/>
      <c r="GV187" s="76"/>
      <c r="GW187" s="76"/>
      <c r="GX187" s="76"/>
      <c r="GY187" s="76"/>
      <c r="GZ187" s="76"/>
      <c r="HA187" s="76"/>
      <c r="HB187" s="76"/>
      <c r="HC187" s="76"/>
      <c r="HD187" s="76"/>
      <c r="HE187" s="76"/>
      <c r="HF187" s="76"/>
      <c r="HG187" s="76"/>
      <c r="HH187" s="76"/>
      <c r="HI187" s="76"/>
      <c r="HJ187" s="76"/>
      <c r="HK187" s="76"/>
      <c r="HL187" s="76"/>
      <c r="HM187" s="76"/>
      <c r="HN187" s="76"/>
      <c r="HO187" s="76"/>
      <c r="HP187" s="76"/>
      <c r="HQ187" s="76"/>
      <c r="HR187" s="76"/>
      <c r="HS187" s="76"/>
      <c r="HT187" s="76"/>
      <c r="HU187" s="76"/>
      <c r="HV187" s="76"/>
      <c r="HW187" s="76"/>
      <c r="HX187" s="76"/>
      <c r="HY187" s="76"/>
      <c r="HZ187" s="76"/>
      <c r="IA187" s="76"/>
      <c r="IB187" s="76"/>
      <c r="IC187" s="76"/>
      <c r="ID187" s="76"/>
      <c r="IE187" s="76"/>
      <c r="IF187" s="76"/>
      <c r="IG187" s="76"/>
      <c r="IH187" s="76"/>
      <c r="II187" s="76"/>
      <c r="IJ187" s="76"/>
      <c r="IK187" s="76"/>
      <c r="IL187" s="76"/>
      <c r="IM187" s="76"/>
      <c r="IN187" s="76"/>
    </row>
    <row r="188" spans="1:248" s="16" customFormat="1">
      <c r="A188" s="71"/>
      <c r="B188" s="76"/>
      <c r="C188" s="76"/>
      <c r="D188" s="87"/>
      <c r="E188" s="87"/>
      <c r="F188" s="76"/>
      <c r="G188" s="87"/>
      <c r="H188" s="76"/>
      <c r="I188" s="76"/>
      <c r="J188" s="78"/>
      <c r="K188" s="5"/>
      <c r="L188" s="5"/>
      <c r="M188" s="5"/>
      <c r="N188" s="5"/>
      <c r="O188" s="11"/>
      <c r="P188" s="5"/>
      <c r="Q188" s="5"/>
      <c r="R188" s="76"/>
      <c r="S188" s="76"/>
      <c r="T188" s="76"/>
      <c r="U188" s="76"/>
      <c r="V188" s="76"/>
      <c r="W188" s="84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/>
      <c r="BK188" s="76"/>
      <c r="BL188" s="76"/>
      <c r="BM188" s="76"/>
      <c r="BN188" s="76"/>
      <c r="BO188" s="76"/>
      <c r="BP188" s="76"/>
      <c r="BQ188" s="76"/>
      <c r="BR188" s="76"/>
      <c r="BS188" s="76"/>
      <c r="BT188" s="76"/>
      <c r="BU188" s="76"/>
      <c r="BV188" s="76"/>
      <c r="BW188" s="76"/>
      <c r="BX188" s="76"/>
      <c r="BY188" s="76"/>
      <c r="BZ188" s="76"/>
      <c r="CA188" s="76"/>
      <c r="CB188" s="76"/>
      <c r="CC188" s="76"/>
      <c r="CD188" s="76"/>
      <c r="CE188" s="76"/>
      <c r="CF188" s="76"/>
      <c r="CG188" s="76"/>
      <c r="CH188" s="76"/>
      <c r="CI188" s="76"/>
      <c r="CJ188" s="76"/>
      <c r="CK188" s="76"/>
      <c r="CL188" s="76"/>
      <c r="CM188" s="76"/>
      <c r="CN188" s="76"/>
      <c r="CO188" s="76"/>
      <c r="CP188" s="76"/>
      <c r="CQ188" s="76"/>
      <c r="CR188" s="76"/>
      <c r="CS188" s="76"/>
      <c r="CT188" s="76"/>
      <c r="CU188" s="76"/>
      <c r="CV188" s="76"/>
      <c r="CW188" s="76"/>
      <c r="CX188" s="76"/>
      <c r="CY188" s="76"/>
      <c r="CZ188" s="76"/>
      <c r="DA188" s="76"/>
      <c r="DB188" s="76"/>
      <c r="DC188" s="76"/>
      <c r="DD188" s="76"/>
      <c r="DE188" s="76"/>
      <c r="DF188" s="76"/>
      <c r="DG188" s="76"/>
      <c r="DH188" s="76"/>
      <c r="DI188" s="76"/>
      <c r="DJ188" s="76"/>
      <c r="DK188" s="76"/>
      <c r="DL188" s="76"/>
      <c r="DM188" s="76"/>
      <c r="DN188" s="76"/>
      <c r="DO188" s="76"/>
      <c r="DP188" s="76"/>
      <c r="DQ188" s="76"/>
      <c r="DR188" s="76"/>
      <c r="DS188" s="76"/>
      <c r="DT188" s="76"/>
      <c r="DU188" s="76"/>
      <c r="DV188" s="76"/>
      <c r="DW188" s="76"/>
      <c r="DX188" s="76"/>
      <c r="DY188" s="76"/>
      <c r="DZ188" s="76"/>
      <c r="EA188" s="76"/>
      <c r="EB188" s="76"/>
      <c r="EC188" s="76"/>
      <c r="ED188" s="76"/>
      <c r="EE188" s="76"/>
      <c r="EF188" s="76"/>
      <c r="EG188" s="76"/>
      <c r="EH188" s="76"/>
      <c r="EI188" s="76"/>
      <c r="EJ188" s="76"/>
      <c r="EK188" s="76"/>
      <c r="EL188" s="76"/>
      <c r="EM188" s="76"/>
      <c r="EN188" s="76"/>
      <c r="EO188" s="76"/>
      <c r="EP188" s="76"/>
      <c r="EQ188" s="76"/>
      <c r="ER188" s="76"/>
      <c r="ES188" s="76"/>
      <c r="ET188" s="76"/>
      <c r="EU188" s="76"/>
      <c r="EV188" s="76"/>
      <c r="EW188" s="76"/>
      <c r="EX188" s="76"/>
      <c r="EY188" s="76"/>
      <c r="EZ188" s="76"/>
      <c r="FA188" s="76"/>
      <c r="FB188" s="76"/>
      <c r="FC188" s="76"/>
      <c r="FD188" s="76"/>
      <c r="FE188" s="76"/>
      <c r="FF188" s="76"/>
      <c r="FG188" s="76"/>
      <c r="FH188" s="76"/>
      <c r="FI188" s="76"/>
      <c r="FJ188" s="76"/>
      <c r="FK188" s="76"/>
      <c r="FL188" s="76"/>
      <c r="FM188" s="76"/>
      <c r="FN188" s="76"/>
      <c r="FO188" s="76"/>
      <c r="FP188" s="76"/>
      <c r="FQ188" s="76"/>
      <c r="FR188" s="76"/>
      <c r="FS188" s="76"/>
      <c r="FT188" s="76"/>
      <c r="FU188" s="76"/>
      <c r="FV188" s="76"/>
      <c r="FW188" s="76"/>
      <c r="FX188" s="76"/>
      <c r="FY188" s="76"/>
      <c r="FZ188" s="76"/>
      <c r="GA188" s="76"/>
      <c r="GB188" s="76"/>
      <c r="GC188" s="76"/>
      <c r="GD188" s="76"/>
      <c r="GE188" s="76"/>
      <c r="GF188" s="76"/>
      <c r="GG188" s="76"/>
      <c r="GH188" s="76"/>
      <c r="GI188" s="76"/>
      <c r="GJ188" s="76"/>
      <c r="GK188" s="76"/>
      <c r="GL188" s="76"/>
      <c r="GM188" s="76"/>
      <c r="GN188" s="76"/>
      <c r="GO188" s="76"/>
      <c r="GP188" s="76"/>
      <c r="GQ188" s="76"/>
      <c r="GR188" s="76"/>
      <c r="GS188" s="76"/>
      <c r="GT188" s="76"/>
      <c r="GU188" s="76"/>
      <c r="GV188" s="76"/>
      <c r="GW188" s="76"/>
      <c r="GX188" s="76"/>
      <c r="GY188" s="76"/>
      <c r="GZ188" s="76"/>
      <c r="HA188" s="76"/>
      <c r="HB188" s="76"/>
      <c r="HC188" s="76"/>
      <c r="HD188" s="76"/>
      <c r="HE188" s="76"/>
      <c r="HF188" s="76"/>
      <c r="HG188" s="76"/>
      <c r="HH188" s="76"/>
      <c r="HI188" s="76"/>
      <c r="HJ188" s="76"/>
      <c r="HK188" s="76"/>
      <c r="HL188" s="76"/>
      <c r="HM188" s="76"/>
      <c r="HN188" s="76"/>
      <c r="HO188" s="76"/>
      <c r="HP188" s="76"/>
      <c r="HQ188" s="76"/>
      <c r="HR188" s="76"/>
      <c r="HS188" s="76"/>
      <c r="HT188" s="76"/>
      <c r="HU188" s="76"/>
      <c r="HV188" s="76"/>
      <c r="HW188" s="76"/>
      <c r="HX188" s="76"/>
      <c r="HY188" s="76"/>
      <c r="HZ188" s="76"/>
      <c r="IA188" s="76"/>
      <c r="IB188" s="76"/>
      <c r="IC188" s="76"/>
      <c r="ID188" s="76"/>
      <c r="IE188" s="76"/>
      <c r="IF188" s="76"/>
      <c r="IG188" s="76"/>
      <c r="IH188" s="76"/>
      <c r="II188" s="76"/>
      <c r="IJ188" s="76"/>
      <c r="IK188" s="76"/>
      <c r="IL188" s="76"/>
      <c r="IM188" s="76"/>
      <c r="IN188" s="76"/>
    </row>
    <row r="189" spans="1:248" s="16" customFormat="1">
      <c r="A189" s="71"/>
      <c r="B189" s="76"/>
      <c r="C189" s="76"/>
      <c r="D189" s="87"/>
      <c r="E189" s="87"/>
      <c r="F189" s="76"/>
      <c r="G189" s="87"/>
      <c r="H189" s="76"/>
      <c r="I189" s="76"/>
      <c r="J189" s="78"/>
      <c r="K189" s="5"/>
      <c r="L189" s="5"/>
      <c r="M189" s="5"/>
      <c r="N189" s="5"/>
      <c r="O189" s="11"/>
      <c r="P189" s="5"/>
      <c r="Q189" s="5"/>
      <c r="R189" s="76"/>
      <c r="S189" s="76"/>
      <c r="T189" s="76"/>
      <c r="U189" s="76"/>
      <c r="V189" s="76"/>
      <c r="W189" s="84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  <c r="BU189" s="76"/>
      <c r="BV189" s="76"/>
      <c r="BW189" s="76"/>
      <c r="BX189" s="76"/>
      <c r="BY189" s="76"/>
      <c r="BZ189" s="76"/>
      <c r="CA189" s="76"/>
      <c r="CB189" s="76"/>
      <c r="CC189" s="76"/>
      <c r="CD189" s="76"/>
      <c r="CE189" s="76"/>
      <c r="CF189" s="76"/>
      <c r="CG189" s="76"/>
      <c r="CH189" s="76"/>
      <c r="CI189" s="76"/>
      <c r="CJ189" s="76"/>
      <c r="CK189" s="76"/>
      <c r="CL189" s="76"/>
      <c r="CM189" s="76"/>
      <c r="CN189" s="76"/>
      <c r="CO189" s="76"/>
      <c r="CP189" s="76"/>
      <c r="CQ189" s="76"/>
      <c r="CR189" s="76"/>
      <c r="CS189" s="76"/>
      <c r="CT189" s="76"/>
      <c r="CU189" s="76"/>
      <c r="CV189" s="76"/>
      <c r="CW189" s="76"/>
      <c r="CX189" s="76"/>
      <c r="CY189" s="76"/>
      <c r="CZ189" s="76"/>
      <c r="DA189" s="76"/>
      <c r="DB189" s="76"/>
      <c r="DC189" s="76"/>
      <c r="DD189" s="76"/>
      <c r="DE189" s="76"/>
      <c r="DF189" s="76"/>
      <c r="DG189" s="76"/>
      <c r="DH189" s="76"/>
      <c r="DI189" s="76"/>
      <c r="DJ189" s="76"/>
      <c r="DK189" s="76"/>
      <c r="DL189" s="76"/>
      <c r="DM189" s="76"/>
      <c r="DN189" s="76"/>
      <c r="DO189" s="76"/>
      <c r="DP189" s="76"/>
      <c r="DQ189" s="76"/>
      <c r="DR189" s="76"/>
      <c r="DS189" s="76"/>
      <c r="DT189" s="76"/>
      <c r="DU189" s="76"/>
      <c r="DV189" s="76"/>
      <c r="DW189" s="76"/>
      <c r="DX189" s="76"/>
      <c r="DY189" s="76"/>
      <c r="DZ189" s="76"/>
      <c r="EA189" s="76"/>
      <c r="EB189" s="76"/>
      <c r="EC189" s="76"/>
      <c r="ED189" s="76"/>
      <c r="EE189" s="76"/>
      <c r="EF189" s="76"/>
      <c r="EG189" s="76"/>
      <c r="EH189" s="76"/>
      <c r="EI189" s="76"/>
      <c r="EJ189" s="76"/>
      <c r="EK189" s="76"/>
      <c r="EL189" s="76"/>
      <c r="EM189" s="76"/>
      <c r="EN189" s="76"/>
      <c r="EO189" s="76"/>
      <c r="EP189" s="76"/>
      <c r="EQ189" s="76"/>
      <c r="ER189" s="76"/>
      <c r="ES189" s="76"/>
      <c r="ET189" s="76"/>
      <c r="EU189" s="76"/>
      <c r="EV189" s="76"/>
      <c r="EW189" s="76"/>
      <c r="EX189" s="76"/>
      <c r="EY189" s="76"/>
      <c r="EZ189" s="76"/>
      <c r="FA189" s="76"/>
      <c r="FB189" s="76"/>
      <c r="FC189" s="76"/>
      <c r="FD189" s="76"/>
      <c r="FE189" s="76"/>
      <c r="FF189" s="76"/>
      <c r="FG189" s="76"/>
      <c r="FH189" s="76"/>
      <c r="FI189" s="76"/>
      <c r="FJ189" s="76"/>
      <c r="FK189" s="76"/>
      <c r="FL189" s="76"/>
      <c r="FM189" s="76"/>
      <c r="FN189" s="76"/>
      <c r="FO189" s="76"/>
      <c r="FP189" s="76"/>
      <c r="FQ189" s="76"/>
      <c r="FR189" s="76"/>
      <c r="FS189" s="76"/>
      <c r="FT189" s="76"/>
      <c r="FU189" s="76"/>
      <c r="FV189" s="76"/>
      <c r="FW189" s="76"/>
      <c r="FX189" s="76"/>
      <c r="FY189" s="76"/>
      <c r="FZ189" s="76"/>
      <c r="GA189" s="76"/>
      <c r="GB189" s="76"/>
      <c r="GC189" s="76"/>
      <c r="GD189" s="76"/>
      <c r="GE189" s="76"/>
      <c r="GF189" s="76"/>
      <c r="GG189" s="76"/>
      <c r="GH189" s="76"/>
      <c r="GI189" s="76"/>
      <c r="GJ189" s="76"/>
      <c r="GK189" s="76"/>
      <c r="GL189" s="76"/>
      <c r="GM189" s="76"/>
      <c r="GN189" s="76"/>
      <c r="GO189" s="76"/>
      <c r="GP189" s="76"/>
      <c r="GQ189" s="76"/>
      <c r="GR189" s="76"/>
      <c r="GS189" s="76"/>
      <c r="GT189" s="76"/>
      <c r="GU189" s="76"/>
      <c r="GV189" s="76"/>
      <c r="GW189" s="76"/>
      <c r="GX189" s="76"/>
      <c r="GY189" s="76"/>
      <c r="GZ189" s="76"/>
      <c r="HA189" s="76"/>
      <c r="HB189" s="76"/>
      <c r="HC189" s="76"/>
      <c r="HD189" s="76"/>
      <c r="HE189" s="76"/>
      <c r="HF189" s="76"/>
      <c r="HG189" s="76"/>
      <c r="HH189" s="76"/>
      <c r="HI189" s="76"/>
      <c r="HJ189" s="76"/>
      <c r="HK189" s="76"/>
      <c r="HL189" s="76"/>
      <c r="HM189" s="76"/>
      <c r="HN189" s="76"/>
      <c r="HO189" s="76"/>
      <c r="HP189" s="76"/>
      <c r="HQ189" s="76"/>
      <c r="HR189" s="76"/>
      <c r="HS189" s="76"/>
      <c r="HT189" s="76"/>
      <c r="HU189" s="76"/>
      <c r="HV189" s="76"/>
      <c r="HW189" s="76"/>
      <c r="HX189" s="76"/>
      <c r="HY189" s="76"/>
      <c r="HZ189" s="76"/>
      <c r="IA189" s="76"/>
      <c r="IB189" s="76"/>
      <c r="IC189" s="76"/>
      <c r="ID189" s="76"/>
      <c r="IE189" s="76"/>
      <c r="IF189" s="76"/>
      <c r="IG189" s="76"/>
      <c r="IH189" s="76"/>
      <c r="II189" s="76"/>
      <c r="IJ189" s="76"/>
      <c r="IK189" s="76"/>
      <c r="IL189" s="76"/>
      <c r="IM189" s="76"/>
      <c r="IN189" s="76"/>
    </row>
    <row r="190" spans="1:248" s="16" customFormat="1">
      <c r="A190" s="71"/>
      <c r="B190" s="76"/>
      <c r="C190" s="76"/>
      <c r="D190" s="87"/>
      <c r="E190" s="87"/>
      <c r="F190" s="76"/>
      <c r="G190" s="87"/>
      <c r="H190" s="76"/>
      <c r="I190" s="76"/>
      <c r="J190" s="78"/>
      <c r="K190" s="5"/>
      <c r="L190" s="5"/>
      <c r="M190" s="5"/>
      <c r="N190" s="5"/>
      <c r="O190" s="11"/>
      <c r="P190" s="5"/>
      <c r="Q190" s="5"/>
      <c r="R190" s="76"/>
      <c r="S190" s="76"/>
      <c r="T190" s="76"/>
      <c r="U190" s="76"/>
      <c r="V190" s="76"/>
      <c r="W190" s="84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  <c r="BF190" s="76"/>
      <c r="BG190" s="76"/>
      <c r="BH190" s="76"/>
      <c r="BI190" s="76"/>
      <c r="BJ190" s="76"/>
      <c r="BK190" s="76"/>
      <c r="BL190" s="76"/>
      <c r="BM190" s="76"/>
      <c r="BN190" s="76"/>
      <c r="BO190" s="76"/>
      <c r="BP190" s="76"/>
      <c r="BQ190" s="76"/>
      <c r="BR190" s="76"/>
      <c r="BS190" s="76"/>
      <c r="BT190" s="76"/>
      <c r="BU190" s="76"/>
      <c r="BV190" s="76"/>
      <c r="BW190" s="76"/>
      <c r="BX190" s="76"/>
      <c r="BY190" s="76"/>
      <c r="BZ190" s="76"/>
      <c r="CA190" s="76"/>
      <c r="CB190" s="76"/>
      <c r="CC190" s="76"/>
      <c r="CD190" s="76"/>
      <c r="CE190" s="76"/>
      <c r="CF190" s="76"/>
      <c r="CG190" s="76"/>
      <c r="CH190" s="76"/>
      <c r="CI190" s="76"/>
      <c r="CJ190" s="76"/>
      <c r="CK190" s="76"/>
      <c r="CL190" s="76"/>
      <c r="CM190" s="76"/>
      <c r="CN190" s="76"/>
      <c r="CO190" s="76"/>
      <c r="CP190" s="76"/>
      <c r="CQ190" s="76"/>
      <c r="CR190" s="76"/>
      <c r="CS190" s="76"/>
      <c r="CT190" s="76"/>
      <c r="CU190" s="76"/>
      <c r="CV190" s="76"/>
      <c r="CW190" s="76"/>
      <c r="CX190" s="76"/>
      <c r="CY190" s="76"/>
      <c r="CZ190" s="76"/>
      <c r="DA190" s="76"/>
      <c r="DB190" s="76"/>
      <c r="DC190" s="76"/>
      <c r="DD190" s="76"/>
      <c r="DE190" s="76"/>
      <c r="DF190" s="76"/>
      <c r="DG190" s="76"/>
      <c r="DH190" s="76"/>
      <c r="DI190" s="76"/>
      <c r="DJ190" s="76"/>
      <c r="DK190" s="76"/>
      <c r="DL190" s="76"/>
      <c r="DM190" s="76"/>
      <c r="DN190" s="76"/>
      <c r="DO190" s="76"/>
      <c r="DP190" s="76"/>
      <c r="DQ190" s="76"/>
      <c r="DR190" s="76"/>
      <c r="DS190" s="76"/>
      <c r="DT190" s="76"/>
      <c r="DU190" s="76"/>
      <c r="DV190" s="76"/>
      <c r="DW190" s="76"/>
      <c r="DX190" s="76"/>
      <c r="DY190" s="76"/>
      <c r="DZ190" s="76"/>
      <c r="EA190" s="76"/>
      <c r="EB190" s="76"/>
      <c r="EC190" s="76"/>
      <c r="ED190" s="76"/>
      <c r="EE190" s="76"/>
      <c r="EF190" s="76"/>
      <c r="EG190" s="76"/>
      <c r="EH190" s="76"/>
      <c r="EI190" s="76"/>
      <c r="EJ190" s="76"/>
      <c r="EK190" s="76"/>
      <c r="EL190" s="76"/>
      <c r="EM190" s="76"/>
      <c r="EN190" s="76"/>
      <c r="EO190" s="76"/>
      <c r="EP190" s="76"/>
      <c r="EQ190" s="76"/>
      <c r="ER190" s="76"/>
      <c r="ES190" s="76"/>
      <c r="ET190" s="76"/>
      <c r="EU190" s="76"/>
      <c r="EV190" s="76"/>
      <c r="EW190" s="76"/>
      <c r="EX190" s="76"/>
      <c r="EY190" s="76"/>
      <c r="EZ190" s="76"/>
      <c r="FA190" s="76"/>
      <c r="FB190" s="76"/>
      <c r="FC190" s="76"/>
      <c r="FD190" s="76"/>
      <c r="FE190" s="76"/>
      <c r="FF190" s="76"/>
      <c r="FG190" s="76"/>
      <c r="FH190" s="76"/>
      <c r="FI190" s="76"/>
      <c r="FJ190" s="76"/>
      <c r="FK190" s="76"/>
      <c r="FL190" s="76"/>
      <c r="FM190" s="76"/>
      <c r="FN190" s="76"/>
      <c r="FO190" s="76"/>
      <c r="FP190" s="76"/>
      <c r="FQ190" s="76"/>
      <c r="FR190" s="76"/>
      <c r="FS190" s="76"/>
      <c r="FT190" s="76"/>
      <c r="FU190" s="76"/>
      <c r="FV190" s="76"/>
      <c r="FW190" s="76"/>
      <c r="FX190" s="76"/>
      <c r="FY190" s="76"/>
      <c r="FZ190" s="76"/>
      <c r="GA190" s="76"/>
      <c r="GB190" s="76"/>
      <c r="GC190" s="76"/>
      <c r="GD190" s="76"/>
      <c r="GE190" s="76"/>
      <c r="GF190" s="76"/>
      <c r="GG190" s="76"/>
      <c r="GH190" s="76"/>
      <c r="GI190" s="76"/>
      <c r="GJ190" s="76"/>
      <c r="GK190" s="76"/>
      <c r="GL190" s="76"/>
      <c r="GM190" s="76"/>
      <c r="GN190" s="76"/>
      <c r="GO190" s="76"/>
      <c r="GP190" s="76"/>
      <c r="GQ190" s="76"/>
      <c r="GR190" s="76"/>
      <c r="GS190" s="76"/>
      <c r="GT190" s="76"/>
      <c r="GU190" s="76"/>
      <c r="GV190" s="76"/>
      <c r="GW190" s="76"/>
      <c r="GX190" s="76"/>
      <c r="GY190" s="76"/>
      <c r="GZ190" s="76"/>
      <c r="HA190" s="76"/>
      <c r="HB190" s="76"/>
      <c r="HC190" s="76"/>
      <c r="HD190" s="76"/>
      <c r="HE190" s="76"/>
      <c r="HF190" s="76"/>
      <c r="HG190" s="76"/>
      <c r="HH190" s="76"/>
      <c r="HI190" s="76"/>
      <c r="HJ190" s="76"/>
      <c r="HK190" s="76"/>
      <c r="HL190" s="76"/>
      <c r="HM190" s="76"/>
      <c r="HN190" s="76"/>
      <c r="HO190" s="76"/>
      <c r="HP190" s="76"/>
      <c r="HQ190" s="76"/>
      <c r="HR190" s="76"/>
      <c r="HS190" s="76"/>
      <c r="HT190" s="76"/>
      <c r="HU190" s="76"/>
      <c r="HV190" s="76"/>
      <c r="HW190" s="76"/>
      <c r="HX190" s="76"/>
      <c r="HY190" s="76"/>
      <c r="HZ190" s="76"/>
      <c r="IA190" s="76"/>
      <c r="IB190" s="76"/>
      <c r="IC190" s="76"/>
      <c r="ID190" s="76"/>
      <c r="IE190" s="76"/>
      <c r="IF190" s="76"/>
      <c r="IG190" s="76"/>
      <c r="IH190" s="76"/>
      <c r="II190" s="76"/>
      <c r="IJ190" s="76"/>
      <c r="IK190" s="76"/>
      <c r="IL190" s="76"/>
      <c r="IM190" s="76"/>
      <c r="IN190" s="76"/>
    </row>
    <row r="191" spans="1:248" s="16" customFormat="1">
      <c r="A191" s="71"/>
      <c r="B191" s="76"/>
      <c r="C191" s="76"/>
      <c r="D191" s="87"/>
      <c r="E191" s="87"/>
      <c r="F191" s="76"/>
      <c r="G191" s="87"/>
      <c r="H191" s="76"/>
      <c r="I191" s="76"/>
      <c r="J191" s="78"/>
      <c r="K191" s="5"/>
      <c r="L191" s="5"/>
      <c r="M191" s="5"/>
      <c r="N191" s="5"/>
      <c r="O191" s="11"/>
      <c r="P191" s="5"/>
      <c r="Q191" s="5"/>
      <c r="R191" s="76"/>
      <c r="S191" s="76"/>
      <c r="T191" s="76"/>
      <c r="U191" s="76"/>
      <c r="V191" s="76"/>
      <c r="W191" s="84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/>
      <c r="BK191" s="76"/>
      <c r="BL191" s="76"/>
      <c r="BM191" s="76"/>
      <c r="BN191" s="76"/>
      <c r="BO191" s="76"/>
      <c r="BP191" s="76"/>
      <c r="BQ191" s="76"/>
      <c r="BR191" s="76"/>
      <c r="BS191" s="76"/>
      <c r="BT191" s="76"/>
      <c r="BU191" s="76"/>
      <c r="BV191" s="76"/>
      <c r="BW191" s="76"/>
      <c r="BX191" s="76"/>
      <c r="BY191" s="76"/>
      <c r="BZ191" s="76"/>
      <c r="CA191" s="76"/>
      <c r="CB191" s="76"/>
      <c r="CC191" s="76"/>
      <c r="CD191" s="76"/>
      <c r="CE191" s="76"/>
      <c r="CF191" s="76"/>
      <c r="CG191" s="76"/>
      <c r="CH191" s="76"/>
      <c r="CI191" s="76"/>
      <c r="CJ191" s="76"/>
      <c r="CK191" s="76"/>
      <c r="CL191" s="76"/>
      <c r="CM191" s="76"/>
      <c r="CN191" s="76"/>
      <c r="CO191" s="76"/>
      <c r="CP191" s="76"/>
      <c r="CQ191" s="76"/>
      <c r="CR191" s="76"/>
      <c r="CS191" s="76"/>
      <c r="CT191" s="76"/>
      <c r="CU191" s="76"/>
      <c r="CV191" s="76"/>
      <c r="CW191" s="76"/>
      <c r="CX191" s="76"/>
      <c r="CY191" s="76"/>
      <c r="CZ191" s="76"/>
      <c r="DA191" s="76"/>
      <c r="DB191" s="76"/>
      <c r="DC191" s="76"/>
      <c r="DD191" s="76"/>
      <c r="DE191" s="76"/>
      <c r="DF191" s="76"/>
      <c r="DG191" s="76"/>
      <c r="DH191" s="76"/>
      <c r="DI191" s="76"/>
      <c r="DJ191" s="76"/>
      <c r="DK191" s="76"/>
      <c r="DL191" s="76"/>
      <c r="DM191" s="76"/>
      <c r="DN191" s="76"/>
      <c r="DO191" s="76"/>
      <c r="DP191" s="76"/>
      <c r="DQ191" s="76"/>
      <c r="DR191" s="76"/>
      <c r="DS191" s="76"/>
      <c r="DT191" s="76"/>
      <c r="DU191" s="76"/>
      <c r="DV191" s="76"/>
      <c r="DW191" s="76"/>
      <c r="DX191" s="76"/>
      <c r="DY191" s="76"/>
      <c r="DZ191" s="76"/>
      <c r="EA191" s="76"/>
      <c r="EB191" s="76"/>
      <c r="EC191" s="76"/>
      <c r="ED191" s="76"/>
      <c r="EE191" s="76"/>
      <c r="EF191" s="76"/>
      <c r="EG191" s="76"/>
      <c r="EH191" s="76"/>
      <c r="EI191" s="76"/>
      <c r="EJ191" s="76"/>
      <c r="EK191" s="76"/>
      <c r="EL191" s="76"/>
      <c r="EM191" s="76"/>
      <c r="EN191" s="76"/>
      <c r="EO191" s="76"/>
      <c r="EP191" s="76"/>
      <c r="EQ191" s="76"/>
      <c r="ER191" s="76"/>
      <c r="ES191" s="76"/>
      <c r="ET191" s="76"/>
      <c r="EU191" s="76"/>
      <c r="EV191" s="76"/>
      <c r="EW191" s="76"/>
      <c r="EX191" s="76"/>
      <c r="EY191" s="76"/>
      <c r="EZ191" s="76"/>
      <c r="FA191" s="76"/>
      <c r="FB191" s="76"/>
      <c r="FC191" s="76"/>
      <c r="FD191" s="76"/>
      <c r="FE191" s="76"/>
      <c r="FF191" s="76"/>
      <c r="FG191" s="76"/>
      <c r="FH191" s="76"/>
      <c r="FI191" s="76"/>
      <c r="FJ191" s="76"/>
      <c r="FK191" s="76"/>
      <c r="FL191" s="76"/>
      <c r="FM191" s="76"/>
      <c r="FN191" s="76"/>
      <c r="FO191" s="76"/>
      <c r="FP191" s="76"/>
      <c r="FQ191" s="76"/>
      <c r="FR191" s="76"/>
      <c r="FS191" s="76"/>
      <c r="FT191" s="76"/>
      <c r="FU191" s="76"/>
      <c r="FV191" s="76"/>
      <c r="FW191" s="76"/>
      <c r="FX191" s="76"/>
      <c r="FY191" s="76"/>
      <c r="FZ191" s="76"/>
      <c r="GA191" s="76"/>
      <c r="GB191" s="76"/>
      <c r="GC191" s="76"/>
      <c r="GD191" s="76"/>
      <c r="GE191" s="76"/>
      <c r="GF191" s="76"/>
      <c r="GG191" s="76"/>
      <c r="GH191" s="76"/>
      <c r="GI191" s="76"/>
      <c r="GJ191" s="76"/>
      <c r="GK191" s="76"/>
      <c r="GL191" s="76"/>
      <c r="GM191" s="76"/>
      <c r="GN191" s="76"/>
      <c r="GO191" s="76"/>
      <c r="GP191" s="76"/>
      <c r="GQ191" s="76"/>
      <c r="GR191" s="76"/>
      <c r="GS191" s="76"/>
      <c r="GT191" s="76"/>
      <c r="GU191" s="76"/>
      <c r="GV191" s="76"/>
      <c r="GW191" s="76"/>
      <c r="GX191" s="76"/>
      <c r="GY191" s="76"/>
      <c r="GZ191" s="76"/>
      <c r="HA191" s="76"/>
      <c r="HB191" s="76"/>
      <c r="HC191" s="76"/>
      <c r="HD191" s="76"/>
      <c r="HE191" s="76"/>
      <c r="HF191" s="76"/>
      <c r="HG191" s="76"/>
      <c r="HH191" s="76"/>
      <c r="HI191" s="76"/>
      <c r="HJ191" s="76"/>
      <c r="HK191" s="76"/>
      <c r="HL191" s="76"/>
      <c r="HM191" s="76"/>
      <c r="HN191" s="76"/>
      <c r="HO191" s="76"/>
      <c r="HP191" s="76"/>
      <c r="HQ191" s="76"/>
      <c r="HR191" s="76"/>
      <c r="HS191" s="76"/>
      <c r="HT191" s="76"/>
      <c r="HU191" s="76"/>
      <c r="HV191" s="76"/>
      <c r="HW191" s="76"/>
      <c r="HX191" s="76"/>
      <c r="HY191" s="76"/>
      <c r="HZ191" s="76"/>
      <c r="IA191" s="76"/>
      <c r="IB191" s="76"/>
      <c r="IC191" s="76"/>
      <c r="ID191" s="76"/>
      <c r="IE191" s="76"/>
      <c r="IF191" s="76"/>
      <c r="IG191" s="76"/>
      <c r="IH191" s="76"/>
      <c r="II191" s="76"/>
      <c r="IJ191" s="76"/>
      <c r="IK191" s="76"/>
      <c r="IL191" s="76"/>
      <c r="IM191" s="76"/>
      <c r="IN191" s="76"/>
    </row>
    <row r="192" spans="1:248" s="16" customFormat="1">
      <c r="A192" s="71"/>
      <c r="B192" s="76"/>
      <c r="C192" s="76"/>
      <c r="D192" s="87"/>
      <c r="E192" s="87"/>
      <c r="F192" s="76"/>
      <c r="G192" s="87"/>
      <c r="H192" s="76"/>
      <c r="I192" s="76"/>
      <c r="J192" s="78"/>
      <c r="K192" s="5"/>
      <c r="L192" s="5"/>
      <c r="M192" s="5"/>
      <c r="N192" s="5"/>
      <c r="O192" s="11"/>
      <c r="P192" s="5"/>
      <c r="Q192" s="5"/>
      <c r="R192" s="76"/>
      <c r="S192" s="76"/>
      <c r="T192" s="76"/>
      <c r="U192" s="76"/>
      <c r="V192" s="76"/>
      <c r="W192" s="84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  <c r="BF192" s="76"/>
      <c r="BG192" s="76"/>
      <c r="BH192" s="76"/>
      <c r="BI192" s="76"/>
      <c r="BJ192" s="76"/>
      <c r="BK192" s="76"/>
      <c r="BL192" s="76"/>
      <c r="BM192" s="76"/>
      <c r="BN192" s="76"/>
      <c r="BO192" s="76"/>
      <c r="BP192" s="76"/>
      <c r="BQ192" s="76"/>
      <c r="BR192" s="76"/>
      <c r="BS192" s="76"/>
      <c r="BT192" s="76"/>
      <c r="BU192" s="76"/>
      <c r="BV192" s="76"/>
      <c r="BW192" s="76"/>
      <c r="BX192" s="76"/>
      <c r="BY192" s="76"/>
      <c r="BZ192" s="76"/>
      <c r="CA192" s="76"/>
      <c r="CB192" s="76"/>
      <c r="CC192" s="76"/>
      <c r="CD192" s="76"/>
      <c r="CE192" s="76"/>
      <c r="CF192" s="76"/>
      <c r="CG192" s="76"/>
      <c r="CH192" s="76"/>
      <c r="CI192" s="76"/>
      <c r="CJ192" s="76"/>
      <c r="CK192" s="76"/>
      <c r="CL192" s="76"/>
      <c r="CM192" s="76"/>
      <c r="CN192" s="76"/>
      <c r="CO192" s="76"/>
      <c r="CP192" s="76"/>
      <c r="CQ192" s="76"/>
      <c r="CR192" s="76"/>
      <c r="CS192" s="76"/>
      <c r="CT192" s="76"/>
      <c r="CU192" s="76"/>
      <c r="CV192" s="76"/>
      <c r="CW192" s="76"/>
      <c r="CX192" s="76"/>
      <c r="CY192" s="76"/>
      <c r="CZ192" s="76"/>
      <c r="DA192" s="76"/>
      <c r="DB192" s="76"/>
      <c r="DC192" s="76"/>
      <c r="DD192" s="76"/>
      <c r="DE192" s="76"/>
      <c r="DF192" s="76"/>
      <c r="DG192" s="76"/>
      <c r="DH192" s="76"/>
      <c r="DI192" s="76"/>
      <c r="DJ192" s="76"/>
      <c r="DK192" s="76"/>
      <c r="DL192" s="76"/>
      <c r="DM192" s="76"/>
      <c r="DN192" s="76"/>
      <c r="DO192" s="76"/>
      <c r="DP192" s="76"/>
      <c r="DQ192" s="76"/>
      <c r="DR192" s="76"/>
      <c r="DS192" s="76"/>
      <c r="DT192" s="76"/>
      <c r="DU192" s="76"/>
      <c r="DV192" s="76"/>
      <c r="DW192" s="76"/>
      <c r="DX192" s="76"/>
      <c r="DY192" s="76"/>
      <c r="DZ192" s="76"/>
      <c r="EA192" s="76"/>
      <c r="EB192" s="76"/>
      <c r="EC192" s="76"/>
      <c r="ED192" s="76"/>
      <c r="EE192" s="76"/>
      <c r="EF192" s="76"/>
      <c r="EG192" s="76"/>
      <c r="EH192" s="76"/>
      <c r="EI192" s="76"/>
      <c r="EJ192" s="76"/>
      <c r="EK192" s="76"/>
      <c r="EL192" s="76"/>
      <c r="EM192" s="76"/>
      <c r="EN192" s="76"/>
      <c r="EO192" s="76"/>
      <c r="EP192" s="76"/>
      <c r="EQ192" s="76"/>
      <c r="ER192" s="76"/>
      <c r="ES192" s="76"/>
      <c r="ET192" s="76"/>
      <c r="EU192" s="76"/>
      <c r="EV192" s="76"/>
      <c r="EW192" s="76"/>
      <c r="EX192" s="76"/>
      <c r="EY192" s="76"/>
      <c r="EZ192" s="76"/>
      <c r="FA192" s="76"/>
      <c r="FB192" s="76"/>
      <c r="FC192" s="76"/>
      <c r="FD192" s="76"/>
      <c r="FE192" s="76"/>
      <c r="FF192" s="76"/>
      <c r="FG192" s="76"/>
      <c r="FH192" s="76"/>
      <c r="FI192" s="76"/>
      <c r="FJ192" s="76"/>
      <c r="FK192" s="76"/>
      <c r="FL192" s="76"/>
      <c r="FM192" s="76"/>
      <c r="FN192" s="76"/>
      <c r="FO192" s="76"/>
      <c r="FP192" s="76"/>
      <c r="FQ192" s="76"/>
      <c r="FR192" s="76"/>
      <c r="FS192" s="76"/>
      <c r="FT192" s="76"/>
      <c r="FU192" s="76"/>
      <c r="FV192" s="76"/>
      <c r="FW192" s="76"/>
      <c r="FX192" s="76"/>
      <c r="FY192" s="76"/>
      <c r="FZ192" s="76"/>
      <c r="GA192" s="76"/>
      <c r="GB192" s="76"/>
      <c r="GC192" s="76"/>
      <c r="GD192" s="76"/>
      <c r="GE192" s="76"/>
      <c r="GF192" s="76"/>
      <c r="GG192" s="76"/>
      <c r="GH192" s="76"/>
      <c r="GI192" s="76"/>
      <c r="GJ192" s="76"/>
      <c r="GK192" s="76"/>
      <c r="GL192" s="76"/>
      <c r="GM192" s="76"/>
      <c r="GN192" s="76"/>
      <c r="GO192" s="76"/>
      <c r="GP192" s="76"/>
      <c r="GQ192" s="76"/>
      <c r="GR192" s="76"/>
      <c r="GS192" s="76"/>
      <c r="GT192" s="76"/>
      <c r="GU192" s="76"/>
      <c r="GV192" s="76"/>
      <c r="GW192" s="76"/>
      <c r="GX192" s="76"/>
      <c r="GY192" s="76"/>
      <c r="GZ192" s="76"/>
      <c r="HA192" s="76"/>
      <c r="HB192" s="76"/>
      <c r="HC192" s="76"/>
      <c r="HD192" s="76"/>
      <c r="HE192" s="76"/>
      <c r="HF192" s="76"/>
      <c r="HG192" s="76"/>
      <c r="HH192" s="76"/>
      <c r="HI192" s="76"/>
      <c r="HJ192" s="76"/>
      <c r="HK192" s="76"/>
      <c r="HL192" s="76"/>
      <c r="HM192" s="76"/>
      <c r="HN192" s="76"/>
      <c r="HO192" s="76"/>
      <c r="HP192" s="76"/>
      <c r="HQ192" s="76"/>
      <c r="HR192" s="76"/>
      <c r="HS192" s="76"/>
      <c r="HT192" s="76"/>
      <c r="HU192" s="76"/>
      <c r="HV192" s="76"/>
      <c r="HW192" s="76"/>
      <c r="HX192" s="76"/>
      <c r="HY192" s="76"/>
      <c r="HZ192" s="76"/>
      <c r="IA192" s="76"/>
      <c r="IB192" s="76"/>
      <c r="IC192" s="76"/>
      <c r="ID192" s="76"/>
      <c r="IE192" s="76"/>
      <c r="IF192" s="76"/>
      <c r="IG192" s="76"/>
      <c r="IH192" s="76"/>
      <c r="II192" s="76"/>
      <c r="IJ192" s="76"/>
      <c r="IK192" s="76"/>
      <c r="IL192" s="76"/>
      <c r="IM192" s="76"/>
      <c r="IN192" s="76"/>
    </row>
    <row r="193" spans="1:248" s="16" customFormat="1">
      <c r="A193" s="71"/>
      <c r="B193" s="76"/>
      <c r="C193" s="76"/>
      <c r="D193" s="87"/>
      <c r="E193" s="87"/>
      <c r="F193" s="76"/>
      <c r="G193" s="87"/>
      <c r="H193" s="76"/>
      <c r="I193" s="76"/>
      <c r="J193" s="78"/>
      <c r="K193" s="5"/>
      <c r="L193" s="5"/>
      <c r="M193" s="5"/>
      <c r="N193" s="5"/>
      <c r="O193" s="11"/>
      <c r="P193" s="5"/>
      <c r="Q193" s="5"/>
      <c r="R193" s="76"/>
      <c r="S193" s="76"/>
      <c r="T193" s="76"/>
      <c r="U193" s="76"/>
      <c r="V193" s="76"/>
      <c r="W193" s="84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  <c r="BF193" s="76"/>
      <c r="BG193" s="76"/>
      <c r="BH193" s="76"/>
      <c r="BI193" s="76"/>
      <c r="BJ193" s="76"/>
      <c r="BK193" s="76"/>
      <c r="BL193" s="76"/>
      <c r="BM193" s="76"/>
      <c r="BN193" s="76"/>
      <c r="BO193" s="76"/>
      <c r="BP193" s="76"/>
      <c r="BQ193" s="76"/>
      <c r="BR193" s="76"/>
      <c r="BS193" s="76"/>
      <c r="BT193" s="76"/>
      <c r="BU193" s="76"/>
      <c r="BV193" s="76"/>
      <c r="BW193" s="76"/>
      <c r="BX193" s="76"/>
      <c r="BY193" s="76"/>
      <c r="BZ193" s="76"/>
      <c r="CA193" s="76"/>
      <c r="CB193" s="76"/>
      <c r="CC193" s="76"/>
      <c r="CD193" s="76"/>
      <c r="CE193" s="76"/>
      <c r="CF193" s="76"/>
      <c r="CG193" s="76"/>
      <c r="CH193" s="76"/>
      <c r="CI193" s="76"/>
      <c r="CJ193" s="76"/>
      <c r="CK193" s="76"/>
      <c r="CL193" s="76"/>
      <c r="CM193" s="76"/>
      <c r="CN193" s="76"/>
      <c r="CO193" s="76"/>
      <c r="CP193" s="76"/>
      <c r="CQ193" s="76"/>
      <c r="CR193" s="76"/>
      <c r="CS193" s="76"/>
      <c r="CT193" s="76"/>
      <c r="CU193" s="76"/>
      <c r="CV193" s="76"/>
      <c r="CW193" s="76"/>
      <c r="CX193" s="76"/>
      <c r="CY193" s="76"/>
      <c r="CZ193" s="76"/>
      <c r="DA193" s="76"/>
      <c r="DB193" s="76"/>
      <c r="DC193" s="76"/>
      <c r="DD193" s="76"/>
      <c r="DE193" s="76"/>
      <c r="DF193" s="76"/>
      <c r="DG193" s="76"/>
      <c r="DH193" s="76"/>
      <c r="DI193" s="76"/>
      <c r="DJ193" s="76"/>
      <c r="DK193" s="76"/>
      <c r="DL193" s="76"/>
      <c r="DM193" s="76"/>
      <c r="DN193" s="76"/>
      <c r="DO193" s="76"/>
      <c r="DP193" s="76"/>
      <c r="DQ193" s="76"/>
      <c r="DR193" s="76"/>
      <c r="DS193" s="76"/>
      <c r="DT193" s="76"/>
      <c r="DU193" s="76"/>
      <c r="DV193" s="76"/>
      <c r="DW193" s="76"/>
      <c r="DX193" s="76"/>
      <c r="DY193" s="76"/>
      <c r="DZ193" s="76"/>
      <c r="EA193" s="76"/>
      <c r="EB193" s="76"/>
      <c r="EC193" s="76"/>
      <c r="ED193" s="76"/>
      <c r="EE193" s="76"/>
      <c r="EF193" s="76"/>
      <c r="EG193" s="76"/>
      <c r="EH193" s="76"/>
      <c r="EI193" s="76"/>
      <c r="EJ193" s="76"/>
      <c r="EK193" s="76"/>
      <c r="EL193" s="76"/>
      <c r="EM193" s="76"/>
      <c r="EN193" s="76"/>
      <c r="EO193" s="76"/>
      <c r="EP193" s="76"/>
      <c r="EQ193" s="76"/>
      <c r="ER193" s="76"/>
      <c r="ES193" s="76"/>
      <c r="ET193" s="76"/>
      <c r="EU193" s="76"/>
      <c r="EV193" s="76"/>
      <c r="EW193" s="76"/>
      <c r="EX193" s="76"/>
      <c r="EY193" s="76"/>
      <c r="EZ193" s="76"/>
      <c r="FA193" s="76"/>
      <c r="FB193" s="76"/>
      <c r="FC193" s="76"/>
      <c r="FD193" s="76"/>
      <c r="FE193" s="76"/>
      <c r="FF193" s="76"/>
      <c r="FG193" s="76"/>
      <c r="FH193" s="76"/>
      <c r="FI193" s="76"/>
      <c r="FJ193" s="76"/>
      <c r="FK193" s="76"/>
      <c r="FL193" s="76"/>
      <c r="FM193" s="76"/>
      <c r="FN193" s="76"/>
      <c r="FO193" s="76"/>
      <c r="FP193" s="76"/>
      <c r="FQ193" s="76"/>
      <c r="FR193" s="76"/>
      <c r="FS193" s="76"/>
      <c r="FT193" s="76"/>
      <c r="FU193" s="76"/>
      <c r="FV193" s="76"/>
      <c r="FW193" s="76"/>
      <c r="FX193" s="76"/>
      <c r="FY193" s="76"/>
      <c r="FZ193" s="76"/>
      <c r="GA193" s="76"/>
      <c r="GB193" s="76"/>
      <c r="GC193" s="76"/>
      <c r="GD193" s="76"/>
      <c r="GE193" s="76"/>
      <c r="GF193" s="76"/>
      <c r="GG193" s="76"/>
      <c r="GH193" s="76"/>
      <c r="GI193" s="76"/>
      <c r="GJ193" s="76"/>
      <c r="GK193" s="76"/>
      <c r="GL193" s="76"/>
      <c r="GM193" s="76"/>
      <c r="GN193" s="76"/>
      <c r="GO193" s="76"/>
      <c r="GP193" s="76"/>
      <c r="GQ193" s="76"/>
      <c r="GR193" s="76"/>
      <c r="GS193" s="76"/>
      <c r="GT193" s="76"/>
      <c r="GU193" s="76"/>
      <c r="GV193" s="76"/>
      <c r="GW193" s="76"/>
      <c r="GX193" s="76"/>
      <c r="GY193" s="76"/>
      <c r="GZ193" s="76"/>
      <c r="HA193" s="76"/>
      <c r="HB193" s="76"/>
      <c r="HC193" s="76"/>
      <c r="HD193" s="76"/>
      <c r="HE193" s="76"/>
      <c r="HF193" s="76"/>
      <c r="HG193" s="76"/>
      <c r="HH193" s="76"/>
      <c r="HI193" s="76"/>
      <c r="HJ193" s="76"/>
      <c r="HK193" s="76"/>
      <c r="HL193" s="76"/>
      <c r="HM193" s="76"/>
      <c r="HN193" s="76"/>
      <c r="HO193" s="76"/>
      <c r="HP193" s="76"/>
      <c r="HQ193" s="76"/>
      <c r="HR193" s="76"/>
      <c r="HS193" s="76"/>
      <c r="HT193" s="76"/>
      <c r="HU193" s="76"/>
      <c r="HV193" s="76"/>
      <c r="HW193" s="76"/>
      <c r="HX193" s="76"/>
      <c r="HY193" s="76"/>
      <c r="HZ193" s="76"/>
      <c r="IA193" s="76"/>
      <c r="IB193" s="76"/>
      <c r="IC193" s="76"/>
      <c r="ID193" s="76"/>
      <c r="IE193" s="76"/>
      <c r="IF193" s="76"/>
      <c r="IG193" s="76"/>
      <c r="IH193" s="76"/>
      <c r="II193" s="76"/>
      <c r="IJ193" s="76"/>
      <c r="IK193" s="76"/>
      <c r="IL193" s="76"/>
      <c r="IM193" s="76"/>
      <c r="IN193" s="76"/>
    </row>
    <row r="194" spans="1:248" s="16" customFormat="1">
      <c r="A194" s="71"/>
      <c r="B194" s="76"/>
      <c r="C194" s="76"/>
      <c r="D194" s="87"/>
      <c r="E194" s="87"/>
      <c r="F194" s="76"/>
      <c r="G194" s="87"/>
      <c r="H194" s="76"/>
      <c r="I194" s="76"/>
      <c r="J194" s="78"/>
      <c r="K194" s="5"/>
      <c r="L194" s="5"/>
      <c r="M194" s="5"/>
      <c r="N194" s="5"/>
      <c r="O194" s="11"/>
      <c r="P194" s="5"/>
      <c r="Q194" s="5"/>
      <c r="R194" s="76"/>
      <c r="S194" s="76"/>
      <c r="T194" s="76"/>
      <c r="U194" s="76"/>
      <c r="V194" s="76"/>
      <c r="W194" s="84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  <c r="BF194" s="76"/>
      <c r="BG194" s="76"/>
      <c r="BH194" s="76"/>
      <c r="BI194" s="76"/>
      <c r="BJ194" s="76"/>
      <c r="BK194" s="76"/>
      <c r="BL194" s="76"/>
      <c r="BM194" s="76"/>
      <c r="BN194" s="76"/>
      <c r="BO194" s="76"/>
      <c r="BP194" s="76"/>
      <c r="BQ194" s="76"/>
      <c r="BR194" s="76"/>
      <c r="BS194" s="76"/>
      <c r="BT194" s="76"/>
      <c r="BU194" s="76"/>
      <c r="BV194" s="76"/>
      <c r="BW194" s="76"/>
      <c r="BX194" s="76"/>
      <c r="BY194" s="76"/>
      <c r="BZ194" s="76"/>
      <c r="CA194" s="76"/>
      <c r="CB194" s="76"/>
      <c r="CC194" s="76"/>
      <c r="CD194" s="76"/>
      <c r="CE194" s="76"/>
      <c r="CF194" s="76"/>
      <c r="CG194" s="76"/>
      <c r="CH194" s="76"/>
      <c r="CI194" s="76"/>
      <c r="CJ194" s="76"/>
      <c r="CK194" s="76"/>
      <c r="CL194" s="76"/>
      <c r="CM194" s="76"/>
      <c r="CN194" s="76"/>
      <c r="CO194" s="76"/>
      <c r="CP194" s="76"/>
      <c r="CQ194" s="76"/>
      <c r="CR194" s="76"/>
      <c r="CS194" s="76"/>
      <c r="CT194" s="76"/>
      <c r="CU194" s="76"/>
      <c r="CV194" s="76"/>
      <c r="CW194" s="76"/>
      <c r="CX194" s="76"/>
      <c r="CY194" s="76"/>
      <c r="CZ194" s="76"/>
      <c r="DA194" s="76"/>
      <c r="DB194" s="76"/>
      <c r="DC194" s="76"/>
      <c r="DD194" s="76"/>
      <c r="DE194" s="76"/>
      <c r="DF194" s="76"/>
      <c r="DG194" s="76"/>
      <c r="DH194" s="76"/>
      <c r="DI194" s="76"/>
      <c r="DJ194" s="76"/>
      <c r="DK194" s="76"/>
      <c r="DL194" s="76"/>
      <c r="DM194" s="76"/>
      <c r="DN194" s="76"/>
      <c r="DO194" s="76"/>
      <c r="DP194" s="76"/>
      <c r="DQ194" s="76"/>
      <c r="DR194" s="76"/>
      <c r="DS194" s="76"/>
      <c r="DT194" s="76"/>
      <c r="DU194" s="76"/>
      <c r="DV194" s="76"/>
      <c r="DW194" s="76"/>
      <c r="DX194" s="76"/>
      <c r="DY194" s="76"/>
      <c r="DZ194" s="76"/>
      <c r="EA194" s="76"/>
      <c r="EB194" s="76"/>
      <c r="EC194" s="76"/>
      <c r="ED194" s="76"/>
      <c r="EE194" s="76"/>
      <c r="EF194" s="76"/>
      <c r="EG194" s="76"/>
      <c r="EH194" s="76"/>
      <c r="EI194" s="76"/>
      <c r="EJ194" s="76"/>
      <c r="EK194" s="76"/>
      <c r="EL194" s="76"/>
      <c r="EM194" s="76"/>
      <c r="EN194" s="76"/>
      <c r="EO194" s="76"/>
      <c r="EP194" s="76"/>
      <c r="EQ194" s="76"/>
      <c r="ER194" s="76"/>
      <c r="ES194" s="76"/>
      <c r="ET194" s="76"/>
      <c r="EU194" s="76"/>
      <c r="EV194" s="76"/>
      <c r="EW194" s="76"/>
      <c r="EX194" s="76"/>
      <c r="EY194" s="76"/>
      <c r="EZ194" s="76"/>
      <c r="FA194" s="76"/>
      <c r="FB194" s="76"/>
      <c r="FC194" s="76"/>
      <c r="FD194" s="76"/>
      <c r="FE194" s="76"/>
      <c r="FF194" s="76"/>
      <c r="FG194" s="76"/>
      <c r="FH194" s="76"/>
      <c r="FI194" s="76"/>
      <c r="FJ194" s="76"/>
      <c r="FK194" s="76"/>
      <c r="FL194" s="76"/>
      <c r="FM194" s="76"/>
      <c r="FN194" s="76"/>
      <c r="FO194" s="76"/>
      <c r="FP194" s="76"/>
      <c r="FQ194" s="76"/>
      <c r="FR194" s="76"/>
      <c r="FS194" s="76"/>
      <c r="FT194" s="76"/>
      <c r="FU194" s="76"/>
      <c r="FV194" s="76"/>
      <c r="FW194" s="76"/>
      <c r="FX194" s="76"/>
      <c r="FY194" s="76"/>
      <c r="FZ194" s="76"/>
      <c r="GA194" s="76"/>
      <c r="GB194" s="76"/>
      <c r="GC194" s="76"/>
      <c r="GD194" s="76"/>
      <c r="GE194" s="76"/>
      <c r="GF194" s="76"/>
      <c r="GG194" s="76"/>
      <c r="GH194" s="76"/>
      <c r="GI194" s="76"/>
      <c r="GJ194" s="76"/>
      <c r="GK194" s="76"/>
      <c r="GL194" s="76"/>
      <c r="GM194" s="76"/>
      <c r="GN194" s="76"/>
      <c r="GO194" s="76"/>
      <c r="GP194" s="76"/>
      <c r="GQ194" s="76"/>
      <c r="GR194" s="76"/>
      <c r="GS194" s="76"/>
      <c r="GT194" s="76"/>
      <c r="GU194" s="76"/>
      <c r="GV194" s="76"/>
      <c r="GW194" s="76"/>
      <c r="GX194" s="76"/>
      <c r="GY194" s="76"/>
      <c r="GZ194" s="76"/>
      <c r="HA194" s="76"/>
      <c r="HB194" s="76"/>
      <c r="HC194" s="76"/>
      <c r="HD194" s="76"/>
      <c r="HE194" s="76"/>
      <c r="HF194" s="76"/>
      <c r="HG194" s="76"/>
      <c r="HH194" s="76"/>
      <c r="HI194" s="76"/>
      <c r="HJ194" s="76"/>
      <c r="HK194" s="76"/>
      <c r="HL194" s="76"/>
      <c r="HM194" s="76"/>
      <c r="HN194" s="76"/>
      <c r="HO194" s="76"/>
      <c r="HP194" s="76"/>
      <c r="HQ194" s="76"/>
      <c r="HR194" s="76"/>
      <c r="HS194" s="76"/>
      <c r="HT194" s="76"/>
      <c r="HU194" s="76"/>
      <c r="HV194" s="76"/>
      <c r="HW194" s="76"/>
      <c r="HX194" s="76"/>
      <c r="HY194" s="76"/>
      <c r="HZ194" s="76"/>
      <c r="IA194" s="76"/>
      <c r="IB194" s="76"/>
      <c r="IC194" s="76"/>
      <c r="ID194" s="76"/>
      <c r="IE194" s="76"/>
      <c r="IF194" s="76"/>
      <c r="IG194" s="76"/>
      <c r="IH194" s="76"/>
      <c r="II194" s="76"/>
      <c r="IJ194" s="76"/>
      <c r="IK194" s="76"/>
      <c r="IL194" s="76"/>
      <c r="IM194" s="76"/>
      <c r="IN194" s="76"/>
    </row>
    <row r="195" spans="1:248" s="16" customFormat="1">
      <c r="A195" s="71"/>
      <c r="B195" s="76"/>
      <c r="C195" s="76"/>
      <c r="D195" s="87"/>
      <c r="E195" s="87"/>
      <c r="F195" s="76"/>
      <c r="G195" s="87"/>
      <c r="H195" s="76"/>
      <c r="I195" s="76"/>
      <c r="J195" s="78"/>
      <c r="K195" s="5"/>
      <c r="L195" s="5"/>
      <c r="M195" s="5"/>
      <c r="N195" s="5"/>
      <c r="O195" s="11"/>
      <c r="P195" s="5"/>
      <c r="Q195" s="5"/>
      <c r="R195" s="76"/>
      <c r="S195" s="76"/>
      <c r="T195" s="76"/>
      <c r="U195" s="76"/>
      <c r="V195" s="76"/>
      <c r="W195" s="84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/>
      <c r="BS195" s="76"/>
      <c r="BT195" s="76"/>
      <c r="BU195" s="76"/>
      <c r="BV195" s="76"/>
      <c r="BW195" s="76"/>
      <c r="BX195" s="76"/>
      <c r="BY195" s="76"/>
      <c r="BZ195" s="76"/>
      <c r="CA195" s="76"/>
      <c r="CB195" s="76"/>
      <c r="CC195" s="76"/>
      <c r="CD195" s="76"/>
      <c r="CE195" s="76"/>
      <c r="CF195" s="76"/>
      <c r="CG195" s="76"/>
      <c r="CH195" s="76"/>
      <c r="CI195" s="76"/>
      <c r="CJ195" s="76"/>
      <c r="CK195" s="76"/>
      <c r="CL195" s="76"/>
      <c r="CM195" s="76"/>
      <c r="CN195" s="76"/>
      <c r="CO195" s="76"/>
      <c r="CP195" s="76"/>
      <c r="CQ195" s="76"/>
      <c r="CR195" s="76"/>
      <c r="CS195" s="76"/>
      <c r="CT195" s="76"/>
      <c r="CU195" s="76"/>
      <c r="CV195" s="76"/>
      <c r="CW195" s="76"/>
      <c r="CX195" s="76"/>
      <c r="CY195" s="76"/>
      <c r="CZ195" s="76"/>
      <c r="DA195" s="76"/>
      <c r="DB195" s="76"/>
      <c r="DC195" s="76"/>
      <c r="DD195" s="76"/>
      <c r="DE195" s="76"/>
      <c r="DF195" s="76"/>
      <c r="DG195" s="76"/>
      <c r="DH195" s="76"/>
      <c r="DI195" s="76"/>
      <c r="DJ195" s="76"/>
      <c r="DK195" s="76"/>
      <c r="DL195" s="76"/>
      <c r="DM195" s="76"/>
      <c r="DN195" s="76"/>
      <c r="DO195" s="76"/>
      <c r="DP195" s="76"/>
      <c r="DQ195" s="76"/>
      <c r="DR195" s="76"/>
      <c r="DS195" s="76"/>
      <c r="DT195" s="76"/>
      <c r="DU195" s="76"/>
      <c r="DV195" s="76"/>
      <c r="DW195" s="76"/>
      <c r="DX195" s="76"/>
      <c r="DY195" s="76"/>
      <c r="DZ195" s="76"/>
      <c r="EA195" s="76"/>
      <c r="EB195" s="76"/>
      <c r="EC195" s="76"/>
      <c r="ED195" s="76"/>
      <c r="EE195" s="76"/>
      <c r="EF195" s="76"/>
      <c r="EG195" s="76"/>
      <c r="EH195" s="76"/>
      <c r="EI195" s="76"/>
      <c r="EJ195" s="76"/>
      <c r="EK195" s="76"/>
      <c r="EL195" s="76"/>
      <c r="EM195" s="76"/>
      <c r="EN195" s="76"/>
      <c r="EO195" s="76"/>
      <c r="EP195" s="76"/>
      <c r="EQ195" s="76"/>
      <c r="ER195" s="76"/>
      <c r="ES195" s="76"/>
      <c r="ET195" s="76"/>
      <c r="EU195" s="76"/>
      <c r="EV195" s="76"/>
      <c r="EW195" s="76"/>
      <c r="EX195" s="76"/>
      <c r="EY195" s="76"/>
      <c r="EZ195" s="76"/>
      <c r="FA195" s="76"/>
      <c r="FB195" s="76"/>
      <c r="FC195" s="76"/>
      <c r="FD195" s="76"/>
      <c r="FE195" s="76"/>
      <c r="FF195" s="76"/>
      <c r="FG195" s="76"/>
      <c r="FH195" s="76"/>
      <c r="FI195" s="76"/>
      <c r="FJ195" s="76"/>
      <c r="FK195" s="76"/>
      <c r="FL195" s="76"/>
      <c r="FM195" s="76"/>
      <c r="FN195" s="76"/>
      <c r="FO195" s="76"/>
      <c r="FP195" s="76"/>
      <c r="FQ195" s="76"/>
      <c r="FR195" s="76"/>
      <c r="FS195" s="76"/>
      <c r="FT195" s="76"/>
      <c r="FU195" s="76"/>
      <c r="FV195" s="76"/>
      <c r="FW195" s="76"/>
      <c r="FX195" s="76"/>
      <c r="FY195" s="76"/>
      <c r="FZ195" s="76"/>
      <c r="GA195" s="76"/>
      <c r="GB195" s="76"/>
      <c r="GC195" s="76"/>
      <c r="GD195" s="76"/>
      <c r="GE195" s="76"/>
      <c r="GF195" s="76"/>
      <c r="GG195" s="76"/>
      <c r="GH195" s="76"/>
      <c r="GI195" s="76"/>
      <c r="GJ195" s="76"/>
      <c r="GK195" s="76"/>
      <c r="GL195" s="76"/>
      <c r="GM195" s="76"/>
      <c r="GN195" s="76"/>
      <c r="GO195" s="76"/>
      <c r="GP195" s="76"/>
      <c r="GQ195" s="76"/>
      <c r="GR195" s="76"/>
      <c r="GS195" s="76"/>
      <c r="GT195" s="76"/>
      <c r="GU195" s="76"/>
      <c r="GV195" s="76"/>
      <c r="GW195" s="76"/>
      <c r="GX195" s="76"/>
      <c r="GY195" s="76"/>
      <c r="GZ195" s="76"/>
      <c r="HA195" s="76"/>
      <c r="HB195" s="76"/>
      <c r="HC195" s="76"/>
      <c r="HD195" s="76"/>
      <c r="HE195" s="76"/>
      <c r="HF195" s="76"/>
      <c r="HG195" s="76"/>
      <c r="HH195" s="76"/>
      <c r="HI195" s="76"/>
      <c r="HJ195" s="76"/>
      <c r="HK195" s="76"/>
      <c r="HL195" s="76"/>
      <c r="HM195" s="76"/>
      <c r="HN195" s="76"/>
      <c r="HO195" s="76"/>
      <c r="HP195" s="76"/>
      <c r="HQ195" s="76"/>
      <c r="HR195" s="76"/>
      <c r="HS195" s="76"/>
      <c r="HT195" s="76"/>
      <c r="HU195" s="76"/>
      <c r="HV195" s="76"/>
      <c r="HW195" s="76"/>
      <c r="HX195" s="76"/>
      <c r="HY195" s="76"/>
      <c r="HZ195" s="76"/>
      <c r="IA195" s="76"/>
      <c r="IB195" s="76"/>
      <c r="IC195" s="76"/>
      <c r="ID195" s="76"/>
      <c r="IE195" s="76"/>
      <c r="IF195" s="76"/>
      <c r="IG195" s="76"/>
      <c r="IH195" s="76"/>
      <c r="II195" s="76"/>
      <c r="IJ195" s="76"/>
      <c r="IK195" s="76"/>
      <c r="IL195" s="76"/>
      <c r="IM195" s="76"/>
      <c r="IN195" s="76"/>
    </row>
    <row r="196" spans="1:248">
      <c r="A196" s="71"/>
      <c r="J196" s="99"/>
      <c r="K196" s="4"/>
      <c r="L196" s="4"/>
      <c r="M196" s="4"/>
      <c r="N196" s="4"/>
      <c r="O196" s="12"/>
      <c r="P196" s="4"/>
      <c r="Q196" s="4"/>
    </row>
    <row r="197" spans="1:248">
      <c r="A197" s="71"/>
    </row>
    <row r="198" spans="1:248">
      <c r="A198" s="71"/>
    </row>
    <row r="199" spans="1:248">
      <c r="A199" s="71"/>
    </row>
    <row r="200" spans="1:248">
      <c r="A200" s="71"/>
    </row>
    <row r="201" spans="1:248">
      <c r="A201" s="71"/>
    </row>
    <row r="202" spans="1:248">
      <c r="A202" s="71"/>
    </row>
    <row r="203" spans="1:248">
      <c r="A203" s="71"/>
    </row>
    <row r="204" spans="1:248">
      <c r="A204" s="71"/>
    </row>
    <row r="205" spans="1:248">
      <c r="A205" s="71"/>
    </row>
    <row r="206" spans="1:248">
      <c r="A206" s="71"/>
    </row>
    <row r="207" spans="1:248">
      <c r="A207" s="71"/>
    </row>
    <row r="208" spans="1:248">
      <c r="A208" s="71"/>
    </row>
    <row r="209" spans="1:1">
      <c r="A209" s="71"/>
    </row>
    <row r="210" spans="1:1">
      <c r="A210" s="71"/>
    </row>
    <row r="211" spans="1:1">
      <c r="A211" s="71"/>
    </row>
    <row r="212" spans="1:1">
      <c r="A212" s="71"/>
    </row>
    <row r="213" spans="1:1">
      <c r="A213" s="71"/>
    </row>
    <row r="214" spans="1:1">
      <c r="A214" s="71"/>
    </row>
    <row r="215" spans="1:1">
      <c r="A215" s="71"/>
    </row>
    <row r="216" spans="1:1">
      <c r="A216" s="71"/>
    </row>
    <row r="217" spans="1:1">
      <c r="A217" s="71"/>
    </row>
    <row r="218" spans="1:1">
      <c r="A218" s="71"/>
    </row>
    <row r="219" spans="1:1">
      <c r="A219" s="71"/>
    </row>
    <row r="220" spans="1:1">
      <c r="A220" s="71"/>
    </row>
    <row r="221" spans="1:1">
      <c r="A221" s="71"/>
    </row>
    <row r="222" spans="1:1">
      <c r="A222" s="71"/>
    </row>
    <row r="223" spans="1:1">
      <c r="A223" s="71"/>
    </row>
    <row r="224" spans="1:1">
      <c r="A224" s="71"/>
    </row>
    <row r="225" spans="1:1">
      <c r="A225" s="71"/>
    </row>
    <row r="226" spans="1:1">
      <c r="A226" s="71"/>
    </row>
    <row r="227" spans="1:1">
      <c r="A227" s="71"/>
    </row>
    <row r="228" spans="1:1">
      <c r="A228" s="71"/>
    </row>
    <row r="229" spans="1:1">
      <c r="A229" s="71"/>
    </row>
    <row r="230" spans="1:1">
      <c r="A230" s="71"/>
    </row>
    <row r="231" spans="1:1">
      <c r="A231" s="71"/>
    </row>
  </sheetData>
  <autoFilter ref="A3:IN113"/>
  <conditionalFormatting sqref="T73:V73 T78:V78 T82:V82">
    <cfRule type="cellIs" dxfId="358" priority="600" stopIfTrue="1" operator="equal">
      <formula>"AKTUELL"</formula>
    </cfRule>
    <cfRule type="cellIs" dxfId="357" priority="601" stopIfTrue="1" operator="equal">
      <formula>"NICHT AKTUELL"</formula>
    </cfRule>
    <cfRule type="cellIs" dxfId="356" priority="602" stopIfTrue="1" operator="equal">
      <formula>"NOCH NICHT AKTUELL"</formula>
    </cfRule>
  </conditionalFormatting>
  <conditionalFormatting sqref="S2">
    <cfRule type="cellIs" dxfId="355" priority="595" operator="equal">
      <formula>"KEIN LIEFERUMFANG"</formula>
    </cfRule>
    <cfRule type="cellIs" dxfId="354" priority="596" stopIfTrue="1" operator="equal">
      <formula>"KEIN SERIENEINSATZ"</formula>
    </cfRule>
    <cfRule type="cellIs" dxfId="353" priority="597" stopIfTrue="1" operator="equal">
      <formula>"NICHT AKTUELL"</formula>
    </cfRule>
    <cfRule type="cellIs" dxfId="352" priority="598" stopIfTrue="1" operator="equal">
      <formula>"NOCH NICHT AKTUELL"</formula>
    </cfRule>
    <cfRule type="cellIs" dxfId="351" priority="599" stopIfTrue="1" operator="equal">
      <formula>"AKTUELL"</formula>
    </cfRule>
  </conditionalFormatting>
  <conditionalFormatting sqref="S73 S78 S82">
    <cfRule type="cellIs" dxfId="350" priority="586" stopIfTrue="1" operator="equal">
      <formula>"AKTUELL"</formula>
    </cfRule>
    <cfRule type="cellIs" dxfId="349" priority="587" stopIfTrue="1" operator="equal">
      <formula>"NICHT AKTUELL"</formula>
    </cfRule>
    <cfRule type="cellIs" dxfId="348" priority="588" stopIfTrue="1" operator="equal">
      <formula>"NOCH NICHT AKTUELL"</formula>
    </cfRule>
  </conditionalFormatting>
  <conditionalFormatting sqref="S40:V40">
    <cfRule type="cellIs" dxfId="347" priority="523" stopIfTrue="1" operator="equal">
      <formula>"AKTUELL"</formula>
    </cfRule>
    <cfRule type="cellIs" dxfId="346" priority="524" stopIfTrue="1" operator="equal">
      <formula>"NICHT AKTUELL"</formula>
    </cfRule>
    <cfRule type="cellIs" dxfId="345" priority="525" stopIfTrue="1" operator="equal">
      <formula>"NOCH NICHT AKTUELL"</formula>
    </cfRule>
  </conditionalFormatting>
  <conditionalFormatting sqref="S42:V42">
    <cfRule type="cellIs" dxfId="344" priority="517" stopIfTrue="1" operator="equal">
      <formula>"AKTUELL"</formula>
    </cfRule>
    <cfRule type="cellIs" dxfId="343" priority="518" stopIfTrue="1" operator="equal">
      <formula>"NICHT AKTUELL"</formula>
    </cfRule>
    <cfRule type="cellIs" dxfId="342" priority="519" stopIfTrue="1" operator="equal">
      <formula>"NOCH NICHT AKTUELL"</formula>
    </cfRule>
  </conditionalFormatting>
  <conditionalFormatting sqref="S44:V44">
    <cfRule type="cellIs" dxfId="341" priority="511" stopIfTrue="1" operator="equal">
      <formula>"AKTUELL"</formula>
    </cfRule>
    <cfRule type="cellIs" dxfId="340" priority="512" stopIfTrue="1" operator="equal">
      <formula>"NICHT AKTUELL"</formula>
    </cfRule>
    <cfRule type="cellIs" dxfId="339" priority="513" stopIfTrue="1" operator="equal">
      <formula>"NOCH NICHT AKTUELL"</formula>
    </cfRule>
  </conditionalFormatting>
  <conditionalFormatting sqref="S53:V53">
    <cfRule type="cellIs" dxfId="338" priority="493" stopIfTrue="1" operator="equal">
      <formula>"AKTUELL"</formula>
    </cfRule>
    <cfRule type="cellIs" dxfId="337" priority="494" stopIfTrue="1" operator="equal">
      <formula>"NICHT AKTUELL"</formula>
    </cfRule>
    <cfRule type="cellIs" dxfId="336" priority="495" stopIfTrue="1" operator="equal">
      <formula>"NOCH NICHT AKTUELL"</formula>
    </cfRule>
  </conditionalFormatting>
  <conditionalFormatting sqref="S61:V61">
    <cfRule type="cellIs" dxfId="335" priority="475" stopIfTrue="1" operator="equal">
      <formula>"AKTUELL"</formula>
    </cfRule>
    <cfRule type="cellIs" dxfId="334" priority="476" stopIfTrue="1" operator="equal">
      <formula>"NICHT AKTUELL"</formula>
    </cfRule>
    <cfRule type="cellIs" dxfId="333" priority="477" stopIfTrue="1" operator="equal">
      <formula>"NOCH NICHT AKTUELL"</formula>
    </cfRule>
  </conditionalFormatting>
  <conditionalFormatting sqref="S64:V64">
    <cfRule type="cellIs" dxfId="332" priority="469" stopIfTrue="1" operator="equal">
      <formula>"AKTUELL"</formula>
    </cfRule>
    <cfRule type="cellIs" dxfId="331" priority="470" stopIfTrue="1" operator="equal">
      <formula>"NICHT AKTUELL"</formula>
    </cfRule>
    <cfRule type="cellIs" dxfId="330" priority="471" stopIfTrue="1" operator="equal">
      <formula>"NOCH NICHT AKTUELL"</formula>
    </cfRule>
  </conditionalFormatting>
  <conditionalFormatting sqref="S67:V67">
    <cfRule type="cellIs" dxfId="329" priority="463" stopIfTrue="1" operator="equal">
      <formula>"AKTUELL"</formula>
    </cfRule>
    <cfRule type="cellIs" dxfId="328" priority="464" stopIfTrue="1" operator="equal">
      <formula>"NICHT AKTUELL"</formula>
    </cfRule>
    <cfRule type="cellIs" dxfId="327" priority="465" stopIfTrue="1" operator="equal">
      <formula>"NOCH NICHT AKTUELL"</formula>
    </cfRule>
  </conditionalFormatting>
  <conditionalFormatting sqref="S88:V88">
    <cfRule type="cellIs" dxfId="326" priority="457" stopIfTrue="1" operator="equal">
      <formula>"AKTUELL"</formula>
    </cfRule>
    <cfRule type="cellIs" dxfId="325" priority="458" stopIfTrue="1" operator="equal">
      <formula>"NICHT AKTUELL"</formula>
    </cfRule>
    <cfRule type="cellIs" dxfId="324" priority="459" stopIfTrue="1" operator="equal">
      <formula>"NOCH NICHT AKTUELL"</formula>
    </cfRule>
  </conditionalFormatting>
  <conditionalFormatting sqref="S89:V89">
    <cfRule type="cellIs" dxfId="323" priority="451" stopIfTrue="1" operator="equal">
      <formula>"AKTUELL"</formula>
    </cfRule>
    <cfRule type="cellIs" dxfId="322" priority="452" stopIfTrue="1" operator="equal">
      <formula>"NICHT AKTUELL"</formula>
    </cfRule>
    <cfRule type="cellIs" dxfId="321" priority="453" stopIfTrue="1" operator="equal">
      <formula>"NOCH NICHT AKTUELL"</formula>
    </cfRule>
  </conditionalFormatting>
  <conditionalFormatting sqref="S91:V93">
    <cfRule type="cellIs" dxfId="320" priority="445" stopIfTrue="1" operator="equal">
      <formula>"AKTUELL"</formula>
    </cfRule>
    <cfRule type="cellIs" dxfId="319" priority="446" stopIfTrue="1" operator="equal">
      <formula>"NICHT AKTUELL"</formula>
    </cfRule>
    <cfRule type="cellIs" dxfId="318" priority="447" stopIfTrue="1" operator="equal">
      <formula>"NOCH NICHT AKTUELL"</formula>
    </cfRule>
  </conditionalFormatting>
  <conditionalFormatting sqref="S96:V96">
    <cfRule type="cellIs" dxfId="317" priority="439" stopIfTrue="1" operator="equal">
      <formula>"AKTUELL"</formula>
    </cfRule>
    <cfRule type="cellIs" dxfId="316" priority="440" stopIfTrue="1" operator="equal">
      <formula>"NICHT AKTUELL"</formula>
    </cfRule>
    <cfRule type="cellIs" dxfId="315" priority="441" stopIfTrue="1" operator="equal">
      <formula>"NOCH NICHT AKTUELL"</formula>
    </cfRule>
  </conditionalFormatting>
  <conditionalFormatting sqref="S97:V97">
    <cfRule type="cellIs" dxfId="314" priority="433" stopIfTrue="1" operator="equal">
      <formula>"AKTUELL"</formula>
    </cfRule>
    <cfRule type="cellIs" dxfId="313" priority="434" stopIfTrue="1" operator="equal">
      <formula>"NICHT AKTUELL"</formula>
    </cfRule>
    <cfRule type="cellIs" dxfId="312" priority="435" stopIfTrue="1" operator="equal">
      <formula>"NOCH NICHT AKTUELL"</formula>
    </cfRule>
  </conditionalFormatting>
  <conditionalFormatting sqref="S98:V98">
    <cfRule type="cellIs" dxfId="311" priority="427" stopIfTrue="1" operator="equal">
      <formula>"AKTUELL"</formula>
    </cfRule>
    <cfRule type="cellIs" dxfId="310" priority="428" stopIfTrue="1" operator="equal">
      <formula>"NICHT AKTUELL"</formula>
    </cfRule>
    <cfRule type="cellIs" dxfId="309" priority="429" stopIfTrue="1" operator="equal">
      <formula>"NOCH NICHT AKTUELL"</formula>
    </cfRule>
  </conditionalFormatting>
  <conditionalFormatting sqref="S99:V99">
    <cfRule type="cellIs" dxfId="308" priority="421" stopIfTrue="1" operator="equal">
      <formula>"AKTUELL"</formula>
    </cfRule>
    <cfRule type="cellIs" dxfId="307" priority="422" stopIfTrue="1" operator="equal">
      <formula>"NICHT AKTUELL"</formula>
    </cfRule>
    <cfRule type="cellIs" dxfId="306" priority="423" stopIfTrue="1" operator="equal">
      <formula>"NOCH NICHT AKTUELL"</formula>
    </cfRule>
  </conditionalFormatting>
  <conditionalFormatting sqref="S15:V15">
    <cfRule type="cellIs" dxfId="305" priority="391" stopIfTrue="1" operator="equal">
      <formula>"AKTUELL"</formula>
    </cfRule>
    <cfRule type="cellIs" dxfId="304" priority="392" stopIfTrue="1" operator="equal">
      <formula>"NICHT AKTUELL"</formula>
    </cfRule>
    <cfRule type="cellIs" dxfId="303" priority="393" stopIfTrue="1" operator="equal">
      <formula>"NOCH NICHT AKTUELL"</formula>
    </cfRule>
  </conditionalFormatting>
  <conditionalFormatting sqref="S19:V19">
    <cfRule type="cellIs" dxfId="302" priority="388" stopIfTrue="1" operator="equal">
      <formula>"AKTUELL"</formula>
    </cfRule>
    <cfRule type="cellIs" dxfId="301" priority="389" stopIfTrue="1" operator="equal">
      <formula>"NICHT AKTUELL"</formula>
    </cfRule>
    <cfRule type="cellIs" dxfId="300" priority="390" stopIfTrue="1" operator="equal">
      <formula>"NOCH NICHT AKTUELL"</formula>
    </cfRule>
  </conditionalFormatting>
  <conditionalFormatting sqref="S55:V55">
    <cfRule type="cellIs" dxfId="299" priority="382" stopIfTrue="1" operator="equal">
      <formula>"AKTUELL"</formula>
    </cfRule>
    <cfRule type="cellIs" dxfId="298" priority="383" stopIfTrue="1" operator="equal">
      <formula>"NICHT AKTUELL"</formula>
    </cfRule>
    <cfRule type="cellIs" dxfId="297" priority="384" stopIfTrue="1" operator="equal">
      <formula>"NOCH NICHT AKTUELL"</formula>
    </cfRule>
  </conditionalFormatting>
  <conditionalFormatting sqref="S24:V24">
    <cfRule type="cellIs" dxfId="296" priority="385" stopIfTrue="1" operator="equal">
      <formula>"AKTUELL"</formula>
    </cfRule>
    <cfRule type="cellIs" dxfId="295" priority="386" stopIfTrue="1" operator="equal">
      <formula>"NICHT AKTUELL"</formula>
    </cfRule>
    <cfRule type="cellIs" dxfId="294" priority="387" stopIfTrue="1" operator="equal">
      <formula>"NOCH NICHT AKTUELL"</formula>
    </cfRule>
  </conditionalFormatting>
  <conditionalFormatting sqref="S57:V57">
    <cfRule type="cellIs" dxfId="293" priority="379" stopIfTrue="1" operator="equal">
      <formula>"AKTUELL"</formula>
    </cfRule>
    <cfRule type="cellIs" dxfId="292" priority="380" stopIfTrue="1" operator="equal">
      <formula>"NICHT AKTUELL"</formula>
    </cfRule>
    <cfRule type="cellIs" dxfId="291" priority="381" stopIfTrue="1" operator="equal">
      <formula>"NOCH NICHT AKTUELL"</formula>
    </cfRule>
  </conditionalFormatting>
  <conditionalFormatting sqref="S94:V94">
    <cfRule type="cellIs" dxfId="290" priority="370" stopIfTrue="1" operator="equal">
      <formula>"AKTUELL"</formula>
    </cfRule>
    <cfRule type="cellIs" dxfId="289" priority="371" stopIfTrue="1" operator="equal">
      <formula>"NICHT AKTUELL"</formula>
    </cfRule>
    <cfRule type="cellIs" dxfId="288" priority="372" stopIfTrue="1" operator="equal">
      <formula>"NOCH NICHT AKTUELL"</formula>
    </cfRule>
  </conditionalFormatting>
  <conditionalFormatting sqref="S54:V54">
    <cfRule type="cellIs" dxfId="287" priority="367" stopIfTrue="1" operator="equal">
      <formula>"AKTUELL"</formula>
    </cfRule>
    <cfRule type="cellIs" dxfId="286" priority="368" stopIfTrue="1" operator="equal">
      <formula>"NICHT AKTUELL"</formula>
    </cfRule>
    <cfRule type="cellIs" dxfId="285" priority="369" stopIfTrue="1" operator="equal">
      <formula>"NOCH NICHT AKTUELL"</formula>
    </cfRule>
  </conditionalFormatting>
  <conditionalFormatting sqref="S113:V113">
    <cfRule type="cellIs" dxfId="284" priority="358" stopIfTrue="1" operator="equal">
      <formula>"AKTUELL"</formula>
    </cfRule>
    <cfRule type="cellIs" dxfId="283" priority="359" stopIfTrue="1" operator="equal">
      <formula>"NICHT AKTUELL"</formula>
    </cfRule>
    <cfRule type="cellIs" dxfId="282" priority="360" stopIfTrue="1" operator="equal">
      <formula>"NOCH NICHT AKTUELL"</formula>
    </cfRule>
  </conditionalFormatting>
  <conditionalFormatting sqref="S29:V29">
    <cfRule type="cellIs" dxfId="281" priority="349" stopIfTrue="1" operator="equal">
      <formula>"AKTUELL"</formula>
    </cfRule>
    <cfRule type="cellIs" dxfId="280" priority="350" stopIfTrue="1" operator="equal">
      <formula>"NICHT AKTUELL"</formula>
    </cfRule>
    <cfRule type="cellIs" dxfId="279" priority="351" stopIfTrue="1" operator="equal">
      <formula>"NOCH NICHT AKTUELL"</formula>
    </cfRule>
  </conditionalFormatting>
  <conditionalFormatting sqref="S34:V34">
    <cfRule type="cellIs" dxfId="278" priority="346" stopIfTrue="1" operator="equal">
      <formula>"AKTUELL"</formula>
    </cfRule>
    <cfRule type="cellIs" dxfId="277" priority="347" stopIfTrue="1" operator="equal">
      <formula>"NICHT AKTUELL"</formula>
    </cfRule>
    <cfRule type="cellIs" dxfId="276" priority="348" stopIfTrue="1" operator="equal">
      <formula>"NOCH NICHT AKTUELL"</formula>
    </cfRule>
  </conditionalFormatting>
  <conditionalFormatting sqref="S46:V46">
    <cfRule type="cellIs" dxfId="275" priority="343" stopIfTrue="1" operator="equal">
      <formula>"AKTUELL"</formula>
    </cfRule>
    <cfRule type="cellIs" dxfId="274" priority="344" stopIfTrue="1" operator="equal">
      <formula>"NICHT AKTUELL"</formula>
    </cfRule>
    <cfRule type="cellIs" dxfId="273" priority="345" stopIfTrue="1" operator="equal">
      <formula>"NOCH NICHT AKTUELL"</formula>
    </cfRule>
  </conditionalFormatting>
  <conditionalFormatting sqref="S110:V110">
    <cfRule type="cellIs" dxfId="272" priority="337" stopIfTrue="1" operator="equal">
      <formula>"AKTUELL"</formula>
    </cfRule>
    <cfRule type="cellIs" dxfId="271" priority="338" stopIfTrue="1" operator="equal">
      <formula>"NICHT AKTUELL"</formula>
    </cfRule>
    <cfRule type="cellIs" dxfId="270" priority="339" stopIfTrue="1" operator="equal">
      <formula>"NOCH NICHT AKTUELL"</formula>
    </cfRule>
  </conditionalFormatting>
  <conditionalFormatting sqref="S112:V112">
    <cfRule type="cellIs" dxfId="269" priority="322" stopIfTrue="1" operator="equal">
      <formula>"AKTUELL"</formula>
    </cfRule>
    <cfRule type="cellIs" dxfId="268" priority="323" stopIfTrue="1" operator="equal">
      <formula>"NICHT AKTUELL"</formula>
    </cfRule>
    <cfRule type="cellIs" dxfId="267" priority="324" stopIfTrue="1" operator="equal">
      <formula>"NOCH NICHT AKTUELL"</formula>
    </cfRule>
  </conditionalFormatting>
  <conditionalFormatting sqref="S39:V39">
    <cfRule type="cellIs" dxfId="266" priority="319" stopIfTrue="1" operator="equal">
      <formula>"AKTUELL"</formula>
    </cfRule>
    <cfRule type="cellIs" dxfId="265" priority="320" stopIfTrue="1" operator="equal">
      <formula>"NICHT AKTUELL"</formula>
    </cfRule>
    <cfRule type="cellIs" dxfId="264" priority="321" stopIfTrue="1" operator="equal">
      <formula>"NOCH NICHT AKTUELL"</formula>
    </cfRule>
  </conditionalFormatting>
  <conditionalFormatting sqref="S50:V50">
    <cfRule type="cellIs" dxfId="263" priority="316" stopIfTrue="1" operator="equal">
      <formula>"AKTUELL"</formula>
    </cfRule>
    <cfRule type="cellIs" dxfId="262" priority="317" stopIfTrue="1" operator="equal">
      <formula>"NICHT AKTUELL"</formula>
    </cfRule>
    <cfRule type="cellIs" dxfId="261" priority="318" stopIfTrue="1" operator="equal">
      <formula>"NOCH NICHT AKTUELL"</formula>
    </cfRule>
  </conditionalFormatting>
  <conditionalFormatting sqref="S101:V101">
    <cfRule type="cellIs" dxfId="260" priority="313" stopIfTrue="1" operator="equal">
      <formula>"AKTUELL"</formula>
    </cfRule>
    <cfRule type="cellIs" dxfId="259" priority="314" stopIfTrue="1" operator="equal">
      <formula>"NICHT AKTUELL"</formula>
    </cfRule>
    <cfRule type="cellIs" dxfId="258" priority="315" stopIfTrue="1" operator="equal">
      <formula>"NOCH NICHT AKTUELL"</formula>
    </cfRule>
  </conditionalFormatting>
  <conditionalFormatting sqref="S105:V105">
    <cfRule type="cellIs" dxfId="257" priority="310" stopIfTrue="1" operator="equal">
      <formula>"AKTUELL"</formula>
    </cfRule>
    <cfRule type="cellIs" dxfId="256" priority="311" stopIfTrue="1" operator="equal">
      <formula>"NICHT AKTUELL"</formula>
    </cfRule>
    <cfRule type="cellIs" dxfId="255" priority="312" stopIfTrue="1" operator="equal">
      <formula>"NOCH NICHT AKTUELL"</formula>
    </cfRule>
  </conditionalFormatting>
  <conditionalFormatting sqref="S59:V59">
    <cfRule type="cellIs" dxfId="254" priority="307" stopIfTrue="1" operator="equal">
      <formula>"AKTUELL"</formula>
    </cfRule>
    <cfRule type="cellIs" dxfId="253" priority="308" stopIfTrue="1" operator="equal">
      <formula>"NICHT AKTUELL"</formula>
    </cfRule>
    <cfRule type="cellIs" dxfId="252" priority="309" stopIfTrue="1" operator="equal">
      <formula>"NOCH NICHT AKTUELL"</formula>
    </cfRule>
  </conditionalFormatting>
  <conditionalFormatting sqref="S4:V4">
    <cfRule type="cellIs" dxfId="251" priority="304" stopIfTrue="1" operator="equal">
      <formula>"AKTUELL"</formula>
    </cfRule>
    <cfRule type="cellIs" dxfId="250" priority="305" stopIfTrue="1" operator="equal">
      <formula>"NICHT AKTUELL"</formula>
    </cfRule>
    <cfRule type="cellIs" dxfId="249" priority="306" stopIfTrue="1" operator="equal">
      <formula>"NOCH NICHT AKTUELL"</formula>
    </cfRule>
  </conditionalFormatting>
  <conditionalFormatting sqref="S51:V51">
    <cfRule type="cellIs" dxfId="248" priority="301" stopIfTrue="1" operator="equal">
      <formula>"AKTUELL"</formula>
    </cfRule>
    <cfRule type="cellIs" dxfId="247" priority="302" stopIfTrue="1" operator="equal">
      <formula>"NICHT AKTUELL"</formula>
    </cfRule>
    <cfRule type="cellIs" dxfId="246" priority="303" stopIfTrue="1" operator="equal">
      <formula>"NOCH NICHT AKTUELL"</formula>
    </cfRule>
  </conditionalFormatting>
  <conditionalFormatting sqref="S5:V5">
    <cfRule type="cellIs" dxfId="245" priority="298" stopIfTrue="1" operator="equal">
      <formula>"AKTUELL"</formula>
    </cfRule>
    <cfRule type="cellIs" dxfId="244" priority="299" stopIfTrue="1" operator="equal">
      <formula>"NICHT AKTUELL"</formula>
    </cfRule>
    <cfRule type="cellIs" dxfId="243" priority="300" stopIfTrue="1" operator="equal">
      <formula>"NOCH NICHT AKTUELL"</formula>
    </cfRule>
  </conditionalFormatting>
  <conditionalFormatting sqref="S16:V16">
    <cfRule type="cellIs" dxfId="242" priority="295" stopIfTrue="1" operator="equal">
      <formula>"AKTUELL"</formula>
    </cfRule>
    <cfRule type="cellIs" dxfId="241" priority="296" stopIfTrue="1" operator="equal">
      <formula>"NICHT AKTUELL"</formula>
    </cfRule>
    <cfRule type="cellIs" dxfId="240" priority="297" stopIfTrue="1" operator="equal">
      <formula>"NOCH NICHT AKTUELL"</formula>
    </cfRule>
  </conditionalFormatting>
  <conditionalFormatting sqref="S12:V12">
    <cfRule type="cellIs" dxfId="239" priority="289" stopIfTrue="1" operator="equal">
      <formula>"AKTUELL"</formula>
    </cfRule>
    <cfRule type="cellIs" dxfId="238" priority="290" stopIfTrue="1" operator="equal">
      <formula>"NICHT AKTUELL"</formula>
    </cfRule>
    <cfRule type="cellIs" dxfId="237" priority="291" stopIfTrue="1" operator="equal">
      <formula>"NOCH NICHT AKTUELL"</formula>
    </cfRule>
  </conditionalFormatting>
  <conditionalFormatting sqref="S25:V25">
    <cfRule type="cellIs" dxfId="236" priority="283" stopIfTrue="1" operator="equal">
      <formula>"AKTUELL"</formula>
    </cfRule>
    <cfRule type="cellIs" dxfId="235" priority="284" stopIfTrue="1" operator="equal">
      <formula>"NICHT AKTUELL"</formula>
    </cfRule>
    <cfRule type="cellIs" dxfId="234" priority="285" stopIfTrue="1" operator="equal">
      <formula>"NOCH NICHT AKTUELL"</formula>
    </cfRule>
  </conditionalFormatting>
  <conditionalFormatting sqref="S20:V20">
    <cfRule type="cellIs" dxfId="233" priority="286" stopIfTrue="1" operator="equal">
      <formula>"AKTUELL"</formula>
    </cfRule>
    <cfRule type="cellIs" dxfId="232" priority="287" stopIfTrue="1" operator="equal">
      <formula>"NICHT AKTUELL"</formula>
    </cfRule>
    <cfRule type="cellIs" dxfId="231" priority="288" stopIfTrue="1" operator="equal">
      <formula>"NOCH NICHT AKTUELL"</formula>
    </cfRule>
  </conditionalFormatting>
  <conditionalFormatting sqref="S30:V30">
    <cfRule type="cellIs" dxfId="230" priority="280" stopIfTrue="1" operator="equal">
      <formula>"AKTUELL"</formula>
    </cfRule>
    <cfRule type="cellIs" dxfId="229" priority="281" stopIfTrue="1" operator="equal">
      <formula>"NICHT AKTUELL"</formula>
    </cfRule>
    <cfRule type="cellIs" dxfId="228" priority="282" stopIfTrue="1" operator="equal">
      <formula>"NOCH NICHT AKTUELL"</formula>
    </cfRule>
  </conditionalFormatting>
  <conditionalFormatting sqref="S35:V35">
    <cfRule type="cellIs" dxfId="227" priority="277" stopIfTrue="1" operator="equal">
      <formula>"AKTUELL"</formula>
    </cfRule>
    <cfRule type="cellIs" dxfId="226" priority="278" stopIfTrue="1" operator="equal">
      <formula>"NICHT AKTUELL"</formula>
    </cfRule>
    <cfRule type="cellIs" dxfId="225" priority="279" stopIfTrue="1" operator="equal">
      <formula>"NOCH NICHT AKTUELL"</formula>
    </cfRule>
  </conditionalFormatting>
  <conditionalFormatting sqref="S47:V47">
    <cfRule type="cellIs" dxfId="224" priority="274" stopIfTrue="1" operator="equal">
      <formula>"AKTUELL"</formula>
    </cfRule>
    <cfRule type="cellIs" dxfId="223" priority="275" stopIfTrue="1" operator="equal">
      <formula>"NICHT AKTUELL"</formula>
    </cfRule>
    <cfRule type="cellIs" dxfId="222" priority="276" stopIfTrue="1" operator="equal">
      <formula>"NOCH NICHT AKTUELL"</formula>
    </cfRule>
  </conditionalFormatting>
  <conditionalFormatting sqref="S56:V56">
    <cfRule type="cellIs" dxfId="221" priority="271" stopIfTrue="1" operator="equal">
      <formula>"AKTUELL"</formula>
    </cfRule>
    <cfRule type="cellIs" dxfId="220" priority="272" stopIfTrue="1" operator="equal">
      <formula>"NICHT AKTUELL"</formula>
    </cfRule>
    <cfRule type="cellIs" dxfId="219" priority="273" stopIfTrue="1" operator="equal">
      <formula>"NOCH NICHT AKTUELL"</formula>
    </cfRule>
  </conditionalFormatting>
  <conditionalFormatting sqref="S58:V58">
    <cfRule type="cellIs" dxfId="218" priority="268" stopIfTrue="1" operator="equal">
      <formula>"AKTUELL"</formula>
    </cfRule>
    <cfRule type="cellIs" dxfId="217" priority="269" stopIfTrue="1" operator="equal">
      <formula>"NICHT AKTUELL"</formula>
    </cfRule>
    <cfRule type="cellIs" dxfId="216" priority="270" stopIfTrue="1" operator="equal">
      <formula>"NOCH NICHT AKTUELL"</formula>
    </cfRule>
  </conditionalFormatting>
  <conditionalFormatting sqref="S60:V60">
    <cfRule type="cellIs" dxfId="215" priority="265" stopIfTrue="1" operator="equal">
      <formula>"AKTUELL"</formula>
    </cfRule>
    <cfRule type="cellIs" dxfId="214" priority="266" stopIfTrue="1" operator="equal">
      <formula>"NICHT AKTUELL"</formula>
    </cfRule>
    <cfRule type="cellIs" dxfId="213" priority="267" stopIfTrue="1" operator="equal">
      <formula>"NOCH NICHT AKTUELL"</formula>
    </cfRule>
  </conditionalFormatting>
  <conditionalFormatting sqref="S95:V95">
    <cfRule type="cellIs" dxfId="212" priority="262" stopIfTrue="1" operator="equal">
      <formula>"AKTUELL"</formula>
    </cfRule>
    <cfRule type="cellIs" dxfId="211" priority="263" stopIfTrue="1" operator="equal">
      <formula>"NICHT AKTUELL"</formula>
    </cfRule>
    <cfRule type="cellIs" dxfId="210" priority="264" stopIfTrue="1" operator="equal">
      <formula>"NOCH NICHT AKTUELL"</formula>
    </cfRule>
  </conditionalFormatting>
  <conditionalFormatting sqref="S102:V102">
    <cfRule type="cellIs" dxfId="209" priority="259" stopIfTrue="1" operator="equal">
      <formula>"AKTUELL"</formula>
    </cfRule>
    <cfRule type="cellIs" dxfId="208" priority="260" stopIfTrue="1" operator="equal">
      <formula>"NICHT AKTUELL"</formula>
    </cfRule>
    <cfRule type="cellIs" dxfId="207" priority="261" stopIfTrue="1" operator="equal">
      <formula>"NOCH NICHT AKTUELL"</formula>
    </cfRule>
  </conditionalFormatting>
  <conditionalFormatting sqref="S106:V106">
    <cfRule type="cellIs" dxfId="206" priority="256" stopIfTrue="1" operator="equal">
      <formula>"AKTUELL"</formula>
    </cfRule>
    <cfRule type="cellIs" dxfId="205" priority="257" stopIfTrue="1" operator="equal">
      <formula>"NICHT AKTUELL"</formula>
    </cfRule>
    <cfRule type="cellIs" dxfId="204" priority="258" stopIfTrue="1" operator="equal">
      <formula>"NOCH NICHT AKTUELL"</formula>
    </cfRule>
  </conditionalFormatting>
  <conditionalFormatting sqref="S13:V13">
    <cfRule type="cellIs" dxfId="203" priority="250" stopIfTrue="1" operator="equal">
      <formula>"AKTUELL"</formula>
    </cfRule>
    <cfRule type="cellIs" dxfId="202" priority="251" stopIfTrue="1" operator="equal">
      <formula>"NICHT AKTUELL"</formula>
    </cfRule>
    <cfRule type="cellIs" dxfId="201" priority="252" stopIfTrue="1" operator="equal">
      <formula>"NOCH NICHT AKTUELL"</formula>
    </cfRule>
  </conditionalFormatting>
  <conditionalFormatting sqref="S17:V17">
    <cfRule type="cellIs" dxfId="200" priority="247" stopIfTrue="1" operator="equal">
      <formula>"AKTUELL"</formula>
    </cfRule>
    <cfRule type="cellIs" dxfId="199" priority="248" stopIfTrue="1" operator="equal">
      <formula>"NICHT AKTUELL"</formula>
    </cfRule>
    <cfRule type="cellIs" dxfId="198" priority="249" stopIfTrue="1" operator="equal">
      <formula>"NOCH NICHT AKTUELL"</formula>
    </cfRule>
  </conditionalFormatting>
  <conditionalFormatting sqref="S21:V21">
    <cfRule type="cellIs" dxfId="197" priority="244" stopIfTrue="1" operator="equal">
      <formula>"AKTUELL"</formula>
    </cfRule>
    <cfRule type="cellIs" dxfId="196" priority="245" stopIfTrue="1" operator="equal">
      <formula>"NICHT AKTUELL"</formula>
    </cfRule>
    <cfRule type="cellIs" dxfId="195" priority="246" stopIfTrue="1" operator="equal">
      <formula>"NOCH NICHT AKTUELL"</formula>
    </cfRule>
  </conditionalFormatting>
  <conditionalFormatting sqref="S26:V26">
    <cfRule type="cellIs" dxfId="194" priority="241" stopIfTrue="1" operator="equal">
      <formula>"AKTUELL"</formula>
    </cfRule>
    <cfRule type="cellIs" dxfId="193" priority="242" stopIfTrue="1" operator="equal">
      <formula>"NICHT AKTUELL"</formula>
    </cfRule>
    <cfRule type="cellIs" dxfId="192" priority="243" stopIfTrue="1" operator="equal">
      <formula>"NOCH NICHT AKTUELL"</formula>
    </cfRule>
  </conditionalFormatting>
  <conditionalFormatting sqref="S31:V31">
    <cfRule type="cellIs" dxfId="191" priority="238" stopIfTrue="1" operator="equal">
      <formula>"AKTUELL"</formula>
    </cfRule>
    <cfRule type="cellIs" dxfId="190" priority="239" stopIfTrue="1" operator="equal">
      <formula>"NICHT AKTUELL"</formula>
    </cfRule>
    <cfRule type="cellIs" dxfId="189" priority="240" stopIfTrue="1" operator="equal">
      <formula>"NOCH NICHT AKTUELL"</formula>
    </cfRule>
  </conditionalFormatting>
  <conditionalFormatting sqref="S36:V36">
    <cfRule type="cellIs" dxfId="188" priority="235" stopIfTrue="1" operator="equal">
      <formula>"AKTUELL"</formula>
    </cfRule>
    <cfRule type="cellIs" dxfId="187" priority="236" stopIfTrue="1" operator="equal">
      <formula>"NICHT AKTUELL"</formula>
    </cfRule>
    <cfRule type="cellIs" dxfId="186" priority="237" stopIfTrue="1" operator="equal">
      <formula>"NOCH NICHT AKTUELL"</formula>
    </cfRule>
  </conditionalFormatting>
  <conditionalFormatting sqref="S41:V41">
    <cfRule type="cellIs" dxfId="185" priority="232" stopIfTrue="1" operator="equal">
      <formula>"AKTUELL"</formula>
    </cfRule>
    <cfRule type="cellIs" dxfId="184" priority="233" stopIfTrue="1" operator="equal">
      <formula>"NICHT AKTUELL"</formula>
    </cfRule>
    <cfRule type="cellIs" dxfId="183" priority="234" stopIfTrue="1" operator="equal">
      <formula>"NOCH NICHT AKTUELL"</formula>
    </cfRule>
  </conditionalFormatting>
  <conditionalFormatting sqref="S43:V43">
    <cfRule type="cellIs" dxfId="182" priority="229" stopIfTrue="1" operator="equal">
      <formula>"AKTUELL"</formula>
    </cfRule>
    <cfRule type="cellIs" dxfId="181" priority="230" stopIfTrue="1" operator="equal">
      <formula>"NICHT AKTUELL"</formula>
    </cfRule>
    <cfRule type="cellIs" dxfId="180" priority="231" stopIfTrue="1" operator="equal">
      <formula>"NOCH NICHT AKTUELL"</formula>
    </cfRule>
  </conditionalFormatting>
  <conditionalFormatting sqref="S45:V45">
    <cfRule type="cellIs" dxfId="179" priority="226" stopIfTrue="1" operator="equal">
      <formula>"AKTUELL"</formula>
    </cfRule>
    <cfRule type="cellIs" dxfId="178" priority="227" stopIfTrue="1" operator="equal">
      <formula>"NICHT AKTUELL"</formula>
    </cfRule>
    <cfRule type="cellIs" dxfId="177" priority="228" stopIfTrue="1" operator="equal">
      <formula>"NOCH NICHT AKTUELL"</formula>
    </cfRule>
  </conditionalFormatting>
  <conditionalFormatting sqref="S90:V90">
    <cfRule type="cellIs" dxfId="176" priority="196" stopIfTrue="1" operator="equal">
      <formula>"AKTUELL"</formula>
    </cfRule>
    <cfRule type="cellIs" dxfId="175" priority="197" stopIfTrue="1" operator="equal">
      <formula>"NICHT AKTUELL"</formula>
    </cfRule>
    <cfRule type="cellIs" dxfId="174" priority="198" stopIfTrue="1" operator="equal">
      <formula>"NOCH NICHT AKTUELL"</formula>
    </cfRule>
  </conditionalFormatting>
  <conditionalFormatting sqref="S103:V103">
    <cfRule type="cellIs" dxfId="173" priority="193" stopIfTrue="1" operator="equal">
      <formula>"AKTUELL"</formula>
    </cfRule>
    <cfRule type="cellIs" dxfId="172" priority="194" stopIfTrue="1" operator="equal">
      <formula>"NICHT AKTUELL"</formula>
    </cfRule>
    <cfRule type="cellIs" dxfId="171" priority="195" stopIfTrue="1" operator="equal">
      <formula>"NOCH NICHT AKTUELL"</formula>
    </cfRule>
  </conditionalFormatting>
  <conditionalFormatting sqref="S107:V108">
    <cfRule type="cellIs" dxfId="170" priority="190" stopIfTrue="1" operator="equal">
      <formula>"AKTUELL"</formula>
    </cfRule>
    <cfRule type="cellIs" dxfId="169" priority="191" stopIfTrue="1" operator="equal">
      <formula>"NICHT AKTUELL"</formula>
    </cfRule>
    <cfRule type="cellIs" dxfId="168" priority="192" stopIfTrue="1" operator="equal">
      <formula>"NOCH NICHT AKTUELL"</formula>
    </cfRule>
  </conditionalFormatting>
  <conditionalFormatting sqref="S111:V111">
    <cfRule type="cellIs" dxfId="167" priority="187" stopIfTrue="1" operator="equal">
      <formula>"AKTUELL"</formula>
    </cfRule>
    <cfRule type="cellIs" dxfId="166" priority="188" stopIfTrue="1" operator="equal">
      <formula>"NICHT AKTUELL"</formula>
    </cfRule>
    <cfRule type="cellIs" dxfId="165" priority="189" stopIfTrue="1" operator="equal">
      <formula>"NOCH NICHT AKTUELL"</formula>
    </cfRule>
  </conditionalFormatting>
  <conditionalFormatting sqref="S62:V62">
    <cfRule type="cellIs" dxfId="164" priority="184" stopIfTrue="1" operator="equal">
      <formula>"AKTUELL"</formula>
    </cfRule>
    <cfRule type="cellIs" dxfId="163" priority="185" stopIfTrue="1" operator="equal">
      <formula>"NICHT AKTUELL"</formula>
    </cfRule>
    <cfRule type="cellIs" dxfId="162" priority="186" stopIfTrue="1" operator="equal">
      <formula>"NOCH NICHT AKTUELL"</formula>
    </cfRule>
  </conditionalFormatting>
  <conditionalFormatting sqref="S65:V65">
    <cfRule type="cellIs" dxfId="161" priority="181" stopIfTrue="1" operator="equal">
      <formula>"AKTUELL"</formula>
    </cfRule>
    <cfRule type="cellIs" dxfId="160" priority="182" stopIfTrue="1" operator="equal">
      <formula>"NICHT AKTUELL"</formula>
    </cfRule>
    <cfRule type="cellIs" dxfId="159" priority="183" stopIfTrue="1" operator="equal">
      <formula>"NOCH NICHT AKTUELL"</formula>
    </cfRule>
  </conditionalFormatting>
  <conditionalFormatting sqref="S69:V69">
    <cfRule type="cellIs" dxfId="158" priority="178" stopIfTrue="1" operator="equal">
      <formula>"AKTUELL"</formula>
    </cfRule>
    <cfRule type="cellIs" dxfId="157" priority="179" stopIfTrue="1" operator="equal">
      <formula>"NICHT AKTUELL"</formula>
    </cfRule>
    <cfRule type="cellIs" dxfId="156" priority="180" stopIfTrue="1" operator="equal">
      <formula>"NOCH NICHT AKTUELL"</formula>
    </cfRule>
  </conditionalFormatting>
  <conditionalFormatting sqref="T74:V74">
    <cfRule type="cellIs" dxfId="155" priority="175" stopIfTrue="1" operator="equal">
      <formula>"AKTUELL"</formula>
    </cfRule>
    <cfRule type="cellIs" dxfId="154" priority="176" stopIfTrue="1" operator="equal">
      <formula>"NICHT AKTUELL"</formula>
    </cfRule>
    <cfRule type="cellIs" dxfId="153" priority="177" stopIfTrue="1" operator="equal">
      <formula>"NOCH NICHT AKTUELL"</formula>
    </cfRule>
  </conditionalFormatting>
  <conditionalFormatting sqref="S74">
    <cfRule type="cellIs" dxfId="152" priority="172" stopIfTrue="1" operator="equal">
      <formula>"AKTUELL"</formula>
    </cfRule>
    <cfRule type="cellIs" dxfId="151" priority="173" stopIfTrue="1" operator="equal">
      <formula>"NICHT AKTUELL"</formula>
    </cfRule>
    <cfRule type="cellIs" dxfId="150" priority="174" stopIfTrue="1" operator="equal">
      <formula>"NOCH NICHT AKTUELL"</formula>
    </cfRule>
  </conditionalFormatting>
  <conditionalFormatting sqref="T79:V79">
    <cfRule type="cellIs" dxfId="149" priority="169" stopIfTrue="1" operator="equal">
      <formula>"AKTUELL"</formula>
    </cfRule>
    <cfRule type="cellIs" dxfId="148" priority="170" stopIfTrue="1" operator="equal">
      <formula>"NICHT AKTUELL"</formula>
    </cfRule>
    <cfRule type="cellIs" dxfId="147" priority="171" stopIfTrue="1" operator="equal">
      <formula>"NOCH NICHT AKTUELL"</formula>
    </cfRule>
  </conditionalFormatting>
  <conditionalFormatting sqref="S79">
    <cfRule type="cellIs" dxfId="146" priority="166" stopIfTrue="1" operator="equal">
      <formula>"AKTUELL"</formula>
    </cfRule>
    <cfRule type="cellIs" dxfId="145" priority="167" stopIfTrue="1" operator="equal">
      <formula>"NICHT AKTUELL"</formula>
    </cfRule>
    <cfRule type="cellIs" dxfId="144" priority="168" stopIfTrue="1" operator="equal">
      <formula>"NOCH NICHT AKTUELL"</formula>
    </cfRule>
  </conditionalFormatting>
  <conditionalFormatting sqref="T85:V85">
    <cfRule type="cellIs" dxfId="143" priority="163" stopIfTrue="1" operator="equal">
      <formula>"AKTUELL"</formula>
    </cfRule>
    <cfRule type="cellIs" dxfId="142" priority="164" stopIfTrue="1" operator="equal">
      <formula>"NICHT AKTUELL"</formula>
    </cfRule>
    <cfRule type="cellIs" dxfId="141" priority="165" stopIfTrue="1" operator="equal">
      <formula>"NOCH NICHT AKTUELL"</formula>
    </cfRule>
  </conditionalFormatting>
  <conditionalFormatting sqref="S85">
    <cfRule type="cellIs" dxfId="140" priority="160" stopIfTrue="1" operator="equal">
      <formula>"AKTUELL"</formula>
    </cfRule>
    <cfRule type="cellIs" dxfId="139" priority="161" stopIfTrue="1" operator="equal">
      <formula>"NICHT AKTUELL"</formula>
    </cfRule>
    <cfRule type="cellIs" dxfId="138" priority="162" stopIfTrue="1" operator="equal">
      <formula>"NOCH NICHT AKTUELL"</formula>
    </cfRule>
  </conditionalFormatting>
  <conditionalFormatting sqref="S49:V49">
    <cfRule type="cellIs" dxfId="137" priority="157" stopIfTrue="1" operator="equal">
      <formula>"AKTUELL"</formula>
    </cfRule>
    <cfRule type="cellIs" dxfId="136" priority="158" stopIfTrue="1" operator="equal">
      <formula>"NICHT AKTUELL"</formula>
    </cfRule>
    <cfRule type="cellIs" dxfId="135" priority="159" stopIfTrue="1" operator="equal">
      <formula>"NOCH NICHT AKTUELL"</formula>
    </cfRule>
  </conditionalFormatting>
  <conditionalFormatting sqref="S22:V22">
    <cfRule type="cellIs" dxfId="134" priority="148" stopIfTrue="1" operator="equal">
      <formula>"AKTUELL"</formula>
    </cfRule>
    <cfRule type="cellIs" dxfId="133" priority="149" stopIfTrue="1" operator="equal">
      <formula>"NICHT AKTUELL"</formula>
    </cfRule>
    <cfRule type="cellIs" dxfId="132" priority="150" stopIfTrue="1" operator="equal">
      <formula>"NOCH NICHT AKTUELL"</formula>
    </cfRule>
  </conditionalFormatting>
  <conditionalFormatting sqref="S27:V27">
    <cfRule type="cellIs" dxfId="131" priority="145" stopIfTrue="1" operator="equal">
      <formula>"AKTUELL"</formula>
    </cfRule>
    <cfRule type="cellIs" dxfId="130" priority="146" stopIfTrue="1" operator="equal">
      <formula>"NICHT AKTUELL"</formula>
    </cfRule>
    <cfRule type="cellIs" dxfId="129" priority="147" stopIfTrue="1" operator="equal">
      <formula>"NOCH NICHT AKTUELL"</formula>
    </cfRule>
  </conditionalFormatting>
  <conditionalFormatting sqref="S33:V33">
    <cfRule type="cellIs" dxfId="128" priority="142" stopIfTrue="1" operator="equal">
      <formula>"AKTUELL"</formula>
    </cfRule>
    <cfRule type="cellIs" dxfId="127" priority="143" stopIfTrue="1" operator="equal">
      <formula>"NICHT AKTUELL"</formula>
    </cfRule>
    <cfRule type="cellIs" dxfId="126" priority="144" stopIfTrue="1" operator="equal">
      <formula>"NOCH NICHT AKTUELL"</formula>
    </cfRule>
  </conditionalFormatting>
  <conditionalFormatting sqref="S37:V37">
    <cfRule type="cellIs" dxfId="125" priority="139" stopIfTrue="1" operator="equal">
      <formula>"AKTUELL"</formula>
    </cfRule>
    <cfRule type="cellIs" dxfId="124" priority="140" stopIfTrue="1" operator="equal">
      <formula>"NICHT AKTUELL"</formula>
    </cfRule>
    <cfRule type="cellIs" dxfId="123" priority="141" stopIfTrue="1" operator="equal">
      <formula>"NOCH NICHT AKTUELL"</formula>
    </cfRule>
  </conditionalFormatting>
  <conditionalFormatting sqref="S8:V8">
    <cfRule type="cellIs" dxfId="122" priority="136" stopIfTrue="1" operator="equal">
      <formula>"AKTUELL"</formula>
    </cfRule>
    <cfRule type="cellIs" dxfId="121" priority="137" stopIfTrue="1" operator="equal">
      <formula>"NICHT AKTUELL"</formula>
    </cfRule>
    <cfRule type="cellIs" dxfId="120" priority="138" stopIfTrue="1" operator="equal">
      <formula>"NOCH NICHT AKTUELL"</formula>
    </cfRule>
  </conditionalFormatting>
  <conditionalFormatting sqref="S71:V71">
    <cfRule type="cellIs" dxfId="119" priority="133" stopIfTrue="1" operator="equal">
      <formula>"AKTUELL"</formula>
    </cfRule>
    <cfRule type="cellIs" dxfId="118" priority="134" stopIfTrue="1" operator="equal">
      <formula>"NICHT AKTUELL"</formula>
    </cfRule>
    <cfRule type="cellIs" dxfId="117" priority="135" stopIfTrue="1" operator="equal">
      <formula>"NOCH NICHT AKTUELL"</formula>
    </cfRule>
  </conditionalFormatting>
  <conditionalFormatting sqref="S48:V48">
    <cfRule type="cellIs" dxfId="116" priority="130" stopIfTrue="1" operator="equal">
      <formula>"AKTUELL"</formula>
    </cfRule>
    <cfRule type="cellIs" dxfId="115" priority="131" stopIfTrue="1" operator="equal">
      <formula>"NICHT AKTUELL"</formula>
    </cfRule>
    <cfRule type="cellIs" dxfId="114" priority="132" stopIfTrue="1" operator="equal">
      <formula>"NOCH NICHT AKTUELL"</formula>
    </cfRule>
  </conditionalFormatting>
  <conditionalFormatting sqref="S23:V23">
    <cfRule type="cellIs" dxfId="113" priority="127" stopIfTrue="1" operator="equal">
      <formula>"AKTUELL"</formula>
    </cfRule>
    <cfRule type="cellIs" dxfId="112" priority="128" stopIfTrue="1" operator="equal">
      <formula>"NICHT AKTUELL"</formula>
    </cfRule>
    <cfRule type="cellIs" dxfId="111" priority="129" stopIfTrue="1" operator="equal">
      <formula>"NOCH NICHT AKTUELL"</formula>
    </cfRule>
  </conditionalFormatting>
  <conditionalFormatting sqref="S28:V28">
    <cfRule type="cellIs" dxfId="110" priority="124" stopIfTrue="1" operator="equal">
      <formula>"AKTUELL"</formula>
    </cfRule>
    <cfRule type="cellIs" dxfId="109" priority="125" stopIfTrue="1" operator="equal">
      <formula>"NICHT AKTUELL"</formula>
    </cfRule>
    <cfRule type="cellIs" dxfId="108" priority="126" stopIfTrue="1" operator="equal">
      <formula>"NOCH NICHT AKTUELL"</formula>
    </cfRule>
  </conditionalFormatting>
  <conditionalFormatting sqref="S32:V32">
    <cfRule type="cellIs" dxfId="107" priority="121" stopIfTrue="1" operator="equal">
      <formula>"AKTUELL"</formula>
    </cfRule>
    <cfRule type="cellIs" dxfId="106" priority="122" stopIfTrue="1" operator="equal">
      <formula>"NICHT AKTUELL"</formula>
    </cfRule>
    <cfRule type="cellIs" dxfId="105" priority="123" stopIfTrue="1" operator="equal">
      <formula>"NOCH NICHT AKTUELL"</formula>
    </cfRule>
  </conditionalFormatting>
  <conditionalFormatting sqref="S38:V38">
    <cfRule type="cellIs" dxfId="104" priority="118" stopIfTrue="1" operator="equal">
      <formula>"AKTUELL"</formula>
    </cfRule>
    <cfRule type="cellIs" dxfId="103" priority="119" stopIfTrue="1" operator="equal">
      <formula>"NICHT AKTUELL"</formula>
    </cfRule>
    <cfRule type="cellIs" dxfId="102" priority="120" stopIfTrue="1" operator="equal">
      <formula>"NOCH NICHT AKTUELL"</formula>
    </cfRule>
  </conditionalFormatting>
  <conditionalFormatting sqref="S9:V9">
    <cfRule type="cellIs" dxfId="101" priority="115" stopIfTrue="1" operator="equal">
      <formula>"AKTUELL"</formula>
    </cfRule>
    <cfRule type="cellIs" dxfId="100" priority="116" stopIfTrue="1" operator="equal">
      <formula>"NICHT AKTUELL"</formula>
    </cfRule>
    <cfRule type="cellIs" dxfId="99" priority="117" stopIfTrue="1" operator="equal">
      <formula>"NOCH NICHT AKTUELL"</formula>
    </cfRule>
  </conditionalFormatting>
  <conditionalFormatting sqref="S75">
    <cfRule type="cellIs" dxfId="98" priority="109" stopIfTrue="1" operator="equal">
      <formula>"AKTUELL"</formula>
    </cfRule>
    <cfRule type="cellIs" dxfId="97" priority="110" stopIfTrue="1" operator="equal">
      <formula>"NICHT AKTUELL"</formula>
    </cfRule>
    <cfRule type="cellIs" dxfId="96" priority="111" stopIfTrue="1" operator="equal">
      <formula>"NOCH NICHT AKTUELL"</formula>
    </cfRule>
  </conditionalFormatting>
  <conditionalFormatting sqref="T75:V75">
    <cfRule type="cellIs" dxfId="95" priority="112" stopIfTrue="1" operator="equal">
      <formula>"AKTUELL"</formula>
    </cfRule>
    <cfRule type="cellIs" dxfId="94" priority="113" stopIfTrue="1" operator="equal">
      <formula>"NICHT AKTUELL"</formula>
    </cfRule>
    <cfRule type="cellIs" dxfId="93" priority="114" stopIfTrue="1" operator="equal">
      <formula>"NOCH NICHT AKTUELL"</formula>
    </cfRule>
  </conditionalFormatting>
  <conditionalFormatting sqref="S109:V109">
    <cfRule type="cellIs" dxfId="92" priority="106" stopIfTrue="1" operator="equal">
      <formula>"AKTUELL"</formula>
    </cfRule>
    <cfRule type="cellIs" dxfId="91" priority="107" stopIfTrue="1" operator="equal">
      <formula>"NICHT AKTUELL"</formula>
    </cfRule>
    <cfRule type="cellIs" dxfId="90" priority="108" stopIfTrue="1" operator="equal">
      <formula>"NOCH NICHT AKTUELL"</formula>
    </cfRule>
  </conditionalFormatting>
  <conditionalFormatting sqref="S14:V14">
    <cfRule type="cellIs" dxfId="89" priority="103" stopIfTrue="1" operator="equal">
      <formula>"AKTUELL"</formula>
    </cfRule>
    <cfRule type="cellIs" dxfId="88" priority="104" stopIfTrue="1" operator="equal">
      <formula>"NICHT AKTUELL"</formula>
    </cfRule>
    <cfRule type="cellIs" dxfId="87" priority="105" stopIfTrue="1" operator="equal">
      <formula>"NOCH NICHT AKTUELL"</formula>
    </cfRule>
  </conditionalFormatting>
  <conditionalFormatting sqref="S18:V18">
    <cfRule type="cellIs" dxfId="86" priority="100" stopIfTrue="1" operator="equal">
      <formula>"AKTUELL"</formula>
    </cfRule>
    <cfRule type="cellIs" dxfId="85" priority="101" stopIfTrue="1" operator="equal">
      <formula>"NICHT AKTUELL"</formula>
    </cfRule>
    <cfRule type="cellIs" dxfId="84" priority="102" stopIfTrue="1" operator="equal">
      <formula>"NOCH NICHT AKTUELL"</formula>
    </cfRule>
  </conditionalFormatting>
  <conditionalFormatting sqref="S100:V100">
    <cfRule type="cellIs" dxfId="83" priority="88" stopIfTrue="1" operator="equal">
      <formula>"AKTUELL"</formula>
    </cfRule>
    <cfRule type="cellIs" dxfId="82" priority="89" stopIfTrue="1" operator="equal">
      <formula>"NICHT AKTUELL"</formula>
    </cfRule>
    <cfRule type="cellIs" dxfId="81" priority="90" stopIfTrue="1" operator="equal">
      <formula>"NOCH NICHT AKTUELL"</formula>
    </cfRule>
  </conditionalFormatting>
  <conditionalFormatting sqref="S10:V10">
    <cfRule type="cellIs" dxfId="80" priority="82" stopIfTrue="1" operator="equal">
      <formula>"AKTUELL"</formula>
    </cfRule>
    <cfRule type="cellIs" dxfId="79" priority="83" stopIfTrue="1" operator="equal">
      <formula>"NICHT AKTUELL"</formula>
    </cfRule>
    <cfRule type="cellIs" dxfId="78" priority="84" stopIfTrue="1" operator="equal">
      <formula>"NOCH NICHT AKTUELL"</formula>
    </cfRule>
  </conditionalFormatting>
  <conditionalFormatting sqref="S6:V6 S7">
    <cfRule type="cellIs" dxfId="77" priority="76" stopIfTrue="1" operator="equal">
      <formula>"AKTUELL"</formula>
    </cfRule>
    <cfRule type="cellIs" dxfId="76" priority="77" stopIfTrue="1" operator="equal">
      <formula>"NICHT AKTUELL"</formula>
    </cfRule>
    <cfRule type="cellIs" dxfId="75" priority="78" stopIfTrue="1" operator="equal">
      <formula>"NOCH NICHT AKTUELL"</formula>
    </cfRule>
  </conditionalFormatting>
  <conditionalFormatting sqref="S76">
    <cfRule type="cellIs" dxfId="74" priority="70" stopIfTrue="1" operator="equal">
      <formula>"AKTUELL"</formula>
    </cfRule>
    <cfRule type="cellIs" dxfId="73" priority="71" stopIfTrue="1" operator="equal">
      <formula>"NICHT AKTUELL"</formula>
    </cfRule>
    <cfRule type="cellIs" dxfId="72" priority="72" stopIfTrue="1" operator="equal">
      <formula>"NOCH NICHT AKTUELL"</formula>
    </cfRule>
  </conditionalFormatting>
  <conditionalFormatting sqref="T76:V76">
    <cfRule type="cellIs" dxfId="71" priority="73" stopIfTrue="1" operator="equal">
      <formula>"AKTUELL"</formula>
    </cfRule>
    <cfRule type="cellIs" dxfId="70" priority="74" stopIfTrue="1" operator="equal">
      <formula>"NICHT AKTUELL"</formula>
    </cfRule>
    <cfRule type="cellIs" dxfId="69" priority="75" stopIfTrue="1" operator="equal">
      <formula>"NOCH NICHT AKTUELL"</formula>
    </cfRule>
  </conditionalFormatting>
  <conditionalFormatting sqref="T80:V80">
    <cfRule type="cellIs" dxfId="68" priority="67" stopIfTrue="1" operator="equal">
      <formula>"AKTUELL"</formula>
    </cfRule>
    <cfRule type="cellIs" dxfId="67" priority="68" stopIfTrue="1" operator="equal">
      <formula>"NICHT AKTUELL"</formula>
    </cfRule>
    <cfRule type="cellIs" dxfId="66" priority="69" stopIfTrue="1" operator="equal">
      <formula>"NOCH NICHT AKTUELL"</formula>
    </cfRule>
  </conditionalFormatting>
  <conditionalFormatting sqref="S80">
    <cfRule type="cellIs" dxfId="65" priority="64" stopIfTrue="1" operator="equal">
      <formula>"AKTUELL"</formula>
    </cfRule>
    <cfRule type="cellIs" dxfId="64" priority="65" stopIfTrue="1" operator="equal">
      <formula>"NICHT AKTUELL"</formula>
    </cfRule>
    <cfRule type="cellIs" dxfId="63" priority="66" stopIfTrue="1" operator="equal">
      <formula>"NOCH NICHT AKTUELL"</formula>
    </cfRule>
  </conditionalFormatting>
  <conditionalFormatting sqref="T83:V83">
    <cfRule type="cellIs" dxfId="62" priority="61" stopIfTrue="1" operator="equal">
      <formula>"AKTUELL"</formula>
    </cfRule>
    <cfRule type="cellIs" dxfId="61" priority="62" stopIfTrue="1" operator="equal">
      <formula>"NICHT AKTUELL"</formula>
    </cfRule>
    <cfRule type="cellIs" dxfId="60" priority="63" stopIfTrue="1" operator="equal">
      <formula>"NOCH NICHT AKTUELL"</formula>
    </cfRule>
  </conditionalFormatting>
  <conditionalFormatting sqref="S83">
    <cfRule type="cellIs" dxfId="59" priority="58" stopIfTrue="1" operator="equal">
      <formula>"AKTUELL"</formula>
    </cfRule>
    <cfRule type="cellIs" dxfId="58" priority="59" stopIfTrue="1" operator="equal">
      <formula>"NICHT AKTUELL"</formula>
    </cfRule>
    <cfRule type="cellIs" dxfId="57" priority="60" stopIfTrue="1" operator="equal">
      <formula>"NOCH NICHT AKTUELL"</formula>
    </cfRule>
  </conditionalFormatting>
  <conditionalFormatting sqref="T86:V86">
    <cfRule type="cellIs" dxfId="56" priority="55" stopIfTrue="1" operator="equal">
      <formula>"AKTUELL"</formula>
    </cfRule>
    <cfRule type="cellIs" dxfId="55" priority="56" stopIfTrue="1" operator="equal">
      <formula>"NICHT AKTUELL"</formula>
    </cfRule>
    <cfRule type="cellIs" dxfId="54" priority="57" stopIfTrue="1" operator="equal">
      <formula>"NOCH NICHT AKTUELL"</formula>
    </cfRule>
  </conditionalFormatting>
  <conditionalFormatting sqref="S86">
    <cfRule type="cellIs" dxfId="53" priority="52" stopIfTrue="1" operator="equal">
      <formula>"AKTUELL"</formula>
    </cfRule>
    <cfRule type="cellIs" dxfId="52" priority="53" stopIfTrue="1" operator="equal">
      <formula>"NICHT AKTUELL"</formula>
    </cfRule>
    <cfRule type="cellIs" dxfId="51" priority="54" stopIfTrue="1" operator="equal">
      <formula>"NOCH NICHT AKTUELL"</formula>
    </cfRule>
  </conditionalFormatting>
  <conditionalFormatting sqref="S52:V52">
    <cfRule type="cellIs" dxfId="50" priority="49" stopIfTrue="1" operator="equal">
      <formula>"AKTUELL"</formula>
    </cfRule>
    <cfRule type="cellIs" dxfId="49" priority="50" stopIfTrue="1" operator="equal">
      <formula>"NICHT AKTUELL"</formula>
    </cfRule>
    <cfRule type="cellIs" dxfId="48" priority="51" stopIfTrue="1" operator="equal">
      <formula>"NOCH NICHT AKTUELL"</formula>
    </cfRule>
  </conditionalFormatting>
  <conditionalFormatting sqref="S63:V63">
    <cfRule type="cellIs" dxfId="47" priority="46" stopIfTrue="1" operator="equal">
      <formula>"AKTUELL"</formula>
    </cfRule>
    <cfRule type="cellIs" dxfId="46" priority="47" stopIfTrue="1" operator="equal">
      <formula>"NICHT AKTUELL"</formula>
    </cfRule>
    <cfRule type="cellIs" dxfId="45" priority="48" stopIfTrue="1" operator="equal">
      <formula>"NOCH NICHT AKTUELL"</formula>
    </cfRule>
  </conditionalFormatting>
  <conditionalFormatting sqref="S66:V66">
    <cfRule type="cellIs" dxfId="44" priority="43" stopIfTrue="1" operator="equal">
      <formula>"AKTUELL"</formula>
    </cfRule>
    <cfRule type="cellIs" dxfId="43" priority="44" stopIfTrue="1" operator="equal">
      <formula>"NICHT AKTUELL"</formula>
    </cfRule>
    <cfRule type="cellIs" dxfId="42" priority="45" stopIfTrue="1" operator="equal">
      <formula>"NOCH NICHT AKTUELL"</formula>
    </cfRule>
  </conditionalFormatting>
  <conditionalFormatting sqref="S68:V68">
    <cfRule type="cellIs" dxfId="41" priority="40" stopIfTrue="1" operator="equal">
      <formula>"AKTUELL"</formula>
    </cfRule>
    <cfRule type="cellIs" dxfId="40" priority="41" stopIfTrue="1" operator="equal">
      <formula>"NICHT AKTUELL"</formula>
    </cfRule>
    <cfRule type="cellIs" dxfId="39" priority="42" stopIfTrue="1" operator="equal">
      <formula>"NOCH NICHT AKTUELL"</formula>
    </cfRule>
  </conditionalFormatting>
  <conditionalFormatting sqref="S70:V70">
    <cfRule type="cellIs" dxfId="38" priority="37" stopIfTrue="1" operator="equal">
      <formula>"AKTUELL"</formula>
    </cfRule>
    <cfRule type="cellIs" dxfId="37" priority="38" stopIfTrue="1" operator="equal">
      <formula>"NICHT AKTUELL"</formula>
    </cfRule>
    <cfRule type="cellIs" dxfId="36" priority="39" stopIfTrue="1" operator="equal">
      <formula>"NOCH NICHT AKTUELL"</formula>
    </cfRule>
  </conditionalFormatting>
  <conditionalFormatting sqref="S72:V72">
    <cfRule type="cellIs" dxfId="35" priority="34" stopIfTrue="1" operator="equal">
      <formula>"AKTUELL"</formula>
    </cfRule>
    <cfRule type="cellIs" dxfId="34" priority="35" stopIfTrue="1" operator="equal">
      <formula>"NICHT AKTUELL"</formula>
    </cfRule>
    <cfRule type="cellIs" dxfId="33" priority="36" stopIfTrue="1" operator="equal">
      <formula>"NOCH NICHT AKTUELL"</formula>
    </cfRule>
  </conditionalFormatting>
  <conditionalFormatting sqref="S77">
    <cfRule type="cellIs" dxfId="32" priority="28" stopIfTrue="1" operator="equal">
      <formula>"AKTUELL"</formula>
    </cfRule>
    <cfRule type="cellIs" dxfId="31" priority="29" stopIfTrue="1" operator="equal">
      <formula>"NICHT AKTUELL"</formula>
    </cfRule>
    <cfRule type="cellIs" dxfId="30" priority="30" stopIfTrue="1" operator="equal">
      <formula>"NOCH NICHT AKTUELL"</formula>
    </cfRule>
  </conditionalFormatting>
  <conditionalFormatting sqref="T77:V77">
    <cfRule type="cellIs" dxfId="29" priority="31" stopIfTrue="1" operator="equal">
      <formula>"AKTUELL"</formula>
    </cfRule>
    <cfRule type="cellIs" dxfId="28" priority="32" stopIfTrue="1" operator="equal">
      <formula>"NICHT AKTUELL"</formula>
    </cfRule>
    <cfRule type="cellIs" dxfId="27" priority="33" stopIfTrue="1" operator="equal">
      <formula>"NOCH NICHT AKTUELL"</formula>
    </cfRule>
  </conditionalFormatting>
  <conditionalFormatting sqref="T81:V81">
    <cfRule type="cellIs" dxfId="26" priority="25" stopIfTrue="1" operator="equal">
      <formula>"AKTUELL"</formula>
    </cfRule>
    <cfRule type="cellIs" dxfId="25" priority="26" stopIfTrue="1" operator="equal">
      <formula>"NICHT AKTUELL"</formula>
    </cfRule>
    <cfRule type="cellIs" dxfId="24" priority="27" stopIfTrue="1" operator="equal">
      <formula>"NOCH NICHT AKTUELL"</formula>
    </cfRule>
  </conditionalFormatting>
  <conditionalFormatting sqref="S81">
    <cfRule type="cellIs" dxfId="23" priority="22" stopIfTrue="1" operator="equal">
      <formula>"AKTUELL"</formula>
    </cfRule>
    <cfRule type="cellIs" dxfId="22" priority="23" stopIfTrue="1" operator="equal">
      <formula>"NICHT AKTUELL"</formula>
    </cfRule>
    <cfRule type="cellIs" dxfId="21" priority="24" stopIfTrue="1" operator="equal">
      <formula>"NOCH NICHT AKTUELL"</formula>
    </cfRule>
  </conditionalFormatting>
  <conditionalFormatting sqref="T84:V84">
    <cfRule type="cellIs" dxfId="20" priority="19" stopIfTrue="1" operator="equal">
      <formula>"AKTUELL"</formula>
    </cfRule>
    <cfRule type="cellIs" dxfId="19" priority="20" stopIfTrue="1" operator="equal">
      <formula>"NICHT AKTUELL"</formula>
    </cfRule>
    <cfRule type="cellIs" dxfId="18" priority="21" stopIfTrue="1" operator="equal">
      <formula>"NOCH NICHT AKTUELL"</formula>
    </cfRule>
  </conditionalFormatting>
  <conditionalFormatting sqref="S84">
    <cfRule type="cellIs" dxfId="17" priority="16" stopIfTrue="1" operator="equal">
      <formula>"AKTUELL"</formula>
    </cfRule>
    <cfRule type="cellIs" dxfId="16" priority="17" stopIfTrue="1" operator="equal">
      <formula>"NICHT AKTUELL"</formula>
    </cfRule>
    <cfRule type="cellIs" dxfId="15" priority="18" stopIfTrue="1" operator="equal">
      <formula>"NOCH NICHT AKTUELL"</formula>
    </cfRule>
  </conditionalFormatting>
  <conditionalFormatting sqref="T87:V87">
    <cfRule type="cellIs" dxfId="14" priority="13" stopIfTrue="1" operator="equal">
      <formula>"AKTUELL"</formula>
    </cfRule>
    <cfRule type="cellIs" dxfId="13" priority="14" stopIfTrue="1" operator="equal">
      <formula>"NICHT AKTUELL"</formula>
    </cfRule>
    <cfRule type="cellIs" dxfId="12" priority="15" stopIfTrue="1" operator="equal">
      <formula>"NOCH NICHT AKTUELL"</formula>
    </cfRule>
  </conditionalFormatting>
  <conditionalFormatting sqref="S87">
    <cfRule type="cellIs" dxfId="11" priority="10" stopIfTrue="1" operator="equal">
      <formula>"AKTUELL"</formula>
    </cfRule>
    <cfRule type="cellIs" dxfId="10" priority="11" stopIfTrue="1" operator="equal">
      <formula>"NICHT AKTUELL"</formula>
    </cfRule>
    <cfRule type="cellIs" dxfId="9" priority="12" stopIfTrue="1" operator="equal">
      <formula>"NOCH NICHT AKTUELL"</formula>
    </cfRule>
  </conditionalFormatting>
  <conditionalFormatting sqref="S104:V104">
    <cfRule type="cellIs" dxfId="8" priority="7" stopIfTrue="1" operator="equal">
      <formula>"AKTUELL"</formula>
    </cfRule>
    <cfRule type="cellIs" dxfId="7" priority="8" stopIfTrue="1" operator="equal">
      <formula>"NICHT AKTUELL"</formula>
    </cfRule>
    <cfRule type="cellIs" dxfId="6" priority="9" stopIfTrue="1" operator="equal">
      <formula>"NOCH NICHT AKTUELL"</formula>
    </cfRule>
  </conditionalFormatting>
  <conditionalFormatting sqref="T7:V7">
    <cfRule type="cellIs" dxfId="5" priority="4" stopIfTrue="1" operator="equal">
      <formula>"AKTUELL"</formula>
    </cfRule>
    <cfRule type="cellIs" dxfId="4" priority="5" stopIfTrue="1" operator="equal">
      <formula>"NICHT AKTUELL"</formula>
    </cfRule>
    <cfRule type="cellIs" dxfId="3" priority="6" stopIfTrue="1" operator="equal">
      <formula>"NOCH NICHT AKTUELL"</formula>
    </cfRule>
  </conditionalFormatting>
  <conditionalFormatting sqref="S11:V11">
    <cfRule type="cellIs" dxfId="2" priority="1" stopIfTrue="1" operator="equal">
      <formula>"AKTUELL"</formula>
    </cfRule>
    <cfRule type="cellIs" dxfId="1" priority="2" stopIfTrue="1" operator="equal">
      <formula>"NICHT AKTUELL"</formula>
    </cfRule>
    <cfRule type="cellIs" dxfId="0" priority="3" stopIfTrue="1" operator="equal">
      <formula>"NOCH NICHT AKTUELL"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KM_liste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Miroslav Kostal</dc:creator>
  <cp:lastModifiedBy>Jesus Roldan</cp:lastModifiedBy>
  <dcterms:created xsi:type="dcterms:W3CDTF">2006-09-16T00:00:00Z</dcterms:created>
  <dcterms:modified xsi:type="dcterms:W3CDTF">2021-02-18T08:52:15Z</dcterms:modified>
</cp:coreProperties>
</file>